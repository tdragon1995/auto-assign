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3PL" sheetId="2" r:id="rId6"/>
    <sheet state="hidden" name="config_sun" sheetId="3" r:id="rId7"/>
    <sheet state="visible" name="PSC" sheetId="4" r:id="rId8"/>
    <sheet state="visible" name="Location Table" sheetId="5" r:id="rId9"/>
    <sheet state="visible" name="Driver" sheetId="6" r:id="rId10"/>
    <sheet state="visible" name="distance_master" sheetId="7" r:id="rId11"/>
  </sheets>
  <definedNames>
    <definedName hidden="1" localSheetId="0" name="_xlnm._FilterDatabase">config!$A$1:$K$1332</definedName>
    <definedName hidden="1" localSheetId="2" name="_xlnm._FilterDatabase">config_sun!$A$1:$J$1349</definedName>
    <definedName hidden="1" localSheetId="4" name="_xlnm._FilterDatabase">'Location Table'!$A$1:$K$3002</definedName>
    <definedName hidden="1" localSheetId="5" name="_xlnm._FilterDatabase">Driver!$A$1:$D$266</definedName>
    <definedName hidden="1" localSheetId="6" name="_xlnm._FilterDatabase">distance_master!$A$1:$E$6556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tc={8b45ffa7-2242-4b45-814c-8c5620b3e900}</author>
  </authors>
  <commentList>
    <comment authorId="0" xr:uid="{8b45ffa7-2242-4b45-814c-8c5620b3e900}" ref="A2">
      <text>
        <t xml:space="preserve">[Threaded comment]
 Your version of Excel allows you to read this threaded comment; however, any edits to it will get removed if the file is opened in a newer version of Excel. Learn more: https://go.microsoft.com/fwlink/?linkid=870924
Comment:
	test, KHÔNG xóa / overwrite dòng này
Reply:
	🫩
</t>
      </text>
    </comment>
  </commentList>
</comments>
</file>

<file path=xl/sharedStrings.xml><?xml version="1.0" encoding="utf-8"?>
<sst xmlns="http://schemas.openxmlformats.org/spreadsheetml/2006/main" count="24144" uniqueCount="6786">
  <si>
    <t>customer_id</t>
  </si>
  <si>
    <t>driver_id</t>
  </si>
  <si>
    <t>alt_drop_off_id</t>
  </si>
  <si>
    <t>Điểm Pick-up</t>
  </si>
  <si>
    <t>Điểm Drop-off thay thế</t>
  </si>
  <si>
    <t>Driver</t>
  </si>
  <si>
    <t>bot_token</t>
  </si>
  <si>
    <t>chat_id</t>
  </si>
  <si>
    <t>shift_start</t>
  </si>
  <si>
    <t>shift_end</t>
  </si>
  <si>
    <t>smart_driver_id</t>
  </si>
  <si>
    <t>d4fa76f4-b95a-11f0-be92-506b8d982279</t>
  </si>
  <si>
    <t>10000 - D10 - CMT8 - Test Julie</t>
  </si>
  <si>
    <t>Nguyễn Thành Long</t>
  </si>
  <si>
    <t>10232 - BHoa - VTSau - PKĐK Tâm An</t>
  </si>
  <si>
    <t>F - P - DC101785 Nguyễn Quốc Cường</t>
  </si>
  <si>
    <t>10281 - BHoa - DVTron - Kien Clinic</t>
  </si>
  <si>
    <t>10304 - BHoa - 30/4 - Nguyễn Trần Tố Nữ Yến Nhi</t>
  </si>
  <si>
    <t>10323 - BHoa - DKhoi - Phạm Thị Thu Thảo</t>
  </si>
  <si>
    <t>10405 - BHoa - VTSau - Trần Viết Hợi</t>
  </si>
  <si>
    <t>10877 - BHoa - NAQuoc - Nguyễn Thị Anh Ngân</t>
  </si>
  <si>
    <t>11628 - BHoa - DKhoi - Nguyễn Thị Hoàng Yến</t>
  </si>
  <si>
    <t>11704 - BHoa - DKhoi - Đồng Khắc Sơn</t>
  </si>
  <si>
    <t>11704 - BHoa - LBinh - Đồng Khắc Sơn</t>
  </si>
  <si>
    <t>11752 - BHoa - F3 - Nguyễn Kim Sơn</t>
  </si>
  <si>
    <t>11888 - BHoa - DVTron - Quách Thị Thu Hiền</t>
  </si>
  <si>
    <t>11957 - BHoa - BHNghia - BS. Phan Văn Trọng</t>
  </si>
  <si>
    <t>12339 - BHoa - XLHNoi - Vũ Viết Cảnh</t>
  </si>
  <si>
    <t>12343 - BHoa - C1 - Nguyễn Thị Hoà Bình</t>
  </si>
  <si>
    <t>12343 - BHoa - DKhoi - Nguyễn Thị Hoà Bình</t>
  </si>
  <si>
    <t>12410 - BHoa - DXien - Nguyễn Văn Sửu</t>
  </si>
  <si>
    <t>12702 - BHoa - DKhoi - PHÒNG KHÁM ĐA KHOA ÁI NGHĨA ĐỒNG KHỞI</t>
  </si>
  <si>
    <t>16057 - BHoa - 4A - Chế Quang Thống</t>
  </si>
  <si>
    <t>16057 - BHoa - DKhoi - Chế Quang Thống</t>
  </si>
  <si>
    <t>16142 - ThAn - BHoa - NHA KHOA NHÂN HOÀ</t>
  </si>
  <si>
    <t>F - P - DC101982 Trần Thanh Phong</t>
  </si>
  <si>
    <t>16823 - BHoa - D9 - CÔNG TY TNHH Y KHOA VIỆT ÚC</t>
  </si>
  <si>
    <t>17217 - BHoa - XLHNoi - Nguyễn Thị Huế</t>
  </si>
  <si>
    <t>17290 - BHoa - T23 - BS. CKII. Phan Trọng Hùng</t>
  </si>
  <si>
    <t>18148 - BHoa - DKhoi - BS. Nguyễn Văn Sơn</t>
  </si>
  <si>
    <t>18275 - BHoa - XLHNoi - Đinh Thị Đào</t>
  </si>
  <si>
    <t>20260 - BHoa - DXien - Bs Cao Cường</t>
  </si>
  <si>
    <t>20260 - BHoa - XLHN - Bs Cao Cường</t>
  </si>
  <si>
    <t>21114 - BHoa - 14 - Bs Phan Đức Hoàng</t>
  </si>
  <si>
    <t>21262 - BHoa - 14 - Phạm Thị Thu Hằng</t>
  </si>
  <si>
    <t>21262 - BHoa - XLHNoi - Phạm Thị Thu Hằng</t>
  </si>
  <si>
    <t>21317 - BHoa - DKhoi - Phòng khám Smart Healthcare</t>
  </si>
  <si>
    <t>21330 - BHoa - NAQuoc - Nguyễn Ngọc Phương Quyên</t>
  </si>
  <si>
    <t>22247 - BHoa - NVTien - Nguyễn Tùng Lâm</t>
  </si>
  <si>
    <t>22469 - BHoa - DVTron - Nguyễn Thị Hương</t>
  </si>
  <si>
    <t>22925 - BHoa - DKhoi - PHÒNG KHÁM ĐA KHOA ÁI NGHĨA BIÊN HÒA</t>
  </si>
  <si>
    <t>23254 - BHoa - QL1A - Nguyễn Văn Ngọc</t>
  </si>
  <si>
    <t>23350 - BHoa - TDai - BS Đoàn Thị Duyên</t>
  </si>
  <si>
    <t>23436 - BHoa - NAQuoc - Phòng Khám Chuyên Khoa Nhi Bé Bé Yêu</t>
  </si>
  <si>
    <t>23613 - BHoa - TVXa - CÔNG TY CỔ PHẦN DƯỢC PHẨM FPT LONG CHÂU</t>
  </si>
  <si>
    <t>24084 - BHoa - DKhoi - Bệnh Viện Đa Khoa Đồng Nai Khoa Huyết học</t>
  </si>
  <si>
    <t>24301 - BHoa - DKhoi - Bệnh viện Đa khoa Đồng Nai khoa Vi sinh</t>
  </si>
  <si>
    <t>45505556 - BHoa - DKhoi - PK Bác sĩ Nguyễn Ngọc Linh</t>
  </si>
  <si>
    <t>49570768 - Bhoa - PTrung - PHÒNG KHÁM ĐA KHOA NHI SÀI GÒN (BH)</t>
  </si>
  <si>
    <t>51569121 - BHoa - TBien - Hồ Thị Phương Anh</t>
  </si>
  <si>
    <t>51615619 - BHoa - NAQuoc - PHÒNG KHÁM ĐA KHOA Y ĐỨC</t>
  </si>
  <si>
    <t>51989415 - BHoa - DKhoi - Bệnh Viện Đa Khoa Đồng Nai Khoa Sinh Hóa</t>
  </si>
  <si>
    <t>51989471 - BHoa - XLHNoi - PHÒNG KHÁM ĐA KHOA TAM ĐỨC</t>
  </si>
  <si>
    <t>51989479 - BHoa - PVThuan - BỆNH VIỆN QUỐC TẾ HOÀN MỸ ĐỒNG NAI</t>
  </si>
  <si>
    <t>51989480 - BHoa - VTSau - CÔNG TY CỔ PHẦN BỆNH VIỆN THUẬN MỸ ITO ĐỒNG NAI</t>
  </si>
  <si>
    <t>51989483 - BHoa - DXien - BỆNH VIỆN ÂU CƠ</t>
  </si>
  <si>
    <t>51989497 - BHoa - NAQuoc - PHÒNG KHÁM ĐA KHOA ĐÔNG SÀI GÒN - VSLĐ</t>
  </si>
  <si>
    <t>52150080 - BHoa - DKhoi - Phòng Khám Hai Châu</t>
  </si>
  <si>
    <t>52150080 - BHoa - DTGiang - Phòng Khám Hai Châu</t>
  </si>
  <si>
    <t>52150080 - BHoa - LVNho - Phòng Khám Hai Châu</t>
  </si>
  <si>
    <t>52150080 - BHoa - TNTrung - Phòng Khám Hai Châu</t>
  </si>
  <si>
    <t>52169438 - Bhoa - NTTon - Bùi Văn Tiến</t>
  </si>
  <si>
    <t>52321378 - BHoa - XLHNoi - Nguyễn Thị Ly Ly</t>
  </si>
  <si>
    <t>52431209 - BHoa - DKhoi - Nguyễn Thị Bích Vân</t>
  </si>
  <si>
    <t>52573595 - BHoa - NTPhuong - Nguyễn Đức Tiến</t>
  </si>
  <si>
    <t>52589565 - BHoa - NTPhuong - Trần Thị Ngọc Thu</t>
  </si>
  <si>
    <t>52700015 - BHoa - DKhoi - Nguyễn Trần Tố Nữ Yến Vân</t>
  </si>
  <si>
    <t>52723043 - BHoa - DKhoi - Trương Hữu Đồng</t>
  </si>
  <si>
    <t>52739267 - BHoa - BVHoa - PK ThS.BS. Nguyễn Thị Thu Hà</t>
  </si>
  <si>
    <t>53036823 - BHoa - NQuyen - Phòng Khám BS. Đỗ Hoàng An Lộc</t>
  </si>
  <si>
    <t>53219705 - BHoa - HTKy - Phòng Khám Ngọc Minh</t>
  </si>
  <si>
    <t>53495532 - BHoa - BVHoa - Phòng Khám Bé Bé Yêu</t>
  </si>
  <si>
    <t>53495532 - BHoa - NAQuoc - PK Bé Bé Yêu</t>
  </si>
  <si>
    <t>53905760 - BHoa - XLHNoi - BS. Trần Lê Duy Cường</t>
  </si>
  <si>
    <t>54404027 - BHoa - N4 - CTY TNHH THƯƠNG MẠI DỊCH VỤ Y TẾ ANH KHOA</t>
  </si>
  <si>
    <t>54903065 - Bhoa - PTrung - Danh Thị Thu Trúc</t>
  </si>
  <si>
    <t>55435239 - Bhoa - DKhoi - Nguyễn Văn Toản</t>
  </si>
  <si>
    <t>11059 - TPhu - ACo - Bs Hà Hữu Phước</t>
  </si>
  <si>
    <t>F - C - DC101924 Nguyễn Tấn Duy</t>
  </si>
  <si>
    <t>11167 - TPhu - CKeo - BS Lê Trọng Khôi</t>
  </si>
  <si>
    <t>11178 - TPhu - NNghiem - Bs Lê Quang Tuấn</t>
  </si>
  <si>
    <t>11544 - TPhu - TKTQuy - Bùi Xuân Thành</t>
  </si>
  <si>
    <t>12385 - TPhu - GDau - Phòng khám Đa khoa Hoàn Hảo</t>
  </si>
  <si>
    <t>12434 - D5 - TPhu - Phòng khám Bầu Bí</t>
  </si>
  <si>
    <t>F - C - DC100975 Nguyễn Tấn Tài</t>
  </si>
  <si>
    <t>12669 - D10 - NTPhuong - BS Huỳnh Thị Như Ý (Tiêu hoá)</t>
  </si>
  <si>
    <t>F - P - DC101876 Trịnh Ngọc Sơn</t>
  </si>
  <si>
    <t>12715 - TPhu - THieu - Bs Trần Lê Mộng Diễm</t>
  </si>
  <si>
    <t>12849 - TPhu - NCDam - BS Phạm Văn Tuấn</t>
  </si>
  <si>
    <t>12896 - TPhu - BXPhai - Bùi Trần Nam</t>
  </si>
  <si>
    <t>16022 - TPhu - PAnh - Nguyễn Thị Phương Linh</t>
  </si>
  <si>
    <t>16142 - TPhu - BLong - NHA KHOA NHÂN HOÀ</t>
  </si>
  <si>
    <t>16511 - TPhu - TNhat - BS Nguyễn Văn Tỉnh</t>
  </si>
  <si>
    <t>16572 - DAn - NTPhuong - Bs Toàn</t>
  </si>
  <si>
    <t>F - P - DC101247 Phan Thành Được</t>
  </si>
  <si>
    <t>17016 - TPhu -  B3 - bs Lương Duy Trường</t>
  </si>
  <si>
    <t>17109 - TPhu - LTTan - Hồ Ngọc Khanh</t>
  </si>
  <si>
    <t>17157 - TPhu - LTTan - Phạm Thị Ngọc Dung</t>
  </si>
  <si>
    <t>17459 - TPhu - TNhat - Phạm Vân Thảo</t>
  </si>
  <si>
    <t>18469 - D9 - TPhu - Huỳnh Khánh Phú</t>
  </si>
  <si>
    <t>F - P - DC100734 Phan Thanh Nhật</t>
  </si>
  <si>
    <t>20079 - TUyen - NTPhuong - BS Danh Vinh</t>
  </si>
  <si>
    <t>F - C - DC101201 Nguyễn Hữu Quỳnh</t>
  </si>
  <si>
    <t>20117 - TPhu - LMNguyet - FICH HEALTHCARE HEALTH CARE</t>
  </si>
  <si>
    <t>20297 - TPhu - DHien - Bùi Trần Công</t>
  </si>
  <si>
    <t>20730 - D5 - TPhu - Phòng Xét Nghiệm Y Khoa Càng Long</t>
  </si>
  <si>
    <t>20931 - TPhu - TChinh - Trung Tâm Y Khoa Hoàn Mỹ - Tân Phú</t>
  </si>
  <si>
    <t>20934 - TPhu - KViet - Nha Khoa Thẩm Mỹ Hồng Minh</t>
  </si>
  <si>
    <t>20990 - TPhu - BBTThang - Răng Hàm Mặt Sài Gòn - Tân Phú</t>
  </si>
  <si>
    <t>21192 - TPhu - LBBich - Phòng khám Quốc tế Compass</t>
  </si>
  <si>
    <t>21361 - TPhu - NSon - TM315 Nguyễn Sơn</t>
  </si>
  <si>
    <t>21362 - TPhu - LBBich - PS315 Lũy Bán Bích</t>
  </si>
  <si>
    <t>21362 - TPhu - LTTan - PS315 Lê Trọng Tấn</t>
  </si>
  <si>
    <t>21362 - TPhu - TSNhi - PS315 Tân Sơn Nhì</t>
  </si>
  <si>
    <t>21369 - TPhu - TNHau - BS Nguyễn Thị Thu Thảo</t>
  </si>
  <si>
    <t>21626 - TPhu - CKeo - Phòng Khám Chuyên Khoa Nhà Thuốc 99</t>
  </si>
  <si>
    <t>21659 - D5 - TPhu - Phòng xét nghiệm y khoa Phong Anh</t>
  </si>
  <si>
    <t>21923 - D10 - NTPhuong - Phòng Khám MEDFIT</t>
  </si>
  <si>
    <t>F - C - DC100320 Lý Chánh Hùng</t>
  </si>
  <si>
    <t>22842 - D7 - NLBang - Phòng Khám Sản Phụ Khoa - Hiếm Muộn DBN</t>
  </si>
  <si>
    <t>F - C - DC100786 Vương Đình Minh Quang</t>
  </si>
  <si>
    <t>22929 - TPhuoc - PHung - PHÒNG KHÁM ĐA KHOA ÁI NGHĨA TAM PHƯỚC</t>
  </si>
  <si>
    <t>F - P - DC101569 Nguyễn Minh Nhật</t>
  </si>
  <si>
    <t>23524 - TPhu - LBBich - Công ty TNHH Phòng khám chuyên khoa ngoại Việt Đức Sài Gòn</t>
  </si>
  <si>
    <t>23531 - TPhu - GDau - Nha khoa Tiên Phong</t>
  </si>
  <si>
    <t>40282766 - TPhu - HBinh - SIM Medical Center</t>
  </si>
  <si>
    <t>40694052 - TPhu - THuong - BS Nguyễn Hồng Hoa</t>
  </si>
  <si>
    <t>41548740 - TPhu - LBBich - Phòng Khám Sản Phụ Khoa Phúc Thiện</t>
  </si>
  <si>
    <t>46361264 - TPhu - NQuyen - BS Lâm Xuân Nhật</t>
  </si>
  <si>
    <t>46361264 - TPhu - PDPhung - BS Lâm Xuân Nhật</t>
  </si>
  <si>
    <t>46539765 - TPhu - QDBao - Bs Bạch Tuyết Mai</t>
  </si>
  <si>
    <t>46651876 - D10 - NTPhuong - ND315 Nguyễn Tri Phương</t>
  </si>
  <si>
    <t>F - C - DC101907 Nguyễn Trương Hoài Dân</t>
  </si>
  <si>
    <t>46651876 - TPhu - HBinh - ND315 Hòa Bình</t>
  </si>
  <si>
    <t>46651876 - TPhu - LTTan - ND315 7A - 8A Lê Trọng Tấn</t>
  </si>
  <si>
    <t>46651876 - TPhu - LTTan - ND315 Lê Trọng Tấn</t>
  </si>
  <si>
    <t>46651876 - TPhu - NSon - ND315 Nguyễn Sơn</t>
  </si>
  <si>
    <t>46651876 - TPhu - TSNhi - ND315 394 Tân Sơn Nhì</t>
  </si>
  <si>
    <t>46651876 - TPhu - TSNhi - ND315 Tân Sơn Nhì</t>
  </si>
  <si>
    <t>46663921 - TPhu - TNHau - Phòng khám đa khoa Hy Vọng</t>
  </si>
  <si>
    <t>48934165 - TDuc - TPhu - Bs. Hồ Thị Thanh</t>
  </si>
  <si>
    <t>50896286 - TPhu - LBBich - Nha Khoa Hải</t>
  </si>
  <si>
    <t>52597901 - TPhu - TKTQuy - Đặng Quang Thạch</t>
  </si>
  <si>
    <t>52599328 - TDuc - TPhu - Bs Hồ Thị Thanh</t>
  </si>
  <si>
    <t>52670049 - TPhu - BBTPhu - WestWay Dental Clinic</t>
  </si>
  <si>
    <t>53075308 - TPhu - THuong - BS Vũ Đỗ Uyên Vy</t>
  </si>
  <si>
    <t>54710330 - TPhu - LMNguyet - KinderHealth</t>
  </si>
  <si>
    <t>54804759 - TPhu - TKTQuy - PHÒNG KHÁM ĐA KHOA VẠN XUÂN</t>
  </si>
  <si>
    <t>11286 - D7 - NTThap - Bs Đặng Thị Nam</t>
  </si>
  <si>
    <t>11298 - D7 - NTThap - Bs Trần Lê Đức Tài</t>
  </si>
  <si>
    <t>11518 - D7 - NTThap - Bs Nguyễn Trường Vinh</t>
  </si>
  <si>
    <t>11920 - D7 - NTThap - Trần Thị Trúc Phương</t>
  </si>
  <si>
    <t>12118 - D7 - NTThap - Nha Khoa Bảo Việt</t>
  </si>
  <si>
    <t>12217 - D7 - NTThap - Bs Phan Thị Huyền Nhung</t>
  </si>
  <si>
    <t>12294 - D7 - NTThap - BS Lâm Hoàng Phúc</t>
  </si>
  <si>
    <t>12758 - D7 - NTThap - Hồng Khang</t>
  </si>
  <si>
    <t>15052 - D7 - NTThap - BS Phan Hồng Quang</t>
  </si>
  <si>
    <t>16011 - D7 - NTThap - Võ Thị Tuyết Trinh</t>
  </si>
  <si>
    <t>16696 - D7 - NTThap - BS Nguyễn Thị Thanh Dung</t>
  </si>
  <si>
    <t>16878 - D7 - NTThap - BS Nguyễn Tấn Thịnh</t>
  </si>
  <si>
    <t>20173 - D7 - NTThap - Lư Tấn Khôi Anh</t>
  </si>
  <si>
    <t>20718 - D7 - NTThap - Nha khoa Sakura</t>
  </si>
  <si>
    <t>21300 - D7 - NTThap - Trung Tâm Y Tế Dự Phòng Quận 7</t>
  </si>
  <si>
    <t>21362 - D7 - NTThap - PS315 Nguyễn Thị Thập</t>
  </si>
  <si>
    <t>23820 - D7 - NTThap - Bs MAI LÊ THÀNH PHÚC</t>
  </si>
  <si>
    <t>23924 - D7 - NTThap - Mai Hoàng Anh</t>
  </si>
  <si>
    <t>40664175 - D7 - NTThap - BS. Trần Thị Trúc Phương</t>
  </si>
  <si>
    <t>46651876 - D7 - NTThap - ND315 Nguyễn Thị Thập</t>
  </si>
  <si>
    <t>50126032 - D7 - NTThap - BV Quận 7</t>
  </si>
  <si>
    <t>55127363 - D7 - NTThap - Nguyễn Văn Nhiệm</t>
  </si>
  <si>
    <t>55405170 - D7 - NTThap - Nguyễn Minh Toàn</t>
  </si>
  <si>
    <t>Other - D7 - NTTThap - BS Đặng Xuân Đại</t>
  </si>
  <si>
    <t>11826 - D2 - LDCua - Phòng Khám Nhi Lam Hiền Hoà</t>
  </si>
  <si>
    <t>F - C - DC100842 Nguyễn Hoàng Phi</t>
  </si>
  <si>
    <t>12278 - D2 - D6 - Nha Khoa Elite Dental</t>
  </si>
  <si>
    <t>12454 - D2 - NHoang - BS Mai Thanh Cúc</t>
  </si>
  <si>
    <t>12709 - D2 - DHPho - CN2- Chăm sóc sức khỏe Maple quận 2 - Credit</t>
  </si>
  <si>
    <t>12781 - D2 - PVDang - BS Lại Lê Hưng</t>
  </si>
  <si>
    <t>12882 - D2 - NTDinh - ECHO MEDI 1</t>
  </si>
  <si>
    <t>15994 - D2 - THDinh - Nha khoa Premier Dental</t>
  </si>
  <si>
    <t>16149 - D2 - NDHieu - Picasso Dental</t>
  </si>
  <si>
    <t>16512 - D2 - NTDinh - Trung Tâm Y Tế Tân Cảng</t>
  </si>
  <si>
    <t>17047 - D2 - TNao - PK Medigo</t>
  </si>
  <si>
    <t>17499 - D2 - VNGiap - Công ty TNHH phòng khám sức khoẻ Bewell Sài Gòn</t>
  </si>
  <si>
    <t>17614 - D2 - LVThinh - Bs Cao Phạm Thanh Duy</t>
  </si>
  <si>
    <t>18059 - D2 - BNan - PK BSGĐ Hồng Anh</t>
  </si>
  <si>
    <t>18261 - D2 - NDTrinh - Trần Đoàn Thiên Quốc</t>
  </si>
  <si>
    <t>18324 - D2 - TNao - Nguyễn Hưng Bang</t>
  </si>
  <si>
    <t>18357 - D2 - NCThach - Mediclinics</t>
  </si>
  <si>
    <t>20067 - D2 - 51 - Phòng khám Heli</t>
  </si>
  <si>
    <t>20292 - D2 - SHanh - Vương Đình Hoàng Dũng</t>
  </si>
  <si>
    <t>20561 - D2 - NCThach - Dr.Eye</t>
  </si>
  <si>
    <t>20656 - ThAn - D20 - PK NHI ĐỒNG</t>
  </si>
  <si>
    <t>21056 - D2 - NDTrinh - Lê Thanh Bình</t>
  </si>
  <si>
    <t>21060 - D2 - NTDinh - Nguyễn Đan Thanh</t>
  </si>
  <si>
    <t>21361 - D2 - NTDinh - TM315 Nguyễn Thị Định</t>
  </si>
  <si>
    <t>21362 - D2 - LDCua - PS315 Lương Định Của</t>
  </si>
  <si>
    <t>21362 - D2 - NDTrinh - PS315 Nguyễn Duy Trinh</t>
  </si>
  <si>
    <t>21362 - D2 - NTDinh - PS315 Nguyễn Thị Định</t>
  </si>
  <si>
    <t>21556 - D2 - TDien - German Dental Clinic</t>
  </si>
  <si>
    <t>21884 - D2 - LVMien - Regen3tics Clinic</t>
  </si>
  <si>
    <t>21890 - D2 - THDinh - Phòng khám nhi đồng Con cưng</t>
  </si>
  <si>
    <t>22030 - D2 - NHoang - Quách Văn</t>
  </si>
  <si>
    <t>22045 - D2 - LDCua - Nha Khoa Wee</t>
  </si>
  <si>
    <t>22933 - D2 - TDien - Cocomed Aesthetic Clinic</t>
  </si>
  <si>
    <t>23569 - D2 - LVThinh - Bs Diệp Đào Tiên</t>
  </si>
  <si>
    <t>23803 - D2 - NQCanh - Phòng khám TAKASHIJ</t>
  </si>
  <si>
    <t>24071 - D2 - 51 - CTY TNHH Công Nghệ Y Tế DIA-B</t>
  </si>
  <si>
    <t>24102 - D2 - NDHieu - Picasso Dental Clinic Thảo Điền</t>
  </si>
  <si>
    <t>24199 - D2 - NVHuong - CÔNG TY TNHH Y TẾ MEDEZE SÀI GÒN</t>
  </si>
  <si>
    <t>24223 - D2 - 2 - CÔNG TY TNHH TRUWELL</t>
  </si>
  <si>
    <t>24224 - D2 - QHuong - CÔNG TY CỔ PHẦN CÔNG NGHỆ Y TẾ NHẬT VIỆT</t>
  </si>
  <si>
    <t>40663468 - D2 - QHuong - Phòng khám Bản Việt</t>
  </si>
  <si>
    <t>40663994 - ThAn - D2 - BS. Phạm Thị Thanh Thủy</t>
  </si>
  <si>
    <t>40934998 - D2 - TDien - Family Medical Practice</t>
  </si>
  <si>
    <t>40979928 - D2 - D9 - BS Trần Thị Như Hoa</t>
  </si>
  <si>
    <t>42460373 - D2 - LDCua - Victoria Y Tế Phát Triển</t>
  </si>
  <si>
    <t>46069949 - D2 - NHoang - BV Quốc tế Mỹ AIH</t>
  </si>
  <si>
    <t>P - P - PT101365 Nguyễn Minh Thông</t>
  </si>
  <si>
    <t>46126721 - D2 - LDCua - Phòng Khám Đa Khoa Quốc Tế An Phú</t>
  </si>
  <si>
    <t>46555971 - D2 - SHanh - BỆNH VIỆN QUỐC TẾ HẠNH PHÚC</t>
  </si>
  <si>
    <t>46651876 - D2 - NDTrinh - ND315 Nguyễn Duy Trinh</t>
  </si>
  <si>
    <t>46651876 - D2 - NTDinh - ND315 Nguyễn Thị Định</t>
  </si>
  <si>
    <t>46651876 - D2 - TNao - ND315 Trần Não</t>
  </si>
  <si>
    <t>46776705 - D2 - NHoang - Phòng Khám Happy Baby</t>
  </si>
  <si>
    <t>50896286 - D2 - DS51 - Nha Khoa Hải</t>
  </si>
  <si>
    <t>51407942 - D2 - LVThinh - Trần Thị Mỹ Linh</t>
  </si>
  <si>
    <t>51614012 - D2 - LVThinh - BỆNH VIỆN ĐA KHOA QUỐC TẾ DNA</t>
  </si>
  <si>
    <t>52394881 - D2 - NDTrinh - Nguyễn Văn Dũng</t>
  </si>
  <si>
    <t>52670049 - D2 - SHanh - WestWay Dental Clinic</t>
  </si>
  <si>
    <t>53205208 - D2 - NDTrinh - Nha Khoa Asia</t>
  </si>
  <si>
    <t>53533721 - D2 - NQDuc - Vina Healthcare</t>
  </si>
  <si>
    <t>53982448 - D2 - 10 - PHÒNG KHÁM ĐA KHOA NHÂN ĐỨC 3</t>
  </si>
  <si>
    <t>54173622 - D2 - NDTrinh - Bs Lê Hồng Điểm</t>
  </si>
  <si>
    <t>55064410 - D2 - LDCua - Phòng Khám Đa Khoa Quốc Tế An Phú</t>
  </si>
  <si>
    <t>10262 - TD1 - DLBDuong - Trần Đức Tuấn</t>
  </si>
  <si>
    <t>P - C - PT101558 Lưu Văn Hòa</t>
  </si>
  <si>
    <t>10262 - TD1 - PNThach - Trần Đức Tuấn</t>
  </si>
  <si>
    <t>10316 - TD1 - YSin - BS Tiêu Đức Quang 1</t>
  </si>
  <si>
    <t>11506 - TD1 - DLBDuong - Bs Nguyễn Minh Tân</t>
  </si>
  <si>
    <t>11506 - TD1 - PLoi - Bs Nguyễn Minh Tân</t>
  </si>
  <si>
    <t>11506 - TD1 - YSin - BS Nguyễn Minh Tân</t>
  </si>
  <si>
    <t>11690 - TD1 - PNThach - BS Hứa Hiền Vinh</t>
  </si>
  <si>
    <t>12272 - TD1 - NDThuan - Nguyễn Thị Nụ</t>
  </si>
  <si>
    <t>12488 - TD1 - LHPhong - Lê Bá Kông</t>
  </si>
  <si>
    <t>12614 - TD1 - Yersin - Nguyễn Đức Hoan</t>
  </si>
  <si>
    <t>15044 - TD1 - PNThach - Đỗ Thị Mỹ Huyền</t>
  </si>
  <si>
    <t>15045 - TD1 - PNThach - Bùi Thị Thuỳ Trang</t>
  </si>
  <si>
    <t>15380 - TD1 - HVCong - Trương Hoài Ân</t>
  </si>
  <si>
    <t>15419 - TD1 - LHPhong - Nguyễn Thị Kim Huê</t>
  </si>
  <si>
    <t>15429 - TD1 - DLBDuong - Lê Thị Huyền Trang</t>
  </si>
  <si>
    <t>15456 - TD1 - PNTHach - BS. Nguyễn Văn Lực</t>
  </si>
  <si>
    <t>15459 - TD1 - HVLuy - Dương Thiên Hương</t>
  </si>
  <si>
    <t>15459 - TD1 - PNThach - Dương Thiên Hương</t>
  </si>
  <si>
    <t>15481 - TD1 - CMT8 - Nguyễn Hữu Tình</t>
  </si>
  <si>
    <t>15481 - TD1 - DLBDuong - Nguyễn Hữu Tình</t>
  </si>
  <si>
    <t>15554 - TD1 - DLBDuong - Hoàng Như Phúc</t>
  </si>
  <si>
    <t>15583 - TD1 - PLoi - Ngô Trọng Chất</t>
  </si>
  <si>
    <t>16046 - TD1 - PNThach - Thạch Xăm Nang</t>
  </si>
  <si>
    <t>16077 - TD1 - PNT - Bs Nguyễn Thị Nhật Thu</t>
  </si>
  <si>
    <t>16130 - TD1 - DT743 - Phòng Khám Đa Khoa An Phú Long</t>
  </si>
  <si>
    <t>16180 - TD1 - DLBDuong - Nguyễn Quốc Thái Sản Khoa</t>
  </si>
  <si>
    <t>16180 - TD1 - PNThach - Nguyễn Quốc Thái Sản Khoa</t>
  </si>
  <si>
    <t>16642 - TD1 - Yersin - Bs CKI Nguyễn Thị Cẩm Phụng</t>
  </si>
  <si>
    <t>17429 - TD1 - DLBDuong - Hà Trung Thái</t>
  </si>
  <si>
    <t>17511 - TD1 - DLBDuong - BS Phan Phương An</t>
  </si>
  <si>
    <t>17551 - TD1 - CMT8 - Bs Nhi Nguyễn Thị Dung</t>
  </si>
  <si>
    <t>18326 - TD1 - 8 - BS Nguyễn Tấn Thành</t>
  </si>
  <si>
    <t>18326 - TD1 - PNThach - BS Nguyễn Tấn Thành</t>
  </si>
  <si>
    <t>18334 - TD1 - BNThu - Thạch Minh Hạnh</t>
  </si>
  <si>
    <t>18559 - TD1 - PNThach - Bs Lê Trọng Hiếu</t>
  </si>
  <si>
    <t>18566 - TD1 - Yersin - Bs Ngô Nhật Linh</t>
  </si>
  <si>
    <t>18598 - TD1 - DLBDuong - Dương Văn Sang</t>
  </si>
  <si>
    <t>18622 - TD1 - PNThach - Bs Nguyễn Anh Quốc</t>
  </si>
  <si>
    <t>18624 - TD1 - PNThach - BS Nguyễn Kim Hùng</t>
  </si>
  <si>
    <t>18660 - TD1 - PNThach - Bs Nguyễn Văn Chính</t>
  </si>
  <si>
    <t>18694 - TD1 - PNThach - Bs Đặng Công Bắc</t>
  </si>
  <si>
    <t>18702 - TD1 - PNThach - Bs Nguyễn Đỗ Thạnh Lộc</t>
  </si>
  <si>
    <t>20293 - TD1 - PNThach - Phòng khám sản phụ khoa nguyễn Quốc Thái</t>
  </si>
  <si>
    <t>20301 - TD1 - PLoi - Phòng khám chuyên khoa y học cổ truyền Minh Tân</t>
  </si>
  <si>
    <t>20301 - TD1 - Yersin - Phòng khám chuyên khoa y học cổ truyền Minh Tân</t>
  </si>
  <si>
    <t>20303 - TD1 - PNThach - Vũ Thị Nga</t>
  </si>
  <si>
    <t>20619 - TD1 - DX047 - Pk Sản Phụ Khoa Dương Thiên Hương</t>
  </si>
  <si>
    <t>21208 - TD1 - PLoi - Phòng khám sản phụ khoa Phạm Thị Thu Trang</t>
  </si>
  <si>
    <t>21209 - TD1 - PNThach - Phòng khám sản phụ khoa Bích Vân</t>
  </si>
  <si>
    <t>21354 - TD1 - DT741 - Phòng khám đa khoa Nhân Đức Sài Gòn 2</t>
  </si>
  <si>
    <t>21366 - TD1 - PNThach - Phòng khám sản phụ khoa Vĩnh Tân</t>
  </si>
  <si>
    <t>21495 - TD1 - DX76 - Bệnh viện đa khoa Phương Chi</t>
  </si>
  <si>
    <t>21957 - TD1 - Yersin - Bs Nguyễn Thị Ngọc Trâm</t>
  </si>
  <si>
    <t>21971 - TD1 - DLBDuong - PK SẢN PHỤ KHOA VIÊN MÃN</t>
  </si>
  <si>
    <t>23579 - TD1 - DLBDuong - Bệnh Viện Đa Khoa Năm Anh</t>
  </si>
  <si>
    <t>23579 - TD1 - DLBDuong - Bệnh Viện Đa Khoa Năm Anh 2</t>
  </si>
  <si>
    <t>23613 - TD1 - Yersin - CÔNG TY CỔ PHẦN DƯỢC PHẨM FPT LONG CHÂU</t>
  </si>
  <si>
    <t>40746986 - TD1 - HVuong - Toyota Bình Dương</t>
  </si>
  <si>
    <t>51578857 - TD1 - CMT8 - PKDK Nhi Đồng Sài Gòn</t>
  </si>
  <si>
    <t>51578911 - TD1 - YSin - BS. THƯỢNG THỊ HỒNG THANH</t>
  </si>
  <si>
    <t>53031195 - TD1 - PNThach - BS Nguyễn Thị Thơ</t>
  </si>
  <si>
    <t>54675973 - TD1 - D1 - Phạm Thành Tiến</t>
  </si>
  <si>
    <t>55024792 - TD1 - PNLao - Phòng Khám Đa Khoa Bạch Đằng</t>
  </si>
  <si>
    <t>55063010 - TD1 - PLoi - Phòng Khám Phụ Sản Nhi Sài Gòn</t>
  </si>
  <si>
    <t>55074012 - TD1 - LHPhong - Trần Thị Minh Nguyệt</t>
  </si>
  <si>
    <t>55198053 - TD1 - 30/4 - Bác Sĩ Trần Ngọc Anh Thuỳ</t>
  </si>
  <si>
    <t>55198053 - TD1 - PNThach - Bác Sĩ Trần Ngọc Anh Thuỳ</t>
  </si>
  <si>
    <t>21362 - BChanh - DDThien - PS315 Đinh Đức Thiện</t>
  </si>
  <si>
    <t>F - C - DC100993 Nguyễn Hồng Sơn</t>
  </si>
  <si>
    <t>21362 - BChanh - PHung - PS315 Phạm Hùng</t>
  </si>
  <si>
    <t>21362 - BChanh - QL50 - PS315 QL50</t>
  </si>
  <si>
    <t>21362 - BTan - HHLam - PS315 Hồ Học Lãm</t>
  </si>
  <si>
    <t>21362 - BTan - LVQuoi - PS315 Lê Văn Quới</t>
  </si>
  <si>
    <t>F - P - DC101448 Lê Duy Khánh</t>
  </si>
  <si>
    <t>21362 - BTan - NTTu - PS315 Nguyễn Thị Tú</t>
  </si>
  <si>
    <t>F - P - DC101786 Lâm Trọng Nghĩa</t>
  </si>
  <si>
    <t>21362 - BTan - TKTQuy - PS315 Tân Kỳ Tân Quý</t>
  </si>
  <si>
    <t>21362 - BTan - TLan - PS315 Tây Lân</t>
  </si>
  <si>
    <t>21362 - BTan - TLua - PS315 10 Tên Lửa</t>
  </si>
  <si>
    <t>21362 - BThanh - BDang - PS315 Bạch Đằng</t>
  </si>
  <si>
    <t>F - D - DC101765 Trần Minh Nhật</t>
  </si>
  <si>
    <t>21362 - BThanh - NXi - PS315 Nguyễn Xí</t>
  </si>
  <si>
    <t>F - C - DC100017 Khưu Tấn Tài</t>
  </si>
  <si>
    <t>21362 - CChi - QL22 - PS315 QL22</t>
  </si>
  <si>
    <t>F - P - DC101161 Trần Nguyễn Thanh Duy</t>
  </si>
  <si>
    <t>9ba6de4c-37d0-11ed-90bb-506b8dbc8dfb,987568fa-37c7-11ed-aac2-506b8dbc8dfb</t>
  </si>
  <si>
    <t>21362 - CChi - TL8 - PS315 61-63 Tỉnh Lộ 8</t>
  </si>
  <si>
    <t>21362 - CChi - TL8 - PS315 Tỉnh Lộ 8</t>
  </si>
  <si>
    <t>21362 - D11 - ACo - PS315 Âu Cơ</t>
  </si>
  <si>
    <t>F - P - DC101326 Trần Thanh Thái Bảo</t>
  </si>
  <si>
    <t>21362 - D11 - LTKiet - PS315 Lý Thường Kiệt</t>
  </si>
  <si>
    <t>21362 - D12 - HHGiap - PS315 Hà Huy Giáp</t>
  </si>
  <si>
    <t>F - C - DC100844 Nguyễn Quốc Trung</t>
  </si>
  <si>
    <t>21362 - D12 - LVKhuong - PS315 Lê Văn Khương</t>
  </si>
  <si>
    <t>21362 - D12 - NAThu - PS315 Nguyễn Ảnh Thủ</t>
  </si>
  <si>
    <t>21362 - D12 - NVQua - PS315 Nguyễn Văn Quá</t>
  </si>
  <si>
    <t>21362 - D4 - HDieu - PS315 Hoàng Diệu</t>
  </si>
  <si>
    <t>F - P - DC101918 Nguyễn Bá Cường</t>
  </si>
  <si>
    <t>21362 - D5 - THDao - PS315 Trần Hưng Đạo</t>
  </si>
  <si>
    <t>21362 - D6 - BPhu - PS315 Bình Phú</t>
  </si>
  <si>
    <t>F - P - DC100299 Đỗ Anh Quốc</t>
  </si>
  <si>
    <t>21362 - D7 - HTPhat - PS315 Huỳnh Tấn Phát</t>
  </si>
  <si>
    <t>F - P - DC101616 Huỳnh Nhật Tân</t>
  </si>
  <si>
    <t>21362 - D8 - DBTrac - PS315 Dương Bá Trạc</t>
  </si>
  <si>
    <t>F - P - DC101469 Nguyễn Thanh Hùng</t>
  </si>
  <si>
    <t>21362 - D9 - DXHop - PS315 Đỗ Xuân Hợp</t>
  </si>
  <si>
    <t>21362 - D9 - LVViet - PS315 Lê Văn Việt</t>
  </si>
  <si>
    <t>21362 - D9 - MThien - PS315 Man Thiện</t>
  </si>
  <si>
    <t>21362 - GVap - NOanh - PS315 Nguyễn Oanh</t>
  </si>
  <si>
    <t>F - P - DC101436 Hầu Lâm Minh Tuấn</t>
  </si>
  <si>
    <t>21362 - GVap - NTSon - PS315 Nguyễn Thái Sơn</t>
  </si>
  <si>
    <t>21362 - GVap - PVChieu - PS315 Phạm Văn Chiêu</t>
  </si>
  <si>
    <t>21362 - GVap - PVTri - PS315 Phan Văn Trị</t>
  </si>
  <si>
    <t>21362 - GVap - QTrung - PS315 Quang Trung</t>
  </si>
  <si>
    <t>21362 - HMon - DTVinh - PS315 Đặng Thúc Vịnh</t>
  </si>
  <si>
    <t>F - P - DC101166 Nguyễn Quang Trí</t>
  </si>
  <si>
    <t>717fa61c-3654-11ed-b103-506b8dbc8dfb,dff693c2-0371-11ee-90bc-506b8dbc8dfb</t>
  </si>
  <si>
    <t>21362 - HMon - LTHa - PS315 Lê Thị Hà</t>
  </si>
  <si>
    <t>21362 - HMon - PVHon - PS315 Phan Văn Hớn</t>
  </si>
  <si>
    <t>F - P - DC101406 Bùi Hiền Anh Kiệt</t>
  </si>
  <si>
    <t>21362 - NBe - HTPhat - PS315 Huỳnh Tấn Phát</t>
  </si>
  <si>
    <t>21362 - PNhuan - PDLuu - PS315 Phan Đăng Lưu</t>
  </si>
  <si>
    <t>21362 - TBinh - BCat - PS315 Bàu Cát</t>
  </si>
  <si>
    <t>21362 - TBinh - CMT8 - PS315 CMT8</t>
  </si>
  <si>
    <t>21362 - TBinh - HVThu - PS315 Hoàng Văn Thụ</t>
  </si>
  <si>
    <t>21362 - TBinh - LLQuan - PS315 Lạc Long Quân</t>
  </si>
  <si>
    <t>21362 - TBinh - TChinh - PS315 Trường Chinh</t>
  </si>
  <si>
    <t>21362 - TDuc - HBinh - PS315 Hiệp Bình</t>
  </si>
  <si>
    <t>21362 - TDuc - KVCan - PS315 Kha Vạn Cân</t>
  </si>
  <si>
    <t>46651876 - BChanh - DDThien - ND315 Đinh Đức Thiện</t>
  </si>
  <si>
    <t>46651876 - BChanh - NHTri - ND315 Nguyễn Hữu Trí</t>
  </si>
  <si>
    <t>46651876 - BChanh - PHung - ND315 Phạm Hùng</t>
  </si>
  <si>
    <t>46651876 - BChanh - QL50 - ND315 QL50</t>
  </si>
  <si>
    <t>46651876 - BTan - HHLam - ND315 Hồ Học Lãm</t>
  </si>
  <si>
    <t>46651876 - BTan - LVQuoi - ND315 Lê Văn Quới</t>
  </si>
  <si>
    <t>46651876 - BTan - NTTu - ND315 Nguyễn Thị Tú</t>
  </si>
  <si>
    <t>46651876 - BTan - TL10 - ND315 Tỉnh Lộ 10</t>
  </si>
  <si>
    <t>46651876 - BTan - TLan - ND315 Tây Lân</t>
  </si>
  <si>
    <t>46651876 - BTan - TLua - ND315 14 Tên Lửa</t>
  </si>
  <si>
    <t>46651876 - BTan - TLua - ND315 294 Tên Lửa</t>
  </si>
  <si>
    <t>46651876 - BThanh - BDang - ND315 Bạch Đằng</t>
  </si>
  <si>
    <t>46651876 - BThanh - NTLong - ND315 Nơ Trang Long</t>
  </si>
  <si>
    <t>46651876 - BThanh - NXi - ND315 Nguyễn Xí</t>
  </si>
  <si>
    <t>46651876 - CChi - QL22 - ND315 QL22</t>
  </si>
  <si>
    <t>46651876 - CChi - TL8 - ND315 Tỉnh Lộ 8</t>
  </si>
  <si>
    <t>46651876 - D10 - THThanh - ND315 Tô Hiến Thành</t>
  </si>
  <si>
    <t>46651876 - D11 - MPhung - ND315 Minh Phụng</t>
  </si>
  <si>
    <t>46651876 - D12 - DTMuoi - ND315 Dương Thị Mười</t>
  </si>
  <si>
    <t>46651876 - D12 - HHGiap - ND315 Hà Huy Giáp</t>
  </si>
  <si>
    <t>46651876 - D12 - LVKhuong - ND315 Lê Văn Khương</t>
  </si>
  <si>
    <t>46651876 - D12 - NAThu - ND315 Nguyễn Ảnh Thủ</t>
  </si>
  <si>
    <t>46651876 - D12 - NAThu - ND315 Nguyễn Ảnh Thủ 2</t>
  </si>
  <si>
    <t>46651876 - D12 - NVQua - ND315 Nguyễn Văn Quá</t>
  </si>
  <si>
    <t>46651876 - D12 - PVHum - ND315 Phan Văn Hùm</t>
  </si>
  <si>
    <t>46651876 - D12 - TL27 - ND315 TL27</t>
  </si>
  <si>
    <t>46651876 - D1 - DTHoang - ND315 Đinh Tiên Hoàng</t>
  </si>
  <si>
    <t>46651876 - D3 - TQThao - ND315 Trần Quốc Thảo</t>
  </si>
  <si>
    <t>46651876 - D4 - HDieu - ND315 Hoàng Diệu</t>
  </si>
  <si>
    <t>46651876 - D5 - HTLOng - ND315 Hải Thượng Lãn Ông</t>
  </si>
  <si>
    <t>46651876 - D6 - HGiang - ND315 Hậu Giang</t>
  </si>
  <si>
    <t>46651876 - D6 - NVLuong - ND315 Nguyễn Văn Luông</t>
  </si>
  <si>
    <t>46651876 - D7 - HTPhat - ND315 1184 Huỳnh Tấn Phát</t>
  </si>
  <si>
    <t>46651876 - D7 - HTPhat - ND315 Huỳnh Tấn Phát</t>
  </si>
  <si>
    <t>46651876 - D8 - DBTrac - ND315 Dương Bá Trạc</t>
  </si>
  <si>
    <t>46651876 - D8 - PTHien - ND315 Phạm Thế Hiển</t>
  </si>
  <si>
    <t>46651876 - D9 - LVViet - ND315 Lê Văn Việt</t>
  </si>
  <si>
    <t>46651876 - D9 - LXOai - ND315 Lã Xuân Oai</t>
  </si>
  <si>
    <t>46651876 - D9 - TNPhu - ND315 Tăng Nhơn Phú</t>
  </si>
  <si>
    <t>46651876 - GVap - LQDinh - ND315 Lê Quang Định</t>
  </si>
  <si>
    <t>46651876 - GVap - NOanh - ND315 Nguyễn Oanh</t>
  </si>
  <si>
    <t>46651876 - GVap - PVChieu - ND315 Phạm Văn Chiêu</t>
  </si>
  <si>
    <t>46651876 - GVap - QTrung - ND315 Quang Trung</t>
  </si>
  <si>
    <t>46651876 - GVap - TNhat - ND315 Thống Nhất</t>
  </si>
  <si>
    <t>46651876 - HMon - DTVinh - ND315 Đặng Thúc Vịnh</t>
  </si>
  <si>
    <t>46651876 - HMon - LTHa - ND315 Lê Thị Hà</t>
  </si>
  <si>
    <t>46651876 - HMon - LTKiet - ND315 Lý Thường Kiệt</t>
  </si>
  <si>
    <t>46651876 - HMon - PVHon - ND315 Phan Văn Hớn</t>
  </si>
  <si>
    <t>46651876 - HMon - TKy - ND315 Tô Ký</t>
  </si>
  <si>
    <t>46651876 - NBe - HTPhat - ND315 Huỳnh Tấn Phát</t>
  </si>
  <si>
    <t>46651876 - NBe - LVLuong - ND315 Lê Văn Lương</t>
  </si>
  <si>
    <t>46651876 - PNhuan - LVSy - ND315 Lê Văn Sỹ</t>
  </si>
  <si>
    <t>46651876 - PNhuan - PDLuu - ND315 Phan Đăng Lưu</t>
  </si>
  <si>
    <t>46651876 - TBinh - CMT8 - ND315 CMT8</t>
  </si>
  <si>
    <t>46651876 - TBinh - DDen - ND315 Đồng Đen</t>
  </si>
  <si>
    <t>46651876 - TBinh - LLQuan - ND315 Lạc Long Quân</t>
  </si>
  <si>
    <t>46651876 - TBinh - NTNho - ND315 Nguyễn Thị Nhỏ</t>
  </si>
  <si>
    <t>46651876 - TBinh - PHIch - ND315 Phan Huy Ích</t>
  </si>
  <si>
    <t>46651876 - TBinh - TChinh - ND315 Trường Chinh</t>
  </si>
  <si>
    <t>46651876 - TDuc - HBinh - ND315 Hiệp Bình</t>
  </si>
  <si>
    <t>46651876 - TDuc - KVCan - ND315 Kha Vạn Cân</t>
  </si>
  <si>
    <t>21361 - BChanh - QL50 - TM315 QL50</t>
  </si>
  <si>
    <t>21361 - BTan - LVQuoi - LK315 Lê Văn Quới</t>
  </si>
  <si>
    <t>21361 - D10 - THThanh - TM315 Tô Hiến Thành</t>
  </si>
  <si>
    <t>21361 - D12 - NAThu - LK315 Nguyễn Ảnh Thủ</t>
  </si>
  <si>
    <t>21361 - D12 - NVQua - TM315 Nguyễn Văn Quá</t>
  </si>
  <si>
    <t>21361 - D7 - HTPhat - TM315 Huỳnh Tấn Phát</t>
  </si>
  <si>
    <t>21361 - D9 - LVViet - TM315 Lê Văn Việt</t>
  </si>
  <si>
    <t>21361 - GVap - LDTho - TM315 Lê Đức Thọ</t>
  </si>
  <si>
    <t>21361 - HMon - PVHon - LK315 Phan Văn Hớn</t>
  </si>
  <si>
    <t>20210 - D3 - VVTan - Charis Healthcare Clinic</t>
  </si>
  <si>
    <t>F - P - DC101573 Lưu Nguyễn Bảo Long</t>
  </si>
  <si>
    <t>43828275 - BChanh - 9 - Bệnh Viện Đa Khoa Nam Sài Gòn</t>
  </si>
  <si>
    <t>41011572 - D11 - TKhai - Medilab</t>
  </si>
  <si>
    <t>46672702 - D11 - 5 - Bệnh viện đa khoa Lãnh Binh Thăng</t>
  </si>
  <si>
    <t>21666 - BThanh - D5 - Nha khoa Cửu Vân</t>
  </si>
  <si>
    <t>18771 - TAn - 1A - PKĐK Tân Khánh</t>
  </si>
  <si>
    <t>P - P - PT101589 Trần Minh Long</t>
  </si>
  <si>
    <t>17004 - TAn - NTTruc - Bs Dương Thị Kim Khuyến</t>
  </si>
  <si>
    <t>F - P - DC101216 Trần Hữu Vinh</t>
  </si>
  <si>
    <t>20873 - D11 - NCThanh - BV ĐA KHOA ISHII SÀI GÒN</t>
  </si>
  <si>
    <t>21778 - D10 - TDao - Phòng Khám Đa Khoa CARDIO</t>
  </si>
  <si>
    <t>23579 - D5 - PHuu - Bệnh viện Năm Anh</t>
  </si>
  <si>
    <t>23579 - D5 - LHPhong - BV Năm Anh</t>
  </si>
  <si>
    <t>23579 - DAn - TNhat - Bệnh Viện Đa Khoa Năm Anh</t>
  </si>
  <si>
    <t>22204 - BThanh - DBPhu - Medical Wellness International</t>
  </si>
  <si>
    <t>46647677 - BTan - 54 - BV QUỐC ÁNH</t>
  </si>
  <si>
    <t>45588247 - PNhuan - HVBanh - Bs Hồ Thị Đoan Trinh</t>
  </si>
  <si>
    <t>12811 - BThanh - DBLinh - Bệnh Viện Ngoại Khoa Sante</t>
  </si>
  <si>
    <t>23786 - D8 - BMTruc - Phòng Khám Đức Tín</t>
  </si>
  <si>
    <t>20138 - D6 - 23 - Xét nghiệm y khoa Vietmedic</t>
  </si>
  <si>
    <t>23447 - ThAn - D1 - Hộ kinh doanh Phòng khám Sản Phụ Khoa Việt Sing</t>
  </si>
  <si>
    <t>40663368 - D5 - NTrai - BV Nguyễn Tri Phương</t>
  </si>
  <si>
    <t>F - P - DC100074 Võ Văn Tân</t>
  </si>
  <si>
    <t>46648594 - D10 - SVHanh - Bệnh Viện Đa Khoa Vạn Hạnh</t>
  </si>
  <si>
    <t>F - C - DC100697 Tạ Ngọc Hiền</t>
  </si>
  <si>
    <t>18636 - ThAn - DLBDuong - Phòng khám Vĩnh Thừa</t>
  </si>
  <si>
    <t>15526 - D10 - LHPhong - Bs Hoàng Huy Nam</t>
  </si>
  <si>
    <t>18471 - D10 - LHPhong - Phòng Khám Khải Nguyên</t>
  </si>
  <si>
    <t>20699 - D10 - LHPhong - BS Đinh Thị Ngọc Hà</t>
  </si>
  <si>
    <t>21394 - D10 - LHPhong - PHÒNG KHÁM ĐA  KHOA TÂM ĐỨC PHÚ QUỐC Kokoda</t>
  </si>
  <si>
    <t>49391269 - D5 - LHPhong - Công ty TNHH MTV PKĐK TRUNG CANG</t>
  </si>
  <si>
    <t>49462397 - D10 - LHPhong - Công TNHH Phát Triển Công Nghệ Anapath</t>
  </si>
  <si>
    <t>55051486 - D10 - LHPhong - Bs Lê Chí Cường</t>
  </si>
  <si>
    <t>22931 - D9 - NXien - Trung Tâm Xét Nghiệm Y Khoa VINLAB</t>
  </si>
  <si>
    <t>23370 - D9 - V3 - CÔNG TY TNHH TRẦM HƯƠNG HEALTHCARE</t>
  </si>
  <si>
    <t>54971617 - TDuc - TL43 - PK THIỆN MỸ SÀI GÒN</t>
  </si>
  <si>
    <t>23010 - TDuc - 8 - Viện Dưỡng Lão Tâm An</t>
  </si>
  <si>
    <t>24173 - D9 - NXien - Hộ Kinh Doanh Phòng Khám Phụ Sản Gia An</t>
  </si>
  <si>
    <t>18469 - D9 - M4 - Huỳnh Khánh Phú</t>
  </si>
  <si>
    <t>23530 - TDuc - TL43 - Hộ kinh doanh Phòng Khám Sản Phụ Khoa Ngọc Lệ</t>
  </si>
  <si>
    <t>20285 - D9 - 225A - PHÒNG KHÁM CHUYÊN MÔN KHOA UNG BƯỚU HỒNG PHÚC</t>
  </si>
  <si>
    <t>21857 - TDuc - PChau - Phạm Xuân Vinh</t>
  </si>
  <si>
    <t>10532 - TDuc - PChau - Bệnh viện Thành phố Thủ Đức</t>
  </si>
  <si>
    <t>22898 - D10 - LHPhong - BV Sản Nhi Kiên Giang</t>
  </si>
  <si>
    <t>46558923 - TDuc - LVChi - Trương Bảo Anh Minh</t>
  </si>
  <si>
    <t>16509 - D9 - MThien - Nguyễn Văn Thiệu</t>
  </si>
  <si>
    <t>16509 - TDuc - QL1K - Nguyễn Văn Thiệu</t>
  </si>
  <si>
    <t>15298 - D3 - LVSy - Nha Khoa Saint Paul</t>
  </si>
  <si>
    <t>F - P - DC101506 Vũ Tiến Đạt</t>
  </si>
  <si>
    <t>10188 - D3 - NThong - BỆNH VIỆN DA LIỄU</t>
  </si>
  <si>
    <t>40663379 - D3 - PNThach - Phòng khám 2 thuộc Viện Tim Thành Phố Hồ Chí Minh</t>
  </si>
  <si>
    <t>14255 - D1 - SNAnh - Ruco international clinic</t>
  </si>
  <si>
    <t>F - D - DC101809 Lâm Sơn Tuấn</t>
  </si>
  <si>
    <t>50873452 - D3 - NDChieu - PHÒNG KHÁM ĐA KHOA AN KHANG</t>
  </si>
  <si>
    <t>21070 - D10 - TThai - Công Ty Cổ Phần Sức Khoẻ Nam Giới</t>
  </si>
  <si>
    <t>46672720 - D7 - NKGPlaza1 - Phòng khám đa khoa Singapore Indochina Healthcare Group</t>
  </si>
  <si>
    <t>21832 - D10 - CThang - Phòng Khám Thẩm Mỹ Dr Đắc Quang</t>
  </si>
  <si>
    <t>F - P - DC100620 Trương Mạnh Đạt</t>
  </si>
  <si>
    <t>23783 - D10 - HDKhuong - Phòng Khám Vietcare</t>
  </si>
  <si>
    <t>18564 - D1 - NTrai - PHÒNG KHÁM ĐA KHOA IVY HEALTH</t>
  </si>
  <si>
    <t>50212185 - BTan - 11A - BS Đặng Thị Tuyết Nga</t>
  </si>
  <si>
    <t>23816 - BCat - DT744 - Công ty TNHH MTV Bệnh Viện Đa Khoa Sài Gòn An Tây</t>
  </si>
  <si>
    <t>12527 - PNhuan - NVTroi - Viện Y Học Dân Tộc</t>
  </si>
  <si>
    <t>P - C - PT101574 Lê Hoàng Anh Duy</t>
  </si>
  <si>
    <t>BRA - D007</t>
  </si>
  <si>
    <t>P - P - PT101708 Nguyễn Trương Khánh Hiệp</t>
  </si>
  <si>
    <t>F - P - DC101648 Nguyễn Tấn Phát</t>
  </si>
  <si>
    <t>P - C - PT101275 Phan Thanh Phương</t>
  </si>
  <si>
    <t>P - P - PT101084 Châu Quốc Bảo</t>
  </si>
  <si>
    <t>P - P - PT101278 Phan Thanh Nhật</t>
  </si>
  <si>
    <t>P - P - PT101125 Lưu Minh</t>
  </si>
  <si>
    <t>P - P - PT101057 Phan Trọng Phiếm</t>
  </si>
  <si>
    <t>BRA - D005</t>
  </si>
  <si>
    <t>P - P - PT101530 Trương Công Hồ</t>
  </si>
  <si>
    <t>24048 - D10 - HDKhuong - Nha Khoa Wilson Dentistry</t>
  </si>
  <si>
    <t>46648617 - D10 - 3/2 - Thẩm Mỹ Viện AZ Nose</t>
  </si>
  <si>
    <t>15576 - ThAn - NVTiet - Nguyễn Trọng Cường</t>
  </si>
  <si>
    <t>20475 - ThAn - NVTiet - Nguyễn Châu Duyên</t>
  </si>
  <si>
    <t>52394773 - HMon - PVHon - Nguyễn Châu Như Hằng</t>
  </si>
  <si>
    <t>10675 - D10 - CThang - PHÒNG KHÁM DRIP HYDRATION</t>
  </si>
  <si>
    <t>12592 - D10 - DQTrung - Đại Học Y Phạm Ngọc Thạch</t>
  </si>
  <si>
    <t>22406 - GVap - QTrung - BMS HEALTHCARE</t>
  </si>
  <si>
    <t>20084 - D8 - PHung - Nguyễn Hữu Tín</t>
  </si>
  <si>
    <t>46574647 - D5 - ABinh - Nguyễn Thị Tuyết Lan</t>
  </si>
  <si>
    <t>20970 - BTan - TLua - Nha Khoa Tâm Đức Smile</t>
  </si>
  <si>
    <t>22345 - BTan - BTDong - Bs Thái Kim Ngân</t>
  </si>
  <si>
    <t>40935110 - BTan - 17A - City International Hospital - Cih</t>
  </si>
  <si>
    <t>22062 - D10 - 3/2 - Thẩm mỹ Madrid</t>
  </si>
  <si>
    <t>15573 - ThAn - PDPhung - Bùi Long Thân</t>
  </si>
  <si>
    <t>16671 - ThAn - DNhi - Phòng Khám Diệu Vân</t>
  </si>
  <si>
    <t>18848 - PNhuan - PDPhung - Thẩm Mỹ CLINE CLINIC</t>
  </si>
  <si>
    <t>23365 - D3 - KDong - Nha Khoa San Dentist</t>
  </si>
  <si>
    <t>23522 - PNhuan - PDPhung - CÔNG TY CỔ PHẦN CHĂM SÓC SỨC KHOẺ DOCTOR SHI</t>
  </si>
  <si>
    <t>46512280 - D12 - TChinh - BVĐK TÂM TRÍ SÀI GÒN</t>
  </si>
  <si>
    <t>42052456 - D7 - NLBang - FRANCO-VIETNAMESE</t>
  </si>
  <si>
    <t>12725 - D5 - ABinh - Huỳnh Hà Duyên</t>
  </si>
  <si>
    <t>24081 - D5 - ABinh - Bs Dương Hoàng Trung Kiên</t>
  </si>
  <si>
    <t>53194104 - D5 - THDao - BV Chấn Thương Chỉnh Hình</t>
  </si>
  <si>
    <t>55024997 - D8 - CLo - BV Quận 8</t>
  </si>
  <si>
    <t>55434665 - D5 - NCThanh - BS Vũ Hoàng</t>
  </si>
  <si>
    <t>20647 - D6 - CLon - Nguyễn Ngọc Thành Đạt</t>
  </si>
  <si>
    <t>46647673 - BTan - 17A - BV Gia An 115</t>
  </si>
  <si>
    <t>52784757 - BTan - 25A - BS Nguyễn Thị Thu Hà (BV Chợ Rẫy)</t>
  </si>
  <si>
    <t>14357 - D1 - DTHoang - PK Thẩm mỹ C.C</t>
  </si>
  <si>
    <t>21480 - D1 - NVThu - Meijibio Clinic</t>
  </si>
  <si>
    <t>11726 - MTho - HVuong - Bệnh Viện Phụ Sản Tiền Giang</t>
  </si>
  <si>
    <t>F - P - DC100688 Nguyễn Minh Trung</t>
  </si>
  <si>
    <t>50811083 - DAn - PBChau - Phòng Khám Sản Phụ Khoa Kim Liên</t>
  </si>
  <si>
    <t>52476722 - HMon - BTrieu - Phòng Khám Chuyên Khoa Song Quân</t>
  </si>
  <si>
    <t>51578979 - DAn - LTKiet - PHÒNG KHÁM THẢO KHÁNH</t>
  </si>
  <si>
    <t>20222 - GVap - NOanh - Nha Khoa HAN</t>
  </si>
  <si>
    <t>12101 - TDuc - PChau - Nguyễn Ngọc Hà</t>
  </si>
  <si>
    <t>40663410 - D11 - OIKhiem - Đinh Thị Vân Khanh</t>
  </si>
  <si>
    <t>20198 - TBinh - PVHai - ThS.BS Lâm Quang An</t>
  </si>
  <si>
    <t>23503 - TBinh - NTBinh - Lê Thị Hoàng Uyên (PKSPK Hoàng Uyên)</t>
  </si>
  <si>
    <t>21583 - TDuc - PChau - Trần Minh Châu</t>
  </si>
  <si>
    <t>21065 - D7 - 40 - Phòng khám Dr Lê Na</t>
  </si>
  <si>
    <t>23307 - D7 - 65 - Phòng khám Pro Skin</t>
  </si>
  <si>
    <t>24120 - D7 - DS17 - Phòng Khám Sản Phụ Khoa Trần Kim Loan</t>
  </si>
  <si>
    <t>10441 - D5 - NVDung - PHÒNG KHÁM ĐA KHOA SÀI GÒN MEKÔNG- NHÀ THUỐC SÀI GÒN MEKÔNG</t>
  </si>
  <si>
    <t>18106 - D5 - NGTu - Phòng Khám Đa Khoa Sài Gòn - Phú Quốc</t>
  </si>
  <si>
    <t>20172 - D5 - NTrai - BS Hồ Phi Nhạn</t>
  </si>
  <si>
    <t>23250 - D5 - THDao - Công ty TNHH Y Khoa và Thẩm Mỹ Tuấn Linh</t>
  </si>
  <si>
    <t>23713 - D8 - TQBuu - PK Bình An</t>
  </si>
  <si>
    <t>44677545 - D5 - HBang - Bệnh Viện Đại Học Y Dược</t>
  </si>
  <si>
    <t>48915051 - D8 - CLo - Nguyễn Thị Sinh</t>
  </si>
  <si>
    <t>21531 - D6 - 8 - Phòng Khám M for M</t>
  </si>
  <si>
    <t>24274 - D6 - LQSung - CÔNG TY TNHH DOANH NGHIỆP XÃ HỘI PHÚC KHẢI HY</t>
  </si>
  <si>
    <t>15413 - PNhuan - PDPhung - Nha Khoa Việt Pháp</t>
  </si>
  <si>
    <t>46648909 - PNhuan - THLieu - CÔNG TY TNHH BỆNH VIỆN ĐA KHOA TƯ NHÂN AN SINH</t>
  </si>
  <si>
    <t>17931 - D10 - HBKien - THUỶ NHI - CREDIT</t>
  </si>
  <si>
    <t>20219 - D10 - TThai - Phòng khám Phụ khoa She Clinic</t>
  </si>
  <si>
    <t>21392 - D3 - BDPhu - Trung tâm y khoa Sài Gòn (SaiGon Medic)</t>
  </si>
  <si>
    <t>22327 - MTho - HVuong - Trung Tâm Y Tế Thành Phố Mỹ Tho</t>
  </si>
  <si>
    <t>23376 - GVap - NOanh - Hộ kinh doanh Phòng khám Răng Hàm Mặt Sài Gòn Chi nhánh Gò Vấp</t>
  </si>
  <si>
    <t>20864 - VTau - TCDinh - PK Sài Gòn KIDS AND MOM</t>
  </si>
  <si>
    <t>F - P - DC101474 Nguyễn Đình Tú Trâm</t>
  </si>
  <si>
    <t>22168 - VTau - TCDinh - Phòng khám Sản_Nhi Sài Gòn Kids and Mom</t>
  </si>
  <si>
    <t>24229 - HMon - PTGiay - Hộ Kinh Doanh Phòng Khám Chuyên Khoa Nội Việt Long</t>
  </si>
  <si>
    <t>10213 - D3 - NKKNghia - BV Y Học Cổ Truyền</t>
  </si>
  <si>
    <t>16636 - ThAn - Ntrai - Phòng Khám Phượng Hoa</t>
  </si>
  <si>
    <t>23245 - D10 - NTao - CÔNG TY CỔ PHẦN Y KHOA THIÊN ÂN TÁNH LINH</t>
  </si>
  <si>
    <t>17236 - PNhuan - HVHue - Phòng Khám BS CKII HỒ VÂN PHÚC</t>
  </si>
  <si>
    <t>21709 - PNhuan - NTTuyen - Anh Mỹ Clinic</t>
  </si>
  <si>
    <t>20871 - D10 - TThai - Nguyễn Huỳnh Phương Thùy</t>
  </si>
  <si>
    <t>20933 - TBinh - A4 - Phòng khám Răng Hàm Mặt Sài Gòn</t>
  </si>
  <si>
    <t>44336824 - D10 - BMa - Phòng khám Nhi khoa Sunshine</t>
  </si>
  <si>
    <t>46647681 - BChanh - VTChi - BỆNH VIỆN NHI ĐỒNG THÀNH PHỐ</t>
  </si>
  <si>
    <t>17144 - TDuc - KVCan - Nha Khoa Quốc Tế BIK</t>
  </si>
  <si>
    <t>21580 - TDuc - PChau - Lê Thị Thúy Ngọc</t>
  </si>
  <si>
    <t>18513 - D7 - HVThai - CHI NHÁNH CÔNG TY TNHH DYM MEDICAL CENTER VIỆT NAM TẠI THÀNH PHỐ HỒ CHÍ MINH</t>
  </si>
  <si>
    <t>18714 - D7 - DS21 - Trần Minh Hoàng</t>
  </si>
  <si>
    <t>21337 - D7 - NKHGia - AMWELL HEALTH CENTER</t>
  </si>
  <si>
    <t>46511528 - D7 - LVLuong - Công ty TNHH Bệnh viện Đa Khoa Quốc Tế Sài Gòn</t>
  </si>
  <si>
    <t>13861 - GVap - 21 - BS. PHAN THỊ TUYẾT MAI</t>
  </si>
  <si>
    <t>55434665 - GVap - PVChieu -  BS Vũ Hoàng</t>
  </si>
  <si>
    <t>22735 - TBinh - NDThuan - Phòng khám chuyên khoa Y Đức</t>
  </si>
  <si>
    <t>24295 - D8 - BDinh - Võ Văn Non</t>
  </si>
  <si>
    <t>46574671 - D5 - NGTu - BV Đức Khang</t>
  </si>
  <si>
    <t>53407684 - D8 - ADLan - Bệnh Viện Phục Hồi Chức Năng - Điều Trị Bệnh Nghề Nghiệp</t>
  </si>
  <si>
    <t>55127363 - D8 - ADLan - Bs Nguyễn Văn Nhiệm</t>
  </si>
  <si>
    <t>15069 - BThanh - NTLong - Bệnh viện Đa Khoa Gia Định</t>
  </si>
  <si>
    <t>55423953 - D1 - LDuan - US Consulate General HCMC</t>
  </si>
  <si>
    <t>22303 - D3 - DBPhu - PHÒNG KHÁM ĐA KHOA VIETMEDI</t>
  </si>
  <si>
    <t>11395 - MTho - HVuong - PKDK Dân An</t>
  </si>
  <si>
    <t>16114 - MTho - TKHuan - BVĐK Anh Đức</t>
  </si>
  <si>
    <t>20678 - ThAn - NVTiet - PK Sản Phụ Khoa Family</t>
  </si>
  <si>
    <t>23139 - ThAn - LThieu - Ds Nguyễn Thị Mai</t>
  </si>
  <si>
    <t>21247 - DAn - DT743 - Từ Thị Ngân Hà</t>
  </si>
  <si>
    <t>21478 - BRia - NTDang - Phòng xét nghiệm Y Khoa Phan Dạ Thúy</t>
  </si>
  <si>
    <t>46511646 - D3 - TDinh - Phòng Khám Đa Khoa Vigor</t>
  </si>
  <si>
    <t>18342 - HMon - NTSau - Phòng Khám Đa Khoa Sài Gòn - Quang Huy</t>
  </si>
  <si>
    <t>23466 - MTho - NMDuong - Phòng Xét Nghiệm Y Khoa Lê Nguyễn</t>
  </si>
  <si>
    <t>24135 - D7 - HTPhat - SẢN PHỤ KHOA AN PHÚC</t>
  </si>
  <si>
    <t>24153 - D7 - D79 - BS Đinh Bá Phong</t>
  </si>
  <si>
    <t>23393 - D11 - CCNHan - Phòng khám Phúc Ngọc</t>
  </si>
  <si>
    <t>22235 - TBinh - LVSy - PK Sức Sống Việt</t>
  </si>
  <si>
    <t>50157851 - BTan - HL2 - BS Nguyễn Lan Phương</t>
  </si>
  <si>
    <t>21381 - D3 - NTThuat - Phòng Khám Sản Phụ Khoa Bác Sĩ Đăng Hà</t>
  </si>
  <si>
    <t>21420 - D7 - DS17 - PK Trần Kim Loan</t>
  </si>
  <si>
    <t>16224 - BTan - HL2 - Bs K’ Juys</t>
  </si>
  <si>
    <t>23941 - NBe - LVLuong - PK Tinh Tú</t>
  </si>
  <si>
    <t>16203 - BThanh - TBTrong - Bs Mai Ngọc Phượng</t>
  </si>
  <si>
    <t>21075 - BThanh - HHTham - Phòng Khám BS CKII Nguyễn Thạc Văn (GM)</t>
  </si>
  <si>
    <t>46648914 - PNhuan - NVDau - Bs Cảnh Lâm</t>
  </si>
  <si>
    <t>23976 - D1 - LLTon - CÔNG TY TNHH PHÒNG KHÁM MEDARMOR</t>
  </si>
  <si>
    <t>10441 - D6 - CXPLam - PHÒNG KHÁM ĐA KHOA SÀI GÒN MEKÔNG- NHÀ THUỐC SÀI GÒN MEKÔNG</t>
  </si>
  <si>
    <t>22666 - MTho - LTHGam - Xét nghiệm y khoa Thuận Thành</t>
  </si>
  <si>
    <t>23463 - GVap - 6 - Phòng khám Thẩm Mỹ Quốc tế KOKO</t>
  </si>
  <si>
    <t>17347 - CChi - NVHoai - Bệnh Viện Đa Khoa Khu Vực Củ Chi</t>
  </si>
  <si>
    <t>46672227 - D7 - CTPhat - Phòng khám đa khoa Nhân Đức 2</t>
  </si>
  <si>
    <t>24005 - HMon - LTHa - CÔNG TY TNHH IVF ÂU CƠ</t>
  </si>
  <si>
    <t>40664066 - D3 - DBPhu - Raffles Medical HCM</t>
  </si>
  <si>
    <t>46539529 - D3 - NTMKhai - Phòng khám Đa Khoa Minh Khai</t>
  </si>
  <si>
    <t>44297333 - BThanh - DBPhu - Bs Nguyễn Thị Ngọc Trang</t>
  </si>
  <si>
    <t>14804 - D8 - BMTruc - BS. LÊ ANH THƯ</t>
  </si>
  <si>
    <t>22323 - D9 - LVViet - Hệ Thống Friend Medical Clinic</t>
  </si>
  <si>
    <t>16468 - D1 - CQuynh - Nha khoa 3C</t>
  </si>
  <si>
    <t>40935544 - TBinh - THai - PHÒNG KHÁM CAREPLUS TÂN BÌNH</t>
  </si>
  <si>
    <t>17065 - D5 - TBTrong - Phòng khám Mẹ và Bé</t>
  </si>
  <si>
    <t>23850 - D10 - HLinh - Phòng khám Da liễu SCAR CENTER</t>
  </si>
  <si>
    <t>23287 - TDuc - KVCan - Phòng Khám Bác Sỹ Em Bé</t>
  </si>
  <si>
    <t>11601 - D7 - NLBang - CTY TNHH NGÂN HÀNG MÔ CRYOVIVA</t>
  </si>
  <si>
    <t>16469 - D7 - HPhuoc - Phòng khám đa khoa SNUH Barun</t>
  </si>
  <si>
    <t>17019 - D7 - HHTap - Chamsarang Clinic</t>
  </si>
  <si>
    <t>23618 - NBe - HTPhat - Phòng Khám Đa Khoa Tâm An</t>
  </si>
  <si>
    <t>50357591 - D7 - NLBang - Nha Khoa Champion</t>
  </si>
  <si>
    <t>20291 - D5 - LHPhong - Công Ty Cổ Phần Bệnh Viện Quốc Tế Link</t>
  </si>
  <si>
    <t>23580 - BTan - TTao - BS Lưu Hồng Vân</t>
  </si>
  <si>
    <t>45795193 - TBinh - NTBinh - BS Nguyễn Thị Mỹ Phượng</t>
  </si>
  <si>
    <t>46647969 - BTan - QL1A - Phòng khám đa khoa Vạn Phước</t>
  </si>
  <si>
    <t>23812 - PNhuan - CLao - Dương Xuân Lực</t>
  </si>
  <si>
    <t>23605 - BThanh - TTKim - PK Dr Care Implant Clinic</t>
  </si>
  <si>
    <t>22848 - CRang - 1 - Trung tâm Y khoa Vạn Hạnh Cần Thơ</t>
  </si>
  <si>
    <t>3PL - D030 - THB</t>
  </si>
  <si>
    <t>F - P - DC100043 Lê Huỳnh Hồng Huệ</t>
  </si>
  <si>
    <t>23709 - D4 - BVDon - BS Dương Ngọc Quỳnh Như</t>
  </si>
  <si>
    <t>49382388 - D4 - BVDon - BS Nguyễn Huỳnh Vân Anh</t>
  </si>
  <si>
    <t>23991 - ThAn - VPhu4 - An Gia Clinic</t>
  </si>
  <si>
    <t>40664042 - D3 - TQDieu - PK Bình An Hưng</t>
  </si>
  <si>
    <t>24005 - D5 - KHoa - CÔNG TY TNHH IVF ÂU CƠ</t>
  </si>
  <si>
    <t>12069 - GVap - NVKhoi - Bs Đậu Thị Linh</t>
  </si>
  <si>
    <t>17574 - HMon - TDong - Trần Tấn Việt</t>
  </si>
  <si>
    <t>41980003 - D7 - 16 - CÔNG TY TNHH PHÒNG KHÁM LIÊN CHUYÊN KHOA  LIANS MMC</t>
  </si>
  <si>
    <t>15526 - D5 - ADVuong - Bs Hoàng Huy Nam</t>
  </si>
  <si>
    <t>17261 - TDuc - LTHoa - Bs. Trịnh Thị Bích Liên</t>
  </si>
  <si>
    <t>21430 - D7 - NKMT2 - CTY TNHH CAO PHÚC MEDIC</t>
  </si>
  <si>
    <t>55025008 - GVap - QTrung - BV Gò Vấp</t>
  </si>
  <si>
    <t>23239 - BThanh - DBLinh - PKDK Quốc Tế Sài Gòn Medic (Cường Ny)</t>
  </si>
  <si>
    <t>21296 - D1 - Pasteur - Phòng khám đa khoa Reviv</t>
  </si>
  <si>
    <t>55446898 - D1 - CQuynh - Grace Skincare Clinic B2B</t>
  </si>
  <si>
    <t>20313 - MTho - NTThap - PKDK Phước Thịnh Sài Gòn</t>
  </si>
  <si>
    <t>18705 - HMon - ATNhat - PK BS CK II Huỳnh Văn Trọng</t>
  </si>
  <si>
    <t>12882 - ThAn - DLBDuong - ECHO MEDI 1</t>
  </si>
  <si>
    <t>17825 - PNhuan - THLieu - Nha Khoa Sunleaf</t>
  </si>
  <si>
    <t>49462397 - D5 - HBang - Công TNHH Phát Triển Công Nghệ Anapath</t>
  </si>
  <si>
    <t>23978 - BThanh - DBLinh - Công ty TNHH PKĐK Tân Phúc Gia Nghĩa</t>
  </si>
  <si>
    <t>42460373 - D7 - NVLinh - Victoria Y Tế Phát Triển</t>
  </si>
  <si>
    <t>46539807 - D5 - NQuyen - Phòng Khám Trung Tâm Điều Trị Bệnh Hô Hấp Phổi Việt</t>
  </si>
  <si>
    <t>11583 - D7 - HTPhat -  BS Phan Kim Chi</t>
  </si>
  <si>
    <t>12882 - D7 - NVLinh - ECHO MEDI 1</t>
  </si>
  <si>
    <t>21428 - GVap - QTrung - BỆNH VIỆN QUẬN GÒ VẤP KSK</t>
  </si>
  <si>
    <t>23696 - BChanh - 5A - PHÒNG KHÁM SẢN PHỤ KHOA BS NGUYỄN ĐÌNH VINH</t>
  </si>
  <si>
    <t>50284507 - D1 - LTTrong - Thẩm Mỹ Viện Imperial Care</t>
  </si>
  <si>
    <t>15972 - MTho - NTThap - Phòng Khám Đa Khoa Thuỷ Tâm</t>
  </si>
  <si>
    <t>20884 - ThAn - 1 - PK EHOME 4</t>
  </si>
  <si>
    <t>23378 - ThAn - NCThanh - Bs Võ Thị Lệ</t>
  </si>
  <si>
    <t>46648548 - TBinh - BDang - BS Hồ Kỳ Thu Nguyệt</t>
  </si>
  <si>
    <t>F - P - DC101878 Lê Nhật Quang</t>
  </si>
  <si>
    <t>21606 - D8 - TQBuu - Phòng Khám Nhi Đồng Tâm An</t>
  </si>
  <si>
    <t>17351 - HMon - DTVinh - Lê Đức Cường</t>
  </si>
  <si>
    <t>20871 - D10 - VVien - Nguyễn Huỳnh Phương Thùy</t>
  </si>
  <si>
    <t>20419 - TBinh - CHoa - Phòng khám Tanimed Star</t>
  </si>
  <si>
    <t>17065 - BTan - DS47 - Phòng khám Mẹ và Bé</t>
  </si>
  <si>
    <t>23689 - TDuc - PVDong - Phòng Khám Sản Phụ Khoa Hoàng An</t>
  </si>
  <si>
    <t>46557382 - D9 - NVTang - Công ty Cổ phần Bệnh viện đa khoa Bắc Mỹ</t>
  </si>
  <si>
    <t>12434 - D7 - 6 - Phòng khám Bầu Bí</t>
  </si>
  <si>
    <t>40934998 - D7 - DDThuat - Family Medical Practice</t>
  </si>
  <si>
    <t>46648063 - GVap - TNhat - BV Hồng Đức</t>
  </si>
  <si>
    <t>51000556 - D12 - HDac - BS. NGUYỄN TRI LỘC</t>
  </si>
  <si>
    <t>23762 - D5 - Hồng Bàng - Nguyễn Thanh Thảo Nguyên</t>
  </si>
  <si>
    <t>22902 - MTho - NTThap -  Bệnh Viện Quân Y 120</t>
  </si>
  <si>
    <t>12626 - D12 - NAThu - PHÒNG KHÁM ĐA KHOA Y DƯỢC HỒNG PHÚC</t>
  </si>
  <si>
    <t>52354008 - DAn - NPSac - Bs.Lê Thị Thu Hảo</t>
  </si>
  <si>
    <t>20906 - BThanh - TDa - LÊ QUỐC THANH</t>
  </si>
  <si>
    <t>50189156 - D1 - NKKNghia - PHÒNG KHÁM CAREPLUS QUẬN 1</t>
  </si>
  <si>
    <t>12274 - CRang - SHanh - BV ĐH NAM CẦN THƠ</t>
  </si>
  <si>
    <t>46511528 - D1 - TVCan - Công ty TNHH Bệnh viện Đa Khoa Quốc Tế Sài Gòn</t>
  </si>
  <si>
    <t>43983877 - D1 - LDuan - CÔNG TY TNHH DYM MEDICAL CENTER VIỆT NAM</t>
  </si>
  <si>
    <t>23991 - D4 - NKhoai - AN GIA CLINIC</t>
  </si>
  <si>
    <t>46512272 - ThAn - 22/12 - BV COLUMBIA ASIA BD</t>
  </si>
  <si>
    <t>46555974 - D7 - TXSoan - BV Đa Khoa Tân Hưng</t>
  </si>
  <si>
    <t>16496 - ThAn - HLan 2 - Trịnh Thị Thiện</t>
  </si>
  <si>
    <t>53028720 - HMon - PVSang - Vũ Lệ Anh</t>
  </si>
  <si>
    <t>12704 - BHoa - QL51 - PHÒNG KHÁM ĐA KHOA ÁI NGHĨA NGÃ TƯ VŨNG TÀU</t>
  </si>
  <si>
    <t>46647913 - TBinh - TTTong - Bs Nguyễn Thị Thúy</t>
  </si>
  <si>
    <t>51989426 - BHoa - XLHNoi - BỆNH VIỆN NHI ĐỒNG ĐỒNG NAI</t>
  </si>
  <si>
    <t>46558950 - TDuc - QL13 - Trần Thị Như Phương Account</t>
  </si>
  <si>
    <t>21927 - D10 - NQuyen - BS Kha Quốc Vinh</t>
  </si>
  <si>
    <t>53364046 - TDuc - QL1K - BV ĐA KHOA QUỐC TẾ HOÀN MỸ THỦ ĐỨC</t>
  </si>
  <si>
    <t>47088615 - GVap - TNhat - BS Phạm Thị Long</t>
  </si>
  <si>
    <t>53491839 - CChi - TTThuan - Bùi Hoàng Hơn</t>
  </si>
  <si>
    <t>46522720 - D12 - C34 - Medeze Medical</t>
  </si>
  <si>
    <t>46648626 - D10 - NDDuong - Phòng khám đa khoa Pháp Anh</t>
  </si>
  <si>
    <t>46557387 - D12 - NAThu - Phòng khám đa khoa Tâm Phúc</t>
  </si>
  <si>
    <t>16075 - NBe - LVLuong - Phòng khám Bình An</t>
  </si>
  <si>
    <t>17256 - NBe - D1 - OASIS DENTAL CLINIC NHA KHOA OASIS</t>
  </si>
  <si>
    <t>49239110 - NBe - NBinh - Bùi Ngọc Tân</t>
  </si>
  <si>
    <t>51000547 - D12 - TTCo - CƠ SỞ DỊCH VỤ Y TẾ TRUNG DŨNG</t>
  </si>
  <si>
    <t>46113753 - BChanh - NHTri - Trần Nguyễn Xuân Tin</t>
  </si>
  <si>
    <t>12565 - HMon - XThuong - Nguyễn Anh Duy</t>
  </si>
  <si>
    <t>20667 - ThAn - DT743 - PK ĐA KHOA BÌNH AN</t>
  </si>
  <si>
    <t>55025081 - ThAn - DT743 - BỆNH VIỆN QUÂN Y 4</t>
  </si>
  <si>
    <t>22901 - TThua - 4 - PXN Y khoa MEDIC 62</t>
  </si>
  <si>
    <t>51579663 - DAn - PHLau - Ngô Hồng Quang</t>
  </si>
  <si>
    <t>10505 - GVap - LVTho - Bs Phan Tiến Lợi</t>
  </si>
  <si>
    <t>46556084 - D9 - THoa - Lê Thị Thanh Ngọc</t>
  </si>
  <si>
    <t>20941 - TDuc - NVBa - Cao Hoàng Thanh Liêm</t>
  </si>
  <si>
    <t>11921 - NKieu - TBDang - Trung tâm chẩn đoán Y Khoa Center Lab</t>
  </si>
  <si>
    <t>22993 - ThAn - DT743 - Phòng khám Sản phụ khoa Vuông Tròn</t>
  </si>
  <si>
    <t>23429 - ThAn - DT743 -  PK SPK Thiện Nam</t>
  </si>
  <si>
    <t>21784 - TAn - CTKim - PXN An Bình</t>
  </si>
  <si>
    <t>22458 - D3 - NTMKhai - Phòng khám da liễu ALMA</t>
  </si>
  <si>
    <t>21791 - TDuc - QL1K - TRUNG TÂM CHẨN ĐOÁN Y KHOA MIỀN ĐÔNG LAB</t>
  </si>
  <si>
    <t>12466 - HMon - DCBinh - BS Phan Văn Thạnh</t>
  </si>
  <si>
    <t>23798 - D3 - NThong - BV Da Liễu Labo</t>
  </si>
  <si>
    <t>16667 - ThAn - N5 - Bs Nguyễn Thị Trà Giang</t>
  </si>
  <si>
    <t>22006 - HMon - QL22 - Nha Khoa Ngọc Dung</t>
  </si>
  <si>
    <t>20312 - TDuc - DS03 - Nguyễn Thị Cẩm Tú</t>
  </si>
  <si>
    <t>12703 - VCuu - DT768 - PHÒNG KHÁM ĐA KHOA ÁI NGHĨA THẠNH PHÚ</t>
  </si>
  <si>
    <t>20439 - D7 - LVBen - Phạm Thị Ngọc Tuyết</t>
  </si>
  <si>
    <t>23653 - CThanh - DT827 - PXN Thanh Thủy</t>
  </si>
  <si>
    <t>11974 - TDuc - PChau - Lê Anh Tuấn</t>
  </si>
  <si>
    <t>11939 - NKieu - NVCu - Đặng Thụy Thúy Hồng Bênh Viện Nhi Đồng</t>
  </si>
  <si>
    <t>23029 - D12 - NTSau - Nguyễn Duy Toàn</t>
  </si>
  <si>
    <t>11434 - NKieu - NVCu - BV QUỐC TẾ PHƯƠNG CHÂU</t>
  </si>
  <si>
    <t>20022 - MTho - NTThap - Bệnh viện đa khoa Tâm Minh Đức Tiền Giang</t>
  </si>
  <si>
    <t>46648551 - D10 - VVien - BS Hồ Thị Mỹ Bình</t>
  </si>
  <si>
    <t>20419 - TBang - QL22 - Phòng khám Tanimed Star</t>
  </si>
  <si>
    <t>15302 - D12 - TQCo - BS Nguyễn Phúc Thiện</t>
  </si>
  <si>
    <t>16152 - NKieu - NVCu - CTCP Xét Nghiệm Y Khoa Bảo Tín</t>
  </si>
  <si>
    <t>11680 - D4 - DVBo - Huỳnh Hoàng Nam</t>
  </si>
  <si>
    <t>18136 - CChi - TL8 - PK Sản Phụ Khoa Minh An Sài Gòn</t>
  </si>
  <si>
    <t>21413 - CThanh - DTTu - Nguyễn Hoàng Vũ</t>
  </si>
  <si>
    <t>23653 - CThanh - OCuong - PXN Thanh Thủy</t>
  </si>
  <si>
    <t>21803 - BLuc - PVMang - PXN Minh An</t>
  </si>
  <si>
    <t>18760 - CChi - TL7 - Huỳnh Đào Nhật Huy</t>
  </si>
  <si>
    <t>16100 - D3 - CMT8 - Trạm Y Tế F11 Q3</t>
  </si>
  <si>
    <t>51578786 - BCat - D1 - PHÒNG KHÁM ĐA KHOA TRẦN ĐỨC MINH</t>
  </si>
  <si>
    <t>52394773 - D12 - DTMuoi - Bs Nguyễn Châu Như Hằng</t>
  </si>
  <si>
    <t>40934998 - D1 - NVChiem - Family Medical Practice</t>
  </si>
  <si>
    <t>46776705 - D10 - TThai - Phòng Khám Happy Baby</t>
  </si>
  <si>
    <t>22313 - D12 - LVKhuong - Viện Thẩm Mỹ Quốc Tế Khang Anh</t>
  </si>
  <si>
    <t>16046 - ThAn - APhu - Thạch Xăm Nang</t>
  </si>
  <si>
    <t>40934998 - BThanh - NHCanh - Family Medical Practice</t>
  </si>
  <si>
    <t>51578801 - ThAn - 1 - BỆNH VIỆN ĐA KHOA VẠN PHÚC 2</t>
  </si>
  <si>
    <t>22345 - BTan - TL10 - Bs Thái Kim Ngân</t>
  </si>
  <si>
    <t>21935 - D3 - VVTan - Cty CPTMDV 4B</t>
  </si>
  <si>
    <t>12975 - BThuy - TQDieu - Bệnh viện Đa Khoa Tâm Minh Đức</t>
  </si>
  <si>
    <t>11527 - NTrach - LTTo - BS. VƯƠNG THỊ BẢY</t>
  </si>
  <si>
    <t>22676 - BChanh - 9A - Trung Tâm Xét Nghiệm Y Khoa TASS CARE</t>
  </si>
  <si>
    <t>49786215 - D4 - TTThuyet - BS Lê Văn Minh</t>
  </si>
  <si>
    <t>48921682 - BChanh - BTKhiet - Lê Thị Mỹ Duyên</t>
  </si>
  <si>
    <t>BRA - D010</t>
  </si>
  <si>
    <t>23754 - ThAn - 26 - Bs Nguyễn Thành Tâm</t>
  </si>
  <si>
    <t>52416745 - BTan - Sinco - BS Nguyễn Duy Anh Vũ</t>
  </si>
  <si>
    <t>23494 - TUyen - UHung - Bs Nguyễn Thanh Duy</t>
  </si>
  <si>
    <t>12957 - BChanh - DDCuc - Huỳnh Minh Hồng</t>
  </si>
  <si>
    <t>17771 - TUyen - UHung - Phạm Duy Tân</t>
  </si>
  <si>
    <t>22924 - NTrach - 25B - PHÒNG KHÁM ĐA KHOA ÁI NGHĨA NHƠN TRẠCH</t>
  </si>
  <si>
    <t>46557803 - HMon - LVKhuong - Phòng khám đa khoa Tiến Phước</t>
  </si>
  <si>
    <t>BRA - D033</t>
  </si>
  <si>
    <t>21555 - TDuc - 48 - Nguyễn Tú Anh</t>
  </si>
  <si>
    <t>51578930 - TUyen - DDX5 - PHÒNG KHÁM CHUYÊN KHOA NỘI - TRẦN THỊ CÚC</t>
  </si>
  <si>
    <t>22926 - LThanh - LDuan - PHÒNG KHÁM ĐA KHOA ÁI NGHĨA LONG THÀNH</t>
  </si>
  <si>
    <t>23241 - TUyen - DT746 - Phòng khám đa khoa Tường Tâm Sài Gòn</t>
  </si>
  <si>
    <t>42460373 - D1 - DTHoang - Victoria Y Tế Phát Triển</t>
  </si>
  <si>
    <t>21394 - D10 - LHPhong - PHÒNG KHÁM ĐA  KHOA TÂM ĐỨC PHÚ QUỐC</t>
  </si>
  <si>
    <t>BRA - D026</t>
  </si>
  <si>
    <t>P - P - PT101443 Nguyễn Bá Cường</t>
  </si>
  <si>
    <t>BRA - D038</t>
  </si>
  <si>
    <t>F - P - DC101271 Nguyễn Hoàng Hải</t>
  </si>
  <si>
    <t>BRA - D039</t>
  </si>
  <si>
    <t>BRA - D040</t>
  </si>
  <si>
    <t>P - P - PT101429 Hầu Lâm Minh Tuấn</t>
  </si>
  <si>
    <t>BRA - D044</t>
  </si>
  <si>
    <t>P - P - PT101265 Nguyễn Thanh Hùng</t>
  </si>
  <si>
    <t>BRA - D002</t>
  </si>
  <si>
    <t>BRA - D003</t>
  </si>
  <si>
    <t>F - P - DC100528 Bùi Đình Phát</t>
  </si>
  <si>
    <t>P - P - PT101373 Trần Thanh Thái Bảo</t>
  </si>
  <si>
    <t>F - P - DC101945 Nguyễn Thành Trung</t>
  </si>
  <si>
    <t>P - P - PT101279 Đỗ Anh Quốc</t>
  </si>
  <si>
    <t>BRA - D041</t>
  </si>
  <si>
    <t>BRA - D043</t>
  </si>
  <si>
    <t>P - P - PT101274 Lê Duy Khánh</t>
  </si>
  <si>
    <t>BRA - D047</t>
  </si>
  <si>
    <t>P - P - PT101688 Trịnh Ngọc Sơn</t>
  </si>
  <si>
    <t>BRA - D048</t>
  </si>
  <si>
    <t>BRA - D049</t>
  </si>
  <si>
    <t>BRA - D000</t>
  </si>
  <si>
    <t>49462397 - D11 - TKhai - Công TNHH Phát Triển Công Nghệ Anapath</t>
  </si>
  <si>
    <t>47171489 - TBinh - TCDinh - Bệnh viện Gaya Việt Hàn</t>
  </si>
  <si>
    <t>24278 - D2 - NCThach - CÔNG TY CP CHỐNG LÃO HOÁ DR.EYE</t>
  </si>
  <si>
    <t>17144 - D9 - LVViet - Nha Khoa Quốc Tế BIK</t>
  </si>
  <si>
    <t>24092 - PNhuan - DTDiem -  PK Xương Khớp Việt</t>
  </si>
  <si>
    <t>BRA - D051</t>
  </si>
  <si>
    <t>F - P - DC101865 Cao Hoài Đức</t>
  </si>
  <si>
    <t>46651876 - TDuc - TNVan - ND315 Tô Ngọc Vân</t>
  </si>
  <si>
    <t>46651876 - BHoa - PVThuan - ND315 Phạm Văn Thuận</t>
  </si>
  <si>
    <t>17905 - BThanh - NVThuong - Phòng khám Đa khoa Family Health</t>
  </si>
  <si>
    <t>24775 - D11 - ACo - Lyra Clinic</t>
  </si>
  <si>
    <t>23920 - D11 - ACo - Lyra Clinic</t>
  </si>
  <si>
    <t>24383 - ThAn - NCThanh - Phòng Khám Sản Phụ Khoa An Tâm</t>
  </si>
  <si>
    <t>21362 - DAn - NTrai - PS315 Nguyễn Trãi</t>
  </si>
  <si>
    <t>21362 - TD1 - LHPhong - PS315 Lê Hồng Phong</t>
  </si>
  <si>
    <t>46651876 - CChi - TL8 - ND315 45 Tỉnh Lộ 8</t>
  </si>
  <si>
    <t>46651876 - TDuc - TL43 - ND315 Tỉnh Lộ 43</t>
  </si>
  <si>
    <t>21362 - ThGiao - N9 - PS315 N9</t>
  </si>
  <si>
    <t>49304762 - TAn - TL827 - Bệnh Viện Sản Nhi Long An</t>
  </si>
  <si>
    <t>24765 - BHoa - QL1A - BV Đa khoa Thống Nhất Đồng Nai khoa Huyết Học</t>
  </si>
  <si>
    <t>24036 - TDuc - PChau - BVDK Thủ Đức Khoa huyết học</t>
  </si>
  <si>
    <t>24764 - BHoa - QL1A - BV Đa khoa Thống Nhất Đồng Nai khoa Hóa Sinh</t>
  </si>
  <si>
    <t>F - P - DC101691 Phan Thanh Nghĩa</t>
  </si>
  <si>
    <t>BRA - D028</t>
  </si>
  <si>
    <t>21362 - TDuc - KVCan - PS315 557 Kha Vạn Cân</t>
  </si>
  <si>
    <t>11680 - D6 - HGiang - Huỳnh Hoàng Nam</t>
  </si>
  <si>
    <t>46651876 - DAn - NANinh - ND315 Nguyễn An Ninh</t>
  </si>
  <si>
    <t>51989416 - BHoa - QL1A - BV Đa Khoa Thống Nhất Đồng Nai</t>
  </si>
  <si>
    <t>24844 - D7 - NLBang - CÔNG TY TNHH PHÒNG KHÁM ĐK FUTURE CLINIC Nguyễn Lương Bằng</t>
  </si>
  <si>
    <t>46651876 - ThAn - CMT8 - ND315 CMT8</t>
  </si>
  <si>
    <t>54404027 - BHoa - PDPhung - Trung tâm kiểm soát bệnh tật Đồng Nai CS3</t>
  </si>
  <si>
    <t>P - P - PT101705 Lê Ngọc Anh Tú</t>
  </si>
  <si>
    <t>psc-tinh</t>
  </si>
  <si>
    <t>3pl</t>
  </si>
  <si>
    <t>3pl_uuid</t>
  </si>
  <si>
    <t>address</t>
  </si>
  <si>
    <t>BRA - D023</t>
  </si>
  <si>
    <t>3PL - HOM1 - Q1</t>
  </si>
  <si>
    <t>3PL - HOM2 - Q5</t>
  </si>
  <si>
    <t>3PL - TOT1 - Q1</t>
  </si>
  <si>
    <t>3PL - TOT3 - Q5</t>
  </si>
  <si>
    <t>BRA - D021</t>
  </si>
  <si>
    <t>3PL - TLT</t>
  </si>
  <si>
    <t>BRA - D030</t>
  </si>
  <si>
    <t>3PL - THB</t>
  </si>
  <si>
    <t>BRA - D036</t>
  </si>
  <si>
    <t>1980698793628880414:XXMGIAegigeHesHcPUQpIcnMCwhigvPUATFrPyRHiqIZqTwmvWiXbUzfDhivxPcl</t>
  </si>
  <si>
    <t>F - P - DC101795 Hoàng Quốc Huy</t>
  </si>
  <si>
    <t>F - C - DC Nguyễn Tấn Duy</t>
  </si>
  <si>
    <t>22842 - D7 - TPhu - Phòng Khám Sản Phụ Khoa - Hiếm Muộn DBN</t>
  </si>
  <si>
    <t>P - C - PT101558 Lưu Văn Hoà</t>
  </si>
  <si>
    <t>F - C - DC101600 Doãn Bá Hiên</t>
  </si>
  <si>
    <t>P - P - PT101695 Nguyễn Minh Đạt</t>
  </si>
  <si>
    <t>46555971 - ThAn - DLBDuong - BỆNH VIỆN QUỐC TẾ HẠNH PHÚC</t>
  </si>
  <si>
    <t>P - P - PT101061 Vương Đình Minh Quang</t>
  </si>
  <si>
    <t>BRA - D035</t>
  </si>
  <si>
    <t>BRA - D032</t>
  </si>
  <si>
    <t>BRA - D029</t>
  </si>
  <si>
    <t>BRA - D027</t>
  </si>
  <si>
    <t>BRA - D020</t>
  </si>
  <si>
    <t>BRA - D019</t>
  </si>
  <si>
    <t>BRA - D018</t>
  </si>
  <si>
    <t>BRA - D017</t>
  </si>
  <si>
    <t>BRA - D016</t>
  </si>
  <si>
    <t>BRA - D015</t>
  </si>
  <si>
    <t>BRA - D014</t>
  </si>
  <si>
    <t>BRA - D011</t>
  </si>
  <si>
    <t>BRA - D006</t>
  </si>
  <si>
    <t>BRA - D004</t>
  </si>
  <si>
    <t>BRA - D009</t>
  </si>
  <si>
    <t>BRA - D022</t>
  </si>
  <si>
    <t>BRA - D037</t>
  </si>
  <si>
    <t>BRA - D042</t>
  </si>
  <si>
    <t>BRA - D045</t>
  </si>
  <si>
    <t>BRA - D046</t>
  </si>
  <si>
    <t>BRA - D050</t>
  </si>
  <si>
    <t>psc_pickup</t>
  </si>
  <si>
    <t>dropoff_location</t>
  </si>
  <si>
    <t>pickup</t>
  </si>
  <si>
    <t>dropoff</t>
  </si>
  <si>
    <t>ref_number</t>
  </si>
  <si>
    <t>lat</t>
  </si>
  <si>
    <t>long</t>
  </si>
  <si>
    <t>BRA - D001</t>
  </si>
  <si>
    <t>D001▶️D001</t>
  </si>
  <si>
    <t>D002▶️D001</t>
  </si>
  <si>
    <t>D003▶️D001</t>
  </si>
  <si>
    <t>D004▶️D001</t>
  </si>
  <si>
    <t>D005▶️D001</t>
  </si>
  <si>
    <t>D006▶️D001</t>
  </si>
  <si>
    <t>D007▶️D001</t>
  </si>
  <si>
    <t>D009▶️D001</t>
  </si>
  <si>
    <t>D010▶️D001</t>
  </si>
  <si>
    <t>D011▶️D001</t>
  </si>
  <si>
    <t>D014▶️D007</t>
  </si>
  <si>
    <t>D015▶️D004</t>
  </si>
  <si>
    <t>D016▶️D007</t>
  </si>
  <si>
    <t>D017▶️D001</t>
  </si>
  <si>
    <t>D018▶️D001</t>
  </si>
  <si>
    <t>D019▶️D001</t>
  </si>
  <si>
    <t>D020▶️D001</t>
  </si>
  <si>
    <t>3PL - D021 - TLT</t>
  </si>
  <si>
    <t>D021▶️3PL</t>
  </si>
  <si>
    <t>D022▶️D001</t>
  </si>
  <si>
    <t>3PL - D023 - TOT</t>
  </si>
  <si>
    <t>D023▶️3PL</t>
  </si>
  <si>
    <t>D026▶️D001</t>
  </si>
  <si>
    <t>D027▶️D001</t>
  </si>
  <si>
    <t>D028▶️D009</t>
  </si>
  <si>
    <t>D029▶️D001</t>
  </si>
  <si>
    <t>D036▶️D001</t>
  </si>
  <si>
    <t>D033▶️D009</t>
  </si>
  <si>
    <t>D035▶️D001</t>
  </si>
  <si>
    <t>3PL - D036 - TLT</t>
  </si>
  <si>
    <t>D036▶️3PL</t>
  </si>
  <si>
    <t>D037▶️D001</t>
  </si>
  <si>
    <t>D038▶️D001</t>
  </si>
  <si>
    <t>D039▶️D001</t>
  </si>
  <si>
    <t>D040▶️D001</t>
  </si>
  <si>
    <t>D041▶️D001</t>
  </si>
  <si>
    <t>D042▶️D001</t>
  </si>
  <si>
    <t>D043▶️D001</t>
  </si>
  <si>
    <t>D044▶️D001</t>
  </si>
  <si>
    <t>D045▶️D001</t>
  </si>
  <si>
    <t>D046▶️D001</t>
  </si>
  <si>
    <t>D047▶️D001</t>
  </si>
  <si>
    <t>D048▶️D001</t>
  </si>
  <si>
    <t>D049▶️D001</t>
  </si>
  <si>
    <t>D050▶️D001</t>
  </si>
  <si>
    <t>D051▶️D001</t>
  </si>
  <si>
    <t>D000▶️D001</t>
  </si>
  <si>
    <t>customer_name</t>
  </si>
  <si>
    <t>address_line_1</t>
  </si>
  <si>
    <t>new_ward</t>
  </si>
  <si>
    <t>dropoff_id</t>
  </si>
  <si>
    <t>eta</t>
  </si>
  <si>
    <t>export_status</t>
  </si>
  <si>
    <t>nearest_dropoff</t>
  </si>
  <si>
    <t>lng</t>
  </si>
  <si>
    <t>- TBinh - Bs Ngô Phương Minh Thuận</t>
  </si>
  <si>
    <t>b365896e-c1b8-11f0-b111-506b8d982279</t>
  </si>
  <si>
    <t>PHÒNG KHÁM TIÊU HOÁ NỘI SOI 474, Đường Trường Chinh, Phường Tân Bình, Tân Bình, Ho Chi Minh City</t>
  </si>
  <si>
    <t>Tân Bình</t>
  </si>
  <si>
    <t>exported 2026-04-18</t>
  </si>
  <si>
    <t>5298af74-d7e0-11f0-adc3-506b8d982279</t>
  </si>
  <si>
    <t>138a Đường số 79, Tân Quy, Quận 7, Thành phố Hồ Chí Minh</t>
  </si>
  <si>
    <t>Tân Hưng</t>
  </si>
  <si>
    <t>c07bc96a-3d81-11ed-989f-506b8dbc8dfb</t>
  </si>
  <si>
    <t>2901130e-0270-11f0-a92e-506b8d9879b5</t>
  </si>
  <si>
    <t>59 Trần Quang Diệu, Phường 12, Quận 3, Hồ Chí Minh 70000</t>
  </si>
  <si>
    <t>Nhiêu Lộc</t>
  </si>
  <si>
    <t>088b3eac-73db-11ef-a38c-506b8d9879b5</t>
  </si>
  <si>
    <t>21555 - TDuc - HBinh - Nguyễn Tú Anh</t>
  </si>
  <si>
    <t>d7b60710-d821-11f0-b23f-506b8d982279</t>
  </si>
  <si>
    <t>61/23c Đường Sô 48, Hiệp Bình Chánh, Thủ Đức, Ho Chi Minh City, Vietnam</t>
  </si>
  <si>
    <t>Hiệp Bình</t>
  </si>
  <si>
    <t>debfa9a0-3d81-11ed-9ba7-506b8dbc8dfb</t>
  </si>
  <si>
    <t>ba7452ba-50d1-11f0-a00e-506b8d982279</t>
  </si>
  <si>
    <t>Phòng khám đa khoa CARDIO, 102 Đ. Tam Đảo, Phường 14, Quận 10, Hồ Chí Minh</t>
  </si>
  <si>
    <t>Diên Hồng</t>
  </si>
  <si>
    <t>3927b076-3af9-11ed-b939-506b8dbc8dfb</t>
  </si>
  <si>
    <t>92b334f4-d9a1-11f0-a228-506b8d982279</t>
  </si>
  <si>
    <t>Phòng khám sản phụ khoa An Phúc, 1106 Huỳnh Tấn Phát, Phú Mỹ, Quận 7</t>
  </si>
  <si>
    <t>Tân Mỹ</t>
  </si>
  <si>
    <t>77531e70-3d9d-11ed-bccd-506b8dbc8dfb</t>
  </si>
  <si>
    <t>375b5352-fc1b-11ef-b754-506b8d9879b5</t>
  </si>
  <si>
    <t>Phòng Khám Bầu Bí Quận 7, 11 Đ. số 6, Khu dân cư Him Lam, Quận 7, Hồ Chí Minh 72912</t>
  </si>
  <si>
    <t>24066 - D6 - LQSung - Phòng Xét Nghiệm Y Khoa 291</t>
  </si>
  <si>
    <t>f3c78e3c-d80e-11f0-8031-506b8d982279</t>
  </si>
  <si>
    <t>199/9 Đ. Lê Quang Sung, Phường 2, Quận 6, Thành phố Hồ Chí Minh</t>
  </si>
  <si>
    <t>Bình Tây</t>
  </si>
  <si>
    <t>b188329c-ceec-11ee-bae4-506b8d9879b5</t>
  </si>
  <si>
    <t>55464242 - CGiuoc - TL835 - Công ty TNHH chẩn đoán Y khoa Hoàng-Diệp</t>
  </si>
  <si>
    <t>6f45614a-65e3-11f0-9e37-506b8d982279</t>
  </si>
  <si>
    <t>PHÒNG KHÁM ĐA KHOA KỸ THUẬT CAO SÀI GÒN CẦN GIUỘC, JM27+9MM, Trương Bình, Cần Giuộc, Long An</t>
  </si>
  <si>
    <t>Cần Giuộc</t>
  </si>
  <si>
    <t>a22daf7a-3d9d-11ed-8890-506b8dbc8dfb</t>
  </si>
  <si>
    <t>49982049 - TDuc - PChau - Nông Thị Ngọc Lan</t>
  </si>
  <si>
    <t>02b8f856-f811-11ef-9724-506b8d9879b5</t>
  </si>
  <si>
    <t>Thu Duc City Hospital, 29 Phú Châu, Tam Phú, Thủ Đức, Hồ Chí Minh 70000</t>
  </si>
  <si>
    <t>Tam Bình</t>
  </si>
  <si>
    <t>56e967fc-4626-11ed-99f2-506b8dbc8dfb</t>
  </si>
  <si>
    <t>17 Âu Cơ, Phường 14, Quận 11, Thành phố Hồ Chí Minh</t>
  </si>
  <si>
    <t>Hòa Bình</t>
  </si>
  <si>
    <t>c4f51f56-1ba8-11f1-9378-fa163ee8d8ac</t>
  </si>
  <si>
    <t>de879fd6-4625-11ed-94a6-506b8dbc8dfb</t>
  </si>
  <si>
    <t>472B Đ. Trần Hưng Đạo, Phường 2, Quận 5, Thành phố Hồ Chí Minh</t>
  </si>
  <si>
    <t>Chợ Quán</t>
  </si>
  <si>
    <t>7bc36d6c-3d6a-11ed-a1ac-506b8dbc8dfb</t>
  </si>
  <si>
    <t>f80a7e92-4625-11ed-8ccf-506b8dbc8dfb</t>
  </si>
  <si>
    <t>167 Bình Phú, Phường 11, Quận 6, Thành phố Hồ Chí Minh</t>
  </si>
  <si>
    <t>Bình Phú</t>
  </si>
  <si>
    <t>dc4c537a-4624-11ed-b116-506b8dbc8dfb</t>
  </si>
  <si>
    <t>289 Nguyễn Oanh, Phường 17, Gò Vấp, Thành phố Hồ Chí Minh</t>
  </si>
  <si>
    <t>Gò Vấp</t>
  </si>
  <si>
    <t>af190f62-0ce6-11ef-ba8a-506b8d9879b5</t>
  </si>
  <si>
    <t>55422705 - GVap - 8 - Phạm Thị Phương Dung</t>
  </si>
  <si>
    <t>1717dbae-4a13-11ed-b2ea-506b8dbc8dfb</t>
  </si>
  <si>
    <t>342 Đ. Số 8, Phường 11, Gò Vấp, Thành phố Hồ Chí Minh 70000</t>
  </si>
  <si>
    <t>Thông Tây Hội</t>
  </si>
  <si>
    <t>65d58b76-3d8c-11ed-b92b-506b8dbc8dfb</t>
  </si>
  <si>
    <t>e5c655b2-4a0d-11ed-92c7-506b8dbc8dfb</t>
  </si>
  <si>
    <t>Phòng khám đa khoa quốc tế An Phú, 251A Lương Định Của, An Phú, Quận 2, Thành phố Hồ Chí Minh</t>
  </si>
  <si>
    <t>An Khánh</t>
  </si>
  <si>
    <t>a693faa0-3d8a-11ed-9fed-506b8dbc8dfb</t>
  </si>
  <si>
    <t>7282a9a6-49fa-11ed-a652-506b8dbc8dfb</t>
  </si>
  <si>
    <t>Vina Healthcare An Phu, 40 Nguyễn Quý Đức, An Khánh, Quận 2, Thành phố Hồ Chí Minh</t>
  </si>
  <si>
    <t>37af7d88-4624-11ed-b5b0-506b8dbc8dfb</t>
  </si>
  <si>
    <t>181 Đ. Nguyễn Duy Trinh, Phường Bình Trưng Tây, Quận 2, Thành phố Hồ Chí Minh</t>
  </si>
  <si>
    <t>Bình Trưng</t>
  </si>
  <si>
    <t>ec32d0d2-ceec-11ee-bad2-506b8d9879b5</t>
  </si>
  <si>
    <t>a79a4c0a-447f-11ed-b11a-506b8dbc8dfb</t>
  </si>
  <si>
    <t>American International Hospital (AIH), 199 Nguyễn Hoàng, An Phú, Quận 2, Thành phố Hồ Chí Minh 70000</t>
  </si>
  <si>
    <t>b69e3ad8-4621-11ed-8baa-506b8dbc8dfb</t>
  </si>
  <si>
    <t>215G Nơ Trang Long, Phường 11, Bình Thạnh, Thành phố Hồ Chí Minh</t>
  </si>
  <si>
    <t>Bình Thạnh</t>
  </si>
  <si>
    <t>6ec25112-3d8a-11ed-acb2-506b8dbc8dfb</t>
  </si>
  <si>
    <t>46558631 - BThanh - NTLong - Columbia Asia</t>
  </si>
  <si>
    <t>ea5240a0-447c-11ed-8ea2-506b8dbc8dfb</t>
  </si>
  <si>
    <t>Columbia Asia International Hospital - Gia Dinh, 01 Nơ Trang Long, Phường 14, Bình Thạnh, Thành phố Hồ Chí Minh</t>
  </si>
  <si>
    <t>Gia Định</t>
  </si>
  <si>
    <t>11380 - VTau - LNHan - Raffles Medical Vũng Tàu</t>
  </si>
  <si>
    <t>e65edf18-4480-11ed-bb32-506b8dbc8dfb</t>
  </si>
  <si>
    <t>1 Lê Ngọc Hân, Phường 1, Thành phố Vũng Tầu, Bà Rịa - Vũng Tàu 790000</t>
  </si>
  <si>
    <t>Vũng Tàu</t>
  </si>
  <si>
    <t>c0bd4c76-3d8d-11ed-892d-506b8dbc8dfb</t>
  </si>
  <si>
    <t>12479 - CChi - TVCham - Vũ Thị Ngọc</t>
  </si>
  <si>
    <t>2b8b661a-4481-11ed-a901-506b8dbc8dfb</t>
  </si>
  <si>
    <t>18 Trần Văn Chẩm, Tân Thông Hội, Củ Chi, Thành phố Hồ Chí Minh</t>
  </si>
  <si>
    <t>Củ Chi</t>
  </si>
  <si>
    <t>90de3042-3d9c-11ed-a60a-506b8dbc8dfb</t>
  </si>
  <si>
    <t>12786 - GVap - 12 - CÔNG TY TNHH CSSK NHI KHOA ÁNH DƯƠNG</t>
  </si>
  <si>
    <t>1192b07a-4ac0-11ed-8a13-506b8dbc8dfb</t>
  </si>
  <si>
    <t>Phòng Khám Chuyên Khoa Nhi Ánh Dương, 43, Đường số 12 KDC, Cityland Center Hills, Gò Vấp, Thành phố Hồ Chí Minh</t>
  </si>
  <si>
    <t>46512025 - GVap - QTrung - Bs.Đào Xuân Lãm</t>
  </si>
  <si>
    <t>ce0dc294-4a0c-11ed-b15d-506b8dbc8dfb</t>
  </si>
  <si>
    <t>Đào Xuân Lãm, 2/4 Quang Trung, Phường 10, Gò Vấp, Thành phố Hồ Chí Minh</t>
  </si>
  <si>
    <t>46557390 - D12 - NVQua - Phòng khám đa khoa Riết Thân</t>
  </si>
  <si>
    <t>32f2eba4-49f3-11ed-87c6-506b8dbc8dfb</t>
  </si>
  <si>
    <t>481 Nguyễn Văn Quá, Đông Hưng Thuận, Quận 12, Thành phố Hồ Chí Minh</t>
  </si>
  <si>
    <t>Đông Hưng Thuận</t>
  </si>
  <si>
    <t>46558740 - BThanh - NHLuong - Phòng khám Olympus Gia Mỹ</t>
  </si>
  <si>
    <t>d478305e-4a04-11ed-91d0-506b8dbc8dfb</t>
  </si>
  <si>
    <t>Phòng khám Đa khoa Olympus Gia Mỹ, Vietnam, 33 Nguyễn Huy Lượng, Phường 14, Bình Thạnh, Thành phố Hồ Chí Minh</t>
  </si>
  <si>
    <t>93b73574-49ff-11ed-81c1-506b8dbc8dfb</t>
  </si>
  <si>
    <t>Phòng khám Happy Baby Q2 (Thành phố Thủ Đức), 124 Nguyễn Hoàng, An Phú, Thủ Đức, Thành phố Hồ Chí Minh 70000</t>
  </si>
  <si>
    <t>48425075 - D5 - NTrai - Bs.Nguyễn Huy Nguyên</t>
  </si>
  <si>
    <t>3c5f3bae-4abe-11ed-ad22-506b8dbc8dfb</t>
  </si>
  <si>
    <t>Bệnh viện Nguyễn Trãi, phường 8, Phường 7, Quận 5, Thành phố Hồ Chí Minh</t>
  </si>
  <si>
    <t>An Đông</t>
  </si>
  <si>
    <t>45850592 - D7 - 41 - BS Phạm Thị Hoàng Mận</t>
  </si>
  <si>
    <t>9982fabc-4a02-11ed-9a7a-506b8dbc8dfb</t>
  </si>
  <si>
    <t>11 Đường số 41, Tân Phong, Quận 7, Thành phố Hồ Chí Minh</t>
  </si>
  <si>
    <t>c83677f6-17c7-11ee-bfd0-506b8d9879b5</t>
  </si>
  <si>
    <t>699 Đ. Nguyễn Duy Trinh, Bình Trưng Đông, Quận 2, Thành phố Hồ Chí Minh</t>
  </si>
  <si>
    <t>5e0615a2-93e2-11ee-b54c-506b8d9879b5</t>
  </si>
  <si>
    <t>428 Nguyễn Thị Định, Phường Thạnh Mỹ Lợi, Quận 2, Thành phố Hồ Chí Minh</t>
  </si>
  <si>
    <t>Cát Lái</t>
  </si>
  <si>
    <t>771aedca-4621-11ed-9b84-506b8dbc8dfb</t>
  </si>
  <si>
    <t>308 Đ. Tân Sơn Nhì, Tân Sơn Nhì, Tân Phú, Thành phố Hồ Chí Minh</t>
  </si>
  <si>
    <t>Tân Sơn Nhì</t>
  </si>
  <si>
    <t>bbdd2320-3d83-11ed-a15b-506b8dbc8dfb</t>
  </si>
  <si>
    <t>318a136a-da36-11f0-ac97-506b8d982279</t>
  </si>
  <si>
    <t>74 Số 17, Tân Quy, Quận 7, Thành phố Hồ Chí Minh 72900</t>
  </si>
  <si>
    <t>a8ce9492-32d4-11ef-9466-506b8d9879b5</t>
  </si>
  <si>
    <t>41 Đ. Nguyễn Thái Sơn, Phường 4, Gò Vấp, Hồ Chí Minh 70000</t>
  </si>
  <si>
    <t>Hạnh Thông</t>
  </si>
  <si>
    <t>Other Doctor - VTau - 2T9 - Bs Lê Thị Thu Trang</t>
  </si>
  <si>
    <t>ff83b5ae-da37-11f0-aecb-506b8d982279</t>
  </si>
  <si>
    <t>Vung Tau Hospital, 27 Đ. 2 Tháng 9, Phường 11, Vũng Tàu, Bà Rịa - Vũng Tàu 78220</t>
  </si>
  <si>
    <t>Phước Thắng</t>
  </si>
  <si>
    <t/>
  </si>
  <si>
    <t>17621 - VTau - 2/9 - Nguyễn Tấn Khôi</t>
  </si>
  <si>
    <t>a3ae00c4-aa08-11ee-a9dd-506b8d9879b5</t>
  </si>
  <si>
    <t>Bệnh Viện Vũng Tàu, 27 Đ. 2 Tháng 9, Phường 11, Thành phố Vũng Tầu, Bà Rịa - Vũng Tàu 78220</t>
  </si>
  <si>
    <t>61c50a76-8f78-11ef-bc55-506b8d9879b5</t>
  </si>
  <si>
    <t>315 Đ. Lũy Bán Bích, Hoà Thanh, Tân Phú, Hồ Chí Minh</t>
  </si>
  <si>
    <t>Phú Thạnh</t>
  </si>
  <si>
    <t>ad47e07c-dae5-11f0-9e7c-506b8d982279</t>
  </si>
  <si>
    <t>211 Yersin, Phú Cường, Thủ Dầu Một, Bình Dương</t>
  </si>
  <si>
    <t>Thủ Dầu Một</t>
  </si>
  <si>
    <t>c79d5fa2-3d85-11ed-a6db-506b8dbc8dfb</t>
  </si>
  <si>
    <t>42197ace-1d88-11f0-904d-506b8d982279</t>
  </si>
  <si>
    <t>376 Đ. Bình Trị Đông, Bình Trị Đông, Bình Tân, Hồ Chí Minh</t>
  </si>
  <si>
    <t>Bình Trị Đông</t>
  </si>
  <si>
    <t>e5c037c2-0ce9-11ef-a2d8-506b8d9879b5</t>
  </si>
  <si>
    <t>21362 - D8 - NTTan - PS315 Nguyễn Thị Tần</t>
  </si>
  <si>
    <t>257d2f46-4626-11ed-b926-506b8dbc8dfb</t>
  </si>
  <si>
    <t>47 Nguyễn Thị Tần, Phường 2, Quận 8, Thành phố Hồ Chí Minh</t>
  </si>
  <si>
    <t>Chánh Hưng</t>
  </si>
  <si>
    <t>fee8236e-3d9b-11ed-9cc5-506b8dbc8dfb</t>
  </si>
  <si>
    <t>f1da5514-4626-11ed-b3bb-506b8dbc8dfb</t>
  </si>
  <si>
    <t>175 Đ. Lê Văn Việt, Hiệp Phú, Quận 9, Thành phố Hồ Chí Minh</t>
  </si>
  <si>
    <t>Tăng Nhơn Phú</t>
  </si>
  <si>
    <t>1c89cd22-3d6b-11ed-b2d6-506b8dbc8dfb</t>
  </si>
  <si>
    <t>38d5de78-8c0a-11ee-8788-506b8d9879b5</t>
  </si>
  <si>
    <t>Phòng Khám Bs Nguyễn Ngọc Linh, 115 Đ. Đồng Khởi, Trảng Dài, Thành phố Biên Hòa, Đồng Nai</t>
  </si>
  <si>
    <t>Tân Triều</t>
  </si>
  <si>
    <t>0c0b1998-3d88-11ed-8d9a-506b8dbc8dfb</t>
  </si>
  <si>
    <t>Code - D10 - SVHanh - Bệnh viện Nhân dân 115</t>
  </si>
  <si>
    <t>593c1fba-f28e-11ef-b292-506b8d9879b5</t>
  </si>
  <si>
    <t>115 People’s Hospital, 527 Đ. Sư Vạn Hạnh, Phường 12, Quận 10, Hồ Chí Minh</t>
  </si>
  <si>
    <t>Hòa Hưng</t>
  </si>
  <si>
    <t>a4c531b8-daf2-11f0-b991-506b8d982279</t>
  </si>
  <si>
    <t>Phòng khám Bác sĩ Nhi Đồng - Thiên Thần (Bác sĩ NHƯ HẰNG), 602 Thị Mười, Hiệp Thành, Quận 12, Thành phố Hồ Chí Minh</t>
  </si>
  <si>
    <t>Tân Thới Hiệp</t>
  </si>
  <si>
    <t>be74d176-452d-11ed-a31e-506b8dbc8dfb</t>
  </si>
  <si>
    <t>Thẩm mỹ viện IMPERIAL CARE, 1 Lý Tự Trọng, Bến Nghé, Quận 1, Thành phố Hồ Chí Minh</t>
  </si>
  <si>
    <t>Sài Gòn</t>
  </si>
  <si>
    <t>8d623ace-3d8a-11ed-87cc-506b8dbc8dfb</t>
  </si>
  <si>
    <t>dc1cec40-ef44-11ef-b4d7-506b8d9879b5</t>
  </si>
  <si>
    <t>902 Đ. Lê Văn Lương, Phước Kiển, Nhà Bè, Hồ Chí Minh 70000</t>
  </si>
  <si>
    <t>Nhà Bè</t>
  </si>
  <si>
    <t>18197 - TAn - TL827 - Đặng Thị Dung</t>
  </si>
  <si>
    <t>2fb9839c-ee27-11ee-8079-506b8d9879b5</t>
  </si>
  <si>
    <t>Chuyên Sản-Phụ Khoa BS. Đặng Thị Dung, Số 327, tỉnh lộ 827, thị trấn Tầm Vu, huyện Châu Thành, tỉnh Long An, TT. Tầm Vu, Tân An, Long An 851814</t>
  </si>
  <si>
    <t>Tầm Vu</t>
  </si>
  <si>
    <t>13h - 19/2 - Nguyễn Thị Mỹ Hạnh</t>
  </si>
  <si>
    <t>e2f3b452-ee88-11ef-a12e-506b8d9879b5</t>
  </si>
  <si>
    <t>10.764001340485477, 106.76028216677364</t>
  </si>
  <si>
    <t>46539807 - D10 - NQuyen - Phòng Khám Trung Tâm Điều Trị Bệnh Hô Hấp Phổi Việt</t>
  </si>
  <si>
    <t>7057c384-4471-11ed-97eb-506b8dbc8dfb</t>
  </si>
  <si>
    <t>Respiratory clinic Lung Vietnam, 20 Đ. Ng. Quyền, Phường 5, Quận 10, Thành phố Hồ Chí Minh</t>
  </si>
  <si>
    <t>ed7827b2-4621-11ed-9c75-506b8dbc8dfb</t>
  </si>
  <si>
    <t>490 Trường Chinh, Phường 13, Tân Bình, Thành phố Hồ Chí Minh</t>
  </si>
  <si>
    <t>619c943a-4621-11ed-a633-506b8dbc8dfb</t>
  </si>
  <si>
    <t>98 Nguyễn Sơn, Phú Thọ Hoà, Tân Phú, Thành phố Hồ Chí Minh</t>
  </si>
  <si>
    <t>Phú Thọ Hòa</t>
  </si>
  <si>
    <t>53533721 - D7 - 6 - Vina Healthcare</t>
  </si>
  <si>
    <t>9e4b3a62-49fa-11ed-a045-506b8dbc8dfb</t>
  </si>
  <si>
    <t>Vina Healthcare Phu My Hung, R4, Hung, Q7, 30 66 Đường số 6, Phú Mỹ, Quận 7, Thành phố Hồ Chí Minh</t>
  </si>
  <si>
    <t>49630570 - D10 - 3/2 - Nha Khoa Quoc Te UMIDENTIST</t>
  </si>
  <si>
    <t>7808a040-4470-11ed-af6e-506b8dbc8dfb</t>
  </si>
  <si>
    <t>UMI Dentist Nha Khoa Quốc Tế Thẩm Mỹ Điều Trị Uy Tín, 58 Đ. 3/2, Phường 12, Quận 10, Thành phố Hồ Chí Minh</t>
  </si>
  <si>
    <t>46776705 - GVap - 9 - Phòng Khám Happy Baby</t>
  </si>
  <si>
    <t>6c62e5e4-f1b0-11ef-a54c-506b8d9879b5</t>
  </si>
  <si>
    <t>Phòng khám Happy Baby Gò Vấp, 26 Đ. Số 9, Khu Dân Cư Cityland Park Hills, Gò Vấp, Hồ Chí Minh</t>
  </si>
  <si>
    <t>50647370 - BTan - TLua - Phòng khám Tên Lửa (BS Phạm Hữu Tiền)</t>
  </si>
  <si>
    <t>204ac0f6-3ced-11ee-a634-506b8d9879b5</t>
  </si>
  <si>
    <t>Phòng khám BS PHẠM HỮU TIỀN - CK TAI MŨI HỌNG (Nhi đồng và Người lớn), 163 Tên Lửa, Bình Trị Đông B, Bình Tân, Thành phố Hồ Chí Minh</t>
  </si>
  <si>
    <t>An Lạc</t>
  </si>
  <si>
    <t>9a15e7a4-3d83-11ed-be4e-506b8dbc8dfb</t>
  </si>
  <si>
    <t>20292 - TDuc - 20 - Vương Đình Hoàng Dũng</t>
  </si>
  <si>
    <t>13b12d16-cfa1-11ee-a359-506b8d9879b5</t>
  </si>
  <si>
    <t>Opal Garden Apartment, RPGF+R7P, Đ. Số 20, Khu phố 4, Thủ Đức, Thành phố Hồ Chí Minh</t>
  </si>
  <si>
    <t>20292 - TDuc - 28 - Vương Đình Hoàng Dũng</t>
  </si>
  <si>
    <t>fc8b3b2c-cfa0-11ee-910e-506b8d9879b5</t>
  </si>
  <si>
    <t>54 Đường 28, Hiệp Bình Chánh, Thủ Đức, Thành phố Hồ Chí Minh</t>
  </si>
  <si>
    <t>51546459 - D7 - 17 - Trịnh Hữu Phước</t>
  </si>
  <si>
    <t>96d75cc8-c2ff-11ee-b152-506b8d9879b5</t>
  </si>
  <si>
    <t>52 Số 17, Tân Quy, Quận 7, Thành phố Hồ Chí Minh</t>
  </si>
  <si>
    <t>d8d6e692-4531-11f0-a968-506b8d982279</t>
  </si>
  <si>
    <t>Bệnh Viện Đa Khoa tỉnh Bình Dương, 5 Phạm Ngọc Thạch, Hiệp Thành, Thủ Dầu Một, Bình Dương</t>
  </si>
  <si>
    <t>Phú Lợi</t>
  </si>
  <si>
    <t>20297 - D9 - HHNam - Bs Bùi Trần Công</t>
  </si>
  <si>
    <t>1cf8da08-591d-11ef-b79a-506b8d9879b5</t>
  </si>
  <si>
    <t>204 Hoàng Hữu Nam, Long Thạnh Mỹ, Quận 9, Hồ Chí Minh</t>
  </si>
  <si>
    <t>20928 - D1 - HBTrung - Thẩm mỹ Nội khoa Vanity</t>
  </si>
  <si>
    <t>98abddb0-0db6-11ef-9adf-506b8d9879b5</t>
  </si>
  <si>
    <t>Vanity Aesthetics &amp; Beauty Clinic, 24 Hai Bà Trưng, Bến Nghé, Quận 1, Thành phố Hồ Chí Minh</t>
  </si>
  <si>
    <t>6d7bd3da-27a0-11ef-bc8c-506b8d9879b5</t>
  </si>
  <si>
    <t>Trung tâm Y khoa Hoàn Mỹ Tân Phú, 1/1 Đ. Trường Chinh, Tây Thạnh, Tân Phú, Thành phố Hồ Chí Minh</t>
  </si>
  <si>
    <t>Tây Thạnh</t>
  </si>
  <si>
    <t>13h45 18/2 Lương Văn Quen</t>
  </si>
  <si>
    <t>237c36dc-edb4-11ef-a696-506b8d9879b5</t>
  </si>
  <si>
    <t>Bệnh viện Lê Văn Thịnh, 130 Đường Lê Văn Thịnh, Phường Bình Trưng Tây, Thành phố Thủ Đức, Hồ Chí Minh</t>
  </si>
  <si>
    <t>13h 18/2 Dưong Trọng Nghĩa</t>
  </si>
  <si>
    <t>807afaf0-edb2-11ef-b6cf-506b8d9879b5</t>
  </si>
  <si>
    <t>3/34 THÍCH QUẢNG ĐỨC P3 QUẬN PHÚ NHUẬN</t>
  </si>
  <si>
    <t>PSC drop</t>
  </si>
  <si>
    <t>81442664-ed30-11ef-8a28-506b8d9879b5</t>
  </si>
  <si>
    <t>Phường Hưng Phú, District 8, Ho Chi Minh City</t>
  </si>
  <si>
    <t>24179 - GVap - PVChieu - Công ty cổ phần 5S Sài Gòn</t>
  </si>
  <si>
    <t>2638d310-dc8a-11f0-86d6-506b8d982279</t>
  </si>
  <si>
    <t>Nha Khoa 5S - Gò Vấp, 248 Đ. Phạm Văn Chiêu, Phường 8, Gò Vấp, Thành phố Hồ Chí Minh 700000</t>
  </si>
  <si>
    <t>27eaf120-3d8c-11ed-9f85-506b8dbc8dfb</t>
  </si>
  <si>
    <t>17224 - D8 - CLo - Bs Nguyễn Phương Nam</t>
  </si>
  <si>
    <t>d4306382-ecd2-11ef-8e19-506b8d9879b5</t>
  </si>
  <si>
    <t>District 8 Hospital, 82 Đ. Cao Lỗ, Phường 4, Quận 8, Hồ Chí Minh</t>
  </si>
  <si>
    <t>443 TRẦN HƯNG ĐẠO PHƯỜNG 14 QUẬN 5</t>
  </si>
  <si>
    <t>95a66c3e-ece5-11ef-a33d-506b8d9879b5</t>
  </si>
  <si>
    <t>Diag Laboratories, 414, 420 Đ. Cao Thắng, Phường 12, Quận 10, Thành phố Hồ Chí Minh 72510</t>
  </si>
  <si>
    <t>16113 - D8 - TTVuong - Bs Nguyễn Thị Ánh Huyền</t>
  </si>
  <si>
    <t>b5d7b2e8-18d6-11f0-b72e-506b8d982279</t>
  </si>
  <si>
    <t>379 Đ.Tùng Thiện Vương, Phường Xóm Củi, Quận 8, Hồ Chí Minh</t>
  </si>
  <si>
    <t>Phú Định</t>
  </si>
  <si>
    <t>36d79306-d8bb-11ef-bddf-506b8d9879b5</t>
  </si>
  <si>
    <t>Bệnh Viện Thành Phố Thủ Đức, 29 Phú Châu, Tam Phú, Thủ Đức, Hồ Chí Minh 70000</t>
  </si>
  <si>
    <t>22137 - TDuc - PChau - Trần Quốc Tuấn</t>
  </si>
  <si>
    <t>a38568b8-eb38-11ef-b51d-506b8d9879b5</t>
  </si>
  <si>
    <t>560d5274-edd8-11ef-872f-506b8d9879b5</t>
  </si>
  <si>
    <t>64 Đ. Hùng Vương, Phường 7, Mỹ Tho, Tiền Giang</t>
  </si>
  <si>
    <t>Mỹ Tho</t>
  </si>
  <si>
    <t>47cc1bf4-3d8c-11ed-95fc-506b8dbc8dfb</t>
  </si>
  <si>
    <t>18215 - TAn - QL1A - Phạm Thị Diễm Kiều</t>
  </si>
  <si>
    <t>d1fc95cc-e1c4-11ef-90a5-506b8d9879b5</t>
  </si>
  <si>
    <t>Vạn An Hospital, 352 QL1A, AP 4, Tân An, Long An 82109</t>
  </si>
  <si>
    <t>Long An</t>
  </si>
  <si>
    <t>4936ea3c-452f-11ed-84fc-506b8dbc8dfb</t>
  </si>
  <si>
    <t>Phòng Khám Sản Phụ Khoa Kim Liên, 9, 4 Phan Bội Châu, Dĩ An, Bình Dương</t>
  </si>
  <si>
    <t>Dĩ An</t>
  </si>
  <si>
    <t>f61cca44-3d89-11ed-b141-506b8dbc8dfb</t>
  </si>
  <si>
    <t>b5eb7202-4542-11ed-b44a-506b8dbc8dfb</t>
  </si>
  <si>
    <t>56 Đường số 11A, Bình Trị Đông B, Bình Tân, Thành phố Hồ Chí Minh</t>
  </si>
  <si>
    <t>50863757 - TBinh - THai - MT 3757</t>
  </si>
  <si>
    <t>34c9617a-4ab5-11ed-b0c6-506b8dbc8dfb</t>
  </si>
  <si>
    <t>Phòng khám CarePlus - Tân Bình, 107 Tân Hải, Phường 13, Tân Bình, Thành phố Hồ Chí Minh</t>
  </si>
  <si>
    <t>04a3f214-453b-11ed-8d0e-506b8dbc8dfb</t>
  </si>
  <si>
    <t>Au Co Hospital, 47/19A Điểu Xiển, KP5B, Tân Biên, Thành phố Biên Hòa, Đồng Nai</t>
  </si>
  <si>
    <t>Long Bình</t>
  </si>
  <si>
    <t>46bb67d6-4621-11ed-908d-506b8dbc8dfb</t>
  </si>
  <si>
    <t>1283 TL10, Tân Tạo, Bình Tân, Thành phố Hồ Chí Minh</t>
  </si>
  <si>
    <t>Tân Tạo</t>
  </si>
  <si>
    <t>0d517404-4621-11ed-8c7f-506b8dbc8dfb</t>
  </si>
  <si>
    <t>482 Lê Văn Quới, Bình Trị Đông A, Bình Tân, Thành phố Hồ Chí Minh</t>
  </si>
  <si>
    <t>f9b7b020-4620-11ed-a3ea-506b8dbc8dfb</t>
  </si>
  <si>
    <t>294 Tên Lửa, Bình Trị Đông B, Bình Tân, Thành phố Hồ Chí Minh</t>
  </si>
  <si>
    <t>b257dd46-4539-11ed-b6bd-506b8dbc8dfb</t>
  </si>
  <si>
    <t>324 Ng. Quyền, An Hoà, Long Thành, Đồng Nai</t>
  </si>
  <si>
    <t>Long Hưng</t>
  </si>
  <si>
    <t>12935 - BTan - 3A - Phòng khám An Tâm</t>
  </si>
  <si>
    <t>cb1fcc12-c77f-11ed-8228-506b8dbc8dfb</t>
  </si>
  <si>
    <t>2 Đường số 3A, Tân Tạo, Bình Tân, Thành phố Hồ Chí Minh</t>
  </si>
  <si>
    <t>fa87ff92-4ac0-11ed-b0dd-506b8dbc8dfb</t>
  </si>
  <si>
    <t>Bệnh viện đa khoa 512 giường, 5 Phạm Ngọc Thạch, Hiệp Thành, Thủ Dầu Một, Bình Dương</t>
  </si>
  <si>
    <t>3PL - TOT2</t>
  </si>
  <si>
    <t>6fdd3dd0-d19b-11ef-99b0-506b8d9879b5</t>
  </si>
  <si>
    <t>153, 62 QL13, Phường 26, Bình Thạnh, Hồ Chí Minh</t>
  </si>
  <si>
    <t>bd2f05c8-4543-11ed-a63c-506b8dbc8dfb</t>
  </si>
  <si>
    <t>1133 Đ. Bùi Văn Hòa, Long Bình Tân, Thành phố Biên Hòa, Đồng Nai</t>
  </si>
  <si>
    <t>7a3b43a4-4a01-11ed-90e7-506b8dbc8dfb</t>
  </si>
  <si>
    <t>Phòng Khám Đa Khoa Vạn Xuân, 366 Tân Kỳ Tân Quý, Sơn Kỳ, Tân Phú, Thành phố Hồ Chí Minh 18812</t>
  </si>
  <si>
    <t>40979530 - D10 - 3/2 - Phòng Khám Đa Khoa Hạnh Phúc 3/2</t>
  </si>
  <si>
    <t>a29852d8-4538-11ed-8253-506b8dbc8dfb</t>
  </si>
  <si>
    <t>446A Đ. 3/2, Phường 12, Quận 10, Thành phố Hồ Chí Minh</t>
  </si>
  <si>
    <t>49953865 - TDuc - 6 - CHÂU HOÀNG SINH</t>
  </si>
  <si>
    <t>de1faa60-452c-11ed-8669-506b8dbc8dfb</t>
  </si>
  <si>
    <t>84a Đ. số 6, Tam Phú, Thủ Đức, Thành phố Hồ Chí Minh</t>
  </si>
  <si>
    <t>40664066 - D3 - NKKNghia - Raffles Medical HCM</t>
  </si>
  <si>
    <t>7972e7d4-446f-11ed-80c1-506b8dbc8dfb</t>
  </si>
  <si>
    <t>Raffles Medical International Clinic in Ho Chi Minh (ラッフルズメディカルホーチミンクリニック), 167A Đ. Nam Kỳ Khởi Nghĩa, Võ Thị Sáu, Quận 3, Thành phố Hồ Chí Minh</t>
  </si>
  <si>
    <t>Xuân Hòa</t>
  </si>
  <si>
    <t>46651876 - D6 - DNCan - ND315 Đặng Nguyên Cẩn</t>
  </si>
  <si>
    <t>e2bead98-461f-11ed-aad5-506b8dbc8dfb</t>
  </si>
  <si>
    <t>80 Đặng Nguyên Cẩn, Phường 13, Quận 6, Thành phố Hồ Chí Minh</t>
  </si>
  <si>
    <t>Phú Lâm</t>
  </si>
  <si>
    <t>cc4cf010-461f-11ed-8f40-506b8dbc8dfb</t>
  </si>
  <si>
    <t>260f Đ. Nguyễn Văn Luông, Phường 11, Quận 6, Thành phố Hồ Chí Minh 70000</t>
  </si>
  <si>
    <t>b53f8874-461f-11ed-ac01-506b8dbc8dfb</t>
  </si>
  <si>
    <t>187 Đ. Hậu Giang, Phường 5, Quận 6, Thành phố Hồ Chí Minh</t>
  </si>
  <si>
    <t>54932751 - TDuc - VVNgan - Trần Thị Nguyệt Nga</t>
  </si>
  <si>
    <t>28f59dd2-4ab0-11ed-9ab3-506b8dbc8dfb</t>
  </si>
  <si>
    <t>191 Đ. Võ Văn Ngân, Linh Chiểu, Thủ Đức, Thành phố Hồ Chí Minh</t>
  </si>
  <si>
    <t>Thủ Đức</t>
  </si>
  <si>
    <t>21546 - D10 - LTKiet - Bs Nguyễn Duy Quang</t>
  </si>
  <si>
    <t>dd47fd82-d16a-11ef-9be0-506b8d9879b5</t>
  </si>
  <si>
    <t>Phòng Khám Thẩm Mỹ Tony An An | Chuyên Cân Chỉnh Khuôn Mặt Quận 10, 324/12 Lý Thường Kiệt, Phường 14, Quận 10, Hồ Chí Minh 72506</t>
  </si>
  <si>
    <t>21415bde-73db-11ef-8478-506b8d9879b5</t>
  </si>
  <si>
    <t>f19e239a-d53b-11ef-9dff-506b8d9879b5</t>
  </si>
  <si>
    <t>21586 - TDuc - PChau - Bùi Ngọc Huy</t>
  </si>
  <si>
    <t>c364f352-d3b8-11ef-b567-506b8d9879b5</t>
  </si>
  <si>
    <t>46647792 - BTan - 7 - Phòng khám Sản phụ khoa Bs Quốc Bảo- BS Nhật Lệ</t>
  </si>
  <si>
    <t>5dd46f6a-0ba7-11ef-9286-506b8d9879b5</t>
  </si>
  <si>
    <t>209 Đường số 7, Bình Trị Đông B, Bình Tân, Thành phố Hồ Chí Minh</t>
  </si>
  <si>
    <t>15530 - TDuc - DS20 - BS Hồ Nguyên Tiến</t>
  </si>
  <si>
    <t>a5983e9a-dd91-11f0-a71e-506b8d982279</t>
  </si>
  <si>
    <t>Opal Garden Apartment, Đ. Số 20, Khu phố 4, Thủ Đức, Thành phố Hồ Chí Minh 700000</t>
  </si>
  <si>
    <t>387d2ed2-de5f-11f0-84a0-506b8d982279</t>
  </si>
  <si>
    <t>37 Hoàng Dư Khương, Phường 12, Quận 10, Thành phố Hồ Chí Minh 700000</t>
  </si>
  <si>
    <t>30cc7046-c67b-11ef-80bd-506b8d9879b5</t>
  </si>
  <si>
    <t>Hong Duc III Hospital, 32/2 Đ. Thống Nhất, Phường 10, Gò Vấp, Hồ Chí Minh</t>
  </si>
  <si>
    <t>8b214fbe-cb29-11ef-adf4-506b8d9879b5</t>
  </si>
  <si>
    <t>6aec0b28-c8f2-11ef-a575-506b8d9879b5</t>
  </si>
  <si>
    <t>Trung tâm sức khỏe Nam giới Men's Health, 7b/31 Hẻm, 7B Thành Thái, Phường 14, Quận 10, Hồ Chí Minh</t>
  </si>
  <si>
    <t>60ca531c-142d-11f0-8bf6-506b8d982279</t>
  </si>
  <si>
    <t>Phòng Khám Sản Phụ Khoa An Linh, Nguyễn Hữu Trí, tt. Tân Túc, Bình Chánh, Ho Chi Minh City, Vietnam</t>
  </si>
  <si>
    <t>Tân Nhựt</t>
  </si>
  <si>
    <t>5686c49a-8ada-11ee-bde1-506b8d9879b5</t>
  </si>
  <si>
    <t>Phòng Khám Đa Khoa Trần Đức Minh, 4JJ3+29W, Mỹ Phước, Bến Cát, Binh Duong</t>
  </si>
  <si>
    <t>Long Nguyên</t>
  </si>
  <si>
    <t>66cbf49e-461e-11ed-8092-506b8dbc8dfb</t>
  </si>
  <si>
    <t>148 Trần Quốc Thảo, Võ Thị Sáu, Quận 3, Thành phố Hồ Chí Minh 70000</t>
  </si>
  <si>
    <t>a307b03e-49fb-11ed-84f1-506b8dbc8dfb</t>
  </si>
  <si>
    <t>FV Hospital, 6 Nguyễn Lương Bằng, Tân Phú, Quận 7, Thành phố Hồ Chí Minh</t>
  </si>
  <si>
    <t>4f7acefe-4624-11ed-8c39-506b8dbc8dfb</t>
  </si>
  <si>
    <t>179 Đ. Hiệp Bình, Hiệp Bình Chánh, Thủ Đức, Thành phố Hồ Chí Minh</t>
  </si>
  <si>
    <t>9c4baa50-4476-11ed-9fc8-506b8dbc8dfb</t>
  </si>
  <si>
    <t>Phòng khám Quốc tế Victoria Healthcare, Sky Garden 1, 1056 Đ. Nguyễn Văn Linh, Phú Mỹ Hưng, Quận 7, Thành phố Hồ Chí Minh 70000</t>
  </si>
  <si>
    <t>faecc7ba-461f-11ed-8f50-506b8dbc8dfb</t>
  </si>
  <si>
    <t>106 Nguyễn Thị Thập, Bình Thuận, Quận 7, Thành phố Hồ Chí Minh</t>
  </si>
  <si>
    <t>Tân Thuận</t>
  </si>
  <si>
    <t>10593 - D12 - TTNhat - Phạm Vĩnh Anh Tú</t>
  </si>
  <si>
    <t>381ba9f4-4548-11ed-ae37-506b8dbc8dfb</t>
  </si>
  <si>
    <t>57 Tân Thới Nhất 1, Tân Thới Nhất, Quận 12, Thành phố Hồ Chí Minh</t>
  </si>
  <si>
    <t>40980099 - BChanh - THNghiep - BS Trịnh Lê Quốc Vũ</t>
  </si>
  <si>
    <t>6f051b64-bcf9-11ef-a950-506b8d9879b5</t>
  </si>
  <si>
    <t>Blood Transfusion Haematology hospital No.2, Số 01 Trần Hữu Nghiệp, Tân Kiên, Bình Chánh, Hồ Chí Minh</t>
  </si>
  <si>
    <t>46672782 - D7 - TDTien - PHÒNG KHÁM CAREPLUS QUẬN 7</t>
  </si>
  <si>
    <t>46063320-4478-11ed-a458-506b8dbc8dfb</t>
  </si>
  <si>
    <t>Phòng khám CarePlus Quận 7, Level 2, Crescent Plaza, 105 Ton Dat Tien, Tan Phu Ward, District 7, HCMC, Vietnam, 105 Tôn Dật Tiên, Tân Phú, Quận 7, Thành phố Hồ Chí Minh</t>
  </si>
  <si>
    <t>9e804122-4a03-11ed-a843-506b8dbc8dfb</t>
  </si>
  <si>
    <t>Phòng khám Thiện Mỹ Sài Gòn (mới), 842 TL43, Bình Chiểu, Thủ Đức, Thành phố Hồ Chí Minh</t>
  </si>
  <si>
    <t>46558963 - TDuc - THa - Tô Thị Trâm Anh</t>
  </si>
  <si>
    <t>3cedf64c-49ff-11ed-9c37-506b8dbc8dfb</t>
  </si>
  <si>
    <t>Phòng khám sản phụ khoa - siêu âm Thạc sĩ - Bác sĩ Tô Thị Trâm Anh, 92 Đ. Tam Hà, Tam Phú, Thủ Đức, Thành phố Hồ Chí Minh</t>
  </si>
  <si>
    <t>46672091 - D7 - HTPhat - Phòng khám đa khoa Tâm An</t>
  </si>
  <si>
    <t>bf463e1c-4476-11ed-9f73-506b8dbc8dfb</t>
  </si>
  <si>
    <t>Phòng Khám Đa Khoa Tâm An, 1926 - 1930 (Số cũ 47/4, 47/6 Huỳnh Tấn Phát, Khu Phố 6, Nhà Bè, Thành phố Hồ Chí Minh</t>
  </si>
  <si>
    <t>2eaf1aca-4478-11ed-b980-506b8dbc8dfb</t>
  </si>
  <si>
    <t>삼성하늘병원 - Phòng Khám Đa Khoa Nhân Đức 2, 63 Cao Triều Phát, Tân Phong, Quận 7, Thành phố Hồ Chí Minh</t>
  </si>
  <si>
    <t>49291644 - TDuc - TL43 - Lê Thị Xuân Quý</t>
  </si>
  <si>
    <t>acfae0a8-4478-11ed-b971-506b8dbc8dfb</t>
  </si>
  <si>
    <t>935a TL43, Bình Chiểu, Thủ Đức, Thành phố Hồ Chí Minh</t>
  </si>
  <si>
    <t>872a9ea6-4471-11ed-ba9b-506b8dbc8dfb</t>
  </si>
  <si>
    <t>Hospital for Traumatology and Orthopedics, 929 Trần Hưng Đạo, Phường 1, Quận 5, Thành phố Hồ Chí Minh</t>
  </si>
  <si>
    <t>46651876 - D11 - TQuy - ND315 Trần Quý</t>
  </si>
  <si>
    <t>50482470-4620-11ed-acbd-506b8dbc8dfb</t>
  </si>
  <si>
    <t>86 Trần Quý, Phường 6, Quận 11, Thành phố Hồ Chí Minh</t>
  </si>
  <si>
    <t>Minh Phụng</t>
  </si>
  <si>
    <t>46651876 - D6 - HHNguyen - ND315 Hàn Hải Nguyên</t>
  </si>
  <si>
    <t>63d46daa-4620-11ed-8cbe-506b8dbc8dfb</t>
  </si>
  <si>
    <t>373 Hàn Hải Nguyên, Phường 2, Quận 11, Thành phố Hồ Chí Minh</t>
  </si>
  <si>
    <t>40664263 - D5 - ABinh - BS Vương Trùng Dương</t>
  </si>
  <si>
    <t>fca66de0-b76a-11ef-ac9f-506b8d9879b5</t>
  </si>
  <si>
    <t>An Binh Hospital, 146 Đ. An Bình, Phường 7, Quận 5, Hồ Chí Minh 70000</t>
  </si>
  <si>
    <t>f255c942-4473-11ed-9f83-506b8dbc8dfb</t>
  </si>
  <si>
    <t>Phòng Khám Đa Khoa SIM Med, 239 Hòa Bình, Hiệp Tân, Tân Phú, Thành phố Hồ Chí Minh 72014</t>
  </si>
  <si>
    <t>a4ca13c4-4624-11ed-a72e-506b8dbc8dfb</t>
  </si>
  <si>
    <t>87 Đ. Lê Văn Việt, Hiệp Phú, Quận 9, Thành phố Hồ Chí Minh</t>
  </si>
  <si>
    <t>55102128 - D5 - KHoa - CTY TNHH Y KHOA ĐỒNG KHỞI</t>
  </si>
  <si>
    <t>4b441e44-4a11-11ed-a11a-506b8dbc8dfb</t>
  </si>
  <si>
    <t>18A Ký Hoà, Phường 11, Quận 5, Thành phố Hồ Chí Minh</t>
  </si>
  <si>
    <t>Chợ Lớn</t>
  </si>
  <si>
    <t>41698599 - D5 - TBTrong - Mắt Cao Thắng</t>
  </si>
  <si>
    <t>c44c339a-4a0b-11ed-a836-506b8dbc8dfb</t>
  </si>
  <si>
    <t>Bệnh Viện Mắt Cao Thắng, 135B Trần Bình Trọng, Phường 2, Quận 5, Thành phố Hồ Chí Minh</t>
  </si>
  <si>
    <t>11008 - D10 - LTKiet - BS Nguyễn Kỷ Cương</t>
  </si>
  <si>
    <t>d755b730-afbd-11ef-9ca3-506b8d9879b5</t>
  </si>
  <si>
    <t>256 -258 Lý Thường Kiệt, Phường 14, Quận 10, Hồ Chí Minh, Việt Nam</t>
  </si>
  <si>
    <t>87c8718a-4548-11ed-9a79-506b8dbc8dfb</t>
  </si>
  <si>
    <t>320/7 Huỳnh Văn Bánh, Phường 11, Phú Nhuận, Thành phố Hồ Chí Minh</t>
  </si>
  <si>
    <t>Phú Nhuận</t>
  </si>
  <si>
    <t>557ec732-3af9-11ed-b159-506b8dbc8dfb</t>
  </si>
  <si>
    <t>55250390 - D5 - HBang - Bs Thanh Danh</t>
  </si>
  <si>
    <t>28ef460e-4a0a-11ed-aa9d-506b8dbc8dfb</t>
  </si>
  <si>
    <t>Hung Vuong Hospital, 128 Hồng Bàng, Phường 12, Quận 5, Thành phố Hồ Chí Minh</t>
  </si>
  <si>
    <t>24145 - D5 - CDat - Mai Thị Chúc Anh</t>
  </si>
  <si>
    <t>bbb3af70-df12-11f0-8177-506b8d982279</t>
  </si>
  <si>
    <t>109 Cao Đạt, Phường 1, Quận 5, Thành phố Hồ Chí Minh</t>
  </si>
  <si>
    <t>44c2b344-df9d-11f0-988f-506b8d982279</t>
  </si>
  <si>
    <t>Trung Tâm Y Tế Đa Khoa Thành phố Tân Uyên, Uyên Hưng, Tân Uyên District, Bình Dương, Vietnam</t>
  </si>
  <si>
    <t>Tân Uyên</t>
  </si>
  <si>
    <t>10233 - BTan - KDVuong - Phan Tấn Hùng Nha khoa Tấn Phát</t>
  </si>
  <si>
    <t>0343b596-a1a2-11f0-a064-506b8d982279</t>
  </si>
  <si>
    <t>361 Đ. Kinh Dương Vương, An Lạc, Bình Tân, Thành phố Hồ Chí Minh</t>
  </si>
  <si>
    <t>5a41e340-ad5b-11ef-bdc2-506b8d9879b5</t>
  </si>
  <si>
    <t>German Dental Clinic, Toà nhà An Phú, 43-45 Đ. Thảo Điền, Thành phố, Quận 2, Hồ Chí Minh 71107</t>
  </si>
  <si>
    <t>c5e2def6-ac6b-11ef-9515-506b8d9879b5</t>
  </si>
  <si>
    <t>NHA KHOA WEE, 127 Lương Định Của Khu Phố 3, Phường An Khánh Q2, Khu phố 3, Thủ Đức, Hồ Chí Minh 721400</t>
  </si>
  <si>
    <t>20047 - BTan - HL2 - Bs Đoạn Thiên Quang</t>
  </si>
  <si>
    <t>e01deca0-ac63-11ef-aedf-506b8d9879b5</t>
  </si>
  <si>
    <t>Binh Tan District Hospital, QJ73+86P, 809 HL2, Bình Trị Đông A, Bình Tân, Hồ Chí Minh 100000</t>
  </si>
  <si>
    <t>24214 - GVap - TTNghi - CÔNG TY TNHH FREE SCAR THIÊN MINH</t>
  </si>
  <si>
    <t>c3bc6984-dfab-11f0-8187-506b8d982279</t>
  </si>
  <si>
    <t>FREE SCAR THIÊN MINH | Chuyên Điều Trị SẸO LỒI | TRỊ SẸO LÕM | Massage chăm sóc MẸ BẦU | Gội Đầu Dưỡng Sinh GÒ VẤP, 35 đường Trần Thị Nghỉ, Phường 1, Gò Vấp</t>
  </si>
  <si>
    <t>46558485 - D9 - 9 - BS. Nguyễn Thị Thanh Bình</t>
  </si>
  <si>
    <t>3aedde64-dfc2-11f0-9010-506b8d982279</t>
  </si>
  <si>
    <t>9 Đường số 9, Long Thạnh Mỹ, Thủ Đức</t>
  </si>
  <si>
    <t>7e6eb83c-3d83-11ed-b414-506b8dbc8dfb</t>
  </si>
  <si>
    <t>Warehouse - D002</t>
  </si>
  <si>
    <t>90dd6f94-e097-11f0-86ea-506b8d982279</t>
  </si>
  <si>
    <t>Trung Tâm Y Khoa Diag - Trần Phú, 309 Đường Trần Phú, Phường 3, Quận 5, Thành phố Hồ Chí Minh 72710</t>
  </si>
  <si>
    <t>a741cc82-e09a-11f0-a44c-506b8d982279</t>
  </si>
  <si>
    <t>NURA - Pearl Center - Thao Dien Pearl, 12 Quốc Hương, Thảo Điền, Thủ Đức, Thành phố Hồ Chí Minh 700900</t>
  </si>
  <si>
    <t>20023 - BChanh - VTChi - Võ Phạm Huỳnh Như</t>
  </si>
  <si>
    <t>ac84a39a-9f3c-11ef-8495-506b8d9879b5</t>
  </si>
  <si>
    <t>Bệnh viện Nhi Đồng Thành Phố, 15 Đ. Võ Trần Chí, Tân Kiên, Bình Chánh, Hồ Chí Minh 71815</t>
  </si>
  <si>
    <t>eb68666c-a592-11ef-b072-506b8d9879b5</t>
  </si>
  <si>
    <t>Trung tâm Nam Khoa 99 - Cắt Bao Quy Đầu Sài Gòn, 99 Cây Keo, Phú Thạnh, Tân Phú, Hồ Chí Minh 72013</t>
  </si>
  <si>
    <t>0e28662a-a327-11ef-b7ef-506b8d9879b5</t>
  </si>
  <si>
    <t>Nha Khoa Ngọc Dung, Ấp Tân Tiến/8/3 Ấp Tân Tiến, Xuân Thới Đông, Hóc Môn, Hồ Chí Minh 70000</t>
  </si>
  <si>
    <t>Xuân Thới Sơn</t>
  </si>
  <si>
    <t>24b9b3d6-3d9d-11ed-b9a1-506b8dbc8dfb</t>
  </si>
  <si>
    <t>22221 - D7 - HTPhat - PK BS Trần Thị Kim Liên</t>
  </si>
  <si>
    <t>fc2b4e76-ad83-11ef-b1f0-506b8d9879b5</t>
  </si>
  <si>
    <t>502/11/13 Huỳnh Tấn Phát, Bình Thuận, Quận 7, Hồ Chí Minh 70000</t>
  </si>
  <si>
    <t>11b1ecfc-4538-11ed-ad57-506b8dbc8dfb</t>
  </si>
  <si>
    <t>Phòng Khám Đa Khoa Thảo Khánh, 4 Đ. Lý Thường Kiệt, Dĩ An, Bình Dương</t>
  </si>
  <si>
    <t>46558493 - D6 - THDong - PHÒNG KHÁM ĐA KHOA THÁI ANH</t>
  </si>
  <si>
    <t>49c5c69a-4ab0-11ed-9f7c-506b8dbc8dfb</t>
  </si>
  <si>
    <t>Phòng Khám Đa Khoa Thái Anh, 134 Tân Hòa Đông, Phường 14, Quận 6, Thành phố Hồ Chí Minh</t>
  </si>
  <si>
    <t>54869037 - D8 - HPhu - BS Hồ Nghĩa</t>
  </si>
  <si>
    <t>583aa708-4a02-11ed-b6d0-506b8dbc8dfb</t>
  </si>
  <si>
    <t>897 Đ. Hưng Phú, Phường 10, Quận 8, Thành phố Hồ Chí Minh</t>
  </si>
  <si>
    <t>46651958 - D11 - TTHiep - Bs Lương Tố Quyên</t>
  </si>
  <si>
    <t>81063292-4a07-11ed-9806-506b8dbc8dfb</t>
  </si>
  <si>
    <t>12 Tôn Thất Hiệp, Phường 13, Quận 11, Thành phố Hồ Chí Minh</t>
  </si>
  <si>
    <t>Phú Thọ</t>
  </si>
  <si>
    <t>46133118 - D9 - LVViet - Quận 9</t>
  </si>
  <si>
    <t>94fe1cae-4473-11ed-a583-506b8dbc8dfb</t>
  </si>
  <si>
    <t>Le Van Viet General Hospital, 387 Đ. Lê Văn Việt, Tăng Nhơn Phú A, Thành Phố Thủ Đức, Thành phố Hồ Chí Minh 715143</t>
  </si>
  <si>
    <t>81144800-461f-11ed-beba-506b8dbc8dfb</t>
  </si>
  <si>
    <t>180 Đ. Hải Thượng Lãn Ông, Phường 10, Quận 5, Thành phố Hồ Chí Minh</t>
  </si>
  <si>
    <t>SENDOUT2 - D10 - HHao - MEDIC</t>
  </si>
  <si>
    <t>49642318-38ae-11ed-91d5-506b8dbc8dfb</t>
  </si>
  <si>
    <t>240 Hoà Hảo, Phường 4, Quận 10, Thành phố Hồ Chí Minh</t>
  </si>
  <si>
    <t>Vườn Lài</t>
  </si>
  <si>
    <t>43e28d22-c9af-11f0-8609-506b8d982279</t>
  </si>
  <si>
    <t>SEAMEO Regional Centre for Lifelong Learning (SEAMEO CELLL), 33c Lê Thánh Tôn, Bến Nghé, Quận 1</t>
  </si>
  <si>
    <t>55271812 - D3 - NTDieu - Bs Hồng Văn</t>
  </si>
  <si>
    <t>030362ea-4a0a-11ed-9171-506b8dbc8dfb</t>
  </si>
  <si>
    <t>20a Nguyễn Thị Diệu, Phường 6, Quận 3, Thành phố Hồ Chí Minh</t>
  </si>
  <si>
    <t>55064340 - D1 - CBac - THSK Quốc Tế</t>
  </si>
  <si>
    <t>9c05370c-4a0a-11ed-9bc8-506b8dbc8dfb</t>
  </si>
  <si>
    <t>47 Cô Bắc, Phường Cầu Ông Lãnh, Quận 1, Thành phố Hồ Chí Minh</t>
  </si>
  <si>
    <t>Cầu Ông Lãnh</t>
  </si>
  <si>
    <t>46133114 - D9 - LVViet - Quân dân Y Miền Đông</t>
  </si>
  <si>
    <t>790e333a-4473-11ed-9582-506b8dbc8dfb</t>
  </si>
  <si>
    <t>Eastern People Military Hospital, 50 Đ. Lê Văn Việt, Hiệp Phú, Quận 9, Thành phố Hồ Chí Minh</t>
  </si>
  <si>
    <t>10415 - D9 - LVViet - PHÒNG KHÁM ĐA KHOA THIÊN PHÚC</t>
  </si>
  <si>
    <t>e7f64f1e-4543-11ed-a542-506b8dbc8dfb</t>
  </si>
  <si>
    <t>Công Ty TNHH Phòng Khám Đa Khoa Thiên Phúc, 83 Đ. Lê Văn Việt, Hiệp Phú, Quận 9, Thành phố Hồ Chí Minh</t>
  </si>
  <si>
    <t>46672741 - D5 - NQuyen - Phòng khám đa khoa Trung tâm chăm sóc sức khỏe cộng đồng CHAC</t>
  </si>
  <si>
    <t>4f27b464-453c-11ed-aaf5-506b8dbc8dfb</t>
  </si>
  <si>
    <t>Phòng Khám Đa Khoa Chac, 110A Đ. Ng. Quyền, Phường 8, Quận 5, Thành phố Hồ Chí Minh</t>
  </si>
  <si>
    <t>55015451 - D10 - SVHanh - Bs Văn Khanh</t>
  </si>
  <si>
    <t>19246b26-4a0c-11ed-9dbf-506b8dbc8dfb</t>
  </si>
  <si>
    <t>People's Hospital 115, 527 Sư Vạn Hạnh, Phường 12, Quận 10, Thành phố Hồ Chí Minh</t>
  </si>
  <si>
    <t>51bfb168-446f-11ed-888f-506b8dbc8dfb</t>
  </si>
  <si>
    <t>Centre Médical International (CMI), 30 Phạm Ngọc Thạch, Ward, Quận 3, Thành phố Hồ Chí Minh</t>
  </si>
  <si>
    <t>50346613 - D1 - TDXu - Phòng Khám Paramed</t>
  </si>
  <si>
    <t>3ff69b1a-453a-11ed-a4e8-506b8dbc8dfb</t>
  </si>
  <si>
    <t>Paramed, 28, 30 Trần Đình Xu, Phường Cô Giang, Quận 1, Thành phố Hồ Chí Minh</t>
  </si>
  <si>
    <t>49360908 - D10 - NQuyen - BV Mắt Quang Đức</t>
  </si>
  <si>
    <t>d1eb6db4-4a14-11ed-a644-506b8dbc8dfb</t>
  </si>
  <si>
    <t>Hải Vy, 113 Đ. Ng. Quyền, Phường 12, Quận 5, Thành phố Hồ Chí Minh</t>
  </si>
  <si>
    <t>8eef787e-9a5e-11ef-8665-506b8d9879b5</t>
  </si>
  <si>
    <t>Phòng Khám Nhi Đồng Tâm An - Spa Mẹ &amp; Bé Tâm An, 667 Đ. Tạ Quang Bửu, Phường 4, Quận 8, Hồ Chí Minh 752800</t>
  </si>
  <si>
    <t>bf7aa49a-a013-11ef-9b5c-506b8d9879b5</t>
  </si>
  <si>
    <t>Phòng khám Chuyên khoa Thẩm mỹ MADRID, Nhà Số 36, Đường 8, KDC Hà Đô, 118, Đ. 3 Tháng 2, Phường 12, Q 10, Hồ Chí Minh</t>
  </si>
  <si>
    <t>10262 - ThAn - DLBDuong - Trần Đức Tuấn</t>
  </si>
  <si>
    <t>ad763b18-08d6-11ee-b9e0-506b8dbc8dfb</t>
  </si>
  <si>
    <t>Happiness International Hospital, 18 Đại lộ Bình Dương, Vĩnh Phú, Thuận An, Bình Dương</t>
  </si>
  <si>
    <t>Lái Thiêu</t>
  </si>
  <si>
    <t>17dd37b4-3d9d-11ed-93b6-506b8dbc8dfb</t>
  </si>
  <si>
    <t>dc596d98-9817-11ef-92ed-506b8d9879b5</t>
  </si>
  <si>
    <t>Xét nghiệm Y khoa LIFE LAB, C34, Khu Phố 1, Khu Biệt Thự, Thạnh Xuân, Quận 12, Hồ Chí Minh</t>
  </si>
  <si>
    <t>Thới An</t>
  </si>
  <si>
    <t>46558399 - D9 - DXHop - Trần Minh Giang</t>
  </si>
  <si>
    <t>d5065f1a-9c27-11ef-944e-506b8d9879b5</t>
  </si>
  <si>
    <t>Phòng Khám Bác Sĩ Giang, 5 Đ. 475, Phước Long B, Quận 9, Hồ Chí Minh</t>
  </si>
  <si>
    <t>Phước Long</t>
  </si>
  <si>
    <t>37c8f934-0ce8-11ef-900c-506b8d9879b5</t>
  </si>
  <si>
    <t>92ee6dfe-8f78-11ef-a014-506b8d9879b5</t>
  </si>
  <si>
    <t>236 Hòa Bình, Phú Thạnh, Tân Phú, Hồ Chí Minh</t>
  </si>
  <si>
    <t>12981- D10 - THThanh - Doctor Check - Trung Tâm Nội Soi &amp; Chuẩn Đoán</t>
  </si>
  <si>
    <t>59745744-e163-11f0-ab70-506b8d982279</t>
  </si>
  <si>
    <t>Endo Clinic - Tiêu Hoá Khỏe &amp; Ngừa Ung Thư, 429 Tô Hiến Thành, Phường 14, Quận 10, Thành phố Hồ Chí Minh 700000</t>
  </si>
  <si>
    <t>52229716 - GVap - NTSon - Bs.Lê Thị Bích Vân</t>
  </si>
  <si>
    <t>f132bb20-e168-11f0-8c30-506b8d982279</t>
  </si>
  <si>
    <t>Phòng Khám Đa Khoa Nguyễn Thái Sơn, Đ. Nguyễn Thái Sơn/201 Đ. Hạnh Thông, phường, Gò Vấp, Thành phố Hồ Chí Minh 71407</t>
  </si>
  <si>
    <t>9eb567be-e201-11f0-8ca4-506b8d982279</t>
  </si>
  <si>
    <t>Phòng khám Phụ Sản IVF Âu Cơ, Đường Ký Hoà, Phường 11, District 5, Ho Chi Minh City, Vietnam</t>
  </si>
  <si>
    <t>63e8c524-1519-11ef-af48-506b8d9879b5</t>
  </si>
  <si>
    <t>Phòng Khám Mẹ &amp; Bé, 186A Đ. Trần Bình Trọng, Phường 3, Quận 5, Thành phố Hồ Chí Minh</t>
  </si>
  <si>
    <t>afa432a4-e237-11f0-8595-506b8d982279</t>
  </si>
  <si>
    <t>District 7 Hospital, 101 Đ. Nguyễn Thị Thập, Phường Tân Mỹ, Quận 7, Thành phố Hồ Chí Minh 00700</t>
  </si>
  <si>
    <t>a9d40ba4-e257-11f0-adbb-506b8d982279</t>
  </si>
  <si>
    <t>209/96 Tôn Thất Thuyết, Phường 3, Quận 4, Thành phố Hồ Chí Minh</t>
  </si>
  <si>
    <t>Vĩnh Hội</t>
  </si>
  <si>
    <t>c995bfaa-3d9b-11ed-9a28-506b8dbc8dfb</t>
  </si>
  <si>
    <t>cd68ba74-e25c-11f0-a28c-506b8d982279</t>
  </si>
  <si>
    <t>Gaya Hospital Vietnam - South, 23-23A-25A1, Trương Công Định, Phường Tân Bình, Tân Bình, Thành phố Hồ Chí Minh</t>
  </si>
  <si>
    <t>cc143b9c-ceec-11ee-9518-506b8d9879b5</t>
  </si>
  <si>
    <t>18047 - DAn - DT743 - Phạm Văn Tuấn</t>
  </si>
  <si>
    <t>d7c190a0-8c26-11ef-87b3-506b8d9879b5</t>
  </si>
  <si>
    <t>Medical Center of Di An District, 500 đường ĐT 743, Khu phố Đông Tác, Dĩ An, Bình Dương 75300</t>
  </si>
  <si>
    <t>acdc38c0-4620-11ed-88dd-506b8dbc8dfb</t>
  </si>
  <si>
    <t>759 Đ. Nguyễn Ảnh Thủ, P, Quận 12, Thành phố Hồ Chí Minh</t>
  </si>
  <si>
    <t>Trung Mỹ Tây</t>
  </si>
  <si>
    <t>49679823 - D4 - BVDon - Bác sĩ Nguyễn Hữu Minh Trí</t>
  </si>
  <si>
    <t>c607d26e-e2fd-11f0-a325-506b8d982279</t>
  </si>
  <si>
    <t>District 4 Hospital, 65 Bến Vân Đồn, Phường 12, Quận 4, Thành phố Hồ Chí Minh</t>
  </si>
  <si>
    <t>Xóm Chiếu</t>
  </si>
  <si>
    <t>51579663 - DAn - DT743 - Ngô Hồng Quang</t>
  </si>
  <si>
    <t>931afdd6-af9c-11ee-a1b4-506b8d9879b5</t>
  </si>
  <si>
    <t>12134 - DAn - NTHoc - Lê Thị Anh Thư</t>
  </si>
  <si>
    <t>f5f8f458-905b-11ef-9cdc-506b8d9879b5</t>
  </si>
  <si>
    <t>86 Đ. Nguyễn Thái Học, Tân Đông Hiệp, Thành Phố, Bình Dương</t>
  </si>
  <si>
    <t>20541 - TDuc - PChau - Dương Thị Thanh Hoa</t>
  </si>
  <si>
    <t>7964592e-9032-11ef-bd1c-506b8d9879b5</t>
  </si>
  <si>
    <t>21528 - TAn - NDChieu - PHÒNG KHÁM ĐA KHOA DOFA</t>
  </si>
  <si>
    <t>b3fd2c12-8904-11ef-9aff-506b8d9879b5</t>
  </si>
  <si>
    <t>PHÒNG KHÁM ĐA KHOA DOFA, 74 Nguyễn Đình Chiểu, Phường 1, Tân An, Long An 82000</t>
  </si>
  <si>
    <t>fe316052-950f-11ef-8282-506b8d9879b5</t>
  </si>
  <si>
    <t>Trạm Xe Kim Mã, 300 Đ. Trần Phú, Phường 8, Quận 5, Hồ Chí Minh</t>
  </si>
  <si>
    <t>7645c48a-4d84-11ef-ad7f-506b8d9879b5</t>
  </si>
  <si>
    <t>759 Đ. Nguyễn Ảnh Thủ, P, Quận 12, Thành phố Hồ Chí Minh 70000</t>
  </si>
  <si>
    <t>52140391 - D3 - CThang - Thẩm Mỹ Viện ICON</t>
  </si>
  <si>
    <t>e602e796-4537-11ed-8501-506b8dbc8dfb</t>
  </si>
  <si>
    <t>Viện Thẩm Mỹ Icon, 97 Đ. Cao Thắng, Phường 3, Quận 3, Thành phố Hồ Chí Minh 72400</t>
  </si>
  <si>
    <t>Bàn Cờ</t>
  </si>
  <si>
    <t>40664107 - TBinh - PVHai - BS Tô Thị Minh Nguyệt</t>
  </si>
  <si>
    <t>aeaecb14-4471-11ed-8019-506b8dbc8dfb</t>
  </si>
  <si>
    <t>Phòng khám sản &amp; phụ khoa BSCK2 TÔ THỊ MINH NGUYỆT, 25 Phạm Văn Hai, Phường 1, Tân Bình, Thành phố Hồ Chí Minh</t>
  </si>
  <si>
    <t>Tân Sơn Hòa</t>
  </si>
  <si>
    <t>54093168 - D10 - CThang - Cao Quốc Hưng</t>
  </si>
  <si>
    <t>f62e0320-4470-11ed-94a7-506b8dbc8dfb</t>
  </si>
  <si>
    <t>Drip Hydration Vietnam, 200A Đ. Cao Thắng, Phường 12, Quận 10, Thành phố Hồ Chí Minh 70000</t>
  </si>
  <si>
    <t>41128304 - D3 - HXHuong - TMV World Medical</t>
  </si>
  <si>
    <t>d79a6fa8-446f-11ed-9fa0-506b8dbc8dfb</t>
  </si>
  <si>
    <t>WORLD MEDICAL CENTER, 17A Hồ Xuân Hương, Phường 6, Quận 3, Thành phố Hồ Chí Minh</t>
  </si>
  <si>
    <t>54203548 - D1 - DTHoang - Phòng Khám Bác Sĩ Gia Đình Chăm Sóc Tại Nhà Việt Úc B2B</t>
  </si>
  <si>
    <t>03247526-49ff-11ed-82fc-506b8dbc8dfb</t>
  </si>
  <si>
    <t>Phòng khám bác sĩ gia đình Chăm sóc tại nhà Việt Úc, Lầu 1, Lầu 2, 215 Đ. Đinh Tiên Hoàng, Tân Định, Quận 1, Thành phố Hồ Chí Minh</t>
  </si>
  <si>
    <t>Tân Định</t>
  </si>
  <si>
    <t>54267288 - HMon - LTHa - Trần Thị Hương</t>
  </si>
  <si>
    <t>dcb1c006-86d8-11ef-9479-506b8d9879b5</t>
  </si>
  <si>
    <t>133 Lê Thị Hà, Tân Xuân, Hóc Môn, Hồ Chí Minh</t>
  </si>
  <si>
    <t>Hóc Môn</t>
  </si>
  <si>
    <t>55288147 - D7 - DDThuat - Nguyễn Phan Đào</t>
  </si>
  <si>
    <t>62bc6ae2-7ae6-11ef-8ad5-506b8d9879b5</t>
  </si>
  <si>
    <t>27 Đặng Đức Thuật, Tân Phong, Quận 7, TP. Hồ Chí Minh</t>
  </si>
  <si>
    <t>f5a54568-49f1-11ed-856f-506b8dbc8dfb</t>
  </si>
  <si>
    <t>CarePlus International Clinic, 66 Đ. Nam Kỳ Khởi Nghĩa, Phường Nguyễn Thái Bình, Quận 1, Thành phố Hồ Chí Minh</t>
  </si>
  <si>
    <t>10338 - D10 - CThang - Hồ Nhĩ Đang</t>
  </si>
  <si>
    <t>de653844-4547-11ed-bbc9-506b8dbc8dfb</t>
  </si>
  <si>
    <t>Nha khoa Singae, Tầng 1, Khu thương mại Hà đô Centrosa, 198A Đ. Cao Thắng, Phường 12, Quận 10, Thành phố Hồ Chí Minh</t>
  </si>
  <si>
    <t>49630570 - D3 - LQDon - Nha Khoa Quoc Te UMIDENTIST</t>
  </si>
  <si>
    <t>e9207eca-4abe-11ed-ad38-506b8dbc8dfb</t>
  </si>
  <si>
    <t>UMI - PHÒNG KHÁM QUỐC TẾ RĂNG HÀM MẶT, 27 Lê Quý Đôn, Võ Thị Sáu, Quận 3, Thành phố Hồ Chí Minh</t>
  </si>
  <si>
    <t>18721 - DAn - DT743 - Nguyễn Thị Thu Hương</t>
  </si>
  <si>
    <t>bf883ade-14c1-11ef-b595-506b8d9879b5</t>
  </si>
  <si>
    <t>b15b569a-447e-11ed-98ce-506b8dbc8dfb</t>
  </si>
  <si>
    <t>246B-E Đ. Bạch Đằng, Phường 24, Bình Thạnh, Thành phố Hồ Chí Minh 70000</t>
  </si>
  <si>
    <t>16db29e0-73db-11ef-baa3-506b8d9879b5</t>
  </si>
  <si>
    <t>54754017 - D5 - NTrai - BS Cao Hạo Nhiên</t>
  </si>
  <si>
    <t>aae6203e-7f0e-11ef-9ebc-506b8d9879b5</t>
  </si>
  <si>
    <t>Nguyen Tri Phuong Hospital, 468 Đ. Nguyễn Trãi, Phường 8, Quận 5, Hồ Chí Minh 70000</t>
  </si>
  <si>
    <t>41698599 - D1 - VTSau - Mắt Cao Thắng</t>
  </si>
  <si>
    <t>9c2f06dc-453b-11ed-941e-506b8dbc8dfb</t>
  </si>
  <si>
    <t>Phòng khám Mắt Quốc tế Cao Thắng, Tầng 5 toà nhà Citilight, 45 Võ Thị Sáu Đa Kao Quận 1 Quận 1 Hồ Chí Minh, 45 Võ Thị Sáu, Đa Kao, Quận 1, Thành phố Hồ Chí Minh</t>
  </si>
  <si>
    <t>495caf86-49fa-11ed-8e62-506b8dbc8dfb</t>
  </si>
  <si>
    <t>7 Phạm Văn Sáng, P.Xuân Thới Thượng, Huyện Hóc Môn, TP Hồ Chí Minh</t>
  </si>
  <si>
    <t>Bà Điểm</t>
  </si>
  <si>
    <t>20938 - TDuc - PChau - Hoàng Thị Ngọc Thúy - BV TĐ</t>
  </si>
  <si>
    <t>399725ba-8538-11ef-9d4c-506b8d9879b5</t>
  </si>
  <si>
    <t>21719 - D10 - 8 - Thẩm Mỹ Viện HA</t>
  </si>
  <si>
    <t>bfad2e5e-813e-11ef-a169-506b8d9879b5</t>
  </si>
  <si>
    <t>Thẩm Mỹ Viện H.A, 18 Đường Số 8, Phường 12, Quận 10, Hồ Chí Minh</t>
  </si>
  <si>
    <t>46556143 - D9 - LVViet - Nguyễn Thanh Hải</t>
  </si>
  <si>
    <t>7a72da3e-86a0-11ef-8531-506b8d9879b5</t>
  </si>
  <si>
    <t>Eastern People Military Hospital, 50 Lê Văn Việt, Hiệp Phú, Quận 9, Hồ Chí Minh</t>
  </si>
  <si>
    <t>17004 - TAn - DT827 - BS Dương Thị Kim Khuyến</t>
  </si>
  <si>
    <t>ea104870-f160-11ee-92f6-506b8d9879b5</t>
  </si>
  <si>
    <t>136C ĐT827, Khu phố Bình, Tân An, Long An 82100</t>
  </si>
  <si>
    <t>Tân An</t>
  </si>
  <si>
    <t>d28c2b68-87b7-11ef-9468-506b8d9879b5</t>
  </si>
  <si>
    <t>Phòng khám Tân Khánh bs Phương, 1123 QL1A, Phường Tân Khánh, Tân An, Long An</t>
  </si>
  <si>
    <t>Khánh Hậu</t>
  </si>
  <si>
    <t>20067 - D9 - CVong - Phòng khám Heli</t>
  </si>
  <si>
    <t>b6676fe4-e466-11f0-8a3d-506b8d982279</t>
  </si>
  <si>
    <t>FDCARE - PHÒNG KHÁM GIA ĐÌNH FDCARE, The Origami, Vinhomes Grand Park, Long Bình, Thủ Đức City, Ho Chi Minh City, Vietnam</t>
  </si>
  <si>
    <t>72f84188-e49e-11f0-abc5-506b8d982279</t>
  </si>
  <si>
    <t>Phòng Khám Phổi Việt, 107C Ngô Quyền, phường Chợ Lớn, TPHCM</t>
  </si>
  <si>
    <t>b72c94ac-e4b3-11f0-95cc-506b8d982279</t>
  </si>
  <si>
    <t>114 Huỳnh Tấn Phát, Bình Thuận, Quận 7, Thành phố Hồ Chí Minh</t>
  </si>
  <si>
    <t>16689 - D10 - SVHanh - Bs Nguyễn Phước Mỹ Linh</t>
  </si>
  <si>
    <t>bd35794c-e56a-11f0-a392-506b8d982279</t>
  </si>
  <si>
    <t>Bệnh viện Nhi đồng 1, 341 Sư Vạn Hạnh, Phường 10, Quận 10</t>
  </si>
  <si>
    <t>35ffceee-7baf-11ef-916b-506b8d9879b5</t>
  </si>
  <si>
    <t>Binh Duong Hospital, 5 Phạm Ngọc Thạch, Hiệp Thành, Thủ Dầu Một, Bình Dương</t>
  </si>
  <si>
    <t>21034 - D7 - TMy - Đặng Công Sơn</t>
  </si>
  <si>
    <t>9832f02e-7f0f-11ef-a2d9-506b8d9879b5</t>
  </si>
  <si>
    <t>Phòng khám đa khoa Trí Việt, 51 Tân Mỹ, Tân Phú, Quận 7, Hồ Chí Minh 70000</t>
  </si>
  <si>
    <t>21297 - HMon - QTrung - Nha Khoa Tâm An</t>
  </si>
  <si>
    <t>36cb716c-65ab-11ef-8c1d-506b8d9879b5</t>
  </si>
  <si>
    <t>Trung Tâm Nha Khoa Tâm An, Đ. Quang Trung/1/24 Tổ 64 Khu Phố 7, TT. Hóc Môn, Hóc Môn, Hồ Chí Minh 71700</t>
  </si>
  <si>
    <t>21316 - D10 - LTKiet - Trần Phương Linh</t>
  </si>
  <si>
    <t>bba05226-5607-11ef-877c-506b8d9879b5</t>
  </si>
  <si>
    <t>266 Lý Thường Kiệt, Phường 14, Quận 10, Hồ Chí Minh 70000</t>
  </si>
  <si>
    <t>22679c14-52e6-11ef-a589-506b8d9879b5</t>
  </si>
  <si>
    <t>555b Đại lộ Bình Dương, Hiệp Thành, Thủ Dầu Một, Bình Dương</t>
  </si>
  <si>
    <t>21585 - TDuc - PChau - Nguyễn Ngọc Tín</t>
  </si>
  <si>
    <t>3d324c10-7f0a-11ef-9093-506b8d9879b5</t>
  </si>
  <si>
    <t>17018 - D5 - NCThanh - Trung Tâm Y Khoa Hồng Lạc</t>
  </si>
  <si>
    <t>842ba4ec-4d8f-11ef-b733-506b8d9879b5</t>
  </si>
  <si>
    <t>Trung Tâm Y Khoa Hồng Lạc, 177A Đ. Nguyễn Chí Thanh, Phường 12, Quận 5, Hồ Chí Minh</t>
  </si>
  <si>
    <t>17950 - DAn - DT743 - Trần Văn Tài</t>
  </si>
  <si>
    <t>d73ed22e-48cd-11ef-88f9-506b8d9879b5</t>
  </si>
  <si>
    <t>d2229a02-c02f-11f0-951d-506b8d982279</t>
  </si>
  <si>
    <t>241 Lê Hồng Phong, Phường 4, Quận 5, Thành phố Hồ Chí Minh</t>
  </si>
  <si>
    <t>5b63341e-4623-11ed-a460-506b8dbc8dfb</t>
  </si>
  <si>
    <t>C10/3D1 Phạm Hùng Ấp A4, Xã Bình Hưng, Huyện Bình Chánh, TPHCM</t>
  </si>
  <si>
    <t>Bình Hưng</t>
  </si>
  <si>
    <t>0cfb7cc4-4550-11ed-8c98-506b8dbc8dfb</t>
  </si>
  <si>
    <t>A29/22 Tổ 10, Ấp 1,  P. Bình Hưng, H.Bình Chánh, TPHCM</t>
  </si>
  <si>
    <t>c320f744-4a06-11ed-adc5-506b8dbc8dfb</t>
  </si>
  <si>
    <t>Phòng khám phụ sản nhi khoa Sài Gòn, 138 Đ. Phú Lợi, Tổ 2, Khu 1, Thủ Dầu Một, Bình Dương 821155</t>
  </si>
  <si>
    <t>90798798-454c-11ed-b675-506b8dbc8dfb</t>
  </si>
  <si>
    <t>169 Đồng Đen, Phường 13, Tân Bình, Thành phố Hồ Chí Minh 70000</t>
  </si>
  <si>
    <t>Bảy Hiền</t>
  </si>
  <si>
    <t>1dbb8184-4ac4-11ed-8962-506b8dbc8dfb</t>
  </si>
  <si>
    <t>113 Nguyễn Thị Nhỏ, Phường 9, Tân Bình, Thành phố Hồ Chí Minh 70000</t>
  </si>
  <si>
    <t>Tân Hòa</t>
  </si>
  <si>
    <t>40663593 - TBinh - NTBinh - BS Lê Thị Hoàng uyên</t>
  </si>
  <si>
    <t>ce5fde34-49fd-11ee-9f4c-506b8d9879b5</t>
  </si>
  <si>
    <t>Phòng Khám Sản Phụ Khoa Bs Hoàng Uyên, Q, 268/62 Nguyễn Thái Bình, Phường 12, Tân Bình, Thành phố Hồ Chí Minh 70000</t>
  </si>
  <si>
    <t>eb63f7d6-4481-11ed-a3ad-506b8dbc8dfb</t>
  </si>
  <si>
    <t>Bênh Viện Nhi Đồng 345 Đ. Nguyễn Văn Cừ, An Bình, Ninh Kiều, Cần Thơ</t>
  </si>
  <si>
    <t>An Bình</t>
  </si>
  <si>
    <t>b959ed68-446d-11ed-b04f-506b8dbc8dfb</t>
  </si>
  <si>
    <t>dd6095f4-4bc3-11ef-9e92-506b8d9879b5</t>
  </si>
  <si>
    <t>Tan Dong Hiep medical center, Lê Hồng Phong, khu phố Đông Chiêu, Dĩ An</t>
  </si>
  <si>
    <t>15827 - MTho - LTHGam - Phòng khám Nhi Sài Gòn</t>
  </si>
  <si>
    <t>15717536-4bc8-11ef-a842-506b8d9879b5</t>
  </si>
  <si>
    <t>Phòng khám NHI SÀI GÒN MỸ THO, 124 Lê Thị Hồng Gấm, Phường 6, Thành phố Mỹ Tho, Tiền Giang 84100</t>
  </si>
  <si>
    <t>Thới Sơn</t>
  </si>
  <si>
    <t>16461 - ThAn - D1 - BS Hải Huyền</t>
  </si>
  <si>
    <t>0ac2e8da-015f-11ef-8a73-506b8d9879b5</t>
  </si>
  <si>
    <t>37 Đ. D1, Khu Dân Cư Viet Sing, Thuận An, Bình Dương</t>
  </si>
  <si>
    <t>An Phú</t>
  </si>
  <si>
    <t>12595 - ThAn - CVTiep - Nguyễn Thị Lệ Hằng</t>
  </si>
  <si>
    <t>282aa022-4690-11ef-8a3b-506b8d9879b5</t>
  </si>
  <si>
    <t>03 Châu Văn Tiếp, Khu phố Chợ, Thuận An, Bình Dương 75200</t>
  </si>
  <si>
    <t>21297 - HMon - NAThu - Nha Khoa Tâm An</t>
  </si>
  <si>
    <t>3c406e14-4895-11ef-8161-506b8d9879b5</t>
  </si>
  <si>
    <t>Trung tâm nha khoa Tâm An - Nha khoa uy tín Quận 12, 131/1 Đ. Nguyễn Ảnh Thủ, Trung Chánh, Hóc Môn, Hồ Chí Minh 70000</t>
  </si>
  <si>
    <t>17584 - DAn - DT743 - Lê Đình Quý</t>
  </si>
  <si>
    <t>35c70110-3cd3-11ef-afbf-506b8d9879b5</t>
  </si>
  <si>
    <t>17527 - GVap - QTrung - Bs.Nguyễn Công Bình</t>
  </si>
  <si>
    <t>471e7bea-e6ba-11f0-a1f3-506b8d982279</t>
  </si>
  <si>
    <t>774 Đ. Quang Trung, Phường 8, Gò Vấp, Thành phố Hồ Chí Minh 71400</t>
  </si>
  <si>
    <t>dda1ab1e-f012-11ee-b675-506b8d9879b5</t>
  </si>
  <si>
    <t>BigC Dong Nai, Số 833 Xa Lộ Hà Nội, Long Bình Tân, Thành phố Biên Hòa, Đồng Nai 710000</t>
  </si>
  <si>
    <t>Tam Hiệp</t>
  </si>
  <si>
    <t>18635 - ThAn - VP38 - Lê Nguyễn Minh Nguyệt</t>
  </si>
  <si>
    <t>375d7d5a-3932-11ef-925a-506b8d9879b5</t>
  </si>
  <si>
    <t>59 Đ. Vĩnh Phú 38, Vĩnh Phú, Thuận An, Bình Dương 75000</t>
  </si>
  <si>
    <t>b63279a2-e776-11f0-9ae2-506b8d982279</t>
  </si>
  <si>
    <t>Phòng khám Việt Long, 89/2D Tổ 85 Đ. Phạm Thị Giây, Thới Tam Thôn, Hóc Môn, Thành phố Hồ Chí Minh</t>
  </si>
  <si>
    <t>Đông Thạnh</t>
  </si>
  <si>
    <t>d739b44c-e84a-11f0-beec-506b8d982279</t>
  </si>
  <si>
    <t>Picasso Dental Clinic Ho Chi Minh City (Thao Dien, District 2), 25B Nguyễn Duy Hiệu, Thảo Điền, Thủ Đức, Thành phố Hồ Chí Minh 70000</t>
  </si>
  <si>
    <t>45369306 - D12 - TChinh - BS Phan Thị Tú Oanh</t>
  </si>
  <si>
    <t>5f6ec04a-3934-11ef-a140-506b8d9879b5</t>
  </si>
  <si>
    <t>399 Đ. Trường Chinh, Tân Thới Nhất, Quận 12, Hồ Chí Minh</t>
  </si>
  <si>
    <t>52292551 - BTan - 1 - BS Mai Thành Quang</t>
  </si>
  <si>
    <t>f72b42c2-4a08-11ed-bd6d-506b8dbc8dfb</t>
  </si>
  <si>
    <t>Nhà Thuốc Tây Hoàng Dung, 10 Đường số 1, Tân Tạo A, Bình Tân, Thành phố Hồ Chí Minh</t>
  </si>
  <si>
    <t>50566806 - D1 - Pasteur - Lê Thị Lan Hương</t>
  </si>
  <si>
    <t>66d7b9c8-4021-11f0-b03b-506b8d982279</t>
  </si>
  <si>
    <t>88 Pasteur, Bến Nghé, Quận 1, Hồ Chí Minh 70000</t>
  </si>
  <si>
    <t>f59d8ce4-9a7e-11ef-94b3-506b8d9879b5</t>
  </si>
  <si>
    <t>TAM MINH DUC GENERAL HOSPITAL, 198A Nguyễn Thị Thập, Phường 10, Mỹ Tho, Tiền Giang</t>
  </si>
  <si>
    <t>Trung An</t>
  </si>
  <si>
    <t>46648588 - D10 - TThái - BVĐK Bưu Điện</t>
  </si>
  <si>
    <t>67a7289a-1959-11f1-9378-fa163ee8d8ac</t>
  </si>
  <si>
    <t>Post Office General Hospital, Lô B9, Đ. Thành Thái, Phường 15, Quận 10, Thành phố Hồ Chí Minh</t>
  </si>
  <si>
    <t>24205 - VTau - 2/9 - Lê Thị Thu Trang</t>
  </si>
  <si>
    <t>ef82b2ca-1b61-11f1-9378-fa163ee8d8ac</t>
  </si>
  <si>
    <t>27 Đ. 2 Tháng 9, Phường 11, Vũng Tàu, Bà Rịa - Vũng Tàu 78220, Việt Nam</t>
  </si>
  <si>
    <t>fd168f54-e9ef-11f0-a0fb-506b8d982279</t>
  </si>
  <si>
    <t>61 - 63 Tỉnh lộ 8, ấp Tân Thạnh Tây, xã Phú Hoà Đông, Thành phố Hồ Chí Minh</t>
  </si>
  <si>
    <t>Phú Hòa Đông</t>
  </si>
  <si>
    <t>20020 - D10 - LTKiet - BS Nguyễn Thị Kim Hà</t>
  </si>
  <si>
    <t>57096060-27d5-11ef-a111-506b8d9879b5</t>
  </si>
  <si>
    <t>266 Lý Thường Kiệt, Phường 14, Quận 10, Thành phố Hồ Chí Minh 70000</t>
  </si>
  <si>
    <t>20438 - BThanh - DBLinh - Nguyễn Văn Thái</t>
  </si>
  <si>
    <t>fb328408-231d-11ef-be75-506b8d9879b5</t>
  </si>
  <si>
    <t>2e Đ. Đinh Bộ Lĩnh, Phường 15, Bình Thạnh, Thành phố Hồ Chí Minh 70000</t>
  </si>
  <si>
    <t>e02a09a6-ea13-11f0-baeb-506b8d982279</t>
  </si>
  <si>
    <t>Bệnh viện Lãnh Binh Thăng, 72 Đường Số 5 - Cư xá Bình Thới, Phường 8, Quận 11</t>
  </si>
  <si>
    <t>Bình Thới</t>
  </si>
  <si>
    <t>0704bb3e-ea14-11f0-9a4d-506b8d982279</t>
  </si>
  <si>
    <t>Medeze Medical, 116 Nguyễn Văn Hưởng, Thảo Điền, Thủ Đức</t>
  </si>
  <si>
    <t>20991 - TDuc - BChieu - Nguyễn Văn Hương</t>
  </si>
  <si>
    <t>6644fdfa-296f-11ef-aa8d-506b8d9879b5</t>
  </si>
  <si>
    <t>249 Ng. Chí Quốc, Bình Chiểu, Thủ Đức, Thành phố Hồ Chí Minh 721000</t>
  </si>
  <si>
    <t>17589 - TDuc - DChu - Hồ Văn Ý</t>
  </si>
  <si>
    <t>0f703182-1ff2-11f0-8f43-506b8d982279</t>
  </si>
  <si>
    <t>91 Dân Chủ, Bình Thọ, Thủ Đức, Hồ Chí Minh 70000</t>
  </si>
  <si>
    <t>02cb35f0-eade-11f0-97d5-506b8d982279</t>
  </si>
  <si>
    <t>36 Đ. Nguyễn Thị Sáu, Thạnh Lộc, Quận 12, Thành phố Hồ Chí Minh 70000</t>
  </si>
  <si>
    <t>An Phú Đông</t>
  </si>
  <si>
    <t>17881 - DAn - DT743 - Nguyễn Thị Thu Hường</t>
  </si>
  <si>
    <t>022269f8-1299-11ef-8616-506b8d9879b5</t>
  </si>
  <si>
    <t>Trung tâm Y tế thành phố Dĩ An, 500 đường ĐT 743, Khu phố Đông Tác, Dĩ An, Bình Dương 75300</t>
  </si>
  <si>
    <t>f4329dc6-3658-11ee-9fcc-506b8d9879b5</t>
  </si>
  <si>
    <t>Hệ Thống Phòng Khám Bác Sĩ Gia Đình Hồng Anh - Hong Anh GP Clinics, SH15 One Verandah - phường Thạnh Mỹ Lợi - quận 2, Tp, Phường Thạnh Mỹ Lợi, Thủ Đức, Thành phố Hồ Chí Minh 70000</t>
  </si>
  <si>
    <t>66fc6026-1efc-11ef-a481-506b8d9879b5</t>
  </si>
  <si>
    <t>Phòng Khám Sản - Nhi Sài Gòn, 261 Trương Công Định, Phường 3, Thành phố Vũng Tầu, Bà Rịa - Vũng Tàu 78208</t>
  </si>
  <si>
    <t>9dffb88c-9187-11ee-b505-506b8d9879b5</t>
  </si>
  <si>
    <t>BỆNH VIỆN ĐỒNG NAI -2, 2 Đ. Đồng Khởi, P, Tam Hòa, Tp. Biên Hòa, Đồng Nai 810000</t>
  </si>
  <si>
    <t>18335 - NBe - NHTho - Huỳnh Thiên Thảo</t>
  </si>
  <si>
    <t>9f0373e8-1b0e-11ef-8b52-506b8d9879b5</t>
  </si>
  <si>
    <t>1020 Đ. Lê Văn Lương, Phước Kiển, Nhà Bè, Hồ Chí Minh</t>
  </si>
  <si>
    <t>46672091 - DAn - LTKiet - Phòng khám đa khoa Tâm An</t>
  </si>
  <si>
    <t>ee2c45b8-4530-11ed-a031-506b8dbc8dfb</t>
  </si>
  <si>
    <t>497 Đ. Lý Thường Kiệt, Dĩ An, Bình Dương</t>
  </si>
  <si>
    <t>18394 - D5 - PCDieu - PHÒNG XÉT NGHIỆM Á CHÂU</t>
  </si>
  <si>
    <t>82cde5ac-64dc-11ee-8a67-506b8d9879b5</t>
  </si>
  <si>
    <t>21 Phó Cơ Điều, Phường 12, Quận 10, Hồ Chí Minh 70000</t>
  </si>
  <si>
    <t>22566 - TPhu - DTHuy - Phòng khám phẫu thuật thẩm mỹ KODA</t>
  </si>
  <si>
    <t>c9068092-1b7d-11f1-9378-fa163ee8d8ac</t>
  </si>
  <si>
    <t>Phòng khám Thẩm mỹ nâng mũi Koda Sài Gòn, 56B Đàm Thận Huy, Tân Quý, Tân Phú, Thành phố Hồ Chí Minh</t>
  </si>
  <si>
    <t>46540117 - TPhu - KViet - BS Vũ Thị Quỳnh Nga</t>
  </si>
  <si>
    <t>5af01d4e-1898-11f1-9378-fa163ee8d8ac</t>
  </si>
  <si>
    <t>220 Khuông Việt, Phú Trung, Tân Phú, Thành phố Hồ Chí Minh 700900</t>
  </si>
  <si>
    <t>Tân Phú</t>
  </si>
  <si>
    <t>99 Đ. Bình Thới, Phường 11, Quận 11, Thành phố Hồ Chí Minh 72620</t>
  </si>
  <si>
    <t>20067 - D7 - LTCho - Phòng khám Heli</t>
  </si>
  <si>
    <t>d71539bc-1977-11ef-9a6e-506b8d9879b5</t>
  </si>
  <si>
    <t>48 Đ. Lê Thị Chợ, Phú Mỹ, Quận 7, Thành phố Hồ Chí Minh 75000</t>
  </si>
  <si>
    <t>Phú Thuận</t>
  </si>
  <si>
    <t>29308384-18ae-11ef-8ca9-506b8d9879b5</t>
  </si>
  <si>
    <t>Clinic Peace, 49 ĐT743, Kp3, Thuận An, Bình Dương 820000</t>
  </si>
  <si>
    <t>20893 - ThAn - DLBDuong - ĐINH THÀNH TƯƠI</t>
  </si>
  <si>
    <t>d5f8fd8c-1d93-11ef-8509-506b8d9879b5</t>
  </si>
  <si>
    <t>ECHO MEDI - Healthcare Evolved, Căn 0102, Canary Plaza, 5 Đại lộ Bình Dương, P, Thuận An, Bình Dương 75000</t>
  </si>
  <si>
    <t>Thuận Giao</t>
  </si>
  <si>
    <t>20934 - BChanh - PHung - Nha Khoa Thẩm Mỹ Hồng Minh</t>
  </si>
  <si>
    <t>f72e9ab6-1cad-11ef-bb67-506b8d9879b5</t>
  </si>
  <si>
    <t>54/120 Đ. Phạm Hùng, Bình Hưng, Bình Chánh, Thành phố Hồ Chí Minh 70000</t>
  </si>
  <si>
    <t>52363348  - D10 - TThai - Phạm Thị Thanh Giang</t>
  </si>
  <si>
    <t>a1f58eae-0318-11f0-83c8-506b8d9879b5</t>
  </si>
  <si>
    <t>79 Đ. Thành Thái, Phường 14, Quận 10, Hồ Chí Minh</t>
  </si>
  <si>
    <t>d79450a8-ca70-11ef-a888-506b8d9879b5</t>
  </si>
  <si>
    <t>Toyota Bình Dương, Đường Hùng Vương, Hòa Phú, Thủ Dầu Một, Bình Dương, Việt Nam</t>
  </si>
  <si>
    <t>Bình Dương</t>
  </si>
  <si>
    <t>0fc8fc7c-edcf-11ef-a5e6-506b8d9879b5</t>
  </si>
  <si>
    <t>Bệnh viện quận 4, 65 Đ. Bến Vân Đồn, Phường 12, Quận 4, Hồ Chí Minh</t>
  </si>
  <si>
    <t>40f9f9c2-ed0b-11f0-ac9d-506b8d982279</t>
  </si>
  <si>
    <t>An Bình Hospital, 146 Đ. An Bình, Phường An Đông, Quận 5, Thành phố Hồ Chí Minh</t>
  </si>
  <si>
    <t>2bd48960-edcc-11f0-b942-506b8d982279</t>
  </si>
  <si>
    <t>64 Bến Vân Đồn, Phường 12, Quận 4, Thành phố Hồ Chí Minh</t>
  </si>
  <si>
    <t>0b6b4dde-ee13-11f0-9829-506b8d982279</t>
  </si>
  <si>
    <t>Dr Linh Spa Clinic &amp; Academy, 401/1 Nguyễn Văn Khối, Phường 8, Gò Vấp, Thành phố Hồ Chí Minh</t>
  </si>
  <si>
    <t>23905 - D11 - NTNho - BS Nguyễn Duy Phương Nam</t>
  </si>
  <si>
    <t>5f935f3e-ee1b-11f0-af9a-506b8d982279</t>
  </si>
  <si>
    <t>Shanghai Clinic, 71 Nguyễn Thị Nhỏ, Phường 9, Tân Bình, Thành phố Hồ Chí Minh 70000</t>
  </si>
  <si>
    <t>89a82644-ee8c-11f0-9378-fa163ee8d8ac</t>
  </si>
  <si>
    <t>4 Military Hospital, 137 ĐT743, Khu Phố Thống Nhất 2, Dĩ An, Bình Dương</t>
  </si>
  <si>
    <t>8bcb2b9a-cce3-11ef-9c4f-506b8d9879b5</t>
  </si>
  <si>
    <t>1C Nguyễn Ảnh Thủ, Trung Mỹ Tây, Quận 12, TP Hồ Chí Minh</t>
  </si>
  <si>
    <t>Diag Laboratories, 1375, 1377 Huỳnh Tấn Phát, KP4, Quận 7, Thành phố Hồ Chí Minh 72907</t>
  </si>
  <si>
    <t>Diag Laboratories, 129 Nguyễn Đình Chiểu, Phường 1, Tân An, Long An 82106</t>
  </si>
  <si>
    <t>46673509 - D11 - MPhung - Huỳnh Thị Thúy Mai</t>
  </si>
  <si>
    <t>9bafe8ec-4ab4-11ed-834b-506b8dbc8dfb</t>
  </si>
  <si>
    <t>Sản Phụ Khoa - 530 Minh Phụng, 530 Minh Phụng, P.9, Quận 11, Thành phố Hồ Chí Minh 70000</t>
  </si>
  <si>
    <t>79fa44ce-87aa-11ef-b366-506b8d9879b5</t>
  </si>
  <si>
    <t>15 Đ. Nguyễn Thành Phương, Thống Nhất, Biên Hòa, Đồng Nai</t>
  </si>
  <si>
    <t>Trấn Biên</t>
  </si>
  <si>
    <t>6e450f64-3326-11f1-9378-fa163ee8d8ac</t>
  </si>
  <si>
    <t>525-525A Phạm Văn Thuận, P. Tam Hiệp, TP. Biên Hòa, Đồng Nai</t>
  </si>
  <si>
    <t>24751 - AGiang - 2 - HỘ KINH DOANH NGUYỄN BẢO TRÂN</t>
  </si>
  <si>
    <t>bdc43294-34c6-11f1-9378-fa163ee8d8ac</t>
  </si>
  <si>
    <t>V63Q+67V, Cầu Bến Nhứt, Long Thạnh, An Giang</t>
  </si>
  <si>
    <t>Long Thạnh</t>
  </si>
  <si>
    <t>24751 - D10 - LHPhong -  HỘ KINH DOANH NGUYỄN BẢO TRÂN</t>
  </si>
  <si>
    <t>e1872a2e-353e-11f1-9378-fa163ee8d8ac</t>
  </si>
  <si>
    <t>Phương Trang, 249 Lê Hồng Phong, Phường 4, Chợ Quán, Hồ Chí Minh</t>
  </si>
  <si>
    <t>3PL - Điền Linh - BX Miền Tây - BV Năm Anh</t>
  </si>
  <si>
    <t>efd1d3c6-3544-11f1-9378-fa163ee8d8ac</t>
  </si>
  <si>
    <t>466 Đ. Kinh Dương Vương, An Lạc, Hồ Chí Minh 70000</t>
  </si>
  <si>
    <t>24237 - TDuc - NTNguyet - Nha khoa Nụ Cười</t>
  </si>
  <si>
    <t>04155712-3555-11f1-9378-fa163ee8d8ac</t>
  </si>
  <si>
    <t>Nha khoa Nụ Cười, 18A Nguyễn Trung Nguyệt, Khu phố 5, Bình Trưng, Hồ Chí Minh</t>
  </si>
  <si>
    <t>023f8dfe-355f-11f1-9378-fa163ee8d8ac</t>
  </si>
  <si>
    <t>Phòng khám chuyên khoa Thẩm Mỹ LYRA, 155 Âu Cơ, Phường 14, Hòa Bình, Hồ Chí Minh</t>
  </si>
  <si>
    <t>9c279fa4-ef52-11f0-9378-fa163ee8d8ac</t>
  </si>
  <si>
    <t>520 Đ. Võ Nguyên Giáp, Khu Phố 5, Biên Hòa, Đồng Nai 76111</t>
  </si>
  <si>
    <t>23648 - D1 - NTBinh - Ngô Kim Tú</t>
  </si>
  <si>
    <t>723b160c-3d81-11ed-b332-506b8dbc8dfb</t>
  </si>
  <si>
    <t>Anh Quốc Limousine, 18 Nguyễn Thái Bình, Phường Nguyễn Thái Bình, Quận 1, Thành phố Hồ Chí Minh 70000</t>
  </si>
  <si>
    <t>Bến Thành</t>
  </si>
  <si>
    <t>Diag Laboratories, 75 Đ. Lê Văn Việt, Hiệp Phú, Quận 9, Thành phố Hồ Chí Minh</t>
  </si>
  <si>
    <t>Diag Laboratories, 198 Nguyễn Thị Thập, Bình Thuận, Quận 7, Thành phố Hồ Chí Minh 72914</t>
  </si>
  <si>
    <t>275 Tô Ngọc Vân, Linh Đông, Thủ Đức, Thành phố Hồ Chí Minh</t>
  </si>
  <si>
    <t>742 Lũy Bán Bích, Tân Thành, Tân Phú, Thành phố Hồ Chí Minh</t>
  </si>
  <si>
    <t>Diag Laboratories, 495 Đ. Cách Mạng Tháng 8, Phú Cường, Thủ Dầu Một, Bình Dương 75153</t>
  </si>
  <si>
    <t>Diag Laboratories, 139 - 141 (số cũ, 241 Đ. Võ Thị Sáu, Khu Phố 7, Tp. Biên Hòa, Đồng Nai 76108</t>
  </si>
  <si>
    <t>Diag Laboratories, 271 Nguyễn An Ninh, Khu phố Bình Minh 2, Dĩ An, Bình Dương 75306</t>
  </si>
  <si>
    <t>Diag Laboratories, 85 Nơ Trang Long, P.11, Bình Thạnh, Thành phố Hồ Chí Minh 72313</t>
  </si>
  <si>
    <t>Bình Lợi Trung</t>
  </si>
  <si>
    <t>Diag Laboratories, 53 Nguyễn Du, Bến Nghé, Quận 1, Thành phố Hồ Chí Minh 710100</t>
  </si>
  <si>
    <t>Diag Laboratories, 158 Đ. Trần Não, P. Bình An, Quận 2, Thành phố Hồ Chí Minh 71108</t>
  </si>
  <si>
    <t>Diag Laboratories, 793 Nguyễn Kiệm, Phường 3, Gò Vấp, Thành phố Hồ Chí Minh 71409</t>
  </si>
  <si>
    <t>Diag Laboratories, 102, 104 Nam Kỳ Khởi Nghĩa, Phường 4, Thành phố Mỹ Tho, Tiền Giang 84114</t>
  </si>
  <si>
    <t>Diag Laboratories, 260a Lê Lợi, P.4, Thành phố Vũng Tầu, Bà Rịa - Vũng Tàu 78209</t>
  </si>
  <si>
    <t>Diag laboratories, 239 Khánh Hội, Phường 5, Quận 4, Thành phố Hồ Chí Minh 72809</t>
  </si>
  <si>
    <t>Diag laboratories, 199B Phạm Hùng, Phường 4, Quận 8, Thành phố Hồ Chí Minh 73018</t>
  </si>
  <si>
    <t>Diag Laboratories, 39 TL8, TT. Củ Chi, Củ Chi, Thành phố Hồ Chí Minh 71606</t>
  </si>
  <si>
    <t>Tân An Hội</t>
  </si>
  <si>
    <t>c81985d4-3d9c-11ed-8951-506b8dbc8dfb</t>
  </si>
  <si>
    <t>Diag Laboratories, 101 Đ. Đinh Tiên Hoàng, Đa Kao, Quận 1, Thành phố Hồ Chí Minh 71007</t>
  </si>
  <si>
    <t>Diag Laboratories, 67A Nguyễn Văn Tiết, Lái Thiêu, Thuận An, Bình Dương 75206</t>
  </si>
  <si>
    <t>Diag Laboratories, 31, 5 Đ. Quang Trung, TT. Hóc Môn, Hóc Môn, Thành phố Hồ Chí Minh 71706</t>
  </si>
  <si>
    <t>Trung Tâm Y Khoa Diag - Tên Lửa, 101 103 Đ. Tên Lửa, Bình Trị Đông B, Bình Tân, Thành phố Hồ Chí Minh 71908</t>
  </si>
  <si>
    <t>44336824 - D10 - CThang - Phòng khám Nhi khoa Sunshine</t>
  </si>
  <si>
    <t>c4000b5c-1eca-11ee-90ce-506b8d9879b5</t>
  </si>
  <si>
    <t>Phòng Khám Nhi Khoa Sunshine Quận 10, 466 Đ. Cao Thắng, Phường 12, Quận 10, Thành phố Hồ Chí Minh 70000</t>
  </si>
  <si>
    <t>18059 - BThanh - DBPhu - PK BSGĐ Hồng Anh</t>
  </si>
  <si>
    <t>9943a30c-e1b5-11ee-bfd8-506b8d9879b5</t>
  </si>
  <si>
    <t>720A Đ. Điện Biên Phủ, Vinhomes Tân Cảng, Bình Thạnh, Thành phố Hồ Chí Minh 72300</t>
  </si>
  <si>
    <t>Thạnh Mỹ Tây</t>
  </si>
  <si>
    <t>12217 - BTan - HL2 - Bs Phan Thị Huyền Nhung</t>
  </si>
  <si>
    <t>54d0c854-1ba3-11ee-a6cc-506b8d9879b5</t>
  </si>
  <si>
    <t>Binh Tan District Hospital, QJ73+86P, 809 HL2, Bình Trị Đông A, Bình Tân, Thành phố Hồ Chí Minh 100000</t>
  </si>
  <si>
    <t>cb26963e-0b2a-11ee-ade6-506b8dbc8dfb</t>
  </si>
  <si>
    <t>ECHO MEDI - Healthcare Evolved, 1026 Đ. Nguyễn Văn Linh, Tân Phong, Quận 7, Thành phố Hồ Chí Minh 72900</t>
  </si>
  <si>
    <t>08b826b6-938d-11ef-911f-506b8d9879b5</t>
  </si>
  <si>
    <t>BECAMEX TOWER - OFFICE (Viên Mãn), 230 Đại lộ Bình Dương, Phú Hoà, Thủ Dầu Một, Bình Dương</t>
  </si>
  <si>
    <t>20287 - BTan - HL2 - Bùi Thị Thu Hà</t>
  </si>
  <si>
    <t>53d37884-ea4c-11ee-bb8c-506b8d9879b5</t>
  </si>
  <si>
    <t>0cb3abde-dcde-11ee-aa78-506b8d9879b5</t>
  </si>
  <si>
    <t>Dong Nai Children's Hospital, Hẻm 528 Xa lộ Hà Nội, Khu Phố 5, Thành phố Biên Hòa, Đồng Nai</t>
  </si>
  <si>
    <t>15982 - BHoa - QL1A - Đặng Ngọc Quý Huệ</t>
  </si>
  <si>
    <t>556271bc-1eb3-11f1-9378-fa163ee8d8ac</t>
  </si>
  <si>
    <t>Dong Nai Thong Nhat General Hospital, 234 QL1A, Phường Long Bình, Biên Hòa, Đồng Nai</t>
  </si>
  <si>
    <t>SENDOUT30 - D3 - NThông - BV Da Liễu</t>
  </si>
  <si>
    <t>1bc194a8-1f47-11f1-9378-fa163ee8d8ac</t>
  </si>
  <si>
    <t>HCMC Dermatology &amp; Venereology Hospital, 2 Nguyễn Thông, Phường 6, Quận 3, Thành phố Hồ Chí Minh 700000</t>
  </si>
  <si>
    <t>BRVTau - Support Phan Dạ Thúy - Home</t>
  </si>
  <si>
    <t>8d2854a0-44e7-11f0-8d3a-506b8d982279</t>
  </si>
  <si>
    <t>Tổ 5 cát Hải,tân hải, làng Cát, Tân Thành, Bà Rịa - Vũng Tàu</t>
  </si>
  <si>
    <t>Long Hương</t>
  </si>
  <si>
    <t>192b9d50-355f-11f1-9378-fa163ee8d8ac</t>
  </si>
  <si>
    <t>f3d664fa-d466-11ee-b71b-506b8d9879b5</t>
  </si>
  <si>
    <t>PHÒNG KHÁM ĐA KHOA ĐÔNG SÀI GÒN VSLĐ, 2142, tổ 16b, đường Nguyễn Ái Quốc, Phường, Khu phố, Thành phố Biên Hòa, Đồng Nai 810000</t>
  </si>
  <si>
    <t>Biên Hòa</t>
  </si>
  <si>
    <t>9c275ec6-d7c7-11ee-a881-506b8d9879b5</t>
  </si>
  <si>
    <t>Phòng khám sản phụ khoa hiếm muộn BS CKII Hồ Vân Phúc, 81/61 đường Hồ Văn Huê, Phường 9, Phú Nhuận, Thành phố Hồ Chí Minh 70000</t>
  </si>
  <si>
    <t>Đức Nhuận</t>
  </si>
  <si>
    <t>40663498 - PNhuan - HVHue - BS Hồ Vân Phúc</t>
  </si>
  <si>
    <t>087d75f0-11c7-11ee-99e9-506b8dbc8dfb</t>
  </si>
  <si>
    <t>1d97d904-f12a-11f0-9378-fa163ee8d8ac</t>
  </si>
  <si>
    <t>Dong Nai General Hospital, XV29+W6G, 2 Đ. Đồng Khởi, Bình Đa, Biên Hòa, Đồng Nai</t>
  </si>
  <si>
    <t>2b2dc0f6-c06a-11f0-950c-506b8d982279</t>
  </si>
  <si>
    <t>Dong Nai General Hospital, 2 Đ. Đồng Khởi, Bình Đa, Biên Hòa, Đồng Nai</t>
  </si>
  <si>
    <t>6ec2c57e-f2b4-11f0-9378-fa163ee8d8ac</t>
  </si>
  <si>
    <t>53414664 - TDuc - PChau - Bs. Phạm Thị Thu Thảo</t>
  </si>
  <si>
    <t>bfcd5e84-c020-11ee-ad53-506b8d9879b5</t>
  </si>
  <si>
    <t>Bệnh Viện Thành Phố Thủ Đức, 29 Phú Châu, Tam Phú, Thủ Đức, Thành phố Hồ Chí Minh 70000</t>
  </si>
  <si>
    <t>15310 - VTau - LLoi - Đinh Xuân Đức</t>
  </si>
  <si>
    <t>55b84454-d057-11ee-8a31-506b8d9879b5</t>
  </si>
  <si>
    <t>25b Lê Lợi, Phường 4, Thành phố Vũng Tầu, Bà Rịa - Vũng Tàu 008454</t>
  </si>
  <si>
    <t>20296 - TDuc - PChau - Trần Tri Tâm</t>
  </si>
  <si>
    <t>c67b317c-d211-11ee-9bf3-506b8d9879b5</t>
  </si>
  <si>
    <t>Thu Duc City Hospital, 29 Phú Châu, Tam Phú, Thủ Đức, Thành phố Hồ Chí Minh 70000</t>
  </si>
  <si>
    <t>46511539 - D1 - TTThanh - Phòng Khám Đa Khoa Tao Đàn</t>
  </si>
  <si>
    <t>5b76ce20-d074-11ee-ac8d-506b8d9879b5</t>
  </si>
  <si>
    <t>Phòng khám Đa khoa Tao Đàn, 77 Thạch Thị Thanh, Phường Tân Định, Quận 1, Thành phố Hồ Chí Minh</t>
  </si>
  <si>
    <t>17756 - ThAn - B2 - Nguyễn Đình Thịnh</t>
  </si>
  <si>
    <t>20a6a8ee-bcf9-11ee-9025-506b8d9879b5</t>
  </si>
  <si>
    <t>Phòng Khám Tịnh Tâm Đường ( Bs Thịnh ), 5-B2 Chợ Đồng An 4, Khu phố Đồng An 2, Thuận An, Bình Dương</t>
  </si>
  <si>
    <t>Bình Hòa</t>
  </si>
  <si>
    <t>12134 - ThAn - 51 - Lê Thị Anh Thư</t>
  </si>
  <si>
    <t>ea76c964-8ab9-11ee-86a0-506b8d9879b5</t>
  </si>
  <si>
    <t>1 ĐT743, Khu Phố 1A, Thuận An, Bình Dương 590000</t>
  </si>
  <si>
    <t>52698914 - BTan - HL2 - Bs Võ Hoàng Khánh Trang</t>
  </si>
  <si>
    <t>5a9427be-c4a8-11ee-9a7a-506b8d9879b5</t>
  </si>
  <si>
    <t>253e3a3e-41fe-11f1-9378-fa163ee8d8ac</t>
  </si>
  <si>
    <t>839A Đ. Hậu Giang, Phường 11, Bình Phú, Hồ Chí Minh</t>
  </si>
  <si>
    <t>exported 2026-04-27</t>
  </si>
  <si>
    <t>21546 - GVap - PVChieu - BS Quang</t>
  </si>
  <si>
    <t>fbb7ac8c-4445-11f1-9378-fa163ee8d8ac</t>
  </si>
  <si>
    <t>56/64 Đ. Phạm Văn Chiêu, Phường 8, An Hội Tây, Hồ Chí Minh</t>
  </si>
  <si>
    <t>An Hội Tây</t>
  </si>
  <si>
    <t>21546 - GVap - PVChieu - Bs Nguyễn Duy Quang Phạm Văn Chiêu</t>
  </si>
  <si>
    <t>2b03aca6-4762-11f1-9378-fa163ee8d8ac</t>
  </si>
  <si>
    <t>Phòng Khám Đa Khoa Việt Mỹ 187A Đ. Phạm Văn Chiêu, An Hội Tây, Hồ Chí Minh 700000, Việt Nam</t>
  </si>
  <si>
    <t>48546094 - D10 - SVHanh - Trần Thị Hồng Ngọc</t>
  </si>
  <si>
    <t>46c43ccc-bb80-11ef-8a47-506b8d9879b5</t>
  </si>
  <si>
    <t>Children’s Hospital 1, 341 Đ. Sư Vạn Hạnh, Phường 10, Quận 10, Hồ Chí Minh</t>
  </si>
  <si>
    <t>15658 - DAn - 30/4 - Bảo Hùng</t>
  </si>
  <si>
    <t>a89243e2-bb2a-11ee-8aea-506b8d9879b5</t>
  </si>
  <si>
    <t>90 Đường 30 Tháng 4, Bình An, Dĩ An, Bình Dương 75300</t>
  </si>
  <si>
    <t>Đông Hòa</t>
  </si>
  <si>
    <t>f8781c90-7580-11ef-964d-506b8d9879b5</t>
  </si>
  <si>
    <t>Phòng Khám Đa Khoa Compass, 761A Đ. Lũy Bán Bích, Hoà Thanh, Tân Phú, Hồ Chí Minh 70000</t>
  </si>
  <si>
    <t>425ab5b8-765b-11ef-b8d8-506b8d9879b5</t>
  </si>
  <si>
    <t>Phuong Chi General Hospital, DX 76, khu phố 2, Thủ Dầu Một, Bình Dương</t>
  </si>
  <si>
    <t>Chánh Hiệp</t>
  </si>
  <si>
    <t>f0b29d74-f1ca-11f0-9378-fa163ee8d8ac</t>
  </si>
  <si>
    <t>2178a272-f39d-11f0-9378-fa163ee8d8ac</t>
  </si>
  <si>
    <t>0f920f28-f41d-11f0-9378-fa163ee8d8ac</t>
  </si>
  <si>
    <t>34A Lê Thị Hà, Tân Xuân, Hóc Môn, Thành phố Hồ Chí Minh 70000</t>
  </si>
  <si>
    <t>86916f9c-f378-11f0-9378-fa163ee8d8ac</t>
  </si>
  <si>
    <t>110 Nguyễn Xiển, Trường Thạnh, Thủ Đức, Thành phố Hồ Chí Minh</t>
  </si>
  <si>
    <t>Long Phước</t>
  </si>
  <si>
    <t>197d8912-f531-11f0-9378-fa163ee8d8ac</t>
  </si>
  <si>
    <t>MHRF+6QQ, Bùi Thanh Khiết, TT. Tân Túc, Bình Chánh, Thành phố Hồ Chí Minh</t>
  </si>
  <si>
    <t>d5fc1bda-f5a9-11f0-9378-fa163ee8d8ac</t>
  </si>
  <si>
    <t>Nhà xe Thanh Tùng, 561 Ba Đình, Phường Hưng Phú, Quận 8, Thành phố Hồ Chí Minh</t>
  </si>
  <si>
    <t>24246 - D8 - 1 - Trương Quốc Bảo</t>
  </si>
  <si>
    <t>c4223872-f5b3-11f0-9378-fa163ee8d8ac</t>
  </si>
  <si>
    <t>District 8 Medical Center, 28 Đ. Số 1, Phường 6, Quận 8, Thành phố Hồ Chí Minh</t>
  </si>
  <si>
    <t>Bình Đông</t>
  </si>
  <si>
    <t>SENDOUT9 - TBinh - NDKhoi - Gentis</t>
  </si>
  <si>
    <t>06f01628-2b9b-11ee-addd-506b8d9879b5</t>
  </si>
  <si>
    <t>Trung tâm Gentis, 8/24 Nguyễn Đình Khơi, Phường 4, Tân Bình, Thành phố Hồ Chí Minh 70000</t>
  </si>
  <si>
    <t>Tân Sơn Nhất</t>
  </si>
  <si>
    <t>a3f4193a-8bf7-11ee-9060-506b8d9879b5</t>
  </si>
  <si>
    <t>Dong Nai Children's Hospital, XV4F+FPH, Hẻm 528 Xa lộ Hà Nội, Khu Phố 5, Thành phố Biên Hòa, Đồng Nai</t>
  </si>
  <si>
    <t>40663994 - D5 - ADVuong - BS. Phạm Thị Thanh Thủy</t>
  </si>
  <si>
    <t>31ce0206-680d-11ef-83d9-506b8d9879b5</t>
  </si>
  <si>
    <t>271 Đ. An Dương Vương, Phường 3, Quận 5, Hồ Chí Minh 710400</t>
  </si>
  <si>
    <t>e0e0f81a-a9e1-11ee-a67c-506b8d9879b5</t>
  </si>
  <si>
    <t>2289cb38-f734-11f0-9378-fa163ee8d8ac</t>
  </si>
  <si>
    <t>c53f193c-f73e-11f0-9378-fa163ee8d8ac</t>
  </si>
  <si>
    <t>Thu Duc General Hospital, 64 Lê Văn Chí, Linh Xuân, Thủ Đức, Thành phố Hồ Chí Minh</t>
  </si>
  <si>
    <t>Linh Xuân</t>
  </si>
  <si>
    <t>23941 -  D11 - THoa - BS Huỳnh Thiên Thảo</t>
  </si>
  <si>
    <t>3262e7f4-f790-11f0-9378-fa163ee8d8ac</t>
  </si>
  <si>
    <t>8A Tân Hóa, Phường 1, Quận 11, Thành phố Hồ Chí Minh</t>
  </si>
  <si>
    <t>1c48d9e8-f839-11f0-9378-fa163ee8d8ac</t>
  </si>
  <si>
    <t>Go Vap Hospital, Đường Quang Trung/641 Thông Tây Hội, Phường, Gò Vấp, Thành phố Hồ Chí Minh</t>
  </si>
  <si>
    <t>49462397 - D6 - ADVuong - Công TNHH Phát Triển Công Nghệ Anapath</t>
  </si>
  <si>
    <t>6470f684-5a0a-11ef-a612-506b8d9879b5</t>
  </si>
  <si>
    <t>852 Đ. An Dương Vương, Phường 13, Quận 6, Hồ Chí Minh 747400</t>
  </si>
  <si>
    <t>14242 - D1 - BTXuan - BS. LÊ PHAN THỊ DIỆU HƯƠNG</t>
  </si>
  <si>
    <t>1909b3ea-5a3a-11ef-bb5c-506b8d9879b5</t>
  </si>
  <si>
    <t>114 Đ. Bùi Thị Xuân, Phường Phạm Ngũ Lão, Quận 1, Hồ Chí Minh 70000</t>
  </si>
  <si>
    <t>260f4646-b35e-11ee-b01c-506b8d9879b5</t>
  </si>
  <si>
    <t>Elite Dental Metropole - Dental Clinic in District 2 - Implant &amp; Orthodontic Dentistry Center, B0108, đường D6, An Khánh, An Khánh, Thủ Đức, Thành phố Hồ Chí Minh 00700</t>
  </si>
  <si>
    <t>0e1a30d8-5abf-11ef-9f88-506b8d9879b5</t>
  </si>
  <si>
    <t>Công Ty Cổ Phần Bệnh Viện Sản Nhi Long An, 136 C, ĐT827, Phường 7, Tân An, Long An</t>
  </si>
  <si>
    <t>1f390568-aad6-11ee-97ff-506b8d9879b5</t>
  </si>
  <si>
    <t>Bệnh viện Gia An 115, 5 Đường Số 17A, Bình Trị Đông B, Bình Tân, Thành phố Hồ Chí Minh 70000</t>
  </si>
  <si>
    <t>3a077e58-58e0-11ee-92dc-506b8d9879b5</t>
  </si>
  <si>
    <t>BỆNH VIỆN ĐỒNG NAI -2, 2 Đ. Đồng Khởi, P, Thành phố Biên Hòa, Đồng Nai 810000</t>
  </si>
  <si>
    <t>2c029036-21e2-11f1-9378-fa163ee8d8ac</t>
  </si>
  <si>
    <t>1247 TL43, Bình Hòa, Thủ Đức, Hồ Chí Minh 700000</t>
  </si>
  <si>
    <t>3f8503b4-21e2-11f1-9378-fa163ee8d8ac</t>
  </si>
  <si>
    <t>557 Kha Vạn Cân, P, Thủ Đức, Hồ Chí Minh 729444</t>
  </si>
  <si>
    <t>48311834 - TBinh - LTKiet - Bs Châu Quốc Vinh</t>
  </si>
  <si>
    <t>ff343934-988a-11ee-ab04-506b8d9879b5</t>
  </si>
  <si>
    <t>1 Lý Thường Kiệt, Phường 7, Tân Bình, Thành phố Hồ Chí Minh 70000</t>
  </si>
  <si>
    <t>24130 - D10 - 3/2 - Bs Nguyễn Võ Bạch Thiện 3/2</t>
  </si>
  <si>
    <t>f7a959ca-3ef4-11f1-9378-fa163ee8d8ac</t>
  </si>
  <si>
    <t>Cổng 3B Bệnh Viện Nhi Đồng 1</t>
  </si>
  <si>
    <t>78abe6fe-3f7d-11f1-9378-fa163ee8d8ac</t>
  </si>
  <si>
    <t>74 Đ. Phan Đình Phùng, Trung Dũng, Trấn Biên, Đồng Nai 710000</t>
  </si>
  <si>
    <t>21247 - DAn - THDao - Bs Từ Thị Ngân Hà Trần Hưng Đạo</t>
  </si>
  <si>
    <t>b061082e-3fbc-11f1-9378-fa163ee8d8ac</t>
  </si>
  <si>
    <t>Trung tâm y tế phường Dĩ An, 455 đường Trần Hưng Đạo, khu phố Bình Minh 2, phường Dĩ An, TP. Hồ Chí Minh</t>
  </si>
  <si>
    <t>24802 - BRia - CMT8 - Bs Phan Thị Phương Thảo</t>
  </si>
  <si>
    <t>c138b01c-4051-11f1-9378-fa163ee8d8ac</t>
  </si>
  <si>
    <t>259 Cách Mạng Tháng Tám, Phước Hiệp, Bà Rịa, Hồ Chí Minh 87000</t>
  </si>
  <si>
    <t>Bà Rịa</t>
  </si>
  <si>
    <t>7d53a110-f90f-11f0-9378-fa163ee8d8ac</t>
  </si>
  <si>
    <t>TruWell Vietnam, Greenfield Villa, 61F Đ. Số 2, Khu phố 2, An Khánh, Thủ Đức, Ho Chi Minh City 700000, Vietnam</t>
  </si>
  <si>
    <t>d26fb6ae-f9a3-11f0-9378-fa163ee8d8ac</t>
  </si>
  <si>
    <t>23797 - D1 - NBKhiem - CÔNG TY CỔ PHẦN ĐẦU TƯ QUỐC TẾ MEGA GANGNAM</t>
  </si>
  <si>
    <t>69fd6c7a-fa88-11f0-9378-fa163ee8d8ac</t>
  </si>
  <si>
    <t>Viện thẩm Mỹ Mega Gangnam TpHCM, 24 Nguyễn Bỉnh Khiêm, Đa Kao, Quận 1, Thành phố Hồ Chí Minh 70000</t>
  </si>
  <si>
    <t>693fa07a-fa8b-11f0-9378-fa163ee8d8ac</t>
  </si>
  <si>
    <t>101 Nguyễn Chí Thanh, Phường 9, Quận 5, Thành phố Hồ Chí Minh</t>
  </si>
  <si>
    <t>a2e8d88c-fbf8-11f0-9378-fa163ee8d8ac</t>
  </si>
  <si>
    <t>Trạm Y tế Phường Bình Quới, Lô H, 33 Đ. Thanh Đa, Cư xá Thanh Đa, Bình Thạnh, Thành phố Hồ Chí Minh</t>
  </si>
  <si>
    <t>Bình Quới</t>
  </si>
  <si>
    <t>53031197 - DAn - DT743 - Trần Thị Thanh Hoài</t>
  </si>
  <si>
    <t>26b3f0b2-91af-11ef-8af7-506b8d9879b5</t>
  </si>
  <si>
    <t>17243 - DAn - LVMam - BS. Phạm Xuân Hùng</t>
  </si>
  <si>
    <t>83318a2e-1ba0-11ee-ac53-506b8d9879b5</t>
  </si>
  <si>
    <t>82 Lê Văn Mầm, Tân Đông Hiệp, Dĩ An, Bình Dương 75000</t>
  </si>
  <si>
    <t>Tân Đông Hiệp</t>
  </si>
  <si>
    <t>20312 - D9 - N2 - Nguyễn Thị Cẩm Tú</t>
  </si>
  <si>
    <t>41c06004-37b5-11f1-9378-fa163ee8d8ac</t>
  </si>
  <si>
    <t>Phân Khu Masteri - Nội Khu Vinhomes - Phường Long Thạnh Mỹ, Long Bình, Hồ Chí Minh</t>
  </si>
  <si>
    <t>17263 - D9 - LVViet - Nguyễn Trần Hoàng Thuận</t>
  </si>
  <si>
    <t>48c2f042-0c47-11ef-a969-506b8d9879b5</t>
  </si>
  <si>
    <t>Le Van Viet General Hospital, 387 Lê Văn Việt, Tăng Nhơn Phú A, Thành Phố Thủ Đức, Thành phố Hồ Chí Minh 715143</t>
  </si>
  <si>
    <t>17848 - TDuc - PChau - Lê Công Thanh Quang</t>
  </si>
  <si>
    <t>e3d158d8-09bf-11ef-88cb-506b8d9879b5</t>
  </si>
  <si>
    <t>1b46fb96-02b9-11ef-8bdd-506b8d9879b5</t>
  </si>
  <si>
    <t>5, Pham Ngoc Thach Street, Hiệp Thành, Thủ Dầu Một, Bình Dương</t>
  </si>
  <si>
    <t>23802 - TBinh - LLQuan - CHI NHÁNH CÔNG TY CỔ PHẦN Y TẾ KHANG PHÚC BỆNH VIỆN ĐA KHOA VIỆT MỸ</t>
  </si>
  <si>
    <t>66f744f6-fff6-11f0-9378-fa163ee8d8ac</t>
  </si>
  <si>
    <t>Bệnh viện Đa khoa Việt Mỹ tại 655-657-659 Lạc Long Quân, Lạc Long Quân, Phường 10, Tân Bình, Thành phố Hồ Chí Minh 700000</t>
  </si>
  <si>
    <t>2d13fd86-73db-11ef-a0d1-506b8d9879b5</t>
  </si>
  <si>
    <t>a81a3208-04f9-11ef-b200-506b8d9879b5</t>
  </si>
  <si>
    <t>20065 - PNhuan - LVSy - Nha Khoa Dr Phong Aki</t>
  </si>
  <si>
    <t>2146b330-00ad-11f1-9378-fa163ee8d8ac</t>
  </si>
  <si>
    <t>Nha Khoa Dr. Phong Aki, 63/2/3 Đ. Lê Văn Sỹ, Phường 13, Phú Nhuận, Thành phố Hồ Chí Minh</t>
  </si>
  <si>
    <t>51528896 - TDuc - PChau - BS. Phan Thị Ngọc Lan</t>
  </si>
  <si>
    <t>1c048a04-fc64-11ee-8491-506b8d9879b5</t>
  </si>
  <si>
    <t>0d52804c-95b1-11ef-a68d-506b8d9879b5</t>
  </si>
  <si>
    <t>Van Hanh General Hospital, B1-B3-B5, Hẻm 781 Lê Hồng Phong, Phường 12, Quận 10, Hồ Chí Minh</t>
  </si>
  <si>
    <t>18393 - ThAn - LThieu09 - Trương Thị Trinh</t>
  </si>
  <si>
    <t>620b9e0c-8c57-11ee-83ec-506b8d9879b5</t>
  </si>
  <si>
    <t>4 Đường Lái Thiêu 9, Lái Thiêu, Thuận An, Bình Dương</t>
  </si>
  <si>
    <t>18531 - TDuc - HVTu - Phòng Khám BS Hùng</t>
  </si>
  <si>
    <t>334007ba-f9fe-11ee-89bf-506b8d9879b5</t>
  </si>
  <si>
    <t>Nha khoa RITA, 78 Đ. Hồ Văn Tư, Trường Thọ, Thủ Đức, Thành phố Hồ Chí Minh 70000</t>
  </si>
  <si>
    <t>69575eda-37db-11f1-9378-fa163ee8d8ac</t>
  </si>
  <si>
    <t>Dong Nai Thong Nhat General Hospital, 234 QL1A, Long Bình, Đồng Nai</t>
  </si>
  <si>
    <t>20871 - D10 - NKim - Nguyễn Huỳnh Phương Thùy</t>
  </si>
  <si>
    <t>207bb378-3b6b-11ef-9eb9-506b8d9879b5</t>
  </si>
  <si>
    <t>85 Nguyễn Kim, Phường 7, Quận 10, Hồ Chí Minh 00000</t>
  </si>
  <si>
    <t>84b552a0-8c0b-11ee-9f3f-506b8d9879b5</t>
  </si>
  <si>
    <t>Phòng khám Đa Khoa Nhi Sài Gòn, 5 Đ. Phan Trung, Tân Tiến, Thành phố Biên Hòa, Đồng Nai 76000</t>
  </si>
  <si>
    <t>17576 - TDuc - HHNam - Long Lê Quang Hiển</t>
  </si>
  <si>
    <t>339f7770-8cb4-11ee-9036-506b8d9879b5</t>
  </si>
  <si>
    <t>376 Hoàng Hữu Nam, Long Thạnh Mỹ, Quận 9, Thành phố Hồ Chí Minh, , Vietnam</t>
  </si>
  <si>
    <t>fed50c9a-8c4e-11ee-9b83-506b8d9879b5</t>
  </si>
  <si>
    <t>3F 119, Tổ 22, Hóc Môn, Hồ Chí Minh</t>
  </si>
  <si>
    <t>12915 - HMon - TKy - Lê Long Thọ</t>
  </si>
  <si>
    <t>3a79b962-8ccc-11ee-88fe-506b8d9879b5</t>
  </si>
  <si>
    <t>244 Tô Ký, Thới Tam Thôn, Hóc Môn, Thành phố Hồ Chí Minh</t>
  </si>
  <si>
    <t>24914 - BChanh - ADLan - Phạm Thị Diễm My Âu Dương Lân</t>
  </si>
  <si>
    <t>d2aaedb6-42bc-11f1-9378-fa163ee8d8ac</t>
  </si>
  <si>
    <t>313 Âu Dương Lân, Phường Rạch Ông, Chánh Hưng, Hồ Chí Minh</t>
  </si>
  <si>
    <t>24104 - D3 - VVTan - WHITE CLINIC Võ văn tần</t>
  </si>
  <si>
    <t>b6995356-4609-11f1-9378-fa163ee8d8ac</t>
  </si>
  <si>
    <t>93 võ văn tần, p.6, quận 3</t>
  </si>
  <si>
    <t>17573 - D1 - MDChi - Bệnh viện Quốc tế Vineyes</t>
  </si>
  <si>
    <t>eb109406-8a6c-11ee-b947-506b8d9879b5</t>
  </si>
  <si>
    <t>BV Mắt Quốc Tế VINEYE, 49 Đ. Mạc Đĩnh Chi, Đa Kao, Quận 1, Thành phố Hồ Chí Minh 70000</t>
  </si>
  <si>
    <t>6c9c33de-8745-11ee-98f4-506b8d9879b5</t>
  </si>
  <si>
    <t>Phòng khám đa khoa Quốc tế, 120 Đ. Nguyễn Trãi, Phường Bến Thành, Quận 1, Thành phố Hồ Chí Minh 70000</t>
  </si>
  <si>
    <t>2dbcf8fe-842c-11ee-969a-506b8d9879b5</t>
  </si>
  <si>
    <t>Nha Khoa Quốc Tế Westway Estella Place Quận 2, L5, Estella Place, 15 88 Song Hành, An Phú, Quận 2, Thành phố Hồ Chí Minh 70000</t>
  </si>
  <si>
    <t>24330 - BThanh - NGTri - CÔNG TY TNHH TRUE SMILE - ĐỊA ĐIỂM KINH DOANH SỐ 1</t>
  </si>
  <si>
    <t>8f7d790a-00c7-11f1-9378-fa163ee8d8ac</t>
  </si>
  <si>
    <t>Nha Khoa True Smile, 18a Nguyễn Gia Trí, Phường 25, Bình Thạnh, Thành phố Hồ Chí Minh 70000</t>
  </si>
  <si>
    <t>839d5112-8bff-11ee-bbac-506b8d9879b5</t>
  </si>
  <si>
    <t>9a Ngô Quyền, Tân Thành, Tân Phú, Thành phố Hồ Chí Minh</t>
  </si>
  <si>
    <t>963d6a82-8c04-11ee-9ac6-506b8d9879b5</t>
  </si>
  <si>
    <t>57 Đường Hoàng Tam Kỳ, Long Bình, Thành phố Biên Hòa, Đồng Nai</t>
  </si>
  <si>
    <t>40663628 - D1 - THDao - Lý Thái Lộc</t>
  </si>
  <si>
    <t>f945bfda-01aa-11f1-9378-fa163ee8d8ac</t>
  </si>
  <si>
    <t>Phòng khám Sản phụ khoa &amp; Hiếm muộn - BS.CKII. Lý Thái Lộc, 286/20 A, Trần Hưng Đạo, Phường Nguyễn Cư Trinh, Quận 1, Thành phố Hồ Chí Minh</t>
  </si>
  <si>
    <t>46648704 - D6 - BHom - Phòng khám Đa khoa Hoàng Khang</t>
  </si>
  <si>
    <t>2b5a0fd2-023a-11f1-9378-fa163ee8d8ac</t>
  </si>
  <si>
    <t>Hoang Khang Clinic, 285 Bà Hom, Phường 13, Quận 6, Thành phố Hồ Chí Minh</t>
  </si>
  <si>
    <t>f036056c-8a92-11ee-b9a1-506b8d9879b5</t>
  </si>
  <si>
    <t>fe533c14-8358-11ee-a39c-506b8d9879b5</t>
  </si>
  <si>
    <t>Dentistry Vietnam France, 367, 367 A Phan Đình Phùng, P 15, Phú Nhuận, Thành phố Hồ Chí Minh 70000</t>
  </si>
  <si>
    <t>Cầu Kiệu</t>
  </si>
  <si>
    <t>6a6fbad4-84db-11ee-a902-506b8d9879b5</t>
  </si>
  <si>
    <t>27a Nguyễn Thị Tồn, Bửu Hoà, Biên Hòa, Đồng Nai</t>
  </si>
  <si>
    <t>69604404-7f9c-11ee-ac0e-506b8d9879b5</t>
  </si>
  <si>
    <t>79 Nguyễn Trung Trực, TT. Tân Trụ, Tân Trụ, Long An 82306</t>
  </si>
  <si>
    <t>Tân Trụ</t>
  </si>
  <si>
    <t>53364710 - D11 - 3/2 - Hạnh Phúc lab</t>
  </si>
  <si>
    <t>6bb7c48a-7f82-11ee-b7da-506b8d9879b5</t>
  </si>
  <si>
    <t>HANHPHUCLAB - TRUNG TÂM XÉT NGHIỆM CHẨN ĐOÁN Y KHOA, 1032 Đ. 3 Tháng 2, Phường 12, Quận 11, Thành phố Hồ Chí Minh 72615</t>
  </si>
  <si>
    <t>51109677 - D5 - NTrai - BS Nguyễn Linh Tuyển</t>
  </si>
  <si>
    <t>923c4cfe-79ef-11ee-a952-506b8d9879b5</t>
  </si>
  <si>
    <t>468 Đ. Nguyễn Trãi, Phường 8, Quận 5, Thành phố Hồ Chí Minh 70000</t>
  </si>
  <si>
    <t>18659 - D1 - NTrai - Jotun</t>
  </si>
  <si>
    <t>7b1c7ce2-7c7e-11ee-92df-506b8d9879b5</t>
  </si>
  <si>
    <t>23803 - D2 - 51 - Công ty TNHH Viện Nghiên Cứu Sức Khoẻ Takashij</t>
  </si>
  <si>
    <t>c0aaac44-1ce4-11f1-9378-fa163ee8d8ac</t>
  </si>
  <si>
    <t>114 Đ. 51, An Phú, Thủ Đức, Thành phố Hồ Chí Minh 700000</t>
  </si>
  <si>
    <t>83bf589c-1559-11ee-b4c1-506b8dbc8dfb</t>
  </si>
  <si>
    <t>Tien Giang maternity hospital, 4 Đ. Hùng Vương, Phường 1, Thành phố Mỹ Tho, Tiền Giang</t>
  </si>
  <si>
    <t>12539 - BThanh - LVDuyet - BS Phạm Lê Thanh Bình</t>
  </si>
  <si>
    <t>ace2374e-2375-11f1-9378-fa163ee8d8ac</t>
  </si>
  <si>
    <t>107/18 Lê Văn Duyệt, Phường 1, Bình Thạnh, Hồ Chí Minh</t>
  </si>
  <si>
    <t>NDTP - BChanh - DK3 - BV Truyền Máu Huyết Học</t>
  </si>
  <si>
    <t>368ecfe6-77cc-11ee-a9f0-506b8d9879b5</t>
  </si>
  <si>
    <t>Blood Transfusion Haematology hospital No.2, 1 Đ. DK3, Tân Kiên, Bình Chánh, Thành phố Hồ Chí Minh</t>
  </si>
  <si>
    <t>18517 - DAn - ABinh - Phòng Khám Chuyên Khoa Phúc An</t>
  </si>
  <si>
    <t>968bd864-761c-11ee-b67e-506b8d9879b5</t>
  </si>
  <si>
    <t>72 Đ. An Bình, An Bình, Dĩ An, Bình Dương</t>
  </si>
  <si>
    <t>11096 - D12 - NAThu - BS. Đỗ Minh Nguyệt</t>
  </si>
  <si>
    <t>d2aa9d4a-7afd-11ee-b73c-506b8d9879b5</t>
  </si>
  <si>
    <t>186 Đ. Nguyễn Ảnh Thủ, Hiệp Thành, Quận 12, Thành phố Hồ Chí Minh</t>
  </si>
  <si>
    <t>11775 - TDuc - PChau - NGUYỄN QUANG VŨ</t>
  </si>
  <si>
    <t>dffeb31c-7e1f-11ee-8aab-506b8d9879b5</t>
  </si>
  <si>
    <t>Thu Duc City Hospital, 29 Phú Châu, Tam Phú, thành phố Thủ Đức, Thành phố Hồ Chí Minh 70000</t>
  </si>
  <si>
    <t>bcc233d4-9002-11ee-a1bf-506b8d9879b5</t>
  </si>
  <si>
    <t>CLINE CLINIC, 2A Phan Đình Phùng, Phường 2, Phú Nhuận, Thành phố Hồ Chí Minh</t>
  </si>
  <si>
    <t>Support Dạ Thuý - Thạch</t>
  </si>
  <si>
    <t>afa3845a-251f-11f1-9378-fa163ee8d8ac</t>
  </si>
  <si>
    <t>G43X+4C7, Rạch Gầm Xoài Mút, Kim Dinh, Bà Rịa, Bà Rịa - Vũng Tàu</t>
  </si>
  <si>
    <t>24033 - TBom - AVien - Nguyễn Thị Mỹ Duyên</t>
  </si>
  <si>
    <t>532d6a22-0316-11f1-9378-fa163ee8d8ac</t>
  </si>
  <si>
    <t>Tổ 5, Ấp 3, An Viễn, Trảng Bom, Đồng Nai</t>
  </si>
  <si>
    <t>An Viễn</t>
  </si>
  <si>
    <t>4ade2dbe-47ea-11ee-aa84-506b8d9879b5</t>
  </si>
  <si>
    <t>Phòng Khám Ngoài Giờ Ths.Bs. Huỳnh Minh Hồng, C9/15 Dương Đình Cúc, Tân Nhựt, Bình Chánh, Thành phố Hồ Chí Minh 70000</t>
  </si>
  <si>
    <t>55032037 - TDuc - PChau - Bs. Nguyễn Đức Độ</t>
  </si>
  <si>
    <t>aa6cd6b8-fa14-11ee-bf0f-506b8d9879b5</t>
  </si>
  <si>
    <t>17779 - BChanh - VTChi - BS Trần Thị Nhi</t>
  </si>
  <si>
    <t>e80a5d32-6bd6-11ee-b97d-506b8d9879b5</t>
  </si>
  <si>
    <t>City Children's Hospital, 15 Đ. Võ Trần Chí, Tân Kiên, Bình Chánh, Thành phố Hồ Chí Minh 71815</t>
  </si>
  <si>
    <t>21056 - D3 - NTMKhai - Lê Thanh Bình</t>
  </si>
  <si>
    <t>2d985050-eb67-11ef-a729-506b8d9879b5</t>
  </si>
  <si>
    <t>bệnh viện Từ Dũ khu N khu khám theo yêu cầu, 227 Đ. Nguyễn Thị Minh Khai, P. Phú Thuận, Quận 1, Hồ Chí Minh</t>
  </si>
  <si>
    <t>23858 - TBinh - CMT8 - CHI NHÁNH CÔNG TY AMVVACCINE TẠI THÀNH PHỐ HỒ CHÍ MINH</t>
  </si>
  <si>
    <t>a2c88866-0567-11f1-9378-fa163ee8d8ac</t>
  </si>
  <si>
    <t>Phòng khám đa khoa Gentical Lạc Long Quân, 951a Cách Mạng Tháng Tám, Phường 7, Tân Bình, Thành phố Hồ Chí Minh</t>
  </si>
  <si>
    <t>Diag Laboratories, 309 Dương Trần Phú, Phường 3, Quận 5, Thành phố Hồ Chí Minh 72710</t>
  </si>
  <si>
    <t>3PL - D023 - HOM</t>
  </si>
  <si>
    <t>2e84c2da-12ee-11ee-90a2-506b8dbc8dfb</t>
  </si>
  <si>
    <t>Hoa Mai Bus Company, 19 Trưng Nhị, Phường 1, Thành phố Vũng Tầu, Bà Rịa - Vũng Tàu</t>
  </si>
  <si>
    <t>f38ad192-49f3-11ed-9233-506b8dbc8dfb</t>
  </si>
  <si>
    <t>Phòng Khám Hai Châu, Đ. Thân Nhân Trung, Trảng Dài, Thành phố Biên Hòa, Đồng Nai</t>
  </si>
  <si>
    <t>Trảng Dài</t>
  </si>
  <si>
    <t>15509 - D7 - DS32 - Phòng khám Nhi Dkid</t>
  </si>
  <si>
    <t>9d3c6604-668d-11ee-af7a-506b8d9879b5</t>
  </si>
  <si>
    <t>Phòng khám nhi Dkids cơ sở 2, 82 Đ. Số 32, P, Quận 7, Thành phố Hồ Chí Minh 790000</t>
  </si>
  <si>
    <t>Diag Laboratories, 231 Hoàng Văn Thụ, Phường 8, Phú Nhuận, Thành phố Hồ Chí Minh 72217</t>
  </si>
  <si>
    <t>55062978 - TDuc - PChau - Nguyễn Thị Dung</t>
  </si>
  <si>
    <t>f2e10204-4ab4-11ed-871b-506b8dbc8dfb</t>
  </si>
  <si>
    <t>Thu Duc City Hospital, Số 29 Phú Châu, Tam Phú, thành phố Thủ Đức, Thành phố Hồ Chí Minh 70000</t>
  </si>
  <si>
    <t>16107 - D8 - ADLan - Bs Phan Hà Thảo Nhi</t>
  </si>
  <si>
    <t>1dae6886-3883-11f1-9378-fa163ee8d8ac</t>
  </si>
  <si>
    <t>24802 - VTau - LLoi - Bs Phan Thị Phương Thảo</t>
  </si>
  <si>
    <t>a52c6074-388d-11f1-9378-fa163ee8d8ac</t>
  </si>
  <si>
    <t>67 Lê Lợi, Vung Tau, Vũng Tàu, Hồ Chí Minh, Việt Nam</t>
  </si>
  <si>
    <t>18453 - D1 - NTMKhai - Nha Khoa Wilson Dentistry</t>
  </si>
  <si>
    <t>ea887b24-5d04-11ee-94f8-506b8d9879b5</t>
  </si>
  <si>
    <t>Wilson Dentistry, 34 Đ. Nguyễn Thị Minh Khai, Đa Kao, Quận 1, Thành phố Hồ Chí Minh 70000</t>
  </si>
  <si>
    <t>24802 - VTau - NANinh - Bs Phan Thị Phương Thảo</t>
  </si>
  <si>
    <t>cbdacb16-388d-11f1-9378-fa163ee8d8ac</t>
  </si>
  <si>
    <t>513 Nguyễn An Ninh, Tam Thắng, Hồ Chí Minh 78000</t>
  </si>
  <si>
    <t>Tam Thắng</t>
  </si>
  <si>
    <t>24802 - VTau - NHCanh - Bs Phan Thị Phương Thảo</t>
  </si>
  <si>
    <t>efc0c88c-388d-11f1-9378-fa163ee8d8ac</t>
  </si>
  <si>
    <t>45 Nguyễn Hữu Cảnh, Rach Dua, Rạch Dừa, Hồ Chí Minh, Việt Nam</t>
  </si>
  <si>
    <t>Rạch Dừa</t>
  </si>
  <si>
    <t>24802 - VTau - BThNgo - Bs Phan Thị Phương Thảo</t>
  </si>
  <si>
    <t>d3f33224-388e-11f1-9378-fa163ee8d8ac</t>
  </si>
  <si>
    <t>935B Bình Giã, Phường Rạch Rừa, Rạch Dừa, Hồ Chí Minh 790000</t>
  </si>
  <si>
    <t>18405 - DNai - THiep - Vũ Thị Thanh Hương</t>
  </si>
  <si>
    <t>fc72c074-38ad-11f1-9378-fa163ee8d8ac</t>
  </si>
  <si>
    <t>XVF5+JXX, Trang Dai, Dong Nai</t>
  </si>
  <si>
    <t>18289 - TDuc - PChau - GT Express</t>
  </si>
  <si>
    <t>94f92bc8-5754-11ee-b0cd-506b8d9879b5</t>
  </si>
  <si>
    <t>14 Phú Châu, Tam Phú, Thủ Đức, Thành phố Hồ Chí Minh</t>
  </si>
  <si>
    <t>18335 - D7 - NLBang - Huỳnh Thiên Thảo</t>
  </si>
  <si>
    <t>c2cf6e44-395c-11f1-9378-fa163ee8d8ac</t>
  </si>
  <si>
    <t>Phuong Nam Hospital, 02 Nguyễn Lương Bằng, Tân Mỹ, Hồ Chí Minh 70000</t>
  </si>
  <si>
    <t>46651876 - TD1 - DLBDuong - ND315 Đại lộ Bình Dương</t>
  </si>
  <si>
    <t>401525de-27eb-11f1-9378-fa163ee8d8ac</t>
  </si>
  <si>
    <t>376 Đại lộ Bình Dương, Khu phố 1, phường Phú Lợi, thành phố Thủ Dầu Một, tỉnh Bình Dương</t>
  </si>
  <si>
    <t>46651876 - DAn - QL1K - ND315 Quốc lộ 1K</t>
  </si>
  <si>
    <t>79948a62-27ef-11f1-9378-fa163ee8d8ac</t>
  </si>
  <si>
    <t>03 Quốc lộ 1K, Khu phố Tây B, Phường Đông Hoà, TP. Dĩ An, Bình Dương</t>
  </si>
  <si>
    <t>18567 - ThAn - BNham10 - Bs Mai Thái An</t>
  </si>
  <si>
    <t>9c1611c4-061a-11f1-9378-fa163ee8d8ac</t>
  </si>
  <si>
    <t>WMJP+PF8, Bình Nhâm 09, Binh Nhâm, Thuận An, Bình Dương</t>
  </si>
  <si>
    <t>3982905c-544a-11ee-be4d-506b8d9879b5</t>
  </si>
  <si>
    <t>Phòng Khám Đa Khoa Sài Gòn - Quang Huy 1, 22/5C Đường Nguyễn Thị Sáu, Thới Tam Thôn, Hóc Môn, Thành phố Hồ Chí Minh 70000</t>
  </si>
  <si>
    <t>61080451 - NTrach - 1 - T.A VIETNAM INDUSTRIES INC</t>
  </si>
  <si>
    <t>0b357a0a-0651-11f1-9378-fa163ee8d8ac</t>
  </si>
  <si>
    <t>Văn phòng T.A VIETNAM INDUSTRIES INC. ( Truaire Vietnam ), Đường Số 1, Khu công nghiệp Nhơn Trạch 1, Nhơn Trạch, Đồng Nai 76256</t>
  </si>
  <si>
    <t>Nhơn Trạch</t>
  </si>
  <si>
    <t>9267efae-a5f4-11ee-afb0-506b8d9879b5</t>
  </si>
  <si>
    <t>Bệnh viện Nhi Đồng Đồng Nai</t>
  </si>
  <si>
    <t>23037 - TBinh - LTKiet - BS Quang</t>
  </si>
  <si>
    <t>ba923df0-0663-11f1-9378-fa163ee8d8ac</t>
  </si>
  <si>
    <t>1 Đ. Lý Thường Kiệt, Phường 7, Tân Bình, Thành phố Hồ Chí Minh</t>
  </si>
  <si>
    <t>21447 - VTau - NANinh - Bs Ngô Huy Hoàng</t>
  </si>
  <si>
    <t>17bd6e72-06ec-11f1-9378-fa163ee8d8ac</t>
  </si>
  <si>
    <t>569 Nguyễn An Ninh, Vũng Tàu, Bà Rịa - Vũng Tàu</t>
  </si>
  <si>
    <t>23979 - BLoc - TQToan - Bệnh viện II Lâm Đồng</t>
  </si>
  <si>
    <t>10f481f4-06f4-11f1-9378-fa163ee8d8ac</t>
  </si>
  <si>
    <t>Lam Dong II General Hospital, 263 Trần Quốc Toản, P. Blao, Bảo Lộc, Lâm Đồng</t>
  </si>
  <si>
    <t>B’Lao</t>
  </si>
  <si>
    <t>21125 - TDuc - LVChi - Bs Nguyễn Thiên Bảo Thanh</t>
  </si>
  <si>
    <t>3c9a0952-0878-11f1-9378-fa163ee8d8ac</t>
  </si>
  <si>
    <t>SENDOUT28 - D10 - NDDuong - Gene Solution</t>
  </si>
  <si>
    <t>f70b732e-08b0-11f1-9378-fa163ee8d8ac</t>
  </si>
  <si>
    <t>Gene Solutions JSC, 186 - 188 Nguyễn Duy Dương, Phường 2, Quận 10, Thành phố Hồ Chí Minh 70000</t>
  </si>
  <si>
    <t>24335 - BTan - TLan - BS Dương Văn Bé</t>
  </si>
  <si>
    <t>223cfe54-0812-11f1-9378-fa163ee8d8ac</t>
  </si>
  <si>
    <t>Phòng khám siêu âm Bs Bé, 131/6/2A, Đ. Tây Lân, Bình Trị Đông A, Bình Tân, Thành phố Hồ Chí Minh</t>
  </si>
  <si>
    <t>Bình Tân</t>
  </si>
  <si>
    <t>17344 - TPhu - QDBao - Huỳnh Quốc Hội</t>
  </si>
  <si>
    <t>0d0c9f70-08cc-11f1-9378-fa163ee8d8ac</t>
  </si>
  <si>
    <t>246 Đ. Quách Đình Bảo, Phú Thạnh, Tân Phú, Thành phố Hồ Chí Minh</t>
  </si>
  <si>
    <t>46539526 - D10 - 3/2 - Thẩm Mỹ Viện Alega</t>
  </si>
  <si>
    <t>b142651e-1baa-11ee-a48d-506b8d9879b5</t>
  </si>
  <si>
    <t>Phòng khám chuyên khoa thẩm mỹ ALEGA, 97A Đ. 3 Tháng 2, Phường 11, Quận 10, Thành phố Hồ Chí Minh 72509</t>
  </si>
  <si>
    <t>17252 - BTan - HL2 - Bùi Quang Anh Chiêu</t>
  </si>
  <si>
    <t>32a3baea-4df6-11ee-98f9-506b8d9879b5</t>
  </si>
  <si>
    <t>12ce5186-21e2-11f1-9378-fa163ee8d8ac</t>
  </si>
  <si>
    <t>603 Đ. Tô Ngọc Vân, Tam Bình, Thủ Đức, Hồ Chí Minh</t>
  </si>
  <si>
    <t>ea7c6f02-26ae-11f1-9378-fa163ee8d8ac</t>
  </si>
  <si>
    <t>Xương Khớp Việt - phòng khám chuyên khoa chấn thương chỉnh hình, 24/2 Đ. Đoàn Thị Điểm, Phường 1, Cầu Kiệu, Hồ Chí Minh</t>
  </si>
  <si>
    <t>21546 - D10 - NGTu - Bs Nguyễn Duy Quang</t>
  </si>
  <si>
    <t>29dd733e-275a-11f1-9378-fa163ee8d8ac</t>
  </si>
  <si>
    <t>228 Đường Ngô Gia Tự, Phường 2, District 10, Ho Chi Minh, Vietnam</t>
  </si>
  <si>
    <t>45737653 - D3 - DBPhu - Phòng Khám Monaco Healthcare</t>
  </si>
  <si>
    <t>756a078e-504a-11ee-bf99-506b8d9879b5</t>
  </si>
  <si>
    <t>Phòng khám đa khoa quốc tế Monaco Healthcare, 493 Đ. Điện Biên Phủ, Phường 3, Quận 3, Thành phố Hồ Chí Minh 70000</t>
  </si>
  <si>
    <t>12106 - D3 - LVSy - Nguyễn Đức Trường</t>
  </si>
  <si>
    <t>ae82c568-9fbb-11ee-b12a-506b8d9879b5</t>
  </si>
  <si>
    <t>Lê Văn Sỹ Road, phường 14, Quận 3, Thành phố Hồ Chí Minh</t>
  </si>
  <si>
    <t>c2618fe8-4af1-11ee-a9fa-506b8d9879b5</t>
  </si>
  <si>
    <t>Premier Dental Thảo Điền, 28 Tống Hữu Định, P, Quận 2, Thành phố Hồ Chí Minh 71100</t>
  </si>
  <si>
    <t>8b5bf126-27eb-11f1-9378-fa163ee8d8ac</t>
  </si>
  <si>
    <t>175A đường Lê Hồng Phong, Khu phố 5, phường Phú Lợi, Bình Dương</t>
  </si>
  <si>
    <t>4223c312-27f0-11f1-9378-fa163ee8d8ac</t>
  </si>
  <si>
    <t>174A Đường Nguyễn Trãi, Khu Phố Thống Nhất 1, phường Dĩ An</t>
  </si>
  <si>
    <t>e30f9012-2723-11f1-9378-fa163ee8d8ac</t>
  </si>
  <si>
    <t>52597901 - TBinh - NPChu - Đặng Quang Thạch</t>
  </si>
  <si>
    <t>53c156ac-0ae0-11f1-9378-fa163ee8d8ac</t>
  </si>
  <si>
    <t>184/13 Nguyễn Phúc Chu, Phường 15, Tân Bình, Thành phố Hồ Chí Minh, Vietnam</t>
  </si>
  <si>
    <t>Tân Sơn</t>
  </si>
  <si>
    <t>20730 - D5 - TPhu - Phòng Xét Nghiệm Y Khoa Càng Long | Nhà xe Kim Hoàng</t>
  </si>
  <si>
    <t>e2ca38dc-661c-11f0-bd05-506b8d982279</t>
  </si>
  <si>
    <t>248 Trần Phú, Phường 7, Quận 5, Thành phố Hồ Chí Minh</t>
  </si>
  <si>
    <t>c3c48080-ffad-11ef-9864-506b8d9879b5</t>
  </si>
  <si>
    <t>Trung Tâm Y Tế Đa Khoa Thành phố Tân Uyên, 3QPJ+54C, Uyên Hưng, Tân Uyên District, Binh Duong</t>
  </si>
  <si>
    <t>17771 - TUyen - D1 - Bs Phạm Duy Tân</t>
  </si>
  <si>
    <t>b18ec692-0ebf-11f1-9378-fa163ee8d8ac</t>
  </si>
  <si>
    <t>3QHW+4RJ, Đường số 6, Uyên Hưng, Tân Uyên, Bình Dương</t>
  </si>
  <si>
    <t>17771 - TUyen - UHung - Bs Phạm Duy Tân, Bs Lâm</t>
  </si>
  <si>
    <t>d082c448-0ec6-11f1-9378-fa163ee8d8ac</t>
  </si>
  <si>
    <t>17031 - D6 - KDVuong - Phòng Khám Nhi Đồng Doctor Baby</t>
  </si>
  <si>
    <t>608b0c88-422a-11ee-80b1-506b8d9879b5</t>
  </si>
  <si>
    <t>Trường mầm non Quốc tế Morris, 54/1 Đ. Kinh Dương Vương, Phường 13, Quận 6, Thành phố Hồ Chí Minh 70000</t>
  </si>
  <si>
    <t>9065c31a-49f3-11ed-af4a-506b8dbc8dfb</t>
  </si>
  <si>
    <t>City International Hospital, 3 Đường Số 17A, Bình Trị Đông B, Bình Tân, Thành phố Hồ Chí Minh</t>
  </si>
  <si>
    <t>18733 - TPhu - NTTruyen - Bs Nguyễn Vũ Huân</t>
  </si>
  <si>
    <t>2d62f8ce-0fb0-11f1-9378-fa163ee8d8ac</t>
  </si>
  <si>
    <t>90 Nguyễn Thế Truyện, Tân Sơn Nhì, Tân Phú, Thành phố Hồ Chí Minh</t>
  </si>
  <si>
    <t>BRA - D010 (inactive)</t>
  </si>
  <si>
    <t>416be0e0-0dfa-11f1-9378-fa163ee8d8ac</t>
  </si>
  <si>
    <t>103 Đ. Tên Lửa, Bình Trị Đông B, Bình Tân, Thành phố Hồ Chí Minh</t>
  </si>
  <si>
    <t>39104722-4a00-11ed-bd93-506b8dbc8dfb</t>
  </si>
  <si>
    <t>Trung Tâm Giám Định ADN - NIPT Biên Hòa Đồng Nai DNA TESTINGS, J23 Đ. N4, P, Thành phố Biên Hòa, Đồng Nai</t>
  </si>
  <si>
    <t>48436399 - D9 - LVViet - Nguyễn Quang Duy ICU</t>
  </si>
  <si>
    <t>4a40e7bc-4abf-11ed-840f-506b8dbc8dfb</t>
  </si>
  <si>
    <t>744b552a-9405-11ee-a94f-506b8d9879b5</t>
  </si>
  <si>
    <t>C32D Cách Mạng Tháng 8, Phường Lái Thiêu, Bình Dương</t>
  </si>
  <si>
    <t>46648551 - D5 - NTrai - BS Hồ Thị Mỹ Bình</t>
  </si>
  <si>
    <t>041bb0fc-372f-11ee-aa21-506b8d9879b5</t>
  </si>
  <si>
    <t>Nguyen Tri Phuong Hospital, 468 Đ. Nguyễn Trãi, Phường 8, Quận 5, Thành phố Hồ Chí Minh 70000</t>
  </si>
  <si>
    <t>12679 - TBinh - HVThu - TRẦN QUANG DƯỠNG</t>
  </si>
  <si>
    <t>61511738-3a79-11ee-8bb5-506b8d9879b5</t>
  </si>
  <si>
    <t>Tan Binh Hospital, 605 Hoàng Văn Thụ, Phường 4, Tân Bình, Thành phố Hồ Chí Minh 70000</t>
  </si>
  <si>
    <t>ea114924-37e7-11ee-b57b-506b8d9879b5</t>
  </si>
  <si>
    <t>508 Ngô Gia Tự, Phường 9, Quận 5, Thành phố Hồ Chí Minh 98860</t>
  </si>
  <si>
    <t>21299 - D5 - HBang - Mai Văn Quốc</t>
  </si>
  <si>
    <t>44905724-585c-11ef-9fcb-506b8d9879b5</t>
  </si>
  <si>
    <t>Pham Ngoc Thach Hospital, 120 Đ. Hồng Bàng, Phường 12, Quận 5, Hồ Chí Minh</t>
  </si>
  <si>
    <t>88a10adc-3a1c-11f1-9378-fa163ee8d8ac</t>
  </si>
  <si>
    <t>234 QL1A, Long Bình, Đồng Nai</t>
  </si>
  <si>
    <t>46651876 - HMon - DCKhi - ND315 Dương Công Khi</t>
  </si>
  <si>
    <t>29980006-3a42-11f1-9378-fa163ee8d8ac</t>
  </si>
  <si>
    <t>315 Dương Công Khi, Xã Hóc Môn, TP. Hồ Chí Minh</t>
  </si>
  <si>
    <t>51016607 - D9 - LVViet - Trịnh Ngọc Duy</t>
  </si>
  <si>
    <t>b17fe8b4-31e2-11ee-a0e5-506b8d9879b5</t>
  </si>
  <si>
    <t>22345 - BTan - 7 - Bs Thái Kim Ngân</t>
  </si>
  <si>
    <t>db1cb9c6-0fda-11f1-9378-fa163ee8d8ac</t>
  </si>
  <si>
    <t>313 Đường số 7, Bình Trị Đông B, Bình Tân, Thành phố Hồ Chí Minh</t>
  </si>
  <si>
    <t>23296 - TDuc - LVChi - Bs Đoàn Thanh Sang</t>
  </si>
  <si>
    <t>b8ed679e-1064-11f1-9378-fa163ee8d8ac</t>
  </si>
  <si>
    <t>6a197874-46fd-11ef-bcee-506b8d9879b5</t>
  </si>
  <si>
    <t>17065 - GVap - 3 - Phòng Khám Mẹ và Bé</t>
  </si>
  <si>
    <t>afc1b8e2-112b-11f1-9378-fa163ee8d8ac</t>
  </si>
  <si>
    <t>91 Đ Số 3, Phường 10, Gò Vấp, Thành phố Hồ Chí Minh</t>
  </si>
  <si>
    <t>20152 - D10 - LTKiet - Bs Phạm Điền Thu Vân</t>
  </si>
  <si>
    <t>b0d9553a-112d-11f1-9378-fa163ee8d8ac</t>
  </si>
  <si>
    <t>Trung Vuong Hospital, 266 Đ. Lý Thường Kiệt, Phường Diên Hồng, Quận 10, Thành phố Hồ Chí Minh 700000</t>
  </si>
  <si>
    <t>15959 - D3 - HSa - Viện Thẩm Mỹ Quốc Tế Pháp Việt</t>
  </si>
  <si>
    <t>68e2bbba-3339-11ee-b2a2-506b8d9879b5</t>
  </si>
  <si>
    <t>VIỆN THẨM MỸ PHÁP VIỆT, Địa chỉ, 729 Đ. Hoàng Sa, Phường 14, Quận 3, Thành phố Hồ Chí Minh 70000</t>
  </si>
  <si>
    <t>40664042 - D3 - BHTQuan - PK Bình An Hưng</t>
  </si>
  <si>
    <t>a8490310-4ab2-11ed-baef-506b8dbc8dfb</t>
  </si>
  <si>
    <t>Nhà Xe Hoàng Cầu - Gia Lai, 70 Bà Huyện Thanh Quan, Võ Thị Sáu, Quận 3, Thành phố Hồ Chí Minh</t>
  </si>
  <si>
    <t>fde4717c-27f1-11f1-9378-fa163ee8d8ac</t>
  </si>
  <si>
    <t>D19/26, đường N9, Khu phố Bình Thuận 2, Thuận Giao, Bình Dương</t>
  </si>
  <si>
    <t>18335 - D7 - NHTho - Bs Huỳnh Thiên Thảo Nguyễn Hữu Thọ</t>
  </si>
  <si>
    <t>8ace6f20-40a2-11f1-9378-fa163ee8d8ac</t>
  </si>
  <si>
    <t>Cầu Số 1 - Làng Đh Khu B - Nguyễn Hữu Thọ - Xã Phước Kiển, Nhà Bè, Hồ Chí Minh</t>
  </si>
  <si>
    <t>16878 - BTan - HL2 - BS Nguyễn Tấn Thịnh</t>
  </si>
  <si>
    <t>d6cf38c2-2b7f-11ee-a815-506b8d9879b5</t>
  </si>
  <si>
    <t>12191 - BTan - HL2 - Bs Nguyễn Thanh Toàn</t>
  </si>
  <si>
    <t>285e3fe2-2b7d-11ee-9fce-506b8d9879b5</t>
  </si>
  <si>
    <t>17296 - D9 - LVViet - Nguyễn Sĩ Toàn</t>
  </si>
  <si>
    <t>7f765c94-2c66-11ee-a8fd-506b8d9879b5</t>
  </si>
  <si>
    <t>17426 - BTan - HL2 - Nguyễn Hoàng Ngân</t>
  </si>
  <si>
    <t>ea3fa256-2a86-11ee-b9c0-506b8d9879b5</t>
  </si>
  <si>
    <t>17742 - TDuc - PChau - Nguyễn Thu Ngân</t>
  </si>
  <si>
    <t>9341d896-3019-11ee-bba6-506b8d9879b5</t>
  </si>
  <si>
    <t>bb622ab6-8b35-11ee-8453-506b8d9879b5</t>
  </si>
  <si>
    <t>33 Đ. Nguyễn Duy Trinh, Phường Bình Trưng Tây, Quận 2, Thành phố Hồ Chí Minh</t>
  </si>
  <si>
    <t>46651876 - BTan - THDong - ND315 Tân Hòa Đông</t>
  </si>
  <si>
    <t>db45a1fa-12ce-11f1-9378-fa163ee8d8ac</t>
  </si>
  <si>
    <t>357 Tân Hòa Đông, Bình Trị Đông, Bình Tân, Thành phố Hồ Chí Minh</t>
  </si>
  <si>
    <t>22494 - D10 - 3/2 - Nguyễn Thành Lộc</t>
  </si>
  <si>
    <t>2fac85b8-121d-11f1-9378-fa163ee8d8ac</t>
  </si>
  <si>
    <t>45A Đ3 Tháng 2, Phường 10, Quận 10, Thành phố Hồ Chí Minh 740300</t>
  </si>
  <si>
    <t>46648087 - GVap - PVChieu - Phòng khám Đa Khoa Việt Mỹ</t>
  </si>
  <si>
    <t>a21017aa-12bd-11f1-9378-fa163ee8d8ac</t>
  </si>
  <si>
    <t>Viet My General Clinic, 187A Đ. Phạm Văn Chiêu, Phường 14, Gò Vấp, Thành phố Hồ Chí Minh 700000</t>
  </si>
  <si>
    <t>24235 - PNhuan - TSa - Mai Thanh Quyền</t>
  </si>
  <si>
    <t>140fca8c-12c6-11f1-9378-fa163ee8d8ac</t>
  </si>
  <si>
    <t>281/49/1 Đ. Lê Văn Sỹ, Phường 13, Tân Bình, Thành phố Hồ Chí Minh</t>
  </si>
  <si>
    <t>17409 - PNhuan - NTTuyen - Phạm Thị Đài Trang</t>
  </si>
  <si>
    <t>8a4e648a-277b-11ee-98fc-506b8d9879b5</t>
  </si>
  <si>
    <t>274 Nguyễn Trọng Tuyển, Phường 8, Phú Nhuận, Thành phố Hồ Chí Minh 40503</t>
  </si>
  <si>
    <t>f26c8e60-8b27-11ee-b474-506b8d9879b5</t>
  </si>
  <si>
    <t>61 Đ. số 6, Tam Phú, Thủ Đức, Thành phố Hồ Chí Minh</t>
  </si>
  <si>
    <t>SENDOUT29 - TBinh - LHung - Lab Trí Việt (Làm việc từ 8h30)</t>
  </si>
  <si>
    <t>d81aa368-1210-11f1-9378-fa163ee8d8ac</t>
  </si>
  <si>
    <t>TMB Lab, 51 Long Hưng, Phường 7, Tân Bình, Thành phố Hồ Chí Minh</t>
  </si>
  <si>
    <t>17242 - D3 - TQThao - Ngô Hồng Ngọc</t>
  </si>
  <si>
    <t>5a68670c-1baa-11ee-a38c-506b8d9879b5</t>
  </si>
  <si>
    <t>HCMC Ear Nose Throat Hospital, 153, 155-157 Trần Quốc Thảo, Phường 9, Quận 3, Thành phố Hồ Chí Minh 70010</t>
  </si>
  <si>
    <t>a5a22756-4ab0-11ed-a93a-506b8dbc8dfb</t>
  </si>
  <si>
    <t>71 Trần Thái Tông, Phường 15, Tân Bình, Thành phố Hồ Chí Minh</t>
  </si>
  <si>
    <t>43983746 - D10 - CThang - Thẩm mỹ viện Perla</t>
  </si>
  <si>
    <t>aedb9996-1c7f-11ee-b808-506b8d9879b5</t>
  </si>
  <si>
    <t>Thẩm Mỹ Viện Perla, 336 Đ. Cao Thắng, Phường 12, Quận 10, Thành phố Hồ Chí Minh 70000</t>
  </si>
  <si>
    <t>17112 - D3 - HBTrung - Thẩm Mỹ Bùi Việt</t>
  </si>
  <si>
    <t>22b5e888-08d7-11ee-b9b7-506b8dbc8dfb</t>
  </si>
  <si>
    <t>Thẩm Mỹ Bùi Việt, 261B Hai Bà Trưng, Phường 6, Quận 3, Thành phố Hồ Chí Minh 70000</t>
  </si>
  <si>
    <t>46651484 - TBinh - HVThu - Bs Phạm Việt Anh</t>
  </si>
  <si>
    <t>56811dbc-1c97-11ee-a318-506b8d9879b5</t>
  </si>
  <si>
    <t>605 Hoàng Văn Thụ, Phường 4, Tân Bình, Thành phố Hồ Chí Minh</t>
  </si>
  <si>
    <t>23991 - ThAn - 8A - An Gia Clinic</t>
  </si>
  <si>
    <t>0d238f22-2993-11f1-9378-fa163ee8d8ac</t>
  </si>
  <si>
    <t>Khu Dân cư Vĩnh Phú 2, 16H4 Đường số 20, Vĩnh Phú, Bình Hòa, Hồ Chí Minh 820000</t>
  </si>
  <si>
    <t>f9f328b8-1af4-11ee-843d-506b8d9879b5</t>
  </si>
  <si>
    <t>Clinics Minh Khai, 430 Đ. Nguyễn Thị Minh Khai, Phường 5, Quận 3, Thành phố Hồ Chí Minh 70000</t>
  </si>
  <si>
    <t>17135 - D7 - NVLinh - Nha Khoa Xuân Vũ</t>
  </si>
  <si>
    <t>404fa3b8-1f19-11ee-ac1a-506b8d9879b5</t>
  </si>
  <si>
    <t>107 Đ. Nguyễn Văn Linh, Tân Thuận Tây, Quận 7, Thành phố Hồ Chí Minh 815650</t>
  </si>
  <si>
    <t>12850 - ThAn - NVTiết  - BS Đoàn Thị Kim Thoa</t>
  </si>
  <si>
    <t>a578a4ca-13c6-11f1-9378-fa163ee8d8ac</t>
  </si>
  <si>
    <t>69 Nguyễn Văn Tiết, Lái Thiêu, Thuận An, Bình Dương 590000</t>
  </si>
  <si>
    <t>46494584 - D4 - TTThuyet - Bs. Vũ Mạnh Cường</t>
  </si>
  <si>
    <t>7ce83924-1993-11ee-aa7c-506b8d9879b5</t>
  </si>
  <si>
    <t>113 Đ. Tôn Thất Thuyết, Phường 3, Quận 4, Thành phố Hồ Chí Minh</t>
  </si>
  <si>
    <t>24435 - BThanh - DBPhu - Nhi khoa Vạn An Mộc</t>
  </si>
  <si>
    <t>209029ba-1496-11f1-9378-fa163ee8d8ac</t>
  </si>
  <si>
    <t>Nhi khoa Vạn An Mộc, 602/58 Điện Biên Phủ, Phường 22, Bình Thạnh, Thành phố Hồ Chí Minh 70000</t>
  </si>
  <si>
    <t>59f2e8e8-11e7-11f1-9378-fa163ee8d8ac</t>
  </si>
  <si>
    <t>Phòng Khám Thẩm Mỹ Dr. Eye, Địa chỉ sau sáp nhập:, 07 Nguyễn Cơ Thạch, Phường An Khánh, Thủ Đức, Thành phố Hồ Chí Minh 700000</t>
  </si>
  <si>
    <t>24165 - TDuc - NDTrinh -Phòng khám Sản Phụ Khoa Hiếm Muộn Minh Châu</t>
  </si>
  <si>
    <t>8e8f4ec8-151d-11f1-9378-fa163ee8d8ac</t>
  </si>
  <si>
    <t>1626A Nguyễn Duy Trinh, Trường Thạnh, Thủ Đức, Thành phố Hồ Chí Minh</t>
  </si>
  <si>
    <t>22856 - D10 - LHPhong - Phòng khám đa khoa Thiện Mỹ (Kiên Giang)</t>
  </si>
  <si>
    <t>a7da31b0-1435-11f1-9378-fa163ee8d8ac</t>
  </si>
  <si>
    <t>24348 - GVap - LDTho - HỘ KINH DOANH PHÒNG KHÁM PHỤ SẢN 616</t>
  </si>
  <si>
    <t>b0022602-144b-11f1-9378-fa163ee8d8ac</t>
  </si>
  <si>
    <t>TS.BS. Quốc Thanh - Nhóm BS BV Từ Dũ, 616/10 Đ. Lê Đức Thọ, Phường 15, Gò Vấp, Thành phố Hồ Chí Minh</t>
  </si>
  <si>
    <t>An Hội Đông</t>
  </si>
  <si>
    <t>14396 - TDuc - DS10 - PK PHAN DUY QUANG</t>
  </si>
  <si>
    <t>e1b059be-1629-11f1-9378-fa163ee8d8ac</t>
  </si>
  <si>
    <t>18b Đường Số 10, Trường Thọ, Thủ Đức, Thành phố Hồ Chí Minh</t>
  </si>
  <si>
    <t>11659 - NKieu - NANinh - Nguyễn Văn Khoe</t>
  </si>
  <si>
    <t>5a7b5bb0-4481-11ed-8936-506b8dbc8dfb</t>
  </si>
  <si>
    <t>156 Đường Nguyễn An Ninh, Tân An, Ninh Kiều, Cần Thơ</t>
  </si>
  <si>
    <t>Ninh Kiều</t>
  </si>
  <si>
    <t>a5daa8ea-0ab5-11ee-b70d-506b8dbc8dfb</t>
  </si>
  <si>
    <t>217 Đ. Vĩnh Viễn, Phường 4, Quận 10, Thành phố Hồ Chí Minh</t>
  </si>
  <si>
    <t>c450f244-3b21-11f1-9378-fa163ee8d8ac</t>
  </si>
  <si>
    <t>54Z1B, Đ. Trần Nam Phú, Khu vực 2, Tân An, Cần Thơ</t>
  </si>
  <si>
    <t>46651876 - D7 - HTPhat - ND315 2273 Huỳnh Tấn Phát</t>
  </si>
  <si>
    <t>fa30f0ce-3934-11f1-9378-fa163ee8d8ac</t>
  </si>
  <si>
    <t>2207 Huỳnh Tấn Phát, Nhà Bè, Hồ Chí Minh</t>
  </si>
  <si>
    <t>46651876 - NBe - HTPhat - ND315 2213 Huỳnh Tấn Phát</t>
  </si>
  <si>
    <t>a5967de8-3b16-11f1-9378-fa163ee8d8ac</t>
  </si>
  <si>
    <t>2231c Huỳnh Tấn Phát, Nhà Bè, Hồ Chí Minh</t>
  </si>
  <si>
    <t>exported 2026-04-21</t>
  </si>
  <si>
    <t>22852 - D5 - LHPhong -  Phòng khám đa khoa Nhân Hậu Phú Cường</t>
  </si>
  <si>
    <t>6ba60852-3b38-11f1-9378-fa163ee8d8ac</t>
  </si>
  <si>
    <t>249 Lê Hồng Phong, Phường 4, Chợ Quán, Hồ Chí Minh</t>
  </si>
  <si>
    <t>20297 - GVap - PVChieu - Bùi Trần Công</t>
  </si>
  <si>
    <t>5a952746-40cb-11ef-aa58-506b8d9879b5</t>
  </si>
  <si>
    <t>Phạm Văn Chiêu, Gò Vấp, Hồ Chí Minh</t>
  </si>
  <si>
    <t>22317 - D10 - LTKiet - Phòng khám Việt Healthcare</t>
  </si>
  <si>
    <t>d30852cc-f25d-11ef-8ec3-506b8d9879b5</t>
  </si>
  <si>
    <t>Phòng khám Đa khoa Quốc tế Việt Healthcare, 16 &amp; 18 Lý Thường Kiệt, Phường 7, Quận 10, Hồ Chí Minh 10001</t>
  </si>
  <si>
    <t>f864d386-461d-11ed-a4b7-506b8dbc8dfb</t>
  </si>
  <si>
    <t>234 Đ. Đinh Tiên Hoàng, Đa Kao, Quận 1, Thành phố Hồ Chí Minh</t>
  </si>
  <si>
    <t>15353 - D5 - TBTrong - Phòng Khám MENTHY</t>
  </si>
  <si>
    <t>711ffcec-0a9f-11ee-9a4d-506b8dbc8dfb</t>
  </si>
  <si>
    <t>Phòng khám Menthy, 215 Đ. Trần Bình Trọng, Phường 3, Quận 5, Thành phố Hồ Chí Minh 70000</t>
  </si>
  <si>
    <t>18290 - TDuc - 28 - Trần Thị Hiếu</t>
  </si>
  <si>
    <t>fdeeb5ea-5424-11ee-9325-506b8d9879b5</t>
  </si>
  <si>
    <t>42 Đ. Số 128, Phước Long A, Thủ Đức, Thành phố Hồ Chí Minh 715000</t>
  </si>
  <si>
    <t>24661 - TBinh - LVSy - Trần Xuân Vũ</t>
  </si>
  <si>
    <t>4eae69b6-2bf1-11f1-9378-fa163ee8d8ac</t>
  </si>
  <si>
    <t>230 Đ. Lê Văn Sỹ, Phường 1, Tân Sơn Hòa, Hồ Chí Minh</t>
  </si>
  <si>
    <t>e459cf64-297b-11f1-9378-fa163ee8d8ac</t>
  </si>
  <si>
    <t>45 TL8, Tân Thạnh Tây, Phú Hòa Đông, Hồ Chí Minh</t>
  </si>
  <si>
    <t>4daa0bca-2d7b-11f1-9378-fa163ee8d8ac</t>
  </si>
  <si>
    <t>51 Võ Nguyên Giáp, Thảo Điền, An Khánh, Hồ Chí Minh</t>
  </si>
  <si>
    <t>9471f542-16d6-11f1-9378-fa163ee8d8ac</t>
  </si>
  <si>
    <t>Phòng khám sản phụ khoa An Tâm, 6/1B, Ng. Chí Thanh Khu Phố Thạnh Bình, An Thạnh, Thuận An, Bình Dương</t>
  </si>
  <si>
    <t>Thuận An</t>
  </si>
  <si>
    <t>51187508 - THAn - BDang - PK Hà Xuân Uyên Vy</t>
  </si>
  <si>
    <t>c5d2d3b6-4a12-11ed-98d2-506b8dbc8dfb</t>
  </si>
  <si>
    <t>28L/8, Khu Phố Bình Đáng, Phường Bình Hòa, Thị Xã Thuận An, Tỉnh Bình Dương, Khu Phố, Thuận An, Bình Dương</t>
  </si>
  <si>
    <t>40199462 - GVap - NOanh - Bs.Đinh Thị Hồng</t>
  </si>
  <si>
    <t>30ca7b70-4a0d-11ed-944e-506b8dbc8dfb</t>
  </si>
  <si>
    <t>Phòng khám BS Hồng, 371, 5 Nguyễn Oanh, Phường 17, Gò Vấp, Thành phố Hồ Chí Minh 70000</t>
  </si>
  <si>
    <t>87e34800-4621-11ed-8bd3-506b8dbc8dfb</t>
  </si>
  <si>
    <t>550 Lê Trọng Tấn, Tây Thạnh, Tân Phú, Thành phố Hồ Chí Minh</t>
  </si>
  <si>
    <t>51578995 - DAn - DT743 - TRUNG TÂM Y TẾ HUYỆN DĨ AN</t>
  </si>
  <si>
    <t>e630d5f8-4531-11ed-b344-506b8dbc8dfb</t>
  </si>
  <si>
    <t>Medical Center of Di An District, 500 ĐT 743 Khu phố, Đông Tác, P, Thành phố, Bình Dương</t>
  </si>
  <si>
    <t>c0c4459e-010f-11ee-a6cd-506b8dbc8dfb</t>
  </si>
  <si>
    <t>tdc, 75 D1, Chánh Nghĩa, Thủ Dầu Một, Bình Dương 75000</t>
  </si>
  <si>
    <t>29c1bb04-4a08-11ed-9d26-506b8dbc8dfb</t>
  </si>
  <si>
    <t>Phòng Khám Nội Nhi - Bs Nguyệt, 881 Lê Hồng Phong, Phú Thọ, Thủ Dầu Một, Bình Dương</t>
  </si>
  <si>
    <t>55100684 - ThAn - NDu - NGUYỄN TẤN VINH</t>
  </si>
  <si>
    <t>7fc01c5a-4a06-11ed-a467-506b8dbc8dfb</t>
  </si>
  <si>
    <t>136, 3 Đ. Nguyễn Du, An Phú, Thuận An, Bình Dương</t>
  </si>
  <si>
    <t>22162 - BHoa - TTHoa - BS Phương Thảo</t>
  </si>
  <si>
    <t>e3b0cbb8-443c-11f1-9378-fa163ee8d8ac</t>
  </si>
  <si>
    <t>WVM3+89F, Đ. Trần Quốc Toản, An Bình, Trấn Biên, Đồng Nai</t>
  </si>
  <si>
    <t>7fefc6d4-4539-11ed-94b3-506b8dbc8dfb</t>
  </si>
  <si>
    <t>Phòng Khám Đa Khoa Tâm An - Tam An Clinic, E43-E44 đường D9, KDC, Võ Thị Sáu, Kp7, Tp. Biên Hòa, Đồng Nai 810000</t>
  </si>
  <si>
    <t>84d326dc-4543-11ed-a50a-506b8dbc8dfb</t>
  </si>
  <si>
    <t>Kien Clinic Siêu Âm Màu, Hiệp Hoà, Bien Hoa, Dong Nai</t>
  </si>
  <si>
    <t>54557807 - D1 - LDuan - Thái Thị Năm</t>
  </si>
  <si>
    <t>86c534c2-4ab5-11ed-b7a1-506b8dbc8dfb</t>
  </si>
  <si>
    <t>DYM Medical Center Vietnam, Unit B103, Basement 1, mPlaza Saigon building 39 Le Duan, ward, street, Quận 1, Thành phố Hồ Chí Minh</t>
  </si>
  <si>
    <t>23974 - ThAn - DLBDuong - Phòng Khám Nội Khoa Vĩnh Thừa</t>
  </si>
  <si>
    <t>b9c13aba-16d6-11f1-9378-fa163ee8d8ac</t>
  </si>
  <si>
    <t>Công Ty Tnhh Một Thành Viên Phòng Khám Chuyên Khoa Nội Vĩnh Thừa, 5 Đại lộ Bình Dương, Khu Phố, Thuận An, Bình Dương 75200</t>
  </si>
  <si>
    <t>31d94d60-4621-11ed-a164-506b8dbc8dfb</t>
  </si>
  <si>
    <t>14 Tên Lửa, An Lạc, Bình Tân, Thành phố Hồ Chí Minh</t>
  </si>
  <si>
    <t>50230914 - D7 - PKIch - PHÒNG KHÁM DR YOON BEAUTY CENTER</t>
  </si>
  <si>
    <t>6bbbbede-452f-11ed-8add-506b8dbc8dfb</t>
  </si>
  <si>
    <t>Dr.Yoon Beauty Center, 14 Đ. Phan Khiêm Ích, Tân Phong, Quận 7, Thành phố Hồ Chí Minh 70000</t>
  </si>
  <si>
    <t>22760 - BTan - 29 - Phòng Khám 5S</t>
  </si>
  <si>
    <t>04f9ce66-1b83-11f0-9b85-506b8d982279</t>
  </si>
  <si>
    <t>Phòng khám 5S BS Đoàn Anh Sang, 128 Đường Số 29, Bình Trị Đông B, Bình Tân, Hồ Chí Minh 70000</t>
  </si>
  <si>
    <t>46651876 - BChanh - VVVan - ND315 Võ Văn Vân</t>
  </si>
  <si>
    <t>50d8d39c-4622-11ed-a386-506b8dbc8dfb</t>
  </si>
  <si>
    <t>D17/4 Đ. Võ Văn Vân, Vĩnh Lộc B, Bình Chánh, Thành phố Hồ Chí Minh 70000</t>
  </si>
  <si>
    <t>Tân Vĩnh Lộc</t>
  </si>
  <si>
    <t>c9c4cd62-4620-11ed-a198-506b8dbc8dfb</t>
  </si>
  <si>
    <t>28 Lê Văn Khương, Tân Thới An, Quận 12, Thành phố Hồ Chí Minh</t>
  </si>
  <si>
    <t>40663953 - D7 - NKMToan 2 - On You Clinic</t>
  </si>
  <si>
    <t>54c9b1fe-4476-11ed-99a5-506b8dbc8dfb</t>
  </si>
  <si>
    <t>Công Ty Tnhh On You Clinic, 51 Nội Khu Mỹ Toàn 2, Tân Phong, Quận 7, Thành phố Hồ Chí Minh</t>
  </si>
  <si>
    <t>24717 - BThanh - BLoi - PK Nội Quang Hiệu</t>
  </si>
  <si>
    <t>8145cf58-2ef4-11f1-9378-fa163ee8d8ac</t>
  </si>
  <si>
    <t>Phòng Khám Nội Khoa Quang Hiệu, 151 Bình Lợi, Phường 13, Bình Thạnh, Hồ Chí Minh 700000</t>
  </si>
  <si>
    <t>24732 - D6 - PHChi - CÔNG TY TNHH Y TẾ TD-LAB</t>
  </si>
  <si>
    <t>fd9ab504-2e46-11f1-9378-fa163ee8d8ac</t>
  </si>
  <si>
    <t>Công Ty TNHH Y Tế TD-Lab, 22 Phạm Hữu Chí, Phường 12, Chợ Lớn, Hồ Chí Minh</t>
  </si>
  <si>
    <t>24648 - GVap - QTrung - Bs Đào Thị Tuyết Nhung</t>
  </si>
  <si>
    <t>1f5b1fac-2f1f-11f1-9378-fa163ee8d8ac</t>
  </si>
  <si>
    <t>1000 Quang Trung, Phường 8, Thông Tây Hội, Hồ Chí Minh</t>
  </si>
  <si>
    <t>23725 - TDuc - PChau - BS Phong</t>
  </si>
  <si>
    <t>69fe92e6-2f51-11f1-9378-fa163ee8d8ac</t>
  </si>
  <si>
    <t>Thu Duc City Hospital, 29 Phú Châu, Tam Phú, Tam Bình, Hồ Chí Minh 70000</t>
  </si>
  <si>
    <t>SENDOUT5 - D2 - 7A - K LABTECH (KHÔNG LÀM T7, CN)</t>
  </si>
  <si>
    <t>d9ac36cc-4542-11ed-ba7c-506b8dbc8dfb</t>
  </si>
  <si>
    <t>Công ty TNHH K-Labtech, 19 Đ. Số 7A, Thảo Điền, Thủ Đức, Thành phố Hồ Chí Minh</t>
  </si>
  <si>
    <t>3cb28f2a-49fb-11ed-abaa-506b8dbc8dfb</t>
  </si>
  <si>
    <t>Phòng Khám Sản Phụ Khoa - Việt Pháp - Bác Sĩ Cảnh Lâm, 40/8 Nguyễn Văn Đậu, Phường 5, Phú Nhuận, Thành phố Hồ Chí Minh</t>
  </si>
  <si>
    <t>2898c1f0-4620-11ed-a0dd-506b8dbc8dfb</t>
  </si>
  <si>
    <t>308 Nguyễn Tri Phương, Phường 4, Quận 10, Thành phố Hồ Chí Minh</t>
  </si>
  <si>
    <t>dde21b8c-446e-11ed-bbd7-506b8dbc8dfb</t>
  </si>
  <si>
    <t>Bến xe Hoa Mai, 93 Nguyễn Thái Bình, Phường Nguyễn Thái Bình, Quận 1, Thành phố Hồ Chí Minh</t>
  </si>
  <si>
    <t>DIAG - Lan Tran</t>
  </si>
  <si>
    <t>863e0cea-453d-11ed-a24c-506b8dbc8dfb</t>
  </si>
  <si>
    <t>414 Đ. Cao Thắng, Phường 12, Quận 10, Thành phố Hồ Chí Minh</t>
  </si>
  <si>
    <t>Nhà xe Thành Bưởi Cần Thơ, Bến Xe Khách Trung Tâm, Hưng Thành, Cái Răng, Cần Thơ</t>
  </si>
  <si>
    <t>Cái Răng</t>
  </si>
  <si>
    <t>5e748868-446d-11ed-ac56-506b8dbc8dfb</t>
  </si>
  <si>
    <t>16 Trưng Trắc, Phường 1, Thành phố Vũng Tầu, Bà Rịa - Vũng Tàu 790000</t>
  </si>
  <si>
    <t>20809 - D10 - TThai - Nha khoa Aura Dental</t>
  </si>
  <si>
    <t>5ba24cd6-b830-11ef-a5bb-506b8d9879b5</t>
  </si>
  <si>
    <t>Nha Khoa Aura Dental, 152/2 Đ. Thành Thái, Phường 12, Quận 10, Hồ Chí Minh 70000</t>
  </si>
  <si>
    <t>e9fca07c-446e-11ed-bd02-506b8dbc8dfb</t>
  </si>
  <si>
    <t>Bến xe Thành Bưởi 266 Lê Hồng Phong, Phường 4, Quận 5, Thành phố Hồ Chí Minh</t>
  </si>
  <si>
    <t>22706 - D9 - D1 - CÔNG TY TNHH ADTECHNOLOGY &amp; SNST VIỆT NAM</t>
  </si>
  <si>
    <t>b8cd0788-19c5-11f0-b1a8-506b8d982279</t>
  </si>
  <si>
    <t>SCS building (Sacom - Chip Sang building), Lô T2-4, đường D1, Khu Công Nghệ Cao, Phường Tân Phú, TP Thủ Đức, TP Hồ Chí Minh Lot T2-4, D1 Road, Saigon Hi-tech Park, Thu Duc city, Đ. D1, Phường Tân Phú, Thủ Đức, Hồ Chí Minh 70000</t>
  </si>
  <si>
    <t>10685 - D12 - NAThu - Ngô Quang Vinh</t>
  </si>
  <si>
    <t>d4dc4890-227f-11f0-89f6-506b8d982279</t>
  </si>
  <si>
    <t>350A Đ. Nguyễn Ảnh Thủ, Trung Mỹ Tây, Quận 12, Hồ Chí Minh 70000</t>
  </si>
  <si>
    <t>be36be84-3528-11f0-89ed-506b8d982279</t>
  </si>
  <si>
    <t>638A, ấp 4 xã Tân Quý Tây, huyện Bình Chánh TPHCM</t>
  </si>
  <si>
    <t>Bình Chánh</t>
  </si>
  <si>
    <t>48554397 - TDuc - PChau - Hồ Xuân Minh Hoàng Account</t>
  </si>
  <si>
    <t>074d280e-1c26-11f0-9b79-506b8d982279</t>
  </si>
  <si>
    <t>Thu Duc Regional General Hospital, 64 Lê Văn Chí, Phường Linh Trung, Thủ Đức, Hồ Chí Minh</t>
  </si>
  <si>
    <t>3a2b645e-32b0-11ee-b21d-506b8d9879b5</t>
  </si>
  <si>
    <t>199-201 Đ. Thống Nhất, Phường 10, Gò Vấp, Hồ Chí Minh 70000</t>
  </si>
  <si>
    <t>6537d2d8-447f-11ed-ae22-506b8dbc8dfb</t>
  </si>
  <si>
    <t>SENDOUT25 - D1 - LHKhanh - BV Từ Dũ</t>
  </si>
  <si>
    <t>4194068c-1e46-11f0-9899-506b8d982279</t>
  </si>
  <si>
    <t>Cổng số 4 (nội bộ) - BV Từ Dũ, 37 Đ. Lương Hữu Khánh, Phường Phạm Ngũ Lão, Quận 1, Hồ Chí Minh</t>
  </si>
  <si>
    <t>22906 - D5 - ABinh - Nguyễn Đoàn Diễm Vy</t>
  </si>
  <si>
    <t>5b8ccd86-1e5e-11f0-a929-506b8d982279</t>
  </si>
  <si>
    <t>40663604 - D5 - ABinh - BS Nguyễn Văn Hiến</t>
  </si>
  <si>
    <t>77a85714-2977-11f0-80b3-506b8d982279</t>
  </si>
  <si>
    <t>22756 - TDuc - PChau - Báo Dương Duy Hưng</t>
  </si>
  <si>
    <t>b7241f46-2994-11f0-8ab8-506b8d982279</t>
  </si>
  <si>
    <t>2431f23e-1f31-11f0-ab1e-506b8d982279</t>
  </si>
  <si>
    <t>Phòng khám Đa khoa Ái Nghĩa Thạnh Phú, ĐT768 Ấp 2, Tổ 13, Vĩnh Cửu, Đồng Nai 76914</t>
  </si>
  <si>
    <t>48221524 - TDuc - PChau - NGUYỄN VĂN LUYỆN</t>
  </si>
  <si>
    <t>2f55b8d0-313d-11f0-806b-506b8d982279</t>
  </si>
  <si>
    <t>18331 - BThanh - HHTham - Lê Thị Tường Vi</t>
  </si>
  <si>
    <t>b16a14ee-2b2d-11f0-b1e7-506b8d982279</t>
  </si>
  <si>
    <t>27 Đ. Hoàng Hoa Thám, Phường 7, Bình Thạnh, Hồ Chí Minh</t>
  </si>
  <si>
    <t>bb1d17a2-f55f-11ee-97e3-506b8d9879b5</t>
  </si>
  <si>
    <t>12 D. Đức Hiền, Tây Thạnh, Tân Phú, Thành phố Hồ Chí Minh</t>
  </si>
  <si>
    <t>22707 - PNhuan - TQDung - Phòng Khám Sản Phụ Khoa Happy</t>
  </si>
  <si>
    <t>673d24f8-0650-11f0-984e-506b8d982279</t>
  </si>
  <si>
    <t>74 Trương Quốc Dung, Phường 10, Phú Nhuận, Hồ Chí Minh</t>
  </si>
  <si>
    <t>21447 - VTau - 2/9 - Ngô Huy Hoàng</t>
  </si>
  <si>
    <t>f07d934a-cf39-11ef-a71b-506b8d9879b5</t>
  </si>
  <si>
    <t>Bệnh viện Vũng Tàu, 27 Đ. 2 Tháng 9, Phường 11, Vũng Tàu, Bà Rịa - Vũng Tàu 78220</t>
  </si>
  <si>
    <t>8379d2b4-0886-11f0-bf88-506b8d982279</t>
  </si>
  <si>
    <t>54666267 - BT - DIAGTEST - Test B2B Client Pick</t>
  </si>
  <si>
    <t>88f7ebac-04af-11f0-94b2-506b8d982279</t>
  </si>
  <si>
    <t>205 Đ. Nguyễn Xí, Phường 26, Bình Thạnh, Hồ Chí Minh</t>
  </si>
  <si>
    <t>6834ac9e-4476-11ed-9f24-506b8dbc8dfb</t>
  </si>
  <si>
    <t>LIAN’S MMC- 이안 양한방병원, 50 đường 16, Lô M5, Khu phố Phú Mỹ Hưng, Mid town, Quận 7, Thành phố Hồ Chí Minh 72908</t>
  </si>
  <si>
    <t>8741aed2-0d86-11ee-bea3-506b8dbc8dfb</t>
  </si>
  <si>
    <t>716 Đường Bùi Hữu Nghĩa, Bửu Hoà, Thành phố Biên Hòa, Đồng Nai</t>
  </si>
  <si>
    <t>20718 - D7 - LVThiem - Nha Khoa Sakura</t>
  </si>
  <si>
    <t>4e1892fc-2986-11ef-b7a5-506b8d9879b5</t>
  </si>
  <si>
    <t>67 Lê Văn Thiêm, Tân Phong, Quận 7, Thành phố Hồ Chí Minh 70000</t>
  </si>
  <si>
    <t>70b138ba-b224-11ef-9689-506b8d9879b5</t>
  </si>
  <si>
    <t>Phòng Khám Chuyên Khoa Da Liễu Thẩm Mỹ Khang Anh, 268 Lê Văn Khương, Thới An, Quận 12, Hồ Chí Minh 71500</t>
  </si>
  <si>
    <t>46651876 - D8 - QL50 - NĐ315 Quốc lộ 50</t>
  </si>
  <si>
    <t>4c0d9fa0-3c91-11f1-9378-fa163ee8d8ac</t>
  </si>
  <si>
    <t>Hệ Thống Phòng Khám Nhi Đồng 315 Và Tiêm Chủng - Quốc lộ 50 - TPHCM, 493 QL50, Bình Hưng, Hồ Chí Minh 70000</t>
  </si>
  <si>
    <t>16626 - TDuc - PChau - BS Cao Thanh Vinh</t>
  </si>
  <si>
    <t>a6ac6f1e-0aff-11f0-bbef-506b8d982279</t>
  </si>
  <si>
    <t>22693 - TDuc - PChau - Hứa Thị Thanh Tuyền</t>
  </si>
  <si>
    <t>0372eea4-0717-11f0-84e2-506b8d982279</t>
  </si>
  <si>
    <t>40663728 - GVap - DS1 - BS. Nguyễn Lê Hoàng Phụng</t>
  </si>
  <si>
    <t>704b9bd8-0975-11f0-befd-506b8d982279</t>
  </si>
  <si>
    <t>186 Đ. Số 1, Phường 11, Gò Vấp, Hồ Chí Minh</t>
  </si>
  <si>
    <t>1c2f6a70-14c1-11ee-aef1-506b8dbc8dfb</t>
  </si>
  <si>
    <t>Dịch Vụ Chuyển Phát Nhanh Futa Express, 241 Lê Hồng Phong, Phường 4, Chợ Quán, Hồ Chí Minh</t>
  </si>
  <si>
    <t>20093 - TDuc - PChau - BS Nguyễn Thị Huyền Trang</t>
  </si>
  <si>
    <t>ce7ea608-0de1-11f0-9660-506b8d982279</t>
  </si>
  <si>
    <t>6a2f822a-f578-11ef-a059-506b8d9879b5</t>
  </si>
  <si>
    <t>487A  Huỳnh Tấn Phát, TT. Nhà Bè, Nhà Bè, Hồ Chí Minh</t>
  </si>
  <si>
    <t>cf29f9ca-102c-11f0-9d35-506b8d982279</t>
  </si>
  <si>
    <t>634 Nguyễn Thị Định, Phường Thạnh Mỹ Lợi, Thủ Đức, Hồ Chí Minh 70000</t>
  </si>
  <si>
    <t>22506 - D10 - LTKiet - Thẩm Mỹ Viện Tony An An</t>
  </si>
  <si>
    <t>bd47fe3c-d2f6-11ef-b4f5-506b8d9879b5</t>
  </si>
  <si>
    <t>Phòng Khám Thẩm Mỹ Tony An An | Chuyên Cân Chỉnh Khuôn Mặt Quận 10, 324/12 Đ. Lý Thường Kiệt, Phường 14, Quận 10, Hồ Chí Minh 72506</t>
  </si>
  <si>
    <t>13649 - GVap - QTrung - PK BẢO SANH VẠN HANH</t>
  </si>
  <si>
    <t>2d0a0d40-8cbd-11ee-9b7b-506b8d9879b5</t>
  </si>
  <si>
    <t>Phòng Khám Nội Tổng Quát Nhà Thuốc Bảo Sanh Vạn Hanh, 113 Quang Trung, Phường 10, Gò Vấp, Thành phố Hồ Chí Minh, , Vietnam</t>
  </si>
  <si>
    <t>57cf4696-c885-11ed-a324-506b8dbc8dfb</t>
  </si>
  <si>
    <t>809 HL2, Bình Trị Đông A, Bình Tân, Thành phố Hồ Chí Minh</t>
  </si>
  <si>
    <t>45735759 - TDuc - DVBi - Phòng Khám CHAC chi nhánh 2</t>
  </si>
  <si>
    <t>e85113f4-452f-11ed-aea0-506b8dbc8dfb</t>
  </si>
  <si>
    <t>Phòng khám đa khoa CHAC cơ sở 2, 42 Đặng Văn Bi, Bình Thọ, Thủ Đức, Thành phố Hồ Chí Minh</t>
  </si>
  <si>
    <t>46477639 - D1 - CQuynh - Bệnh Viện Phẫu Thuật Thẩm Mỹ - Răng Hàm Mặt World Wide</t>
  </si>
  <si>
    <t>b2a7cb06-4a09-11ed-93fb-506b8dbc8dfb</t>
  </si>
  <si>
    <t>Worldwide Beauty And Dental Hospital, 244A Cống Quỳnh, Phường Phạm Ngũ Lão, Quận 1, Thành phố Hồ Chí Minh</t>
  </si>
  <si>
    <t>24638 - TBinh - NTBinh - Nha khoa Bảo An</t>
  </si>
  <si>
    <t>7ed50cf6-3017-11f1-9378-fa163ee8d8ac</t>
  </si>
  <si>
    <t>145A Đ. Nguyễn Thái Bình, Phường 4, Tân Sơn Nhất, Hồ Chí Minh</t>
  </si>
  <si>
    <t>47731210-5a0a-11ef-81fc-506b8d9879b5</t>
  </si>
  <si>
    <t>85 Tân Khai, Phường 4, Quận 11, Hồ Chí Minh</t>
  </si>
  <si>
    <t>c2e5e130-fb3f-11ef-bc58-506b8d9879b5</t>
  </si>
  <si>
    <t>465 Hồng Bàng, Phường 14, Quận 5, Hồ Chí Minh 72700</t>
  </si>
  <si>
    <t>49462397 - D10 - 3/2 - Công TNHH Phát Triển Công Nghệ Anapath</t>
  </si>
  <si>
    <t>80c3aa70-5a0a-11ef-9710-506b8d9879b5</t>
  </si>
  <si>
    <t>45a Đ. 3 Tháng 2, Phường 11, Quận 10, Hồ Chí Minh</t>
  </si>
  <si>
    <t>18068 - D4 - BVĐon - Đinh Hùng Thanh Quyên</t>
  </si>
  <si>
    <t>f97f0532-30c2-11f1-9378-fa163ee8d8ac</t>
  </si>
  <si>
    <t>64 Bến Vân Đồn, Phường 12, Xóm Chiếu, Hồ Chí Minh</t>
  </si>
  <si>
    <t>24646 - BThanh - NTLong - Trung Tâm Y Tế Bình Lợi Trung</t>
  </si>
  <si>
    <t>b64634a8-3152-11f1-9378-fa163ee8d8ac</t>
  </si>
  <si>
    <t>99/6 Nơ Trang Long, Phường 14, Bình Lợi Trung, Hồ Chí Minh 700000</t>
  </si>
  <si>
    <t>21112 - TDuc - KVCan - Bs Trần Mai Minh Anh</t>
  </si>
  <si>
    <t>da5a4b70-3154-11f1-9378-fa163ee8d8ac</t>
  </si>
  <si>
    <t>Hệ Thống Phòng Khám Phụ Sản 315 - Sản Phụ Khoa &amp; Tiêm Chủng - Kha Vạn Cân - TPHCM, 941 Kha Vạn Cân, Phường Linh Trung, Linh Xuân, Hồ Chí Minh 70000</t>
  </si>
  <si>
    <t>348b9524-c034-11ef-9e8b-506b8d9879b5</t>
  </si>
  <si>
    <t>Bệnh Viện Chuyên Khoa Phẫu Thuật Thẩm Mỹ Korean Star - Sao Hàn, 781 C9 Đ. Lê Hồng Phong, Phường 12, Quận 10, Hồ Chí Minh 70000</t>
  </si>
  <si>
    <t>897f5fea-335c-11ee-a126-506b8d9879b5</t>
  </si>
  <si>
    <t>Picasso Dental Clinic Ho Chi Minh City (Thao Dien, District 2), 25B Đ. Nguyễn Duy Hiệu, Thảo Điền, Quận 2, Thành phố Hồ Chí Minh 70000</t>
  </si>
  <si>
    <t>23051 - BCat - DJ5 - Phòng Khám Phúc Khang</t>
  </si>
  <si>
    <t>0c0a8972-412e-11f0-9770-506b8d982279</t>
  </si>
  <si>
    <t>Đường DJ5, Mỹ Phước 3, TX Bến Cát, Bình Dương</t>
  </si>
  <si>
    <t>Thới Hòa</t>
  </si>
  <si>
    <t>6e14d1d4-11de-11ef-9e30-506b8d9879b5</t>
  </si>
  <si>
    <t>Nguyễn Trần Tố Nữ Yến Nhi 30/4, Đ. 30 Tháng 4, Quyết Thắng, Tp. Biên Hòa, Đồng Nai</t>
  </si>
  <si>
    <t>3056d87a-1745-11f0-aae1-506b8d982279</t>
  </si>
  <si>
    <t>Phòng Khám Đa Khoa Ái Nghĩa Ngã Tư Vũng Tàu, F3, 2 QL51, Long Bình Tân, Biên Hòa, Đồng Nai 810000</t>
  </si>
  <si>
    <t>22928 - XLoc - QL1A - PHÒNG KHÁM ĐA KHOA ÁI NGHĨA XUÂN LỘC</t>
  </si>
  <si>
    <t>c759ab64-1f31-11f0-a6d9-506b8d982279</t>
  </si>
  <si>
    <t>Phòng khám Đa Khoa Ái Nghĩa Xuân Lộc, Khu phố 8, QL1A, TT. Gia Ray, Xuân Lộc, Đồng Nai 76606</t>
  </si>
  <si>
    <t>Xuân Lộc</t>
  </si>
  <si>
    <t>043ae9d6-2be8-11f0-82f9-506b8d982279</t>
  </si>
  <si>
    <t>12126 - BTan - HL2 - Bs Nguyễn Thị Thu Thảo</t>
  </si>
  <si>
    <t>156e826e-3884-11f0-95d3-506b8d982279</t>
  </si>
  <si>
    <t>e3952d4c-3b85-11f0-9180-506b8d982279</t>
  </si>
  <si>
    <t>313 Âu Dương Lân, Phường Rạch Ông, Quận 8, Hồ Chí Minh</t>
  </si>
  <si>
    <t>ea93538a-5dd7-11ef-b329-506b8d9879b5</t>
  </si>
  <si>
    <t>f13f6b80-ed74-11ed-8c68-506b8dbc8dfb</t>
  </si>
  <si>
    <t>5 Đại lộ Bình Dương, Binh Hoà, Thuận An, Bình Dương</t>
  </si>
  <si>
    <t>17704 - D5 - THDao - Viện Thẩm Mỹ Tuấn Linh</t>
  </si>
  <si>
    <t>5df2a0b8-41dc-11f0-b436-506b8d982279</t>
  </si>
  <si>
    <t>807 Đ. Trần Hưng Đạo, Phường 1, Quận 5, Hồ Chí Minh 70000</t>
  </si>
  <si>
    <t>20590 - BTan - HL2 - BS Bùi Minh Khánh Ngọc</t>
  </si>
  <si>
    <t>9af55ada-42a1-11f0-80e4-506b8d982279</t>
  </si>
  <si>
    <t>48424940 - GVap - NVKhoi - BS Hồ Thị Lê</t>
  </si>
  <si>
    <t>67345fb0-cc54-11f0-9bf6-506b8d982279</t>
  </si>
  <si>
    <t>44 Nguyễn Văn Khối, Phường 11, Gò Vấp, Thành phố Hồ Chí Minh 700000</t>
  </si>
  <si>
    <t>46672007 - D5 - TDa - Phòng khám đa khoa Hoàn Cầu</t>
  </si>
  <si>
    <t>82a57474-ce60-11f0-8b39-506b8d982279</t>
  </si>
  <si>
    <t>43 Đ. Tản Đà, Phường 11, Quận 5, Thành phố Hồ Chí Minh 70000</t>
  </si>
  <si>
    <t>865f5ec8-a16f-11ef-9efd-506b8d9879b5</t>
  </si>
  <si>
    <t>414 Lê Hồng Phong, Phường 1, Quận 10, Thành phố Hồ Chí Minh 700000</t>
  </si>
  <si>
    <t>ad7c3d8e-4514-11f0-b1fa-506b8d982279</t>
  </si>
  <si>
    <t>CocoMed aesthetic clinic, 103 Thảo Điền, Thủ Đức, Hồ Chí Minh 70000</t>
  </si>
  <si>
    <t>46648583 - D1 - BTXuan - BV PHỤ SẢN QT SÀI GÒN</t>
  </si>
  <si>
    <t>0fb86bc4-4521-11f0-8a87-506b8d982279</t>
  </si>
  <si>
    <t>SI Hospital, 63 Bùi Thị Xuân, Phường Phạm Ngũ Lão, Quận 1, Hồ Chí Minh</t>
  </si>
  <si>
    <t>b60352d0-c47b-11f0-8297-506b8d982279</t>
  </si>
  <si>
    <t>37 Cù Lao, Phường 7, Phú Nhuận, Thành phố Hồ Chí Minh</t>
  </si>
  <si>
    <t>47067021 - TBinh - LVSy - Bs Nguyễn Thị Mỹ Liên</t>
  </si>
  <si>
    <t>72300458-4682-11f0-bde9-506b8d982279</t>
  </si>
  <si>
    <t>429 Đ. Lê Văn Sỹ, Phường 12, Quận 3, Hồ Chí Minh 70000</t>
  </si>
  <si>
    <t>17964 - TDuc - PChau - Nguyễn Thành Đạt</t>
  </si>
  <si>
    <t>50efeb0e-482c-11f0-847f-506b8d982279</t>
  </si>
  <si>
    <t>22896 - BChanh - 1 - Phòng Khám Cơ Xương Khớp Dr Chí</t>
  </si>
  <si>
    <t>ed63de9c-4dd0-11f0-82e3-506b8d982279</t>
  </si>
  <si>
    <t>125 Đường Số 1, Bình Hưng, Bình Chánh, Hồ Chí Minh 70000</t>
  </si>
  <si>
    <t>17045 - D5 - NTrai - Lê Công Thái</t>
  </si>
  <si>
    <t>541439b6-501f-11f0-a921-506b8d982279</t>
  </si>
  <si>
    <t>Nguyen Tri Phuong Hospital, 468 Nguyễn Trãi, Phường 7, Quận 5, Hồ Chí Minh 70000</t>
  </si>
  <si>
    <t>BRA - D023 - TThanh - BRVTau</t>
  </si>
  <si>
    <t>a29a3538-407d-11f0-9a16-506b8d982279</t>
  </si>
  <si>
    <t>Tân Hải</t>
  </si>
  <si>
    <t>20601 - D6 - HBang - Phòng khám sức khỏe sinh sản</t>
  </si>
  <si>
    <t>ccfafd8a-31a4-11f1-9378-fa163ee8d8ac</t>
  </si>
  <si>
    <t>823 Đ. Hồng Bàng, Phường 9, Bình Tây, Hồ Chí Minh</t>
  </si>
  <si>
    <t>24749 - D5 - ADVuong - BS Lệ Quyên</t>
  </si>
  <si>
    <t>3a3e216e-3e35-11f1-9378-fa163ee8d8ac</t>
  </si>
  <si>
    <t>322/25 An Dương Vương, Phường 4, Chợ Quán, Hồ Chí Minh 71152</t>
  </si>
  <si>
    <t>24822 - D9 - HHNam - PK Medilabo</t>
  </si>
  <si>
    <t>81783844-3e35-11f1-9378-fa163ee8d8ac</t>
  </si>
  <si>
    <t>486 Hoàng Hữu Nam, Long Bình, Hồ Chí Minh 700000</t>
  </si>
  <si>
    <t>20264 - BLuc - DT816 - Đinh Thị Thúy Nguyên</t>
  </si>
  <si>
    <t>95d68e0a-5225-11f0-b57c-506b8d982279</t>
  </si>
  <si>
    <t>Phòng khám ĐA KHOA Thạnh Hoà, Ấp 2, Bến Lức, Long An 850000</t>
  </si>
  <si>
    <t>Thạnh Lợi</t>
  </si>
  <si>
    <t>20741 - D1 - NThBinh - Medic Tâm An</t>
  </si>
  <si>
    <t>e841ff30-3eab-11f1-9378-fa163ee8d8ac</t>
  </si>
  <si>
    <t>21 Nguyễn Thái Bình, Phường Nguyễn Thái Bình, Bến Thành, Hồ Chí Minh</t>
  </si>
  <si>
    <t>11471 - D4 - D12A - BS Nguyễn Ngọc Thu Ngân</t>
  </si>
  <si>
    <t>984507f0-53f3-11f0-8058-506b8d982279</t>
  </si>
  <si>
    <t>Đường số 12A, Số 12A, phường 3, Quận 4, Hồ Chí Minh</t>
  </si>
  <si>
    <t>49239175 - TDuc - PChau - BS Tươi</t>
  </si>
  <si>
    <t>af38acca-53f6-11f0-b5a3-506b8d982279</t>
  </si>
  <si>
    <t>efaf92da-5588-11f0-88a4-506b8d982279</t>
  </si>
  <si>
    <t>38 Phan Văn Hùm, Trung Mỹ Tây, Quận 12, Hồ Chí Minh</t>
  </si>
  <si>
    <t>84895166-5615-11f0-8300-506b8d982279</t>
  </si>
  <si>
    <t>Trung Tâm Xét Nghiệm Y Khoa Center Lab Việt Nam, 50 - 52 Trần Bạch Đằng, Phường An Khánh, Ninh Kiều, Cần Thơ 900000</t>
  </si>
  <si>
    <t>21544 - TDuc - PChau - Nguyễn Trọng Dũng</t>
  </si>
  <si>
    <t>af27d458-56ea-11f0-b665-506b8d982279</t>
  </si>
  <si>
    <t>b9b5962a-57ef-11f0-a199-506b8d982279</t>
  </si>
  <si>
    <t>Dong Nai Children's Hospital, Xa lộ Hà Nội, Khu Phố 5, Biên Hòa, Đồng Nai</t>
  </si>
  <si>
    <t>BRVTau - Support Phan Dạ Thúy - 3PL</t>
  </si>
  <si>
    <t>b4c071c6-5885-11f0-b5a2-506b8d982279</t>
  </si>
  <si>
    <t>Công Ty Toàn Thắng, QL51, Phước Trung, Bà Rịa, Bà Rịa - Vũng Tàu 90000</t>
  </si>
  <si>
    <t>25a3a9f6-5a22-11f0-8592-506b8d982279</t>
  </si>
  <si>
    <t>759 Lê Hồng Phong, Phường 12, Quận 10, Hồ Chí Minh 70000</t>
  </si>
  <si>
    <t>23410 - D10 - 3/2 - Phòng khám Jimin</t>
  </si>
  <si>
    <t>f4fcc8c6-5cad-11f0-a9f2-506b8d982279</t>
  </si>
  <si>
    <t>69 Đ. 3 Tháng 2, Phường 10, Quận 10, Hồ Chí Minh</t>
  </si>
  <si>
    <t>f65a6b90-c4fb-11f0-88d5-506b8d982279</t>
  </si>
  <si>
    <t>45A Đ. Nguyễn Văn Bá, Bình Thọ, Thủ Đức, Thành phố Hồ Chí Minh 70000</t>
  </si>
  <si>
    <t>23353 - DAn - DT743 - Hoàng Thu Hoài</t>
  </si>
  <si>
    <t>faacf1fe-612d-11f0-adb1-506b8d982279</t>
  </si>
  <si>
    <t>22898 - RGia - UVKhiem - BV Sản Nhi Kiên Giang</t>
  </si>
  <si>
    <t>6bf642fa-c387-11f0-970d-506b8d982279</t>
  </si>
  <si>
    <t>Women's and Children's Hospital of Kien Giang province, 03 Ung Văn Khiêm, P. An Hoà, Rạch Giá</t>
  </si>
  <si>
    <t>Rạch Giá</t>
  </si>
  <si>
    <t>86408c0c-65fd-11f0-825c-506b8d982279</t>
  </si>
  <si>
    <t>D5 Nguyễn Ái Quốc, Tân Mai, Biên Hòa, Đồng Nai</t>
  </si>
  <si>
    <t>ba9d31f0-6db2-11f0-9676-506b8d982279</t>
  </si>
  <si>
    <t>Drip Hydration Vietnam - Drip Cao Thắng, Quận 10, 200A Cao Thắng, Phường 12, Quận 10, Hồ Chí Minh 70000</t>
  </si>
  <si>
    <t>21268 - GVap - 1 - PK Nhật Bình</t>
  </si>
  <si>
    <t>ec23117e-6f3b-11f0-8cc4-506b8d982279</t>
  </si>
  <si>
    <t>134 Đ. Số 1, Phường 16, Gò Vấp, Hồ Chí Minh 70000</t>
  </si>
  <si>
    <t>23501 - NBe - HTPhat - Nguyễn Thị Mai Thanh</t>
  </si>
  <si>
    <t>488766c2-700e-11f0-ba1e-506b8d982279</t>
  </si>
  <si>
    <t>Phòng Khám Đa Khoa Tâm An, 1926 - 1930 (Số cũ 47/4, 47/6 Huỳnh Tấn Phát, KP 6, Nhà Bè, Hồ Chí Minh</t>
  </si>
  <si>
    <t>23147 - DAn - DT743 - BS Nguyễn Thái Nam</t>
  </si>
  <si>
    <t>71ada3c0-7015-11f0-a557-506b8d982279</t>
  </si>
  <si>
    <t>d220372a-71ed-11f0-a7df-506b8d982279</t>
  </si>
  <si>
    <t>Phòng Khám sản phụ khoa Trầm Hương Quận 9 Thủ Đức, Tầng 1, V3-29 Đ. V3, khu Manhattan, Vinhomes Grand Park, Thủ Đức, Hồ Chí Minh 200000</t>
  </si>
  <si>
    <t>3b2d75d0-727e-11f0-adca-506b8d982279</t>
  </si>
  <si>
    <t>District 7 Hospital, 101 Đ. Nguyễn Thị Thập, Phường Tân Mỹ, Quận 7, Hồ Chí Minh 00700</t>
  </si>
  <si>
    <t>23562 - TDuc - PChau -  Bệnh Viện Thành Phố Thủ Đức - Khoa Sinh Hóa</t>
  </si>
  <si>
    <t>53d89cfa-733b-11f0-a5a8-506b8d982279</t>
  </si>
  <si>
    <t>6449120a-7407-11f0-9e36-506b8d982279</t>
  </si>
  <si>
    <t>2140d394-7411-11f0-a4f6-506b8d982279</t>
  </si>
  <si>
    <t>89 Đ. Phan Đình Phùng, Phường 15, Phú Nhuận, Hồ Chí Minh 70000</t>
  </si>
  <si>
    <t>9d84404a-766d-11f0-9777-506b8d982279</t>
  </si>
  <si>
    <t>XÉT NGHIỆM VIN LAB, VINLAB LABORATORIES, 19 Đ. T10, Long Bình, Thủ Đức, Hồ Chí Minh</t>
  </si>
  <si>
    <t>46472050 - D7 - 45 - Lý Quốc Thịnh</t>
  </si>
  <si>
    <t>76792c84-7813-11f0-9413-506b8d982279</t>
  </si>
  <si>
    <t>165 Đường số 45, Tân Quy, Quận 7, Hồ Chí Minh</t>
  </si>
  <si>
    <t>23496 - DAn - DT743 - BS Vũ Ngọc Mai</t>
  </si>
  <si>
    <t>b3c42e66-7c02-11f0-ac78-506b8d982279</t>
  </si>
  <si>
    <t>23219 - TDuc - LVChi - Đỗ Trần Mai Trâm</t>
  </si>
  <si>
    <t>2de4f48c-7dac-11f0-8c3a-506b8d982279</t>
  </si>
  <si>
    <t>Thu Duc Regional General Hospital, 64 Lê Văn Chí, Linh Xuân, Thủ Đức, Hồ Chí Minh</t>
  </si>
  <si>
    <t>751246b2-808f-11f0-86eb-506b8d982279</t>
  </si>
  <si>
    <t>22139 - TDuc - PChau - Trương Minh Mẫn</t>
  </si>
  <si>
    <t>a22d89a8-80a9-11f0-a690-506b8d982279</t>
  </si>
  <si>
    <t>cb38d6fc-7408-11f0-89a2-506b8d982279</t>
  </si>
  <si>
    <t>American International Hospital (AIH), 199 Nguyễn Hoàng, An Phú, Thủ Đức, Hồ Chí Minh 70000</t>
  </si>
  <si>
    <t>23613 - D3 - HBTrung - CÔNG TY CỔ PHẦN DƯỢC PHẨM FPT LONG CHÂU</t>
  </si>
  <si>
    <t>a8070abc-84bd-11f0-827a-506b8d982279</t>
  </si>
  <si>
    <t>379-381 Hai Bà Trưng, P. Xuân Hòa, Tp. Hồ Chí Minh</t>
  </si>
  <si>
    <t>23586 - ThAn - DLBDuong - Hoàng Thị Nhân Hiếu</t>
  </si>
  <si>
    <t>17aaf6da-8572-11f0-8605-506b8d982279</t>
  </si>
  <si>
    <t>23239 - BThanh - DBLinh - PKDK Quốc Tế Sài Gòn Medic (Anh Phụng)</t>
  </si>
  <si>
    <t>8bd0656a-8868-11f0-829a-506b8d982279</t>
  </si>
  <si>
    <t>Eastern Bus Station, 292 Đ. Đinh Bộ Lĩnh, Phường 26, Bình Thạnh, Hồ Chí Minh 72310</t>
  </si>
  <si>
    <t>b8d60b5a-8868-11f0-a078-506b8d982279</t>
  </si>
  <si>
    <t>ab7abd4e-8ec0-11f0-8996-506b8d982279</t>
  </si>
  <si>
    <t>Traditional Medicine hospital, 273 275, 273 Đ. Nguyễn Văn Trỗi, Phường 10, Phú Nhuận, Hồ Chí Minh 70000</t>
  </si>
  <si>
    <t>d5d45af4-91dc-11f0-9af6-506b8d982279</t>
  </si>
  <si>
    <t>23720 - BThanh - QL13 - PXN Bảo Đảm (Mạnh Hùng)</t>
  </si>
  <si>
    <t>405ad110-95ba-11f0-b021-506b8d982279</t>
  </si>
  <si>
    <t>11680 - NBe - LVLuong - Huỳnh Hoàng Nam</t>
  </si>
  <si>
    <t>600d3518-9455-11f0-ab80-506b8d982279</t>
  </si>
  <si>
    <t>1264 Đ. Lê Văn Lương, Ấp 29, Nhà Bè, Hồ Chí Minh 73207</t>
  </si>
  <si>
    <t>85e97062-ccdb-11f0-a8e7-506b8d982279</t>
  </si>
  <si>
    <t>54203548 - TBinh - PVBach - Phòng Khám Bác Sĩ Gia Đình Chăm Sóc Tại Nhà Việt Úc B2B</t>
  </si>
  <si>
    <t>039a8d38-9dad-11f0-abc2-506b8d982279</t>
  </si>
  <si>
    <t>294/1 Phạm Văn Bạch, Phường 15, Tân Bình, Hồ Chí Minh 70000</t>
  </si>
  <si>
    <t>baf592d8-9dae-11f0-81c0-506b8d982279</t>
  </si>
  <si>
    <t>298 Đại lộ Bình Dương, Phú Hoà, Thủ Dầu Một</t>
  </si>
  <si>
    <t>8a9db336-9ebc-11f0-ae49-506b8d982279</t>
  </si>
  <si>
    <t>17 Đường B3, Tây Thạnh, Tân Phú, Hồ Chí Minh, Việt Nam</t>
  </si>
  <si>
    <t>4a1e11b2-ed6a-11ed-b6af-506b8dbc8dfb</t>
  </si>
  <si>
    <t>Tổ 14, 18/20C Ấp 7, Xuân Thới Thượng, Hóc Môn, Hồ Chí Minh</t>
  </si>
  <si>
    <t>5c7ab7e0-6414-11ee-a599-506b8d9879b5</t>
  </si>
  <si>
    <t>Tam Tri Saigon General Hospital, 171 Trường Chinh, Tân Thới Nhất, Hồ Chí Minh, Thành phố Hồ Chí Minh 71510</t>
  </si>
  <si>
    <t>10235 - D5 - NBieu - Thẩm Mỹ Viện Kangjin</t>
  </si>
  <si>
    <t>17bc6626-6053-11ef-94b0-506b8d9879b5</t>
  </si>
  <si>
    <t>Viện Thẩm Mỹ KangJin Hồ Chí Minh, Tòa nhà Glamour, 62 - 64 Đ. Nguyễn Biểu, Phường 1, Quận 5, Hồ Chí Minh 72708</t>
  </si>
  <si>
    <t>d9e8fcd4-48f5-11ef-86ca-506b8d9879b5</t>
  </si>
  <si>
    <t>PHÒNG KHÁM SẢN PHỤ KHOA BS TUẤN - BS MAI BÌNH DƯƠNG - Khám Thai - Siêu Âm Thai - Siêu Âm Màu 3D,4D, 341 PHẠM NGỌC THẠCH - P, ĐỐI DIỆN, Khu dân cư Hiệp Thành III, Thủ Dầu Một, Bình Dương</t>
  </si>
  <si>
    <t>10806 - TDuc - QL1K - BS Tạ Minh Hoà Hiệp</t>
  </si>
  <si>
    <t>cf0bec20-a288-11f0-af4e-506b8d982279</t>
  </si>
  <si>
    <t>12 QL1K, Linh Xuân, Thủ Đức, Hồ Chí Minh</t>
  </si>
  <si>
    <t>28e7eef2-a58a-11f0-8e49-506b8d982279</t>
  </si>
  <si>
    <t>66-68 Võ Văn Tần, Phường 6, Quận 3, Hồ Chí Minh 70000</t>
  </si>
  <si>
    <t>50566806 - BThanh - DBLinh - Lê Thị Lan Hương</t>
  </si>
  <si>
    <t>319cbf28-a657-11f0-9a03-506b8d982279</t>
  </si>
  <si>
    <t>Sante Hospital, 11A Đ. Đinh Bộ Lĩnh, Phường, Bình Thạnh</t>
  </si>
  <si>
    <t>21883ffa-a8b3-11f0-8ee6-506b8d982279</t>
  </si>
  <si>
    <t>Phòng Khám Sản - Nhi Sài Gòn, 261 Trương Công Định, Phường 3, Vũng Tàu, Bà Rịa - Vũng Tàu 78208</t>
  </si>
  <si>
    <t>23613 - DAn - NANinh - CÔNG TY CỔ PHẦN DƯỢC PHẨM FPT LONG CHÂU</t>
  </si>
  <si>
    <t>120fc878-a975-11f0-8db9-506b8d982279</t>
  </si>
  <si>
    <t>81 Nguyễn An Ninh, Dĩ An</t>
  </si>
  <si>
    <t>2a66cc5e-1594-11ee-bea6-506b8dbc8dfb</t>
  </si>
  <si>
    <t>adf1e9a6-8b27-11ee-a96f-506b8d9879b5</t>
  </si>
  <si>
    <t>Phòng Khám Nội Tổng Quát - Tim Mạch THIÊN PHÚC, 550/6/10 Trần Quang Cơ, Tân Chánh Hiệp, Quận 12, Thành phố Hồ Chí Minh 70000</t>
  </si>
  <si>
    <t>23569 - TDuc - PChau - Bs Diệp Đào Tiên</t>
  </si>
  <si>
    <t>83c1854c-b528-11f0-a600-506b8d982279</t>
  </si>
  <si>
    <t>485dd766-320b-11f1-9378-fa163ee8d8ac</t>
  </si>
  <si>
    <t>15309 - VTau - Pasteur - Liên doanh Việt - Nga Vietsovpetro</t>
  </si>
  <si>
    <t>68fa99c4-b622-11f0-8614-506b8d982279</t>
  </si>
  <si>
    <t>Vietsovpetro Medical Center, 02 Pasteur, Phường 7, Vũng Tàu, Bà Rịa - Vũng Tàu 790000</t>
  </si>
  <si>
    <t>24853 - TAn - 31 - Bs Bùi Thị Trà My</t>
  </si>
  <si>
    <t>c2dd72a6-4ccf-11f1-9378-fa163ee8d8ac</t>
  </si>
  <si>
    <t>Đường Huyện 31, Tân Hương, Dong Thap, Vietnam</t>
  </si>
  <si>
    <t>Tân Hương</t>
  </si>
  <si>
    <t>23548 - DAn - DT743 - Phạm Thị Ngọc Quyên</t>
  </si>
  <si>
    <t>9b4e6468-b867-11f0-ab20-506b8d982279</t>
  </si>
  <si>
    <t>3PL - TLV</t>
  </si>
  <si>
    <t>a529ea9e-1784-11f1-9378-fa163ee8d8ac</t>
  </si>
  <si>
    <t>Tra Lan Vien, 5 Ký Con, Phường Nguyễn Thái Bình, Quận 1, Thành phố Hồ Chí Minhg</t>
  </si>
  <si>
    <t>d89fd6da-2d13-11ee-a036-506b8d9879b5</t>
  </si>
  <si>
    <t>Vigor Health Clinic, 102A Trương Định, Phường 9, Quận 3, Thành phố Hồ Chí Minh</t>
  </si>
  <si>
    <t>21246 - D8 - ADLan - Trần Thị Hà Uyên</t>
  </si>
  <si>
    <t>f040850e-179f-11f1-9378-fa163ee8d8ac</t>
  </si>
  <si>
    <t>Trạm y tế Phường Rạch Ông, 314 Hẻm 314 Âu D. Lân, Phường Rạch Ông, Quận 8, Thành phố Hồ Chí Minh 700000</t>
  </si>
  <si>
    <t>bd3dc6d2-4627-11ed-b309-506b8dbc8dfb</t>
  </si>
  <si>
    <t>299 Nguyễn Oanh, Phường 17, Gò Vấp, Thành phố Hồ Chí Minh</t>
  </si>
  <si>
    <t>283 Cách Mạng Tháng Tám, Phường 12, Quận 10, Thành phố Hồ Chí Minh</t>
  </si>
  <si>
    <t>7bd9c268-4627-11ed-9d8d-506b8dbc8dfb</t>
  </si>
  <si>
    <t>245 Phạm Văn Chiêu, Phường 14, Gò Vấp, Thành phố Hồ Chí Minh</t>
  </si>
  <si>
    <t>d312de0c-4627-11ed-a9e7-506b8dbc8dfb</t>
  </si>
  <si>
    <t>34A Lê Thị Hà, Tân Xuân, Hóc Môn, Thành phố Hồ Chí Minh</t>
  </si>
  <si>
    <t>0d9b0456-446f-11ed-863f-506b8dbc8dfb</t>
  </si>
  <si>
    <t>Bến xe Toàn Thắng 21 Nguyễn Thái Bình, Phường Nguyễn Thái Bình, Bến Thành, Hồ Chí Minh</t>
  </si>
  <si>
    <t>799b3e00-b38a-11ef-b4d3-506b8d9879b5</t>
  </si>
  <si>
    <t>BECAMEX TOWER - VIETMONEY, 230 Đại lộ Bình Dương, Phú Hoà, Thủ Dầu Một, Bình Dương 821000</t>
  </si>
  <si>
    <t>3bc054d0-4627-11ed-9e74-506b8dbc8dfb</t>
  </si>
  <si>
    <t>98E Phan Đăng Lưu, Phường 3, Phú Nhuận, Thành phố Hồ Chí Minh</t>
  </si>
  <si>
    <t>a0f06ff8-4626-11ed-913e-506b8dbc8dfb</t>
  </si>
  <si>
    <t>300 Đ. Tân Sơn Nhì, Tân Sơn Nhì, Tân Phú, Thành phố Hồ Chí Minh</t>
  </si>
  <si>
    <t>8d7c8f4c-4626-11ed-b4de-506b8dbc8dfb</t>
  </si>
  <si>
    <t>10 Tên Lửa, An Lạc, Bình Tân, Thành phố Hồ Chí Minh</t>
  </si>
  <si>
    <t>17950 - DAn - N4 - Trần Văn Tài</t>
  </si>
  <si>
    <t>55590e0c-bd0a-11f0-af4d-506b8d982279</t>
  </si>
  <si>
    <t>Phòng Khám Bảo Châu - Thạc sĩ.BS Trần Văn Tài, 12 KDC Đông An, Tân Đông Hiệp, Dĩ An, Bình Dương 25942</t>
  </si>
  <si>
    <t>18719 - D7 - NLBang - Bs Lê Đức Tuân</t>
  </si>
  <si>
    <t>42898a3a-bdd8-11f0-b5bd-506b8d982279</t>
  </si>
  <si>
    <t>FV Hospital, 6 Nguyễn Lương Bằng, Phường Tân Mỹ, Quận 7, Thành phố Hồ Chí Minh 70000</t>
  </si>
  <si>
    <t>3c3f0394-1745-11ee-81df-506b8d9879b5</t>
  </si>
  <si>
    <t>459 Nguyễn Thị Tú, khu phố 2, Bình Tân, Thành phố Hồ Chí Minh 70000</t>
  </si>
  <si>
    <t>21dcad6a-0ce7-11ef-af2f-506b8d9879b5</t>
  </si>
  <si>
    <t>11812 - D6 - BPhu -  BS Hoàng Thanh Tuấn</t>
  </si>
  <si>
    <t>cd18265c-bb0d-11f0-b4a9-506b8d982279</t>
  </si>
  <si>
    <t>ac335b00-7f6e-11ee-9967-506b8d9879b5</t>
  </si>
  <si>
    <t>294 Huỳnh Tấn Phát, Tân Thuận Tây, Quận 7, Thành phố Hồ Chí Minh</t>
  </si>
  <si>
    <t>ddd9ae3e-4626-11ed-bb97-506b8dbc8dfb</t>
  </si>
  <si>
    <t>A12/12B Quốc Lộ 50 , Ấp 1 , Xã Bình Hưng , Huyện Bình Chánh, TP HCM</t>
  </si>
  <si>
    <t>24543b34-4471-11ed-b215-506b8dbc8dfb</t>
  </si>
  <si>
    <t>U.S. Consulate General, 4 Đ. Lê Duẩn, Bến Nghé, Quận 1, Thành phố Hồ Chí Minh</t>
  </si>
  <si>
    <t>10538 - BRia - PHung - Phòng Khám Ung Bướu Sài Gòn</t>
  </si>
  <si>
    <t>1c843818-4481-11ed-9c6f-506b8dbc8dfb</t>
  </si>
  <si>
    <t>Phòng Khám UNG BƯỚU SÀI GÒN ( Bà Rịa), 1006 Phạm Hùng, Long Toàn, Bà Rịa, Bà Rịa - Vũng Tàu 790000</t>
  </si>
  <si>
    <t>20286 - CThanh - 1A - Phòng Khám Đa Khoa BSIP Medical</t>
  </si>
  <si>
    <t>2fc0a05a-d441-11ee-8c6d-506b8d9879b5</t>
  </si>
  <si>
    <t>Phòng khám đa khoa Bsip Medical, QL1A, Ấp Tân Thạnh, Châu Thành, Tiền Giang 863426</t>
  </si>
  <si>
    <t>23999 - TBinh - TChinh - HỘ KINH DOANH PHÒNG KHÁM TIÊU HÓA - NỘI SOI 474</t>
  </si>
  <si>
    <t>44b4e2e4-c9e7-11f0-b461-506b8d982279</t>
  </si>
  <si>
    <t>PHÒNG KHÁM TIÊU HOÁ NỘI SOI 474, 474 Đ. Trường Chinh, Phường Tân Bình, Tân Bình</t>
  </si>
  <si>
    <t>a0d370aa-452d-11ed-a75b-506b8dbc8dfb</t>
  </si>
  <si>
    <t>d40afa28-ed76-11ed-8a87-506b8dbc8dfb</t>
  </si>
  <si>
    <t>Polyclinics FRANCE ENGLAND, 224, 226 Nguyễn Duy Dương, Phường 4, Quận 10, Thành phố Hồ Chí Minh 70000</t>
  </si>
  <si>
    <t>c10e75c2-446f-11ed-9108-506b8dbc8dfb</t>
  </si>
  <si>
    <t>CARE1 - Executive Health Care Center &amp; Clinic, 91 Đ. Nguyễn Hữu Cảnh, Phường 22, Bình Thạnh, Thành phố Hồ Chí Minh</t>
  </si>
  <si>
    <t>15308 - VTau - Pasteur - Trần Thu Hiền</t>
  </si>
  <si>
    <t>3a6809da-5787-11ee-baba-506b8d9879b5</t>
  </si>
  <si>
    <t>Vietsovpetro Medical Center, 02 Pasteur, Phường 7, Thành phố Vũng Tầu, Bà Rịa - Vũng Tàu 790000</t>
  </si>
  <si>
    <t>20933 - TBinh - BDang - Phòng khám Răng Hàm Mặt Sài Gòn</t>
  </si>
  <si>
    <t>2b0c0e8e-ce61-11f0-93da-506b8d982279</t>
  </si>
  <si>
    <t>Bluesky Department 3, 102 Phan Văn Hớn, Tân Thới Nhất, Quận 12, Thành phố Hồ Chí Minh</t>
  </si>
  <si>
    <t>051eba38-cf32-11f0-b412-506b8d982279</t>
  </si>
  <si>
    <t>Bệnh Viện Y Học Cổ Truyền Tỉnh Bình Dương, 207 Yersin, Phú Cường, Thủ Dầu Một, Bình Dương</t>
  </si>
  <si>
    <t>44971674 - PNhuan - DTDiem - Bs Tăng Hà Nam Anh</t>
  </si>
  <si>
    <t>31ce9524-cf66-11f0-b382-506b8d982279</t>
  </si>
  <si>
    <t>骨 Phòng Khám Xương Khớp Việt, 24/2A Đ. Đoàn Thị Điểm, Phường 1, Phú Nhuận, Thành phố Hồ Chí Minh</t>
  </si>
  <si>
    <t>8e7dd344-c9bc-11ef-ad21-506b8d9879b5</t>
  </si>
  <si>
    <t>Phòng Xét Nghiệm Nguyễn Minh Ngân, 52/15 Đ. Phú Lợi, Phú Hoà, Thủ Dầu Một, Bình Dương</t>
  </si>
  <si>
    <t>20303 - BCat - NE8 - Vũ Thị Nga</t>
  </si>
  <si>
    <t>8abfcb7c-e37b-11ee-be96-506b8d9879b5</t>
  </si>
  <si>
    <t>NE8, Thới Hoà, Bến Cát, Bình Dương</t>
  </si>
  <si>
    <t>5a8e5668-deac-11ee-91a6-506b8d9879b5</t>
  </si>
  <si>
    <t>17 Đ. Số 3, Trường Thọ, Thủ Đức, Thành phố Hồ Chí Minh</t>
  </si>
  <si>
    <t>95815b38-3849-11f0-8ddc-506b8d982279</t>
  </si>
  <si>
    <t>98CR+GR2, 111 Nguyễn Thị Thập, Phường 10, Mỹ Tho, Tiền Giang</t>
  </si>
  <si>
    <t>20328 - BChanh - DS12  - Bs Trần Minh Tân</t>
  </si>
  <si>
    <t>2b4fc9aa-0326-11f0-9750-506b8d9879b5</t>
  </si>
  <si>
    <t>7 Hẻm E4c, Phong Phú, Bình Chánh, Hồ Chí Minh</t>
  </si>
  <si>
    <t>20334 - D5 - NCThanh - Nguyễn Minh Nhựt</t>
  </si>
  <si>
    <t>b9db6a24-f97e-11ee-8ef5-506b8d9879b5</t>
  </si>
  <si>
    <t>201B Đ. Nguyễn Chí Thanh, Phường 12, Quận 5, Thành phố Hồ Chí Minh</t>
  </si>
  <si>
    <t>20344 - HMon - TThoi3 - Phan Thanh Dũng</t>
  </si>
  <si>
    <t>41964996-4bec-11f0-abde-506b8d982279</t>
  </si>
  <si>
    <t>4 185, Tân Thới 3, Tân Hiệp, Hóc Môn, Ho Chi Minh City, Vietnam</t>
  </si>
  <si>
    <t>20349 - D9 - LVViet - Trương Hoàng Bảo Trinh</t>
  </si>
  <si>
    <t>493c6d64-0cd8-11ef-b73d-506b8d9879b5</t>
  </si>
  <si>
    <t>Eastern People Military Hospital, 50 Lê Văn Việt, Hiệp Phú, Quận 9, Thành phố Hồ Chí Minh</t>
  </si>
  <si>
    <t>20366 - D5 - NTrai - Hồ Vạn Hồng Đức</t>
  </si>
  <si>
    <t>b6b8cab0-1668-11ef-b12b-506b8d9879b5</t>
  </si>
  <si>
    <t>Phòng khám nội khoa Bs NGUYỄN TUẤN NGHỊ, 313/16 Đ. Nguyễn Trãi, Phường 7, Quận 5, Thành phố Hồ Chí Minh</t>
  </si>
  <si>
    <t>20372 - HMon - NVBua - Nguyễn Dương Thanh Thảo</t>
  </si>
  <si>
    <t>38d55b86-dc7f-11ee-8faf-506b8d9879b5</t>
  </si>
  <si>
    <t>Phòng Khám BS. Nguyễn Dương Thanh Thảo, 93, 2 Nguyễn Văn Bứa, Xuân Thới Sơn, Hóc Môn, Thành phố Hồ Chí Minh</t>
  </si>
  <si>
    <t>20388 - BChanh - THNghiep - Bs Vân</t>
  </si>
  <si>
    <t>7854fb42-295c-11f0-9aa5-506b8d982279</t>
  </si>
  <si>
    <t>Blood Transfusion &amp; Hematology Hospital - Branch No. 2, Số 01 Trần Hữu Nghiệp, Tân Kiên, Bình Chánh, Hồ Chí Minh</t>
  </si>
  <si>
    <t>20411 - NBe - LVLuong - Bs Quách Bảo Đằng</t>
  </si>
  <si>
    <t>7d4e8570-c1b7-11f0-82be-506b8d982279</t>
  </si>
  <si>
    <t>153 Đ. Lê Văn Lương, Phước Kiển, Nhà Bè</t>
  </si>
  <si>
    <t>20415 - DAn - M - Nha Khoa Linh Xuân</t>
  </si>
  <si>
    <t>6e3e7e46-ee37-11ee-a951-506b8d9879b5</t>
  </si>
  <si>
    <t>Nha Khoa Linh Xuân - CN Dĩ An, Khu Trung Tâm Hành Chính, 20 Đường M, Khu Phố Nhị Đồng 2, Dĩ An, Bình Dương</t>
  </si>
  <si>
    <t>20415 - TDuc - QL1K - Nha Khoa Linh Xuân</t>
  </si>
  <si>
    <t>860b3eba-eb4e-11ee-a12b-506b8d9879b5</t>
  </si>
  <si>
    <t>51 Quốc lộ 1K, Linh Xuân, Thủ Đức, Thành phố Hồ Chí Minh</t>
  </si>
  <si>
    <t>20417 - GVap - QTrung - Nguyễn Văn Tiến Đạt</t>
  </si>
  <si>
    <t>f634aeba-249c-11ef-bfc9-506b8d9879b5</t>
  </si>
  <si>
    <t>Go Vap Hospital, 641 Đ. Quang Trung, Phường 11, Gò Vấp, Thành phố Hồ Chí Minh</t>
  </si>
  <si>
    <t>fbfe42a0-4d57-11ef-b0f3-506b8d9879b5</t>
  </si>
  <si>
    <t>Tiêm chủng và xét nghiệm TANIMED CN TX. Trảng Bàng, 1458, QL22, An Bình, Trảng Bàng, Tây Ninh</t>
  </si>
  <si>
    <t>An Tịnh</t>
  </si>
  <si>
    <t>93f42a58-5c84-11ef-8902-506b8d9879b5</t>
  </si>
  <si>
    <t>Học Viện Kỹ Thuật Mật Mã - Miền Nam (KMP), 17A Đ. Cộng Hòa, Phường 4, Tân Bình, Hồ Chí Minh</t>
  </si>
  <si>
    <t>9a0c4726-d0ba-11f0-abc5-506b8d982279</t>
  </si>
  <si>
    <t>1 Lương Văn Nho, Tân Phong, Biên Hòa, Đồng Nai</t>
  </si>
  <si>
    <t>Test D000</t>
  </si>
  <si>
    <t>d7642930-7684-11f0-b14b-506b8d982279</t>
  </si>
  <si>
    <t>281 Cách Mạng Tháng Tám, Phường 12, Quận 10, Hồ Chí Minh</t>
  </si>
  <si>
    <t>18704 - VTau - Pasteur - Bs GRUDININA ELENA</t>
  </si>
  <si>
    <t>cd636e44-d17b-11f0-9395-506b8d982279</t>
  </si>
  <si>
    <t>Vietsovpetro Medical Center, 02 Pasteur, Phường 7, Vũng Tàu</t>
  </si>
  <si>
    <t>b25974b4-d3ff-11f0-be69-506b8d982279</t>
  </si>
  <si>
    <t>Eastern Bus Station, 292 Đinh Bộ Lĩnh, Phường 26, Bình Thạnh, Thành phố Hồ Chí Minh 72310</t>
  </si>
  <si>
    <t>12188 - BTan - HL2 - BS Đỗ Công Minh</t>
  </si>
  <si>
    <t>690a9fbc-3015-11ee-9ada-506b8d9879b5</t>
  </si>
  <si>
    <t>36c095f4-d4bc-11f0-870d-506b8d982279</t>
  </si>
  <si>
    <t>Phòng Khám Đa Khoa - Đại Học Y Khoa Phạm Ngọc Thạch, 461 Sư Vạn Hạnh, Phường 12, Quận 10, Thành phố Hồ Chí Minh</t>
  </si>
  <si>
    <t>18736 - D7 - 4 - Phòng khám Thiên An Apollo</t>
  </si>
  <si>
    <t>3dd74e64-7fb4-11ee-947c-506b8d9879b5</t>
  </si>
  <si>
    <t>Phòng khám Thiên An Apollo, 53 Đường số 4, Khu dân cư Him Lam, Quận 7, Thành phố Hồ Chí Minh 72900</t>
  </si>
  <si>
    <t>12847 - BThanh - BDTuy - Phòng khám Nhi Khoa 228</t>
  </si>
  <si>
    <t>7defa302-7b81-11ee-a83b-506b8d9879b5</t>
  </si>
  <si>
    <t>228 Bùi Đình Tuý, Phường 12, Bình Thạnh, Thành phố Hồ Chí Minh 84800</t>
  </si>
  <si>
    <t>d328c92a-582c-11ee-914e-506b8d9879b5</t>
  </si>
  <si>
    <t>Son Ky Ward, Tan Phu Dist. Medical Center, 382/46 Tân Kỳ Tân Quý, Sơn Kỳ, Tân Phú, Thành phố Hồ Chí Minh 760210</t>
  </si>
  <si>
    <t>6e8d3dc6-d655-11f0-b393-506b8d982279</t>
  </si>
  <si>
    <t>130 Lê Văn Thịnh, Phường Bình Trưng Tây, Thủ Đức, Thành phố Hồ Chí Minh 71113</t>
  </si>
  <si>
    <t>e75fe7f2-4ab3-11ed-bb79-506b8dbc8dfb</t>
  </si>
  <si>
    <t>GRACE SKINCARE CLINIC, Ground Floor, WMC Tower, 102C Cống Quỳnh, Phường Phạm Ngũ Lão, Quận 1, Thành phố Hồ Chí Minh</t>
  </si>
  <si>
    <t>054ab756-d689-11f0-8329-506b8d982279</t>
  </si>
  <si>
    <t>74 Đường số 17, Tân Kiểng, Quận 7, Ho Chi Minh City, Vietnam</t>
  </si>
  <si>
    <t>20425 - BThanh - PVTri - Vũ Thị Thúy Hà</t>
  </si>
  <si>
    <t>01b0b61c-0503-11ef-91de-506b8d9879b5</t>
  </si>
  <si>
    <t>58 Đ. Phan Văn Trị, Phường 12, Bình Thạnh, Thành phố Hồ Chí Minh</t>
  </si>
  <si>
    <t>20429 - D5 - THDao - PK CK Chẩn Đoán Hình Ảnh Việt Nhật</t>
  </si>
  <si>
    <t>f3e4cb96-ef03-11ee-a714-506b8d9879b5</t>
  </si>
  <si>
    <t>218 Đ. Trần Hưng Đạo, Phường 11, Quận 5, Thành phố Hồ Chí Minh</t>
  </si>
  <si>
    <t>20430 - D1 - NTrai - Bệnh viện Thẩm mỹ SIAM THAILAND</t>
  </si>
  <si>
    <t>a2ea31ec-f235-11ee-9128-506b8d9879b5</t>
  </si>
  <si>
    <t>Viện thẩm mỹ Siam Thailand, 369B Đ. Nguyễn Trãi, Phường Nguyễn Cư Trinh, Quận 1, Thành phố Hồ Chí Minh</t>
  </si>
  <si>
    <t>ba240c02-468b-11ef-8f83-506b8d9879b5</t>
  </si>
  <si>
    <t>My Phu Apartment, 60/68 Lâm Văn Bền, Tân Kiểng, Quận 7, Hồ Chí Minh</t>
  </si>
  <si>
    <t>20457 - D10 - LTKiet - Trần Quang Thuận</t>
  </si>
  <si>
    <t>2c9a0910-fafc-11ef-91f1-506b8d9879b5</t>
  </si>
  <si>
    <t>266 Lý Thường Kiệt, Phường 14, Quận 10, Hồ Chí Minh</t>
  </si>
  <si>
    <t>20463 - TAn - NDChieu - PXN Nhật Minh</t>
  </si>
  <si>
    <t>e34fcde2-fd1f-11ee-a215-506b8d9879b5</t>
  </si>
  <si>
    <t>282 Nguyễn Đình Chiểu, Phường 3, Tân An, Long An</t>
  </si>
  <si>
    <t>20465 - BChanh - QDieu - Nguyễn Hoàng Yến Nhung</t>
  </si>
  <si>
    <t>3c97a8f0-58b6-11f0-ab69-506b8d982279</t>
  </si>
  <si>
    <t>D11/1 Quách Điêu, ấp 45, xã Vĩnh Lộc A, huyện Bình Chánh</t>
  </si>
  <si>
    <t>Vĩnh Lộc</t>
  </si>
  <si>
    <t>20465 - D10 - THThanh - NGUYỄN HOÀNG YẾN NHUNG</t>
  </si>
  <si>
    <t>f11c35c0-b9d3-11ef-add4-506b8d9879b5</t>
  </si>
  <si>
    <t>Khoa Cấp Cứu Bệnh Viện Trưng Vương, 531 Đ. Tô Hiến Thành, Phường 14, Quận 10, Hồ Chí Minh</t>
  </si>
  <si>
    <t>89e7cb20-e72f-11ee-b9fb-506b8d9879b5</t>
  </si>
  <si>
    <t>Trung Tâm Y Tế Thị Xã Thuận An, WP52+FQP, Nguyễn Văn Tiết, Lái Thiêu, Thuận An, Bình Dương</t>
  </si>
  <si>
    <t>20481 - TDuc - LVChi - Trần Minh Trí</t>
  </si>
  <si>
    <t>ed414b70-c667-11ef-b4a1-506b8d9879b5</t>
  </si>
  <si>
    <t>20503 - CChi - LBHuong - Bùi Thị Bích Khuê</t>
  </si>
  <si>
    <t>b6e41864-38f0-11ef-abd4-506b8d9879b5</t>
  </si>
  <si>
    <t>295 Liêu Bình Hương, Ấp Tân Thành, Củ Chi, Hồ Chí Minh</t>
  </si>
  <si>
    <t>20513 - D10 - LTKiet - BS Bùi Thái Sơn</t>
  </si>
  <si>
    <t>dca96522-0385-11ef-9e8f-506b8d9879b5</t>
  </si>
  <si>
    <t>447, Tô Hiến Thành, Phường 14, Quận 10, Thành Phố Hồ Chí Minh, Phường 14, Quận 10, Thành phố Hồ Chí Minh</t>
  </si>
  <si>
    <t>20514 - D10 - DNai - Nguyễn Xuân Vũ</t>
  </si>
  <si>
    <t>20c9a932-887f-11ef-a151-506b8d9879b5</t>
  </si>
  <si>
    <t>21 Đ. Đồng Nai, Phường 15, Quận 10, Hồ Chí Minh</t>
  </si>
  <si>
    <t>20529 - D3 - VVTan - Công Ty Cổ Phần Nha Khoa Delia Sài Gòn</t>
  </si>
  <si>
    <t>3ac271f6-e65a-11ee-bd64-506b8d9879b5</t>
  </si>
  <si>
    <t>91b Võ Văn Tần, Phường 6, Quận 3, Thành phố Hồ Chí Minh</t>
  </si>
  <si>
    <t>20541 - TDuc - NCQuoc - Dương Thị Thanh Hoa</t>
  </si>
  <si>
    <t>39b2adac-04fb-11ef-8320-506b8d9879b5</t>
  </si>
  <si>
    <t>84 Ng. Chí Quốc, Bình Chiểu, Thủ Đức, Thành phố Hồ Chí Minh</t>
  </si>
  <si>
    <t>20548 - ThAn - NVTiet - Âu Phương Thảo</t>
  </si>
  <si>
    <t>dd4c9714-5e12-11ef-9a37-506b8d9879b5</t>
  </si>
  <si>
    <t>Trung Tâm Y Tế Thành phố Thuận An, WP52+FQP, Nguyễn Văn Tiết, Lái Thiêu, Thuận An, Bình Dương</t>
  </si>
  <si>
    <t>20552 - D3 - CMT8 - BW International Clinic</t>
  </si>
  <si>
    <t>e7da47e6-f164-11ee-9103-506b8d9879b5</t>
  </si>
  <si>
    <t>186 Đ. Cách Mạng Tháng 8, Phường 10, Quận 3, Thành phố Hồ Chí Minh</t>
  </si>
  <si>
    <t>67c52c1c-f248-11ee-a75f-506b8d9879b5</t>
  </si>
  <si>
    <t>7 Nguyễn Cơ Thạch, An Lợi Đông, Quận 2, Thành phố Hồ Chí Minh</t>
  </si>
  <si>
    <t>20567 - BChanh - 1 - Lê Thị Ngọc Trâm</t>
  </si>
  <si>
    <t>f5fa8376-1f68-11f0-aecb-506b8d982279</t>
  </si>
  <si>
    <t>Binh Chanh District Hospital, 1 Đường Số 1, Khu trung tâm hành chính huyện, Bình Chánh, Hồ Chí Minh</t>
  </si>
  <si>
    <t>44225afc-0a96-11f0-b7f4-506b8d982279</t>
  </si>
  <si>
    <t>Phú Mỹ, Thủ Dầu Một, Bình Dương</t>
  </si>
  <si>
    <t>20630 - PNhuan - DDAnh - BS Nguyễn Thị Phương Duyên</t>
  </si>
  <si>
    <t>873e1fc0-8462-11ef-940d-506b8d9879b5</t>
  </si>
  <si>
    <t>140 Đào Duy Anh, Phường 9, Phú Nhuận, Hồ Chí Minh</t>
  </si>
  <si>
    <t>20630 - PNhuan - HVHue - BS Nguyễn Thị Phương Duyên</t>
  </si>
  <si>
    <t>c41a871a-d29c-11f0-b7c8-506b8d982279</t>
  </si>
  <si>
    <t>RM2G+MFJ, 90 Hồ Văn Huê, Phường 9, Phú Nhuận, Thành phố Hồ Chí Minh</t>
  </si>
  <si>
    <t>20646 - D5 - TBHo - PK Gia đình Sài Gòn Việt Úc</t>
  </si>
  <si>
    <t>ea74e68e-fc89-11ee-aa44-506b8d9879b5</t>
  </si>
  <si>
    <t>3 Đ. Tăng Bạt Hổ, Phường 12, Quận 5, Thành phố Hồ Chí Minh</t>
  </si>
  <si>
    <t>afed19e2-771c-11ef-8b57-506b8d9879b5</t>
  </si>
  <si>
    <t>Hospital District 6, 2D Đ. Chợ Lớn, Phường 11, Quận 6, Hồ Chí Minh</t>
  </si>
  <si>
    <t>dbd07d9c-14b1-11ef-aad1-506b8d9879b5</t>
  </si>
  <si>
    <t>PHÒNG KHÁM NHI ĐỒNG, Ô 52 LÔ DC02, Khu Dân Cư Viet Sing, Thuận An, Bình Dương</t>
  </si>
  <si>
    <t>20660 - TBinh - TChinh - BS Trần Vũ Vinh</t>
  </si>
  <si>
    <t>552e5b94-27e2-11ef-8a89-506b8d9879b5</t>
  </si>
  <si>
    <t>347a Đ. Trường Chinh, Phường 13, Tân Bình, Thành phố Hồ Chí Minh</t>
  </si>
  <si>
    <t>a4f42f2c-078f-11f0-9ba4-506b8d982279</t>
  </si>
  <si>
    <t>51 Nguyễn Văn Tiết, Lái Thiêu, Thuận An, Bình Dương</t>
  </si>
  <si>
    <t>44595942 - D11 - CCNHan - Trần Lệ Thủy</t>
  </si>
  <si>
    <t>c9fc1c80-db8e-11ef-95c1-506b8d9879b5</t>
  </si>
  <si>
    <t>91 Công chúa Ngọc Hân, Phường 12, Quận 11, Hồ Chí Minh</t>
  </si>
  <si>
    <t>d0ff53de-c8ac-11ef-ae8e-506b8d9879b5</t>
  </si>
  <si>
    <t>(16:30 đóng cửa; 11:30-13:30 nghỉ trưa) 215 Hồng Bàng, Phường Chợ Lớn, Thành phố Hồ Chí Minh</t>
  </si>
  <si>
    <t>44769807 - TBinh - HHTham - BS Nguyễn Kim Dung</t>
  </si>
  <si>
    <t>f9a1f49a-15ac-11ee-a619-506b8dbc8dfb</t>
  </si>
  <si>
    <t>127 Hoàng Hoa Thám, Phường 12, Tân Bình, Thành phố Hồ Chí Minh</t>
  </si>
  <si>
    <t>44993999 - D9 - LVViet - Phòng Khám Nhân Việt</t>
  </si>
  <si>
    <t>ed0533b2-1338-11ee-8b76-506b8dbc8dfb</t>
  </si>
  <si>
    <t>189, 189 Lê Văn Việt, Hiệp Phú, Quận 9, Thành phố Hồ Chí Minh</t>
  </si>
  <si>
    <t>45754029 - BThanh - HDHai - Bs Nguyễn Thị Thu Thủy</t>
  </si>
  <si>
    <t>9e244ac4-b56d-11f0-9e7d-506b8d982279</t>
  </si>
  <si>
    <t>31 Huỳnh Đình Hai, Phường 14, Bình Thạnh, Thành phố Hồ Chí Minh</t>
  </si>
  <si>
    <t>45795193 - TBinh - HVThu - BS Nguyễn Thị Mỹ Phượng</t>
  </si>
  <si>
    <t>bc4d5484-135a-11ef-b21d-506b8d9879b5</t>
  </si>
  <si>
    <t>Bệnh viện Phụ sản MêKông, 243 Đ. Hoàng Văn Thụ, Phường 1, Tân Bình, Thành phố Hồ Chí Minh</t>
  </si>
  <si>
    <t>3f9846b8-1cbd-11ee-b58a-506b8d9879b5</t>
  </si>
  <si>
    <t>Phòng Khám Sản Phụ Khoa Bác Sĩ Mỹ Phượng, 307 Nguyễn Thái Bình, Phường 12, Tân Bình, Thành phố Hồ Chí Minh</t>
  </si>
  <si>
    <t>45864325 - D10 - THThanh - Huỳnh Bảo Quốc</t>
  </si>
  <si>
    <t>069c8364-b826-11ef-9136-506b8d9879b5</t>
  </si>
  <si>
    <t>46088845 - GVap - PVTri - Bs.Nguyễn Thị Hồng Nhung</t>
  </si>
  <si>
    <t>a5032b06-214b-11ef-8f2f-506b8d9879b5</t>
  </si>
  <si>
    <t>Phòng Khám Phụ Sản BETA +, 672A13 Đ. Phan Văn Trị, Phường 10, Gò Vấp, Thành phố Hồ Chí Minh</t>
  </si>
  <si>
    <t>46113753 - D10 - THThanh - Trần Nguyễn Xuân Tin</t>
  </si>
  <si>
    <t>52fe66d6-3349-11ee-993e-506b8d9879b5</t>
  </si>
  <si>
    <t>531 Đ. Tô Hiến Thành, Phường 14, Quận 10, Thành phố Hồ Chí Minh</t>
  </si>
  <si>
    <t>46141673 - BThanh - NHCanh - BS Tuyết</t>
  </si>
  <si>
    <t>4770ea76-32cc-11f0-a2ae-506b8d982279</t>
  </si>
  <si>
    <t>Vinmec Central Park International Hospital, 208 Nguyễn Hữu Cảnh, Vinhomes Tân Cảng, Bình Thạnh, Hồ Chí Minh</t>
  </si>
  <si>
    <t>44b4b038-2ca6-11ef-b9dd-506b8d9879b5</t>
  </si>
  <si>
    <t>69/4 Phan Đình Phùng, Tân Thành, Tân Phú, Thành phố Hồ Chí Minh</t>
  </si>
  <si>
    <t>46472888 - BThanh - NTLong - Bs Nguyễn Lê Anh Khang</t>
  </si>
  <si>
    <t>3b2bc906-b2a3-11ef-83fe-506b8d9879b5</t>
  </si>
  <si>
    <t>Nhan dan Gia Dinh Hospital, 1 Đ. Nơ Trang Long, Phường 7, Bình Thạnh, Hồ Chí Minh</t>
  </si>
  <si>
    <t>e95894d4-ed77-11ed-941b-506b8dbc8dfb</t>
  </si>
  <si>
    <t>Phòng Khám Đa Khoa Quốc Tế Sài Gòn - Quận 1, 9-11-13-15 Đ. Trịnh Văn Cấn, Phường Cầu Ông Lãnh, Quận 1, Thành phố Hồ Chí Minh</t>
  </si>
  <si>
    <t>c5e01d1e-94fb-11f0-81fe-506b8d982279</t>
  </si>
  <si>
    <t>Phòng Khám Đa Khoa Quốc Tế Sài Gòn (SIG) - Quận 7, 441 Đ. Lê Văn Lương, Tân Hưng, Quận 7, Hồ Chí Minh</t>
  </si>
  <si>
    <t>6b1587c6-a6ee-11ef-bf11-506b8d9879b5</t>
  </si>
  <si>
    <t>Columbia Asia Hospital - Binh Duong, Đường 22 tháng 12, Khu Phố Hòa Lân 1, Thuận Giao, Thuận An, Bình Dương</t>
  </si>
  <si>
    <t>46512286 - D4 - BVDon - Dương Tấn Tại</t>
  </si>
  <si>
    <t>8021893c-0930-11ef-bfbd-506b8d9879b5</t>
  </si>
  <si>
    <t>District 4 Hospital, 65 Đ. Bến Vân Đồn, Phường 12, Quận 4, Thành phố Hồ Chí Minh</t>
  </si>
  <si>
    <t>0edfdc38-8346-11f0-a9c6-506b8d982279</t>
  </si>
  <si>
    <t>98 Đ. Quách Đình Bảo, Phú Thạnh, Tân Phú, Hồ Chí Minh</t>
  </si>
  <si>
    <t>46555971 - D1 - NTMKhai - BỆNH VIỆN QUỐC TẾ HẠNH PHÚC</t>
  </si>
  <si>
    <t>21e946ac-4bc1-11ee-bcde-506b8d9879b5</t>
  </si>
  <si>
    <t>Phòng khám Bệnh viện Quốc tế Hạnh Phúc, 97 Nguyễn Thị Minh Khai, Quận 1, HCM, Phường Phạm Ngũ Lão, Thành phố Hồ chí minh, Thành phố Hồ Chí Minh</t>
  </si>
  <si>
    <t>2fde8600-4252-11ee-8362-506b8d9879b5</t>
  </si>
  <si>
    <t>Phòng Khám Quốc Tế Hạnh Phúc, Lầu 5 Estella Place, 88 Song Hành, P. Phú Thuận, Quận 2, Thành phố Hồ Chí Minh</t>
  </si>
  <si>
    <t>14e08288-4bba-11ee-a084-506b8d9879b5</t>
  </si>
  <si>
    <t>30db756a-c368-11f0-bcda-506b8d982279</t>
  </si>
  <si>
    <t>Tân Hưng General Hospital, 871 Đ. Trần Xuân Soạn, Tân Hưng, Quận 7</t>
  </si>
  <si>
    <t>46556073 - D9 - DS9 - Lê Thị Thúy</t>
  </si>
  <si>
    <t>2b81e994-a8c2-11ef-99fc-506b8d9879b5</t>
  </si>
  <si>
    <t>87 Đường số 9, Phước Bình, Quận 9, Hồ Chí Minh</t>
  </si>
  <si>
    <t>775ca306-508d-11ee-8fce-506b8d9879b5</t>
  </si>
  <si>
    <t>57 Đ. Tây Hòa, Phước Long A, Quận 9, Thành phố Hồ Chí Minh</t>
  </si>
  <si>
    <t>46556125 - D9 - DS9 - Nay H'Nga</t>
  </si>
  <si>
    <t>47fc90ce-888d-11ef-9332-506b8d9879b5</t>
  </si>
  <si>
    <t>46556129 - D9 - LVViet - Nguyễn Trường Giang</t>
  </si>
  <si>
    <t>37a0db82-5943-11ef-b441-506b8d9879b5</t>
  </si>
  <si>
    <t>46557350 - D9 - LVViet - Ngô Thị Nhanh</t>
  </si>
  <si>
    <t>472076dc-d5d9-11ee-b232-506b8d9879b5</t>
  </si>
  <si>
    <t>2d52e58e-13ea-11ee-9e33-506b8dbc8dfb</t>
  </si>
  <si>
    <t>Bắc Mỹ Hospital, 143C Nguyễn Văn Tăng, Long Thạnh Mỹ, Quận 9, Thành phố Hồ Chí Minh</t>
  </si>
  <si>
    <t>9b0992e6-7216-11ee-b54d-506b8d9879b5</t>
  </si>
  <si>
    <t>PHÒNG KHÁM TIẾN PHƯỚC, 117 C Lê Văn Khương, Đông Thạnh, Hóc Môn, Thành phố Hồ Chí Minh</t>
  </si>
  <si>
    <t>46558454 - D6 - 23 - PK Vietmedic</t>
  </si>
  <si>
    <t>c1781f26-14e0-11ee-890f-506b8dbc8dfb</t>
  </si>
  <si>
    <t>53 Đường Số 23, Phường 10, Quận 6, Thành phố Hồ Chí Minh</t>
  </si>
  <si>
    <t>46558485 - D9 - M3 - BS. Nguyễn Thị Thanh Bình</t>
  </si>
  <si>
    <t>b94789e2-223a-11ee-b629-506b8d9879b5</t>
  </si>
  <si>
    <t>Phòng khám nhi - Bác Sĩ Thanh Bình, M3-34, khu Manhattan Glory, Số 34 đường M3, KĐT Vinhome Grandpark, Quận 9, Thành phố Hồ Chí Minh</t>
  </si>
  <si>
    <t>46558631 - D1 - ARohde - Columbia Asia</t>
  </si>
  <si>
    <t>0c51844e-747a-11ee-99fd-506b8d9879b5</t>
  </si>
  <si>
    <t>Columbia Asia International Clinic - Saigon, 8 Alexandre de Rhodes, Bến Nghé, Quận 1, Thành phố Hồ Chí Minh</t>
  </si>
  <si>
    <t>46558906 - TDuc - LVChi - Nhâm Thị Cẩm Vân</t>
  </si>
  <si>
    <t>afb3d5d8-15c8-11f0-b012-506b8d982279</t>
  </si>
  <si>
    <t>b14729ee-0512-11ef-934f-506b8d9879b5</t>
  </si>
  <si>
    <t>624 QL13, Hiệp Bình Phước, Thủ Đức, Thành phố Hồ Chí Minh</t>
  </si>
  <si>
    <t>6d5822f6-29da-11ee-bb13-506b8d9879b5</t>
  </si>
  <si>
    <t>An Binh Hospital, 146 Đ. An Bình, Phường 7, Quận 5, Thành phố Hồ Chí Minh</t>
  </si>
  <si>
    <t>0a0741b0-0670-11ee-8e90-506b8dbc8dfb</t>
  </si>
  <si>
    <t>BỆNH VIỆN ĐA KHOA ĐỨC KHANG, 500 Ng Gia Tự, Phường 9, Quận 5, Hồ Chí Minh</t>
  </si>
  <si>
    <t>46622754 - D1 - TDXu - BS Vũ Thị Thanh Dung</t>
  </si>
  <si>
    <t>bae317f8-089d-11f0-87c8-506b8d982279</t>
  </si>
  <si>
    <t>114 Trần Đình Xu Quận 1, 114 Trần Đình Xu, Phường Nguyễn Cư Trinh, Quận 1, Hồ Chí Minh</t>
  </si>
  <si>
    <t>46622754 - D5 - BHNghia - BS Vũ Thị Thanh Dung</t>
  </si>
  <si>
    <t>b8e0f888-09e6-11ee-99d5-506b8dbc8dfb</t>
  </si>
  <si>
    <t>46 Bùi Hữu Nghĩa, Phường 5, Quận 5, Thành phố Hồ Chí Minh</t>
  </si>
  <si>
    <t>6a0525ea-669c-11ef-9bd6-506b8d9879b5</t>
  </si>
  <si>
    <t>Quoc Anh General Hospital, 104 - 110 Đường số 54, KDC, Bình Tân, Thành phố Hồ Chí Minh</t>
  </si>
  <si>
    <t>34fb2846-6719-11ee-a2cd-506b8d9879b5</t>
  </si>
  <si>
    <t>11A Hẻm A14, Tân Kiên, Bình Chánh, Thành phố Hồ Chí Minh</t>
  </si>
  <si>
    <t>46647718 - TBinh - LLQuan - BS Nguyễn Phước Thịnh</t>
  </si>
  <si>
    <t>894541fa-3f16-11ee-a847-506b8d9879b5</t>
  </si>
  <si>
    <t>654/6, 654/6 Lạc Long Quân, Phường 9, Tân Bình, Thành phố Hồ Chí Minh</t>
  </si>
  <si>
    <t>6502e506-8fa9-11ef-9316-506b8d9879b5</t>
  </si>
  <si>
    <t>1153 QL1A, Khu phố 9, Bình Tân, Hồ Chí Minh</t>
  </si>
  <si>
    <t>46648012 - D11 - 3/2 - Phòng khám đa khoa Đại Phước</t>
  </si>
  <si>
    <t>00564012-346e-11ef-824d-506b8d9879b5</t>
  </si>
  <si>
    <t>Phòng Khám Đa Khoa Đại Phước, 829A 831 Đ. 3 Tháng 2, Phường 7, Quận 11, Hồ Chí Minh</t>
  </si>
  <si>
    <t>46648548 - D1 - CQuynh - BS Hồ Kỳ Thu Nguyệt</t>
  </si>
  <si>
    <t>c2c8aa1a-d2f6-11ee-b989-506b8d9879b5</t>
  </si>
  <si>
    <t>284 Đ. Cống Quỳnh, Phường Phạm Ngũ Lão, Quận 1, Thành phố Hồ Chí Minh</t>
  </si>
  <si>
    <t>524fd8d8-fb7b-11ed-9da7-506b8dbc8dfb</t>
  </si>
  <si>
    <t>159/16C1 Bạch Đằng, Phường 2, Tân Bình, Thành phố Hồ Chí Minh</t>
  </si>
  <si>
    <t>5002514a-4470-11ed-92fa-506b8dbc8dfb</t>
  </si>
  <si>
    <t>Thẩm mỹ AZ NOSE - Chuyên Sâu Nâng Mũi, 265 Đ. 3/2, Phường 10, Quận 10, Thành phố Hồ Chí Minh</t>
  </si>
  <si>
    <t>46648895 - GVap - PNLao - Bs.Đặng Thị Hiện</t>
  </si>
  <si>
    <t>edb29702-e2bb-11ee-8872-506b8d9879b5</t>
  </si>
  <si>
    <t>44 Đ. Phạm Ngũ Lão, Phường 4, Gò Vấp, Thành phố Hồ Chí Minh</t>
  </si>
  <si>
    <t>f0773008-0f51-11ee-951b-506b8dbc8dfb</t>
  </si>
  <si>
    <t>10 Trần Huy Liệu, Phường 12, Phú Nhuận, Thành phố Hồ Chí Minh</t>
  </si>
  <si>
    <t>46651845 - TBinh - HNhat - BS Đàm Thị Cẩm Linh</t>
  </si>
  <si>
    <t>8629ddb4-4a0c-11ed-9f23-506b8dbc8dfb</t>
  </si>
  <si>
    <t>Phòng khám bác sĩ Đàm Thị Cẩm Linh, 102 Hiệp Nhất, Phường 4, Tân Bình, Thành phố Hồ Chí Minh</t>
  </si>
  <si>
    <t>46651855 - TBinh - XDieu - BS Đỗ Đăng Lâm</t>
  </si>
  <si>
    <t>57304a42-4b2c-11f0-9bce-506b8d982279</t>
  </si>
  <si>
    <t>28 Đ. Xuân Diệu, Phường 4, Tân Bình, Hồ Chí Minh</t>
  </si>
  <si>
    <t>a4f0de66-8a3a-11f0-98af-506b8d982279</t>
  </si>
  <si>
    <t>231 Nguyễn Hữu Trí, TT. Tân Túc, Bình Chánh, Hồ Chí Minh</t>
  </si>
  <si>
    <t>d8610906-8140-11ee-abb7-506b8d9879b5</t>
  </si>
  <si>
    <t>463 Hồ Học Lãm, An Lạc, Bình Tân, Thành phố Hồ Chí Minh</t>
  </si>
  <si>
    <t>8a866508-0a7d-11ee-9b14-506b8dbc8dfb</t>
  </si>
  <si>
    <t>485 Nguyễn Thị Tú, Bình Hưng Hoà B, Bình Tân, Thành phố Hồ Chí Minh</t>
  </si>
  <si>
    <t>9575b00e-ba9f-11ee-86c0-506b8d9879b5</t>
  </si>
  <si>
    <t>50E đường Tây Lân, KP7, P. Bình Trị Đông A, Q. Bình Tân</t>
  </si>
  <si>
    <t>7eade5f2-b5e1-11ee-a194-506b8d9879b5</t>
  </si>
  <si>
    <t>898 Quốc lộ 22, Khu Phố 8, Thị Trấn Củ Chi, Huyện Củ Chi, TPHCM</t>
  </si>
  <si>
    <t>38c9c1aa-4620-11ed-9196-506b8dbc8dfb</t>
  </si>
  <si>
    <t>307 Tô Hiến Thành, Phường 12, Quận 10, Thành phố Hồ Chí Minh</t>
  </si>
  <si>
    <t>2e371346-21f8-11ee-a792-506b8d9879b5</t>
  </si>
  <si>
    <t>277 Đ. Minh Phụng, Phường 2, Quận 11, Thành phố Hồ Chí Minh</t>
  </si>
  <si>
    <t>6e28b82a-8c67-11f0-9f5d-506b8d982279</t>
  </si>
  <si>
    <t>301 Đ. Dương Thị Mười, Tân Thới Hiệp, Quận 12, Hồ Chí Minh</t>
  </si>
  <si>
    <t>08dc27ae-4d84-11ef-ba5f-506b8d9879b5</t>
  </si>
  <si>
    <t>896 Hà Huy Giáp, Thạnh Lộc, Quận 12, Hồ Chí Minh</t>
  </si>
  <si>
    <t>a283fb2c-93e2-11ee-958b-506b8d9879b5</t>
  </si>
  <si>
    <t>1192 Nguyễn Văn Quá, Tân Thới Hiệp, Quận 12, Thành phố Hồ Chí Minh</t>
  </si>
  <si>
    <t>f622b542-be20-11f0-95e7-506b8d982279</t>
  </si>
  <si>
    <t>62 Đ. Thạnh Lộc 27, Thạnh Lộc, Quận 12, Thành phố Hồ Chí Minh</t>
  </si>
  <si>
    <t>61781582-47b1-11ee-9053-506b8d9879b5</t>
  </si>
  <si>
    <t>634 Nguyễn Thị Định, Phường Thạnh Mỹ Lợi, Quận 2, Thành phố Hồ Chí Minh</t>
  </si>
  <si>
    <t>01e0ec98-cf06-11ee-b4d1-506b8d9879b5</t>
  </si>
  <si>
    <t>91 Trần Não, Khu phố 4, phường An Khánh, Quận 2, TP.HCM</t>
  </si>
  <si>
    <t>c444e4a0-461e-11ed-9831-506b8dbc8dfb</t>
  </si>
  <si>
    <t>329 Đ. Hoàng Diệu, Phường 5, Quận 4, Thành phố Hồ Chí Minh</t>
  </si>
  <si>
    <t>Khánh Hội</t>
  </si>
  <si>
    <t>d1ac161c-8097-11ef-b9ab-506b8d9879b5</t>
  </si>
  <si>
    <t>1184 Huỳnh Tấn Phát, Khu phố 5, Quận 7, Hồ Chí Minh</t>
  </si>
  <si>
    <t>f3a91ab0-6191-11ee-8062-506b8d9879b5</t>
  </si>
  <si>
    <t>601 D. Bá Trạc, Phường 1, Quận 8, Thành phố Hồ Chí Minh</t>
  </si>
  <si>
    <t>15f046d6-4620-11ed-92e1-506b8dbc8dfb</t>
  </si>
  <si>
    <t>558-560 Phạm Thế Hiển, P. 4, Q.8, TPHCM</t>
  </si>
  <si>
    <t>217168cc-bad6-11f0-b824-506b8d982279</t>
  </si>
  <si>
    <t>180 Lã Xuân Oai, Phường Tăng Nhơn Phú, Hồ Chí Minh</t>
  </si>
  <si>
    <t>b57674f6-4624-11ed-9100-506b8dbc8dfb</t>
  </si>
  <si>
    <t>1 Đường Tăng Nhơn Phú, Phước Long B, Quận 9, Thành phố Hồ Chí Minh</t>
  </si>
  <si>
    <t>46651876 - DAn - LTKiet - ND315 Lý Thường Kiệt</t>
  </si>
  <si>
    <t>0420fd68-9405-11ee-9ba3-506b8d9879b5</t>
  </si>
  <si>
    <t>14-15 Lý Thường Kiệt, P. Dĩ An, Dĩ An, Bình Dương</t>
  </si>
  <si>
    <t>8ad39af0-9405-11ee-b52c-506b8d9879b5</t>
  </si>
  <si>
    <t>464 Nguyễn An Ninh, Khu Phố Đông Tân, Dĩ An, Bình Dương</t>
  </si>
  <si>
    <t>79755906-47b1-11ee-a628-506b8d9879b5</t>
  </si>
  <si>
    <t>566 Lê Quang Định, Phường 1, Gò Vấp, Thành phố Hồ Chí Minh</t>
  </si>
  <si>
    <t>cb5e725a-4624-11ed-9796-506b8dbc8dfb</t>
  </si>
  <si>
    <t>373 Phạm Văn Chiêu, P. 14, Q. Gò Vấp</t>
  </si>
  <si>
    <t>a94ef2b0-32b0-11ee-9251-506b8d9879b5</t>
  </si>
  <si>
    <t>[Nhi] 657 Quang Trung, Phường 11, Gò Vấp, TP.HCM</t>
  </si>
  <si>
    <t>16874f0a-c8c2-11ef-aced-506b8d9879b5</t>
  </si>
  <si>
    <t>173 Đặng Thúc Vịnh ấp 7, Đông Thạnh, Hóc Môn, Hồ Chí Minh</t>
  </si>
  <si>
    <t>1eb8a47a-4625-11ed-a856-506b8dbc8dfb</t>
  </si>
  <si>
    <t>2/83A Lê Thị Hà, Xã Tân Xuân, Huyện Hóc Môn</t>
  </si>
  <si>
    <t>0b8b3520-4625-11ed-aaa4-506b8dbc8dfb</t>
  </si>
  <si>
    <t>10, 01 Lý Thường Kiệt, TT. Hóc Môn, Hóc Môn, Thành phố Hồ Chí Minh</t>
  </si>
  <si>
    <t>b7e27baa-37fe-11ee-8340-506b8d9879b5</t>
  </si>
  <si>
    <t>ấp 7, 18/4 Phan Văn Hớn, ấp 7, 18/4 Phan Văn Hớn, Xuân Thới Thượng, Hóc Môn, Thành phố Hồ Chí Minh</t>
  </si>
  <si>
    <t>2da9c09a-4625-11ed-bd6e-506b8dbc8dfb</t>
  </si>
  <si>
    <t>152 Tô Ký, Ấp Đông, Xã Thới Tam Thôn, Huyện Hóc Môn</t>
  </si>
  <si>
    <t>SENDOUT31 - D10 - TThai - BV Bưu Điện</t>
  </si>
  <si>
    <t>be7d54b2-4d09-11f1-9378-fa163ee8d8ac</t>
  </si>
  <si>
    <t>(Gọi Trọng An) 224 Thành Thái,  Hòa Hưng, Hồ Chí Minh</t>
  </si>
  <si>
    <t>13f99116-21f8-11ee-87d0-506b8d9879b5</t>
  </si>
  <si>
    <t>179 Đ. Lê Văn Sỹ, Phường 14, Phú Nhuận, Thành phố Hồ Chí Minh</t>
  </si>
  <si>
    <t>eb0acfc0-47b0-11ee-9a76-506b8d9879b5</t>
  </si>
  <si>
    <t>143C Phan Đăng Lưu, Phường 2, Phú Nhuận, Thành phố Hồ Chí Minh</t>
  </si>
  <si>
    <t>f936c402-4d4e-11ee-b7b9-506b8d9879b5</t>
  </si>
  <si>
    <t>740 Đ. Cách Mạng Tháng 8, Phường 6, Tân Bình, Thành phố Hồ Chí Minh</t>
  </si>
  <si>
    <t>87b6cc22-a916-11ee-9507-506b8d9879b5</t>
  </si>
  <si>
    <t>626 Lạc Long Quân, Phường 9, Tân Bình, Thành phố Hồ Chí Minh</t>
  </si>
  <si>
    <t>543998ac-f753-11ef-ab07-506b8d9879b5</t>
  </si>
  <si>
    <t>179 Phan Huy Ích, Phường 15, Tân Bình, Hồ Chí Minh</t>
  </si>
  <si>
    <t>6b207712-4624-11ed-ace2-506b8dbc8dfb</t>
  </si>
  <si>
    <t>1032 Đ. Kha Vạn Cân, Trường Thọ, Thủ Đức, Thành phố Hồ Chí Minh</t>
  </si>
  <si>
    <t>311a9ec8-4bf6-11f0-a1cc-506b8d982279</t>
  </si>
  <si>
    <t>7 Đ. Lê Trọng Tấn, Sơn Kỳ, Tân Phú, Hồ Chí Minh</t>
  </si>
  <si>
    <t>6173b692-9421-11ee-8e63-506b8d9879b5</t>
  </si>
  <si>
    <t>394 Đ. Tân Sơn Nhì, Tân Sơn Nhì, Tân Phú, Thành phố Hồ Chí Minh</t>
  </si>
  <si>
    <t>5572588a-4fb5-11ef-a663-506b8d9879b5</t>
  </si>
  <si>
    <t>Hope Clinic, 103 Thoại Ngọc Hầu, Hoà Thanh, Tân Phú, Hồ Chí Minh</t>
  </si>
  <si>
    <t>46669671 - D1 - TDXu - BS Phạm Thị Sâm</t>
  </si>
  <si>
    <t>5d8b8082-62e2-11f0-8a19-506b8d982279</t>
  </si>
  <si>
    <t>114 Trần Đình Xu, Phường Nguyễn Cư Trinh, Quận 1, Hồ Chí Minh</t>
  </si>
  <si>
    <t>46669671 - D7 - DS11 - BS Phạm Thị Sâm</t>
  </si>
  <si>
    <t>6f9ae42c-a8f9-11f0-a91e-506b8d982279</t>
  </si>
  <si>
    <t>8 Số 11, Bình Thuận, Quận 7</t>
  </si>
  <si>
    <t>46671739 - CRang - VNGiap - BV ĐK HOÀN MỸ CỬU LONG</t>
  </si>
  <si>
    <t>cb90f2fa-154c-11ee-ae11-506b8dbc8dfb</t>
  </si>
  <si>
    <t>Hoan My Cuu Long Hospital, Lô 20 Võ Nguyên Giáp, Phú Thứ, Cái Răng, Cần Thơ</t>
  </si>
  <si>
    <t>Hưng Phú</t>
  </si>
  <si>
    <t>46672715 - CChi - QL22 - Phòng khám đa khoa Quốc tế Thiện Phúc</t>
  </si>
  <si>
    <t>1fb89f2e-aaab-11ee-8fed-506b8d9879b5</t>
  </si>
  <si>
    <t>741 QL22, TT. Củ Chi, Củ Chi, Thành phố Hồ Chí Minh</t>
  </si>
  <si>
    <t>7565eee6-ba77-11ee-bbec-506b8d9879b5</t>
  </si>
  <si>
    <t>SIHG clinic, Số 7, Đường nội khu Garden Plaza 1, Khu Phố Garden Plaza 1, khu đô thị Phú Mỹ Hưng P, Khu đô thị Phú Mỹ Hưng, Quận 7, Thành phố Hồ Chí Minh</t>
  </si>
  <si>
    <t>46711449 - D5 - HVuong - BS Huỳnh Thị Trong</t>
  </si>
  <si>
    <t>b0d74a08-1025-11ee-854d-506b8dbc8dfb</t>
  </si>
  <si>
    <t>86 Đ. Hùng Vương, Phường 9, Quận 5, Thành phố Hồ Chí Minh</t>
  </si>
  <si>
    <t>46713829 - D3 - LCThang - Bs Phạm Thị Ánh Tuyết</t>
  </si>
  <si>
    <t>7588e7b8-82f1-11f0-adbb-506b8d982279</t>
  </si>
  <si>
    <t>82/1130F1 Đường Lý Chính Thắng, Phường Võ Thị Sáu, Quận 3, Hồ Chí Minh</t>
  </si>
  <si>
    <t>46713854 - D3 - LCThang - Huỳnh Vĩnh Phạm Uyên</t>
  </si>
  <si>
    <t>a5e7c8a2-1082-11f0-9d8b-506b8d982279</t>
  </si>
  <si>
    <t>82/1130F1 Đường Lý Chính Thắng, Phường 8, Quận 3, Hồ Chí Minh</t>
  </si>
  <si>
    <t>b0151ce0-49ff-11ed-b1f4-506b8dbc8dfb</t>
  </si>
  <si>
    <t>Phòng khám Happy baby Q10, 134/2d Đ. Thành Thái, Phường 12, Quận 10, Thành phố Hồ Chí Minh</t>
  </si>
  <si>
    <t>46824918 - BTan - NTTu - BS Nguyễn Phương Thảo</t>
  </si>
  <si>
    <t>df50ac82-6b98-11f0-b117-506b8d982279</t>
  </si>
  <si>
    <t>105/46 Đ. Nguyễn Thị Tú, Bình Hưng Hoà B, Bình Tân, Hồ Chí Minh</t>
  </si>
  <si>
    <t>46827925 - D10 - TThai - Phòng Khám Nội Tim Mạch - Bs Nguyễn Công Tâm</t>
  </si>
  <si>
    <t>23ce8da2-08db-11ee-8782-506b8dbc8dfb</t>
  </si>
  <si>
    <t>Cardiology Clinic Dr. Công Tâm, 65 Đ. Thành Thái, Phường 14, Quận 10, Thành phố Hồ Chí Minh</t>
  </si>
  <si>
    <t>47002353 - D7 - 7 - Vương Minh Chiều</t>
  </si>
  <si>
    <t>d0a042e0-2aec-11ee-b55a-506b8d9879b5</t>
  </si>
  <si>
    <t>31 Số 7, Phú Mỹ, Quận 7, Thành phố Hồ Chí Minh</t>
  </si>
  <si>
    <t>47067021 - GVap - QTrung - Bs Nguyễn Thị Mỹ Liên</t>
  </si>
  <si>
    <t>db33ca1a-4b15-11f0-b037-506b8d982279</t>
  </si>
  <si>
    <t>Go Vap District Hospital, 641 Đ. Quang Trung, Phường 11, Gò Vấp, Hồ Chí Minh</t>
  </si>
  <si>
    <t>47088615 - GVap - LDTho - BS Phạm Thị Long</t>
  </si>
  <si>
    <t>9f268c8c-1cbf-11ee-acc2-506b8d9879b5</t>
  </si>
  <si>
    <t>Nhà thuốc Hiếu Lộc, 809 Đ. Lê Đức Thọ, Phường 16, Gò Vấp, Thành phố Hồ Chí Minh</t>
  </si>
  <si>
    <t>9aca001a-611b-11ee-8e60-506b8d9879b5</t>
  </si>
  <si>
    <t>722 Đ. Thống Nhất, Phường 15, Gò Vấp, Thành phố Hồ Chí Minh</t>
  </si>
  <si>
    <t>47356818 - D10 - LTTo - Trần Ngọc Kim Anh</t>
  </si>
  <si>
    <t>d02ccf8c-9ca0-11ef-a7c8-506b8d9879b5</t>
  </si>
  <si>
    <t>532 Đ. Lý Thái Tổ, Phường 10, Quận 10, Hồ Chí Minh</t>
  </si>
  <si>
    <t>47356818 - D10 - SVHanh - Trần Ngọc Kim Anh</t>
  </si>
  <si>
    <t>71baf5d6-ccad-11ef-ae92-506b8d9879b5</t>
  </si>
  <si>
    <t>48352934 - D9 - LVViet - Nguyễn Nhất Phương</t>
  </si>
  <si>
    <t>f5ba798c-4b86-11ee-b216-506b8d9879b5</t>
  </si>
  <si>
    <t>48728743 - TDuc - LPhuong - Bác Sĩ Nguyễn Thị Ngọc</t>
  </si>
  <si>
    <t>ff499f88-ddb1-11ee-a5d7-506b8d9879b5</t>
  </si>
  <si>
    <t>The Eastern Apartment, 299 Đ. Liên Phường, Phường Phú Hữu, Thủ Đức, Thành phố Hồ Chí Minh</t>
  </si>
  <si>
    <t>Long Trường</t>
  </si>
  <si>
    <t>48811031 - D10 - SVHanh - Tôn Thị Thanh Hà</t>
  </si>
  <si>
    <t>015e48b2-40bb-11ee-97b7-506b8d9879b5</t>
  </si>
  <si>
    <t>Children’s Hospital 1, 341 Đ. Sư Vạn Hạnh, Phường 10, Quận 10, Thành phố Hồ Chí Minh</t>
  </si>
  <si>
    <t>ffa6f530-165a-11ee-97c4-506b8dbc8dfb</t>
  </si>
  <si>
    <t>82 Đ. Cao Lỗ, Phường 4, Quận 8, Thành phố Hồ Chí Minh</t>
  </si>
  <si>
    <t>48921811 - TBinh - LTKiet - Trần Thị Ngọc Nhung</t>
  </si>
  <si>
    <t>659b6822-0222-11ef-96c8-506b8d9879b5</t>
  </si>
  <si>
    <t>Bệnh viện Thống Nhất, 1 Lý Thường Kiệt, Phường 7, Tân Bình, Thành phố Hồ Chí Minh</t>
  </si>
  <si>
    <t>48959819 - D3 - LCThang - Dương Huy Hải</t>
  </si>
  <si>
    <t>dea415c2-d3cb-11ef-a7cb-506b8d9879b5</t>
  </si>
  <si>
    <t>214 Lý Chính Thắng, Phường 9, Quận 3, Hồ Chí Minh</t>
  </si>
  <si>
    <t>49083998 - TBinh - LTKIet - BS Nguyễn Thị Thủy Tiên</t>
  </si>
  <si>
    <t>95e68686-47ad-11ee-af6e-506b8d9879b5</t>
  </si>
  <si>
    <t>Thong Nhat Hospital, 1 Lý Thường Kiệt, Phường 7, Tân Bình, Thành phố Hồ Chí Minh</t>
  </si>
  <si>
    <t>3f5a161c-04c7-11ee-b3e1-506b8dbc8dfb</t>
  </si>
  <si>
    <t>Phòng khám BS. Thanh (Đặng) - BS. Tân, 476 Nguyễn Bình, Phú Xuân, Nhà Bè, Thành phố Hồ Chí Minh</t>
  </si>
  <si>
    <t>49337102 - D7 - NLBang - Bs Nguyễn Ngô Thanh Phương</t>
  </si>
  <si>
    <t>1245abec-ae3d-11f0-9bc4-506b8d982279</t>
  </si>
  <si>
    <t>Tam Duc Cardiology Hospital, 4 Nguyễn Lương Bằng, Phường Tân Mỹ, Quận 7, Thành phố Hồ Chí Minh</t>
  </si>
  <si>
    <t>49360749 - D1 - PNLao - Lai Thị Quế Châu</t>
  </si>
  <si>
    <t>1f1a6628-ed6f-11ed-a5e4-506b8dbc8dfb</t>
  </si>
  <si>
    <t>311 Đ. Phạm Ngũ Lão, Phường Phạm Ngũ Lão, Quận 1, Thành phố Hồ Chí Minh</t>
  </si>
  <si>
    <t>49382149 - BThanh - DBPhu - Bác sĩ Nguyễn Anh Thuận</t>
  </si>
  <si>
    <t>1d84c2f0-d408-11ef-90d5-506b8d9879b5</t>
  </si>
  <si>
    <t>602/51A Điện Biên Phủ, Phường 22, Bình Thạnh, Hồ Chí Minh</t>
  </si>
  <si>
    <t>a152221e-1c74-11ee-a1ed-506b8d9879b5</t>
  </si>
  <si>
    <t>241 Đ. Lê Hồng Phong, Phường 4, Quận 5, Thành phố Hồ Chí Minh</t>
  </si>
  <si>
    <t>49462397 - D10 - HDKhuong - Công TNHH Phát Triển Công Nghệ Anapath</t>
  </si>
  <si>
    <t>9eeb8fcc-5a0a-11ef-a93b-506b8d9879b5</t>
  </si>
  <si>
    <t>EMCAS Beauty Clinic, 14, 14/27 Hoàng Dư Khương, Phường 12, Quận 10, Hồ Chí Minh</t>
  </si>
  <si>
    <t>49477668 - D10 - TThai - Khúc Minh Thúy</t>
  </si>
  <si>
    <t>a23a51b2-a0ab-11ef-b2b9-506b8d9879b5</t>
  </si>
  <si>
    <t>Bệnh viện Nhân dân 115 khoa khám BHYT, 88 Đ. Thành Thái, Phường 12, Quận 10, Hồ Chí Minh</t>
  </si>
  <si>
    <t>49477668 - D11 - THoa - Khúc Minh Thúy</t>
  </si>
  <si>
    <t>ec2b2af2-5bc4-11ef-9631-506b8d9879b5</t>
  </si>
  <si>
    <t>8A Tân Hóa, Phường 1, Quận 11, Hồ Chí Minh</t>
  </si>
  <si>
    <t>49519916 - D1 - NKKNghia - Bs Võ Tự Lực</t>
  </si>
  <si>
    <t>7e4e3048-5c71-11f0-81a4-506b8d982279</t>
  </si>
  <si>
    <t>70 Nam Kỳ Khởi Nghĩa, Phường Nguyễn Thái Bình, Quận 1, Hồ Chí Minh</t>
  </si>
  <si>
    <t>49528106 - TDuc - 2 - Huyền Tôn Nữ Thụy My</t>
  </si>
  <si>
    <t>767f0be4-1fb4-11ef-ace1-506b8d9879b5</t>
  </si>
  <si>
    <t>Số 3 Đ. Số 2, Khu phố 4, Thủ Đức, Thành phố Hồ Chí Minh</t>
  </si>
  <si>
    <t>49630570 - D3 - VTSau - Nha Khoa Quoc Te UMIDENTIST</t>
  </si>
  <si>
    <t>0f786f2e-1332-11ee-bf08-506b8dbc8dfb</t>
  </si>
  <si>
    <t>212 Đ. Võ Thị Sáu, Võ Thị Sáu, Quận 3, Thành phố Hồ Chí Minh</t>
  </si>
  <si>
    <t>49706041 - D11 - LLQuan - Mạc Quốc Như Hùng</t>
  </si>
  <si>
    <t>85fa8d1a-8318-11ef-b5c9-506b8d9879b5</t>
  </si>
  <si>
    <t>321 Lạc Long Quân, Phường 3, Quận 11, Hồ Chí Minh</t>
  </si>
  <si>
    <t>49718598 - D4 - HDieu - Bác sĩ Trần Mậu Kim</t>
  </si>
  <si>
    <t>7b2caa0c-e765-11ee-ba3a-506b8d9879b5</t>
  </si>
  <si>
    <t>Doctor Kim Clinic, 390 Đ. Hoàng Diệu, Phường 5, Quận 4, Thành phố Hồ Chí Minh</t>
  </si>
  <si>
    <t>49867061 - D9 - V3 - Trương Trần Minh Bảo</t>
  </si>
  <si>
    <t>a786991a-b1bd-11ee-af09-506b8d9879b5</t>
  </si>
  <si>
    <t>Long Bình, Quận 9, Thành phố Hồ Chí Minh</t>
  </si>
  <si>
    <t>49914646 - D5 - NQuyen - Bs Trịnh Hoàng Kim Tú</t>
  </si>
  <si>
    <t>08e48cc6-35e0-11ee-a68b-506b8d9879b5</t>
  </si>
  <si>
    <t>110a Đ. Ngô Quyền, Phường 8, Quận 5, Thành phố Hồ Chí Minh</t>
  </si>
  <si>
    <t>49943582 - BTan - NTTu - BS Nguyễn Văn Thành Được</t>
  </si>
  <si>
    <t>0119e840-17ba-11ee-a927-506b8d9879b5</t>
  </si>
  <si>
    <t>5k Nguyễn Thức Tự, An Lạc A, Bình Tân, Thành phố Hồ Chí Minh</t>
  </si>
  <si>
    <t>49977454 - D7 - NVLinh - FICH</t>
  </si>
  <si>
    <t>3991ba7a-ed6e-11ed-bfc2-506b8dbc8dfb</t>
  </si>
  <si>
    <t>1465 Đ. Nguyễn Văn Linh, Tân Phong, Quận 7, Thành phố Hồ Chí Minh</t>
  </si>
  <si>
    <t>49994615 - TDuc - PChau - Nguyễn Thị Hoài Thu Account</t>
  </si>
  <si>
    <t>5cdc0790-0a11-11ef-b835-506b8d9879b5</t>
  </si>
  <si>
    <t>29 Phú Châu, Tam Phú, Thủ Đức, Thành phố Hồ Chí Minh</t>
  </si>
  <si>
    <t>49999486 - D10 - SVHanh - Phan Nguyễn Liên Anh</t>
  </si>
  <si>
    <t>1bb75916-31dc-11ef-b0a8-506b8d9879b5</t>
  </si>
  <si>
    <t>341 Đ. Sư Vạn Hạnh, Phường 10, Quận 10, Hồ Chí Minh</t>
  </si>
  <si>
    <t>50120957 - D12 - HTBi - Ngô Cao Dũng</t>
  </si>
  <si>
    <t>da9921fc-2312-11f0-b2b0-506b8d982279</t>
  </si>
  <si>
    <t>4d Đ. Hoàng Tăng Bí, Khu phố 5, Quận 12, Hồ Chí Minh</t>
  </si>
  <si>
    <t>c7166e00-1e0f-11ee-a97a-506b8d9879b5</t>
  </si>
  <si>
    <t>Phòng khám ThS.BS Nguyễn Lan Phương, 644, 644 HL2, Bình Trị Đông A, Bình Tân, Thành phố Hồ Chí Minh</t>
  </si>
  <si>
    <t>50189156 - D1 - THDao - PHÒNG KHÁM CAREPLUS QUẬN 1</t>
  </si>
  <si>
    <t>95d57152-5392-11ee-b657-506b8d9879b5</t>
  </si>
  <si>
    <t>Savico Office Building, 555 Đ. Trần Hưng Đạo, Cầu Kho, Quận 1, Thành phố Hồ Chí Minh</t>
  </si>
  <si>
    <t>50191519 - BThanh - NTLong - Bs Trịnh Thanh Phương</t>
  </si>
  <si>
    <t>1f59f5c6-b13c-11ef-8247-506b8d9879b5</t>
  </si>
  <si>
    <t>801291b6-0a99-11ee-8649-506b8dbc8dfb</t>
  </si>
  <si>
    <t>172 Nguyễn Lương Bằng, Phú Mỹ, Quận 7, Thành phố Hồ Chí Minh</t>
  </si>
  <si>
    <t>50566806 - BThanh - BDang - Lê Thị Lan Hương</t>
  </si>
  <si>
    <t>40caedc4-23dc-11f0-abb7-506b8d982279</t>
  </si>
  <si>
    <t>72/7 Đ. Bạch Đằng, Phường 14, Bình Thạnh, Hồ Chí Minh</t>
  </si>
  <si>
    <t>50566806 - D1 - LTTrong - Lê Thị Lan Hương</t>
  </si>
  <si>
    <t>71243e6e-6288-11ef-9efa-506b8d9879b5</t>
  </si>
  <si>
    <t>138 Lý Tự Trọng, Phường Bến Thành, Quận 1, Hồ Chí Minh</t>
  </si>
  <si>
    <t>8fcd43b2-52dd-11ee-ac1e-506b8d9879b5</t>
  </si>
  <si>
    <t>An Khang Clinic, 184 Nguyễn Đình Chiểu, Phường 6, Quận 3, Thành phố Hồ Chí Minh</t>
  </si>
  <si>
    <t>7ec93b68-16fe-11ee-932a-506b8d9879b5</t>
  </si>
  <si>
    <t>168 Đ. 51, An Phú, Quận 2, Hồ Chí Minh</t>
  </si>
  <si>
    <t>1a92d838-9959-11ee-b37b-506b8d9879b5</t>
  </si>
  <si>
    <t>Hải Dental Clinic - Chuyên Phục Hồi Chức Năng Và Thẩm Mỹ Cho Người Mất Răng, 823 Lũy Bán Bích, Hoà Thanh, Tân Phú, Thành phố Hồ Chí Minh</t>
  </si>
  <si>
    <t>5112a0a0-71fe-11ee-9403-506b8d9879b5</t>
  </si>
  <si>
    <t>12 Trần Thị Cờ, Khu phố 6, P. Thới An, Quận 12, TP Hồ Chí Minh</t>
  </si>
  <si>
    <t>e7be97f4-28ff-11ee-9310-506b8d9879b5</t>
  </si>
  <si>
    <t>253 Hà Đặc, Trung Mỹ Tây, Quận 12, Thành phố Hồ Chí Minh</t>
  </si>
  <si>
    <t>51070105 - BTan - HL2 - Bs Lê Ngọc Khánh</t>
  </si>
  <si>
    <t>e4b7f00a-207b-11ee-b5a9-506b8d9879b5</t>
  </si>
  <si>
    <t>51178578 - D1 - HBTrung - BS Tô Văn Tuấn</t>
  </si>
  <si>
    <t>e03f2122-5c7b-11f0-9846-506b8d982279</t>
  </si>
  <si>
    <t>District 1 Hospital, 338 Hai Bà Trưng, Phường Tân Định, Quận 1, Hồ Chí Minh</t>
  </si>
  <si>
    <t>51207366 - BChanh - QDiêu - BS Phạm Bảo Châu</t>
  </si>
  <si>
    <t>e1835fb6-311d-11ee-82d3-506b8d9879b5</t>
  </si>
  <si>
    <t>Hẻm Quách điêu, xã Vĩnh Lộc A, Bình Chánh, Thành phố Hồ Chí Minh</t>
  </si>
  <si>
    <t>51262428 - D3 - CThang - STRUCTURES VIET NAM</t>
  </si>
  <si>
    <t>810598ac-93d8-11ee-963f-506b8d9879b5</t>
  </si>
  <si>
    <t>19 Đ. Cao Thắng, Phường 2, Quận 3, Thành phố Hồ Chí Minh</t>
  </si>
  <si>
    <t>51334517 - TDuc - LDong - Trần Thị Mộng Trinh</t>
  </si>
  <si>
    <t>55da1026-3ef2-11ee-ab55-506b8d9879b5</t>
  </si>
  <si>
    <t>147 Đ. Linh Đông, Linh Đông, Thủ Đức, Thành phố Hồ Chí Minh</t>
  </si>
  <si>
    <t>3d8510ae-219d-11f0-8f8e-506b8d982279</t>
  </si>
  <si>
    <t>Le Van Thinh Hospital, 130 Đường Lê Văn Thịnh, Phường Bình Trưng Tây, Thủ Đức, Hồ Chí Minh</t>
  </si>
  <si>
    <t>51428058 - D10 - LTKiet - Nguyễn Thị Hồng</t>
  </si>
  <si>
    <t>a1585bf2-0a08-11ef-b3c4-506b8d9879b5</t>
  </si>
  <si>
    <t>Trung Vuong Hospital, 266 Lý Thường Kiệt, Phường 14, Quận 10, Thành phố Hồ Chí Minh</t>
  </si>
  <si>
    <t>51521466 - ThAn - DAn - Phòng Khám Bác Sĩ Ngọc Thuý</t>
  </si>
  <si>
    <t>1f47f82a-4a06-11ed-a392-506b8dbc8dfb</t>
  </si>
  <si>
    <t>Phòng Khám Nội Tổng Hợp, Siêu Âm Màu 4D - BS. Ngọc Thuý, 4 Chợ Đồng An 4, Binh Hoà, Thuận An, Bình Dương</t>
  </si>
  <si>
    <t>51528934 - ThAn - PDPhung - BS. Huỳnh Thị Ngọc Mai</t>
  </si>
  <si>
    <t>4d6bfd4e-ecfa-11ee-a1a8-506b8d9879b5</t>
  </si>
  <si>
    <t>12 Phan Đình Phùng, Lái Thiêu, Thuận An, Bình Dương</t>
  </si>
  <si>
    <t>51546459 - BThanh - PVChanh - Trịnh Hữu Phước</t>
  </si>
  <si>
    <t>0c62d5ee-199b-11ee-a630-506b8d9879b5</t>
  </si>
  <si>
    <t>85 Phạm Viết Chánh, Phường 19, Bình Thạnh, Thành phố Hồ Chí Minh</t>
  </si>
  <si>
    <t>51546459 - D4 - BVDon - Trịnh Hữu Phước</t>
  </si>
  <si>
    <t>0a3673d6-b0f7-11ee-ad3f-506b8d9879b5</t>
  </si>
  <si>
    <t>Hospital District 4, 65 Đ. Bến Vân Đồn, Phường 12, Quận 4, Thành phố Hồ Chí Minh</t>
  </si>
  <si>
    <t>51546459 - D4 - TTThuyet - Trịnh Hữu Phước</t>
  </si>
  <si>
    <t>13bd6d34-779e-11ee-a6d9-506b8d9879b5</t>
  </si>
  <si>
    <t>78/8 Đ. Tôn Thất Thuyết, Phường 16, Quận 4, Thành phố Hồ Chí Minh</t>
  </si>
  <si>
    <t>51546459 - D5 - THDao - Trịnh Hữu Phước</t>
  </si>
  <si>
    <t>1a72b7b8-4983-11ee-a981-506b8d9879b5</t>
  </si>
  <si>
    <t>354 Đ. Trần Hưng Đạo, Phường 2, Quận 5, Thành phố Hồ Chí Minh</t>
  </si>
  <si>
    <t>51546459 - NBe - LTKinh - Trịnh Hữu Phước</t>
  </si>
  <si>
    <t>ff34d0a6-9196-11ee-ab05-506b8d9879b5</t>
  </si>
  <si>
    <t>Làng đại học Nhà Bè, 20 Đường Lê Thị Kỉnh, Phước Kiển, Nhà Bè, Thành phố Hồ Chí Minh</t>
  </si>
  <si>
    <t>51546459 - PNhuan - PDLuu - Trịnh Hữu Phước</t>
  </si>
  <si>
    <t>cc95df42-ed71-11ed-9594-506b8dbc8dfb</t>
  </si>
  <si>
    <t>81 - 83 Phan Đăng Lưu, Phường 7 Phú Nhuận, Phú Nhuận, Thành phố Hồ Chí Minh</t>
  </si>
  <si>
    <t>78912f9a-2abc-11ee-93df-506b8d9879b5</t>
  </si>
  <si>
    <t>Thong Nhat Dong Nai Hospital, 234 QL1A, Tân Biên, Thành phố Biên Hòa, Đồng Nai</t>
  </si>
  <si>
    <t>51578778 - BCat - TC3 - BỆNH VIỆN ĐA KHOA MỸ PHƯỚC</t>
  </si>
  <si>
    <t>b823d8a4-b9a2-11ee-a443-506b8d9879b5</t>
  </si>
  <si>
    <t>Bệnh viện Đa khoa Mỹ Phước</t>
  </si>
  <si>
    <t>Bến Cát</t>
  </si>
  <si>
    <t>0bd708d6-cd9c-11f0-b888-506b8d982279</t>
  </si>
  <si>
    <t>Thuan My Binh Duong Hospital, 28 1, khu phố Bình Phước B, Thuận An, Bình Dương</t>
  </si>
  <si>
    <t>dd3d2fcc-0111-11ee-96ed-506b8dbc8dfb</t>
  </si>
  <si>
    <t>601 Đ. Cách Mạng Tháng 8, Phú Cường, Thủ Dầu Một, Bình Dương</t>
  </si>
  <si>
    <t>b4c275cc-8070-11ef-83a4-506b8d9879b5</t>
  </si>
  <si>
    <t>211 Yersin, Phú Cường, Thủ Dầu Một, Binh Duong, Vietnam</t>
  </si>
  <si>
    <t>51578911 - TUyen - PC39 - BS. THƯỢNG THỊ HỒNG THANH</t>
  </si>
  <si>
    <t>734312f6-010e-11ee-9b50-506b8dbc8dfb</t>
  </si>
  <si>
    <t>Phòng Khám Nội Tổng Hợp Bác Sĩ Hồng Thanh, Ấp Phú Bưng, Xã Phú Chánh, Thị Xã Tân Uyên, Tỉnh Bình Dương, 3MGX+HG2, Phú Chánh, Tân Uyên, Bình Dương</t>
  </si>
  <si>
    <t>5c9ec158-f645-11ee-bc2a-506b8d9879b5</t>
  </si>
  <si>
    <t>KP. Tân Hóa, Tân Vĩnh Hiệp, TX Tân Uyên, Bình Dương</t>
  </si>
  <si>
    <t>Tân Khánh</t>
  </si>
  <si>
    <t>51578982 - DAn - DT743 - Phòng khám Y Dược An Sài Gòn</t>
  </si>
  <si>
    <t>5afdf8e6-3b06-11ee-b17b-506b8d9879b5</t>
  </si>
  <si>
    <t>PHÒNG KHÁM ĐA KHOA Y DƯỢC AN SÀI GÒN, WQ4V+Q97, ĐT743B, Tân Đông Hiệp, Dĩ An, Bình Dương</t>
  </si>
  <si>
    <t>51579663 - DAn - LTKiet - Ngô Hồng Quang</t>
  </si>
  <si>
    <t>820cf016-2429-11ee-95c0-506b8d9879b5</t>
  </si>
  <si>
    <t>PHÒNG KHÁM BỆNH NỘI NHI Bs Ngô Hồng Quang, 254 Lý Thường Kiệt, Dĩ An, Bình Dương</t>
  </si>
  <si>
    <t>dabee4fe-b023-11ee-baaf-506b8d9879b5</t>
  </si>
  <si>
    <t>42 Phạm Hữu Lầu, Dĩ An, Bình Dương</t>
  </si>
  <si>
    <t>51614012 - D1 - TKHuan - BỆNH VIỆN ĐA KHOA QUỐC TẾ DNA</t>
  </si>
  <si>
    <t>ed5a6a62-3cd6-11ef-8a75-506b8d9879b5</t>
  </si>
  <si>
    <t>32D Thủ Khoa Huân, Phường Bến Thành, Quận 1, Hồ Chí Minh</t>
  </si>
  <si>
    <t>e88b0718-dba5-11ee-b0a0-506b8d9879b5</t>
  </si>
  <si>
    <t>Le Van Thinh Hospital, 130 Đường Lê Văn Thịnh, Phường Bình Trưng Tây, Thành phố Thủ Đức, Thành phố Hồ Chí Minh</t>
  </si>
  <si>
    <t>51614012 - D5 - THDao - BỆNH VIỆN ĐA KHOA QUỐC TẾ DNA</t>
  </si>
  <si>
    <t>4d997b48-b063-11ef-b282-506b8d9879b5</t>
  </si>
  <si>
    <t>Bệnh Viện Quốc Tế DNA, P5, 1015 Đ. Trần Hưng Đạo, Phường 5, Quận 5, Hồ Chí Minh</t>
  </si>
  <si>
    <t>29a07840-4a03-11ed-ba7b-506b8dbc8dfb</t>
  </si>
  <si>
    <t>Phòng Khám Đa Khoa Y Đức, 93/81 2B, khu phố 8, Thành phố Biên Hòa, Đồng Nai</t>
  </si>
  <si>
    <t>1d2c7048-4a01-11ed-8a72-506b8dbc8dfb</t>
  </si>
  <si>
    <t>Phòng Khám Đa Khoa Tam Đức, 528, 15 XL Hà Nội, Khu phố 4, Thành phố Biên Hòa, Đồng Nai</t>
  </si>
  <si>
    <t>4b9b050a-4808-11ef-b1d7-506b8d9879b5</t>
  </si>
  <si>
    <t>Hoan My Dong Nai Hospital, 1048A Phạm Văn Thuận, Tân Mai, Thành phố Biên Hòa, Đồng Nai</t>
  </si>
  <si>
    <t>95c60d24-5585-11f0-8ba7-506b8d982279</t>
  </si>
  <si>
    <t>35-21 N1, Thống Nhất, Biên Hòa, Đồng Nai</t>
  </si>
  <si>
    <t>6a00744e-dc56-11ee-af1f-506b8d9879b5</t>
  </si>
  <si>
    <t>2142 Nguyễn Ái Quốc, Hoà An, Thành phố Biên Hòa, Đồng Nai</t>
  </si>
  <si>
    <t>52140391 - D6 - KDVuong - Thẩm Mỹ Viện ICON</t>
  </si>
  <si>
    <t>db44e0fa-d6fb-11ee-8a03-506b8d9879b5</t>
  </si>
  <si>
    <t>37 Đ. Kinh Dương Vương, Phường 12, Quận 6, Thành phố Hồ Chí Minh</t>
  </si>
  <si>
    <t>588e52ec-0c4a-11f0-98e5-506b8d982279</t>
  </si>
  <si>
    <t>496 Đ. Đồng Khởi, Tân Hiệp, Biên Hòa, Đồng Nai</t>
  </si>
  <si>
    <t>31537c92-f4c7-11ef-9714-506b8d9879b5</t>
  </si>
  <si>
    <t>Công Viên Dương Tử Giang, XR7V+965, Tân Tiến, Bien Hoa, Dong Nai</t>
  </si>
  <si>
    <t>52185611 - D12 - TCH21 - Đinh Thị Na</t>
  </si>
  <si>
    <t>14fc1d82-c42f-11f0-9223-506b8d982279</t>
  </si>
  <si>
    <t>Hẻm 111, 111, Tân Chánh Hiệp, Quận 12, Thành phố Hồ Chí Minh</t>
  </si>
  <si>
    <t>52185611 - D9 - 225A - Đinh Thị Na</t>
  </si>
  <si>
    <t>81904620-0b94-11f0-89c6-506b8d982279</t>
  </si>
  <si>
    <t>29 đường 225A, Long Thạnh Mỹ, Thủ Đức, Hồ Chí Minh</t>
  </si>
  <si>
    <t>52228436 - TBinh - LLQuan - Nguyễn Minh Anh Thi</t>
  </si>
  <si>
    <t>569d1432-929d-11ee-acac-506b8d9879b5</t>
  </si>
  <si>
    <t>587 Lạc Long Quân, Phường 10, Tân Bình, Thành phố Hồ Chí Minh</t>
  </si>
  <si>
    <t>a7f000ba-b6bf-11ee-8594-506b8d9879b5</t>
  </si>
  <si>
    <t>577 Lạc Long Quân, Phường 10, Tân Bình, Thành phố Hồ Chí Minh</t>
  </si>
  <si>
    <t>52247602 - D1 - LTTrong - BS Lê Ngọc Hồng Hạnh</t>
  </si>
  <si>
    <t>b69a0bf6-b5fb-11ef-946c-506b8d9879b5</t>
  </si>
  <si>
    <t>Children's Hospital 2, 14 Lý Tự Trọng, Bến Nghé, Quận 1, Hồ Chí Minh</t>
  </si>
  <si>
    <t>52278488 - HMon - PVHon - BS. Trịnh Văn Hà</t>
  </si>
  <si>
    <t>8edb9da2-4241-11ee-a189-506b8d9879b5</t>
  </si>
  <si>
    <t>43 Phan Văn Hớn, Xuân Thới Thượng, Hóc Môn, Thành phố Hồ Chí Minh</t>
  </si>
  <si>
    <t>52352691 - BTan - TLua - Phòng khám Toàn Mỹ</t>
  </si>
  <si>
    <t>0de8d7e8-060b-11f0-9037-506b8d982279</t>
  </si>
  <si>
    <t>383 Đ. Tên Lửa, Khu Phố 2, Bình Tân, Hồ Chí Minh</t>
  </si>
  <si>
    <t>52354008 - DAn - DT743 - Bs.Lê Thị Thu Hảo</t>
  </si>
  <si>
    <t>e6f1e40e-2f38-11ee-825d-506b8d9879b5</t>
  </si>
  <si>
    <t>fe73e7ae-396e-11ee-b842-506b8d9879b5</t>
  </si>
  <si>
    <t>13 Nguyễn Phong Sắc, Xã Bình Thắng, Dĩ An, Bình Dương</t>
  </si>
  <si>
    <t>52394773 - HMon - XTThuong - Nguyễn Châu Như Hằng</t>
  </si>
  <si>
    <t>56ccd9f4-1c5c-11ee-9b89-506b8d9879b5</t>
  </si>
  <si>
    <t>1815 Đại Hải 1, Xuân Thới Thượng, Hóc Môn, Thành phố Hồ Chí Minh</t>
  </si>
  <si>
    <t>52416745 - BChanh - 1 - BS Nguyễn Duy Anh Vũ</t>
  </si>
  <si>
    <t>072930c8-8533-11ef-b86a-506b8d9879b5</t>
  </si>
  <si>
    <t>719b368a-0ec9-11ef-9928-506b8d9879b5</t>
  </si>
  <si>
    <t>574/147 Đường Sinco, An Lac, An Lạc, Hồ Chí Minh, Vietnam</t>
  </si>
  <si>
    <t>52419525 - D5 - ABinh - BS Nguyễn Hứa Phan Ngọc Thùy Dương</t>
  </si>
  <si>
    <t>ca4a4336-a58e-11f0-a077-506b8d982279</t>
  </si>
  <si>
    <t>An Bình Hospital, 146 Đ. An Bình, Phường An Đông, Quận 5, Hồ Chí Minh</t>
  </si>
  <si>
    <t>347d0da0-ed73-11ed-990f-506b8dbc8dfb</t>
  </si>
  <si>
    <t>66/30 Đ. Đồng Khởi, Tân Hiệp, Thành phố Biên Hòa, Đồng Nai</t>
  </si>
  <si>
    <t>c9ec5262-10a8-11ee-a642-506b8dbc8dfb</t>
  </si>
  <si>
    <t>PHÒNG KHÁM SONG QUÂN, 47 Bà Triệu, TT. Hóc Môn, Hóc Môn, Thành phố Hồ Chí Minh</t>
  </si>
  <si>
    <t>10cc36b6-6a99-11ef-bf04-506b8d9879b5</t>
  </si>
  <si>
    <t>15 Đ. Nguyễn Thành Phương, Thống Nhất, Thành phố Biên Hòa, Đồng Nai</t>
  </si>
  <si>
    <t>52597901 - BThanh - BDang - Đặng Quang Thạch</t>
  </si>
  <si>
    <t>1e61ce78-924d-11ee-b2ec-506b8d9879b5</t>
  </si>
  <si>
    <t>118/1 Đ. Bạch Đằng, Phường 24, Bình Thạnh, Thành phố Hồ Chí Minh</t>
  </si>
  <si>
    <t>783885e0-dc62-11ee-ac1b-506b8d9879b5</t>
  </si>
  <si>
    <t>62 Nguyễn Oanh, Hạnh Thông</t>
  </si>
  <si>
    <t>52597901 - BThanh - LQDinh - Đặng Quang Thạch</t>
  </si>
  <si>
    <t>dc4d7b62-d22f-11ef-9531-506b8d9879b5</t>
  </si>
  <si>
    <t>345 Lê Quang Định, Phường 5, Bình Thạnh, Hồ Chí Minh</t>
  </si>
  <si>
    <t>52597901 - D12 - APDong - Đặng Quang Thạch</t>
  </si>
  <si>
    <t>d43fd52c-b341-11ee-a1fd-506b8d9879b5</t>
  </si>
  <si>
    <t>Hong Duc Hospital II, 259 An Phú Đông 3, An Phú Đông, Quận 12, Thành phố Hồ Chí Minh</t>
  </si>
  <si>
    <t>52597901 - D12 - VLai - Đặng Quang Thạch</t>
  </si>
  <si>
    <t>7da58ce2-72ce-11ee-a83a-506b8d9879b5</t>
  </si>
  <si>
    <t>92 Vườn Lài, An Phú Đông, Quận 12, Thành phố Hồ Chí Minh</t>
  </si>
  <si>
    <t>52597901 - D3 - DBPhu - Đặng Quang Thạch</t>
  </si>
  <si>
    <t>d0f7a6b8-4ed9-11ef-88cb-506b8d9879b5</t>
  </si>
  <si>
    <t>443/42 Đ. Điện Biên Phủ, Phường 3, Quận 3, Hồ Chí Minh</t>
  </si>
  <si>
    <t>52597901 - D3 - LCThang - Đặng Quang Thạch</t>
  </si>
  <si>
    <t>b2c3e650-5b10-11ef-b8fe-506b8d9879b5</t>
  </si>
  <si>
    <t>60/4 Lý Chính Thắng, Phường 8, Quận 3, Hồ Chí Minh</t>
  </si>
  <si>
    <t>52597901 - D3 - LVSy - Đặng Quang Thạch</t>
  </si>
  <si>
    <t>0371a4fa-cae5-11ee-a03e-506b8d9879b5</t>
  </si>
  <si>
    <t>400/7 Đ. Lê Văn Sỹ, Phường 14, Quận 3, Thành phố Hồ Chí Minh</t>
  </si>
  <si>
    <t>52597901 - GVap - NKiem - Đặng Quang Thạch</t>
  </si>
  <si>
    <t>8bcb3458-6049-11ee-884d-506b8d9879b5</t>
  </si>
  <si>
    <t>697 Nguyễn Kiệm, Phường 3, Gò Vấp, Thành phố Hồ Chí Minh</t>
  </si>
  <si>
    <t>52597901 - GVap - TNhat - Đặng Quang Thạch</t>
  </si>
  <si>
    <t>1a5f58e2-2085-11ef-8ccb-506b8d9879b5</t>
  </si>
  <si>
    <t>854 Đ. Thống Nhất, Phường 15, Gò Vấp, Thành phố Hồ Chí Minh</t>
  </si>
  <si>
    <t>52597901 - TDuc - DS40 - Đặng Quang Thạch</t>
  </si>
  <si>
    <t>9d427400-e2c8-11ef-a0df-506b8d9879b5</t>
  </si>
  <si>
    <t>34 Đường 40, KDC Vạn Phúc, Hiệp Bình Phước, Thủ Đức, Hồ Chí Minh, Việt Nam</t>
  </si>
  <si>
    <t>ffef10f0-90ed-11ee-8f8f-506b8d9879b5</t>
  </si>
  <si>
    <t>499 Tân Kỳ Tân Quý, Tân Quý, Tân Phú, Thành phố Hồ Chí Minh</t>
  </si>
  <si>
    <t>611f696c-17c0-11ee-8d73-506b8d9879b5</t>
  </si>
  <si>
    <t>52641966 - D1 - LLoi - Bs Lê Nguyên Khoa</t>
  </si>
  <si>
    <t>827d1a3e-9ccd-11f0-9515-506b8d982279</t>
  </si>
  <si>
    <t>Bệnh viện Đa khoa Sài Gòn, 125 Lê Lợi, Phường Bến Thành, Quận 1, Hồ Chí Minh</t>
  </si>
  <si>
    <t>3f09fff4-a555-11ee-9113-506b8d9879b5</t>
  </si>
  <si>
    <t>30 Đ. Tân Thắng, Sơn Kỳ, Tân Phú, Thành phố Hồ Chí Minh</t>
  </si>
  <si>
    <t>52702043 - D1 - LLoi - Bs Phùng Nguyên Quân</t>
  </si>
  <si>
    <t>bc924746-3083-11f0-aef2-506b8d982279</t>
  </si>
  <si>
    <t>Bệnh viện Đa khoa Sài Gòn, 125 Đ. Lê Lợi, Phường Bến Thành, Quận 1, Hồ Chí Minh</t>
  </si>
  <si>
    <t>b7d82b7c-2369-11ee-a7e9-506b8d9879b5</t>
  </si>
  <si>
    <t>Phòng Khám Đa Khoa Y Sài Gòn, 221 Đ. Đồng Khởi, Tân Hiệp, Thành phố Biên Hòa, Đồng Nai</t>
  </si>
  <si>
    <t>52737857 - DAn - DT743 - Bs Trần Thụy Ngọc Dung</t>
  </si>
  <si>
    <t>d27c61e0-68ac-11ee-ba41-506b8d9879b5</t>
  </si>
  <si>
    <t>ca9e98ca-49fa-11ed-ac5b-506b8dbc8dfb</t>
  </si>
  <si>
    <t>Phòng khám Chuyên Khoa Phụ Sản Thạc sĩ - Bác sĩ Chuyên Khoa 2 Nguyễn Thị Thu Hà, Khu dân cư An Bình, 8A10 Đường Lê Thị Vân, An Bình, Thành phố Biên Hòa, Đồng Nai</t>
  </si>
  <si>
    <t>52754173 - D10 - SVHanh - Nguyễn Minh Tuấn</t>
  </si>
  <si>
    <t>23df492e-b5a8-11ee-9425-506b8d9879b5</t>
  </si>
  <si>
    <t>52782871 - GVap - 10 - BS.Nguyễn Thị Nhật Phương</t>
  </si>
  <si>
    <t>69d81a72-1fe5-11ee-afc5-506b8d9879b5</t>
  </si>
  <si>
    <t>Phòng khám Sản Phụ Khoa Bs Nguyễn Thị Nhật Phương, 108/1/24 Đ. Cây Trâm, Phường 9, Gò Vấp, Thành phố Hồ Chí Minh</t>
  </si>
  <si>
    <t>52784713 - D10 - SVHanh - Trang Thị Hoàng Mai</t>
  </si>
  <si>
    <t>eaf25868-31d6-11ee-b0cf-506b8d9879b5</t>
  </si>
  <si>
    <t>52784723 - D10 - SVHanh - Trần Thanh Trúc</t>
  </si>
  <si>
    <t>ce3a17ec-2a01-11ee-944e-506b8d9879b5</t>
  </si>
  <si>
    <t>49941436-593e-11ee-9e3a-506b8d9879b5</t>
  </si>
  <si>
    <t>40 Đường số 25A, Bình Trị Đông B, Bình Tân, Thành phố Hồ Chí Minh</t>
  </si>
  <si>
    <t>f6cf48fa-2a03-11ef-86e0-506b8d9879b5</t>
  </si>
  <si>
    <t>8d89004c-665a-11ee-99cd-506b8d9879b5</t>
  </si>
  <si>
    <t>15e Tân Hương, Tân Quý, Tân Phú, Thành phố Hồ Chí Minh</t>
  </si>
  <si>
    <t>4063cc96-6051-11f0-95b5-506b8d982279</t>
  </si>
  <si>
    <t>527 Đ. Nguyễn Duy Trinh, Phường Bình Trưng Tây, Thủ Đức, Hồ Chí Minh</t>
  </si>
  <si>
    <t>53205208 - TDuc - QL1K - Nha Khoa Asia</t>
  </si>
  <si>
    <t>e8071fb4-6053-11f0-a207-506b8d982279</t>
  </si>
  <si>
    <t>87 QL1K, Linh Xuân, Thủ Đức, Hồ Chí Minh</t>
  </si>
  <si>
    <t>53229726 - D7 - KPHGia - Chăm sóc sức khỏe Maple quận 7 - CREDIT</t>
  </si>
  <si>
    <t>8adc6c82-0fdc-11ee-9468-506b8dbc8dfb</t>
  </si>
  <si>
    <t>Phòng Khám Maple Healthcare (Quận 7), 2-4 Nội, Khu Phố Hưng Gia 1, Tân Phong, Quận 7, Thành phố Hồ Chí Minh</t>
  </si>
  <si>
    <t>53259916 - D10 - HLinh - Bs Lê Thị Song Nhi</t>
  </si>
  <si>
    <t>7830e944-8b15-11f0-b186-506b8d982279</t>
  </si>
  <si>
    <t>Scar Dermatology Clinic Doctor - Tri pitted scars # 1, SS1N, Đ. Hồng Lĩnh, Phường 15, Quận 10, Hồ Chí Minh</t>
  </si>
  <si>
    <t>53345738 - TDuc - PChau - Lê Tuấn Kiệt</t>
  </si>
  <si>
    <t>99a24e10-9a89-11ef-9f8f-506b8d9879b5</t>
  </si>
  <si>
    <t>Khoa Tâm Thể - Bệnh viện thành phố Thủ Đức, 29 Phú Châu, Tam Phú, Thủ Đức, Hồ Chí Minh</t>
  </si>
  <si>
    <t>59103948 - TBinh - THai - International SOS</t>
  </si>
  <si>
    <t>e50b92ce-626a-11ee-84e3-506b8d9879b5</t>
  </si>
  <si>
    <t>53346851 - ThAn - 22/12 - Bệnh Viện Quốc Tế Hạnh Phúc - BD - West Lab</t>
  </si>
  <si>
    <t>1ea43a76-0046-11ef-b0c8-506b8d9879b5</t>
  </si>
  <si>
    <t>Khu Phố Hòa Lân, Phường Thuận Giao, Thị Xã Thuận An, Tỉnh Bình Dương, XP25+2GM, Thuận Giao, Thuận An, Bình Dương</t>
  </si>
  <si>
    <t>53346851 - ThAn - DLBDuong - Bệnh Viện Quốc Tế Hạnh Phúc - BD - West Lab</t>
  </si>
  <si>
    <t>225b7aa0-0e72-11ef-983d-506b8d9879b5</t>
  </si>
  <si>
    <t>53346851 - ThAn - X1 - Bệnh Viện Quốc Tế Hạnh Phúc - BD - West Lab</t>
  </si>
  <si>
    <t>81daee16-ff95-11ee-bdef-506b8d9879b5</t>
  </si>
  <si>
    <t>Đ. X1, An Phú, Thuận An, Bình Dương</t>
  </si>
  <si>
    <t>b65ae69e-1b9f-11ee-a56b-506b8d9879b5</t>
  </si>
  <si>
    <t>Bệnh viện Đa khoa Quốc tế Hoàn Mỹ Thủ Đức, 241 Quốc lộ 1K, Linh Xuân, Thủ Đức, Thành phố Hồ Chí Minh</t>
  </si>
  <si>
    <t>fc318f48-9fc9-11ee-9804-506b8d9879b5</t>
  </si>
  <si>
    <t>HCMC Hospital for Rehabilitation and Professional Diseases, 313 Đ. Âu Dương Lân, Phường 2, Quận 8, Thành phố Hồ Chí Minh</t>
  </si>
  <si>
    <t>53415304 - BTan - DS5 - Bs Nguyễn Quang Nhật</t>
  </si>
  <si>
    <t>596ec92a-6f70-11ef-bd3e-506b8d9879b5</t>
  </si>
  <si>
    <t>11 Đường số 5, An Lạc A, Bình Tân, Hồ Chí Minh</t>
  </si>
  <si>
    <t>53415304 - GVap - QTrung - BS Nguyễn Quang Nhật</t>
  </si>
  <si>
    <t>5cb8a25a-2b95-11ef-9e65-506b8d9879b5</t>
  </si>
  <si>
    <t>205 Đ. Quang Trung, Phường 10, Gò Vấp, Thành phố Hồ Chí Minh</t>
  </si>
  <si>
    <t>53415304 - TBinh - PQuang - BS Nguyễn Quang Nhật</t>
  </si>
  <si>
    <t>21ea6b0e-4e6d-11ef-933e-506b8d9879b5</t>
  </si>
  <si>
    <t>Bệnh viện Đa khoa Tâm Anh, 2B Đ. Phổ Quang, Phường 2, Tân Bình, Hồ Chí Minh</t>
  </si>
  <si>
    <t>53434316 - D11 - 5 - Bs Nguyễn Du Cường</t>
  </si>
  <si>
    <t>71a80186-d86c-11ef-8894-506b8d9879b5</t>
  </si>
  <si>
    <t>Bệnh viện quận 11, 72 Đường Số 5 - Cư xá Bình Thới, Phường 8, Quận 11, Hồ Chí Minh</t>
  </si>
  <si>
    <t>53491839 - CChi - TL7 - Bùi Hoàng Hơn</t>
  </si>
  <si>
    <t>fd772086-378d-11f0-a5dd-506b8d982279</t>
  </si>
  <si>
    <t>Cu Chi District Hospital, 1307 Tỉnh Lộ 7, An Nhơn Tây, Củ Chi, Hồ Chí Minh</t>
  </si>
  <si>
    <t>An Nhơn Tây</t>
  </si>
  <si>
    <t>53658978 - D5 - ABinh - Bs Phùng Dương Chí Hiếu</t>
  </si>
  <si>
    <t>4aa4df10-739f-11ee-bb92-506b8d9879b5</t>
  </si>
  <si>
    <t>53859219 - BThanh - NXi - Phòng Khám Ana (BH)</t>
  </si>
  <si>
    <t>372e0c46-8f77-11ef-b75e-506b8d9879b5</t>
  </si>
  <si>
    <t>368 Đ. Nguyễn Xí, Phường 13, Bình Thạnh, Hồ Chí Minh</t>
  </si>
  <si>
    <t>d380223a-4480-11ed-8d02-506b8dbc8dfb</t>
  </si>
  <si>
    <t>28 Đường số 10, Thảo Điền, Quận 2, Thành phố Hồ Chí Minh</t>
  </si>
  <si>
    <t>53982448 - D7 - CTPhat - PHÒNG KHÁM ĐA KHOA NHÂN ĐỨC 3</t>
  </si>
  <si>
    <t>e1783740-0ce1-11ee-a5b2-506b8dbc8dfb</t>
  </si>
  <si>
    <t>63 Cao Triều Phát, Tân Phong, Quận 7, Thành phố Hồ Chí Minh</t>
  </si>
  <si>
    <t>53982448 - D9 - NVTang - PHÒNG KHÁM ĐA KHOA NHÂN ĐỨC 3</t>
  </si>
  <si>
    <t>973f5be6-a86c-11ee-8abe-506b8d9879b5</t>
  </si>
  <si>
    <t>97 Nguyễn Văn Tăng, Long Thạnh Mỹ, Quận 9, Thành phố Hồ Chí Minh</t>
  </si>
  <si>
    <t>fa2ed10e-1f7e-11ee-a677-506b8d9879b5</t>
  </si>
  <si>
    <t>592a Đ. Nguyễn Duy Trinh, Khu phố 1, Quận 2, Thành phố Hồ Chí Minh</t>
  </si>
  <si>
    <t>54203548 - BThanh - BLoi - Phòng Khám Bác Sĩ Gia Đình Chăm Sóc Tại Nhà Việt Úc B2B</t>
  </si>
  <si>
    <t>a4c9ded2-5233-11ef-8c45-506b8d9879b5</t>
  </si>
  <si>
    <t>349 Bình Lợi, Phường 13, Bình Thạnh, Hồ Chí Minh</t>
  </si>
  <si>
    <t>54225993 - D10 - LTTo - Nguyễn Minh Hải</t>
  </si>
  <si>
    <t>1230afce-98d3-11ef-8936-506b8d9879b5</t>
  </si>
  <si>
    <t>532 lý thái tổ phường 10,quận 10, 532 Đ. Lý Thái Tổ, Phường 10, Quận 10, Hồ Chí Minh</t>
  </si>
  <si>
    <t>54225993 - D10 - SVHanh - Nguyễn Minh Hải</t>
  </si>
  <si>
    <t>d211c3b2-ffaf-11ef-a1d2-506b8d9879b5</t>
  </si>
  <si>
    <t>54249053 - D5 - NTrai - BS Nguyễn Thị Diểm Phương</t>
  </si>
  <si>
    <t>943a732e-1aee-11ee-9fa5-506b8d9879b5</t>
  </si>
  <si>
    <t>Nguyen Trai Hospital, 314 Đ. Nguyễn Trãi, Phường 8, Quận 5, Thành phố Hồ Chí Minh</t>
  </si>
  <si>
    <t>54642953 - D7 - PVNghi - PK Jami</t>
  </si>
  <si>
    <t>22586676-4a0b-11ed-a395-506b8dbc8dfb</t>
  </si>
  <si>
    <t>Phòng khám Gia Mỹ (Jami Clinic), S79 Đường Phạm Văn Nghị, Phú Mỹ, hưng dist 7, Thành phố Hồ Chí Minh</t>
  </si>
  <si>
    <t>2fe9ca9e-a815-11f0-ac41-506b8d982279</t>
  </si>
  <si>
    <t>420 Cao Thắng, Phường 12, Quận 10, Hồ Chí Minh</t>
  </si>
  <si>
    <t>54666267 - BT - DIAGTEST - Test B2B Client Drop</t>
  </si>
  <si>
    <t>7ad477a2-04af-11f0-bd65-506b8d982279</t>
  </si>
  <si>
    <t>186 Đ. Nguyễn Xí, Phường 26, Bình Thạnh, Hồ Chí Minh</t>
  </si>
  <si>
    <t>54666267 - Q10 - DIAGTEST - Test B2B Client Drop</t>
  </si>
  <si>
    <t>97c5b0b0-04af-11f0-b3ec-506b8d982279</t>
  </si>
  <si>
    <t>283/7 Đ. Cách Mạng Tháng Tám, Quận 10, Ho Chi Minh City, Vietnam</t>
  </si>
  <si>
    <t>54666267 - Q10 - DIAGTEST - Test B2B Client Pick</t>
  </si>
  <si>
    <t>4a0c89a8-04ae-11f0-befc-506b8d982279</t>
  </si>
  <si>
    <t>283 Đ. Cách Mạng Tháng Tám, Phường 12, Quận 10, Hồ Chí Minh</t>
  </si>
  <si>
    <t>54675249 - D5 - NBieu - Trung Tâm Xét Nghiệm Nguyễn Lê</t>
  </si>
  <si>
    <t>85833dc4-34f7-11ef-88ca-506b8d9879b5</t>
  </si>
  <si>
    <t>Trạm Y Tế Phường 1, Đường Nguyễn Biểu, Phường 1, District 5, Ho Chi Minh City, Vietnam</t>
  </si>
  <si>
    <t>54710330 - D7 - CTPhat - KinderHealth</t>
  </si>
  <si>
    <t>689f6d4c-08e6-11ee-9a49-506b8dbc8dfb</t>
  </si>
  <si>
    <t>KinderHealth.vn, 37 Cao Triều Phát, Tân Phong, Quận 7, Thành phố Hồ Chí Minh</t>
  </si>
  <si>
    <t>54710330 - TBinh - TCDinh - KinderHealth</t>
  </si>
  <si>
    <t>a83df720-08e6-11ee-8195-506b8dbc8dfb</t>
  </si>
  <si>
    <t>180 Trương Công Định, Phường 13, Tân Bình, Thành phố Hồ Chí Minh</t>
  </si>
  <si>
    <t>3f0c5bb6-4b17-11ee-8b8e-506b8d9879b5</t>
  </si>
  <si>
    <t>33 Lương Minh Nguyệt, Tân Thới Hoà, Tân Phú, Thành phố Hồ Chí Minh</t>
  </si>
  <si>
    <t>54771608 - BThanh - DBLinh - Edoctor</t>
  </si>
  <si>
    <t>467cb718-38e5-11ee-a12f-506b8d9879b5</t>
  </si>
  <si>
    <t>69 Đinh Bộ Lĩnh, Phường 26, Bình Thạnh, Thành phố Hồ Chí Minh</t>
  </si>
  <si>
    <t>54771608 - D5 - TNTong - Edoctor</t>
  </si>
  <si>
    <t>c7b708ec-149b-11ee-b913-506b8dbc8dfb</t>
  </si>
  <si>
    <t>5 Đ. Trần Nhân Tôn, Phường 9, Quận 5, Thành phố Hồ Chí Minh</t>
  </si>
  <si>
    <t>3d7beb2e-8693-11ee-9c82-506b8d9879b5</t>
  </si>
  <si>
    <t>185 Đ. Phan Trung, Tân Mai, Thành phố Biên Hòa, Đồng Nai</t>
  </si>
  <si>
    <t>54972357 - D5 - ABinh - Dương Hải Nam</t>
  </si>
  <si>
    <t>d7b13ef2-1644-11ee-8d6e-506b8dbc8dfb</t>
  </si>
  <si>
    <t>94 Đ. An Bình, Phường 5, Quận 5, Thành phố Hồ Chí Minh</t>
  </si>
  <si>
    <t>54987159 - D7 - HTPhat - Tạ Ngọc Tiên</t>
  </si>
  <si>
    <t>112b3db6-5a03-11ee-afbd-506b8d9879b5</t>
  </si>
  <si>
    <t>Hẻm 1135 Huỳnh Tấn Phát, Phú Thuận, Quận 7, Thành phố Hồ Chí Minh</t>
  </si>
  <si>
    <t>55024764 - D7 - BVBa - Bs.Đinh Quang Vinh</t>
  </si>
  <si>
    <t>eb9c2ce8-79ee-11ee-8915-506b8d9879b5</t>
  </si>
  <si>
    <t>39700 Huỳnh Tấn Phát, Tân Thuận Đông, Quận 7, Thành phố Hồ Chí Minh</t>
  </si>
  <si>
    <t>55024764 - TDuc - QL13 - Bs.Đinh Quang Vinh</t>
  </si>
  <si>
    <t>c7926856-704d-11f0-a58c-506b8d982279</t>
  </si>
  <si>
    <t>15/37/12 Đường Số 6, Hiệp Bình Phước, Thủ Đức, Hồ Chí Minh</t>
  </si>
  <si>
    <t>407d272e-0110-11ee-b0a3-506b8dbc8dfb</t>
  </si>
  <si>
    <t>Phòng Khám Đa Khoa Bạch Đằng, 24 Đ. Phạm Ngũ Lão, Hiệp Thành, Thủ Dầu Một, Bình Dương</t>
  </si>
  <si>
    <t>55024973 - D5 - TQPhuc - BỆNH VIỆN HÙNG VƯƠNG</t>
  </si>
  <si>
    <t>a7d7461a-b8cc-11ee-8ca0-506b8d9879b5</t>
  </si>
  <si>
    <t>128 Hồng Bàng,, 12, Quận 5, TP Hồ Chí Minh</t>
  </si>
  <si>
    <t>ed754e2e-a0a8-11ee-8d61-506b8d9879b5</t>
  </si>
  <si>
    <t>District 8 Hospital, 82 Đ. Cao Lỗ, Phường 4, Quận 8, Thành phố Hồ Chí Minh</t>
  </si>
  <si>
    <t>55025007 - D10 - LTKiet - BỆNH VIỆN TRƯNG VƯƠNG</t>
  </si>
  <si>
    <t>691d6e6c-6070-11ef-b1e0-506b8d9879b5</t>
  </si>
  <si>
    <t>d6c34328-a35a-11f0-a2e4-506b8d982279</t>
  </si>
  <si>
    <t>Go Vap Hospital, Đ. Quang Trung/641 Thông Tây Hội, Phường, Phường 11, Go Vap, Ho Chi Minh City, Vietnam</t>
  </si>
  <si>
    <t>55025012 - CChi - QL22 - BỆNH VIỆN ĐA KHOA XUYÊN Á</t>
  </si>
  <si>
    <t>c83b149a-cffe-11f0-b619-506b8d982279</t>
  </si>
  <si>
    <t>Xuyen A General Hospital, 42 QL22, ấp Chợ, Củ Chi, Thành phố Hồ Chí Minh</t>
  </si>
  <si>
    <t>cf9e4b00-7233-11ef-a706-506b8d9879b5</t>
  </si>
  <si>
    <t>4th Army Corps Hospital, 137 ĐT743, Khu Công Nghiệp Sóng Thần 1, Thuận An, Bình Dương</t>
  </si>
  <si>
    <t>55064340 - BThanh - TCang - THSK Quốc Tế</t>
  </si>
  <si>
    <t>c6e0ec92-9bf7-11ee-a524-506b8d9879b5</t>
  </si>
  <si>
    <t>86 Tân Cảng, Phường 25, Bình Thạnh, Thành phố Hồ Chí Minh</t>
  </si>
  <si>
    <t>72e3a2d4-8fba-11f0-a93c-506b8d982279</t>
  </si>
  <si>
    <t>251A Lương Định Của, An Phú, Thủ Đức, Hồ Chí Minh</t>
  </si>
  <si>
    <t>31ebea1e-7204-11ee-a6e2-506b8d9879b5</t>
  </si>
  <si>
    <t>549 Nguyễn Thị Thập, Tân Phong, Quận 7, Thành phố Hồ Chí Minh</t>
  </si>
  <si>
    <t>e9b61bae-005d-11f0-afd2-506b8d9879b5</t>
  </si>
  <si>
    <t>169/24/9 Đ. 30 Tháng 4, Phú Thọ, Thủ Dầu Một, Bình Dương</t>
  </si>
  <si>
    <t>79fe49a8-0113-11ee-bb47-506b8dbc8dfb</t>
  </si>
  <si>
    <t>Bệnh viện Đa khoa tỉnh Bình Dương, 5 Phạm Ngọc Thạch, Hiệp Thành, Thủ Dầu Một, Bình Dương</t>
  </si>
  <si>
    <t>55274790 - TDuc - 6 - Bs Tô Nhứt Phú</t>
  </si>
  <si>
    <t>445ccf5c-67d6-11ee-9c92-506b8d9879b5</t>
  </si>
  <si>
    <t>128 Đ. số 6, Tam Phú, Thủ Đức, Thành phố Hồ Chí Minh</t>
  </si>
  <si>
    <t>55287824 - ThAn - DS5 - Cn Nguyễn Thị Tuyết Trâm</t>
  </si>
  <si>
    <t>c2b0ba48-5a7b-11ee-bf68-506b8d9879b5</t>
  </si>
  <si>
    <t>Boulevard, Thuận Giao, Thuận An, Bình Dương</t>
  </si>
  <si>
    <t>55287824 - TUyen - DT747B - Cn Nguyễn Thị Tuyết Trâm</t>
  </si>
  <si>
    <t>5b9e5e54-157a-11ef-bb46-506b8d9879b5</t>
  </si>
  <si>
    <t>Kim Hang Gas Station, 2QX4+PQG Vòng xoay Kim Hằng, Khánh Bình, Tân Uyên, Bình Dương</t>
  </si>
  <si>
    <t>Tân Hiệp</t>
  </si>
  <si>
    <t>55288147 - D7 - MVVinh - Nguyễn Phan Đào</t>
  </si>
  <si>
    <t>48437786-0ea9-11ef-a332-506b8d9879b5</t>
  </si>
  <si>
    <t>17 Mai Văn Vĩnh, Tân Quy, Quận 7, Thành phố Hồ Chí Minh</t>
  </si>
  <si>
    <t>55288147 - D7 - NKMPhu - Nguyễn Phan Đào</t>
  </si>
  <si>
    <t>560f6e76-ae2f-11ef-8ff5-506b8d9879b5</t>
  </si>
  <si>
    <t>Đường Nội Khu Mỹ Phú 3A, Đ. Nội Khu Mỹ Phú 3A, Tân Phú, Quận 7, Hồ Chí Minh</t>
  </si>
  <si>
    <t>55288147 - D7 - NLBang - Nguyễn Phan Đào</t>
  </si>
  <si>
    <t>43d2ba76-6904-11ef-8ee6-506b8d9879b5</t>
  </si>
  <si>
    <t>Bệnh viện FV, 6 Nguyễn Lương Bằng, Tân Phú, Quận 7, Hồ Chí Minh</t>
  </si>
  <si>
    <t>55329217 - BThanh - NVDau - Bs Nguyễn Thị Bích Ngọc ( BV Columbia)</t>
  </si>
  <si>
    <t>ab8bddb0-97d0-11ee-b8e9-506b8d9879b5</t>
  </si>
  <si>
    <t>263 Nguyễn Văn Đậu, Phường 11, Bình Thạnh, Thành phố Hồ Chí Minh</t>
  </si>
  <si>
    <t>55348886 - ThAn - TKHuan - PK Thủ Khoa Huân</t>
  </si>
  <si>
    <t>7a37020e-4a14-11ed-ae9e-506b8dbc8dfb</t>
  </si>
  <si>
    <t>Phòng khám Đa Khoa THỦ KHOA HUÂN, D8 Đ. Thủ Khoa Huân, khu phố bình thuận 2, Thành Phố, Bình Dương</t>
  </si>
  <si>
    <t>2bbe2df6-19f5-11f0-9f8d-506b8d982279</t>
  </si>
  <si>
    <t>Viet My General Clinic, 187A Đ. Phạm Văn Chiêu, Phường 14, Gò Vấp, Hồ Chí Minh</t>
  </si>
  <si>
    <t>a11159ec-8d7f-11ee-90e4-506b8d9879b5</t>
  </si>
  <si>
    <t>2 Đ. Đồng Khởi, Tam Hoà, Thành phố Biên Hòa, Đồng Nai</t>
  </si>
  <si>
    <t>55435239 - D9 - N2 - Nguyễn Văn Toản</t>
  </si>
  <si>
    <t>df261be6-8eb0-11ee-82f7-506b8d9879b5</t>
  </si>
  <si>
    <t>Nidec Servo Vietnam, Lô I193 đường N 1, Đ. D1, Phường Tân Phú, Thành phố Thủ Đức, Thành phố Hồ Chí Minh</t>
  </si>
  <si>
    <t>63689683 - D1 - LDuan - Hoàn Lộc Việt</t>
  </si>
  <si>
    <t>ce934df4-3d9c-11ee-9ca2-506b8d9879b5</t>
  </si>
  <si>
    <t>DYM Medical Center Vietnam, Phòng B103, toà nhà mPlaza, 39 Đ. Lê Duẩn, Bến Nghé, Quận 1, Thành phố Hồ Chí Minh</t>
  </si>
  <si>
    <t>BDuong - Sales Vỹ</t>
  </si>
  <si>
    <t>f232ece2-69ce-11ef-98b6-506b8d9879b5</t>
  </si>
  <si>
    <t>36 Ngô Chí Quốc, Phú Cường, Thủ Dầu Một, Bình Dương</t>
  </si>
  <si>
    <t>0452953a-f967-11ef-8764-506b8d9879b5</t>
  </si>
  <si>
    <t>283 Cách Mạng Tháng Tám, Phường 12, Quận 10, Hồ Chí Minh</t>
  </si>
  <si>
    <t>7 Phan Văn Hớn, Tân Thới Nhất, Quận 12, Thành phố Hồ Chí Minh</t>
  </si>
  <si>
    <t>467B Quang Trung, Phường 12, Gò Vấp, Thành phố Hồ Chí Minh</t>
  </si>
  <si>
    <t>323 Đ. Nguyễn Duy Trinh, Phường Bình Trưng Tây, Quận 2, Thành phố Hồ Chí Minh</t>
  </si>
  <si>
    <t>1166 Đ. Cách Mạng Tháng 8, Phường 4, Tân Bình, Thành phố Hồ Chí Minh</t>
  </si>
  <si>
    <t>375 Đ. Nguyễn Văn Luông, Phường 12, Quận 6, Thành phố Hồ Chí Minh</t>
  </si>
  <si>
    <t>869 Đ. Phan Văn Trị, Phường 7, Gò Vấp, Thành phố Hồ Chí Minh</t>
  </si>
  <si>
    <t>75-77 Nguyễn Thị Tú, Bình Hưng Hoà B, Bình Tân, Thành phố Hồ Chí Minh</t>
  </si>
  <si>
    <t>1B Đường số 5, Phước Bình, Quận 9, Thành phố Hồ Chí Minh</t>
  </si>
  <si>
    <t>377 Đ. Lê Văn Quới, Bình Trị Đông A, Bình Tân, Hồ Chí Minh</t>
  </si>
  <si>
    <t>145 D. Bá Trạc, Phường 1, Quận 8, Hồ Chí Minh</t>
  </si>
  <si>
    <t>417 Hai Bà Trưng, Phường 8, Quận 3, Hồ Chí Minh</t>
  </si>
  <si>
    <t>227A Xô Viết Nghệ Tĩnh, Phường 17, Bình Thạnh, Hồ Chí Minh</t>
  </si>
  <si>
    <t>213 Phó Cơ Điều, Phường 6, Quận 11, Hồ Chí Minh</t>
  </si>
  <si>
    <t>653 Lạc Long Quân, Phường 8, Tân Bình, Hồ Chí Minh</t>
  </si>
  <si>
    <t>0df4f904-0f8b-11f0-b683-506b8d982279</t>
  </si>
  <si>
    <t>1075 Đ. Nguyễn Trãi, Phường 14, Quận 5, Hồ Chí Minh</t>
  </si>
  <si>
    <t>3d68332c-6698-11f0-a623-506b8d982279</t>
  </si>
  <si>
    <t>211 Đ. Lê Văn Sỹ, Phường 12, Quận 3, Hồ Chí Minh</t>
  </si>
  <si>
    <t>COOP - D3 - DBPhu - PK Thiên Phước</t>
  </si>
  <si>
    <t>64e2c9a8-2469-11ee-9bd5-506b8d9879b5</t>
  </si>
  <si>
    <t>Thien Phuoc Clinic, 269 Đ. Điện Biên Phủ, Võ Thị Sáu, Quận 3, Thành phố Hồ Chí Minh</t>
  </si>
  <si>
    <t>Gửi kết quả</t>
  </si>
  <si>
    <t>55127fa2-74c4-11f0-8274-506b8d982279</t>
  </si>
  <si>
    <t>368/18 Đ. Tôn Đản, Phường 4, Quận 4, Hồ Chí Minh</t>
  </si>
  <si>
    <t>HBC - NKieu - 5 - Diag Cần Thơ</t>
  </si>
  <si>
    <t>bb9dec6a-7931-11ee-a361-506b8d9879b5</t>
  </si>
  <si>
    <t>2QM7+GFG, An Khánh, Ninh Kiều, Cần Thơ</t>
  </si>
  <si>
    <t>NDTP - BChanh - TTuc - TTYT Huyện Bình Chánh</t>
  </si>
  <si>
    <t>6d37ecaa-89a4-11ee-8bc4-506b8d9879b5</t>
  </si>
  <si>
    <t>Trung Tâm Y Tế Huyện Bình Chánh, 100 Đường Tân Túc, TT. Tân Túc, Bình Chánh, Thành phố Hồ Chí Minh</t>
  </si>
  <si>
    <t>NDTP - BChanh - YT3 - Trung Tâm Pháp Y</t>
  </si>
  <si>
    <t>85f2a1c6-77d0-11ee-98da-506b8d9879b5</t>
  </si>
  <si>
    <t>TRUNG TÂM PHÁP Y THÀNH PHỐ, Tân Kiên, Bình Chánh, Thành phố Hồ Chí Minh</t>
  </si>
  <si>
    <t>NDTP - D10 - HHao - MEDIC</t>
  </si>
  <si>
    <t>4b3fd89c-77ca-11ee-99a3-506b8d9879b5</t>
  </si>
  <si>
    <t>Trung tâm Medic Hòa Hảo, 254 Hoà Hảo, Phường 4, Quận 10, Thành phố Hồ Chí Minh</t>
  </si>
  <si>
    <t>NDTP - D10 - SVHanh - BV Nhi Đồng 1</t>
  </si>
  <si>
    <t>e62f29e0-77cd-11ee-8493-506b8d9879b5</t>
  </si>
  <si>
    <t>NDTP - D1 - CBac - Viện Kiểm Thuốc</t>
  </si>
  <si>
    <t>b6c49e9a-7df1-11ee-9baf-506b8d9879b5</t>
  </si>
  <si>
    <t>Institute for Drug Quality Control (IDQC), 200 Đ. Cô Bắc, Phường Cô Giang, Quận 1, Thành phố Hồ Chí Minh</t>
  </si>
  <si>
    <t>NDTP - D1 - CQuynh - BV Từ Dũ</t>
  </si>
  <si>
    <t>b6e7e99c-77cd-11ee-86b3-506b8d9879b5</t>
  </si>
  <si>
    <t>LÂU 3 - KHU M, 284 Đ. Cống Quỳnh, Phường Phạm Ngũ Lão, Quận 1, Hồ Chí Minh</t>
  </si>
  <si>
    <t>NDTP - D1 - LTTrong - BV Nhi Đồng 2</t>
  </si>
  <si>
    <t>1516c6e4-77d0-11ee-b143-506b8d9879b5</t>
  </si>
  <si>
    <t>Children's Hospital 2, 14 Lý Tự Trọng, Bến Nghé, Quận 1, Thành phố Hồ Chí Minh</t>
  </si>
  <si>
    <t>NDTP - D3 - NThong - BV Da Liễu</t>
  </si>
  <si>
    <t>b740f16c-77ce-11ee-a06f-506b8d9879b5</t>
  </si>
  <si>
    <t>HCMC Hospital of Dermato Venereology, 2 Đ. Nguyễn Thông, Phường 6, Quận 3, Thành phố Hồ Chí Minh</t>
  </si>
  <si>
    <t>NDTP - D3 - Pasteur - Viện Pasteur</t>
  </si>
  <si>
    <t>998f85d4-77ce-11ee-a6fe-506b8d9879b5</t>
  </si>
  <si>
    <t>Ho Chi Minh City Pasteur Institute, 167 Pasteur, Phường 8, Quận 3, Thành phố Hồ Chí Minh</t>
  </si>
  <si>
    <t>NDTP - D3 - TDinh - Bionet</t>
  </si>
  <si>
    <t>95050202-dc30-11ee-914e-506b8d9879b5</t>
  </si>
  <si>
    <t>Bionet Việt Nam - Trung tâm xét nghiệm ADN, 64 Trương Định, Võ Thị Sáu, Quận 3, Thành phố Hồ Chí Minh</t>
  </si>
  <si>
    <t>NDTP - D5 - HBang - BV Đại Học Y Dược</t>
  </si>
  <si>
    <t>cf8973be-77cb-11ee-bfd6-506b8d9879b5</t>
  </si>
  <si>
    <t>University of Medicine &amp; Pharmacy HCMC (UMP), 217 Đ. Hồng Bàng, Phường 11, Quận 5, Thành phố Hồ Chí Minh</t>
  </si>
  <si>
    <t>NDTP - D5 - LTKiet - Bv Hùng Vương</t>
  </si>
  <si>
    <t>4a6d8864-77d0-11ee-92e0-506b8d9879b5</t>
  </si>
  <si>
    <t>HUNG VUONG HOSPITAL, 9 Lý Thường Kiệt, Phường 12, Quận 5, Thành phố Hồ Chí Minh</t>
  </si>
  <si>
    <t>NDTP - D5 - NCThanh - BV Chợ Rẫy</t>
  </si>
  <si>
    <t>46c779fc-77cd-11ee-9b88-506b8d9879b5</t>
  </si>
  <si>
    <t>Cho Ray Hospital, 201B Đ. Nguyễn Chí Thanh, Phường 12, Quận 5, Thành phố Hồ Chí Minh</t>
  </si>
  <si>
    <t>NDTP - D5 - NQuyen - BV Phạm Ngọc Thạch</t>
  </si>
  <si>
    <t>e508f34c-77ce-11ee-b62b-506b8d9879b5</t>
  </si>
  <si>
    <t>Bệnh viện Phạm Ngọc Thạch cổng 2, 120 Đ. Hùng Vương, Phường 12, Quận 5, Thành phố Hồ Chí Minh</t>
  </si>
  <si>
    <t>NDTP - D5 - PDTVuong - BV Đại Học Y Dược</t>
  </si>
  <si>
    <t>2ea2d51c-77cb-11ee-b9fb-506b8d9879b5</t>
  </si>
  <si>
    <t>NDTP - D5 - THDao - HCDC</t>
  </si>
  <si>
    <t>bdc0c6b4-77d0-11ee-84e1-506b8d9879b5</t>
  </si>
  <si>
    <t>Trung tâm Kiểm soát Bệnh tật Thành phố Hồ Chí Minh - cơ sở 2, 699 Đ. Trần Hưng Đạo, Phường 1, Quận 5, Thành phố Hồ Chí Minh</t>
  </si>
  <si>
    <t>NDTP - D5 - VVKiet - BV Nhiệt Đới</t>
  </si>
  <si>
    <t>feea7a18-77cb-11ee-be1e-506b8d9879b5</t>
  </si>
  <si>
    <t>764 Đ. Võ Văn Kiệt, Phường 1, Quận 5, Thành phố Hồ Chí Minh</t>
  </si>
  <si>
    <t>NDTP - D7 - TXSoan - Nam Khoa Biotek</t>
  </si>
  <si>
    <t>704c946a-77cd-11ee-a264-506b8d9879b5</t>
  </si>
  <si>
    <t>Nam Khoa Biotek CO., Ltd, 793/58 Trần Xuân Soạn, P. Phú Thuận, Quận 7, Thành phố Hồ Chí Minh</t>
  </si>
  <si>
    <t>NDTP - D8 - HPhu - Viện Y Tế Công Cộng</t>
  </si>
  <si>
    <t>5bd4514e-fc70-11ee-9d6d-506b8d9879b5</t>
  </si>
  <si>
    <t>Public Health Institute HCMC, 159 Đ. Hưng Phú, Phường 10, Quận 8, Thành phố Hồ Chí Minh</t>
  </si>
  <si>
    <t>ohther - D7 - PHLau - BS Phan Thành  Thọ</t>
  </si>
  <si>
    <t>6cf9d28a-ab58-11f0-8fd6-506b8d982279</t>
  </si>
  <si>
    <t>333 Phạm Hữu Lầu, Phú Mỹ, Quận 7, Thành phố Hồ Chí Minh</t>
  </si>
  <si>
    <t>Other - BThanh - DBLinh - PXN Minh Quân Lab - Gia Lai</t>
  </si>
  <si>
    <t>bcd29bfe-417b-11ef-9c77-506b8d9879b5</t>
  </si>
  <si>
    <t>Bến xe miền đông - Sài Gòn, 292 Đ. Đinh Bộ Lĩnh, Phường 26, Bình Thạnh, Hồ Chí Minh</t>
  </si>
  <si>
    <t>b3299904-1290-11f0-9954-506b8d982279</t>
  </si>
  <si>
    <t>Bệnh viện Quận 7, 101 Đ. Nguyễn Thị Thập, Tân Phú, Quận 7, Hồ Chí Minh</t>
  </si>
  <si>
    <t>Others - GVap - NOanh - NK Han</t>
  </si>
  <si>
    <t>3b4f7306-a05c-11ee-aef4-506b8d9879b5</t>
  </si>
  <si>
    <t>NHA KHOA HAN, 62 Nguyễn Oanh, Phường 7, Gò Vấp, Thành phố Hồ Chí Minh</t>
  </si>
  <si>
    <t>SENDOUT10 - PNhuan - TQDuc - Medlatec</t>
  </si>
  <si>
    <t>8184ea9e-3dac-11ee-9274-506b8d9879b5</t>
  </si>
  <si>
    <t>Phòng Khám Đa Khoa Medlatec Hồ Chí Minh, 98 Thích Quảng Đức, Phường 05, Phú Nhuận, Thành phố Hồ Chí Minh</t>
  </si>
  <si>
    <t>SENDOUT11 - PNhuan - LVSy - HCDC</t>
  </si>
  <si>
    <t>4571edc4-9575-11ee-ab1c-506b8d9879b5</t>
  </si>
  <si>
    <t>Ho Chi Minh City Center for Disease Control, 180 Lê Văn Sỹ, Phường 10, Phú Nhuận, Hồ Chí Minh</t>
  </si>
  <si>
    <t>SENDOUT12 - D11 - TKhai - Anapath</t>
  </si>
  <si>
    <t>15289eca-98c6-11ee-b784-506b8d9879b5</t>
  </si>
  <si>
    <t>Công Ty TNHH Phát Triển Công Nghệ Anapath Chi nhánh Cần Thơ, 85 Tân Khai, Phường 4, Quận 11, Thành phố Hồ Chí Minh</t>
  </si>
  <si>
    <t>SENDOUT13 - D8 - HPhu - Viện Y Tế Công Cộng</t>
  </si>
  <si>
    <t>0a23c0b8-da07-11ee-93f2-506b8d9879b5</t>
  </si>
  <si>
    <t>SENDOUT14 - D5 - HBang - BV Truyền Máu Huyết Học</t>
  </si>
  <si>
    <t>02650230-f95e-11ee-a6b9-506b8d9879b5</t>
  </si>
  <si>
    <t>Blood Transfusion and Hematology Hospital (BTH), 118 Đ. Hồng Bàng, Phường 12, Quận 5, Thành phố Hồ Chí Minh</t>
  </si>
  <si>
    <t>SENDOUT15 - BChanh - DK3 - BV TMHH</t>
  </si>
  <si>
    <t>b01bef9c-f968-11ee-a2e8-506b8d9879b5</t>
  </si>
  <si>
    <t>Bệnh viện Truyền máu Huyết học - Cơ sở 2 (Khám chữa bệnh), 1 Đ. DK3, Tân Kiên, Bình Chánh, Thành phố Hồ Chí Minh</t>
  </si>
  <si>
    <t>SENDOUT16 - D5 - HBang - BV Đại học Y Dược</t>
  </si>
  <si>
    <t>51742f2e-1748-11ef-808b-506b8d9879b5</t>
  </si>
  <si>
    <t>University Medical Center HCMC, 215 Đ. Hồng Bàng, Phường 11, Quận 5, Thành phố Hồ Chí Minh</t>
  </si>
  <si>
    <t>SENDOUT17 - BChanh - YT3 - Trung tâm Pháp Y</t>
  </si>
  <si>
    <t>9ae5f732-1cbb-11ef-967b-506b8d9879b5</t>
  </si>
  <si>
    <t>Trung tâm pháp y thành phố, PH6G+9JR, Đường DK3, ấp 1, Bình Chánh, Thành phố Hồ Chí Minh</t>
  </si>
  <si>
    <t>SENDOUT18 - D11 - 3/2 - Đại Phước Lab</t>
  </si>
  <si>
    <t>f269a282-27b6-11ef-ae2f-506b8d9879b5</t>
  </si>
  <si>
    <t>829 Đ. 3 Tháng 2, Phường 7, Quận 11, Thành phố Hồ Chí Minh</t>
  </si>
  <si>
    <t>SENDOUT19 - PNhuan - PXLong - BV Hoàn Mỹ</t>
  </si>
  <si>
    <t>763da69e-3d06-11ef-a341-506b8d9879b5</t>
  </si>
  <si>
    <t>Bệnh viện Đa Khoa Hoàn Mỹ Sài Gòn, 60-60A Phan Xích Long, Phường 1, Phú Nhuận, Hồ Chí Minh</t>
  </si>
  <si>
    <t>SENDOUT20 - BChanh - DK3 - BV Truyền máu huyết học</t>
  </si>
  <si>
    <t>9d4ff39c-3e85-11ef-b63b-506b8d9879b5</t>
  </si>
  <si>
    <t>Blood Transfusion Haematology hospital No.2, 1 Đ. DK3, Tân Kiên, Bình Chánh, Hồ Chí Minh</t>
  </si>
  <si>
    <t>SENDOUT21 - D5 - LTKiet - BV Hùng Vương</t>
  </si>
  <si>
    <t>5ea5a9b0-6055-11ef-88bb-506b8d9879b5</t>
  </si>
  <si>
    <t>Bệnh Viện Hùng Vương - 4 Lý Thường Kiệt, Lý Thường Kiệt, Phường 12, Quận 5, Hồ Chí Minh</t>
  </si>
  <si>
    <t>SENDOUT22 - D7 - TXSoan - Nam Khoa Biotek</t>
  </si>
  <si>
    <t>5923e7fa-6fe0-11ef-bf57-506b8d9879b5</t>
  </si>
  <si>
    <t>793/66 793/55 Trần Xuân Soạn, Tân Hưng, Quận 7, Hồ Chí Minh</t>
  </si>
  <si>
    <t>SENDOUT23 - D10 - CMT8 - TTYT Quận 10</t>
  </si>
  <si>
    <t>a2b8e036-74c3-11ef-a5a1-506b8d9879b5</t>
  </si>
  <si>
    <t>Dist. 10 Medical Center, 403 Đ. Cách Mạng Tháng 8, Phường 13, Quận 10, Hồ Chí Minh</t>
  </si>
  <si>
    <t>SENDOUT24 - D10 - SVHanh - BV Nhi Đồng 1</t>
  </si>
  <si>
    <t>d3bdb954-9656-11ef-804f-506b8d9879b5</t>
  </si>
  <si>
    <t>SENDOUT26 - D5 - HVuong - Quân Y 120</t>
  </si>
  <si>
    <t>7fef9ed4-82e9-11f0-8b4c-506b8d982279</t>
  </si>
  <si>
    <t>Tân Lập Thành Coach Company, 84 Hùng Vương, Phường 9, Quận 5, Hồ Chí Minh</t>
  </si>
  <si>
    <t>SENDOUT27 - D3 - DBPhu - TRUNG TÂM XÉT NGHIỆM MAIA</t>
  </si>
  <si>
    <t>141e57fc-b48c-11f0-b00b-506b8d982279</t>
  </si>
  <si>
    <t>556 Điện Biên Phủ, Phường 10, Quận 10, Thành phố Hồ Chí Minh</t>
  </si>
  <si>
    <t>SENDOUT4 - D10 - 3/2 - CHO RAY</t>
  </si>
  <si>
    <t>8793e344-5dba-11ee-a3a5-506b8d9879b5</t>
  </si>
  <si>
    <t>430 Đ. 3 Tháng 2, Phường 12, Quận 10, Thành phố Hồ Chí Minh</t>
  </si>
  <si>
    <t>SENDOUT4 - D10 - SVHanh - CHO RAY</t>
  </si>
  <si>
    <t>d0575038-67f2-11ee-93ed-506b8d9879b5</t>
  </si>
  <si>
    <t>Van Hanh Mall, 11 Đ. Sư Vạn Hạnh, Phường 12, Quận 10, Thành phố Hồ Chí Minh</t>
  </si>
  <si>
    <t>SENDOUT4 - D11 - LTKiet - CHO RAY</t>
  </si>
  <si>
    <t>8ce9a7a4-3987-11ee-bfbc-506b8d9879b5</t>
  </si>
  <si>
    <t>Tân Phước Plaza, 153 Lý Thường Kiệt, Phường 7, Quận 11, Thành phố Hồ Chí Minh</t>
  </si>
  <si>
    <t>SENDOUT6 - D10 - SVHanh - Tâm An Sài Gòn</t>
  </si>
  <si>
    <t>1e724400-3da3-11ee-acf9-506b8d9879b5</t>
  </si>
  <si>
    <t>Trung tâm Xét nghiệm y khoa Tâm An SG, 816 Đ. Sư Vạn Hạnh, Phường 12, Quận 10, Thành phố Hồ Chí Minh</t>
  </si>
  <si>
    <t>SENDOUT7 - D5 - THDao - HCDC</t>
  </si>
  <si>
    <t>c85e8ffa-220a-11ee-9702-506b8d9879b5</t>
  </si>
  <si>
    <t>695 Đ. Trần Hưng Đạo, Phường 1, Quận 5, Thành phố Hồ Chí Minh</t>
  </si>
  <si>
    <t>SENDOUT8 - D5 - VVKiet - BV Nhiệt Đới</t>
  </si>
  <si>
    <t>ce8fbd00-2439-11ee-8a2d-506b8d9879b5</t>
  </si>
  <si>
    <t>Hospital for Tropical Diseases, 764 Võ Văn Kiệt, Phường 1, Quận 5, Hồ Chí Minh</t>
  </si>
  <si>
    <t>Test - CMT8</t>
  </si>
  <si>
    <t>b77cb72e-7f29-11f0-894a-506b8d982279</t>
  </si>
  <si>
    <t>Tòa nhà Viettel Complex, Tầng 1 Hẻm 285 Cách Mạng Tháng Tám, Phường 12, Quận 10, Hồ Chí Minh</t>
  </si>
  <si>
    <t>c7059358-2b0c-11f0-967c-506b8d982279</t>
  </si>
  <si>
    <t>HCMC Dermatology &amp; Venereology Hospital, 2 Đ. Nguyễn Thông, Phường 6, Quận 3, Hồ Chí Minh</t>
  </si>
  <si>
    <t>b54510ca-aafb-11f0-bf33-506b8d982279</t>
  </si>
  <si>
    <t>HCMC Traditional Medicine Hospital, 179-187 Nam Kỳ Khởi Nghĩa, Phường Võ Thị Sáu, Quận 3, Thành phố Hồ Chí Minh</t>
  </si>
  <si>
    <t>10316 - BCat - DB8 - BS Tiêu Đức Quang 1</t>
  </si>
  <si>
    <t>eccc4624-010e-11ee-8ace-506b8dbc8dfb</t>
  </si>
  <si>
    <t>13 Đ. DB 8, Mỹ Phước, Bến Cát, Bình Dương</t>
  </si>
  <si>
    <t>86fbb8bc-a919-11ee-abe3-506b8d9879b5</t>
  </si>
  <si>
    <t>61af27cc-8aad-11ee-b551-506b8d9879b5</t>
  </si>
  <si>
    <t>Dong Nai General Hospital, 2 Đ. Đồng Khởi, Tam Hoà, Thành phố Biên Hòa, Đồng Nai</t>
  </si>
  <si>
    <t>10353 - TDuc - QL13 - Bs.Trần Ngọc Hải Vy</t>
  </si>
  <si>
    <t>ecf18c6a-22c2-11ee-8d2d-506b8d9879b5</t>
  </si>
  <si>
    <t>NHA KHOA QUỐC TẾ VGOLD, 48 QL13, Hiệp Bình Chánh, Thành Phố Thủ Đức, Thành phố Hồ Chí Minh</t>
  </si>
  <si>
    <t>10364 - GVap - QTrung - Hoàng Hồng Thảo</t>
  </si>
  <si>
    <t>d866b1fa-1ad7-11ee-8cd0-506b8d9879b5</t>
  </si>
  <si>
    <t>Go Vap Hospital, 641 Quang Trung, Phường 11, Gò Vấp, Thành phố Hồ Chí Minh</t>
  </si>
  <si>
    <t>41126efc-4349-11ef-8430-506b8d9879b5</t>
  </si>
  <si>
    <t>F99 Đ. Võ Thị Sáu, Thống Nhất, Thành phố Biên Hòa, Đồng Nai</t>
  </si>
  <si>
    <t>74eac478-6a6d-11ee-a53f-506b8d9879b5</t>
  </si>
  <si>
    <t>xe Đại Ngân, 22 Đ. Nguyễn Văn Đừng, Phường 6, Quận 5, Thành phố Hồ Chí Minh</t>
  </si>
  <si>
    <t>10441 - D5 - TDa - PHÒNG KHÁM ĐA KHOA SÀI GÒN MEKÔNG- NHÀ THUỐC SÀI GÒN MEKÔNG</t>
  </si>
  <si>
    <t>8ef9af40-6a69-11ee-a058-506b8d9879b5</t>
  </si>
  <si>
    <t>21 Đ. Tản Đà, Phường 10, Quận 5, Thành phố Hồ Chí Minh</t>
  </si>
  <si>
    <t>10441 - D5 - VVKiet - PHÒNG KHÁM ĐA KHOA SÀI GÒN MEKÔNG- NHÀ THUỐC SÀI GÒN MEKÔNG</t>
  </si>
  <si>
    <t>93c4a4f2-c5db-11ef-afa8-506b8d9879b5</t>
  </si>
  <si>
    <t>1144 Võ Văn Kiệt, Khu phố 1, Quận 5, Hồ Chí Minh</t>
  </si>
  <si>
    <t>779334d6-1d87-11ee-8c8a-506b8d9879b5</t>
  </si>
  <si>
    <t>4T Đ. Cư Xá P. Lâm D, Phường 10, Quận 6, Thành phố Hồ Chí Minh</t>
  </si>
  <si>
    <t>1605c970-b744-11ee-be42-506b8d9879b5</t>
  </si>
  <si>
    <t>101 Lê Văn Thọ, Phường 8, Gò Vấp, Thành phố Hồ Chí Minh</t>
  </si>
  <si>
    <t>10529 - D12 - HHGiap - Ngô Kim Hồng</t>
  </si>
  <si>
    <t>567a0cf6-1973-11ee-9efd-506b8d9879b5</t>
  </si>
  <si>
    <t>184 Hà Huy Giáp, Thạnh Lộc, Quận 12, Thành phố Hồ Chí Minh, Vietnam</t>
  </si>
  <si>
    <t>10574 - D1 - LTRieng - BS Lê Phúc An</t>
  </si>
  <si>
    <t>b50f1dc8-36e1-11f0-be52-506b8d982279</t>
  </si>
  <si>
    <t>Mắt Sài Gòn Lê Thị Riêng, 100 Đ. Lê Thị Riêng, Phường Phạm Ngũ Lão, Quận 1, Hồ Chí Minh</t>
  </si>
  <si>
    <t>10608 - TDuc - LVChi - LÊ HỒNG THIỆN</t>
  </si>
  <si>
    <t>c23d6880-81f9-11ef-8528-506b8d9879b5</t>
  </si>
  <si>
    <t>10659 - DAn - ABinh - BS Lê Thị Dung</t>
  </si>
  <si>
    <t>de6663be-127d-11ee-af20-506b8dbc8dfb</t>
  </si>
  <si>
    <t>26 Đ. An Bình, Phú Đông, Dĩ An, Bình Dương</t>
  </si>
  <si>
    <t>10728 - TBom - 9 - PK Nội Tổng Hợp BS Nguyễn Ngọc Tuấn</t>
  </si>
  <si>
    <t>3ed2f3c2-5782-11ee-bb25-506b8d9879b5</t>
  </si>
  <si>
    <t>9 Tây Hòa - Trung Hòa, Trảng Bom, Đồng Nai</t>
  </si>
  <si>
    <t>Hưng Thịnh</t>
  </si>
  <si>
    <t>10835 - D9 - LVViet - Trần Thị Thanh Bình</t>
  </si>
  <si>
    <t>bca13b30-2179-11ef-aab2-506b8d9879b5</t>
  </si>
  <si>
    <t>Bệnh viện Quân Dân Y Miền Đông, 50 Lê Văn Việt, Hiệp Phú, Quận 9, Thành phố Hồ Chí Minh</t>
  </si>
  <si>
    <t>10875 - D10 - SVHanh - Mã Tú Thanh</t>
  </si>
  <si>
    <t>8e26d8ca-f17f-11ee-a4af-506b8d9879b5</t>
  </si>
  <si>
    <t>4f07dccc-9ce9-11f0-99fb-506b8d982279</t>
  </si>
  <si>
    <t>WRM4+Q5Q, Hóa An, Bien Hoa, Dong Nai</t>
  </si>
  <si>
    <t>SENDOUT4 - D5 - NCThanh - Bệnh Viện Chợ Rẫy</t>
  </si>
  <si>
    <t>5c8efb94-38ad-11ed-b146-506b8dbc8dfb</t>
  </si>
  <si>
    <t>Bệnh Viện Chợ Rẫy, 201B Đ. Nguyễn Chí Thanh, Phường 12, Quận 5, Thành phố Hồ Chí Minh</t>
  </si>
  <si>
    <t>10886 - D5 - NTrai - Bs Lê Khánh Trang</t>
  </si>
  <si>
    <t>20e054ae-335f-11ef-855f-506b8d9879b5</t>
  </si>
  <si>
    <t>314 Đ. Nguyễn Trãi, Phường 8, Quận 5, Hồ Chí Minh</t>
  </si>
  <si>
    <t>10899 - D1 - LTRieng - BS Mai Tấn Phúc</t>
  </si>
  <si>
    <t>05a53d02-bb73-11ef-9311-506b8d9879b5</t>
  </si>
  <si>
    <t>100 Đ. Lê Thị Riêng, Phường Phạm Ngũ Lão, Quận 1, Hồ Chí Minh</t>
  </si>
  <si>
    <t>10944 - D5 - PHChi - BS Nguyễn Thị Quỳnh Nga</t>
  </si>
  <si>
    <t>e55c254e-5c75-11ef-beff-506b8d9879b5</t>
  </si>
  <si>
    <t>21 Phạm Hữu Chí, Phường 12, Quận 5, Hồ Chí Minh</t>
  </si>
  <si>
    <t>10963 - TBinh - NTBinh - Bs Nguyễn Quốc Cường</t>
  </si>
  <si>
    <t>79d65930-341b-11ee-afd8-506b8d9879b5</t>
  </si>
  <si>
    <t>269 Nguyễn Thái Bình, Phường 12, Tân Bình, Thành phố Hồ Chí Minh</t>
  </si>
  <si>
    <t>10963 - TDuc - HHNam - Bs Nguyễn Quốc Cường</t>
  </si>
  <si>
    <t>add14102-1ec5-11ee-bc45-506b8d9879b5</t>
  </si>
  <si>
    <t>376 Hoàng Hữu Nam, Long Thạnh Mỹ, Quận 9, Thành phố Hồ Chí Minh</t>
  </si>
  <si>
    <t>10970 - D5 - ABinh - CÔNG TY TNHH LABHOUSE VIỆT NAM</t>
  </si>
  <si>
    <t>3f118296-8ff3-11ee-9fc0-506b8d9879b5</t>
  </si>
  <si>
    <t>Trung tâm xét nghiệm Y Khoa LabHouse, 94 Đ. An Bình, Phường 5, Quận 5, Thành phố Hồ Chí Minh</t>
  </si>
  <si>
    <t>10973 - TDuc - PChau - BS. TRẦN THỊ NGỌC DIỆU</t>
  </si>
  <si>
    <t>b3677c7c-a52e-11ee-95f5-506b8d9879b5</t>
  </si>
  <si>
    <t>10980 - TDuc - PVDong - Nguyễn Gia Mạnh</t>
  </si>
  <si>
    <t>616e5cf0-31c0-11ef-9e1d-506b8d9879b5</t>
  </si>
  <si>
    <t>160 Đ. Phạm Văn Đồng, Hiệp Bình Chánh, Thủ Đức, Hồ Chí Minh</t>
  </si>
  <si>
    <t>10981 - D9 - D10 - Nguyễn Anh Tấn</t>
  </si>
  <si>
    <t>c84e1d50-4ae1-11ee-857d-506b8d9879b5</t>
  </si>
  <si>
    <t>35 Đường D10, Trường Thạnh, Quận 9, Thành phố Hồ Chí Minh</t>
  </si>
  <si>
    <t>11013 - BTan - LDCan - Ths. Bs Lê Trung Hưng</t>
  </si>
  <si>
    <t>78146078-b3c3-11ef-921a-506b8d9879b5</t>
  </si>
  <si>
    <t>170a Lê Đình Cẩn, Tân Tạo, Bình Tân, Hồ Chí Minh</t>
  </si>
  <si>
    <t>0d4f6c7c-03e3-11f0-91da-506b8d9879b5</t>
  </si>
  <si>
    <t>Tan Phu District Hospital, 609, 611 Đ. Âu Cơ, Phú Trung, Tân Phú, Hồ Chí Minh</t>
  </si>
  <si>
    <t>11080 - TDuc - PChau - NGUỴ NHƯ NGỌC CHIÊU</t>
  </si>
  <si>
    <t>1970ca54-ba7f-11ee-8da6-506b8d9879b5</t>
  </si>
  <si>
    <t>11091 - D10 - SVHanh - Bs Phan Ngọc Phát</t>
  </si>
  <si>
    <t>426455f6-fc57-11ee-a61d-506b8d9879b5</t>
  </si>
  <si>
    <t>818 Đ. Sư Vạn Hạnh, Phường 12, Quận 10, Thành phố Hồ Chí Minh</t>
  </si>
  <si>
    <t>11096 - BTan - 7 - BS. Đỗ Minh Nguyệt</t>
  </si>
  <si>
    <t>8ab0506a-3560-11f0-86b7-506b8d982279</t>
  </si>
  <si>
    <t>313 Đường số 7, Bình Trị Đông B, Bình Tân, Hồ Chí Minh</t>
  </si>
  <si>
    <t>11117 - D12 - LTRieng - BS. Tạ Thị Ngọc Trinh</t>
  </si>
  <si>
    <t>7130df46-9760-11ee-a22a-506b8d9879b5</t>
  </si>
  <si>
    <t>NHA KHOA DR. TRINH 3/ NHA KHOA QUAN 12/ NHA KHOA UY TÍN THỚI AN, 436 Đ. Lê Thị Riêng, Thới An, Quận 12, Thành phố Hồ Chí Minh</t>
  </si>
  <si>
    <t>6ace5052-a575-11ee-83d6-506b8d9879b5</t>
  </si>
  <si>
    <t>99 Cây Keo Phú Thạnh Tân Phú</t>
  </si>
  <si>
    <t>09a251ea-5edb-11f0-ba30-506b8d982279</t>
  </si>
  <si>
    <t>9 Nguyễn Nghiêm, Tân Phú, Hồ Chí Minh</t>
  </si>
  <si>
    <t>11189 - D10 - SVHanh - Dr. Nguyễn Thị Thuỳ Vân</t>
  </si>
  <si>
    <t>8f07779e-e0e1-11ee-8929-506b8d9879b5</t>
  </si>
  <si>
    <t>11212 - NKieu - TNQue - Lưu Thị Thanh Đào</t>
  </si>
  <si>
    <t>abf49e7a-4d3b-11ee-89c9-506b8d9879b5</t>
  </si>
  <si>
    <t>5 Đ. Trần Ngọc Quế, Xuân Khánh, Ninh Kiều, Cần Thơ</t>
  </si>
  <si>
    <t>11222 - D12 - NAThu - BS Nguyễn Phú Thịnh</t>
  </si>
  <si>
    <t>b0edae00-8d99-11ee-aefe-506b8d9879b5</t>
  </si>
  <si>
    <t>1c Đ. Nguyễn Ảnh Thủ, Trung Mỹ Tây, Quận 12, Thành phố Hồ Chí Minh</t>
  </si>
  <si>
    <t>11222 - D12 - TKy - BS Nguyễn Phú Thịnh</t>
  </si>
  <si>
    <t>fb0ce64e-814c-11ee-873c-506b8d9879b5</t>
  </si>
  <si>
    <t>1 Tô Ký, Tân Hưng Thuận, Quận 12, Thành phố Hồ Chí Minh</t>
  </si>
  <si>
    <t>11248 - D8 - CLo - Bác Sĩ Lý Thanh Đào</t>
  </si>
  <si>
    <t>f3e3e542-4a38-11ef-ad86-506b8d9879b5</t>
  </si>
  <si>
    <t>a66000e2-5b3e-11ee-9f53-506b8d9879b5</t>
  </si>
  <si>
    <t>Hospital District 7, 101 Nguyễn Thị Thập, Tân Phú, Quận 7, Thành phố Hồ Chí Minh</t>
  </si>
  <si>
    <t>11298 - D5 - NCThanh - PKDK Thuận Kiều</t>
  </si>
  <si>
    <t>7e22be22-abd1-11f0-8701-506b8d982279</t>
  </si>
  <si>
    <t>630 Nguyễn Chí Thanh, Phường 7, Quận 11, Thành phố Hồ Chí Minh</t>
  </si>
  <si>
    <t>bb407480-a12d-11ee-8943-506b8d9879b5</t>
  </si>
  <si>
    <t>11352 - LThanh - LTTrong - Bs Trần Thị Lanh</t>
  </si>
  <si>
    <t>91ca48d0-8385-11ee-8de4-506b8d9879b5</t>
  </si>
  <si>
    <t>Bác sĩ Lanh - chuyên khoa phụ sản, 61 Lý Tự Trọng, TT. Long Thành, Long Thành, Đồng Nai</t>
  </si>
  <si>
    <t>Long Thành</t>
  </si>
  <si>
    <t>11390 - D12 - DHThuan41 - Phan Thanh Hằng</t>
  </si>
  <si>
    <t>ca0eeb2a-6683-11ee-adef-506b8d9879b5</t>
  </si>
  <si>
    <t>102/12 Tổ 2 Kp6, Đông Hưng Thuận, Quận 12, Thành phố Hồ Chí Minh</t>
  </si>
  <si>
    <t>b6d02ed8-9fb4-11ee-837e-506b8d9879b5</t>
  </si>
  <si>
    <t>Phòng Khám Đa Khoa dân an, 66 Đ. Hùng Vương, Phường 7, Thành phố Mỹ Tho, Tiền Giang</t>
  </si>
  <si>
    <t>11406 - BThanh - NHCanh - TRẦN THỊ DIỄM KIỀU</t>
  </si>
  <si>
    <t>9edb7b3c-89b7-11ef-8b77-506b8d9879b5</t>
  </si>
  <si>
    <t>Vinmec Central Park International Hospital, 208 Đ. Nguyễn Hữu Cảnh, Vinhomes Tân Cảng, Bình Thạnh, Hồ Chí Minh</t>
  </si>
  <si>
    <t>11406 - HMon - BDiem - TRẦN THỊ DIỄM KIỀU</t>
  </si>
  <si>
    <t>e35c84e2-b9e8-11f0-b489-506b8d982279</t>
  </si>
  <si>
    <t>43/3D ấp Nam Lân, Bà điểm,Hóc Môn, Thành phố Hồ Chí Minh</t>
  </si>
  <si>
    <t>11409 - MTho - HLac - TS-BS Huỳnh Công Thanh</t>
  </si>
  <si>
    <t>c8b5ae6a-3eee-11ee-83ce-506b8d9879b5</t>
  </si>
  <si>
    <t>Tiến sĩ Bs Huỳnh Công Thanh, 8, 6 Học Lạc, Phường 8, Thành phố Mỹ Tho, Tiền Giang</t>
  </si>
  <si>
    <t>a107b52e-b48b-11f0-94b5-506b8d982279</t>
  </si>
  <si>
    <t>Phuong Chau International Hospital, 300 Nguyễn Văn Cừ Nối Dài, An Khánh, Ninh Kiều, Cần Thơ</t>
  </si>
  <si>
    <t>11471 - D4 - BVDon - BS Nguyễn Ngọc Thu Ngân</t>
  </si>
  <si>
    <t>a2e3d16e-cc0d-11ef-b7dc-506b8d9879b5</t>
  </si>
  <si>
    <t>Bệnh viện quận 4, Đường Bến Vân Đồn, phường 13, Quận 4, Hồ Chí Minh, Việt Nam</t>
  </si>
  <si>
    <t>ff38cebe-2c19-11ee-9481-506b8d9879b5</t>
  </si>
  <si>
    <t>GO! Supermarket Binh Duong, 555B Đại lộ Bình Dương, Hiệp Thành, Thủ Dầu Một, Bình Dương</t>
  </si>
  <si>
    <t>7db8159c-8e53-11ee-8ddf-506b8d9879b5</t>
  </si>
  <si>
    <t>52/15 Đ. Phú Lợi, Phú Hoà, Thủ Dầu Một, Bình Dương</t>
  </si>
  <si>
    <t>289fdcc2-7573-11ef-964f-506b8d9879b5</t>
  </si>
  <si>
    <t>c3cce6a2-1626-11ee-a49d-506b8dbc8dfb</t>
  </si>
  <si>
    <t>11522 - TDuc - PChau - BS. PHẠM THANH TÙNG</t>
  </si>
  <si>
    <t>0555afa0-d918-11ee-a884-506b8d9879b5</t>
  </si>
  <si>
    <t>4a119952-f276-11ee-90a2-506b8d9879b5</t>
  </si>
  <si>
    <t>PHÒNG KHÁM VÀ SIÊU ÂM CHẨN ĐOÁN BS.Vương Thị Bảy - BSCKI.Phan Hoàng Quang, 3194 Lý Thái Tổ, Phú Hữu, Nhơn Trạch, Đồng Nai</t>
  </si>
  <si>
    <t>Đại Phước</t>
  </si>
  <si>
    <t>11585 - D7 - HTPhat - BS Vũ Thị Hạnh Thư</t>
  </si>
  <si>
    <t>3bee1c90-849f-11ef-8142-506b8d9879b5</t>
  </si>
  <si>
    <t>333 Huỳnh Tấn Phát, Tân Thuận Đông, Quận 7, Hồ Chí Minh</t>
  </si>
  <si>
    <t>11585 - D9 - 400 - BS Vũ Thị Hạnh Thư</t>
  </si>
  <si>
    <t>febe3cdc-4657-11ee-84d6-506b8d9879b5</t>
  </si>
  <si>
    <t>126 Đ. Số 400, Long Thạnh Mỹ, Quận 9, Thành phố Hồ Chí Minh</t>
  </si>
  <si>
    <t>377e68f6-0e4c-11ee-9f66-506b8dbc8dfb</t>
  </si>
  <si>
    <t>Golden King Tower, 15 Nguyễn Lương Bằng, Tân Phú, Quận 7, Thành phố Hồ Chí Minh</t>
  </si>
  <si>
    <t>11630 - GVap - NVKhoi - Nguyễn Đình Liêm</t>
  </si>
  <si>
    <t>389bb02c-6d0a-11ef-b536-506b8d9879b5</t>
  </si>
  <si>
    <t>78/44/24D Nguyễn Văn Khối, Phường 11, Gò Vấp, Hồ Chí Minh</t>
  </si>
  <si>
    <t>11638 - D1 - RV6 - Nha Khoa Sydney</t>
  </si>
  <si>
    <t>57ea7c5a-29d7-11ee-b28d-506b8d9879b5</t>
  </si>
  <si>
    <t>Nha Khoa Sydney, Căn số, Vinhomes Golden River Sài Gòn, 21 Riverview 6, Ba Son, Quận 1, Thành phố Hồ Chí Minh</t>
  </si>
  <si>
    <t>1dc5cb76-8f86-11f0-8662-506b8d982279</t>
  </si>
  <si>
    <t>132/37Bis Đoàn Văn Bơ, Phường 15, Quận 4, Hồ Chí Minh</t>
  </si>
  <si>
    <t>11680 - HMon - TLan - Huỳnh Hoàng Nam</t>
  </si>
  <si>
    <t>6dcab8fa-ad65-11f0-8c48-506b8d982279</t>
  </si>
  <si>
    <t>58/13 Đường Tiền Lân 15, Bà Điểm, Hóc Môn, Thành phố Hồ Chí Minh</t>
  </si>
  <si>
    <t>7c7323ba-ec19-11ee-9b92-506b8d9879b5</t>
  </si>
  <si>
    <t>11696 - BTan - 1B - BỆNH VIỆN QUỐC TẾ MINH ANH</t>
  </si>
  <si>
    <t>a92567de-1fc1-11ef-a603-506b8d9879b5</t>
  </si>
  <si>
    <t>Minh Anh Hospital, 36 ĐƯỜNG số 1B, Bình Trị Đông B, Bình Tân, Thành phố Hồ Chí Minh</t>
  </si>
  <si>
    <t>230eb4e2-a57d-11ef-a7db-506b8d9879b5</t>
  </si>
  <si>
    <t>Dong Nai General Hospital, 2 Đ. Đồng Khởi, Tam Hoà, Biên Hòa, Đồng Nai</t>
  </si>
  <si>
    <t>f5c156fc-11b7-11ee-a03b-506b8dbc8dfb</t>
  </si>
  <si>
    <t>XRRW+HMH, Đ. Đồng Khởi, Trảng Dài, Biên Hòa, Đồng Nai</t>
  </si>
  <si>
    <t>3999a980-0f35-11ef-b000-506b8d9879b5</t>
  </si>
  <si>
    <t>F3, KP4, phường Trảng Dài, TP Biên Hòa, Đồng Nai</t>
  </si>
  <si>
    <t>11779 - D12 - DTMuoi - BS Lý Hồng Ân</t>
  </si>
  <si>
    <t>616173b8-116f-11ee-88c3-506b8dbc8dfb</t>
  </si>
  <si>
    <t>Trung tâm Y tế Dự phòng Q.12, Tân Chánh Hiệp 21, Hiệp Thành, Quận 12, Thành phố Hồ Chí Minh</t>
  </si>
  <si>
    <t>11810 - DAn - DT743 - Nguyễn Thị Diễm Thuý</t>
  </si>
  <si>
    <t>115aaef6-67dd-11ee-b087-506b8d9879b5</t>
  </si>
  <si>
    <t>11817 - D5 - NTrai - BS Nguyễn Thị Lan</t>
  </si>
  <si>
    <t>7b0538a2-ed77-11ed-bb16-506b8dbc8dfb</t>
  </si>
  <si>
    <t>13 Đ. Nguyễn Trãi, Phường 2, Quận 5, Thành phố Hồ Chí Minh</t>
  </si>
  <si>
    <t>a5492496-164b-11ee-8c10-506b8dbc8dfb</t>
  </si>
  <si>
    <t>Phòng khám nhi LAM HIỀN HÒA, 169/30 Lương Định Của, Khu phố 3, Phường An Khánh Quận 2, Khu phố 3, Thủ Đức, Thành phố Hồ Chí Minh</t>
  </si>
  <si>
    <t>11853 - GVap - PHIch - Tô Mỹ Ái</t>
  </si>
  <si>
    <t>b6f3f55a-f934-11ee-9fe1-506b8d9879b5</t>
  </si>
  <si>
    <t>9/1A Phan Huy Ích, Phường 12, Gò Vấp, Thành phố Hồ Chí Minh</t>
  </si>
  <si>
    <t>d6fca2e0-513f-11ee-8a83-506b8d9879b5</t>
  </si>
  <si>
    <t>42 Đ. Đặng Văn Trơn, Ấp Nhị Hòa, Thành phố Biên Hòa, Đồng Nai</t>
  </si>
  <si>
    <t>11919 - D5 - NTrai - BS Bùi Châu Tuệ</t>
  </si>
  <si>
    <t>6f626616-1629-11ee-8477-506b8dbc8dfb</t>
  </si>
  <si>
    <t>7A Military Hospital, 466 Đ. Nguyễn Trãi, Phường 8, Quận 5, Thành phố Hồ Chí Minh</t>
  </si>
  <si>
    <t>e891cc4c-0cb6-11ee-817a-506b8dbc8dfb</t>
  </si>
  <si>
    <t>11920 - D7 - PHLau - Trần Thị Trúc Phương</t>
  </si>
  <si>
    <t>32b270bc-1cbe-11ee-8142-506b8d9879b5</t>
  </si>
  <si>
    <t>Phòng Khám Sản Phụ Khoa - Bs CK2 Trần Thị Trúc Phương, 285 B Phạm Hữu Lầu, Phú Mỹ, Quận 7, Thành phố Hồ Chí Minh</t>
  </si>
  <si>
    <t>11936 - ThAn - PDGiot - Bác Sĩ Đặng Hoàng Minh</t>
  </si>
  <si>
    <t>5c07bce4-1ff9-11ef-bbfd-506b8d9879b5</t>
  </si>
  <si>
    <t>130 Phan Đình Giót, An Phú, Thuận An, Bình Dương</t>
  </si>
  <si>
    <t>50f77282-2c1f-11ee-8c5e-506b8d9879b5</t>
  </si>
  <si>
    <t>12118 - BTan - KDVuong - Nha Khoa Bảo Việt</t>
  </si>
  <si>
    <t>04a6c80a-6681-11ee-a6b6-506b8d9879b5</t>
  </si>
  <si>
    <t>Nha Khoa Bảo Việt, 512 Đ. Kinh Dương Vương, An Lạc, Bình Tân, Thành phố Hồ Chí Minh</t>
  </si>
  <si>
    <t>5f516146-4491-11ee-b228-506b8d9879b5</t>
  </si>
  <si>
    <t>215 Nguyễn Thị Thập, Tân Phú, Quận 7, Thành phố Hồ Chí Minh</t>
  </si>
  <si>
    <t>12134 - DAn - BAn - Lê Thị Anh Thư</t>
  </si>
  <si>
    <t>29b56ed0-fe11-11ee-894b-506b8d9879b5</t>
  </si>
  <si>
    <t>84/20 Trần Đại Nghĩa khu phố nội 1 phường Bình An, Dĩ An, TX Dĩ An, Bình Dương</t>
  </si>
  <si>
    <t>12134 - DAn - NTKhap - Lê Thị Anh Thư</t>
  </si>
  <si>
    <t>19fcb458-2700-11f0-be05-506b8d982279</t>
  </si>
  <si>
    <t>Nguyễn Thị Khắp, Tân Đông Hiệp, Dĩ An, Bình Dương</t>
  </si>
  <si>
    <t>12134 - DAn - TDNghia - Lê Thị Anh Thư</t>
  </si>
  <si>
    <t>ab2d4830-0415-11ee-8a5f-506b8dbc8dfb</t>
  </si>
  <si>
    <t>168/14, Tổ 14, Khu Dân Cư Đại Quang, Ấp Tân Phú, Phường Tân Bình, Thị Xã Dĩ An, Tân Bình, Dĩ An, Bình Dương</t>
  </si>
  <si>
    <t>96be4de2-665b-11ee-9c74-506b8d9879b5</t>
  </si>
  <si>
    <t>84/18 Trần Đại Nghĩa, Xã Bình Thắng, Dĩ An, Bình Dương</t>
  </si>
  <si>
    <t>12134 - TDuc - LVoi - Lê Thị Anh Thư</t>
  </si>
  <si>
    <t>19a6f086-e0ed-11ee-a4d5-506b8d9879b5</t>
  </si>
  <si>
    <t>6 QL1A, Hiệp Bình Phước, Thủ Đức, Thành phố Hồ Chí Minh</t>
  </si>
  <si>
    <t>12150 - CChi - NVHoai - Trần Minh Chí</t>
  </si>
  <si>
    <t>92c5a468-6b57-11ef-804e-506b8d9879b5</t>
  </si>
  <si>
    <t>Cu Chi Area General Hospital, 9A Nguyễn Văn Hoài, Ấp Bàu Tre 2, Củ Chi, Hồ Chí Minh</t>
  </si>
  <si>
    <t>12162 - D1 - LTTrong - BS Nguyễn Hồng Vân Khánh</t>
  </si>
  <si>
    <t>e7f42298-b5c7-11ee-8da8-506b8d9879b5</t>
  </si>
  <si>
    <t>12162 - GVap - QTrung - BS Nguyễn Hồng Vân Khánh</t>
  </si>
  <si>
    <t>d2d10236-0a6a-11ee-a833-506b8dbc8dfb</t>
  </si>
  <si>
    <t>891 Quang Trung, Phường 14, Gò Vấp, Thành phố Hồ Chí Minh</t>
  </si>
  <si>
    <t>12204 - CChi - NVHoai - Nguyễn Thị Thoả</t>
  </si>
  <si>
    <t>5b9d69a4-58e2-11ee-8661-506b8d9879b5</t>
  </si>
  <si>
    <t>Cu Chi Area General Hospital, XFGG+7RW, Nguyễn Văn Hoài, Tân An Hội, Củ Chi, Thành phố Hồ Chí Minh</t>
  </si>
  <si>
    <t>12215 - D8 - PTHien - Đặng Hùng Sơn</t>
  </si>
  <si>
    <t>59379c2e-5b40-11ee-bac0-506b8d9879b5</t>
  </si>
  <si>
    <t>Trạm Y Tế Phường 7 Quận 8, 2683 Phạm Thế Hiển, Phường 7, Quận 8, Thành phố Hồ Chí Minh</t>
  </si>
  <si>
    <t>20f5f71e-174e-11ef-9485-506b8d9879b5</t>
  </si>
  <si>
    <t>Hospital District 7, 101 Đ. Nguyễn Thị Thập, Tân Phú, Quận 7, Thành phố Hồ Chí Minh</t>
  </si>
  <si>
    <t>12241 - D5 - LTKiet - BS Đỗ Thị Phương Ngoan</t>
  </si>
  <si>
    <t>b93bf2de-8545-11ef-9e85-506b8d9879b5</t>
  </si>
  <si>
    <t>2g Lý Thường Kiệt, Phường 12, Quận 5, Hồ Chí Minh</t>
  </si>
  <si>
    <t>12242 - D4 - BVDon - Bs Sơn Thái Vĩnh</t>
  </si>
  <si>
    <t>31f8ee1a-3902-11ef-9ec6-506b8d9879b5</t>
  </si>
  <si>
    <t>District 4 Hospital, 65 Đ. Bến Vân Đồn, Phường 12, Quận 4, Hồ Chí Minh</t>
  </si>
  <si>
    <t>12255 - CChi - NVHoai - Trần Thị Yến Oanh</t>
  </si>
  <si>
    <t>2d7a339c-4d40-11ef-922b-506b8d9879b5</t>
  </si>
  <si>
    <t>12271 - DAn - DT743 - CN Đỗ Hoàng Nam</t>
  </si>
  <si>
    <t>b62624a0-6f12-11ef-bf0c-506b8d9879b5</t>
  </si>
  <si>
    <t>500 ĐT743B, Tân Đông Hiệp, Dĩ An, Bình Dương</t>
  </si>
  <si>
    <t>12435506-ed6d-11ed-babc-506b8dbc8dfb</t>
  </si>
  <si>
    <t>215 Nguyễn Đức Thuận, Hiệp Thành, Thủ Dầu Một, Bình Dương</t>
  </si>
  <si>
    <t>4db1886c-1589-11ee-8e99-506b8dbc8dfb</t>
  </si>
  <si>
    <t>Nam Can Tho Medical Center, 168 Đường Song Hành, QL1A, Cái Răng, Cần Thơ</t>
  </si>
  <si>
    <t>12278 - D3 - HTCua - Nha Khoa Elite Dental</t>
  </si>
  <si>
    <t>f2bc0e60-1ed3-11ee-b665-506b8d9879b5</t>
  </si>
  <si>
    <t>Elite Dental Group, 75 Huỳnh Tịnh Của, Phường 8, Quận 3, Thành phố Hồ Chí Minh</t>
  </si>
  <si>
    <t>12278 - D3 - TXuong - Nha Khoa Elite Dental</t>
  </si>
  <si>
    <t>e1bd34e0-1ed3-11ee-93e4-506b8d9879b5</t>
  </si>
  <si>
    <t>Elite Dental Group, 51A Tú Xương, Phường 7, Quận 3, Thành phố Hồ Chí Minh</t>
  </si>
  <si>
    <t>7fc74622-970a-11ee-ac7e-506b8d9879b5</t>
  </si>
  <si>
    <t>12310 - D5 - NCThanh - Nguyễn Tường Vy</t>
  </si>
  <si>
    <t>1b599dfc-645f-11ef-bc93-506b8d9879b5</t>
  </si>
  <si>
    <t>Bệnh viện Chợ Rẫy, 201B Đ. Nguyễn Chí Thanh, Phường 12, Quận 5, Hồ Chí Minh</t>
  </si>
  <si>
    <t>12323 - NBe - NHTho - Bs Phan Thị Thu Trang</t>
  </si>
  <si>
    <t>0be658b6-5dbb-11ee-bb08-506b8d9879b5</t>
  </si>
  <si>
    <t>Khu biệt thự Kim Long, PPC2+VQC, Đ. Nguyễn Hữu Thọ, Phước Kiển, Nhà Bè, Thành phố Hồ Chí Minh</t>
  </si>
  <si>
    <t>12325 - TDuc - 10 - Bv Vạn Phúc Thủ Đức</t>
  </si>
  <si>
    <t>0b170c0e-2c51-11ef-a6e0-506b8d9879b5</t>
  </si>
  <si>
    <t>Van Phuc Hospital, 01 Đường 10, Hiệp Bình Phước, Thủ Đức, Thành phố Hồ Chí Minh</t>
  </si>
  <si>
    <t>d87754f8-5dcd-11ef-b0d4-506b8d9879b5</t>
  </si>
  <si>
    <t>f38c1fe0-560c-11ee-b602-506b8d9879b5</t>
  </si>
  <si>
    <t>9 Khu Phố 10, Tân Phong, Vĩnh Cửu, Đồng Nai</t>
  </si>
  <si>
    <t>caada878-adb4-11ee-83c6-506b8d9879b5</t>
  </si>
  <si>
    <t>89/2 Khu Phố 10, Khu Phố 6, Tân Phong, Thành phố Biên Hòa, Đồng Nai</t>
  </si>
  <si>
    <t>54f02904-31ee-11ee-ad30-506b8d9879b5</t>
  </si>
  <si>
    <t>87 Gò Dầu, Tân Quý, Tân Phú, Thành phố Hồ Chí Minh</t>
  </si>
  <si>
    <t>12387 - D7 - LLTuong - Trung Tâm Y Khoa MEDIHOME</t>
  </si>
  <si>
    <t>226f4dee-5c61-11f0-ae4e-506b8d982279</t>
  </si>
  <si>
    <t>Nam Quang 2, 67/7 Lý Long Tường, Khu đô thị Phú Mỹ Hưng, Quận 7, Hồ Chí Minh</t>
  </si>
  <si>
    <t>dfadbd84-49fb-11ee-9adb-506b8d9879b5</t>
  </si>
  <si>
    <t>483740a6-42d8-11f0-9e1e-506b8d982279</t>
  </si>
  <si>
    <t>162 Trần Phú, Phường 9, Quận 5, Hồ Chí Minh</t>
  </si>
  <si>
    <t>12436 - CChi - TL15 - Hoàng Công Điền</t>
  </si>
  <si>
    <t>f73bd350-1ba2-11ee-a534-506b8d9879b5</t>
  </si>
  <si>
    <t>Bác sĩ Điền, 452 Đ. Tỉnh Lộ 15, Tân Thạnh Đông, Củ Chi, Thành phố Hồ Chí Minh</t>
  </si>
  <si>
    <t>12437 - CChi - TL8 - Nguyễn Thị Minh Ngọc</t>
  </si>
  <si>
    <t>b234853c-a300-11ee-8b5e-506b8d9879b5</t>
  </si>
  <si>
    <t>Phòng Khám Đa Khoa Tân Quy, 28/7, Đường tỉnh lộ 8, Ấp 1, Tân Thạnh Tây, Củ Chi, Thành phố Hồ Chí Minh</t>
  </si>
  <si>
    <t>e59aa014-34d8-11ee-86d7-506b8d9879b5</t>
  </si>
  <si>
    <t>1312 TL8, Tân Thạnh Đông, Củ Chi, Thành phố Hồ Chí Minh</t>
  </si>
  <si>
    <t>12466 - CChi - QL22 - Phan Văn Thạnh</t>
  </si>
  <si>
    <t>53df22be-ed78-11ed-b587-506b8dbc8dfb</t>
  </si>
  <si>
    <t>Xuyen A General Hospital, WHG5+96, 42 QL22, ấp Chợ, Củ Chi, Thành phố Hồ Chí Minh</t>
  </si>
  <si>
    <t>12466 - CChi - TL15 - Phan Văn Thạnh</t>
  </si>
  <si>
    <t>cec91fca-05b4-11ef-85ce-506b8d9879b5</t>
  </si>
  <si>
    <t>470 Đ. Tỉnh Lộ 15, Tân Thạnh Đông, Củ Chi, Thành phố Hồ Chí Minh</t>
  </si>
  <si>
    <t>12466 - D12 - TTHiep - Phan Văn Thạnh</t>
  </si>
  <si>
    <t>c1707fc0-3342-11ee-b5e4-506b8d9879b5</t>
  </si>
  <si>
    <t>439/97/2/27 Tân Thới Hiệp 21, Quận 12</t>
  </si>
  <si>
    <t>12466 - D12 - TTNgao - Phan Văn Thạnh</t>
  </si>
  <si>
    <t>72953cca-4d0e-11ee-9649-506b8d9879b5</t>
  </si>
  <si>
    <t>86/1 Tổ 43, Trung Mỹ Tây, Quận 12, Thành phố Hồ Chí Minh</t>
  </si>
  <si>
    <t>69fba796-9237-11f0-8bc1-506b8d982279</t>
  </si>
  <si>
    <t>Tạp Hóa Minh Trung, Tân Thới Nhì, Hóc Môn, Hồ Chí Minh</t>
  </si>
  <si>
    <t>12466 - HMon - TNien - Phan Văn Thạnh</t>
  </si>
  <si>
    <t>1148120a-2c14-11ee-b3a2-506b8d9879b5</t>
  </si>
  <si>
    <t>23 4, Tân Thới Nhì, Hóc Môn, Thành phố Hồ Chí Minh</t>
  </si>
  <si>
    <t>8cdac450-1498-11ee-af35-506b8dbc8dfb</t>
  </si>
  <si>
    <t>249 Lê Hồng Phong, Phú Hoà, Thủ Dầu Một, Bình Dương</t>
  </si>
  <si>
    <t>12488 - TDuc - 3 - Lê Bá Kông</t>
  </si>
  <si>
    <t>283993da-4abf-11ed-aded-506b8dbc8dfb</t>
  </si>
  <si>
    <t>Phòng Khám Bác Sĩ Kông - CLB Dinh Dưỡng, 11 Đường số 3, bình đức, Thủ Đức, Thành phố Hồ Chí Minh</t>
  </si>
  <si>
    <t>12569 - D3 - TQThao - Trần Lương Trọng Hoàng</t>
  </si>
  <si>
    <t>57b11b46-205d-11ee-acf9-506b8d9879b5</t>
  </si>
  <si>
    <t>Bệnh Viện Quận 3, 114 Trần Quốc Thảo, Phường 14, Quận 3, Thành phố Hồ Chí Minh</t>
  </si>
  <si>
    <t>12606 - D5 - NTrai - BS Trần Thuỵ Nhã Phương</t>
  </si>
  <si>
    <t>0a611c82-1744-11ee-be6f-506b8d9879b5</t>
  </si>
  <si>
    <t>557 Đ. Nguyễn Trãi, Phường 7, Quận 5, Thành phố Hồ Chí Minh</t>
  </si>
  <si>
    <t>39e63c4e-010f-11ee-ba33-506b8dbc8dfb</t>
  </si>
  <si>
    <t>Trung tâm Kiểm nghiệm Bình Dương, 209 Yersin, Phú Cường, Thủ Dầu Một, Bình Dương</t>
  </si>
  <si>
    <t>08f83f06-be42-11ee-9557-506b8d9879b5</t>
  </si>
  <si>
    <t>Phòng Khám Y Dược Hồng Phúc, 761 Đ. Nguyễn Ảnh Thủ, Tân Chánh Hiệp, Quận 12, Thành phố Hồ Chí Minh</t>
  </si>
  <si>
    <t>e03f6628-00c3-11f0-9b12-506b8d9879b5</t>
  </si>
  <si>
    <t>Đường Nguyễn Tri Phương, Đ. Nguyễn Tri Phương, Phường 8, Quận 10, Hồ Chí Minh</t>
  </si>
  <si>
    <t>12669 - D8 - HPhu - BS Huỳnh Thị Như Ý (Tiêu hoá)</t>
  </si>
  <si>
    <t>dd3edefe-a6ab-11ee-9671-506b8d9879b5</t>
  </si>
  <si>
    <t>655 Hưng Phú, Phường 9, Quận 8, Thành phố Hồ Chí Minh</t>
  </si>
  <si>
    <t>12672 - BTan - 46A - BS Đỗ Phát Đại</t>
  </si>
  <si>
    <t>217a543c-9cab-11ee-b2b0-506b8d9879b5</t>
  </si>
  <si>
    <t>46 Đường số 46A, Tân Tạo, Bình Tân, Thành phố Hồ Chí Minh</t>
  </si>
  <si>
    <t>12697 - TBinh - VChung - BS Minh</t>
  </si>
  <si>
    <t>1771efbe-8cb3-11f0-bd77-506b8d982279</t>
  </si>
  <si>
    <t>14 Văn Chung, Phường 13, Tân Bình, Hồ Chí Minh</t>
  </si>
  <si>
    <t>1a5c8214-0ebb-11f0-91cd-506b8d982279</t>
  </si>
  <si>
    <t>Phòng Khám Đa Khoa Ái Nghĩa, C4-C5, Đ. Đồng Khởi, Tân Hiệp, Biên Hòa, Đồng Nai</t>
  </si>
  <si>
    <t>12709  - D1 - LTTrong - CN2- Chăm sóc sức khỏe Maple quận 2 - Credit</t>
  </si>
  <si>
    <t>8541c35e-0dfe-11f0-94d8-506b8d982279</t>
  </si>
  <si>
    <t>Westcoast International Dental Clinic (Norfolk Mansion), 17-19-21, Lý Tự Trọng, Bến Nghé, Quận 1, Hồ Chí Minh</t>
  </si>
  <si>
    <t>482c0390-1976-11ee-81e2-506b8d9879b5</t>
  </si>
  <si>
    <t>Phòng Khám Maple Healthcare (Thảo Điền), 19 Dang Huu Pho, Thao Dien Ward, City, Thảo Điền, Thủ Đức, Thành phố Hồ Chí Minh</t>
  </si>
  <si>
    <t>12715 - BTan - KDVuong - Bs Trần Lê Mộng Diễm</t>
  </si>
  <si>
    <t>797af464-dba5-11ee-846f-506b8d9879b5</t>
  </si>
  <si>
    <t>BỆNH VIỆN TRIỀU AN TP HCM, 425 Đ. Kinh Dương Vương, An Lạc, Bình Tân, Thành phố Hồ Chí Minh</t>
  </si>
  <si>
    <t>ee64f962-8c06-11ee-aaa7-506b8d9879b5</t>
  </si>
  <si>
    <t>Phòng Khám Sản Phụ Khoa BS TRẦN LÊ MỘNG DIỄM, 57/27/32, Tô Hiệu, Hiệp Tân, Tân Phú, Thành phố Hồ Chí Minh</t>
  </si>
  <si>
    <t>12747 - D6 - BPhu - Nha Khoa Nova</t>
  </si>
  <si>
    <t>ce97d49e-bc38-11ee-95d7-506b8d9879b5</t>
  </si>
  <si>
    <t>231 Bình Phú, Phường 11, Quận 6, Thành phố Hồ Chí Minh</t>
  </si>
  <si>
    <t>723f537c-5f6f-11ef-9b17-506b8d9879b5</t>
  </si>
  <si>
    <t>Hospital District 7, 101 Đ. Nguyễn Thị Thập, Tân Phú, Quận 7, Hồ Chí Minh</t>
  </si>
  <si>
    <t>12769 - D9 - 225A - Trung Tâm Xét Nghiệm Y Khoa VINLAB</t>
  </si>
  <si>
    <t>d3ea851c-5149-11ef-95d5-506b8d9879b5</t>
  </si>
  <si>
    <t>27-29 đường 225A, Long Thạnh Mỹ, Quận 9, Hồ Chí Minh</t>
  </si>
  <si>
    <t>12769 - D9 - 4 - Trung Tâm Xét Nghiệm Y Khoa VINLAB</t>
  </si>
  <si>
    <t>0eedafc2-80e9-11ee-8a45-506b8d9879b5</t>
  </si>
  <si>
    <t>34 Đường Số 4, Trường Thạnh, Quận 9, Thành phố Hồ Chí Minh</t>
  </si>
  <si>
    <t>12769 - ThAn - DLBDuong - Trung Tâm Xét Nghiệm Y Khoa VINLAB</t>
  </si>
  <si>
    <t>444810be-1008-11ef-94f8-506b8d9879b5</t>
  </si>
  <si>
    <t>Lotte Mart Binh Duong, Khu đô thị The Seasons, Đại lộ Bình Dương, Lái Thiêu, Thuận An, Bình Dương</t>
  </si>
  <si>
    <t>2183272e-9331-11ef-8509-506b8d9879b5</t>
  </si>
  <si>
    <t>1 Phan Văn Đáng, Phường Thạnh Mỹ Lợi, Quận 2, Hồ Chí Minh</t>
  </si>
  <si>
    <t>12781 - D9 - DXHop - BS Lại Lê Hưng</t>
  </si>
  <si>
    <t>55907358-718d-11ee-9990-506b8d9879b5</t>
  </si>
  <si>
    <t>423 Đỗ Xuân Hợp, Phước Long B, Quận 9, Thành phố Hồ Chí Minh</t>
  </si>
  <si>
    <t>12791 - D7 - HTPhat - BS Nguyễn Thị Ngọc Oanh</t>
  </si>
  <si>
    <t>b09915dc-7cce-11ef-8726-506b8d9879b5</t>
  </si>
  <si>
    <t>Hẻm 391, 391, Tân Thuận Đông, Quận 7, Hồ Chí Minh</t>
  </si>
  <si>
    <t>3537446e-15a4-11ee-bf00-506b8dbc8dfb</t>
  </si>
  <si>
    <t>11a Đinh Bộ Lĩnh, Phường 24, Bình Thạnh, Thành phố Hồ Chí Minh</t>
  </si>
  <si>
    <t>12841 - CChi - TL15 - Nguyễn Tâm Niệm</t>
  </si>
  <si>
    <t>09d836e8-1234-11ee-9d8e-506b8dbc8dfb</t>
  </si>
  <si>
    <t>284 Đ. Tỉnh Lộ 15, Tân Thạnh Đông, Củ Chi, Thành phố Hồ Chí Minh</t>
  </si>
  <si>
    <t>0122420a-e8ed-11ef-8d33-506b8d9879b5</t>
  </si>
  <si>
    <t>128 Nguyễn Cửu Đàm, Tân Sơn Nhì, Tân Phú, Ho Chi Minh City, Vietnam</t>
  </si>
  <si>
    <t>12856 - D5 - NGTu - Bs Trần Văn Sóng</t>
  </si>
  <si>
    <t>92954c72-dba7-11ee-9341-506b8d9879b5</t>
  </si>
  <si>
    <t>500 Ng Gia Tự, Phường 9, Quận 5, Thành phố Hồ Chí Minh</t>
  </si>
  <si>
    <t>12880 - D12 - DHThuan10 - Phạm Hùng</t>
  </si>
  <si>
    <t>bd7a3e90-63f5-11ee-95ad-506b8d9879b5</t>
  </si>
  <si>
    <t>113 Đông Hưng Thuận 10, Khu Phố 3, Quận 12, Thành phố Hồ Chí Minh</t>
  </si>
  <si>
    <t>d62b7cf6-155d-11ee-9d43-506b8dbc8dfb</t>
  </si>
  <si>
    <t>ECHO MEDI - Healthcare Evolved, 46 Nguyễn Thị Định, An Phú, Quận 2, Thành phố Hồ Chí Minh</t>
  </si>
  <si>
    <t>12896 - HMon - NAThu - Bùi Trần Nam</t>
  </si>
  <si>
    <t>9a4fdf82-804d-11ee-bf0e-506b8d9879b5</t>
  </si>
  <si>
    <t>1 Đ. Nguyễn Ảnh Thủ, Bà Điểm, Hóc Môn, Thành phố Hồ Chí Minh</t>
  </si>
  <si>
    <t>12689eae-9747-11ee-b1f9-506b8d9879b5</t>
  </si>
  <si>
    <t>61 Bùi Xuân Phái, Tây Thạnh, Tân Phú, Thành phố Hồ Chí Minh</t>
  </si>
  <si>
    <t>12928 - D12 - TCHiep - Nguyễn Thị Trúc Chi</t>
  </si>
  <si>
    <t>68d1c12a-a7ba-11ee-be00-506b8d9879b5</t>
  </si>
  <si>
    <t>Hẻm 43, Tân Chánh Hiệp, Quận 12, Thành phố Hồ Chí Minh</t>
  </si>
  <si>
    <t>12943 - TBinh - BHai - BS Lê Thị Hương Giang</t>
  </si>
  <si>
    <t>5eb63e66-74be-11ee-b54f-506b8d9879b5</t>
  </si>
  <si>
    <t>76 Đ. Bắc Hải, Phường 15, Tân Bình, Thành phố Hồ Chí Minh</t>
  </si>
  <si>
    <t>d0004080-2ac6-11ef-af6a-506b8d9879b5</t>
  </si>
  <si>
    <t>551 Trần Quang Diệu, An Thới, Bình Thủy, Cần Thơ</t>
  </si>
  <si>
    <t>Bình Thủy</t>
  </si>
  <si>
    <t>13011 - HMon - XTDong 2 - Ngô Tấn Phước</t>
  </si>
  <si>
    <t>8d91010a-66fc-11ee-a264-506b8d9879b5</t>
  </si>
  <si>
    <t>47/5 Ấp Xuân Thới Đông 2, Xuân Thới Đông, Hóc Môn, Thành phố Hồ Chí Minh</t>
  </si>
  <si>
    <t>13125 - D5 - NCThanh - BS. LĂNG THỊ HỮU HIỆP</t>
  </si>
  <si>
    <t>6ba04288-eaa7-11ef-8b13-506b8d9879b5</t>
  </si>
  <si>
    <t>143 Đ. Nguyễn Chí Thanh, Phường 9, Quận 5, Hồ Chí Minh</t>
  </si>
  <si>
    <t>13308 - D10 - BHat - BS. Đoàn Công Minh</t>
  </si>
  <si>
    <t>55e50de6-5761-11ee-9163-506b8d9879b5</t>
  </si>
  <si>
    <t>383/6b/76 Đ. Nhật Tảo, Phường 4, Quận 10, Thành phố Hồ Chí Minh</t>
  </si>
  <si>
    <t>13399 - BThanh - TKXuong - BS. LÊ BẢO CHÂU</t>
  </si>
  <si>
    <t>614a3e30-9961-11ee-84e5-506b8d9879b5</t>
  </si>
  <si>
    <t>6 Trần Kế Xương, Phường 3, Bình Thạnh, Thành phố Hồ Chí Minh</t>
  </si>
  <si>
    <t>13472 - D10 - BLong - Phòng khám chuyên khoa dinh dưỡng NRI</t>
  </si>
  <si>
    <t>10411f24-c3f7-11ef-a2d0-506b8d9879b5</t>
  </si>
  <si>
    <t>PHÒNG KHÁM CHUYÊN KHOA DINH DƯỠNG NRI, J4 Bửu Long, Phường 15, Quận 10, Hồ Chí Minh</t>
  </si>
  <si>
    <t>13496 - CChi - NVHoai - Lê Văn Hùng</t>
  </si>
  <si>
    <t>0aaded9e-d055-11ee-a769-506b8d9879b5</t>
  </si>
  <si>
    <t>13753 -  D5 - PVTri - BS. THẠCH VĂN TOÀN</t>
  </si>
  <si>
    <t>1e02732a-5e15-11f0-ba95-506b8d982279</t>
  </si>
  <si>
    <t>30 Phan Văn Trị, Phường 2, Quận 5, Hồ Chí Minh</t>
  </si>
  <si>
    <t>13754 - D5 - TBHo - PK NGUYỄN THẾ ANH</t>
  </si>
  <si>
    <t>427144bc-0ae5-11f0-9186-506b8d982279</t>
  </si>
  <si>
    <t>20 Đ. Tăng Bạt Hổ, Phường 12, Quận 5, Hồ Chí Minh</t>
  </si>
  <si>
    <t>13819 - D3 - NKKNghia - BS. HUỲNH KHIÊM HUY</t>
  </si>
  <si>
    <t>8b0c2252-fd74-11ee-a191-506b8d9879b5</t>
  </si>
  <si>
    <t>39 Trần Quang Diệu, Phường 13, Quận 3, Thành phố Hồ Chí Minh</t>
  </si>
  <si>
    <t>776b9818-5953-11f0-a360-506b8d982279</t>
  </si>
  <si>
    <t>22 Số 21, Phường 8, Gò Vấp, Hồ Chí Minh 760000</t>
  </si>
  <si>
    <t>14159 - HMon - NAThu - BS. HUỲNH CÔNG CHÁNH</t>
  </si>
  <si>
    <t>1ee77be8-8d95-11ee-887d-506b8d9879b5</t>
  </si>
  <si>
    <t>19 Đ. Nguyễn Ảnh Thủ, Bà Điểm, Hóc Môn, Thành phố Hồ Chí Minh</t>
  </si>
  <si>
    <t>43db0062-1e38-11ef-b952-506b8d9879b5</t>
  </si>
  <si>
    <t>RUCO International Clinic, 11-11A, Đ. Sương Nguyệt Anh, Phường Phạm Ngũ Lão, Quận 1, Thành phố Hồ Chí Minh</t>
  </si>
  <si>
    <t>243a81ea-4f44-11f0-88b2-506b8d982279</t>
  </si>
  <si>
    <t>16 Đ. Đinh Tiên Hoàng, Đa Kao, Quận 1, Hồ Chí Minh</t>
  </si>
  <si>
    <t>863fb28a-fec3-11ed-a6fe-506b8dbc8dfb</t>
  </si>
  <si>
    <t>ĐT743, An Phú, Thuận An, Bình Dương</t>
  </si>
  <si>
    <t>12829 - D9 - 3 - Trần Thị Thanh Sương</t>
  </si>
  <si>
    <t>7c28f5e0-1e17-11ee-bebd-506b8d9879b5</t>
  </si>
  <si>
    <t>90 Đường số 3, Phước Bình, Quận 9, Thành phố Hồ Chí Minh</t>
  </si>
  <si>
    <t>14413 - TDuc - 25 - BS. NAY MAI SƯƠNG</t>
  </si>
  <si>
    <t>ff438b0a-b6cf-11ef-8738-506b8d9879b5</t>
  </si>
  <si>
    <t>PHÒNG KHÁM DA LIỄU BS. NAY MAI SƯƠNG, 19A1 Đ. Số 25, Hiệp Bình Chánh, Thủ Đức, Hồ Chí Minh</t>
  </si>
  <si>
    <t>14598 - D8 - PTHien - BS. NGUYỄN THỊ NỚP</t>
  </si>
  <si>
    <t>19a079f0-439e-11ee-b910-506b8d9879b5</t>
  </si>
  <si>
    <t>Nguyễn Thị Nớp, 3545 Phạm Thế Hiển, Phường 7, Quận 8, Thành phố Hồ Chí Minh</t>
  </si>
  <si>
    <t>14644 - TBinh - ACo - BS Bùi Thanh Vân</t>
  </si>
  <si>
    <t>bc205434-2a21-11ee-a1c7-506b8d9879b5</t>
  </si>
  <si>
    <t>3b/18 Đ. Âu Cơ, Phường 14, Tân Bình, Thành phố Hồ Chí Minh</t>
  </si>
  <si>
    <t>14644 - TBinh - LTKiet - BS Bùi Thanh Vân</t>
  </si>
  <si>
    <t>f1d787a4-008c-11ef-9ac6-506b8d9879b5</t>
  </si>
  <si>
    <t>359425d8-19e6-11f0-a03a-506b8d982279</t>
  </si>
  <si>
    <t>6F Đ. Bùi Minh Trực, Phường 5, Quận 8, Hồ Chí Minh</t>
  </si>
  <si>
    <t>14987 - D4 - HDieu - BS. NGA</t>
  </si>
  <si>
    <t>2a607712-318e-11ee-a119-506b8d9879b5</t>
  </si>
  <si>
    <t>Napu Store - Thời Trang Thể Thao, 28N Đ. Hoàng Diệu, Phường 6, Quận 4, Thành phố Hồ Chí Minh</t>
  </si>
  <si>
    <t>e92ad1f8-0112-11ee-80ef-506b8dbc8dfb</t>
  </si>
  <si>
    <t>15051 - VTau - LLoi - Phan Thị Thảo</t>
  </si>
  <si>
    <t>f7d2a888-742a-11f0-9f2d-506b8d982279</t>
  </si>
  <si>
    <t>40 Lê Lợi, Phường 4, Vũng Tàu, Bà Rịa - Vũng Tàu</t>
  </si>
  <si>
    <t>81a847dc-cb8f-11f0-803a-506b8d982279</t>
  </si>
  <si>
    <t>361 Đ. Nguyễn Thị Thập, Tân Phong, Quận 7, Thành phố Hồ Chí Minh</t>
  </si>
  <si>
    <t>15064 - TAn - NDChieu - Võ Công Luận</t>
  </si>
  <si>
    <t>da0bf140-e8be-11ee-875f-506b8d9879b5</t>
  </si>
  <si>
    <t>74 Nguyễn Đình Chiểu, Phường 1, Tân An, Long An</t>
  </si>
  <si>
    <t>15067 - TAn - NTCan - Đào Kim Ngân</t>
  </si>
  <si>
    <t>852576aa-f729-11ee-b442-506b8d9879b5</t>
  </si>
  <si>
    <t>Phòng khám Sản Phụ khoa BS CK1 Đào Kim Ngân</t>
  </si>
  <si>
    <t>7c6eff46-9ee0-11ee-b1fd-506b8d9879b5</t>
  </si>
  <si>
    <t>Bệnh viện Đa khoa Gia Định, 425 Nơ Trang Long, Phường 13, Bình Thạnh, Thành phố Hồ Chí Minh</t>
  </si>
  <si>
    <t>15112 - TAn - NTTruc - BS. THANH VÂN</t>
  </si>
  <si>
    <t>35e47ab2-7580-11ee-b80d-506b8d9879b5</t>
  </si>
  <si>
    <t>38 Nguyễn Trung Trực, Phường 2, Tân An, Long An</t>
  </si>
  <si>
    <t>15162 - TAn - 1A - BS. TRƯƠNG THANH PHƯƠNG</t>
  </si>
  <si>
    <t>34c7b568-0bd6-11ee-ae99-506b8dbc8dfb</t>
  </si>
  <si>
    <t>15232 - TAn - NTCan - Bs Nguyễn Thị Túy Nga</t>
  </si>
  <si>
    <t>a6ac5426-82ef-11f0-afbc-506b8d982279</t>
  </si>
  <si>
    <t>5 Nguyễn Thanh Cần, Phường 2, Tân An, Long An</t>
  </si>
  <si>
    <t>15285 - TAn - TDinh - Bs Võ Đoàn Đức</t>
  </si>
  <si>
    <t>82274256-2606-11ef-bed3-506b8d9879b5</t>
  </si>
  <si>
    <t>47 Trương Định, Phường 1, Tân An, Long An</t>
  </si>
  <si>
    <t>7b081f0c-442b-11ef-9ff8-506b8d9879b5</t>
  </si>
  <si>
    <t>Nha khoa SAINT PAUL, 474 Đ. Lê Văn Sỹ, Phường 14, Quận 3, Hồ Chí Minh</t>
  </si>
  <si>
    <t>15302 - TBang - HThuan - BS Nguyễn Phúc Thiện</t>
  </si>
  <si>
    <t>d12dbab6-d177-11ef-b5f4-506b8d9879b5</t>
  </si>
  <si>
    <t>Tổ 1 ấp lộc thuận xã, Hưng Thuận, Trảng Bàng, Tây Ninh</t>
  </si>
  <si>
    <t>Hưng Thuận</t>
  </si>
  <si>
    <t>15302 - TDuc - 1K - BS Nguyễn Phúc Thiện</t>
  </si>
  <si>
    <t>2c2da1e2-02e2-11f0-9ac2-506b8d9879b5</t>
  </si>
  <si>
    <t>Bệnh viện Đa khoa Quốc tế Hoàn Mỹ Thủ Đức, 241 Quốc lộ 1K, Linh Xuân, Thủ Đức, Hồ Chí Minh</t>
  </si>
  <si>
    <t>0ff3fbda-0aa9-11ee-948b-506b8dbc8dfb</t>
  </si>
  <si>
    <t>209 Hồ Văn Cống, Tương Bình Hiệp, Thủ Dầu Một, Bình Dương</t>
  </si>
  <si>
    <t>15380 - ThAn - NVTiet - Trương Hoài Ân</t>
  </si>
  <si>
    <t>9259d2f6-2a99-11ee-b7b3-506b8d9879b5</t>
  </si>
  <si>
    <t>15383 - BRia - NTDang - Nguyễn Thị Hay</t>
  </si>
  <si>
    <t>d9fb46c4-6aec-11ee-a6ed-506b8d9879b5</t>
  </si>
  <si>
    <t>208 Nguyễn Thanh Đằng, Phước Hiệp, Bà Rịa, Bà Rịa - Vũng Tàu</t>
  </si>
  <si>
    <t>15385 - TDuc - LVChi - Vũ Văn Thoại</t>
  </si>
  <si>
    <t>4057d84e-e795-11ef-838c-506b8d9879b5</t>
  </si>
  <si>
    <t>15413 - GVap - NOanh - Nha khoa Việt Pháp</t>
  </si>
  <si>
    <t>0988d166-55a3-11f0-8155-506b8d982279</t>
  </si>
  <si>
    <t>75 Nguyễn Oanh, Phường 10, Gò Vấp, Hồ Chí Minh</t>
  </si>
  <si>
    <t>15414 - PNhuan - THLieu - PHÒNG KHÁM CHUYÊN KHOA THẨM MỸ DR. NGUYÊN GIÁP</t>
  </si>
  <si>
    <t>45cbec2e-97e2-11ee-8149-506b8d9879b5</t>
  </si>
  <si>
    <t>Phòng Khám Thẩm Mỹ Dr Nguyên Giáp, 54 Trần Huy Liệu, Phường 11, Phú Nhuận, Thành phố Hồ Chí Minh</t>
  </si>
  <si>
    <t>085d5048-26a0-11ee-a5a4-506b8d9879b5</t>
  </si>
  <si>
    <t>924 Lê Hồng Phong, Phú Thọ, Thủ Dầu Một, Bình Dương</t>
  </si>
  <si>
    <t>8fca3d12-fec7-11ed-aba6-506b8dbc8dfb</t>
  </si>
  <si>
    <t>564 Đại lộ Bình Dương, Hiệp Thành, Thủ Dầu Một, Bình Dương</t>
  </si>
  <si>
    <t>ae88c2bc-48b5-11ef-94b2-506b8d9879b5</t>
  </si>
  <si>
    <t>Bệnh viện 512 Bình dương, 5 Phạm Ngọc Thạch, Hiệp Thành, Thủ Dầu Một, Bình Dương</t>
  </si>
  <si>
    <t>7566c8b0-f731-11ee-b3f8-506b8d9879b5</t>
  </si>
  <si>
    <t>298 Huỳnh Văn Lũy, Phú Lợi, Thủ Dầu Một, Bình Dương</t>
  </si>
  <si>
    <t>ee4e8802-05bf-11ef-9a97-506b8d9879b5</t>
  </si>
  <si>
    <t>b2434be2-f195-11ee-8d01-506b8d9879b5</t>
  </si>
  <si>
    <t>Tân Hòa, Thành phố Biên Hòa, Dong Nai</t>
  </si>
  <si>
    <t>Hố Nai</t>
  </si>
  <si>
    <t>9e0e7402-492b-11ee-8dd8-506b8d9879b5</t>
  </si>
  <si>
    <t>Binh Duong Obstetrics and Gynecology Hospital, 455 Đ. Cách Mạng Tháng 8, Phú Cường, Thủ Dầu Một, Bình Dương</t>
  </si>
  <si>
    <t>bbf1a054-67ce-11ee-91d9-506b8d9879b5</t>
  </si>
  <si>
    <t>1268 Đại lộ Bình Dương, Định Hoà, Thủ Dầu Một, Bình Dương</t>
  </si>
  <si>
    <t>15509 - D7 - HPhuoc - Phòng khám Nhi Dkid</t>
  </si>
  <si>
    <t>9eb38c46-261f-11ee-aad9-506b8d9879b5</t>
  </si>
  <si>
    <t>Phòng Khám Nhi D'kids, 24 Nội khu Hưng Phước 1, Tân Phong, Quận 7, Thành phố Hồ Chí Minh</t>
  </si>
  <si>
    <t>15519 - D1 - NTTruc - BS Thẩm Mỹ Cương</t>
  </si>
  <si>
    <t>9d4be9b6-8209-11ee-b736-506b8d9879b5</t>
  </si>
  <si>
    <t>39A Đ. Nguyễn Trung Trực, Phường Bến Thành, Quận 1, Thành phố Hồ Chí Minh</t>
  </si>
  <si>
    <t>026f0d4c-512f-11ef-aa70-506b8d9879b5</t>
  </si>
  <si>
    <t>Xe Khách Petro Bình Phước (VP Hồ Chí Minh), 86 Đ. An Dương Vương, Phường 9, Quận 5, Hồ Chí Minh</t>
  </si>
  <si>
    <t>15526 - D5 - HVuong - Bs Hoàng Huy Nam</t>
  </si>
  <si>
    <t>6eee83c0-310b-11ee-b4c2-506b8d9879b5</t>
  </si>
  <si>
    <t>100 Đ. Hùng Vương, Phường 9, Quận 5, Thành phố Hồ Chí Minh</t>
  </si>
  <si>
    <t>15526 - D5 - VVKiet - Bs Hoàng Huy Nam</t>
  </si>
  <si>
    <t>81a49592-6b47-11ee-95ea-506b8d9879b5</t>
  </si>
  <si>
    <t>1056 Đ. Võ Văn Kiệt, Phường 6, Quận 5, Thành phố Hồ Chí Minh</t>
  </si>
  <si>
    <t>15526 - TDuc - KVCan - Bs Hoàng Huy Nam</t>
  </si>
  <si>
    <t>c2d3e802-243b-11f0-9a3f-506b8d982279</t>
  </si>
  <si>
    <t>96 Đ. Kha Vạn Cân, Hiệp Bình Chánh, Thủ Đức, Hồ Chí Minh</t>
  </si>
  <si>
    <t>7e2d9ace-9ee3-11ee-8906-506b8d9879b5</t>
  </si>
  <si>
    <t>921482ac-08b9-11ee-b7ca-506b8dbc8dfb</t>
  </si>
  <si>
    <t>86 Phan Đình Phùng, Lái Thiêu, Thuận An, Bình Dương</t>
  </si>
  <si>
    <t>7c4334e8-73d7-11ef-9c0b-506b8d9879b5</t>
  </si>
  <si>
    <t>3b012e74-90aa-11ee-8f6f-506b8d9879b5</t>
  </si>
  <si>
    <t>Phòng khám tai mũi họng Th.BS CK2. Trọng Chất( BV Y Dược), 762 Đ. Phú Lợi, Phú Hoà, Thủ Dầu Một, Bình Dương</t>
  </si>
  <si>
    <t>15873 - ThAn - BH24 - Hồ Thị Phương Thảo</t>
  </si>
  <si>
    <t>12bb439c-3391-11f0-9ddb-506b8d982279</t>
  </si>
  <si>
    <t>11 Đường Bình Hòa 24, Binh Hoà, Thuận An, Bình Dương</t>
  </si>
  <si>
    <t>15928 - BCat - TC1 - Bệnh Viện Đa Khoa Phương Nam</t>
  </si>
  <si>
    <t>6b9e373e-43ed-11ee-b60a-506b8d9879b5</t>
  </si>
  <si>
    <t>Bệnh Viện Đa Khoa Phương Nam, 18 TC1, Khu phố 6, Bến Cát, Bình Dương</t>
  </si>
  <si>
    <t>15931 - BCat - XC2 - PK Sản Phụ Khoa Hiếm Muộn Bs Nguyễn Huy</t>
  </si>
  <si>
    <t>3a083f24-8544-11ee-b505-506b8d9879b5</t>
  </si>
  <si>
    <t>PHÒNG KHÁM PHỤ SẢN BS CKI NGUYỄN HUY - SIÊU ÂM 5D, 38 Đ. XC2, KP2, Bến Cát, Bình Dương</t>
  </si>
  <si>
    <t>156618d8-4879-11ee-a0e0-506b8d9879b5</t>
  </si>
  <si>
    <t>441 Nguyễn Thị Thập, Phường 6, Thành phố Mỹ Tho, Tiền Giang</t>
  </si>
  <si>
    <t>15974 - CChi - TL7 - BS. Đặng Thị Nhắc</t>
  </si>
  <si>
    <t>267b62ba-29c3-11ee-ac1b-506b8d9879b5</t>
  </si>
  <si>
    <t>311 Tỉnh lộ 7, Trung Lập Thượng, Củ Chi, Thành phố Hồ Chí Minh</t>
  </si>
  <si>
    <t>Thái Mỹ</t>
  </si>
  <si>
    <t>15976 - D7 - 3 - PK Hoa Sen</t>
  </si>
  <si>
    <t>d0a10d06-8c3f-11ee-adc7-506b8d9879b5</t>
  </si>
  <si>
    <t>Lotus Clinic Ob-Gyn-Phòng khám chuyên Sản Phụ Khoa Hoa Sen Quận 7, 36 Đ. Số 3, KDC Him Lam, Quận 7, Hồ Chí Minh</t>
  </si>
  <si>
    <t>16004 - TBinh - NTTuyen - BS Lê Thị Thanh Hà</t>
  </si>
  <si>
    <t>640abcd2-487e-11ee-9266-506b8d9879b5</t>
  </si>
  <si>
    <t>357 Nguyễn Trọng Tuyển, Phường 1, Tân Bình, Thành phố Hồ Chí Minh</t>
  </si>
  <si>
    <t>16022 - D10 - LTKiet - Nguyễn Thị Phương Linh</t>
  </si>
  <si>
    <t>6778f1bc-4293-11ef-9259-506b8d9879b5</t>
  </si>
  <si>
    <t>18 Lý Thường Kiệt, Phường 7, Quận 10, Hồ Chí Minh</t>
  </si>
  <si>
    <t>16022 - D10 - NQuyen - Nguyễn Thị Phương Linh</t>
  </si>
  <si>
    <t>bdc68eec-1bea-11ee-8ab5-506b8d9879b5</t>
  </si>
  <si>
    <t>148 Đ. Ngô Quyền, Phường 5, Quận 10, Thành phố Hồ Chí Minh</t>
  </si>
  <si>
    <t>16022 - D3 - CMT8 - Nguyễn Thị Phương Linh</t>
  </si>
  <si>
    <t>9351d8a0-27c5-11ef-a0cd-506b8d9879b5</t>
  </si>
  <si>
    <t>369 Đ. Cách Mạng Tháng 8, Phường 4, Quận 3, Thành phố Hồ Chí Minh</t>
  </si>
  <si>
    <t>16022 - D3 - CThang - Nguyễn Thị Phương Linh</t>
  </si>
  <si>
    <t>4adf3734-0164-11ef-a473-506b8d9879b5</t>
  </si>
  <si>
    <t>69D Đ. Cao Thắng, Phường 3, Quận 3, Thành phố Hồ Chí Minh</t>
  </si>
  <si>
    <t>16022 - D5 - NCThanh - Nguyễn Thị Phương Linh</t>
  </si>
  <si>
    <t>b75c3efe-3417-11ee-a1c7-506b8d9879b5</t>
  </si>
  <si>
    <t>16022 - D5 - TDa - Nguyễn Thị Phương Linh</t>
  </si>
  <si>
    <t>37d271a6-646a-11ef-aa62-506b8d9879b5</t>
  </si>
  <si>
    <t>22 Đ. Tản Đà, Phường 10, Quận 5, Hồ Chí Minh</t>
  </si>
  <si>
    <t>16022 - TBinh - LTKiet - Nguyễn Thị Phương Linh</t>
  </si>
  <si>
    <t>40d7c66e-f8c4-11ee-a4c2-506b8d9879b5</t>
  </si>
  <si>
    <t>410 Lý Thường Kiệt, Phường 7, Tân Bình, Thành phố Hồ Chí Minh</t>
  </si>
  <si>
    <t>16022 - TBinh - TCDinh - Nguyễn Thị Phương Linh</t>
  </si>
  <si>
    <t>240e00d4-31eb-11ee-a66f-506b8d9879b5</t>
  </si>
  <si>
    <t>62/1 Trương Công Định, Phường 14, Tân Bình, Thành phố Hồ Chí Minh</t>
  </si>
  <si>
    <t>88aab068-7abc-11ee-bf4b-506b8d9879b5</t>
  </si>
  <si>
    <t>158 Phan Anh, Tân Thới Hoà, Tân Phú, Hồ Chí Minh</t>
  </si>
  <si>
    <t>16035 - D12 - DBac - Vũ Văn Thích</t>
  </si>
  <si>
    <t>91aac1ae-1a08-11ee-950b-506b8d9879b5</t>
  </si>
  <si>
    <t>82a Đông Bắc, Tân Hưng Thuận, Quận 12, Thành phố Hồ Chí Minh</t>
  </si>
  <si>
    <t>a2f4ec9c-1561-11ee-a153-506b8dbc8dfb</t>
  </si>
  <si>
    <t>05 Phạm Ngọc Thạch, Hiệp Thành, Thủ Dầu Một, Bình Dương</t>
  </si>
  <si>
    <t>660575e4-ebf9-11ee-83f4-506b8d9879b5</t>
  </si>
  <si>
    <t>122 Lê Văn Lương, Phước Kiển, Nhà Bè, Thành phố Hồ Chí Minh</t>
  </si>
  <si>
    <t>1af85000-6cc2-11ee-a53a-506b8d9879b5</t>
  </si>
  <si>
    <t>Phạm Ngọc Thạch, Hiệp Thành, Tp. Thủ Dầu Một, Bình Dương</t>
  </si>
  <si>
    <t>e2124b02-2cec-11ee-b541-506b8d9879b5</t>
  </si>
  <si>
    <t>396B Đ. Cách Mạng Tháng 8, Phường 10, Quận 3, Thành phố Hồ Chí Minh</t>
  </si>
  <si>
    <t>16113 - D8 - CLo - Bs Nguyễn Thị Ánh Huyền</t>
  </si>
  <si>
    <t>7be6eade-c98c-11ef-937e-506b8d9879b5</t>
  </si>
  <si>
    <t>ec89062a-5dd4-11ee-a44b-506b8d9879b5</t>
  </si>
  <si>
    <t>Anh Duc Hospital, Số 12 Thủ Khoa Huân, Phường 1, Mỹ Tho, Tiền Giang</t>
  </si>
  <si>
    <t>97d16b52-0110-11ee-b15c-506b8dbc8dfb</t>
  </si>
  <si>
    <t>PKĐK An Phú Long, 523 ĐT743, Phú Lợi, Thủ Dầu Một, Bình Dương</t>
  </si>
  <si>
    <t>16142 - BChanh - NHTri - NHA KHOA NHÂN HOÀ</t>
  </si>
  <si>
    <t>07fad764-9e1a-11ee-95ee-506b8d9879b5</t>
  </si>
  <si>
    <t>431 Nguyễn Hữu Trí, TT. Tân Túc, Bình Chánh, Thành phố Hồ Chí Minh</t>
  </si>
  <si>
    <t>16142 - GVap - PVTri - NHA KHOA NHÂN HOÀ</t>
  </si>
  <si>
    <t>d3a47aac-198e-11ee-bc80-506b8d9879b5</t>
  </si>
  <si>
    <t>NHA KHOA QUỐC TẾ NHÂN HÒA 7, 672a22 Đ. Phan Văn Trị, Phường 10, Gò Vấp, Thành phố Hồ Chí Minh</t>
  </si>
  <si>
    <t>16142 - HMon - LTHa - NHA KHOA NHÂN HOÀ</t>
  </si>
  <si>
    <t>85c375da-17b9-11ee-8cc9-506b8d9879b5</t>
  </si>
  <si>
    <t>45/1A Lê Thị Hà, Tân Xuân, Hóc Môn, Thành phố Hồ Chí Minh</t>
  </si>
  <si>
    <t>97b2a6a2-795c-11ef-ba0d-506b8d9879b5</t>
  </si>
  <si>
    <t>Nha Khoa Quốc Tế, Bình Hòa, Thuận An, Binh Duong</t>
  </si>
  <si>
    <t>816c5ca4-466c-11ee-b7bb-506b8d9879b5</t>
  </si>
  <si>
    <t>Nha Khoa quốc tế nhân hoà, 382A Bình Long, Phú Thọ Hoà, Tân Phú, Thành phố Hồ Chí Minh</t>
  </si>
  <si>
    <t>13041bc8-ed73-11ed-b9c2-506b8dbc8dfb</t>
  </si>
  <si>
    <t>68 Đ. Nguyễn Văn Cừ, An Hoà, Ninh Kiều, Cần Thơ</t>
  </si>
  <si>
    <t>Cái Khế</t>
  </si>
  <si>
    <t>16180 - BCat - QL13 - Nguyễn Quốc Thái Sản Khoa</t>
  </si>
  <si>
    <t>98ee4dce-fecd-11ed-8044-506b8dbc8dfb</t>
  </si>
  <si>
    <t>480 QL13, khu phố 3, Bến Cát, Bình Dương</t>
  </si>
  <si>
    <t>f4fbe052-4088-11ee-a498-506b8d9879b5</t>
  </si>
  <si>
    <t>d53b00de-6a38-11ee-98e0-506b8d9879b5</t>
  </si>
  <si>
    <t>Binh Duong Hospital, XMW4+MHR, Định Hoà, Thủ Dầu Một, Bình Dương</t>
  </si>
  <si>
    <t>16191 - GVap - TNhat - Nguyễn Thị Thương</t>
  </si>
  <si>
    <t>09c648d0-1ed1-11ee-9da8-506b8d9879b5</t>
  </si>
  <si>
    <t>Trạm Y Tế Phường 16 Quận Gò Vấp, 125 Hẻm 440 Thống Nhất, Phường 16, Gò Vấp, Thành phố Hồ Chí Minh</t>
  </si>
  <si>
    <t>16192 - D7 - 5 - Nikkori Dental Clinic Nha khoa</t>
  </si>
  <si>
    <t>e520f93c-36e6-11f0-bafa-506b8d982279</t>
  </si>
  <si>
    <t>Nikkori Dental Clinic, 52 Đ. số 5, Tân Hưng, Quận 7, Hồ Chí Minh</t>
  </si>
  <si>
    <t>67aba92e-586d-11ee-95a5-506b8d9879b5</t>
  </si>
  <si>
    <t>53B Trần Bình Trọng, Phường 5, Bình Thạnh, Thành phố Hồ Chí Minh</t>
  </si>
  <si>
    <t>16204 - D1 - LTTrong - Nha Khoa Bờ Biển Tây</t>
  </si>
  <si>
    <t>636e2fd6-4c21-11f0-8ee5-506b8d982279</t>
  </si>
  <si>
    <t>17 Lý Tự Trọng, Bến Nghé, Quận 1, Hồ Chí Minh</t>
  </si>
  <si>
    <t>16223 - D8 - TQBuu - Bs Đào Thị Thanh An</t>
  </si>
  <si>
    <t>f269c95c-6e74-11ee-a14c-506b8d9879b5</t>
  </si>
  <si>
    <t>930 Đ. Tạ Quang Bửu, Phường 5, Quận 8, Thành phố Hồ Chí Minh</t>
  </si>
  <si>
    <t>16394 - NKieu - NVCu - Phòng xét nghiệm Medicare Cần Thơ</t>
  </si>
  <si>
    <t>0f853f72-56cc-11ef-88d8-506b8d9879b5</t>
  </si>
  <si>
    <t>Công Ty Cổ Phần Phòng Khám Medicare Cần Thơ, 408 Đ. Nguyễn Văn Cừ, An Bình, Ninh Kiều, Cần Thơ</t>
  </si>
  <si>
    <t>16411 - D9 - LVViet - Nguyễn Thị Diệu Linh</t>
  </si>
  <si>
    <t>c8cce6a0-a222-11ef-b61e-506b8d9879b5</t>
  </si>
  <si>
    <t>50 Lê Văn Việt, Hiệp Phú, Quận 9, Hồ Chí Minh</t>
  </si>
  <si>
    <t>16417 - D3 - TQThao - Đào Thiện Phúc</t>
  </si>
  <si>
    <t>e8ed9570-416f-11ee-b817-506b8d9879b5</t>
  </si>
  <si>
    <t>16420 - D7 - 12 - BS Lê Đình Phương</t>
  </si>
  <si>
    <t>1c1de824-6c1c-11ee-a737-506b8d9879b5</t>
  </si>
  <si>
    <t>Hotel de Paris, 4 Đường 12, Tân Phú, Quận 7, Thành phố Hồ Chí Minh</t>
  </si>
  <si>
    <t>16430 - D12 - TQCo - PK Thiên Phúc</t>
  </si>
  <si>
    <t>8b5f5c00-43f7-11ef-ac6a-506b8d9879b5</t>
  </si>
  <si>
    <t>Trần Quang Cơ, Hiệp Thành, Quận 12, Hồ Chí Minh</t>
  </si>
  <si>
    <t>16455 - BTan - TL10 - Bs Hoàng Thị Phương Dung</t>
  </si>
  <si>
    <t>8de43aa8-b437-11ef-878d-506b8d9879b5</t>
  </si>
  <si>
    <t>1635 TL10, Tân Tạo A, Bình Tân, Hồ Chí Minh</t>
  </si>
  <si>
    <t>16455 - GVap - PVChieu - Bs Hoàng Thị Phương Dung</t>
  </si>
  <si>
    <t>79995224-b2fa-11ef-93d1-506b8d9879b5</t>
  </si>
  <si>
    <t>172 Phạm Văn Chiêu, phường 8, Gò Vấp, TPHCM</t>
  </si>
  <si>
    <t>9eda254c-1d71-11ee-b55a-506b8d9879b5</t>
  </si>
  <si>
    <t>NHA KHOA 3C, Lầu 1, A35 Đ. Cống Quỳnh, Phường Nguyễn Cư Trinh, Quận 1, Thành phố Hồ Chí Minh</t>
  </si>
  <si>
    <t>f6c35df8-0b49-11ee-b660-506b8dbc8dfb</t>
  </si>
  <si>
    <t>7 Hưng Phước 4, Tân Phong, Quận 7, Thành phố Hồ Chí Minh</t>
  </si>
  <si>
    <t>16461 - ThAn - NA7 - BS Hải Huyền</t>
  </si>
  <si>
    <t>2c3dfe90-f927-11ee-a702-506b8d9879b5</t>
  </si>
  <si>
    <t>Đường NA7, Làng chuyên gia Oasis, Thuận An, Bình Dương</t>
  </si>
  <si>
    <t>16470 - D12 - C34 - Xét nghiệm y Khoa LIFE LAB</t>
  </si>
  <si>
    <t>879284a6-08e5-11ee-bd80-506b8dbc8dfb</t>
  </si>
  <si>
    <t>Xét nghiệm Y khoa LIFE LAB, C34, Khu Phố 1, Khu Biệt Thự, Thạnh Xuân, Quận 12, Thành phố Hồ Chí Minh</t>
  </si>
  <si>
    <t>16471 - GVap - QTrung - BS Lê Diễm Linh</t>
  </si>
  <si>
    <t>05ec8f30-8514-11ef-9880-506b8d9879b5</t>
  </si>
  <si>
    <t>PHÒNG KHÁM NHI KIDDO 891 QUANG TRUNG GÒ VẤP, 891 Đ. Quang Trung, Phường 14, Gò Vấp, Hồ Chí Minh</t>
  </si>
  <si>
    <t>e74a32bc-838d-11ef-9bf0-506b8d9879b5</t>
  </si>
  <si>
    <t>16475 - ThAn - DLBDuong - Phòng khám Đa Khoa Đại Lộ Bình Dương</t>
  </si>
  <si>
    <t>ff489562-a33e-11f0-a3a3-506b8d982279</t>
  </si>
  <si>
    <t>54 Đại lộ Bình Dương, Lái Thiêu, Thuận An, Bình Dương</t>
  </si>
  <si>
    <t>16476 - GVap - QTrung - Nguyễn Hoàng Khanh</t>
  </si>
  <si>
    <t>5fd6c6b4-11a1-11ef-aac9-506b8d9879b5</t>
  </si>
  <si>
    <t>70dd05b8-1977-11ee-95d0-506b8d9879b5</t>
  </si>
  <si>
    <t>1/46 Hòa Lân 2, Thuận Giao, Thuận An, Bình Dương</t>
  </si>
  <si>
    <t>4e6db408-85b7-11ee-8c15-506b8d9879b5</t>
  </si>
  <si>
    <t>2 Đ. Man Thiện, Hiệp Phú, Quận 9, Thành phố Hồ Chí Minh</t>
  </si>
  <si>
    <t>7137d374-94d4-11ef-bdaf-506b8d9879b5</t>
  </si>
  <si>
    <t>NHA KHOA ASIA - CN LINH XUÂN THỦ ĐỨC, 87 Quốc lộ 1K, Linh Xuân, Thủ Đức, Hồ Chí Minh</t>
  </si>
  <si>
    <t>17cc53dc-ed78-11ed-967c-506b8dbc8dfb</t>
  </si>
  <si>
    <t>22D/2 Thống Nhất, Tân Thành, Tân Phú, Thành phố Hồ Chí Minh</t>
  </si>
  <si>
    <t>16512 - BThanh - DBPhu - Trung Tâm Y Tế Tân Cảng</t>
  </si>
  <si>
    <t>1c79177e-1ec6-11ee-8e4e-506b8d9879b5</t>
  </si>
  <si>
    <t>Tổng công ty Tân Cảng Sài Gòn, 722 Đ. Điện Biên Phủ, Phường 22, Bình Thạnh, Thành phố Hồ Chí Minh</t>
  </si>
  <si>
    <t>e172d860-08d9-11ee-84c9-506b8dbc8dfb</t>
  </si>
  <si>
    <t>Phòng Khám Đa Khoa Tân Cảng, 1295B Nguyễn Thị Định, Cát Lái, Quận 2, Thành phố Hồ Chí Minh</t>
  </si>
  <si>
    <t>16542 - GVap - NKiem - Bs Nguyễn Thị Dung</t>
  </si>
  <si>
    <t>b2aaa36a-15b0-11f0-b6f7-506b8d982279</t>
  </si>
  <si>
    <t>175 Military Hospital, 786 Nguyễn Kiệm, Phường 3, Gò Vấp, Hồ Chí Minh</t>
  </si>
  <si>
    <t>16560 - TBinh - HVThu - BS Vũ Hoàng Trí</t>
  </si>
  <si>
    <t>1e46051e-68ed-11ee-9149-506b8d9879b5</t>
  </si>
  <si>
    <t>381/50 Hoàng Văn Thụ, Phường 2, Tân Bình, Thành phố Hồ Chí Minh</t>
  </si>
  <si>
    <t>16567 - TDuc - 5 - Dương Cường</t>
  </si>
  <si>
    <t>08ecc80c-f163-11ee-a9cb-506b8d9879b5</t>
  </si>
  <si>
    <t>30 Đ. Số 5, Linh Xuân, Thủ Đức, Thành phố Hồ Chí Minh</t>
  </si>
  <si>
    <t>16572 - D9 - LVViet - BS Toàn</t>
  </si>
  <si>
    <t>5315016a-3e66-11ef-9883-506b8d9879b5</t>
  </si>
  <si>
    <t>16572 - DAn - 5 - BS Toàn</t>
  </si>
  <si>
    <t>0330b676-4aff-11ef-aa1b-506b8d9879b5</t>
  </si>
  <si>
    <t>36 Đường số 5, An Bình, Dĩ An, Bình Dương</t>
  </si>
  <si>
    <t>16572 - DAn - KPBDuong - BS Toàn</t>
  </si>
  <si>
    <t>fa0e1b26-3607-11ef-ad8d-506b8d9879b5</t>
  </si>
  <si>
    <t>36 Bình Đường 4, An Bình, Dĩ An, Bình Dương</t>
  </si>
  <si>
    <t>616a6542-55bf-11ee-8279-506b8d9879b5</t>
  </si>
  <si>
    <t>31 Đường số 5, An Bình, Dĩ An, Bình Dương</t>
  </si>
  <si>
    <t>16576 - DAn - CDa - Bs Dương Cường</t>
  </si>
  <si>
    <t>e9697e9e-9889-11ee-aa1e-506b8d9879b5</t>
  </si>
  <si>
    <t>183 Cây Da, Tân Bình, Dĩ An, Bình Dương</t>
  </si>
  <si>
    <t>16587 - TDuc - GDua - Phòng Khám Quỳnh Hưng</t>
  </si>
  <si>
    <t>51eed1f4-1882-11ee-ab6d-506b8d9879b5</t>
  </si>
  <si>
    <t>120 Đ. Gò Dưa, Tam Binh, Thủ Đức, Thành phố Hồ Chí Minh</t>
  </si>
  <si>
    <t>16622 - GVap - QTrung - Vũ Hoàng Minh Vũ</t>
  </si>
  <si>
    <t>8e7815fa-a15b-11ef-af32-506b8d9879b5</t>
  </si>
  <si>
    <t>641 Đ. Quang Trung, Phường 11, Gò Vấp, Hồ Chí Minh</t>
  </si>
  <si>
    <t>3cad63da-385f-11ee-a050-506b8d9879b5</t>
  </si>
  <si>
    <t>Phòng khám siêu âm Sản Phụ Khoa Phượng Hoa, 255c Nguyễn Trãi, Lái Thiêu, Thuận An, Bình Dương</t>
  </si>
  <si>
    <t>aebc13a0-0113-11ee-b1c8-506b8dbc8dfb</t>
  </si>
  <si>
    <t>219 Yersin, Phú Cường, Thủ Dầu Một, Bình Dương</t>
  </si>
  <si>
    <t>16643 - D5 - NCThanh - BS Phạm Thị Triều Quyên</t>
  </si>
  <si>
    <t>3b8b8086-911e-11ef-bd1b-506b8d9879b5</t>
  </si>
  <si>
    <t>Cho Ray Hospital, 201B Đ. Nguyễn Chí Thanh, Phường 12, Quận 5, Hồ Chí Minh</t>
  </si>
  <si>
    <t>16653 - D7 - PTNam - Bs Hồ An Toàn</t>
  </si>
  <si>
    <t>2c30604e-9518-11f0-ab11-506b8d982279</t>
  </si>
  <si>
    <t>9 Phố Tiểu Nam, Tân Phú, Quận 7, Hồ Chí Minh</t>
  </si>
  <si>
    <t>16658 - D3 - DBPhu - Hồ An Toàn</t>
  </si>
  <si>
    <t>2949edfe-2de1-11ef-aa09-506b8d9879b5</t>
  </si>
  <si>
    <t>611/64 Đ. Điện Biên Phủ, Phường 1, Quận 3, Hồ Chí Minh</t>
  </si>
  <si>
    <t>37e43e94-c9eb-11f0-a5a0-506b8d982279</t>
  </si>
  <si>
    <t>18A/5I khu phố Binh Đáng , Binh Hoà, Thuận An, Bình Dương</t>
  </si>
  <si>
    <t>fd67f1ba-b985-11ee-a109-506b8d9879b5</t>
  </si>
  <si>
    <t>Phòng Khám - Bs Diệu Vân, WP33+M37, Đông Nhì, Lái Thiêu, Thuận An, Bình Dương</t>
  </si>
  <si>
    <t>16676 - NBe - HTPhat - BS Lê Minh Trí</t>
  </si>
  <si>
    <t>d8cc4c0c-249d-11ee-b1b0-506b8d9879b5</t>
  </si>
  <si>
    <t>1806 Huỳnh Tấn Phát, TT. Nhà Bè, Nhà Bè, Thành phố Hồ Chí Minh</t>
  </si>
  <si>
    <t>16693 - D12 - NAThu - Nguyễn Công Hảo</t>
  </si>
  <si>
    <t>f1627a04-209f-11ee-ab97-506b8d9879b5</t>
  </si>
  <si>
    <t>45, 4 Đ. Nguyễn Ảnh Thủ, Hiệp Thành, Quận 12, Thành phố Hồ Chí Minh</t>
  </si>
  <si>
    <t>16693 - HMon - NAThu - Nguyễn Công Hảo</t>
  </si>
  <si>
    <t>9c50bbba-2cfd-11ee-8a72-506b8d9879b5</t>
  </si>
  <si>
    <t>6c Đ. Nguyễn Ảnh Thủ, Trung Mỹ Tây, Quận 12, Thành phố Hồ Chí Minh</t>
  </si>
  <si>
    <t>17483 - D10 - BHat - Phòng khám Phương Nghi</t>
  </si>
  <si>
    <t>3485f62c-a0ef-11f0-8073-506b8d982279</t>
  </si>
  <si>
    <t>340 Bà Hạt, Phường 9, Quận 10</t>
  </si>
  <si>
    <t>b14bc54a-842e-11ee-a982-506b8d9879b5</t>
  </si>
  <si>
    <t>16701 - TDuc - TNVan - Nguyễn Phi Vân Cương</t>
  </si>
  <si>
    <t>8dd7540e-32b6-11ee-92cb-506b8d9879b5</t>
  </si>
  <si>
    <t>429 Tô Ngọc Vân, Tam Phú, Thủ Đức, Thành phố Hồ Chí Minh</t>
  </si>
  <si>
    <t>16721 - ThAn - APhu - BS Phạm Văn Phú</t>
  </si>
  <si>
    <t>08447f10-e81d-11ef-a594-506b8d9879b5</t>
  </si>
  <si>
    <t>An Phú, Thuận An, Thuan An, Binh Duong</t>
  </si>
  <si>
    <t>16721 - ThAn - NVTiet - BS Phạm Văn Phú</t>
  </si>
  <si>
    <t>b9d56f52-d7a5-11ee-aa6a-506b8d9879b5</t>
  </si>
  <si>
    <t>16722 - GVap - NOanh - Nguyễn Hoàng Huân</t>
  </si>
  <si>
    <t>7439f22e-ed6d-11ed-a7fd-506b8dbc8dfb</t>
  </si>
  <si>
    <t>16777 - D5 - TBTrong - PK TS.BS Bùi Thị Phương Nga</t>
  </si>
  <si>
    <t>2e1f166c-3123-11ee-9f5b-506b8d9879b5</t>
  </si>
  <si>
    <t>70 Đ. Trần Bình Trọng, Phường 1, Quận 5, Thành phố Hồ Chí Minh</t>
  </si>
  <si>
    <t>16786 - D5 - NCThanh - BS Nguyễn Thành An</t>
  </si>
  <si>
    <t>16c5705c-d93d-11ee-90c0-506b8d9879b5</t>
  </si>
  <si>
    <t>16801 - D5 - HBang - ThS. Phạm Nguyễn Hữu Phúc</t>
  </si>
  <si>
    <t>b5703396-9959-11ee-8ccd-506b8d9879b5</t>
  </si>
  <si>
    <t>30.01A126 Đ. Hùng Vương, Khu phố 1, Quận 5, Thành phố Hồ Chí Minh</t>
  </si>
  <si>
    <t>edc27936-30e8-11ee-b1e8-506b8d9879b5</t>
  </si>
  <si>
    <t>Phòng khám Nhi - Bệnh viện Hùng Vương, 255 Đ. Hồng Bàng, Phường 11, Quận 5, Thành phố Hồ Chí Minh</t>
  </si>
  <si>
    <t>78efbf60-a6c7-11ee-9b33-506b8d9879b5</t>
  </si>
  <si>
    <t>45 D9, Thống Nhất, Thành phố Biên Hòa, Đồng Nai</t>
  </si>
  <si>
    <t>280c8a50-4735-11f0-ad45-506b8d982279</t>
  </si>
  <si>
    <t>101 Đ. Nguyễn Thị Thập, Tân Phú, Quận 7, Hồ Chí Minh</t>
  </si>
  <si>
    <t>16881 - BThanh - TTKim - PK Dr Care Implant Clinic</t>
  </si>
  <si>
    <t>e447ff24-1aeb-11ee-a476-506b8d9879b5</t>
  </si>
  <si>
    <t>Dr. Care - Implant Clinic: Trồng răng Implant không đau, P3-0, SH08, Tòa nhà Park 3, Khu đô thị/208 Nguyễn Hữu Cảnh, Vinhomes Tân Cảng, Bình Thạnh, Thành phố Hồ Chí Minh</t>
  </si>
  <si>
    <t>16882 - D5 - ADVuong - Hồ Thế Công</t>
  </si>
  <si>
    <t>e055a9e2-a650-11ef-8647-506b8d9879b5</t>
  </si>
  <si>
    <t>83 Đ. An Dương Vương, Phường 8, Quận 5, Hồ Chí Minh</t>
  </si>
  <si>
    <t>16938 - BThanh - BLoi - BS Trương Hoàng Anh Thư</t>
  </si>
  <si>
    <t>65a707c8-9e57-11ef-912b-506b8d9879b5</t>
  </si>
  <si>
    <t>256 Bình Lợi, Phường 13, Bình Thạnh, Hồ Chí Minh</t>
  </si>
  <si>
    <t>16954 - D10 - SVHanh - Nguyễn Bích Y Linh</t>
  </si>
  <si>
    <t>f79b4c98-2149-11ee-b0d5-506b8d9879b5</t>
  </si>
  <si>
    <t>16956 - D7 - 1 - Phòng Khám Sản Phụ Khoa - Siêu Âm Ngân Anh</t>
  </si>
  <si>
    <t>0c4e1cce-08d6-11ee-869e-506b8dbc8dfb</t>
  </si>
  <si>
    <t>Phòng Khám Sản Phụ Khoa Ngân Anh, PPP8+Q3R, 1 Đ. Số 1, Tân Phú, Quận 7, Thành phố Hồ Chí Minh</t>
  </si>
  <si>
    <t>16998 - TDuc - LVChi - BS. Lê Duy Khương</t>
  </si>
  <si>
    <t>5398d044-9352-11ef-a1e9-506b8d9879b5</t>
  </si>
  <si>
    <t>17004 - TAn - DXHoi - Bs Dương Thị Kim Khuyến</t>
  </si>
  <si>
    <t>44811fd6-d77c-11ee-9b10-506b8d9879b5</t>
  </si>
  <si>
    <t>Dương Xuân Hội, Châu Thành District, Long An</t>
  </si>
  <si>
    <t>An Lục Long</t>
  </si>
  <si>
    <t>e51d7fba-0dbb-11ee-9759-506b8dbc8dfb</t>
  </si>
  <si>
    <t>7 Hà Huy Tập, Tân Phong, Quận 7, Thành phố Hồ Chí Minh</t>
  </si>
  <si>
    <t>17026 - D3 - LCThang - Thẩm mỹ Thái An</t>
  </si>
  <si>
    <t>ff1231e2-2123-11ee-848a-506b8d9879b5</t>
  </si>
  <si>
    <t>THẨM MỸ VIỆN THÁI AN, 191 Lý Chính Thắng, Võ Thị Sáu, Quận 3, Thành phố Hồ Chí Minh</t>
  </si>
  <si>
    <t>17031 - CChi - QL22 - Phòng Khám Nhi Đồng Doctor Baby</t>
  </si>
  <si>
    <t>0144fb2a-34fb-11ef-91f4-506b8d9879b5</t>
  </si>
  <si>
    <t>Xuyen A General Hospital, 42 QL22, ấp Chợ, Củ Chi, Hồ Chí Minh</t>
  </si>
  <si>
    <t>17031 - D12 - NAThu - Phòng Khám Nhi Đồng Doctor Baby</t>
  </si>
  <si>
    <t>6066fd98-216e-11ee-aa81-506b8d9879b5</t>
  </si>
  <si>
    <t>Phòng Khám Nhi Đồng Phong Vân, 1038 Đ. Nguyễn Ảnh Thủ, Tân Chánh Hiệp, Quận 12, Thành phố Hồ Chí Minh</t>
  </si>
  <si>
    <t>17031 - DAn - GS1 - Phòng Khám Nhi Đồng Doctor Baby</t>
  </si>
  <si>
    <t>42766de6-05d4-11ef-a80e-506b8d9879b5</t>
  </si>
  <si>
    <t>115 Đường GS1, Đông Hoà, Dĩ An, Thành phố Hồ Chí Minh</t>
  </si>
  <si>
    <t>17031 - ThAn - 22/12 - Phòng Khám Nhi Đồng Doctor Baby</t>
  </si>
  <si>
    <t>ff8df5b4-1171-11ee-b790-506b8dbc8dfb</t>
  </si>
  <si>
    <t>22/12 1/183 Road, Thuận Giao, Thuận An, Bình Dương</t>
  </si>
  <si>
    <t>17044 - D10 - TThai - Bs Anh Duy</t>
  </si>
  <si>
    <t>e2de4e56-8c31-11ee-bb58-506b8d9879b5</t>
  </si>
  <si>
    <t>17045 - BTan - TLan - Lê Công Thái</t>
  </si>
  <si>
    <t>7634cd12-501f-11f0-a41a-506b8d982279</t>
  </si>
  <si>
    <t>50 Đ. Tây Lân, Bình Trị Đông A, Bình Tân, Hồ Chí Minh</t>
  </si>
  <si>
    <t>653308f6-803e-11ee-8092-506b8d9879b5</t>
  </si>
  <si>
    <t>Phòng khám đa khoa MEDIGO, 296 Đ. Trần Não, Khu phố 2, Thủ Đức, Thành phố Hồ Chí Minh</t>
  </si>
  <si>
    <t>17047 - D5 - NCThanh - PK Medigo</t>
  </si>
  <si>
    <t>2d5ede4c-10cb-11ee-8145-506b8dbc8dfb</t>
  </si>
  <si>
    <t>207 Đ. Nguyễn Chí Thanh, Phường 12, Quận 5, Thành phố Hồ Chí Minh</t>
  </si>
  <si>
    <t>17048 - D1 - NVThu - Phòng khám ST. Paul</t>
  </si>
  <si>
    <t>eb9cab5e-34cb-11ee-a9d6-506b8d9879b5</t>
  </si>
  <si>
    <t>215 Đ. Nguyễn Văn Thủ, Đa Kao, Quận 1, Thành phố Hồ Chí Minh</t>
  </si>
  <si>
    <t>0813b2f8-af1b-11ef-a1c6-506b8d9879b5</t>
  </si>
  <si>
    <t>126 Đường số 47, P Bình Tân, Hồ Chí Minh</t>
  </si>
  <si>
    <t>b4655b48-4188-11ef-9349-506b8d9879b5</t>
  </si>
  <si>
    <t>114 Đ. 51, An Phú, Quận 2, Hồ Chí Minh</t>
  </si>
  <si>
    <t>17092 - D5 - HBang - BS Nguyễn Bảo Linh</t>
  </si>
  <si>
    <t>0891075a-0db1-11ef-9782-506b8d9879b5</t>
  </si>
  <si>
    <t>Pham Ngoc Thach Hospital, 120 Đ. Hồng Bàng, Phường 12, Quận 5, Thành phố Hồ Chí Minh</t>
  </si>
  <si>
    <t>17101 - D7 - TVTra - PK Asan</t>
  </si>
  <si>
    <t>f27a66f6-09be-11ee-8a17-506b8dbc8dfb</t>
  </si>
  <si>
    <t>Asan Hồng Phúc Medical (아산병원), 220 Đ. Trần Văn Trà, Panorama D, Quận 7, Thành phố Hồ Chí Minh</t>
  </si>
  <si>
    <t>0b4579c2-06be-11ee-8510-506b8dbc8dfb</t>
  </si>
  <si>
    <t>522a Lê Trọng Tấn, Tây Thạnh, Tân Phú, Thành phố Hồ Chí Minh</t>
  </si>
  <si>
    <t>17113 - D4 - BVDon - BS Vương Đình Tuyển</t>
  </si>
  <si>
    <t>b3fb5a3a-f3c3-11ee-a480-506b8d9879b5</t>
  </si>
  <si>
    <t>Bệnh viện quận 4, 65 Đ. Bến Vân Đồn, Phường 12, Quận 4, Thành phố Hồ Chí Minh</t>
  </si>
  <si>
    <t>27f15d46-5a6c-11ee-b0f8-506b8d9879b5</t>
  </si>
  <si>
    <t>Nha Khoa Quốc Tế BIK - Nha khoa Uy Tín Thủ Đức, 707 Đ. Kha Vạn Cân, Thành phố, Thủ Đức, Thành phố Hồ Chí Minh</t>
  </si>
  <si>
    <t>17157 - BTan - PTChu - Phạm Thị Ngọc Dung</t>
  </si>
  <si>
    <t>9688f252-3049-11ee-b943-506b8d9879b5</t>
  </si>
  <si>
    <t>76/2/20/13 Phùng Tá Chu, An Lạc A, Bình Tân, Thành phố Hồ Chí Minh</t>
  </si>
  <si>
    <t>17157 - BTan - TLan - Phạm Thị Ngọc Dung</t>
  </si>
  <si>
    <t>241618c2-d8fe-11ee-b71b-506b8d9879b5</t>
  </si>
  <si>
    <t>50 Đ. Tây Lân, Bình Trị Đông A, Bình Tân, Thành phố Hồ Chí Minh</t>
  </si>
  <si>
    <t>e3a57076-1d4b-11ee-a7b2-506b8d9879b5</t>
  </si>
  <si>
    <t>447 Lê Trọng Tấn, Sơn Kỳ, Tân Phú, Thành phố Hồ Chí Minh</t>
  </si>
  <si>
    <t>17158 - D5 - HBang - Dương Công Bằng</t>
  </si>
  <si>
    <t>61990658-a322-11ee-803f-506b8d9879b5</t>
  </si>
  <si>
    <t>186 Đ. Hồng Bàng, Phường 12, Quận 5, Thành phố Hồ Chí Minh</t>
  </si>
  <si>
    <t>17172 - TAn - CTKim - PXN An Bình</t>
  </si>
  <si>
    <t>a7b6599e-51c7-11ee-b51d-506b8d9879b5</t>
  </si>
  <si>
    <t>396 Châu Thị Kim, Phường 7, Tân An, Long An</t>
  </si>
  <si>
    <t>17181 - D3 - HXHuong - Bs. Lê Hữu Hoàng Hải</t>
  </si>
  <si>
    <t>ddd2ca46-2c45-11ee-a2cf-506b8d9879b5</t>
  </si>
  <si>
    <t>8 Hồ Xuân Hương, Phường 6, Quận 3, Thành phố Hồ Chí Minh</t>
  </si>
  <si>
    <t>17199 - GVap - NVCong - Võ Kim Chi</t>
  </si>
  <si>
    <t>83d5bc3e-f642-11ee-a773-506b8d9879b5</t>
  </si>
  <si>
    <t>465 Nguyễn Văn Công, Phường 3, Gò Vấp, Thành phố Hồ Chí Minh</t>
  </si>
  <si>
    <t>17243 - TDuc - HVTu - BS. Phạm Xuân Hùng</t>
  </si>
  <si>
    <t>368c85e4-2b9e-11ee-bfba-506b8d9879b5</t>
  </si>
  <si>
    <t>78 Đ. Hồ Văn Tư, Trường Thọ, Thủ Đức, Thành phố Hồ Chí Minh</t>
  </si>
  <si>
    <t>bb0ccbc0-0fe8-11ee-8d50-506b8dbc8dfb</t>
  </si>
  <si>
    <t>Nha Khoa Oasis - Oasis Dental Clinic, Sunrise Riverside, Block B, B01.15, Phước Kiển, Nhà Bè, Thành phố Hồ Chí Minh</t>
  </si>
  <si>
    <t>98b082dc-47e8-11ee-acd0-506b8d9879b5</t>
  </si>
  <si>
    <t>5a Đường Lê Thị Hoa, Bình Chiểu, Thủ Đức, Thành phố Hồ Chí Minh</t>
  </si>
  <si>
    <t>17265 - DAn - 2 - Phan Xuân Minh Thịnh</t>
  </si>
  <si>
    <t>3b48b1a2-22d9-11ee-8ae3-506b8d9879b5</t>
  </si>
  <si>
    <t>8, 8 Đường số 2, Dĩ An, Bình Dương</t>
  </si>
  <si>
    <t>17271 - TDuc - QL13 - BS Ngô Minh Hưng</t>
  </si>
  <si>
    <t>1f8098fc-1b63-11f0-8357-506b8d982279</t>
  </si>
  <si>
    <t>Phòng khám Sản Phụ khoa Minh Anh, 460 QL13, Hiệp Bình Phước, Thủ Đức, Hồ Chí Minh</t>
  </si>
  <si>
    <t>be5efcd8-17f6-11ee-8aad-506b8d9879b5</t>
  </si>
  <si>
    <t>XVRC+CWX, Tổ 5, khu phố 3, Tp. Biên Hòa, Đồng Nai</t>
  </si>
  <si>
    <t>17309 - D9 - 205 - Đoàn Trọng Nghĩa</t>
  </si>
  <si>
    <t>ff24a5e6-7530-11ee-9a60-506b8d9879b5</t>
  </si>
  <si>
    <t>47 Đường 205, Khu Phố 3, Quận 9, Thành phố Hồ Chí Minh</t>
  </si>
  <si>
    <t>17343 - D10 - SVHanh - Phan Thị Thanh Hà</t>
  </si>
  <si>
    <t>b8614502-4320-11ee-9f64-506b8d9879b5</t>
  </si>
  <si>
    <t>e899e64e-31f8-11ef-870d-506b8d9879b5</t>
  </si>
  <si>
    <t>962 Phan Văn Khải, Tân An Hội, Hồ Chí Minh</t>
  </si>
  <si>
    <t>9dffee66-579d-11ee-b74c-506b8d9879b5</t>
  </si>
  <si>
    <t>6 Đ. Đặng Thúc Vịnh, Đông Thạnh, Hóc Môn, Thành phố Hồ Chí Minh</t>
  </si>
  <si>
    <t>17372 - TDuc - LVChi - Nguyễn Thị Hoàng Yến</t>
  </si>
  <si>
    <t>6e77376c-fe27-11ef-8a14-506b8d9879b5</t>
  </si>
  <si>
    <t>17393 - D12 - DN5 - Nhà có cục cưng</t>
  </si>
  <si>
    <t>40d844fa-e59a-11ee-8724-506b8d9879b5</t>
  </si>
  <si>
    <t>33 DN5, Đông Hưng Thuận, Quận 12, Thành phố Hồ Chí Minh</t>
  </si>
  <si>
    <t>17393 - GVap - QTrung - Nhà Có Cục Cưng</t>
  </si>
  <si>
    <t>3f78e9d2-1883-11ee-8658-506b8d9879b5</t>
  </si>
  <si>
    <t>Phòng khám Nhi Đồng Nhà Có Cục Cưng, 1188 Quang Trung, Phường 8, Gò Vấp, Thành phố Hồ Chí Minh</t>
  </si>
  <si>
    <t>17398 - D1 - TDXu - Lê Thị Hồng Nhung</t>
  </si>
  <si>
    <t>b2c1bb90-2b5b-11ee-8a1f-506b8d9879b5</t>
  </si>
  <si>
    <t>Phòng Khám Chuyên Khoa Tâm Gia An, 122B Trần Đình Xu, Phường Nguyễn Cư Trinh, Quận 1, Thành phố Hồ Chí Minh</t>
  </si>
  <si>
    <t>17411 - D7 - 10 - BS Cao Phúc</t>
  </si>
  <si>
    <t>c3083fcc-0d85-11ee-bf51-506b8dbc8dfb</t>
  </si>
  <si>
    <t>96 Đ. Số 10, Tân Hưng, Quận 7, Thành phố Hồ Chí Minh</t>
  </si>
  <si>
    <t>4ca8a4a8-456f-11ee-af67-506b8d9879b5</t>
  </si>
  <si>
    <t>17d9c24c-3012-11ee-ba36-506b8d9879b5</t>
  </si>
  <si>
    <t>44 Thống Nhất, Tân Thành, Tân Phú, Thành phố Hồ Chí Minh</t>
  </si>
  <si>
    <t>17483 - D3 - 3 - Phòng Khám Phương Nghi</t>
  </si>
  <si>
    <t>dc394a2c-aeeb-11f0-bfcd-506b8d982279</t>
  </si>
  <si>
    <t>41 Đ. Số 3, Cư xá Đô Thành, Quận 3, Thành phố Hồ Chí Minh</t>
  </si>
  <si>
    <t>17497 - BThanh - NTLong - Mai Hải Lý</t>
  </si>
  <si>
    <t>97da8014-47bc-11ee-8ca0-506b8d9879b5</t>
  </si>
  <si>
    <t>Nhan dan Gia Dinh Hospital, 1 Nơ Trang Long, Phường 7, Bình Thạnh, Thành phố Hồ Chí Minh</t>
  </si>
  <si>
    <t>17497 - PNhuan - TQDuc - Mai Hải Lý</t>
  </si>
  <si>
    <t>34f7e618-8c53-11ee-b58e-506b8d9879b5</t>
  </si>
  <si>
    <t>68/58B1 Thích Quảng Đức, Phường 5, Phú Nhuận, Thành phố Hồ Chí Minh</t>
  </si>
  <si>
    <t>17497 - TBom - TChinh - Mai Hải Lý</t>
  </si>
  <si>
    <t>329da22a-2abc-11ee-8672-506b8d9879b5</t>
  </si>
  <si>
    <t>Công Ty TNHH Một Thành Viên Bích Sinh, 91 Trường Chinh, TT. Tràng Bỏm, Trảng Bom, Đồng Nai</t>
  </si>
  <si>
    <t>Trảng Bom</t>
  </si>
  <si>
    <t>70254dc0-7ebf-11ef-8703-506b8d9879b5</t>
  </si>
  <si>
    <t>628c Đ. Võ Nguyên Giáp, Khu Phố 4, Quận 2, Hồ Chí Minh</t>
  </si>
  <si>
    <t>17510 - PGiao - DT741 - Phòng khám Nhân Đức Sài Gòn</t>
  </si>
  <si>
    <t>616b0760-2773-11ee-accb-506b8d9879b5</t>
  </si>
  <si>
    <t>fafc59d2-3b41-11ef-a36a-506b8d9879b5</t>
  </si>
  <si>
    <t>1047 Đại lộ Bình Dương, Xã Hiệp An, Thủ Dầu Một, Bình Dương</t>
  </si>
  <si>
    <t>Phú An</t>
  </si>
  <si>
    <t>cf189172-35bc-11ee-b09a-506b8d9879b5</t>
  </si>
  <si>
    <t>Trạm Y tế Phường Hiệp An, 2JGQ+RCM, Xã Hiệp An, Thủ Dầu Một, Binh Duong</t>
  </si>
  <si>
    <t>17514 - GVap - LDTho - Bs Văn Huỳnh Thuý Xuân</t>
  </si>
  <si>
    <t>0f32164a-15a9-11ee-a160-506b8dbc8dfb</t>
  </si>
  <si>
    <t>1076 Đ. Lê Đức Thọ, Phường 13, Gò Vấp, Hồ Chí Minh</t>
  </si>
  <si>
    <t>c09f680c-1d3c-11ee-af65-506b8d9879b5</t>
  </si>
  <si>
    <t>Phòng khám sản phụ khoa Ngọc Châu, 1082 Đ. Lê Đức Thọ, Phường 13, Gò Vấp, Thành phố Hồ Chí Minh</t>
  </si>
  <si>
    <t>17518 - CThanh - QL1A - Cty TNHH Phòng khám đa khoa An Bình</t>
  </si>
  <si>
    <t>2329c3d2-ef10-11ee-b955-506b8d9879b5</t>
  </si>
  <si>
    <t>PHÒNG KHÁM ĐA KHOA AN BÌNH, C8VR+XXQ, QL1A, TT. Tân Hiệp, Châu Thành, Tiền Giang</t>
  </si>
  <si>
    <t>Châu Thành</t>
  </si>
  <si>
    <t>7e1b0ed8-1c64-11ee-a44a-506b8d9879b5</t>
  </si>
  <si>
    <t>984aab2c-1a5e-11ee-a4a5-506b8d9879b5</t>
  </si>
  <si>
    <t>89/2D Tổ 85 Âp Tam Đông, Thới Tam Thôn, Hóc Môn, Thành phố Hồ Chí Minh</t>
  </si>
  <si>
    <t>17580 - DAn - ABinh - Bs. Trần Đình Minh Trí</t>
  </si>
  <si>
    <t>ab5de3e4-03bc-11ef-b5c2-506b8d9879b5</t>
  </si>
  <si>
    <t>74 Đ. An Bình, An Bình, Dĩ An, Bình Dương</t>
  </si>
  <si>
    <t>17584 - ThAn - NVTiet - Lê Đình Quý</t>
  </si>
  <si>
    <t>d872a69e-3ca2-11ee-8f6a-506b8d9879b5</t>
  </si>
  <si>
    <t>17585 - ThAn - NVTiet - Trương Ngọc Khoa</t>
  </si>
  <si>
    <t>e4e27e06-301b-11ee-a9a7-506b8d9879b5</t>
  </si>
  <si>
    <t>17586 - ThAn - NVTiet - Phạm Hoàng Khánh</t>
  </si>
  <si>
    <t>6dc32aa8-1ae2-11ee-85fb-506b8d9879b5</t>
  </si>
  <si>
    <t>17587 - ThAn - NVTiet - Rcom Ha Net</t>
  </si>
  <si>
    <t>bf105a32-7534-11ee-99f3-506b8d9879b5</t>
  </si>
  <si>
    <t>17589 - TDuc - VVNgan - Hồ Văn Ý</t>
  </si>
  <si>
    <t>56252fdc-1bae-11ee-a207-506b8d9879b5</t>
  </si>
  <si>
    <t>Phòng Khám Đa Khoa Phước Sơn- Thủ Đức, 226 Võ Văn Ngân, Bình Thọ, Thủ Đức, Thành phố Hồ Chí Minh</t>
  </si>
  <si>
    <t>17613 - D9 - DXHop - Nha Khoa Tân Đức</t>
  </si>
  <si>
    <t>780a70ac-43af-11ee-bb17-506b8d9879b5</t>
  </si>
  <si>
    <t>Nha Khoa Tân Đức, 549 Đỗ Xuân Hợp, Phước Long B, Quận 9, Thành phố Hồ Chí Minh</t>
  </si>
  <si>
    <t>546e7350-25d7-11ee-89eb-506b8d9879b5</t>
  </si>
  <si>
    <t>17636 - D1 - CQuynh - TRỊNH MINH THIỆN</t>
  </si>
  <si>
    <t>9a362e52-8d9a-11ee-9092-506b8d9879b5</t>
  </si>
  <si>
    <t>Tu Du Hospital, 284 Đ. Cống Quỳnh, Phường Phạm Ngũ Lão, Quận 1, Thành phố Hồ Chí Minh</t>
  </si>
  <si>
    <t>17636 - D8 - NTTan - TRỊNH MINH THIỆN</t>
  </si>
  <si>
    <t>1c005bd8-7a45-11ee-8e82-506b8d9879b5</t>
  </si>
  <si>
    <t>11 Nguyễn Thị Tần, Phường 2, Quận 8, Thành phố Hồ Chí Minh</t>
  </si>
  <si>
    <t>17636 - HMon - LTHa - TRỊNH MINH THIỆN</t>
  </si>
  <si>
    <t>21687ad6-9bc6-11ee-bfc4-506b8d9879b5</t>
  </si>
  <si>
    <t>34A, Lê Thị Hà, Tân Xuân, Hóc Môn, Thành phố Hồ Chí Minh</t>
  </si>
  <si>
    <t>17648 - TUyen - BChuan - Võ Nhật Khương</t>
  </si>
  <si>
    <t>c17734e0-6ae8-11ee-b9ec-506b8d9879b5</t>
  </si>
  <si>
    <t>Bình Chuẩn, Thuận An, Bình Dương</t>
  </si>
  <si>
    <t>17693 - TAn - NANinh - Bs Võ Thị Thuý Hằng</t>
  </si>
  <si>
    <t>a46cc494-f185-11ef-b238-506b8d9879b5</t>
  </si>
  <si>
    <t>21 Nguyễn An Ninh, Phường 1, Tân An, Long An</t>
  </si>
  <si>
    <t>17693 - TAn - VCTon - Bs Võ Thị Thuý Hằng</t>
  </si>
  <si>
    <t>b7013fe4-caf3-11ef-9b54-506b8d9879b5</t>
  </si>
  <si>
    <t>7a Đ. Võ Công Tồn, Phường 1, Tân An, Long An</t>
  </si>
  <si>
    <t>17748 - BThanh - NTLong - Bs Tạ Văn Tiếp</t>
  </si>
  <si>
    <t>a07654fc-ea44-11ee-8023-506b8d9879b5</t>
  </si>
  <si>
    <t>372 Nơ Trang Long, Phường 13, Bình Thạnh, Thành phố Hồ Chí Minh</t>
  </si>
  <si>
    <t>17767 - D10 - HHung - Bs Bùi Thị Thúy Hằng</t>
  </si>
  <si>
    <t>cc1772da-262c-11ee-a5d9-506b8d9879b5</t>
  </si>
  <si>
    <t>85 Hoà Hưng, Phường 12, Quận 10, Thành phố Hồ Chí Minh</t>
  </si>
  <si>
    <t>17769 - D10 - THThanh - Nguyễn Thị Mỹ Thu</t>
  </si>
  <si>
    <t>f743644a-9f36-11ee-90b5-506b8d9879b5</t>
  </si>
  <si>
    <t>64 Đ. Tô Hiến Thành, Phường 15, Quận 10, Thành phố Hồ Chí Minh</t>
  </si>
  <si>
    <t>10e3489a-2604-11ee-855d-506b8d9879b5</t>
  </si>
  <si>
    <t>Dental Sunleaf, 159A Trần Huy Liệu, Phường 8, Phú Nhuận, Thành phố Hồ Chí Minh</t>
  </si>
  <si>
    <t>17842 - DAn - 743C - PK Nhân Tâm Sài Gòn</t>
  </si>
  <si>
    <t>65118448-3402-11ee-94dd-506b8d9879b5</t>
  </si>
  <si>
    <t>Phòng khám Nhân Tâm Sài Gòn, 1382 TL743C, Tân Đông Hiệp, Dĩ An, Bình Dương</t>
  </si>
  <si>
    <t>17852 - D1 - NTrai - Thẩm Mỹ Viện Siam Thailand</t>
  </si>
  <si>
    <t>e6506c82-f0da-11ee-961b-506b8d9879b5</t>
  </si>
  <si>
    <t>17854 - D3 - VVTan - CÔNG TY TNHH VITALGEN HEALTH</t>
  </si>
  <si>
    <t>8f955c58-8ce0-11ee-a490-506b8d9879b5</t>
  </si>
  <si>
    <t>65 Võ Văn Tần, Phường 6, Quận 3, Thành phố Hồ Chí Minh</t>
  </si>
  <si>
    <t>17854 - PNhuan - NVTroi - CÔNG TY TNHH VITALGEN HEALTH</t>
  </si>
  <si>
    <t>38c4391e-f6ec-11ee-a68e-506b8d9879b5</t>
  </si>
  <si>
    <t>187 Đ. Nguyễn Văn Trỗi, Phường 10, Phú Nhuận, Thành phố Hồ Chí Minh</t>
  </si>
  <si>
    <t>17863 - D1 - BTXuan - BV PHỤ SẢN QT SÀI GÒN (CREDIT)</t>
  </si>
  <si>
    <t>b182c39e-d157-11ee-8e62-506b8d9879b5</t>
  </si>
  <si>
    <t>SI Hospital, 63 Đ. Bùi Thị Xuân, Phường Phạm Ngũ Lão, Quận 1, Thành phố Hồ Chí Minh</t>
  </si>
  <si>
    <t>17865 - ThAn - NVTiet - Ngô Trung Hiếu</t>
  </si>
  <si>
    <t>c0b4c844-409d-11ee-b965-506b8d9879b5</t>
  </si>
  <si>
    <t>17880 - VTau - LLoi - Bs Trần Đình Minh</t>
  </si>
  <si>
    <t>13cf5340-7ef5-11f0-aae1-506b8d982279</t>
  </si>
  <si>
    <t>City Medical Center. Vung Tau, 278 Lê Lợi, Phường 7, Vũng Tàu, Bà Rịa - Vũng Tàu</t>
  </si>
  <si>
    <t>17882 - DAn - DT743 - Văn Thị Nhung</t>
  </si>
  <si>
    <t>7f79c218-8f25-11ee-8538-506b8d9879b5</t>
  </si>
  <si>
    <t>c575a7ee-31c1-11ee-a73a-506b8d9879b5</t>
  </si>
  <si>
    <t>125/62 Nguyễn Văn Thương, Phường 25, Bình Thạnh, Thành phố Hồ Chí Minh</t>
  </si>
  <si>
    <t>81999026-4170-11ee-abe4-506b8d9879b5</t>
  </si>
  <si>
    <t>118 Hồ Bá Kiện, Phường 15, Quận 10, Thành phố Hồ Chí Minh</t>
  </si>
  <si>
    <t>17931 - D3 - TDinh - THUỶ NHI - CREDIT</t>
  </si>
  <si>
    <t>709cde72-6e25-11ee-ad07-506b8d9879b5</t>
  </si>
  <si>
    <t>10 Trương Định, Phường 6, Quận 3, Thành phố Hồ Chí Minh</t>
  </si>
  <si>
    <t>17937 - TBom - A3 - Chi Nhánh CÔNG TY TNHH PHÒNG KHÁM ĐA KHOA Y DƯỢC SÀI GÒN MEDICAL</t>
  </si>
  <si>
    <t>d5b501e8-54ff-11ee-8ef7-506b8d9879b5</t>
  </si>
  <si>
    <t>Tổ 5, ấp 3, xã An Viễn, An Viễn, Huyện Trảng Bom, Đồng Nai</t>
  </si>
  <si>
    <t>17942 - D3 - DBPhu - (CREDIT) DIGIEX GROUP</t>
  </si>
  <si>
    <t>3d771ede-5f3b-11ee-a371-506b8d9879b5</t>
  </si>
  <si>
    <t>17947 - D10 - TThai - Bs Ck2 Nguyễn Tôn Ngọc Huỳnh</t>
  </si>
  <si>
    <t>e0d24558-875f-11ee-aab8-506b8d9879b5</t>
  </si>
  <si>
    <t>Viện Thẩm Mỹ Quốc Tế Hyocell, 7/24, Đ. Thành Thái, Phường 14, Quận 10, Hồ Chí Minh</t>
  </si>
  <si>
    <t>17947 - D8 - PTTanh - Bs Ck2 Nguyễn Tôn Ngọc Huỳnh</t>
  </si>
  <si>
    <t>d4b61e12-4d75-11ee-91b1-506b8d9879b5</t>
  </si>
  <si>
    <t>Phòng khám cơ xương khớp tế bào gốc Bs Ck2 Nguyễn Tôn Ngọc Huỳnh, 138 Đ. Phạm Thị Tánh, Phường 4, Quận 8, Thành phố Hồ Chí Minh</t>
  </si>
  <si>
    <t>17956 - BThanh - DBLinh - Nguyễn Ngọc Thái</t>
  </si>
  <si>
    <t>0af68016-365b-11ee-83f2-506b8d9879b5</t>
  </si>
  <si>
    <t>125 Đinh Bộ Lĩnh, Phường 26, Bình Thạnh, Thành phố Hồ Chí Minh</t>
  </si>
  <si>
    <t>17963 - D3 - DBPhu - KDM bs Phan Thanh Tâm</t>
  </si>
  <si>
    <t>c5bd7c5e-6a42-11ee-a208-506b8d9879b5</t>
  </si>
  <si>
    <t>17972 - DAn - DT743B - Bs Diệu Thúy</t>
  </si>
  <si>
    <t>12905310-2ff8-11ee-afe6-506b8d9879b5</t>
  </si>
  <si>
    <t>Bệnh Viện Đa Khoa Thị Xã Dĩ An, 500 ĐT743B, Tân Đông Hiệp, Dĩ An, Bình Dương</t>
  </si>
  <si>
    <t>17983 - CChi - NVHoai - Lê Văn Hùng</t>
  </si>
  <si>
    <t>487cd7bc-70a5-11ee-a453-506b8d9879b5</t>
  </si>
  <si>
    <t>9 Nguyễn Văn Hoài, Tân An Hội, Củ Chi, Thành phố Hồ Chí Minh</t>
  </si>
  <si>
    <t>18013 - BChanh - 1 - Lê Bá Phẩm</t>
  </si>
  <si>
    <t>8d2718de-f96e-11ef-a20b-506b8d9879b5</t>
  </si>
  <si>
    <t>18035 - GVap - PVTri - Nguyễn Đức Lợi</t>
  </si>
  <si>
    <t>6b3aa9a8-383f-11ee-b35b-506b8d9879b5</t>
  </si>
  <si>
    <t>366/17 Đ. Phan Văn Trị, Phường 5, Gò Vấp, Thành phố Hồ Chí Minh</t>
  </si>
  <si>
    <t>An Nhơn</t>
  </si>
  <si>
    <t>18045 - TBinh - CHoa - Nha Khoa Paris</t>
  </si>
  <si>
    <t>c72748cc-4fb2-11ee-a48d-506b8d9879b5</t>
  </si>
  <si>
    <t>Dentistry Paris Tan Binh, 97 Đ. Cộng Hòa, Phường 4, Tân Bình, Thành phố Hồ Chí Minh</t>
  </si>
  <si>
    <t>18077 - ThAn - NVTiet - Trần Thị Hải Ly</t>
  </si>
  <si>
    <t>3e162a7c-47ff-11ee-8214-506b8d9879b5</t>
  </si>
  <si>
    <t>95 Nguyễn Văn Tiết, Lái Thiêu, Thuận An, Bình Dương</t>
  </si>
  <si>
    <t>18086 - D10 - TThai - TS.BS.Trần Thanh Hùng</t>
  </si>
  <si>
    <t>b03a7bca-6e2a-11ee-8fc1-506b8d9879b5</t>
  </si>
  <si>
    <t>BỆNH VIỆN NHÂN DÂN 115 KHOA KHÁM BHYT, 88 Đ. Thành Thái, Phường 12, Quận 10, Thành phố Hồ Chí Minh</t>
  </si>
  <si>
    <t>18129 - ThAn - BH24 - Nguyễn Huỳnh Minh Thảo</t>
  </si>
  <si>
    <t>0a1df8a0-a48b-11ef-8c71-506b8d9879b5</t>
  </si>
  <si>
    <t>7 Đường Bình Hòa 24, Binh Hoà, Thuận An, Bình Dương</t>
  </si>
  <si>
    <t>18136 - CChi - TL7 - PK Sản Phụ Khoa Minh An Sài Gòn</t>
  </si>
  <si>
    <t>0d729fe2-a3c3-11ef-8d23-506b8d9879b5</t>
  </si>
  <si>
    <t>829 Tỉnh lộ 7, Phước Thạnh, Củ Chi, Hồ Chí Minh</t>
  </si>
  <si>
    <t>074046c4-c30e-11ee-8f54-506b8d9879b5</t>
  </si>
  <si>
    <t>1473 TL8, Hoà Phú, Củ Chi, Thành phố Hồ Chí Minh</t>
  </si>
  <si>
    <t>Bình Mỹ</t>
  </si>
  <si>
    <t>7ffce736-4cbd-11f0-a4d4-506b8d982279</t>
  </si>
  <si>
    <t>18151 - ThAn - NVTiet - Hoàng Như Hằng</t>
  </si>
  <si>
    <t>00a59c94-47d3-11ee-b1cb-506b8d9879b5</t>
  </si>
  <si>
    <t>18182 - BChanh - 1 - Huỳnh Quang Luật</t>
  </si>
  <si>
    <t>7f888f62-fb05-11ef-89c0-506b8d9879b5</t>
  </si>
  <si>
    <t>18183 - BChanh - 1 - Huỳnh Thế Minh Triết</t>
  </si>
  <si>
    <t>75f48ec2-439d-11ee-aae2-506b8d9879b5</t>
  </si>
  <si>
    <t>Binh Chanh District Hospital, 1 Đường số 1, Khu trung tâm hành chính huyện, Bình Chánh, Thành phố Hồ Chí Minh</t>
  </si>
  <si>
    <t>18190 - ThAn - NVTiet - Lang Thị Phương</t>
  </si>
  <si>
    <t>8af14830-91a6-11ef-842e-506b8d9879b5</t>
  </si>
  <si>
    <t>Thuan An General Hospital, WP52+FXR, Nguyễn Văn Tiết, Lái Thiêu, Thuận An, Bình Dương</t>
  </si>
  <si>
    <t>18197 - TAn - NThong - Đặng Thị Dung</t>
  </si>
  <si>
    <t>4184bc9a-dcde-11ee-b889-506b8d9879b5</t>
  </si>
  <si>
    <t>211 Nguyễn Thông, Phường 3, Tân An, Long An</t>
  </si>
  <si>
    <t>18200 - CThanh - TL827A - Loan Phi Tân</t>
  </si>
  <si>
    <t>c137d430-e675-11ef-adf4-506b8d9879b5</t>
  </si>
  <si>
    <t>504/2 tỉnh lộ 827 ấp 2, Hoà Phú, Huyện Châu Thành, Long An</t>
  </si>
  <si>
    <t>Vĩnh Công</t>
  </si>
  <si>
    <t>18205 - D1 - NDChieu - Phan Thị Hồng Vinh</t>
  </si>
  <si>
    <t>c2a1b7a2-5e0a-11f0-9117-506b8d982279</t>
  </si>
  <si>
    <t>1 Nguyễn Đình Chiểu, Đa Kao, Quận 1, Hồ Chí Minh</t>
  </si>
  <si>
    <t>18208 - DAn - THDao - Bs. Nguyễn Thị Linh Hương</t>
  </si>
  <si>
    <t>9a3c108c-47e1-11ee-9bdf-506b8d9879b5</t>
  </si>
  <si>
    <t>358 Trần Hưng Đạo, Dĩ An, Bình Dương</t>
  </si>
  <si>
    <t>18215 - TAn - BDang - Phạm Thị Diễm Kiều</t>
  </si>
  <si>
    <t>b39667fe-f892-11ef-81c0-506b8d9879b5</t>
  </si>
  <si>
    <t>26a Bạch Đằng, Phường 2, Tân An, Long An</t>
  </si>
  <si>
    <t>18217 - D8 - DS14 - BS Trần Như Hưng Việt</t>
  </si>
  <si>
    <t>cdca7102-8d5b-11f0-a139-506b8d982279</t>
  </si>
  <si>
    <t>12 Đường Số 14, Bình Hưng, Bình Chánh, Hồ Chí Minh</t>
  </si>
  <si>
    <t>32c10ebc-b4ae-11f0-9d95-506b8d982279</t>
  </si>
  <si>
    <t>Phòng Khám Nam Khoa Thủ Đức, 302 Nguyễn Duy Trinh, Phường Bình Trưng Tây, Thủ Đức, Thành phố Hồ Chí Minh</t>
  </si>
  <si>
    <t>18275 - D5 - NDDuong - Đinh Thị Đào</t>
  </si>
  <si>
    <t>e051af0e-7631-11ee-a4d1-506b8d9879b5</t>
  </si>
  <si>
    <t>97 Nguyễn Duy Dương, Phường 9, Quận 5, Thành phố Hồ Chí Minh</t>
  </si>
  <si>
    <t>18286 - TAn - NThong - Bs Nguyễn Thế Vinh</t>
  </si>
  <si>
    <t>2ca01626-6d8a-11ee-baf4-506b8d9879b5</t>
  </si>
  <si>
    <t>Long An General Hospital, 211 Nguyễn Thông, Phường 3, Tân An, Long An</t>
  </si>
  <si>
    <t>18290 - TDuc - LVChi - Trần Thị Hiếu</t>
  </si>
  <si>
    <t>1bd8e176-a4c2-11f0-9145-506b8d982279</t>
  </si>
  <si>
    <t>64 Lê Văn Chí, Phường Linh Trung, Thủ Đức, Hồ Chí Minh</t>
  </si>
  <si>
    <t>18293 - D4 - BVDon - Nguyễn Đỗ Hoàng Nguyên</t>
  </si>
  <si>
    <t>5a5ac76a-224b-11f0-bb9e-506b8d982279</t>
  </si>
  <si>
    <t>18305 - D7 - 79 - Đinh Bá Phong</t>
  </si>
  <si>
    <t>04bcb9cc-d4f1-11f0-963b-506b8d982279</t>
  </si>
  <si>
    <t>PHÒNG KHÁM SẢN PHỤ KHOA - HIẾM MUỘN | BS. CK1 BÁ PHONG - BV TỪ DŨ, 138a Đường số 79, Tân Quy, Quận 7, Thành phố Hồ Chí Minh</t>
  </si>
  <si>
    <t>18306 - DAn - N3 - Lê Trà Giang</t>
  </si>
  <si>
    <t>81318af6-4e2e-11ee-8e87-506b8d9879b5</t>
  </si>
  <si>
    <t>32 Đ. N3, Tân Bình, Dĩ An, Bình Dương</t>
  </si>
  <si>
    <t>18321 - D3 - NDChieu - Cao Kỳ Beauty Academy</t>
  </si>
  <si>
    <t>5c4dc7a0-3c2a-11ef-af0f-506b8d9879b5</t>
  </si>
  <si>
    <t>262 Nguyễn Đình Chiểu, Phường 6, Quận 3, Hồ Chí Minh</t>
  </si>
  <si>
    <t>18322 - D3 - NDChieu - Huỳnh Hải Bằng</t>
  </si>
  <si>
    <t>d0e9d5ac-f000-11ee-a3a9-506b8d9879b5</t>
  </si>
  <si>
    <t>262 Nguyễn Đình Chiểu, Phường 6, Quận 3, Thành phố Hồ Chí Minh</t>
  </si>
  <si>
    <t>c0bc1f88-ebef-11ee-ac17-506b8d9879b5</t>
  </si>
  <si>
    <t>afcfc01c-bf57-11ef-9985-506b8d9879b5</t>
  </si>
  <si>
    <t>31 Đường số 8 - KDC Hiệp Thành III, Hiệp Thành, Thủ Dầu Một, Bình Dương</t>
  </si>
  <si>
    <t>35a70e9e-50bc-11ef-bbb1-506b8d9879b5</t>
  </si>
  <si>
    <t>18331 - D1 - DTHoang - Lê Thị Tường Vi</t>
  </si>
  <si>
    <t>445d3c14-5f73-11ee-8add-506b8d9879b5</t>
  </si>
  <si>
    <t>Trạm y tế phường Đa Kao, 72 Đ. Đinh Tiên Hoàng, Đa Kao, Quận 1, Thành phố Hồ Chí Minh</t>
  </si>
  <si>
    <t>18331 - D1 - HBTrung - Lê Thị Tường Vi</t>
  </si>
  <si>
    <t>f7107d2e-6196-11ee-99dc-506b8d9879b5</t>
  </si>
  <si>
    <t>District 1 Hospital, 338 Hai Bà Trưng, Phường Tân Định, Quận 1, Thành phố Hồ Chí Minh</t>
  </si>
  <si>
    <t>18332 - D9 - NVTang - Võ Kim Cát Tuyền</t>
  </si>
  <si>
    <t>3678ff8e-158a-11ef-ae4c-506b8d9879b5</t>
  </si>
  <si>
    <t>176 Nguyễn Văn Tăng, Long Thạnh Mỹ, Quận 9, Thành phố Hồ Chí Minh</t>
  </si>
  <si>
    <t>c78fdb82-6805-11ef-bf49-506b8d9879b5</t>
  </si>
  <si>
    <t>555 Bùi Ngọc Thu, Tương Bình Hiệp, Thủ Dầu Một, Bình Dương</t>
  </si>
  <si>
    <t>18343 - BChanh - PHung - Nguyễn Hoàng Phi Vũ</t>
  </si>
  <si>
    <t>4e7e7fcc-5c54-11ee-a7c7-506b8d9879b5</t>
  </si>
  <si>
    <t>C5 Đ. Chánh Hưng, Bình Hưng, Bình Chánh, Thành phố Hồ Chí Minh</t>
  </si>
  <si>
    <t>e008d078-537b-11ee-bc3a-506b8d9879b5</t>
  </si>
  <si>
    <t>95 Nguyễn Cơ Thạch, An Lợi Đông, Quận 2, Thành phố Hồ Chí Minh</t>
  </si>
  <si>
    <t>18365 - D12 - PVHon - PHÒNG KHÁM Y KHOA Y DƯỢC HẠNH PHÚC</t>
  </si>
  <si>
    <t>62f9b4d6-c23d-11ee-bfe0-506b8d9879b5</t>
  </si>
  <si>
    <t>39 Phan Văn Hớn, Tân Thới Nhất, Quận 12, Thành phố Hồ Chí Minh</t>
  </si>
  <si>
    <t>18365 - HMon - Tky - PHÒNG KHÁM Y KHOA Y DƯỢC HẠNH PHÚC</t>
  </si>
  <si>
    <t>ae928aec-6e57-11ee-b74e-506b8d9879b5</t>
  </si>
  <si>
    <t>18373 - TDuc - 21 - Huỳnh Thị Hồng Thảo</t>
  </si>
  <si>
    <t>f71bc6ca-cd96-11f0-9f52-506b8d982279</t>
  </si>
  <si>
    <t>Đường 21/4 Hẻm 11, Khu phố 4, Thủ Đức, Thành phố Hồ Chí Minh</t>
  </si>
  <si>
    <t>18374 - HMon - DVDay - Ngô Thị Thanh Trúc</t>
  </si>
  <si>
    <t>ea198290-5e54-11ee-b3bc-506b8d9879b5</t>
  </si>
  <si>
    <t>Hóc Môn District Children's House, 16 Đỗ Văn Dậy, Âp tân Thới 1, Hóc Môn, Thành phố Hồ Chí Minh</t>
  </si>
  <si>
    <t>18377 - ThAn - 22/12 - Nguyễn Văn Thanh</t>
  </si>
  <si>
    <t>017d49d0-b026-11ee-869a-506b8d9879b5</t>
  </si>
  <si>
    <t>18381 - BChanh - 1 - Nguyễn Thị Hạ</t>
  </si>
  <si>
    <t>f256d286-c33f-11ef-9ee6-506b8d9879b5</t>
  </si>
  <si>
    <t>18385 - ThAn - 51 - Nguyễn Thị Kim Phượng</t>
  </si>
  <si>
    <t>e5b3397e-87ae-11ef-a9b7-506b8d9879b5</t>
  </si>
  <si>
    <t>Đường51, p phú tân thủ, An Phú, Thuận An, Bình Dương</t>
  </si>
  <si>
    <t>18385 - ThAn - TXuong - Nguyễn Thị Kim Phượng</t>
  </si>
  <si>
    <t>36c6ead2-5ccb-11ee-b610-506b8d9879b5</t>
  </si>
  <si>
    <t>Becamex International Hospital, Khu Đ. Tú Xương, Lái Thiêu, Thuận An, Bình Dương</t>
  </si>
  <si>
    <t>18394 - D5 - PHChi - PHÒNG XÉT NGHIỆM Á CHÂU</t>
  </si>
  <si>
    <t>854328ee-5aa3-11ee-b928-506b8d9879b5</t>
  </si>
  <si>
    <t>Xe Quốc Hoàng, 45 Phạm Hữu Chí, Phường 12, Quận 5, Thành phố Hồ Chí Minh</t>
  </si>
  <si>
    <t>18411 - HMon - TTBoc - Diệp Trường Vũ</t>
  </si>
  <si>
    <t>bb423e60-771a-11ee-bd7a-506b8d9879b5</t>
  </si>
  <si>
    <t>440 Đường Trần Thị Bốc, Thới Tam Thôn, Hóc Môn, Thành phố Hồ Chí Minh</t>
  </si>
  <si>
    <t>18419 - TUyen - DT747 - Lê Phụng Thiện</t>
  </si>
  <si>
    <t>80c674ca-5f52-11ee-b80b-506b8d9879b5</t>
  </si>
  <si>
    <t>Thanh Phước, Tân Uyên, Bình Dương</t>
  </si>
  <si>
    <t>18441 - TDuc - LVChi - Nguyễn Văn Trưởng</t>
  </si>
  <si>
    <t>da4bb0aa-6745-11ee-9134-506b8d9879b5</t>
  </si>
  <si>
    <t>Bệnh viện Đa khoa khu vực Thủ Đức, 64 Lê Văn Chí, Phường Linh Trung, Thủ Đức, Thành phố Hồ Chí Minh</t>
  </si>
  <si>
    <t>18453 - D10 - HDKhuong - Nha Khoa Wilson Dentistry</t>
  </si>
  <si>
    <t>410b8ab0-9370-11f0-a627-506b8d982279</t>
  </si>
  <si>
    <t>37 Hoàng Dư Khương, Phường 12, Quận 10, Hồ Chí Minh</t>
  </si>
  <si>
    <t>18457 - GVap - LVTho - Nguyễn Thân Anh Khoa</t>
  </si>
  <si>
    <t>6fa6ecf6-a318-11ee-8c77-506b8d9879b5</t>
  </si>
  <si>
    <t>18459 - DAn - LHPhong - Nguyễn Thị Huyền Trang</t>
  </si>
  <si>
    <t>281c0efa-4261-11ef-b60b-506b8d9879b5</t>
  </si>
  <si>
    <t>Số 52 Đường Lê Hồng Phong, khu phố Đông Chiêu, Dĩ An, Bình Dương</t>
  </si>
  <si>
    <t>18459 - ThAn - 22/12 - Nguyễn Thị Huyền Trang</t>
  </si>
  <si>
    <t>1aada6bc-0e5d-11ef-b8e5-506b8d9879b5</t>
  </si>
  <si>
    <t>1 Đ. 22 Tháng 12, Thuận Giao, Thuận An, Bình Dương</t>
  </si>
  <si>
    <t>18466 - CChi - TL15 - PK Y Dược Tâm Phước</t>
  </si>
  <si>
    <t>280a5f6c-67c8-11ee-ab04-506b8d9879b5</t>
  </si>
  <si>
    <t>Phòng khám đa khoa y dược tâm phước, 404 Đ. Tỉnh Lộ 15, Tân Thạnh Đông, Củ Chi, Thành phố Hồ Chí Minh</t>
  </si>
  <si>
    <t>3a86599e-127f-11f0-a16b-506b8d982279</t>
  </si>
  <si>
    <t>20 Đường M4, Phước Long B, Thủ Đức, Hồ Chí Minh, Việt Nam</t>
  </si>
  <si>
    <t>d36ee302-7b0d-11ee-8eac-506b8d9879b5</t>
  </si>
  <si>
    <t>Phòng Khám Siêu Âm Ung Bướu 223 - BS.CKI. Huỳnh Khánh Phú, 223Đ Đ. 154, Long Thạnh Mỹ, Thành Phố Thủ Đức, Thành phố Hồ Chí Minh</t>
  </si>
  <si>
    <t>3c422a6c-2e3e-11f0-88f0-506b8d982279</t>
  </si>
  <si>
    <t>363 Đ. Lê Hồng Phong, Phường 2, Quận 10, Hồ Chí Minh</t>
  </si>
  <si>
    <t>18471 - D5 - VVKiet - Phòng Khám Khải Nguyên</t>
  </si>
  <si>
    <t>ba926d62-3d9b-11ef-ab9f-506b8d9879b5</t>
  </si>
  <si>
    <t>1056 Đ. Võ Văn Kiệt, Phường 6, Quận 5, Hồ Chí Minh</t>
  </si>
  <si>
    <t>459f3456-6644-11ee-b1dc-506b8d9879b5</t>
  </si>
  <si>
    <t>The Grace Tower, 71 Hoàng Văn Thái, Tân Phú, Quận 7, Thành phố Hồ Chí Minh</t>
  </si>
  <si>
    <t>18514 - D5 - VVKiet - Du Trọng Đức</t>
  </si>
  <si>
    <t>633d5e0a-a6f5-11ef-9372-506b8d9879b5</t>
  </si>
  <si>
    <t>Hospital for Tropical Diseases, 764 Đ. Võ Văn Kiệt, Phường 1, Quận 5, Hồ Chí Minh</t>
  </si>
  <si>
    <t>18531 - DAn - LVMam - Phòng Khám BS Hùng</t>
  </si>
  <si>
    <t>dc770894-d8ae-11ef-a6a7-506b8d9879b5</t>
  </si>
  <si>
    <t>69 Lê Văn Mầm, Tân Đông Hiệp, Dĩ An, Bình Dương</t>
  </si>
  <si>
    <t>18556 - DAn - DT743 - Bs. Nguyễn Xuân Trọng</t>
  </si>
  <si>
    <t>07476722-6b09-11ee-9a27-506b8d9879b5</t>
  </si>
  <si>
    <t>18556 - DAn - DTKia - Bs. Nguyễn Xuân Trọng</t>
  </si>
  <si>
    <t>79ac8caa-a6de-11ee-902e-506b8d9879b5</t>
  </si>
  <si>
    <t>303 Đoàn Thị Kia, Thành Phố, Dĩ An, Bình Dương</t>
  </si>
  <si>
    <t>4f54e06a-77e0-11ee-91f6-506b8d9879b5</t>
  </si>
  <si>
    <t>18597 - DAn - NPSac - Bs. Nguyễn Quốc Thịnh</t>
  </si>
  <si>
    <t>f5156116-fa0b-11ee-abd4-506b8d9879b5</t>
  </si>
  <si>
    <t>11 Nguyễn Phong Sắc, Xã Bình Thắng, Dĩ An, Bình Dương</t>
  </si>
  <si>
    <t>fcd0a9f6-ad20-11ef-90e1-506b8d9879b5</t>
  </si>
  <si>
    <t>18598 - ThAn - NVTiet - Dương Văn Sang</t>
  </si>
  <si>
    <t>22c9bf7e-015c-11ef-86b7-506b8d9879b5</t>
  </si>
  <si>
    <t>18602 - CChi - NVHoai - Nguyễn Minh Trọng</t>
  </si>
  <si>
    <t>e70c09be-cfa2-11ee-8fdd-506b8d9879b5</t>
  </si>
  <si>
    <t>18618 - D10 - TNTon - Bs Hồ Phi Duy</t>
  </si>
  <si>
    <t>3a916daa-b5a8-11ee-bbe8-506b8d9879b5</t>
  </si>
  <si>
    <t>22 Đ. Trần Nhân Tôn, Phường 2, Quận 10, Thành phố Hồ Chí Minh</t>
  </si>
  <si>
    <t>18619 - BThanh - CXTDa - Bs Nguyễn Thành Sang</t>
  </si>
  <si>
    <t>e4fe2d60-11aa-11ef-ab07-506b8d9879b5</t>
  </si>
  <si>
    <t>Lô 1, Phường 27, Bình Thạnh, Thành phố Hồ Chí Minh</t>
  </si>
  <si>
    <t>1e43d74c-8901-11ee-a635-506b8d9879b5</t>
  </si>
  <si>
    <t>0d699b42-97d3-11ee-9e8a-506b8d9879b5</t>
  </si>
  <si>
    <t>18628 - D5 - XVoi - Bs Lê Ngọc Hân</t>
  </si>
  <si>
    <t>ae6f3a6c-8539-11ee-a8bf-506b8d9879b5</t>
  </si>
  <si>
    <t>3 Đ. Xóm Vôi, Phường 14, Quận 5, Thành phố Hồ Chí Minh</t>
  </si>
  <si>
    <t>18631 - D3 - DBPhu - CÔNG TY TNHH KOME88</t>
  </si>
  <si>
    <t>08c5f956-7fa9-11ee-91e9-506b8d9879b5</t>
  </si>
  <si>
    <t>18635 - ThAn - DLBDuong - Lê Nguyễn Minh Nguyệt</t>
  </si>
  <si>
    <t>4f6584a4-e0d3-11ee-84b1-506b8d9879b5</t>
  </si>
  <si>
    <t>Tầng 1, Tòa nhà Canary Plaza, Số 5 Đại lộ Bình Dương, Thuận Giao, Thuận An, Bình Dương</t>
  </si>
  <si>
    <t>ec4bb76e-8b76-11ee-909c-506b8d9879b5</t>
  </si>
  <si>
    <t>18642 - D5 - NCThanh - Trần Hoàn Vũ</t>
  </si>
  <si>
    <t>62d76bca-96fe-11ee-b6b1-506b8d9879b5</t>
  </si>
  <si>
    <t>f94adc10-13de-11ef-8481-506b8d9879b5</t>
  </si>
  <si>
    <t>5 Phạm Ngọc Thạch, Hiệp Thành, Thủ Dầu Một, Bình Dương</t>
  </si>
  <si>
    <t>18667 - D12 - HThanh - Ngô Thị Xuân Thắm</t>
  </si>
  <si>
    <t>b9694b0e-2608-11ef-9e43-506b8d9879b5</t>
  </si>
  <si>
    <t>32e Đường Hiệp Thành 22, Hiệp Thành, Quận 12, Thành phố Hồ Chí Minh</t>
  </si>
  <si>
    <t>18667 - TDuc - 400 - Ngô Thị Xuân Thắm</t>
  </si>
  <si>
    <t>116e1e5e-f541-11ee-babe-506b8d9879b5</t>
  </si>
  <si>
    <t>HCMC Oncology Hospital - Branch No. 2, 12 Đ. Số 400, Long Thạnh Mỹ, Thủ Đức, Thành phố Hồ Chí Minh</t>
  </si>
  <si>
    <t>18690 - GVap - PVTri - BV Y Dược Nam Sài Gòn</t>
  </si>
  <si>
    <t>d9372820-a6a6-11ee-9321-506b8d9879b5</t>
  </si>
  <si>
    <t>Bệnh viện Y Dược Nam Sài Gòn</t>
  </si>
  <si>
    <t>323b0f74-7d10-11ee-b82b-506b8d9879b5</t>
  </si>
  <si>
    <t>18703 - D10 - THThanh - Bs Dương Hoàng Khanh</t>
  </si>
  <si>
    <t>e14c5626-1103-11ef-be80-506b8d9879b5</t>
  </si>
  <si>
    <t>Khoa Cấp Cứu Bệnh Viện Trưng Vương, 531 Đ. Tô Hiến Thành, Phường 14, Quận 10, Thành phố Hồ Chí Minh</t>
  </si>
  <si>
    <t>429fda3a-36a1-11ee-af8d-506b8d9879b5</t>
  </si>
  <si>
    <t>57 QL22, Tân Thới Nhì, Hóc Môn, Thành phố Hồ Chí Minh</t>
  </si>
  <si>
    <t>18707 - D7 - TXSoan - Nguyễn Duy Luân</t>
  </si>
  <si>
    <t>f3ea8740-eda8-11ee-8b82-506b8d9879b5</t>
  </si>
  <si>
    <t>Bệnh viện Đa khoa Tân Hưng, 871 Trần Xuân Soạn, Tân Hưng, Quận 7, Thành phố Hồ Chí Minh</t>
  </si>
  <si>
    <t>3b2cdf98-8217-11ee-baca-506b8d9879b5</t>
  </si>
  <si>
    <t>8 Số 21, Tân Quy, Quận 7, Thành phố Hồ Chí Minh</t>
  </si>
  <si>
    <t>18721 - DAn - BThang - Nguyễn Thị Thu Hương</t>
  </si>
  <si>
    <t>fc73ee26-1f15-11ef-9c5a-506b8d9879b5</t>
  </si>
  <si>
    <t>746A ĐT743, Xã Bình Thắng, Dĩ An, Bình Dương</t>
  </si>
  <si>
    <t>18723 - TBinh - PQuang - Bs Cao Thị Thơm</t>
  </si>
  <si>
    <t>93231008-b534-11f0-abc8-506b8d982279</t>
  </si>
  <si>
    <t>Tam Anh Hospital - HCMC, RM38+5R4, 2B Đ. Phổ Quang, Phường 2, Tân Bình, Thành phố Hồ Chí Minh</t>
  </si>
  <si>
    <t>18733 - D3 - HXHuong - Nguyễn Vũ Huân</t>
  </si>
  <si>
    <t>1d9a9bf4-469d-11f0-beda-506b8d982279</t>
  </si>
  <si>
    <t>61 Hồ Xuân Hương, Phường 6, Quận 3, Hồ Chí Minh</t>
  </si>
  <si>
    <t>18734 - PNhuan - HHTham - BS.CKII. Nguyễn Thế Hưng</t>
  </si>
  <si>
    <t>b18a44c8-5322-11ef-8003-506b8d9879b5</t>
  </si>
  <si>
    <t>247/10D Hoàng Hoa Thám, Phường 5, Phú Nhuận, Hồ Chí Minh</t>
  </si>
  <si>
    <t>18739 - D4 - BVDon - Bs. Trịnh Trọng Quỳnh</t>
  </si>
  <si>
    <t>353e37b6-0dd6-11f0-af0e-506b8d982279</t>
  </si>
  <si>
    <t>District 4 Hospital, 65 Bến Vân Đồn, Phường 12, Quận 4, Hồ Chí Minh</t>
  </si>
  <si>
    <t>18758 - D10 - 3/2 - Thẩm mỹ Dr. Face</t>
  </si>
  <si>
    <t>896cf224-a6ca-11ee-b11b-506b8d9879b5</t>
  </si>
  <si>
    <t>450 Đ. 3 Tháng 2, Phường 12, Quận 10, Thành phố Hồ Chí Minh</t>
  </si>
  <si>
    <t>1a0d1c1a-f535-11ee-be48-506b8d9879b5</t>
  </si>
  <si>
    <t>817 Tỉnh lộ 7, An Nhơn Tây, Củ Chi, Thành phố Hồ Chí Minh</t>
  </si>
  <si>
    <t>18761 - TDuc - PChau - Bành Phúc Hậu</t>
  </si>
  <si>
    <t>bf28288e-ab1f-11ef-8891-506b8d9879b5</t>
  </si>
  <si>
    <t>29 Phú Châu, Tam Phú, Thủ Đức, Hồ Chí Minh</t>
  </si>
  <si>
    <t>18782 - D10 - 3/2 - Phòng khám da liễu Sài Gòn</t>
  </si>
  <si>
    <t>4df45334-78f3-11f0-8e22-506b8d982279</t>
  </si>
  <si>
    <t>Phòng Khám Da Liễu Sài Gòn (SGC), 35A1 Đ. 3 Tháng 2, Phường 10, Quận 10, Hồ Chí Minh</t>
  </si>
  <si>
    <t>18820 - GVap - 6 - Phòng khám Thẩm Mỹ Quốc tế KOKO</t>
  </si>
  <si>
    <t>0da001b4-9012-11ee-96c5-506b8d9879b5</t>
  </si>
  <si>
    <t>94 Đ. Số 6, Cityland Park Hills, Gò Vấp, Hồ Chí Minh</t>
  </si>
  <si>
    <t>18823 - ThAn - NVTiet - Đoàn Nguyễn Anh Thư</t>
  </si>
  <si>
    <t>d94e9c16-b80e-11ee-abb1-506b8d9879b5</t>
  </si>
  <si>
    <t>18849 - BThanh - DBPhu - Hiu Dental Clinic - Nha Khoa Đại Học Hồng Bàng</t>
  </si>
  <si>
    <t>afee0b86-b5b1-11ee-9b89-506b8d9879b5</t>
  </si>
  <si>
    <t>Phòng khám chuyên khoa RHM - HIU Clinic, 299 Đ. Điện Biên Phủ, Phường 15, Bình Thạnh, Thành phố Hồ Chí Minh</t>
  </si>
  <si>
    <t>20015 - TUyen - BMy - Đoàn Công Mong</t>
  </si>
  <si>
    <t>d2827096-02cd-11f0-8397-506b8d9879b5</t>
  </si>
  <si>
    <t>51 Đ. Bình Mỹ 48, Bình Mỹ, Bắc Tân Uyên, Bình Dương</t>
  </si>
  <si>
    <t>Bình Cơ</t>
  </si>
  <si>
    <t>20051 - ThAn - NVTiet - THÁI VĨNH THIỆN</t>
  </si>
  <si>
    <t>76732496-b4fc-11ee-922c-506b8d9879b5</t>
  </si>
  <si>
    <t>20064 - ThAn - NVTiet - NGUYỄN THỊ THU QUYÊN</t>
  </si>
  <si>
    <t>2ce8ccb4-a51f-11ee-8d32-506b8d9879b5</t>
  </si>
  <si>
    <t>Trung Tâm Y Tế Thị Xã Thuận An</t>
  </si>
  <si>
    <t>3a464870-9af0-11ee-9c0c-506b8d9879b5</t>
  </si>
  <si>
    <t>Khoa nhi bệnh viện 512, 3P65+V4X, ĐH407, Phú Chánh, Tân Uyên, Bình Dương</t>
  </si>
  <si>
    <t>20080 - D3 - PNThach - BS Đinh Sỹ Nghĩa</t>
  </si>
  <si>
    <t>fcc2c696-e0ee-11ee-8f29-506b8d9879b5</t>
  </si>
  <si>
    <t>50 Phạm Ngọc Thạch, Phường 6, Quận 3, Thành phố Hồ Chí Minh</t>
  </si>
  <si>
    <t>317a6ace-0949-11ef-8625-506b8d9879b5</t>
  </si>
  <si>
    <t>390 Đ. Phạm Hùng, Phường 5, Quận 8, Thành phố Hồ Chí Minh</t>
  </si>
  <si>
    <t>20099 - D5 - ABinh - BS Vũ Trần Công Danh</t>
  </si>
  <si>
    <t>b6bdaac8-3e98-11ef-a060-506b8d9879b5</t>
  </si>
  <si>
    <t>Bệnh viện An Bình, 146 Đ. An Bình, Phường 7, Quận 5, Hồ Chí Minh</t>
  </si>
  <si>
    <t>20107 - TBinh - CMT8 - Phạm Minh Công</t>
  </si>
  <si>
    <t>301573b8-c690-11ef-aee7-506b8d9879b5</t>
  </si>
  <si>
    <t>Cổng số 2 BV Thống Nhất, 792 Đ. Cách Mạng Tháng 8, Phường 7, Tân Bình, Hồ Chí Minh</t>
  </si>
  <si>
    <t>20107 - TBinh - LTKiet - Phạm Minh Công</t>
  </si>
  <si>
    <t>08b68de4-c383-11ef-bfe5-506b8d9879b5</t>
  </si>
  <si>
    <t>Bệnh viện Thống Nhất, 1 Lý Thường Kiệt, Phường 7, Tân Bình, Hồ Chí Minh</t>
  </si>
  <si>
    <t>20109  - D10 - LTKiet - Phạm Duy Tiến</t>
  </si>
  <si>
    <t>0a88841a-9515-11f0-9121-506b8d982279</t>
  </si>
  <si>
    <t>Trung Vuong Hospital, 266 Đ. Lý Thường Kiệt, Phường Diên Hồng, Quận 10, Hồ Chí Minh</t>
  </si>
  <si>
    <t>20115 - TDuc - LVChi - Bùi Thị Hồng Phương</t>
  </si>
  <si>
    <t>759475fe-8d3a-11ef-b1a7-506b8d9879b5</t>
  </si>
  <si>
    <t>Bệnh viện Đa khoa khu vực Thủ Đức, 64 Lê Văn Chí, Phường Linh Trung, Thủ Đức, Hồ Chí Minh</t>
  </si>
  <si>
    <t>20117 - TDuc - HHNam - Phòng khám chuyên khoa ung bướu Thủ Đức</t>
  </si>
  <si>
    <t>f69de3e4-a4f7-11f0-852e-506b8d982279</t>
  </si>
  <si>
    <t>376 Hoàng Hữu Nam, Long Thạnh Mỹ, Thủ Đức, Hồ Chí Minh</t>
  </si>
  <si>
    <t>a81ad386-1513-11f0-bef8-506b8d982279</t>
  </si>
  <si>
    <t>33 Lương Minh Nguyệt, Tân Thới Hoà, Tân Phú, Hồ Chí Minh</t>
  </si>
  <si>
    <t>20128 - D5 - NTrai - Bs Lưu Viễn Phát</t>
  </si>
  <si>
    <t>d977452e-f7b7-11ee-98a9-506b8d9879b5</t>
  </si>
  <si>
    <t>0f249710-bc37-11ee-a241-506b8d9879b5</t>
  </si>
  <si>
    <t>Công ty TNHH Y KHOA VIETMEDIC, 51-53-55 Đ. Số 23, Phường 10, Quận 6, Thành phố Hồ Chí Minh</t>
  </si>
  <si>
    <t>20153 - D10 - LTKiet - Ths.Bs Bùi Thái Sơn</t>
  </si>
  <si>
    <t>73770024-b905-11ef-bd59-506b8d9879b5</t>
  </si>
  <si>
    <t>Trung Vuong Hospital, 266 Lý Thường Kiệt, Phường 14, Quận 10, Hồ Chí Minh</t>
  </si>
  <si>
    <t>20154 - D10 - LTKiet - BS Nguyễn Ngọc Thuận</t>
  </si>
  <si>
    <t>4c71cf24-4d51-11ef-85ec-506b8d9879b5</t>
  </si>
  <si>
    <t>20160 - HMon - BDiem - CÔNG TY TNHH PHÒNG KHÁM ĐA KHOA Y DƯỢC THÀNH PHỐ HỒ CHÍ MINH</t>
  </si>
  <si>
    <t>becf4236-ac2a-11ee-8e90-506b8d9879b5</t>
  </si>
  <si>
    <t>19/4 Ấp Hưng Lân, Bà Điểm, Hóc Môn, Thành phố Hồ Chí Minh</t>
  </si>
  <si>
    <t>20172 - D10 - 3/2 - BS Hồ Phi Nhạn</t>
  </si>
  <si>
    <t>fbb7f90c-6d0b-11ef-afbc-506b8d9879b5</t>
  </si>
  <si>
    <t>Bệnh viện thẩm mỹ KỲ HÒA - MEDIKA, 262 Đ. 3 Tháng 2, Phường 12, Quận 10, Hồ Chí Minh</t>
  </si>
  <si>
    <t>ba79d6a2-d550-11ee-858c-506b8d9879b5</t>
  </si>
  <si>
    <t>126 Đ. Nguyễn Trãi, phường 3, Quận 5, Thành phố Hồ Chí Minh</t>
  </si>
  <si>
    <t>62622bee-3b81-11ef-8ea2-506b8d9879b5</t>
  </si>
  <si>
    <t>129 Đ. Nguyễn Thị Thập, Bình Thuận, Quận 7, Hồ Chí Minh</t>
  </si>
  <si>
    <t>20178 - D1 - NTrai - Trung tâm y khoa MIC</t>
  </si>
  <si>
    <t>24e2c23e-f63e-11ee-928e-506b8d9879b5</t>
  </si>
  <si>
    <t>120 Đ. Nguyễn Trãi, Phường Phạm Ngũ Lão, Quận 1, Thành phố Hồ Chí Minh</t>
  </si>
  <si>
    <t>20178 - TBinh - CHoa - Trung tâm y khoa MIC</t>
  </si>
  <si>
    <t>be115998-e5c2-11ee-996d-506b8d9879b5</t>
  </si>
  <si>
    <t>MIC VIETNAM, 385 Đ. Cộng Hòa, Phường 13, Tân Bình, Thành phố Hồ Chí Minh</t>
  </si>
  <si>
    <t>20180 - D1 - DBPhu - Phòng khám quốc tế Mỹ AIC</t>
  </si>
  <si>
    <t>091d2078-b5af-11ee-9419-506b8d9879b5</t>
  </si>
  <si>
    <t>Phòng khám AIH, 79 Đ. Điện Biên Phủ, Đa Kao, Quận 1, Thành phố Hồ Chí Minh</t>
  </si>
  <si>
    <t>20189 - TBinh - CMT8 - BS CKI Lê Nhật Trường</t>
  </si>
  <si>
    <t>3913b592-b1ec-11ee-b0e9-506b8d9879b5</t>
  </si>
  <si>
    <t>Nhà Thuốc Bệnh Viện Thống Nhất, 1119 Đ. Cách Mạng Tháng 8, Phường 7, Tân Bình, Thành phố Hồ Chí Minh</t>
  </si>
  <si>
    <t>111e2f12-e523-11ee-bde5-506b8d9879b5</t>
  </si>
  <si>
    <t>109D Phạm Văn Hai, Phường 3, Tân Bình, Thành phố Hồ Chí Minh</t>
  </si>
  <si>
    <t>f88dfab6-b522-11ee-bb52-506b8d9879b5</t>
  </si>
  <si>
    <t>Charis Healthcare Clinic, 158 Võ Văn Tần, Phường 6, Quận 3, Thành phố Hồ Chí Minh</t>
  </si>
  <si>
    <t>20212 - D10 - DQTrung - BS Nguyễn Thanh Quang</t>
  </si>
  <si>
    <t>98d3c5fa-32a5-11ef-a86f-506b8d9879b5</t>
  </si>
  <si>
    <t>Citizen’s General Hospital 115, 527 Đ. Sư Vạn Hạnh, Phường 12, Quận 10, Hồ Chí Minh</t>
  </si>
  <si>
    <t>20212 - D10 - TThai - BS Nguyễn Thanh Quang</t>
  </si>
  <si>
    <t>3fe74a48-4259-11ef-b471-506b8d9879b5</t>
  </si>
  <si>
    <t>51 Thành Thái, Phường 14, Quận 10, Hồ Chí Minh</t>
  </si>
  <si>
    <t>8e21ab30-e107-11ee-9e56-506b8d9879b5</t>
  </si>
  <si>
    <t>34 Đ. Thành Thái, Phường 12, Quận 10, Thành phố Hồ Chí Minh</t>
  </si>
  <si>
    <t>20229 - TDuc - LVChi - Hoàng Bảo Lâm</t>
  </si>
  <si>
    <t>7c2321ce-8c39-11ef-a278-506b8d9879b5</t>
  </si>
  <si>
    <t>20242 - D6 - CLon - Viên Quốc Thái</t>
  </si>
  <si>
    <t>f4afe516-d86d-11ef-bd23-506b8d9879b5</t>
  </si>
  <si>
    <t>20250 - D5 - NQuyen - Nguyễn Khánh Duy</t>
  </si>
  <si>
    <t>53a7b742-e99f-11ee-8e15-506b8d9879b5</t>
  </si>
  <si>
    <t>20254 - D5 - ABinh - Bs Nguyễn Văn Phúc</t>
  </si>
  <si>
    <t>4eeb0e24-f404-11ee-9641-506b8d9879b5</t>
  </si>
  <si>
    <t>d89f14ec-3bf5-11ef-9970-506b8d9879b5</t>
  </si>
  <si>
    <t>BỆNH VIỆN ÂU CƠ, 47/19A Điểu Xiển, KP5B, Tân Biên, Thành phố Biên Hòa, Đồng Nai</t>
  </si>
  <si>
    <t>20283 - D5 - BTrieu - Lý Thị Thu Nga</t>
  </si>
  <si>
    <t>e468f846-2ea9-11ef-88d1-506b8d9879b5</t>
  </si>
  <si>
    <t>Cổng sau bệnh viện Hùng Vương, 3, 12 Đ. Bà Triệu, Phường 12, Quận 5, Hồ Chí Minh</t>
  </si>
  <si>
    <t>b9c0d130-65e5-11f0-afb8-506b8d982279</t>
  </si>
  <si>
    <t>20287 - D10 - SVHanh - Bùi Thị Thu Hà</t>
  </si>
  <si>
    <t>02eef684-1196-11ef-b66b-506b8d9879b5</t>
  </si>
  <si>
    <t>824/33 Su Van Hanh, Phường 12, Quận 10, Hồ Chí Minh</t>
  </si>
  <si>
    <t>05194d8e-ceff-11ef-ac98-506b8d9879b5</t>
  </si>
  <si>
    <t>District 10 General Hospital, 571 Đ. Sư Vạn Hạnh, Phường 12, Quận 10, Hồ Chí Minh</t>
  </si>
  <si>
    <t>123b4de4-d1e1-11ee-8c0f-506b8d9879b5</t>
  </si>
  <si>
    <t>20291 - D7 - PHLau - Công Ty Cổ Phần Bệnh Viện Quốc Tế Link</t>
  </si>
  <si>
    <t>9d881d9e-b45f-11ef-a0c0-506b8d9879b5</t>
  </si>
  <si>
    <t>223 Phạm Hữu Lầu, Phú Mỹ, Quận 7, Hồ Chí Minh</t>
  </si>
  <si>
    <t>31dd1354-cfa1-11ee-8171-506b8d9879b5</t>
  </si>
  <si>
    <t>ESTELLA PLACE SHOPPING MALL, 88 Song Hành, An Phú, Thủ Đức, Thành phố Hồ Chí Minh</t>
  </si>
  <si>
    <t>c543ce02-051c-11ef-9692-506b8d9879b5</t>
  </si>
  <si>
    <t>781/c9 Đ. Lê Hồng Phong, Phường 12, Quận 10, Thành phố Hồ Chí Minh</t>
  </si>
  <si>
    <t>20700 - D10 - DQTrung - BS Đinh Quang Minh Trí</t>
  </si>
  <si>
    <t>99b6c58e-94ee-11ef-abcf-506b8d9879b5</t>
  </si>
  <si>
    <t>Bệnh Viện 115, 527 Đ. Sư Vạn Hạnh, Phường 12, Quận 10, Hồ Chí Minh</t>
  </si>
  <si>
    <t>20717 - D6 - CXPLam - Công ty TNHH DNXH The Gate</t>
  </si>
  <si>
    <t>987b7166-0e97-11ef-8bb5-506b8d9879b5</t>
  </si>
  <si>
    <t>B5 Cư Xá Phú Lâm B, Phường 13, Quận 6, Thành phố Hồ Chí Minh</t>
  </si>
  <si>
    <t>9a5df978-3555-11f0-a64b-506b8d982279</t>
  </si>
  <si>
    <t>District 7 Hospital, 101 Đ. Nguyễn Thị Thập, Tân Phú, Quận 7, Hồ Chí Minh</t>
  </si>
  <si>
    <t>20729 - BChanh - DNTuan - PK Sài Gòn - Hưng Long</t>
  </si>
  <si>
    <t>4e528702-6750-11ef-b36c-506b8d9879b5</t>
  </si>
  <si>
    <t>PHÒNG KHÁM Y DƯỢC KỸ THUẬT CAO SÀI GÒN - HƯNG LONG, 496a Đoàn Nguyễn Tuấn, Hưng Long, Bình Chánh, Hồ Chí Minh</t>
  </si>
  <si>
    <t>Hưng Long</t>
  </si>
  <si>
    <t>20730 - D5 - NQuyen - Phòng Xét Nghiệm Y Khoa Càng Long</t>
  </si>
  <si>
    <t>98d5e18a-227f-11f0-8ed7-506b8d982279</t>
  </si>
  <si>
    <t>110a Đ. Ngô Quyền, Phường 7, Quận 5, Hồ Chí Minh</t>
  </si>
  <si>
    <t>8ab1f2b4-258d-11ef-b80a-506b8d9879b5</t>
  </si>
  <si>
    <t>273 Đ. Trần Phú, Phường 8, Quận 5, Thành phố Hồ Chí Minh</t>
  </si>
  <si>
    <t>20733 - D5 - HBang - BS Huỳnh Duy Linh</t>
  </si>
  <si>
    <t>efd98b9e-375c-11ef-bf7f-506b8d9879b5</t>
  </si>
  <si>
    <t>20742 - D3 - TQThao - Bs Võ Thanh Tuấn</t>
  </si>
  <si>
    <t>2c209222-5c65-11f0-924f-506b8d982279</t>
  </si>
  <si>
    <t>District 3 Medical Center, 114, 116 Trần Quốc Thảo, Phường 14, Quận 3, Hồ Chí Minh</t>
  </si>
  <si>
    <t>20755 - D4 - BVDon - Bs Trần Huyền Trâm</t>
  </si>
  <si>
    <t>786be0c6-7f27-11ef-9388-506b8d9879b5</t>
  </si>
  <si>
    <t>20819 - D10 - TThai - Nguyễn Thị Hoài Vy</t>
  </si>
  <si>
    <t>f5f169c4-8a9b-11ef-9848-506b8d9879b5</t>
  </si>
  <si>
    <t>20847 - TDuc - LVChi - Thanh Thị Thu Trang</t>
  </si>
  <si>
    <t>e7b42dd4-94e0-11ef-9c17-506b8d9879b5</t>
  </si>
  <si>
    <t>20871 - D10 - SVHanh - Nguyễn Huỳnh Phương Thùy</t>
  </si>
  <si>
    <t>17a9fe64-2863-11ef-a9c2-506b8d9879b5</t>
  </si>
  <si>
    <t>20871 - D10 - THThanh - Nguyễn Huỳnh Phương Thùy</t>
  </si>
  <si>
    <t>4d589d56-1d02-11f0-998d-506b8d982279</t>
  </si>
  <si>
    <t>509 Đ. Tô Hiến Thành, Phường 14, Quận 10, Hồ Chí Minh</t>
  </si>
  <si>
    <t>04dfccf8-28c4-11ef-b0d0-506b8d9879b5</t>
  </si>
  <si>
    <t>43/32 Thành Thái, phường 14, Quận 10</t>
  </si>
  <si>
    <t>44bdbe46-3023-11ef-89d0-506b8d9879b5</t>
  </si>
  <si>
    <t>592 Đ. Vĩnh Viễn, Phường 7, Quận 10, Hồ Chí Minh</t>
  </si>
  <si>
    <t>8da5fd32-1bea-11ef-a915-506b8d9879b5</t>
  </si>
  <si>
    <t>616A Đ. Nguyễn Chí Thanh, Phường 4, Quận 11, Thành phố Hồ Chí Minh</t>
  </si>
  <si>
    <t>20881 - ThAn - BH24 - PK Xuân Hoà</t>
  </si>
  <si>
    <t>91f51830-2097-11ef-8200-506b8d9879b5</t>
  </si>
  <si>
    <t>8 Đường Bình Hòa 24, Binh Hoà, Thuận An, Bình Dương</t>
  </si>
  <si>
    <t>7b511a7a-b48e-11f0-a8ff-506b8d982279</t>
  </si>
  <si>
    <t>Phòng khám EHOME 4, Đường Vĩnh Phú 41, Thuận An, Bình Dương</t>
  </si>
  <si>
    <t>20899 - D10 - DQTrung - Ngô Quang Trung</t>
  </si>
  <si>
    <t>3921371e-3692-11ef-a89a-506b8d9879b5</t>
  </si>
  <si>
    <t>734a3e3e-295b-11ef-a667-506b8d9879b5</t>
  </si>
  <si>
    <t>2 Đường A4, Phường 12, Tân Bình, Thành phố Hồ Chí Minh</t>
  </si>
  <si>
    <t>d856507a-1cad-11ef-8762-506b8d9879b5</t>
  </si>
  <si>
    <t>268a Khuông Việt, P. Phú Thuận, Tân Phú, Thành phố Hồ Chí Minh</t>
  </si>
  <si>
    <t>20941 - D9 - DXHop - Cao Hoàng Thanh Liêm</t>
  </si>
  <si>
    <t>2b07c7e4-1c9b-11ef-935f-506b8d9879b5</t>
  </si>
  <si>
    <t>Công Ty TNHH Phòng Khám Đa Khoa Thiên Phúc, 41 Đỗ Xuân Hợp, Phước Long B, Thủ Đức, Thành phố Hồ Chí Minh</t>
  </si>
  <si>
    <t>20942 - BThanh - XVNTinh - Nha khoa Saint Paul</t>
  </si>
  <si>
    <t>b77e89b2-1392-11f0-9466-506b8d982279</t>
  </si>
  <si>
    <t>33 Xô Viết Nghệ Tĩnh, Phường 17, Bình Thạnh, Hồ Chí Minh</t>
  </si>
  <si>
    <t>20942 - D1 - DBPhu - Nha khoa Saint Paul</t>
  </si>
  <si>
    <t>33944460-69cf-11ef-bffa-506b8d9879b5</t>
  </si>
  <si>
    <t>18 Đ. Điện Biên Phủ, Đa Kao, Quận 1, Hồ Chí Minh</t>
  </si>
  <si>
    <t>20946 - BTan - TVGiau - Bs Phạm Thị Trâm Anh</t>
  </si>
  <si>
    <t>01a5332e-7f96-11ef-8bd0-506b8d9879b5</t>
  </si>
  <si>
    <t>486 Đ. Trần Văn Giàu, Tân Tạo, Bình Tân, Hồ Chí Minh</t>
  </si>
  <si>
    <t>a6ba7dee-38f4-11ef-99c0-506b8d9879b5</t>
  </si>
  <si>
    <t>355 Tên Lửa, Bình Trị Đông B, Bình Tân, Hồ Chí Minh</t>
  </si>
  <si>
    <t>c0b8b0b6-248c-11ef-87be-506b8d9879b5</t>
  </si>
  <si>
    <t>139 Đ. Tân Thắng, Sơn Kỳ, Tân Phú, Thành phố Hồ Chí Minh</t>
  </si>
  <si>
    <t>21011 - D1 - HBTrung - Nguyễn Thanh Tùng</t>
  </si>
  <si>
    <t>da456898-9dd2-11ef-8d47-506b8d9879b5</t>
  </si>
  <si>
    <t>Bệnh viện Quận 1, 338 Hai Bà Trưng, Phường Tân Định, Quận 1, Hồ Chí Minh</t>
  </si>
  <si>
    <t>21031 - GVap - 45 - Lê Ngọc Anh</t>
  </si>
  <si>
    <t>bbaccb60-54a2-11f0-81fc-506b8d982279</t>
  </si>
  <si>
    <t>Chung cư Khang Gia, 49 Đ. 45, Phường 14, Gò Vấp, Hồ Chí Minh</t>
  </si>
  <si>
    <t>290bbe50-5e22-11ef-aba5-506b8d9879b5</t>
  </si>
  <si>
    <t>699 Đ. Nguyễn Duy Trinh, Bình Trưng Đông, Quận 2, Hồ Chí Minh</t>
  </si>
  <si>
    <t>5af08076-381c-11ef-81c3-506b8d9879b5</t>
  </si>
  <si>
    <t>33 Đường số 40, Tân Phong, Quận 7, Hồ Chí Minh</t>
  </si>
  <si>
    <t>21071 - D3 - BHTQuan - Hồ Tố Tuấn</t>
  </si>
  <si>
    <t>c9526010-3e5d-11ef-9f51-506b8d9879b5</t>
  </si>
  <si>
    <t>Nhà Xe Hoàng Cầu - Gia Lai, 70 Bà Huyện Thanh Quan, Phường Võ Thị Sáu, Quận 3, Hồ Chí Minh</t>
  </si>
  <si>
    <t>94e0007e-2b95-11ef-9d65-506b8d9879b5</t>
  </si>
  <si>
    <t>220/22 Đ. Hoàng Hoa Thám, Phường 5, Bình Thạnh, Hồ Chí Minh</t>
  </si>
  <si>
    <t>21080 - D10 - DQTrung - Lê Vương Tuấn Kiệt</t>
  </si>
  <si>
    <t>1121df1e-31df-11ef-9b84-506b8d9879b5</t>
  </si>
  <si>
    <t>Bệnh Viện Nhân dân 115 - Cổng Số 1, 527 Đ. Sư Vạn Hạnh, Phường 12, Quận 10, Hồ Chí Minh</t>
  </si>
  <si>
    <t>21092 - D10 - SVHanh - Vũ Như Mai</t>
  </si>
  <si>
    <t>f50bf38e-475c-11f0-9149-506b8d982279</t>
  </si>
  <si>
    <t>21100 - D10 - TSon - Viện thẩm mỹ NCB</t>
  </si>
  <si>
    <t>cf95b4d4-2b8b-11ef-8c71-506b8d9879b5</t>
  </si>
  <si>
    <t>Viện Thẩm Mỹ NCB (Phẫu Thuật Tại Bệnh viện), 55 57 Trường Sơn, Cư xá Bắc Hải, Quận 10, Thành phố Hồ Chí Minh</t>
  </si>
  <si>
    <t>21107 - D10 - DQTrung - Trần Lê Duy Anh</t>
  </si>
  <si>
    <t>061dbac8-2c64-11ef-8726-506b8d9879b5</t>
  </si>
  <si>
    <t>614 Hẻm 824 Sư Vạn Hạnh, Phường 12, Quận 10, Thành phố Hồ Chí Minh</t>
  </si>
  <si>
    <t>21111 - D1 - PVChanh - Nha khoa Vsita Dental</t>
  </si>
  <si>
    <t>c551a202-3695-11ef-8b17-506b8d9879b5</t>
  </si>
  <si>
    <t>Nha Khoa Thẩm Mỹ VSiTa Dental Việt Nam, 19-21-23 Đ. Phạm Viết Chánh, Phường Nguyễn Cư Trinh, Quận 1, Hồ Chí Minh</t>
  </si>
  <si>
    <t>21112 - D5 - PHChi - BS Trần Mai Minh Anh</t>
  </si>
  <si>
    <t>30df3e70-2c97-11ef-8dfd-506b8d9879b5</t>
  </si>
  <si>
    <t>19.03A126 Đ. Hùng Vương, Khu phố 1, Quận 5, Hồ Chí Minh</t>
  </si>
  <si>
    <t>a0efb8b4-c2a2-11f0-9999-506b8d982279</t>
  </si>
  <si>
    <t>XWM5+9P3, Tân Hòa, Bien Hoa, Dong Nai</t>
  </si>
  <si>
    <t>097818e8-48c0-11f0-94d3-506b8d982279</t>
  </si>
  <si>
    <t>21120 - D3 - NDChieu - Bs Phạm Công Thăng</t>
  </si>
  <si>
    <t>4568e208-4bed-11f0-9d5b-506b8d982279</t>
  </si>
  <si>
    <t>510 Nguyễn Đình Chiểu, Phường 4, Quận 3, Hồ Chí Minh</t>
  </si>
  <si>
    <t>21124 - D5 - HBang - BS Trần Thị Như Quỳnh</t>
  </si>
  <si>
    <t>576052ca-31f9-11ef-aa6c-506b8d9879b5</t>
  </si>
  <si>
    <t>21138 - D1 - NBKhiem - Bệnh Viện Thẩm Mỹ Thanh Vân</t>
  </si>
  <si>
    <t>217b8158-c0d2-11ef-a598-506b8d9879b5</t>
  </si>
  <si>
    <t>33g Đ. Nguyễn Bỉnh Khiêm, Đa Kao, Quận 1, Hồ Chí Minh</t>
  </si>
  <si>
    <t>21145 - BThanh - CVAn - Nguyễn Hoàng Minh Thảo</t>
  </si>
  <si>
    <t>2b9c6baa-edc5-11ef-8d40-506b8d9879b5</t>
  </si>
  <si>
    <t>68 Chu Văn An, Phường 26, Bình Thạnh, Hồ Chí Minh</t>
  </si>
  <si>
    <t>21161 - TDuc - PChau - Phan Đức Hạnh</t>
  </si>
  <si>
    <t>bf8dc7d4-2d6a-11f0-a17d-506b8d982279</t>
  </si>
  <si>
    <t>21167 - GVap - QTrung - Nguyễn Thế Thành</t>
  </si>
  <si>
    <t>bf0b1a2e-32a6-11ef-974b-506b8d9879b5</t>
  </si>
  <si>
    <t>Go Vap Hospital, 641 Đ. Quang Trung, Phường 11, Gò Vấp, Hồ Chí Minh</t>
  </si>
  <si>
    <t>21174 - D8 - NDuy - BS Phan Trung Kiên</t>
  </si>
  <si>
    <t>60416018-9e51-11ef-8abc-506b8d9879b5</t>
  </si>
  <si>
    <t>Diamond Lotus Riverside, 7A, Bến Nguyễn Duy, Phường 8, Quận 8, Hồ Chí Minh</t>
  </si>
  <si>
    <t>21175 - D11 - 3 - RĂNG HÀM MẶT MỸ THIỆN</t>
  </si>
  <si>
    <t>40bc27fc-62f8-11f0-bcf7-506b8d982279</t>
  </si>
  <si>
    <t>My Thien Hospital, 6/2 Đ. Số 3 Cư Xá Lữ Gia, Phường 15, Quận 11, Hồ Chí Minh</t>
  </si>
  <si>
    <t>70d6804e-4b44-11ef-abeb-506b8d9879b5</t>
  </si>
  <si>
    <t>Ngã ba Nam Sanh, Thích Quảng Đức, Thủ Dầu Một, Bình Dương</t>
  </si>
  <si>
    <t>fa0f6060-4f9f-11ef-bb9f-506b8d9879b5</t>
  </si>
  <si>
    <t>21213 - BCat - XC2 - Phòng khám sản phụ khoa hiếm muộn Bs Nguyễn Huy</t>
  </si>
  <si>
    <t>9580ddd6-6cf5-11ef-9299-506b8d9879b5</t>
  </si>
  <si>
    <t>21217 - D1 - HHHon - SK Dental Clinic</t>
  </si>
  <si>
    <t>bd82d764-cfd1-11ef-8c39-506b8d9879b5</t>
  </si>
  <si>
    <t>93 Hồ Hảo Hớn, Phường Cô Giang, Quận 1, Hồ Chí Minh</t>
  </si>
  <si>
    <t>21217 - D3 - DBPhu - SK Dental Clinic</t>
  </si>
  <si>
    <t>7170d21c-53e0-11ef-a1a2-506b8d9879b5</t>
  </si>
  <si>
    <t>Nha Khoa SK Dental Clinic, 591 Đ. Điện Biên Phủ, Phường 1, Quận 3, Hồ Chí Minh</t>
  </si>
  <si>
    <t>21241 - PNhuan - THLieu - Nha khoa Trồng răng Sài Gòn</t>
  </si>
  <si>
    <t>149f67c8-6cb9-11ef-9a62-506b8d9879b5</t>
  </si>
  <si>
    <t>169 Trần Huy Liệu, Phường 15, Phú Nhuận, Hồ Chí Minh</t>
  </si>
  <si>
    <t>21246 - D8 - 1 - Trần Thị Hà Uyên</t>
  </si>
  <si>
    <t>3b8080c8-3ff7-11ef-b097-506b8d9879b5</t>
  </si>
  <si>
    <t>28 Đ. Số 1, Phường 6, Quận 8, Hồ Chí Minh</t>
  </si>
  <si>
    <t>21253 - D10 - DQTrung - Tô Thanh Phát</t>
  </si>
  <si>
    <t>8fefd712-4574-11ef-9470-506b8d9879b5</t>
  </si>
  <si>
    <t>527 Đ. Sư Vạn Hạnh, Phường 12, Quận 10, Hồ Chí Minh</t>
  </si>
  <si>
    <t>b7dcc424-4af6-11ef-b9ad-506b8d9879b5</t>
  </si>
  <si>
    <t>21268 - BThanh - NGTri - PK phụ sản Nhật Bình</t>
  </si>
  <si>
    <t>d002c18c-66be-11ef-8f73-506b8d9879b5</t>
  </si>
  <si>
    <t>36/70 Nguyễn Gia Trí, Phường 25, Bình Thạnh, Hồ Chí Minh</t>
  </si>
  <si>
    <t>21268 - BThanh - PVDong - PK phụ sản Nhật Bình</t>
  </si>
  <si>
    <t>7ce8d1ac-57b4-11f0-b6d3-506b8d982279</t>
  </si>
  <si>
    <t>369 Đ. Phạm Văn Đồng, Phường 11, Bình Thạnh, Hồ Chí Minh</t>
  </si>
  <si>
    <t>21268 - GVap - QTrung - PK phụ sản Nhật Bình</t>
  </si>
  <si>
    <t>5b2105b2-5792-11ef-961c-506b8d9879b5</t>
  </si>
  <si>
    <t>205 Đ. Quang Trung, Phường 10, Gò Vấp, Hồ Chí Minh</t>
  </si>
  <si>
    <t>21268 - TBinh - PQuang - PK phụ sản Nhật Bình</t>
  </si>
  <si>
    <t>39f66550-596b-11ef-baa8-506b8d9879b5</t>
  </si>
  <si>
    <t>8e75a7c6-4962-11ef-a4dd-506b8d9879b5</t>
  </si>
  <si>
    <t>Reviv Việt Nam, 86-88 Pasteur, Bến Nghé, Quận 1, Hồ Chí Minh</t>
  </si>
  <si>
    <t>21296 - D3 - NTThuat - Phòng khám Reviv</t>
  </si>
  <si>
    <t>ba402218-937c-11f0-8e69-506b8d982279</t>
  </si>
  <si>
    <t>272 Đ. Nguyễn Thiện Thuật, Phường 3, Quận 3, Hồ Chí Minh</t>
  </si>
  <si>
    <t>21296 - PNhuan - NVTroi - Phòng khám Reviv</t>
  </si>
  <si>
    <t>cf58f44a-937c-11f0-b5d3-506b8d982279</t>
  </si>
  <si>
    <t>142B Đ. Nguyễn Văn Trỗi, Phường 8, Phú Nhuận, Hồ Chí Minh</t>
  </si>
  <si>
    <t>3845f552-092b-11f0-8f8e-506b8d982279</t>
  </si>
  <si>
    <t>21301 - GVap - LHPhai - Phòng Khám Đa Khoa Vạn Phúc Gò Vấp</t>
  </si>
  <si>
    <t>92147046-499a-11ef-ab4b-506b8d9879b5</t>
  </si>
  <si>
    <t>Phòng khám đa khoa Vạn Phúc, 83 Lê Hoàng Phái, Phường 17, Gò Vấp, Hồ Chí Minh</t>
  </si>
  <si>
    <t>21304 - D3 - NTThuat - Tăng Phước Quân</t>
  </si>
  <si>
    <t>fe773972-4af2-11ef-80f6-506b8d9879b5</t>
  </si>
  <si>
    <t>175/4 Đ. Nguyễn Thiện Thuật, Phường 1, Quận 3, Hồ Chí Minh</t>
  </si>
  <si>
    <t>21314 - NBe - LVLuong - PK Bs Đặng Thị Mỹ Gái</t>
  </si>
  <si>
    <t>bbefdeb2-5ea0-11ef-81cf-506b8d9879b5</t>
  </si>
  <si>
    <t>1454 Đ. Lê Văn Lương, Phước Kiển, Nhà Bè, Hồ Chí Minh</t>
  </si>
  <si>
    <t>21315 - D8 - CLo - Bs Lê Tiết Vân</t>
  </si>
  <si>
    <t>3d609ac8-b6ac-11ef-b4b8-506b8d9879b5</t>
  </si>
  <si>
    <t>c79322bc-5f52-11ef-89fe-506b8d9879b5</t>
  </si>
  <si>
    <t>02/74 KDC Đồng Khởi, Tam Hòa, TP Biên Hòa, Đồng Nai</t>
  </si>
  <si>
    <t>21322 - LTrach - 826 - BV Cầu Tràm</t>
  </si>
  <si>
    <t>3a33964c-5a2d-11ef-93d0-506b8d9879b5</t>
  </si>
  <si>
    <t>Long Trạch, Cần Đước, Long An</t>
  </si>
  <si>
    <t>Rạch Kiến</t>
  </si>
  <si>
    <t>21326 - D3 - NDChieu - Ngô Thị Thu Cúc</t>
  </si>
  <si>
    <t>c864c77e-4b3b-11f0-9203-506b8d982279</t>
  </si>
  <si>
    <t>115 Nguyễn Đình Chiểu, Phường 6, Quận 3, Hồ Chí Minh</t>
  </si>
  <si>
    <t>5647d68e-f05c-11ef-97d9-506b8d9879b5</t>
  </si>
  <si>
    <t>138 Nguyễn Ái Quốc, Khu Phố 3, Biên Hòa, Đồng Nai</t>
  </si>
  <si>
    <t>ddcde310-a26d-11ef-9bc5-506b8d9879b5</t>
  </si>
  <si>
    <t>Phòng Khám Maple Healthcare (Quận 7), 2-4 Nội, Khu Phố Hưng Gia 1, Tân Phong, Quận 7, Hồ Chí Minh</t>
  </si>
  <si>
    <t>21339 - TDuc - LVChi - Bs Phạm Hoàng Bá</t>
  </si>
  <si>
    <t>177cb270-2b09-11f0-bdb2-506b8d982279</t>
  </si>
  <si>
    <t>21359 - D5 - TDa - Công Ty TNHH Phòng Khám Đa Khoa Thái Hoà Sài Gòn</t>
  </si>
  <si>
    <t>067cbb82-64e4-11ef-9b8a-506b8d9879b5</t>
  </si>
  <si>
    <t>Phòng khám THÁI HÒA Sài Gòn, 62 Đ. Tản Đà, Phường 11, Quận 5, Hồ Chí Minh</t>
  </si>
  <si>
    <t>724b7d56-a0ab-11ee-bfe2-506b8d9879b5</t>
  </si>
  <si>
    <t>733 Quốc Lộ 50, xã Bình Hưng, Huyện Bình Chánh</t>
  </si>
  <si>
    <t>b52b729a-2449-11ee-8a70-506b8d9879b5</t>
  </si>
  <si>
    <t>584 Đ. Lê Văn Quới, Bình Hưng Hoà A, Bình Tân, Thành phố Hồ Chí Minh</t>
  </si>
  <si>
    <t>74ba6576-270f-11ef-ae03-506b8d9879b5</t>
  </si>
  <si>
    <t>182 Đ. Tô Hiến Thành, Phường 15, Quận 10, Thành phố Hồ Chí Minh</t>
  </si>
  <si>
    <t>a1370236-312d-11ee-9841-506b8d9879b5</t>
  </si>
  <si>
    <t>917-917A Nguyễn Ảnh Thủ, Phường Tân Chánh Hiệp, Quận 12, TP HCM</t>
  </si>
  <si>
    <t>3d99ca00-54a0-11ef-92b7-506b8d9879b5</t>
  </si>
  <si>
    <t>833 Nguyễn Văn Quá, Phường Đông Hưng thuận, q12,tp hcm</t>
  </si>
  <si>
    <t>7f7b4db8-b90a-11ee-a2a8-506b8d9879b5</t>
  </si>
  <si>
    <t>594 Nguyễn Thị Định, Phường Thạnh Mỹ Lợi, Quận 2, Thành phố Hồ Chí Minh</t>
  </si>
  <si>
    <t>afe4e912-5ffc-11ee-a935-506b8d9879b5</t>
  </si>
  <si>
    <t>605 Huỳnh Tấn Phát, Phường Tân Thuận Đông, Quận 07</t>
  </si>
  <si>
    <t>a44407ce-7bed-11ef-b6a7-506b8d9879b5</t>
  </si>
  <si>
    <t>tổ 5, 643 Lê Văn Việt, Khu Phố 6, Quận 9, Hồ Chí Minh</t>
  </si>
  <si>
    <t>e4c438d6-27bb-11ef-b969-506b8d9879b5</t>
  </si>
  <si>
    <t>1212 Đ. Lê Đức Thọ, Phường 13, Gò Vấp, Hồ Chí Minh</t>
  </si>
  <si>
    <t>b615381e-a3c7-11ee-9343-506b8d9879b5</t>
  </si>
  <si>
    <t>20/7E Ấp Tiền Lân, Xã Bà Điểm, Huyện Hóc Môn, TP.HCM</t>
  </si>
  <si>
    <t>3cf31c56-e0e6-11ee-a911-506b8d9879b5</t>
  </si>
  <si>
    <t>187 Nguyễn Sơn, Phú Thạnh, Tân Phú, Thành phố Hồ Chí Minh</t>
  </si>
  <si>
    <t>56eabc04-8eaf-11f0-a814-506b8d982279</t>
  </si>
  <si>
    <t>536 Đinh Đức Thiện, Tân Quý Tây, Bình Chánh</t>
  </si>
  <si>
    <t>c0f4fa12-4626-11ed-8f3f-506b8dbc8dfb</t>
  </si>
  <si>
    <t>C8/1 A1 Phạm Hùng, Bình Hưng, Bình Chánh, Thành phố Hồ Chí Minh</t>
  </si>
  <si>
    <t>6ea5cc10-32b0-11ee-b2df-506b8d9879b5</t>
  </si>
  <si>
    <t>372 Hồ Học Lãm, An Lạc, Bình Tân, Thành phố Hồ Chí Minh</t>
  </si>
  <si>
    <t>f9134f28-14e0-11ee-9d74-506b8dbc8dfb</t>
  </si>
  <si>
    <t>277 Đ. Lê Văn Quới, Bình Trị Đông, Bình Tân, Thành phố Hồ Chí Minh</t>
  </si>
  <si>
    <t>c3edb45e-3b9f-11f0-99d0-506b8d982279</t>
  </si>
  <si>
    <t>928 Đ. Tân Kỳ Tân Quý, Bình Hưng Hoà, Bình Tân, Hồ Chí Minh</t>
  </si>
  <si>
    <t>Bình Hưng Hòa</t>
  </si>
  <si>
    <t>b0725974-ba9b-11ee-bffa-506b8d9879b5</t>
  </si>
  <si>
    <t>43ac08be-380d-11ee-800b-506b8d9879b5</t>
  </si>
  <si>
    <t>60 Đ. Bạch Đằng, Phường 24, Bình Thạnh, Thành phố Hồ Chí Minh</t>
  </si>
  <si>
    <t>68682bea-755d-11ef-9d29-506b8d9879b5</t>
  </si>
  <si>
    <t>313 Đ. Nguyễn Xí, Phường 13, Bình Thạnh, Hồ Chí Minh</t>
  </si>
  <si>
    <t>323821e8-59e6-11ef-bc31-506b8d9879b5</t>
  </si>
  <si>
    <t>886 QL22, TT. Củ Chi, Củ Chi, Hồ Chí Minh</t>
  </si>
  <si>
    <t>e07c49a2-0e9a-11ee-84f9-506b8dbc8dfb</t>
  </si>
  <si>
    <t>384 TL8, TT. Củ Chi, Củ Chi, Thành phố Hồ Chí Minh</t>
  </si>
  <si>
    <t>ce820dc0-cf03-11ee-894e-506b8d9879b5</t>
  </si>
  <si>
    <t>71 Lý Thường Kiệt, Phường 7, Quận 11, Thành phố Hồ Chí Minh</t>
  </si>
  <si>
    <t>e8cd6044-4b22-11ef-902f-506b8d9879b5</t>
  </si>
  <si>
    <t>680 Hà Huy Giáp, Thạnh Lộc, Quận 12, Hồ Chí Minh</t>
  </si>
  <si>
    <t>702f6dc4-4626-11ed-88ba-506b8dbc8dfb</t>
  </si>
  <si>
    <t>105/4A Lê Văn Khương Khu Phố 1, Phường Hiệp Thành, Q. 12, TPHCM</t>
  </si>
  <si>
    <t>542902da-21f8-11ee-bcde-506b8d9879b5</t>
  </si>
  <si>
    <t>897-897A Nguyễn Ảnh Thủ, P. Tân Chánh Hiệp, Q. 12, TPHCM</t>
  </si>
  <si>
    <t>7e60488c-9b1b-11ee-8ad8-506b8d9879b5</t>
  </si>
  <si>
    <t>427 Nguyễn Văn Quá, Đông Hưng Thuận, Quận 12, Thành phố Hồ Chí Minh</t>
  </si>
  <si>
    <t>06ff12ae-d3f6-11ef-a69f-506b8d9879b5</t>
  </si>
  <si>
    <t>137 Lương Định Của, Khu phố 3, Quận 2, Hồ Chí Minh</t>
  </si>
  <si>
    <t>31419a48-09d9-11ee-8601-506b8dbc8dfb</t>
  </si>
  <si>
    <t>327 Đ. Hoàng Diệu, Phường 9, Quận 4, Thành phố Hồ Chí Minh</t>
  </si>
  <si>
    <t>0f308a76-4626-11ed-b728-506b8dbc8dfb</t>
  </si>
  <si>
    <t>1242 Huỳnh Tấn Phát, P. Tân Phú, Q. 7</t>
  </si>
  <si>
    <t>7c283a4e-21f8-11ee-a440-506b8d9879b5</t>
  </si>
  <si>
    <t>129 Nguyễn Thị Thập, Bình Thuận, Quận 7, Thành phố Hồ Chí Minh</t>
  </si>
  <si>
    <t>ac6236cc-47b1-11ee-8d67-506b8d9879b5</t>
  </si>
  <si>
    <t>c7fafdda-21f8-11ee-b604-506b8d9879b5</t>
  </si>
  <si>
    <t>184 Đỗ Xuân Hợp, Phước Long A, Quận 9, Thành phố Hồ Chí Minh</t>
  </si>
  <si>
    <t>806f01ba-5cab-11f0-9f9a-506b8d982279</t>
  </si>
  <si>
    <t>160b Man Thiện, Phường Tân Phú, Thủ Đức, Hồ Chí Minh</t>
  </si>
  <si>
    <t>e6c1ed7a-31cd-11ee-963e-506b8d9879b5</t>
  </si>
  <si>
    <t>1457 Đ. Phan Văn Trị, Phường 10, Gò Vấp, Thành phố Hồ Chí Minh</t>
  </si>
  <si>
    <t>c828ca08-32b0-11ee-b9b6-506b8d9879b5</t>
  </si>
  <si>
    <t>917 Quang Trung, Phường 14, Gò Vấp, Thành phố Hồ Chí Minh</t>
  </si>
  <si>
    <t>4dba51fe-e91d-11ef-b1f0-506b8d9879b5</t>
  </si>
  <si>
    <t>521 Đặng Thúc Vịnh, xã Thới Tam Thôn, huyện Hóc Môn, Thành phố Hồ Chí Minh</t>
  </si>
  <si>
    <t>ed4ce56e-d619-11ee-bf30-506b8d9879b5</t>
  </si>
  <si>
    <t>26/2 Phan Văn Hớn, Ấp 2, xã Xuân Thới Thượng, huyện Hóc Môn, TP. HCM</t>
  </si>
  <si>
    <t>a1be066c-21f8-11ee-b5fb-506b8d9879b5</t>
  </si>
  <si>
    <t>120 Bàu Cát, Phường 13, Tân Bình, Thành phố Hồ Chí Minh</t>
  </si>
  <si>
    <t>1b89cbc6-4d4f-11ee-9f11-506b8d9879b5</t>
  </si>
  <si>
    <t>700-702 Cách Mạng Tháng Tám, Phường 5, Quận Tân Bình, TP HCM</t>
  </si>
  <si>
    <t>d538c282-3761-11ef-92b6-506b8d9879b5</t>
  </si>
  <si>
    <t>292 Đ. Hoàng Văn Thụ, Phường 4, Tân Bình, Hồ Chí Minh</t>
  </si>
  <si>
    <t>d04814d6-dc2f-11ee-96ca-506b8d9879b5</t>
  </si>
  <si>
    <t>996 Lạc Long Quân, Phường 8, Tân Bình, Thành phố Hồ Chí Minh</t>
  </si>
  <si>
    <t>073c12b6-0f63-11ee-837c-506b8dbc8dfb</t>
  </si>
  <si>
    <t>492 Trường Chinh, Phường 13, Tân Bình, Thành phố Hồ Chí Minh</t>
  </si>
  <si>
    <t>027cd410-2275-11ef-b4a3-506b8d9879b5</t>
  </si>
  <si>
    <t>109 Đ. Hiệp Bình, Hiệp Bình Chánh, Thủ Đức, Thành phố Hồ Chí Minh</t>
  </si>
  <si>
    <t>98465eea-93ea-11ee-9af5-506b8d9879b5</t>
  </si>
  <si>
    <t>941 Đ. Kha Vạn Cân, Phường Linh Trung, Thủ Đức, Thành phố Hồ Chí Minh</t>
  </si>
  <si>
    <t>5e35af64-380d-11ee-92f9-506b8d9879b5</t>
  </si>
  <si>
    <t>483 Lê Trọng Tấn, Sơn Kỳ, Tân Phú, Thành phố Hồ Chí Minh</t>
  </si>
  <si>
    <t>21365 - BCat - NE8 - Phòng khám sản phụ khoa Anh Nga</t>
  </si>
  <si>
    <t>43310a34-412e-11f0-98a7-506b8d982279</t>
  </si>
  <si>
    <t>PHÒNG KHÁM SẢN PHỤ KHOA ANH NGA, Ô 53, LÔ J55, NE8, KHU PHỐ 3B, Bến Cát, Bình Dương</t>
  </si>
  <si>
    <t>d9fd5fe8-6f0c-11ef-a4aa-506b8d9879b5</t>
  </si>
  <si>
    <t>e6d1a2b4-56c6-11ef-a12a-506b8d9879b5</t>
  </si>
  <si>
    <t>103 Thoại Ngọc Hầu, Hoà Thanh, Tân Phú, Hồ Chí Minh</t>
  </si>
  <si>
    <t>5a1f764a-613c-11ef-b8cb-506b8d9879b5</t>
  </si>
  <si>
    <t>Phòng khám sản phụ khoa - BS Đặng Thị Hà, 92 Đ. Nguyễn Thiện Thuật, Phường 2, Quận 3, Hồ Chí Minh</t>
  </si>
  <si>
    <t>21383 - BThanh - HHTham - Phạm Trương Mỹ Dung</t>
  </si>
  <si>
    <t>dc4b5968-53c7-11ef-98a7-506b8d9879b5</t>
  </si>
  <si>
    <t>220/1 Hoàng Hoa Thám, Phường 5, Bình Thạnh, Hồ Chí Minh</t>
  </si>
  <si>
    <t>21391 - D8 - CLo - Trần Đạt Minh</t>
  </si>
  <si>
    <t>88c7174c-e3a4-11ef-9349-506b8d9879b5</t>
  </si>
  <si>
    <t>Bệnh viện Quận 8, 82 Đ. Cao Lỗ, Phường 4, Quận 8, Hồ Chí Minh</t>
  </si>
  <si>
    <t>8cee2ee0-7636-11ef-9feb-506b8d9879b5</t>
  </si>
  <si>
    <t>305A Đ. Điện Biên Phủ, Phường Võ Thị Sáu, Quận 3, Hồ Chí Minh</t>
  </si>
  <si>
    <t>fce553ce-c7dd-11ef-a8fd-506b8d9879b5</t>
  </si>
  <si>
    <t>416 Lê Hồng Phong, Phường 1, Quận 10, Hồ Chí Minh</t>
  </si>
  <si>
    <t>21410 - CThanh - DT827B - XÉT NGHIỆM Y KHOA 568</t>
  </si>
  <si>
    <t>3b0073ce-4c99-11f0-bade-506b8d982279</t>
  </si>
  <si>
    <t>Xét Nghiệm Y Khoa 568, 268/5 Ấp Kỳ Châu, Bình Quới, Châu Thành, Long An</t>
  </si>
  <si>
    <t>21410 - TThua - 4 - XÉT NGHIỆM Y KHOA 568</t>
  </si>
  <si>
    <t>ba32ab0c-2495-11f0-b963-506b8d982279</t>
  </si>
  <si>
    <t>Số 5 đường số 4, Khu Phố Cầu Xây, Thủ Thừa District, Long An</t>
  </si>
  <si>
    <t>Thủ Thừa</t>
  </si>
  <si>
    <t>da75a96c-5cf6-11ef-b8c6-506b8d9879b5</t>
  </si>
  <si>
    <t>327 Đỗ Tường Tự, TT. Tầm Vu, Châu Thành, Long An</t>
  </si>
  <si>
    <t>21413 - TAn - NThong - Nguyễn Hoàng Vũ</t>
  </si>
  <si>
    <t>018059ae-6278-11ef-8cb4-506b8d9879b5</t>
  </si>
  <si>
    <t>21414 - BThanh - LVDuyet - Bs Trần Thị Hồng Nhung</t>
  </si>
  <si>
    <t>dfd7f552-ba55-11ee-bdc9-506b8d9879b5</t>
  </si>
  <si>
    <t>Bệnh Viện Bình Thạnh - 114 Lê Văn Duyệt, Phường 3, Bình Thạnh, Ho Chi Minh City</t>
  </si>
  <si>
    <t>21417 - CChi - NVHoai - Hứa Thị Lạng</t>
  </si>
  <si>
    <t>406af4fa-70ae-11ef-99ed-506b8d9879b5</t>
  </si>
  <si>
    <t>21420 - GVap - QTrung - Bs Trịnh Quang Hiển</t>
  </si>
  <si>
    <t>136de142-8ec1-11f0-b4a6-506b8d982279</t>
  </si>
  <si>
    <t>Go Vap Hospital, Đ. Quang Trung/641 Thông Tây Hội, Phường, Gò Vấp, Hồ Chí Minh</t>
  </si>
  <si>
    <t>fe3bff0a-77da-11ef-9d23-506b8d9879b5</t>
  </si>
  <si>
    <t>2 Nội Khu Mỹ Toàn 2, Tân Phong, Quận 7, Hồ Chí Minh</t>
  </si>
  <si>
    <t>21439 - D12 - LVKhuong - Nguyễn Xuân Công</t>
  </si>
  <si>
    <t>00df21c4-c843-11f0-baa5-506b8d982279</t>
  </si>
  <si>
    <t>662/24/26, 662/24 Lê Văn Khương, P, Quận 12, Thành phố Hồ Chí Minh</t>
  </si>
  <si>
    <t>21439 - D12 - NAThu - Nguyễn Xuân Công</t>
  </si>
  <si>
    <t>9594dfe8-b845-11ef-898a-506b8d9879b5</t>
  </si>
  <si>
    <t>108 Đ. Nguyễn Ảnh Thủ, Hiệp Thành, Quận 12, Hồ Chí Minh</t>
  </si>
  <si>
    <t>21439 - HMon - PVHon - Nguyễn Xuân Công</t>
  </si>
  <si>
    <t>1bfaaf44-c260-11ef-b2cf-506b8d9879b5</t>
  </si>
  <si>
    <t>Phan Văn Hớn, Bà Điểm, Hóc Môn, Hồ Chí Minh</t>
  </si>
  <si>
    <t>21460 - D9 - NQuyen - Cù Xuân Thi</t>
  </si>
  <si>
    <t>c3eae896-ec1c-11ef-9368-506b8d9879b5</t>
  </si>
  <si>
    <t>125 Ngô Quyền, Hiệp Phú, Quận 9, Hồ Chí Minh</t>
  </si>
  <si>
    <t>3e89ccc0-86c9-11ef-8b7a-506b8d9879b5</t>
  </si>
  <si>
    <t>232 Nguyễn Thanh Đằng, Phước Hiệp, Bà Rịa, Bà Rịa - Vũng Tàu</t>
  </si>
  <si>
    <t>21479 - TDuc - QHuong - Bs Nguyễn Quang Bảo</t>
  </si>
  <si>
    <t>e0e9c25c-8ac6-11f0-9f3d-506b8d982279</t>
  </si>
  <si>
    <t>K Home Clinic, 3/8 Quốc Hương, Thảo Điền, TP Thủ Đức, Thảo Điền, Thủ Đức, Hồ Chí Minh</t>
  </si>
  <si>
    <t>ef3fc3ce-6b23-11ef-baed-506b8d9879b5</t>
  </si>
  <si>
    <t>Phòng khám Meijibio VietNam, 207 Đ. Nguyễn Văn Thủ, Đa Kao, Quận 1, Hồ Chí Minh</t>
  </si>
  <si>
    <t>21497 - BCat - QL13 - Phòng khám chuyên khoa nội tổng quát Bs Trần Đức Minh</t>
  </si>
  <si>
    <t>be80e52e-6b5a-11ef-95c9-506b8d9879b5</t>
  </si>
  <si>
    <t>488a QL13, Mỹ Phước, Bến Cát, Bình Dương</t>
  </si>
  <si>
    <t>21530 - MTho - BKST - Xét nghiệm y khoa Đồng Khởi Mỹ Tho</t>
  </si>
  <si>
    <t>86612ce0-af83-11ef-ab07-506b8d9879b5</t>
  </si>
  <si>
    <t>Đường bờ kè sông, Phường 6, Thành phố Mỹ Tho, Tiền Giang</t>
  </si>
  <si>
    <t>982ee11e-771c-11ef-bda9-506b8d9879b5</t>
  </si>
  <si>
    <t>Phòng Khám M for M, 5 Đường Số 8, Phường 13, Quận 6, Hồ Chí Minh</t>
  </si>
  <si>
    <t>4e30b9be-7417-11ef-a522-506b8d9879b5</t>
  </si>
  <si>
    <t>206 Đ. Hiệp Bình, Hiệp Bình Chánh, Thủ Đức, Hồ Chí Minh</t>
  </si>
  <si>
    <t>21556 - D7 - P - German Dental Clinic</t>
  </si>
  <si>
    <t>a7b99db8-6e57-11ef-bc73-506b8d9879b5</t>
  </si>
  <si>
    <t>German Dental Clinic, 40 Đường P, Khu đô thị Phú Mỹ Hưng, Quận 7, Hồ Chí Minh</t>
  </si>
  <si>
    <t>21584 - TDuc - PChau - Phạm Văn Sỹ</t>
  </si>
  <si>
    <t>d4c0f276-7ca6-11f0-8a39-506b8d982279</t>
  </si>
  <si>
    <t>21663 - GVap - QTrung -  Đinh Nguyễn Phương Khanh</t>
  </si>
  <si>
    <t>9b95f910-bf91-11ef-8f46-506b8d9879b5</t>
  </si>
  <si>
    <t>Số Đ. Quang Trung, Phường 11, Gò Vấp, Hồ Chí Minh</t>
  </si>
  <si>
    <t>831f639e-9999-11ef-b44e-506b8d9879b5</t>
  </si>
  <si>
    <t>35/7 Đường D5, Phường 25, Bình Thạnh, Hồ Chí Minh</t>
  </si>
  <si>
    <t>21667 - BThanh - PDLuu - Nha khoa Đăng Lưu</t>
  </si>
  <si>
    <t>070e6f18-a941-11ef-8b12-506b8d9879b5</t>
  </si>
  <si>
    <t>34 Đ. Phan Đăng Lưu, Phường 6, Bình Thạnh, Hồ Chí Minh</t>
  </si>
  <si>
    <t>21669 - D1 - PVChanh - Thẩm mỹ viện The Pyo</t>
  </si>
  <si>
    <t>8ed1fe22-b2b3-11ee-bbba-506b8d9879b5</t>
  </si>
  <si>
    <t>75 Đ. Phạm Viết Chánh, Phường Nguyễn Cư Trinh, Quận 1, Thành phố Hồ Chí Minh</t>
  </si>
  <si>
    <t>21677 - BTan - TVGiau -LAT MEDIC SAIGON</t>
  </si>
  <si>
    <t>2cee15be-883d-11ef-b022-506b8d9879b5</t>
  </si>
  <si>
    <t>THIÊN TÂM PHÚC - LAT MEDIC SAI GON, 486 Đ. Trần Văn Giàu, Tân Tạo, Bình Tân, Hồ Chí Minh</t>
  </si>
  <si>
    <t>21685 - D7 - TMy - Phòng khám Trí Việt</t>
  </si>
  <si>
    <t>41a0f568-d31e-11ef-a0ef-506b8d9879b5</t>
  </si>
  <si>
    <t>51 Tân Mỹ, Tân Phú, Quận 7, Hồ Chí Minh</t>
  </si>
  <si>
    <t>21695 - TDuc - LVChi - Phùng Quang Vinh</t>
  </si>
  <si>
    <t>c5339fb4-3789-11f0-b0d3-506b8d982279</t>
  </si>
  <si>
    <t>d43bffd8-b6a1-11ef-905e-506b8d9879b5</t>
  </si>
  <si>
    <t>Phòng Khám Da Liễu Anh Mỹ, 247A Nguyễn Trọng Tuyển, Phường 8, Phú Nhuận, Hồ Chí Minh</t>
  </si>
  <si>
    <t>21734 - HMon - TTNhi - Diệp Thành Tường</t>
  </si>
  <si>
    <t>38c85b50-8e01-11ef-92b2-506b8d9879b5</t>
  </si>
  <si>
    <t>84/4A Tân Thới Nhì Hóc Môn</t>
  </si>
  <si>
    <t>21779 - D11 - DS5 - Bs Nguyễn Minh Sang - Q11</t>
  </si>
  <si>
    <t>e84cac98-8564-11ef-b9fa-506b8d9879b5</t>
  </si>
  <si>
    <t>eead9412-98ba-11ef-8074-506b8d9879b5</t>
  </si>
  <si>
    <t>396d Châu Thị Kim, Phường 7, Tân An, Long An</t>
  </si>
  <si>
    <t>a31825ce-cd8b-11f0-9201-506b8d982279</t>
  </si>
  <si>
    <t>Trung tâm chẩn đoán Y khoa Miền Đông Lab, 256/15 QL1K, Linh Xuân, Thủ Đức, Thành phố Hồ Chí Minh</t>
  </si>
  <si>
    <t>7939705c-900e-11ef-a057-506b8d9879b5</t>
  </si>
  <si>
    <t>PHÒNG XÉT NGHIỆM Y KHOA MINH AN, 50 Đ. Phan Văn Mảng, TT. Bến Lức, Bến Lức, Long An</t>
  </si>
  <si>
    <t>Bến Lức</t>
  </si>
  <si>
    <t>12b8540a-a008-11f0-a6d4-506b8d982279</t>
  </si>
  <si>
    <t>Phòng khám thẩm mỹ Dr. Đắc Quang, 366 Cao Thắng, Phường 12, Quận 10</t>
  </si>
  <si>
    <t>21859 - D12 - TTN1 - Nguyễn Hoàng Sáng</t>
  </si>
  <si>
    <t>c686ec3e-8aa2-11ef-84b8-506b8d9879b5</t>
  </si>
  <si>
    <t>57/9 Đ. Tân Thới Nhất 1, Tân Thới Nhất, Quận 12, Hồ Chí Minh</t>
  </si>
  <si>
    <t>5732b7fc-902c-11ef-8bd2-506b8d9879b5</t>
  </si>
  <si>
    <t>Regen3tics, 47a Đ. Lê Văn Miến, St, Quận 2, Hồ Chí Minh</t>
  </si>
  <si>
    <t>5af8a98e-9999-11ef-a973-506b8d9879b5</t>
  </si>
  <si>
    <t>6a Tống Hữu Định, Thảo Điền, Quận 2, Hồ Chí Minh</t>
  </si>
  <si>
    <t>3a5b86ac-91b9-11ef-a7dc-506b8d9879b5</t>
  </si>
  <si>
    <t>462/2 Đ. Nguyễn Tri Phương, Phường 9, Quận 10, Hồ Chí Minh</t>
  </si>
  <si>
    <t>0e6db6ea-badb-11f0-88b8-506b8d982279</t>
  </si>
  <si>
    <t>Hải Vy, 113 Đ. Ngô Quyền, Phường 12, Quận 5, Thành phố Hồ Chí Minh</t>
  </si>
  <si>
    <t>21935 - D10 - DNai - Cty CPTMDV 4B</t>
  </si>
  <si>
    <t>6e64f6a8-969c-11ef-9728-506b8d9879b5</t>
  </si>
  <si>
    <t>BonBoz Clinic, 21-23 Đ. Đồng Nai, Phường 15, Quận 10, Hồ Chí Minh</t>
  </si>
  <si>
    <t>d758c56e-a546-11ef-801d-506b8d9879b5</t>
  </si>
  <si>
    <t>211 Yersin, Hiệp Thành, Thủ Dầu Một, Bình Dương</t>
  </si>
  <si>
    <t>21998 - D7 - NLBang - CTY CP SEN CLINIC  PHARMA</t>
  </si>
  <si>
    <t>05187fa6-092b-11f0-bd20-506b8d982279</t>
  </si>
  <si>
    <t>Era Town - Đức Khải, Đường 15B Nguyễn Lương Bằng, Phú Mỹ, Quận 7, Hồ Chí Minh</t>
  </si>
  <si>
    <t>22030 - D8 - CTHoa - Bs Quách Văn</t>
  </si>
  <si>
    <t>9a298426-5261-11f0-8705-506b8d982279</t>
  </si>
  <si>
    <t>64 Đ. Châu Thị Hóa, Phường 4, Quận 8, Hồ Chí Minh</t>
  </si>
  <si>
    <t>22125 - D11 - 5 - Lê Danh Xuân</t>
  </si>
  <si>
    <t>9ab9a27a-500b-11f0-a824-506b8d982279</t>
  </si>
  <si>
    <t>b0b197ac-bea4-11ef-8ee7-506b8d9879b5</t>
  </si>
  <si>
    <t>Park 2 Vinhomes Central Park, 720a Điện Biên Phủ, Phường 22, Bình Thạnh, Hồ Chí Minh</t>
  </si>
  <si>
    <t>2df160d4-39da-11f0-a2f8-506b8d982279</t>
  </si>
  <si>
    <t>VILIFE CLINIC - Phòng khám Sức Sống Việt, 226/16A Đ. Lê Văn Sỹ, Phường 1, Tân Bình, Hồ Chí Minh</t>
  </si>
  <si>
    <t>22237 - D10 - NGTu - Phòng Khám An An</t>
  </si>
  <si>
    <t>711f2902-8725-11f0-a965-506b8d982279</t>
  </si>
  <si>
    <t>354 Ngô Gia Tự, Phường 4, Quận 10, Hồ Chí Minh</t>
  </si>
  <si>
    <t>27a5e552-e745-11ef-85e6-506b8d9879b5</t>
  </si>
  <si>
    <t>50 Nguyễn Văn Tiên, Tân Phong, TP Biên Hòa, Đồng Nai</t>
  </si>
  <si>
    <t>22262 - BChanh - NHTri - Phòng Khám Sản Phụ Khoa An Linh</t>
  </si>
  <si>
    <t>22706450-bf76-11ef-8122-506b8d9879b5</t>
  </si>
  <si>
    <t>Nguyễn Hữu Trí, TT. Tân Túc, Thành phố Hồ Chí Minh, Hồ Chí Minh 70000, Việt Nam</t>
  </si>
  <si>
    <t>fa79c97e-cccb-11ef-abf9-506b8d9879b5</t>
  </si>
  <si>
    <t>Vietmedi Healthcare Center, 339 Điện Biên Phủ, Phường 04, Quận 3, Hồ Chí Minh</t>
  </si>
  <si>
    <t>22323 - BThanh - DBPhu - Hệ Thống Friend Medical Clinic</t>
  </si>
  <si>
    <t>3d13740c-0fba-11f0-924c-506b8d982279</t>
  </si>
  <si>
    <t>Cầu Điện Biên Phủ, phường 2, Bình Thạnh, Hồ Chí Minh</t>
  </si>
  <si>
    <t>c57ab038-fff9-11ef-b55f-506b8d9879b5</t>
  </si>
  <si>
    <t>Phòng Khám FMC / FMC Clinic, A12 Saigon Villas Hill, 99 Lê Văn Việt, Thành phố, Thủ Đức, Hồ Chí Minh</t>
  </si>
  <si>
    <t>b4430112-b887-11ef-a0ce-506b8d9879b5</t>
  </si>
  <si>
    <t>1668 TL10, Khu phố 1, Bình Tân, Hồ Chí Minh</t>
  </si>
  <si>
    <t>22385 - D1 - SNAnh - Kt Beauty Medical Centre</t>
  </si>
  <si>
    <t>380c659a-ef44-11ef-918f-506b8d9879b5</t>
  </si>
  <si>
    <t>Viện Thẩm Mỹ KT - KT Beauty Medical Centre, 1 Đ.Sương Nguyệt Anh, Phường Phạm Ngũ Lão, Quận 1, Hồ Chí Minh</t>
  </si>
  <si>
    <t>22391 - PNhuan - HHa - Phòng khám gia đình Tokyo</t>
  </si>
  <si>
    <t>369a7200-c1a0-11ef-9499-506b8d9879b5</t>
  </si>
  <si>
    <t>Phòng khám gia đình Tokyo, T1-T2, L'MAK HỒNG HÀ TOWER, 127 Đ. Hồng Hà, Ward 9, Phú Nhuận, Hồ Chí Minh</t>
  </si>
  <si>
    <t>d16818aa-e428-11ef-b1fb-506b8d9879b5</t>
  </si>
  <si>
    <t>22414 - TBinh - TChinh - BS Ngô Phương Minh Thuận</t>
  </si>
  <si>
    <t>dcc932a8-a5d2-11f0-9362-506b8d982279</t>
  </si>
  <si>
    <t>474 Đ. Trường Chinh, Phường 13, Tân Bình, Hồ Chí Minh</t>
  </si>
  <si>
    <t>22439 - CChi - TL15 - Phòng khám sản phụ khoa Hồng Hà</t>
  </si>
  <si>
    <t>ccea005c-556d-11f0-97da-506b8d982279</t>
  </si>
  <si>
    <t>Phòng khám Sản phụ khoa Hồng Hà, 442/4 Đ. Tỉnh Lộ 15, Phú Hoà Đông, Củ Chi, Hồ Chí Minh</t>
  </si>
  <si>
    <t>22439 - D1 - NVThu - Phòng khám sản phụ khoa Hồng Hà</t>
  </si>
  <si>
    <t>b6472b86-556d-11f0-9cd5-506b8d982279</t>
  </si>
  <si>
    <t>3 Nguyễn Văn Thủ, Đa Kao, Quận 1, Hồ Chí Minh</t>
  </si>
  <si>
    <t>22439 - TBinh - HHa - Phòng khám sản phụ khoa Hồng Hà</t>
  </si>
  <si>
    <t>c046e08c-ff40-11ef-ad8d-506b8d9879b5</t>
  </si>
  <si>
    <t>112b Đ. Hồng Hà, Phường 2, Tân Bình, Hồ Chí Minh</t>
  </si>
  <si>
    <t>22451 - BChanh - DS1 - BS Phạm Thị Thanh Hương</t>
  </si>
  <si>
    <t>df4460e6-a1c4-11f0-9079-506b8d982279</t>
  </si>
  <si>
    <t>Bệnh viện Đa khoa Bình Chánh, 1 Đường Số 1, Khu trung tâm hành chính huyện, Bình Chánh, Hồ Chí Minh</t>
  </si>
  <si>
    <t>dbdc81ea-c664-11ef-9fda-506b8d9879b5</t>
  </si>
  <si>
    <t>Phòng khám Da Liễu Thẩm Mỹ ALMA Clinic, 290 Đ. Nguyễn Thị Minh Khai, Phường 5, Quận 3, Hồ Chí Minh</t>
  </si>
  <si>
    <t>4735289c-1512-11f0-a168-506b8d982279</t>
  </si>
  <si>
    <t>77/159/A3 Đặng Văn Trơn, Biên Hòa, Đồng Nai</t>
  </si>
  <si>
    <t>22495 - BChanh - 1 - Phan Quang Huy</t>
  </si>
  <si>
    <t>3b9ae2e8-1e67-11f0-a963-506b8d982279</t>
  </si>
  <si>
    <t>22503 - VTau - PHThai - Phòng Xét Nghiệm Y Khoa Tâm An</t>
  </si>
  <si>
    <t>5caa51b4-d22f-11ef-94bb-506b8d9879b5</t>
  </si>
  <si>
    <t>172 Phạm Hồng Thái, Phường 7, Vũng Tàu, Bà Rịa - Vũng Tàu</t>
  </si>
  <si>
    <t>22515 - BCat - D11 -  Công ty cổ phần Bệnh Viện đa Khoa Đại Minh Phước</t>
  </si>
  <si>
    <t>b9f61f4c-6221-11f0-aad4-506b8d982279</t>
  </si>
  <si>
    <t>Cty CP Phòng khám đa khoa Đại Minh Phước, 39-40-41, D11, Thới Hoà, Bến Cát, Bình Dương</t>
  </si>
  <si>
    <t>22524 - D6 - BSay -  Phòng khám bác sĩ Nguyễn Thành Tâm</t>
  </si>
  <si>
    <t>a3334cf0-d0c5-11ef-8eb6-506b8d9879b5</t>
  </si>
  <si>
    <t>184/4B Đ. Bãi Sậy, Phường 4, Quận 6, Hồ Chí Minh</t>
  </si>
  <si>
    <t>Bình Tiên</t>
  </si>
  <si>
    <t>22524 - D8 - TLoan - Phòng khám bác sĩ Nguyễn Thành Tâm</t>
  </si>
  <si>
    <t>19d51630-cffa-11ef-b4a8-506b8d9879b5</t>
  </si>
  <si>
    <t>Nhà xe 9 Hùng - Bến Tre, 35 Đ. Thanh Loan, Phường 5, Quận 8, Hồ Chí Minh</t>
  </si>
  <si>
    <t>22528 - TBinh - CMT8 - Bs Đặng Thị Thục Nghi</t>
  </si>
  <si>
    <t>4bb59c1e-0d45-11f0-8259-506b8d982279</t>
  </si>
  <si>
    <t>Cổng số 2 PHƯƠNG TRANG BV Thống Nhất, 792 Cách Mạng Tháng Tám, Phường 7, Tân Bình, Hồ Chí Minh</t>
  </si>
  <si>
    <t>22558 - BThanh - NHCanh - Phạm Thị Lan Thanh</t>
  </si>
  <si>
    <t>3933c614-06e8-11f0-b5e3-506b8d982279</t>
  </si>
  <si>
    <t>22576 - D11 - 5 - Đào Thị Mỹ Trinh</t>
  </si>
  <si>
    <t>cadcf2f2-5242-11f0-90a2-506b8d982279</t>
  </si>
  <si>
    <t>8dab5ef4-f3e8-11ef-aee5-506b8d9879b5</t>
  </si>
  <si>
    <t>Trung Tâm Xét Nghiệp Y Khoa Thuận Thành, 114 Lê Thị Hồng Gấm, Phường 6, Mỹ Tho, Tiền Giang</t>
  </si>
  <si>
    <t>efcbdd7e-ede0-11ef-951f-506b8d9879b5</t>
  </si>
  <si>
    <t>Trung Tâm Xét Nghiệm Y Khoa TASS CARE, 227 Đ. số 9A, Khu dân cư Trung Sơn, Bình Chánh, Hồ Chí Minh</t>
  </si>
  <si>
    <t>22707 - D5 - NCThanh - Phòng Khám Sản Phụ Khoa Happy</t>
  </si>
  <si>
    <t>dcc45d9c-08ab-11f0-91b6-506b8d982279</t>
  </si>
  <si>
    <t>229 Đ. Nguyễn Chí Thanh, Phường 12, Quận 5, Hồ Chí Minh</t>
  </si>
  <si>
    <t>e8a5c316-4e57-11f0-9e90-506b8d982279</t>
  </si>
  <si>
    <t>9 Nguyễn Đức Thuận, Phường 13, Tân Bình, Hồ Chí Minh</t>
  </si>
  <si>
    <t>22806 - D7 - NLBang - BS Hồ Châu Anh Thư</t>
  </si>
  <si>
    <t>69333566-4e4b-11f0-aff1-506b8d982279</t>
  </si>
  <si>
    <t>68ad2866-48e9-11f0-95b9-506b8d982279</t>
  </si>
  <si>
    <t>Trung Tâm Y Khoa Vạn Hạnh - Cần Thơ, D35, D36 D37 Đ. số 1, khu đô thị, Cái Răng, Cần Thơ 90000</t>
  </si>
  <si>
    <t>22869 - D10 - LTTo - Bs Nguyễn Thị Liên Chi</t>
  </si>
  <si>
    <t>15146834-2000-11f0-9d10-506b8d982279</t>
  </si>
  <si>
    <t>22885 - TDuc - LVChi - Nguyễn Thị Hải Yến</t>
  </si>
  <si>
    <t>73536918-91de-11f0-9d98-506b8d982279</t>
  </si>
  <si>
    <t>22893 - BTan - TVGiau - Thiên Tâm Phúc</t>
  </si>
  <si>
    <t>8c34f5c4-3148-11f0-9208-506b8d982279</t>
  </si>
  <si>
    <t>be63422e-4013-11f0-87de-506b8d982279</t>
  </si>
  <si>
    <t>Phòng xét nghiệm Y khoa MEDIC 62, HCX4+PGJ, Thủ Thừa, Thủ Thừa District, Long An</t>
  </si>
  <si>
    <t>674968e6-71ce-11f0-8ee8-506b8d982279</t>
  </si>
  <si>
    <t>120 Military Hospital, 518 Nguyễn Thị Thập, Phường 6, Mỹ Tho, Tiền Giang</t>
  </si>
  <si>
    <t>22907 - D1 - LLai - PHÂN VIỆN KHOA HỌC AN TOÀN VỆ SINH LAO ĐỘNG VÀ BẢO VỆ MÔI TRƯỜNG MIỀN NAM</t>
  </si>
  <si>
    <t>6aefe718-142c-11f0-8de8-506b8d982279</t>
  </si>
  <si>
    <t>124-126 Đ. Lê Lai, Phường Phạm Ngũ Lão, Quận 1, Hồ Chí Minh</t>
  </si>
  <si>
    <t>22909 - D10 - SVHanh - Thẩm mỹ Sky love</t>
  </si>
  <si>
    <t>4875a7fa-0b7f-11f0-88b6-506b8d982279</t>
  </si>
  <si>
    <t>766/6 Su Van Hanh, Phường 12, Quận 10, Hồ Chí Minh</t>
  </si>
  <si>
    <t>5da41f4c-1f31-11f0-8bae-506b8d982279</t>
  </si>
  <si>
    <t>Phòng Khám Đa Khoa Ái Nghĩa, Phước Thiền, Nhơn Trạch District, Dong Nai</t>
  </si>
  <si>
    <t>84fde21c-1f31-11f0-a64b-506b8d982279</t>
  </si>
  <si>
    <t>Phòng khám Đa Khoa Ái Nghĩa Biên Hòa, 122 - 124 Đ. Đồng Khởi, P, Biên Hòa, Đồng Nai</t>
  </si>
  <si>
    <t>a1706c3a-1f31-11f0-ae2d-506b8d982279</t>
  </si>
  <si>
    <t>Phòng Khám Đa Khoa Ái Nghĩa Long Thành, 232 Lê Duẩn, TT. Long Thành, Long Thành, Đồng Nai</t>
  </si>
  <si>
    <t>An Phước</t>
  </si>
  <si>
    <t>22927 - LKhanh - HTHuong - PHÒNG KHÁM ĐA KHOA ÁI NGHĨA LONG KHÁNH</t>
  </si>
  <si>
    <t>b7504c14-1f31-11f0-9a83-506b8d982279</t>
  </si>
  <si>
    <t>Co. polyclinics Ai Nghia Long Khanh, 505 Hồ Thị Hương, Bàu Trâm, Long Khánh, Đồng Nai</t>
  </si>
  <si>
    <t>Long Khánh</t>
  </si>
  <si>
    <t>22928 - D5 - NDDuong - PHÒNG KHÁM ĐA KHOA ÁI NGHĨA XUÂN LỘC (Kim Mạnh Hùng)</t>
  </si>
  <si>
    <t>3cbd491c-8e11-11f0-950a-506b8d982279</t>
  </si>
  <si>
    <t>Kim Mạnh Hùng - Nguyễn Duy Dương, 34C Đ. Nguyễn Duy Dương, Phường 8, Quận 5, Hồ Chí Minh</t>
  </si>
  <si>
    <t>e6f43818-1f31-11f0-81af-506b8d982279</t>
  </si>
  <si>
    <t>Phòng khám Đa Khoa Ái Nghĩa Tam Phước, Phùng Hưng/Đường Ấp 8, Khu phố 5, Long Thành, Đồng Nai</t>
  </si>
  <si>
    <t>22975 - TDuc - LVChi - Bs Nguyễn Trọng Tuấn.</t>
  </si>
  <si>
    <t>abc151cc-2503-11f0-985e-506b8d982279</t>
  </si>
  <si>
    <t>22983 - D9 - S903 - Phòng khám nhi dinh dưỡng NPC</t>
  </si>
  <si>
    <t>81ced7de-53c2-11f0-a04c-506b8d982279</t>
  </si>
  <si>
    <t>RRWQ+Q34, Long Thạnh Mỹ, Thủ Đức City, Ho Chi Minh City</t>
  </si>
  <si>
    <t>3736a85c-4592-11f0-a3d1-506b8d982279</t>
  </si>
  <si>
    <t>Phòng khám Sản phụ khoa Vuông Tròn 2 ĐT743, KCN Sóng Thần, Dĩ An, Bình Dương</t>
  </si>
  <si>
    <t>b4d7bbf4-2d3f-11f0-9f74-506b8d982279</t>
  </si>
  <si>
    <t>131/19 Đ. Số 8, Khu Phó 1, Thủ Đức, Hồ Chí Minh</t>
  </si>
  <si>
    <t>23032 - TBinh - BDang - DIAN LABORATORY</t>
  </si>
  <si>
    <t>bdd67da8-27c7-11f0-aa2a-506b8d982279</t>
  </si>
  <si>
    <t>96 Bạch Đằng P. 2, Phường 2, Tân Bình, Hồ Chí Minh</t>
  </si>
  <si>
    <t>23043 - D6 - CLon - BS Nguyễn Vũ</t>
  </si>
  <si>
    <t>e56afcf8-23db-11f0-92d7-506b8d982279</t>
  </si>
  <si>
    <t>District 6 Hospital, 2D Đ. Chợ Lớn, Phường 11, Quận 6, Hồ Chí Minh</t>
  </si>
  <si>
    <t>23069 - D10 - HVuong - BS Trần Văn Hiếu</t>
  </si>
  <si>
    <t>81452f42-2bd7-11f0-be9c-506b8d982279</t>
  </si>
  <si>
    <t>Công ty xe Cường Thủy, 30 Đ. Hùng Vương, Phường 1, Quận 10, Hồ Chí Minh</t>
  </si>
  <si>
    <t>23072 - TBinh - HHTham - CÔNG TY TNHH SẢN XUẤT THƯƠNG MẠI HỒNG PHÚC</t>
  </si>
  <si>
    <t>2f3d77b8-2f0b-11f0-9045-506b8d982279</t>
  </si>
  <si>
    <t>PHÒNG KHÁM ĐA KHOA QUỐC TẾ GOLDEN HEALTHCARE, 37 Hoàng Hoa Thám, Phường 13, Tân Bình, Hồ Chí Minh</t>
  </si>
  <si>
    <t>23112 - ThAn - NVTiet - Nhan Như Ngọc</t>
  </si>
  <si>
    <t>d0807560-4fe7-11f0-beef-506b8d982279</t>
  </si>
  <si>
    <t>23118 - BChanh - TLu - Bs Nguyễn Thị Hiếu</t>
  </si>
  <si>
    <t>6553a390-35d7-11f0-be7b-506b8d982279</t>
  </si>
  <si>
    <t>813 Đường Thế Lữ, Tân Nhựt, Bình Chánh, Hồ Chí Minh</t>
  </si>
  <si>
    <t>e4ac41f6-086e-11f0-b94a-506b8d982279</t>
  </si>
  <si>
    <t>15 Nguyễn Lương Bằng, Tân Phú, Quận 7, Hồ Chí Minh</t>
  </si>
  <si>
    <t>23245 - D11 - 5NTP6 - PHÒNG KHÁM ĐA KHOA THIÊN ÂN TÁNH LINH</t>
  </si>
  <si>
    <t>7927a09c-505c-11f1-9378-fa163ee8d8ac</t>
  </si>
  <si>
    <t>23123 - D10 - THThanh - BS Nguyễn Nữ Quý Thư</t>
  </si>
  <si>
    <t>0665f6a4-8a31-11f0-9459-506b8d982279</t>
  </si>
  <si>
    <t>383ca10c-3e12-11f0-a958-506b8d982279</t>
  </si>
  <si>
    <t>Số 11D Lô 3 đường Lái Thiêu 14, Tổ 6, Lái Thiêu 14, khu phố Bình Hoà, Lái Thiêu, Thuận An, Bình Dương</t>
  </si>
  <si>
    <t>23151 - D10 - NTLa - Phòng xét nghiệm y khoa Thạc sĩ Phương Quyên</t>
  </si>
  <si>
    <t>9fcdeccc-c39b-11f0-a1ad-506b8d982279</t>
  </si>
  <si>
    <t>84 Nguyễn Tiểu La, Phường 8, Quận 10, Thành phố Hồ Chí Minh</t>
  </si>
  <si>
    <t>23190 - BCat - D14 - XN Nguyễn Trung Trực</t>
  </si>
  <si>
    <t>f7ecf2f0-45c3-11f0-b688-506b8d982279</t>
  </si>
  <si>
    <t>Quầy thuốc Hải Vân - Số 19, đường D14, Phường Thới Hoà - Bến Cát - Bình Dương</t>
  </si>
  <si>
    <t>23212 - BTan - 6B - NeoVita</t>
  </si>
  <si>
    <t>56723454-4824-11f0-9dd9-506b8d982279</t>
  </si>
  <si>
    <t>NeoVita Bình Tân - Trung tâm tiêm chủng và dịch vụ y tế, 2-4, Đ. Số 6B - Nối Dài, Bình Hưng Hoà B, Bình Tân, Hồ Chí Minh</t>
  </si>
  <si>
    <t>23228 - LThanh - PHung - CÔNG TY TNHH MỘT THÀNH VIÊN PHÒNG KHÁM ĐA KHOA THÀNH TÂM</t>
  </si>
  <si>
    <t>f5829b5c-78b6-11f0-9555-506b8d982279</t>
  </si>
  <si>
    <t>48 Phùng Hưng, Long Đức, Long Thành, Đồng Nai</t>
  </si>
  <si>
    <t>Tam Phước</t>
  </si>
  <si>
    <t>23240 - TBinh - LTKiet - Bs Nguyễn Phạm Hoàng Long</t>
  </si>
  <si>
    <t>a244fb98-ae75-11f0-91d1-506b8d982279</t>
  </si>
  <si>
    <t>Bệnh viện Thống Nhất, 1 Đ. Lý Thường Kiệt, Phường 7, Tân Bình, Thành phố Hồ Chí Minh</t>
  </si>
  <si>
    <t>d4e006c0-42a9-11f0-af1e-506b8d982279</t>
  </si>
  <si>
    <t>Thửa số 132, tờ bản đồ số 38, Ấp Suối Sâu, Xã Đất Cuốc, Huyện Bắc Tân Uyên, Bình Dương</t>
  </si>
  <si>
    <t>Bắc Tân Uyên</t>
  </si>
  <si>
    <t>c6db25aa-458d-11f0-b3ac-506b8d982279</t>
  </si>
  <si>
    <t>507 Đ. Nhật Tảo, Phường 6, Quận 11, Hồ Chí Minh</t>
  </si>
  <si>
    <t>2bd59acc-d593-11f0-9c4e-506b8d982279</t>
  </si>
  <si>
    <t>Dong Nai Thong Nhat General Hospital, 234 QL1A, Tân Biên, Biên Hòa, Đồng Nai</t>
  </si>
  <si>
    <t>23281 - D3 - Pasteur - CÔNG TY CỔ PHẦN THƯƠNG MẠI DỊCH VỤ IHEALTH HÀ NỘI</t>
  </si>
  <si>
    <t>486478a2-b554-11f0-8fc4-506b8d982279</t>
  </si>
  <si>
    <t>119 Pasteur, Phường 6, Quận 3, Thành phố Hồ Chí Minh</t>
  </si>
  <si>
    <t>a13f2c3c-62f3-11f0-835a-506b8d982279</t>
  </si>
  <si>
    <t>Phòng khám Bác sỹ Em bé (Nhi khoa - Sản phụ khoa - Siêu âm thai - Tư vấn hiếm muộn), 1115 Đ. Kha Vạn Cân, Phường Linh Trung, Thủ Đức, Hồ Chí Minh</t>
  </si>
  <si>
    <t>23288 - CChi - NVHoai - Nguyễn Thị Phương Dung</t>
  </si>
  <si>
    <t>35ae39da-50c0-11f0-b2dd-506b8d982279</t>
  </si>
  <si>
    <t>a0aecc9e-0a5a-11ee-89e4-506b8dbc8dfb</t>
  </si>
  <si>
    <t>50 Đ. Số 65, Tân Phong, Quận 7, Thành phố Hồ Chí Minh</t>
  </si>
  <si>
    <t>23320 - NBe - NVTao - Phan Thái Bảo</t>
  </si>
  <si>
    <t>68ae3784-5491-11f0-b15a-506b8d982279</t>
  </si>
  <si>
    <t>554 Đ. Nguyễn Văn Tạo, Long Thới, Nhà Bè, Hồ Chí Minh</t>
  </si>
  <si>
    <t>Hiệp Phước</t>
  </si>
  <si>
    <t>23330 - D3 - NTMKhai - CÔNG TY TNHH Y TẾ MINH KHAI CHI NHÁNH BẾN TRE PHÒNG KHÁM Y KHOA HỒ CHÍ MINH</t>
  </si>
  <si>
    <t>29eb5972-526c-11f0-99dd-506b8d982279</t>
  </si>
  <si>
    <t>430 Nguyễn Thị Minh Khai, Phường 5, Quận 3, Hồ Chí Minh</t>
  </si>
  <si>
    <t>23331 - TAn - NTBay - Nhà Thuốc Bạch Yến 9</t>
  </si>
  <si>
    <t>28075cc4-53c4-11f0-8610-506b8d982279</t>
  </si>
  <si>
    <t>6 Nguyễn Thị Bảy, Phường 6, Tân An, Long An</t>
  </si>
  <si>
    <t>23347 - MTho - NMDuong - Bác sĩ Lê Văn Phó</t>
  </si>
  <si>
    <t>f65efdce-5f96-11f0-ac94-506b8d982279</t>
  </si>
  <si>
    <t>538 Đường Nguyễn Minh Đường, Ấp 1, Mỹ Tho, Tiền Giang</t>
  </si>
  <si>
    <t>Đạo Thạnh</t>
  </si>
  <si>
    <t>48400794-5490-11f0-a04e-506b8d982279</t>
  </si>
  <si>
    <t>XVP7+5CC, 151, Trảng Dài, Biên Hòa, Đồng Nai</t>
  </si>
  <si>
    <t>7f8c759c-85d0-11ee-bf16-506b8d9879b5</t>
  </si>
  <si>
    <t>Trần Quốc Thảo - 5 Kỳ Đồng, phường 9, Quận 3, Thành phố Hồ Chí Minh</t>
  </si>
  <si>
    <t>31b408c0-5bcc-11f0-b8b7-506b8d982279</t>
  </si>
  <si>
    <t>c56d29e8-5fe6-11f0-b560-506b8d982279</t>
  </si>
  <si>
    <t>WMXQ+G99, Ng. Chí Thanh, An Thạnh, Thuận An, Bình Dương</t>
  </si>
  <si>
    <t>8f48bac0-630c-11f0-b1ca-506b8d982279</t>
  </si>
  <si>
    <t>91 Công chúa Ngọc Hân, Phường 8, Quận 11, Hồ Chí Minh 00000</t>
  </si>
  <si>
    <t>9b7030ec-7353-11f0-b91d-506b8d982279</t>
  </si>
  <si>
    <t>Nhà xe Hải Nam (Biên hòa), 216 Nguyễn Ái Quốc, Tân Mai, Biên Hòa, Đồng Nai</t>
  </si>
  <si>
    <t>4a2a0bca-776f-11f0-84a1-506b8d982279</t>
  </si>
  <si>
    <t>Phòng khám sản khoa Việt Sing, Ô 08, Lô DC, 69 Đ. D1, Khu Dân Cư Viet Sing, Thuận An, Bình Dương</t>
  </si>
  <si>
    <t>23457 - GVap - PVTri - CÔNG TY TNHH NHA KHOA TRÍ VIỆT SMILE</t>
  </si>
  <si>
    <t>bf4cb852-c9b9-11f0-95ab-506b8d982279</t>
  </si>
  <si>
    <t>NHA KHOA TRÍ VIỆT, 849 Đ. Phan Văn Trị, Phường 1, Gò Vấp</t>
  </si>
  <si>
    <t>23457 - GVap - TNhat - CÔNG TY TNHH NHA KHOA TRÍ VIỆT SMILE</t>
  </si>
  <si>
    <t>8f2daa00-9ab6-11f0-8b42-506b8d982279</t>
  </si>
  <si>
    <t>NHA KHOA TRÍ VIỆT Smile - Thống Nhất, 455 Đ. Thống Nhất, Phường 16, Gò Vấp, Hồ Chí Minh</t>
  </si>
  <si>
    <t>23461 - D7 - 16 - Công ty TNHH Y tế SNS</t>
  </si>
  <si>
    <t>4e59bbf0-6842-11f0-ab57-506b8d982279</t>
  </si>
  <si>
    <t>Building H, Midtown - The Peak M8, Vietnam, Ho Chi Minh City, District 7, Tân Phú, Khu đô thị Phú Mỹ Hưng, Đường số 16</t>
  </si>
  <si>
    <t>d9627430-7b1b-11f0-857d-506b8d982279</t>
  </si>
  <si>
    <t>59fa8f78-8b9e-11f0-8002-506b8d982279</t>
  </si>
  <si>
    <t>08821918-737a-11f0-aae5-506b8d982279</t>
  </si>
  <si>
    <t>62 Hẻm 268 Nguyễn Thái Bình, Phường 12, Tân Bình, Hồ Chí Minh</t>
  </si>
  <si>
    <t>23514 - BChanh - BMinh - BS Dương Nguyễn Hoàng Lam</t>
  </si>
  <si>
    <t>17dfcfa4-9765-11f0-a1ce-506b8d982279</t>
  </si>
  <si>
    <t>Le Minh Xuan Mental Hospital, Ấp 6 Xã Lê Minh Xuân, Lê Minh Xuân, Thành Phố Hồ Chí Minh, Hồ Chí Minh</t>
  </si>
  <si>
    <t>Bình Lợi</t>
  </si>
  <si>
    <t>ebe315f8-79a2-11f0-ba44-506b8d982279</t>
  </si>
  <si>
    <t>Phòng Khám Chuyên Khoa Ngoại Việt Đức Sài Gòn, 250 Đ. Lũy Bán Bích, Hòa Thạnh, Tân Phú, Hồ Chí Minh</t>
  </si>
  <si>
    <t>23526 - D7 - KCXuat - Phòng khám Sài Gòn Tân Thuận</t>
  </si>
  <si>
    <t>12b3b910-6dbb-11f0-bc1e-506b8d982279</t>
  </si>
  <si>
    <t>QP2H+VVP, Tân Thuận Đông, District 7, Ho Chi Minh City</t>
  </si>
  <si>
    <t>5c78d8c6-887a-11f0-92fa-506b8d982279</t>
  </si>
  <si>
    <t>Phòng khám Sản phụ khoa Ngọc Lệ - ThS.BS Nguyễn Thị Ngọc Lệ, 1121 TL43, Khu phố 2, Thủ Đức, Hồ Chí Minh</t>
  </si>
  <si>
    <t>cb81ff40-cf79-11f0-ae64-506b8d982279</t>
  </si>
  <si>
    <t>127C Đ. Gò Dầu, Tân Quý, Tân Phú, Thành phố Hồ Chí Minh</t>
  </si>
  <si>
    <t>23570 - D1 - TDXu - CÔNG TY CỔ PHẦN DỊCH VỤ VÀ ĐẦU TƯ Y TẾ HEALTH BOUTIQUE</t>
  </si>
  <si>
    <t>92eb0e60-9aae-11f0-b32f-506b8d982279</t>
  </si>
  <si>
    <t>28-30 Trần Đình Xu, Phường Cô Giang, Quận 1, Hồ Chí Minh</t>
  </si>
  <si>
    <t>e05dd2f2-befa-11f0-a698-506b8d982279</t>
  </si>
  <si>
    <t>220 Lê Hồng Phong, Phường 4, Quận 5, Thành phố Hồ Chí Minh</t>
  </si>
  <si>
    <t>d98568e2-c9ad-11f0-8c1e-506b8d982279</t>
  </si>
  <si>
    <t>Văn Phòng Xe Điền Linh Quận 5, 58 Đ. Phú Hữu, Phường 14, Quận 5</t>
  </si>
  <si>
    <t>3a019f18-8590-11f0-83a8-506b8d982279</t>
  </si>
  <si>
    <t>Nam Anh Hospital, 2 8, Khu Phố Thống Nhất 1, Dĩ An, Bình Dương</t>
  </si>
  <si>
    <t>4061af16-d620-11f0-b121-506b8d982279</t>
  </si>
  <si>
    <t>575 Đại lộ Bình Dương, Hiệp Thành, Thủ Dầu Một, Bình Dương</t>
  </si>
  <si>
    <t>b3b2c722-7c32-11f0-bfd2-506b8d982279</t>
  </si>
  <si>
    <t>22 Đường số 49, Tân Tạo, Bình Tân, Hồ Chí Minh</t>
  </si>
  <si>
    <t>db94b1d6-7c11-11f0-b055-506b8d982279</t>
  </si>
  <si>
    <t>Dr. Care - Implant Clinic: Trồng răng Implant không đau, P3-0, SH08, Park 3, 720A Điện Biên Phủ, Vinhomes Tân Cảng, Bình Thạnh, Hồ Chí Minh</t>
  </si>
  <si>
    <t>584e8c0c-a975-11f0-bc05-506b8d982279</t>
  </si>
  <si>
    <t>99 Trần Văn Xã, Trảng Dài, Tp. Biên Hòa</t>
  </si>
  <si>
    <t>23613 - BThanh - NXi - CÔNG TY CỔ PHẦN DƯỢC PHẨM FPT LONG CHÂU</t>
  </si>
  <si>
    <t>25dc337c-84be-11f0-a273-506b8d982279</t>
  </si>
  <si>
    <t>355-355A Nguyễn Xí, P. Bình Lợi Trung, TP. HCM</t>
  </si>
  <si>
    <t>3e36323e-a975-11f0-a790-506b8d982279</t>
  </si>
  <si>
    <t>226 Yersin, Hiệp Thành, Thủ Dầu Một</t>
  </si>
  <si>
    <t>23639 - D1 - NDChieu - CÔNG TY TNHH TMDV SIGNATURE BY K</t>
  </si>
  <si>
    <t>5b4f4798-943f-11f0-bf62-506b8d982279</t>
  </si>
  <si>
    <t>23649 - TDuc - LVChi - Lê Thị Ngọc Mỹ</t>
  </si>
  <si>
    <t>d6730132-817d-11f0-af5f-506b8d982279</t>
  </si>
  <si>
    <t>55238e6a-8de6-11f0-a64e-506b8d982279</t>
  </si>
  <si>
    <t>Châu Thành District Medical Center, CFQF+JJ6, TT. Tầm Vu, Châu Thành District, Long An</t>
  </si>
  <si>
    <t>3360c04c-8f79-11f0-a33c-506b8d982279</t>
  </si>
  <si>
    <t>Nguyễn Thông High School, Số 2B Khu Phố Phú Thạnh, Hiệp Thành, Châu Thành, Long An</t>
  </si>
  <si>
    <t>23658 - D5 - ABinh - Lê Khánh Huyền</t>
  </si>
  <si>
    <t>607e4baa-c9e7-11f0-a9f1-506b8d982279</t>
  </si>
  <si>
    <t>Bệnh viện An Bình, 146 Đ. An Bình, Phường An Đông, Quận 5</t>
  </si>
  <si>
    <t>23674 - ThAn - DA3 - Đỗ Ngọc Thư</t>
  </si>
  <si>
    <t>ef550a2a-a193-11f0-bb24-506b8d982279</t>
  </si>
  <si>
    <t>21/2/158 KP Đồng An 3, P Bình Hoà, Thuận An, Bình Dương</t>
  </si>
  <si>
    <t>2e8f16ae-8fd3-11f0-852a-506b8d982279</t>
  </si>
  <si>
    <t>848 Đ. Phạm Văn Đồng, Hiệp Bình Chánh, Thủ Đức, Hồ Chí Minh</t>
  </si>
  <si>
    <t>b3e5c2f4-9ce8-11f0-926c-506b8d982279</t>
  </si>
  <si>
    <t>8 Đường số 5A, Khu dân cư Ấp 5 Phong Phú, Bình Chánh, Hồ Chí Minh</t>
  </si>
  <si>
    <t>b2a4e78c-a1c3-11f0-932c-506b8d982279</t>
  </si>
  <si>
    <t>914 Đ. Tạ Quang Bửu, Phường 5, Quận 8, Hồ Chí Minh</t>
  </si>
  <si>
    <t>f15947f2-aef2-11f0-8b18-506b8d982279</t>
  </si>
  <si>
    <t>Phòng Khám Sản Phụ Khoa Bác Sĩ Thanh Tâm - An Phú- Thuận An - Bình Dương, 182 Đ. D26, Làng chuyên gia Oasis, Thuận An, Bình Dương</t>
  </si>
  <si>
    <t>b0eae254-d574-11f0-a854-506b8d982279</t>
  </si>
  <si>
    <t>6f11bae4-b894-11f0-954c-506b8d982279</t>
  </si>
  <si>
    <t>Phòng khám VietCare, 53 Hoàng Dư Khương, Phường 12, Quận 10, Thành phố Hồ Chí Minh</t>
  </si>
  <si>
    <t>544395bc-a191-11f0-8165-506b8d982279</t>
  </si>
  <si>
    <t>Phòng Khám Chuyên Khoa Ngoại Đức Tín, 7A Đ. Bùi Minh Trực, Phường 5, Quận 8, Hồ Chí Minh</t>
  </si>
  <si>
    <t>46f585c6-a5b2-11f0-8e60-506b8d982279</t>
  </si>
  <si>
    <t>HCMC Dermatology &amp; Venereology Hospital, 2 Nguyễn Thông, Phường 6, Quận 3, Hồ Chí Minh</t>
  </si>
  <si>
    <t>5c5788d6-ad57-11f0-af0c-506b8d982279</t>
  </si>
  <si>
    <t>TAKASHIJ CLINIC, 36 Nguyễn Quý Cảnh, Phường Bình Trưng Tây, Thủ Đức, Thành phố Hồ Chí Minh</t>
  </si>
  <si>
    <t>f70ce146-a9b5-11f0-b361-506b8d982279</t>
  </si>
  <si>
    <t>Công ty TNHH MTV Bệnh viện đa khoa Sài Gòn An Tây, Khu phố Lồ Ồ, Phường, Bến Cát, Bình Dương</t>
  </si>
  <si>
    <t>Tây Nam</t>
  </si>
  <si>
    <t>9253d6aa-bc7b-11f0-ab72-506b8d982279</t>
  </si>
  <si>
    <t>101 Đ. Nguyễn Thị Thập, Tân Phú, Quận 7, Thành phố Hồ Chí Minh</t>
  </si>
  <si>
    <t>23836 - D8 - LQuyen - Công ty TNHH Phòng khám chuyên khoa Angel Healthcare</t>
  </si>
  <si>
    <t>c1fd1232-aa41-11f0-a8b6-506b8d982279</t>
  </si>
  <si>
    <t>52 Đ. Lê Quyên, Phường 4, Quận 8</t>
  </si>
  <si>
    <t>636fa48a-ada9-11f0-8f64-506b8d982279</t>
  </si>
  <si>
    <t>Scar Center, SS1N, Đ. Hồng Lĩnh, Cư xá Bắc Hải, Thành phố Hồ Chí Minh</t>
  </si>
  <si>
    <t>23887 - PNhuan - PDPhung - Công ty cổ phần Doctor Laser S P A</t>
  </si>
  <si>
    <t>5e2d8a5c-ba18-11f0-89f8-506b8d982279</t>
  </si>
  <si>
    <t>33Bis Đ. Phan Đình Phùng, Phường 15, Phú Nhuận, Thành phố Hồ Chí Minh</t>
  </si>
  <si>
    <t>30bd8f0c-c082-11f0-bfba-506b8d982279</t>
  </si>
  <si>
    <t>1380 Đ. Lê Văn Lương, Phước Kiển, Nhà Bè, Thành phố Hồ Chí Minh</t>
  </si>
  <si>
    <t>23952 - D8 -  CLo - Trương Huỳnh Thanh Nhã</t>
  </si>
  <si>
    <t>46abd384-d3e0-11f0-b181-506b8d982279</t>
  </si>
  <si>
    <t>District 8 Hospital, 82 Cao Lỗ, Phường 4, Quận 8, Thành phố Hồ Chí Minh</t>
  </si>
  <si>
    <t>fb7642e6-cf39-11f0-ada4-506b8d982279</t>
  </si>
  <si>
    <t>85 Nguyễn Khoái, Phường 1, Quận 4, Thành phố Hồ Chí Minh</t>
  </si>
  <si>
    <t>5bb87e4c-c83e-11f0-9e3b-506b8d982279</t>
  </si>
  <si>
    <t>KDC Ehome 4 Bắc Sài Gòn, VPP3+GPP, Đ. 20, Vĩnh Phú, Thuận An</t>
  </si>
  <si>
    <t>28570ae4-d0ce-11f0-9e59-506b8d982279</t>
  </si>
  <si>
    <t>114 Đ. 51, An Phú, Thủ Đức, Thành phố Hồ Chí Minh</t>
  </si>
  <si>
    <t>3e68a73c-7a63-11f0-bd1a-506b8d982279</t>
  </si>
  <si>
    <t>Bến xe Hoa Mai, 275 Hùng Vương, Phường 9, Quận 5, Hồ Chí Minh</t>
  </si>
  <si>
    <t>39982679 - D1 - NTMKhai - ABA COOLTRANS</t>
  </si>
  <si>
    <t>95e8ebfc-14cb-11ee-81c3-506b8dbc8dfb</t>
  </si>
  <si>
    <t>221 Đ. Nguyễn Thị Minh Khai, Phường Nguyễn Cư Trinh, Quận 1, Thành phố Hồ Chí Minh</t>
  </si>
  <si>
    <t>4aa193d2-b1dd-11ef-b42b-506b8d9879b5</t>
  </si>
  <si>
    <t>42 Ấp Bắc, Phường 10, Mỹ Tho, Tiền Giang 84000</t>
  </si>
  <si>
    <t>3PL - D023 - TOT2</t>
  </si>
  <si>
    <t>bfde586a-5efd-11f0-b9f0-506b8d982279</t>
  </si>
  <si>
    <t>Bến xe Hoa Mai, Bến xe khách Bà Rịa, Bà Rịa Vũng Tàu,, Phước Trung, Tp. Bà Rịa, Bà Rịa - Vũng Tàu</t>
  </si>
  <si>
    <t>3PL - D030 - VLI</t>
  </si>
  <si>
    <t>2d7d8e74-7957-11ee-8d0f-506b8d9879b5</t>
  </si>
  <si>
    <t>Can Tho Vu Linh Office, Khu dân cư Vạn Phong, Phú Thứ, Cái Răng, Cần Thơ</t>
  </si>
  <si>
    <t>8350b9b4-5e65-11ee-aa4d-506b8d9879b5</t>
  </si>
  <si>
    <t>Tân Lập Thành station, ĐCT Thành phố Hồ Chí Minh - Trung Lương, Thân Cửu Nghĩa, Châu Thành, Tiền Giang</t>
  </si>
  <si>
    <t>3PL - Futa - RGia - Phan Thị Ràng</t>
  </si>
  <si>
    <t>df7196d2-c385-11f0-9605-506b8d982279</t>
  </si>
  <si>
    <t>Futa Express Phan Thị Ràng, X493+FM8, Đ. Phan Thị Ràng, P. An Hoà, Rạch Giá</t>
  </si>
  <si>
    <t>3PL - PHT</t>
  </si>
  <si>
    <t>21c5f790-1423-11ee-95a8-506b8dbc8dfb</t>
  </si>
  <si>
    <t>249B Đ. Lê Hồng Phong, Phường 4, Quận 5, Thành phố Hồ Chí Minh</t>
  </si>
  <si>
    <t>3082e5f8-5eb6-11ee-9a38-506b8d9879b5</t>
  </si>
  <si>
    <t>Bến xe Tân Lập Thành 84 Hùng Vương, Phường 9, Quận 5, Thành phố Hồ Chí Minh</t>
  </si>
  <si>
    <t>3PL - TOT10</t>
  </si>
  <si>
    <t>64487b3e-4927-11f0-a02c-506b8d982279</t>
  </si>
  <si>
    <t>30A Trần Văn Kiểu, Phường 11, Quận 5, Hồ Chí Minh</t>
  </si>
  <si>
    <t>f5910e64-4c40-11f0-9c48-506b8d982279</t>
  </si>
  <si>
    <t>892 Võ Văn Kiệt, Phường 5, Quận 5, Hồ Chí Minh</t>
  </si>
  <si>
    <t>3PL - TOT4</t>
  </si>
  <si>
    <t>b2e7cba8-21dd-11f0-ab99-506b8d982279</t>
  </si>
  <si>
    <t>Bến xe Miền Tây, 395 Đ. Kinh Dương Vương, An Lạc, Bình Tân, Hồ Chí Minh</t>
  </si>
  <si>
    <t>3PL - TOT5</t>
  </si>
  <si>
    <t>a0376810-2a7a-11f0-b9de-506b8d982279</t>
  </si>
  <si>
    <t>Trần Tuấn Khải, phường 5, Quận 5, Hồ Chí Minh</t>
  </si>
  <si>
    <t>3PL - TOT6</t>
  </si>
  <si>
    <t>82bd9de6-3258-11f0-825c-506b8d982279</t>
  </si>
  <si>
    <t>788 Đ. Võ Văn Kiệt, Phường 5, Quận 5, Hồ Chí Minh</t>
  </si>
  <si>
    <t>3PL - TOT7</t>
  </si>
  <si>
    <t>3ef8cad8-3d5a-11f0-8878-506b8d982279</t>
  </si>
  <si>
    <t>142 Đ. Võ Văn Kiệt, Phường Nguyễn Thái Bình, Quận 1, Hồ Chí Minh</t>
  </si>
  <si>
    <t>3PL - TOT8</t>
  </si>
  <si>
    <t>43910fe2-3e22-11f0-a763-506b8d982279</t>
  </si>
  <si>
    <t>34C Đ. Yersin, Phường Nguyễn Thái Bình, Quận 1, Hồ Chí Minh</t>
  </si>
  <si>
    <t>3PL - TOT9</t>
  </si>
  <si>
    <t>2e012676-4854-11f0-bca4-506b8d982279</t>
  </si>
  <si>
    <t>1120 Võ Văn Kiệt, Phường 5, Quận 5, Hồ Chí Minh</t>
  </si>
  <si>
    <t>a4773c76-1cdc-11f0-9c7f-506b8d982279</t>
  </si>
  <si>
    <t>Bến xe Hoa Mai, 275 Đ. Hùng Vương, Phường 9, Quận 5, Hồ Chí Minh</t>
  </si>
  <si>
    <t>{inactive] 3PL - HOM3</t>
  </si>
  <si>
    <t>041cb15e-7a63-11f0-ba0e-506b8d982279</t>
  </si>
  <si>
    <t>20 Đường Hùng Vương</t>
  </si>
  <si>
    <t>52c7f8a4-7a63-11f0-8113-506b8d982279</t>
  </si>
  <si>
    <t>af520b90-1736-11f0-8c50-506b8d982279</t>
  </si>
  <si>
    <t>Bến xe Toàn Thắng 312 Trần Phú, Phường 7, Quận 5, Hồ Chí Minh</t>
  </si>
  <si>
    <t>3PL - VLI</t>
  </si>
  <si>
    <t>661e943e-762e-11ee-8339-506b8d9879b5</t>
  </si>
  <si>
    <t>Công Ty Xe Khách Vũ Linh, 450 Đ. Cao Thắng, Phường 12, Quận 10, Thành phố Hồ Chí Minh</t>
  </si>
  <si>
    <t>735c08ac-890b-11ef-b923-506b8d9879b5</t>
  </si>
  <si>
    <t>45 Ông Ích Khiêm, Phường 10, Quận 11, Hồ Chí Minh</t>
  </si>
  <si>
    <t>40663433 - D1 - LLai - BS Đỗ Thị Kim Chi</t>
  </si>
  <si>
    <t>f48c8520-b56d-11f0-9495-506b8d982279</t>
  </si>
  <si>
    <t>184 Lê Lai, Phường Phạm Ngũ Lão, Quận 1, Thành phố Hồ Chí Minh</t>
  </si>
  <si>
    <t>40663468 - D10 - LTKiet - Phòng khám Bản Việt</t>
  </si>
  <si>
    <t>cf3358ae-98b2-11ef-b7e1-506b8d9879b5</t>
  </si>
  <si>
    <t>Công ty TNHH Phòng Khám Bản Việt, 354/14 Lý Thường Kiệt, Phường 14, Quận 10, Hồ Chí Minh</t>
  </si>
  <si>
    <t>d1aa759a-6fc3-11ee-981c-506b8d9879b5</t>
  </si>
  <si>
    <t>Chi Nhánh Công Ty Tnhh Phòng Khám Bản Việt, 64A Đ. Quốc Hương, Thảo Điền, Quận 2, Thành phố Hồ Chí Minh</t>
  </si>
  <si>
    <t>40663469 - D6 - CLon - BS. Hà Ngọc Tường Vy</t>
  </si>
  <si>
    <t>b962fcaa-ed73-11ed-8217-506b8dbc8dfb</t>
  </si>
  <si>
    <t>2D Chợ Lớn, Phường 11, Quận 6, Thành phố Hồ Chí Minh</t>
  </si>
  <si>
    <t>40663668 - D3 - CMT8 - Nguyễn Anh Tuấn</t>
  </si>
  <si>
    <t>31d6fe92-08dc-11ee-a6fa-506b8dbc8dfb</t>
  </si>
  <si>
    <t>436/65 Đ. Cách Mạng Tháng 8, Phường 11, Quận 3, Thành phố Hồ Chí Minh</t>
  </si>
  <si>
    <t>40663696 - TBinh - PVHai - BS Nguyễn Duy Hoàng Minh Tâm</t>
  </si>
  <si>
    <t>5f6b80e6-102d-11ee-b418-506b8dbc8dfb</t>
  </si>
  <si>
    <t>184 Phạm Văn Hai, Phường 3, Tân Bình, Thành phố Hồ Chí Minh</t>
  </si>
  <si>
    <t>40663702 - D5 - PHung - Bs Hoàng Duy</t>
  </si>
  <si>
    <t>c13191a2-8a43-11f0-9bc0-506b8d982279</t>
  </si>
  <si>
    <t>60/5 Đ. Phước Hưng, Phường 7, Quận 5, Hồ Chí Minh</t>
  </si>
  <si>
    <t>40663812 - D5 - ABinh - BS Nguyễn Thị Lệ Hoa</t>
  </si>
  <si>
    <t>0eaf9914-9b2b-11ef-b4e2-506b8d9879b5</t>
  </si>
  <si>
    <t>An Binh Hospital, 146 Đ. An Bình, Phường 7, Quận 5, Hồ Chí Minh</t>
  </si>
  <si>
    <t>40663994 - D4 - NKhoai - BS. Phạm Thị Thanh Thủy</t>
  </si>
  <si>
    <t>e410b7aa-0aa9-11ee-94e4-506b8dbc8dfb</t>
  </si>
  <si>
    <t>85 Nguyễn Khoái, Phường 1, Quận 4, Hồ Chí Minh</t>
  </si>
  <si>
    <t>9cac571c-bf73-11f0-bb12-506b8d982279</t>
  </si>
  <si>
    <t>12 D2, Phường, Thuận An, Bình Dương</t>
  </si>
  <si>
    <t>40664042 - BThanh - QL13 - PK Bình An Hưng</t>
  </si>
  <si>
    <t>37103eea-cd3b-11ee-badf-506b8d9879b5</t>
  </si>
  <si>
    <t>Xe Việt Tân Phát, 214 QL13, Phường 26, Bình Thạnh, Thành phố Hồ Chí Minh</t>
  </si>
  <si>
    <t>34e16eca-9003-11ee-8227-506b8d9879b5</t>
  </si>
  <si>
    <t>285B Đ. Điện Biên Phủ, Phường 7, Quận 3, Thành phố Hồ Chí Minh</t>
  </si>
  <si>
    <t>8aa38e5a-6803-11ef-95f4-506b8d9879b5</t>
  </si>
  <si>
    <t>40664187 - D10 - CMT8 - BS Trương Công Dũng</t>
  </si>
  <si>
    <t>0e5ea63a-aa18-11ee-a9cd-506b8d9879b5</t>
  </si>
  <si>
    <t>285/44 Đ. Cách Mạng Tháng 8, Phường 12, Quận 10, Thành phố Hồ Chí Minh</t>
  </si>
  <si>
    <t>4ea75656-11c0-11ee-8562-506b8dbc8dfb</t>
  </si>
  <si>
    <t>112 Tân Hương, Tân Quý, Tân Phú, Hồ Chí Minh</t>
  </si>
  <si>
    <t>40778078 - PNhuan - HVHue - BS Đặng Thị Trân Hạnh</t>
  </si>
  <si>
    <t>77fa18d6-9b3b-11ee-8ec4-506b8d9879b5</t>
  </si>
  <si>
    <t>90 Hồ Văn Huê, Phường 9, Phú Nhuận, Thành phố Hồ Chí Minh</t>
  </si>
  <si>
    <t>646f83e2-0a9e-11ee-b30e-506b8dbc8dfb</t>
  </si>
  <si>
    <t>2 Nguyễn Văn Chiêm, Bến Nghé, Quận 1, Thành phố Hồ Chí Minh</t>
  </si>
  <si>
    <t>2cf996e2-1b14-11ee-91a0-506b8d9879b5</t>
  </si>
  <si>
    <t>Family Medical Practice District 2, 95 Đ. Thảo Điền, Thảo Điền, Quận 2, Thành phố Hồ Chí Minh</t>
  </si>
  <si>
    <t>ca915726-197c-11ee-bb7f-506b8d9879b5</t>
  </si>
  <si>
    <t>Family Medical Practice District 7, 41 Đặng Đức Thuật, Tân Phong, Quận 7, Thành phố Hồ Chí Minh</t>
  </si>
  <si>
    <t>40935183 - D4 - TVinh - Lê Thị Tuyết Phượng</t>
  </si>
  <si>
    <t>1c651d70-c5d4-11f0-af1b-506b8d982279</t>
  </si>
  <si>
    <t>91 Tân Vĩnh, Phường 9, Quận 4, Thành phố Hồ Chí Minh</t>
  </si>
  <si>
    <t>40979190 - D5 - NQuyen - Bs Nguyễn Linh</t>
  </si>
  <si>
    <t>c8f71bb8-65ce-11ef-9164-506b8d9879b5</t>
  </si>
  <si>
    <t>Bệnh viện Phạm Ngọc Thạch cổng 2, 120 Đ. Hùng Vương, Phường 12, Quận 5, Hồ Chí Minh</t>
  </si>
  <si>
    <t>40979548 - D5 - TDa - PK Việt Thái Hòa</t>
  </si>
  <si>
    <t>047b2066-4b91-11ee-a68b-506b8d9879b5</t>
  </si>
  <si>
    <t>Công Ty Tnhh Phòng Khám Chuyên Khoa Nội Và Xét Nghiệm Việt Thái Hòa, 62 Đ. Tản Đà, Phường 11, Quận 5, Thành phố Hồ Chí Minh</t>
  </si>
  <si>
    <t>40979918 - BThanh - NVThuong - BS Trần Quỳnh Hương</t>
  </si>
  <si>
    <t>a78883f2-668f-11ee-a9b4-506b8d9879b5</t>
  </si>
  <si>
    <t>Tòa nhà Wilton Tower, 71/3 Nguyễn Văn Thương, Phường 25, Quận 3, Thành phố Hồ Chí Minh</t>
  </si>
  <si>
    <t>40979918 - D1 - LTTrong - BS Trần Quỳnh Hương</t>
  </si>
  <si>
    <t>9cb66d22-38e5-11ee-b6cf-506b8d9879b5</t>
  </si>
  <si>
    <t>556dbe26-2129-11ee-a592-506b8d9879b5</t>
  </si>
  <si>
    <t>Sarimi Sala blocks B1-B2, Đ. D9, An Lợi Đông, Thành Phố Thủ Đức, Thành phố Hồ Chí Minh</t>
  </si>
  <si>
    <t>40998171 - D1 - LTTrong - BS Đỗ Thương Hoài</t>
  </si>
  <si>
    <t>b9eb2aa0-29f8-11ee-895e-506b8d9879b5</t>
  </si>
  <si>
    <t>b9c5ae90-0731-11ee-a942-506b8dbc8dfb</t>
  </si>
  <si>
    <t>40 Tân Khai, Phường 4, Quận 11, Thành phố Hồ Chí Minh</t>
  </si>
  <si>
    <t>41269788 - GVap - PHIch - Bs Võ Thị Tuyết</t>
  </si>
  <si>
    <t>b287907a-c418-11f0-8eef-506b8d982279</t>
  </si>
  <si>
    <t>Phòng khám sản khoa BS Võ Tuyết, 160/21/2, Phan Huy Ích, Phường 12, Gò Vấp, Thành phố Hồ Chí Minh</t>
  </si>
  <si>
    <t>41269788 - GVap - PHIch - Bs.Võ Thị Tuyết</t>
  </si>
  <si>
    <t>dd912b58-0f2b-11ef-915c-506b8d9879b5</t>
  </si>
  <si>
    <t>74412442-0b75-11ee-b2f4-506b8dbc8dfb</t>
  </si>
  <si>
    <t>PHÚC THIỆN-PHÒNG KHÁM SẢN PHỤ KHOA, 476C Lũy Bán Bích, Hoà Thanh, Tân Phú, Thành phố Hồ Chí Minh</t>
  </si>
  <si>
    <t>42052489 - D1 - BTXuan - Thẩm mỹ viện Charming Spa</t>
  </si>
  <si>
    <t>f8dca434-4d6e-11ee-84b2-506b8d9879b5</t>
  </si>
  <si>
    <t>Thẩm Mỹ Viện Charming - Bs Nguyễn Khanh, 57 Đ. Bùi Thị Xuân, Phường Phạm Ngũ Lão, Quận 1, Thành phố Hồ Chí Minh</t>
  </si>
  <si>
    <t>42274886 - D5 - NTrai - Bs.Nguyễn Trọng Chiến</t>
  </si>
  <si>
    <t>7c25eab8-fe2a-11ef-84ba-506b8d9879b5</t>
  </si>
  <si>
    <t>7A Military Hospital, 466 Đ. Nguyễn Trãi, Phường 7, Quận 5, Hồ Chí Minh</t>
  </si>
  <si>
    <t>42442373 - CChi - N4 - CÔNG TY TNHH QUỐC TẾ UNILEVER VIỆT NAM</t>
  </si>
  <si>
    <t>dc58a020-6195-11ee-950b-506b8d9879b5</t>
  </si>
  <si>
    <t>Unilever Vietnam Factory, Tân An Hội, Củ Chi, Ho Chi Minh City</t>
  </si>
  <si>
    <t>f2fd1c5a-446f-11ed-aca6-506b8dbc8dfb</t>
  </si>
  <si>
    <t>Phòng khám Quốc tế Victoria Healthcare, 20-20Bis-22, Đ. Đinh Tiên Hoàng, Đa Kao, Quận 1, Thành phố Hồ Chí Minh</t>
  </si>
  <si>
    <t>42460373 - PNhuan - NVTroi - Victoria Y Tế Phát Triển</t>
  </si>
  <si>
    <t>eb2b6876-9375-11f0-b7ba-506b8d982279</t>
  </si>
  <si>
    <t>Phòng khám Quốc tế Victoria Healthcare, 135A Đ. Nguyễn Văn Trỗi, Phường 11, Phú Nhuận, Hồ Chí Minh</t>
  </si>
  <si>
    <t>42736917 - D12 - QL1A - DIGITEXX VN</t>
  </si>
  <si>
    <t>49833480-0a14-11f0-8e48-506b8d982279</t>
  </si>
  <si>
    <t>Anna Building, VJ2H+J9P, QL1A, Tân Chánh Hiệp, Quận 12, Hồ Chí Minh</t>
  </si>
  <si>
    <t>42736917 - TBinh - HHTham - DIGITEXX VN</t>
  </si>
  <si>
    <t>a41d38d0-1968-11ee-85df-506b8d9879b5</t>
  </si>
  <si>
    <t>PHÒNG KHÁM ĐA KHOA QUỐC TẾ GOLDEN HEALTHCARE, 37 Hoàng Hoa Thám, Phường 13, Tân Bình, Thành phố Hồ Chí Minh</t>
  </si>
  <si>
    <t>43732962 - D10 - BLong - Phòng Khám Nutifood</t>
  </si>
  <si>
    <t>4d0189cc-41b9-11f0-90d7-506b8d982279</t>
  </si>
  <si>
    <t>PHÒNG KHÁM CHUYÊN KHOA DINH DƯỠNG NRI, J4 Đ. Bửu Long, Phường 15, Quận 10, Hồ Chí Minh</t>
  </si>
  <si>
    <t>974045e8-717f-11ee-b588-506b8d9879b5</t>
  </si>
  <si>
    <t>Bệnh Viện Đa Khoa Quốc Tế Nam Sài Gòn, 88 Đường Số 8, Khu dân cư Trung Sơn, Bình Chánh, Thành phố Hồ Chí Minh</t>
  </si>
  <si>
    <t>441/8 Lê Văn Lương, Tân Phong, Q7</t>
  </si>
  <si>
    <t>fd775444-ecc8-11ef-a93f-506b8d9879b5</t>
  </si>
  <si>
    <t>441/8 Đ. Lê Văn Lương, Tân Phong, Quận 7, Hồ Chí Minh</t>
  </si>
  <si>
    <t>8639bd3e-1b34-11ee-923c-506b8d9879b5</t>
  </si>
  <si>
    <t>Phòng Khám Sản phụ khoa - Bs Ngọc Trang - Từ Dũ, 84 Đ. Điện Biên Phủ, Phường 17, Bình Thạnh, Thành phố Hồ Chí Minh</t>
  </si>
  <si>
    <t>44298155 - PNhuan - NDChinh - BS Nguyễn Anh Tuấn (NĐ2)</t>
  </si>
  <si>
    <t>d649bec0-b56d-11f0-a9a3-506b8d982279</t>
  </si>
  <si>
    <t>224 Nguyễn Đình Chính, Phường 11, Phú Nhuận, Thành phố Hồ Chí Minh</t>
  </si>
  <si>
    <t>44336824 - BThanh - DBPhu - Phòng khám Nhi khoa Sunshine</t>
  </si>
  <si>
    <t>d4b7613a-447c-11ed-9073-506b8dbc8dfb</t>
  </si>
  <si>
    <t>PHÒNG KHÁM NHI SUNSHINE, 3A Điện Biên Phủ, Phường 25, Bình Thạnh, Thành phố Hồ Chí Minh</t>
  </si>
  <si>
    <t>aa19e50a-f872-11ee-8961-506b8d9879b5</t>
  </si>
  <si>
    <t>NN1 Bạch Mã, Phường 15, Quận 10, Thành phố Hồ Chí Minh</t>
  </si>
  <si>
    <t>44336824 - D9 - V3 - Phòng khám Nhi khoa Sunshine</t>
  </si>
  <si>
    <t>dc9ad938-0833-11ee-9e89-506b8dbc8dfb</t>
  </si>
  <si>
    <t>29 Đ. V3, khu Manhattan Vinhomes Grand Park, Thủ Đức, Thành phố Hồ Chí Minh</t>
  </si>
  <si>
    <t>44345384 - D11 - 3/2 - Trần Thị Bạch Vân</t>
  </si>
  <si>
    <t>c6fce874-4a05-11ed-8f69-506b8dbc8dfb</t>
  </si>
  <si>
    <t>Phòng Khám Đa Khoa Đại Việt, 1505 Đ. 3/2, Phường 16, Quận 11, Thành phố Hồ Chí Minh</t>
  </si>
  <si>
    <t>44404054 - D5 - TDa - BS Trần Ngọc Hữu Đức</t>
  </si>
  <si>
    <t>c182461a-53cb-11ef-b9f3-506b8d9879b5</t>
  </si>
  <si>
    <t>60 Đ. Tản Đà, Phường 11, Quận 5, Hồ Chí Minh</t>
  </si>
  <si>
    <t>44432814 - D1 - Yersin - Phòng Khám A Clinic</t>
  </si>
  <si>
    <t>9bba0112-1410-11ee-8bfe-506b8dbc8dfb</t>
  </si>
  <si>
    <t>A Clinic - Viện Thẩm Mỹ / 에이클리닉, 132 Đ. Yersin, Phường Nguyễn Thái Bình, Quận 1, Thành phố Hồ Chí Minh</t>
  </si>
  <si>
    <t>cdfd8daa-1736-11ee-9478-506b8d9879b5</t>
  </si>
  <si>
    <t>147 Nguyễn Xí, Phường 26, Bình Thạnh, Thành phố Hồ Chí Minh 70000</t>
  </si>
  <si>
    <t>12377 - BTan - HL2 - Bs Nguyễn Lê Ngọc Ánh</t>
  </si>
  <si>
    <t>3281aa62-4609-11ee-8b4e-506b8d9879b5</t>
  </si>
  <si>
    <t>3edbf400-4625-11ed-9c1b-506b8dbc8dfb</t>
  </si>
  <si>
    <t>374 TL8, khu phố 4, Củ Chi, Thành phố Hồ Chí Minh 733000</t>
  </si>
  <si>
    <t>40979533 - D1 - LTTon - PHÒNG KHÁM ĐA KHOA HOA SEN</t>
  </si>
  <si>
    <t>3c3f1c42-447f-11ed-90c4-506b8dbc8dfb</t>
  </si>
  <si>
    <t>Phòng Khám Đa Khoa Hoa Sen, 22 Lê Thánh Tôn, Bến Nghé, Quận 1, Thành phố Hồ Chí Minh</t>
  </si>
  <si>
    <t>8bd366aa-447f-11ed-9a1c-506b8dbc8dfb</t>
  </si>
  <si>
    <t>Phòng khám Quốc tế Victoria Healthcare, 37-39 Lương Định Của, P. Bình An, Quận 2, Thành phố Hồ Chí Minh</t>
  </si>
  <si>
    <t>49fcd3e0-4481-11ed-9fb5-506b8dbc8dfb</t>
  </si>
  <si>
    <t>32 Đ. Trần Thị Thuận, An Nhơn Tây, Củ Chi, Thành phố Hồ Chí Minh</t>
  </si>
  <si>
    <t>11932 - D8 - TQBưu - BS Lê Bảo Lệ</t>
  </si>
  <si>
    <t>44efc1d0-487b-11f1-9378-fa163ee8d8ac</t>
  </si>
  <si>
    <t>856 Đ. Tạ Quang Bửu, Chánh Hưng, Hồ Chí Minh 700000</t>
  </si>
  <si>
    <t>08f86182-924d-11ee-9599-506b8d9879b5</t>
  </si>
  <si>
    <t>20 Lê Văn Việt, Hiệp Phú, Quận 9, Thành phố Hồ Chí Minh</t>
  </si>
  <si>
    <t>24979 - D2 - LThuoc - CÔNG TY TNHH NATURE CLINIC</t>
  </si>
  <si>
    <t>975b631c-49c9-11f1-9378-fa163ee8d8ac</t>
  </si>
  <si>
    <t>카카오 프렌즈 스크린 골프 (D2 Galleria) - FRIENDS GOLF HOLDINGS VN, D2 Gallaria Building, 20 Đ. Số 10, An Khánh, Hồ Chí Minh 700000</t>
  </si>
  <si>
    <t>12316 - CChi - TL2 - Bs Nguyễn Minh Tiến Tỉnh lộ 2</t>
  </si>
  <si>
    <t>2cb761be-4a91-11f1-9378-fa163ee8d8ac</t>
  </si>
  <si>
    <t>86 Tĩnh Lộ 2, Nhuận Đức, Hồ Chí Minh</t>
  </si>
  <si>
    <t>Nhuận Đức</t>
  </si>
  <si>
    <t>50845894 - TDuc - 8 - Dịch Vụ Y Tế Tại Nhà - Thái Hào</t>
  </si>
  <si>
    <t>7448bab2-1c7e-11ee-ad3c-506b8d9879b5</t>
  </si>
  <si>
    <t>49C Đ. Số 9, Khu phố 5, Linh Xuân</t>
  </si>
  <si>
    <t>5f2405d0-4d0c-11f1-9378-fa163ee8d8ac</t>
  </si>
  <si>
    <t>22303 - D3 - DBPhu - Vietmedi Điện Biên Phủ</t>
  </si>
  <si>
    <t>afe6f722-4daf-11f1-9378-fa163ee8d8ac</t>
  </si>
  <si>
    <t>339 Điện Biên Phủ, Phường 4, Quận 3, Thành phố Hồ Chí Minh</t>
  </si>
  <si>
    <t>24650 - MTho - TKHuan - PHÒNG KHÁM ĐA KHOA ĐIỀU TRỊ THEO YÊU CẦU</t>
  </si>
  <si>
    <t>4273d09e-4db3-11f1-9378-fa163ee8d8ac</t>
  </si>
  <si>
    <t>10 Thủ Khoa Huân, Phường 1, Mỹ Tho, Tiền Giang</t>
  </si>
  <si>
    <t>46574647 - D3 - HXHuong - Bs Nguyễn Thị Tuyết Lan</t>
  </si>
  <si>
    <t>b14e9390-4e77-11f1-9378-fa163ee8d8ac</t>
  </si>
  <si>
    <t>51 Hồ Xuân Hương, P, Xuân Hòa, Hồ Chí Minh 72400</t>
  </si>
  <si>
    <t>25045 - D2 - S2DB4 - JAPAN LONGEVITY HEALTH CARE Số 28 Đường B4</t>
  </si>
  <si>
    <t>bf2f43e4-4eac-11f1-9378-fa163ee8d8ac</t>
  </si>
  <si>
    <t>số 28 Đường B4, Phường An Lợi Đông, Thành phố Thủ Đức, Thành phố Hồ Chí Minh</t>
  </si>
  <si>
    <t>24990 - HMon - NVBua - Công ty TNHH Phòng Khám Đa Khoa Hương Thảo  Nguyễn Văn Bứa</t>
  </si>
  <si>
    <t>0e28d5ec-4eb1-11f1-9378-fa163ee8d8ac</t>
  </si>
  <si>
    <t>60B Nguyễn Văn Bứa, Xuân Thới Sơn, Hóc Môn, Hồ Chí Minh</t>
  </si>
  <si>
    <t>46557361 - TDuc - APDong - Bs Tạ Vương Khoa</t>
  </si>
  <si>
    <t>d05afa6e-3d2c-11f1-9378-fa163ee8d8ac</t>
  </si>
  <si>
    <t>Hong Duc II Hospital, 259 An Phú Đông 3, An Phú Đông, Hồ Chí Minh</t>
  </si>
  <si>
    <t>24558 - BThanh - PMy - Trung Tâm Y Tế Phường Thạnh Mỹ Tây</t>
  </si>
  <si>
    <t>b800a370-4f73-11f1-9378-fa163ee8d8ac</t>
  </si>
  <si>
    <t>B7 Đường Phú Mỹ, Thạnh Mỹ Tây, Hồ Chí Minh</t>
  </si>
  <si>
    <t>24558 - BThanh - XVNTinh - Trung Tâm Y Tế Phường Thạnh Mỹ Tây</t>
  </si>
  <si>
    <t>e52c67f8-4f73-11f1-9378-fa163ee8d8ac</t>
  </si>
  <si>
    <t>220/24 Đường Xô Viết Nghệ Tĩnh, Thạnh Mỹ Tây, Hồ Chí Minh</t>
  </si>
  <si>
    <t>6fcbd7fe-4f74-11f1-9378-fa163ee8d8ac</t>
  </si>
  <si>
    <t>524 Đường Xô Viết Nghệ Tĩnh, Thạnh Mỹ Tây, Hồ Chí Minh</t>
  </si>
  <si>
    <t>23579 - TUyen - HBinh - BVDK Năm Anh</t>
  </si>
  <si>
    <t>6f9d1f52-5007-11f1-9378-fa163ee8d8ac</t>
  </si>
  <si>
    <t>phòng khám đa khoa Tâm An Media, Đường Hòa Bình, Vĩnh Tân, Hồ Chí Minh</t>
  </si>
  <si>
    <t>Vĩnh Tân</t>
  </si>
  <si>
    <t>25010 - BThanh - NTThuat - Phòng Khám Đa Khoa Quốc Tế Timec</t>
  </si>
  <si>
    <t>db0ce60c-4f51-11f1-9378-fa163ee8d8ac</t>
  </si>
  <si>
    <t>6-8 Nguyễn Thiện Thuật, Phường 24, Quận Bình Thạnh, Thành phố Hồ Chí Minh</t>
  </si>
  <si>
    <t>24965 - GVap - NOanh - NHA KHOA HAN</t>
  </si>
  <si>
    <t>e8336612-5046-11f1-9378-fa163ee8d8ac</t>
  </si>
  <si>
    <t>62 Nguyễn Oanh, Gò Vấp</t>
  </si>
  <si>
    <t>b275e594-511e-11f1-9378-fa163ee8d8ac</t>
  </si>
  <si>
    <t>37 Huỳnh Tấn Phát, Nhà Bè, Hồ Chí Minh 700000</t>
  </si>
  <si>
    <t>{inactive} 46651876 - NBe - HTPhat - ND315 Huỳnh Tấn Phát</t>
  </si>
  <si>
    <t>f1e96358-4624-11ed-b46a-506b8dbc8dfb</t>
  </si>
  <si>
    <t>37 Huỳnh Tấn Phát, TT. Nhà Bè, Nhà Bè, Thành phố Hồ Chí Minh</t>
  </si>
  <si>
    <t>delivery_driver_id</t>
  </si>
  <si>
    <t>driver_zalo_id</t>
  </si>
  <si>
    <t>F - P - DC101437 Lê Công Tính</t>
  </si>
  <si>
    <t>53b32578-37cb-11ed-8f5a-506b8dbc8dfb</t>
  </si>
  <si>
    <t>Test CMT8</t>
  </si>
  <si>
    <t>66fc7198-9eb1-11f0-aaec-506b8d982279</t>
  </si>
  <si>
    <t>None None</t>
  </si>
  <si>
    <t>46af7a44-2f2e-11f1-9378-fa163ee8d8ac</t>
  </si>
  <si>
    <t>P - P - PT101611 Phạm Minh Tâm</t>
  </si>
  <si>
    <t>e5e4a6b0-86d5-11ee-a506-506b8d9879b5</t>
  </si>
  <si>
    <t>P - P - PT101521 Nguyễn Minh Nhật</t>
  </si>
  <si>
    <t>72bd615c-37cd-11ed-a991-506b8dbc8dfb</t>
  </si>
  <si>
    <t>e24e6f345362ba3ce373</t>
  </si>
  <si>
    <t>65871f10-7671-11f0-9d16-506b8d982279</t>
  </si>
  <si>
    <t>03bb8b129d5c74022d4d</t>
  </si>
  <si>
    <t>2160130926882687325:VSRHFZoYrhhtnecmAaOfmgvaKlfxBZEgxFxSbLPTAhfVwurTuJfQgOTrwyseeqJQ</t>
  </si>
  <si>
    <t>Trần Thanh Vân</t>
  </si>
  <si>
    <t>1014422a-2c19-11f1-9378-fa163ee8d8ac</t>
  </si>
  <si>
    <t>F - P - DC Trần Văn Nghĩa</t>
  </si>
  <si>
    <t>addf4a3a-2cb5-11f1-9378-fa163ee8d8ac</t>
  </si>
  <si>
    <t>a51713c2-37c4-11ed-a4e6-506b8dbc8dfb</t>
  </si>
  <si>
    <t>222b5bca-37cf-11ed-bee5-506b8dbc8dfb</t>
  </si>
  <si>
    <t>a258dbc5a48f4dd1149e</t>
  </si>
  <si>
    <t>F - P - DC100874 Nguyễn Minh Lộc</t>
  </si>
  <si>
    <t>7d4266a0-3655-11ed-80ba-506b8dbc8dfb</t>
  </si>
  <si>
    <t>P - P - PT101577 Huỳnh Quang Vinh</t>
  </si>
  <si>
    <t>4bf98c0e-37cc-11ed-bbd2-506b8dbc8dfb</t>
  </si>
  <si>
    <t>4e1ad614-6cdb-11ef-807b-506b8d9879b5</t>
  </si>
  <si>
    <t>65a6581b624a8b14d25b</t>
  </si>
  <si>
    <t>02d08390-37cf-11ed-865f-506b8dbc8dfb</t>
  </si>
  <si>
    <t>7b7d76055846b118e857</t>
  </si>
  <si>
    <t>F - C - DC100564 Vũ Sơn Hà</t>
  </si>
  <si>
    <t>1d7bdef0-35a5-11ed-be6b-506b8dbc8dfb</t>
  </si>
  <si>
    <t>P - P - PT101673 Hoàng Vũ Nhật Nam</t>
  </si>
  <si>
    <t>6cb4d13c-b14b-11f0-b1eb-506b8d982279</t>
  </si>
  <si>
    <t>669b034f8a01635f3a10</t>
  </si>
  <si>
    <t>P - P - PT101315 Nguyễn Quốc Minh Cường</t>
  </si>
  <si>
    <t>92886ebe-8315-11f0-886a-506b8d982279</t>
  </si>
  <si>
    <t>F - C - DC101601 Lê Tuấn Anh</t>
  </si>
  <si>
    <t>b6a4bad6-8169-11ef-9334-506b8d9879b5</t>
  </si>
  <si>
    <t>F - C - DC100665 Dương Tiến Hưng</t>
  </si>
  <si>
    <t>a9735bde-3656-11ed-a6e0-506b8dbc8dfb</t>
  </si>
  <si>
    <t>F - P - DC101599 Lâm Chánh Thắng</t>
  </si>
  <si>
    <t>61e3d9a6-8168-11ef-866e-506b8d9879b5</t>
  </si>
  <si>
    <t>P - P - PT Trần Thanh Phong</t>
  </si>
  <si>
    <t>a17e67fc-302b-11f1-9378-fa163ee8d8ac</t>
  </si>
  <si>
    <t>F - P - DC100647 Nguyễn Nhất Tiên</t>
  </si>
  <si>
    <t>0f9b45e0-37c7-11ed-a6ed-506b8dbc8dfb</t>
  </si>
  <si>
    <t>586fa64a-37d0-11ed-b5ef-506b8dbc8dfb</t>
  </si>
  <si>
    <t>cb12ddfaeea707f95eb6</t>
  </si>
  <si>
    <t>P - P - PT101456 Nguyễn Văn Mẫn</t>
  </si>
  <si>
    <t>beccea10-6cda-11ef-9c86-506b8d9879b5</t>
  </si>
  <si>
    <t>51fc7b9222c7cb9992d6</t>
  </si>
  <si>
    <t>d442fba0-37c6-11ed-ab29-506b8dbc8dfb</t>
  </si>
  <si>
    <t>c4530791c2db2b8572ca</t>
  </si>
  <si>
    <t>F - C - DC101416 Đỗ Đức Tú</t>
  </si>
  <si>
    <t>3a3ce91e-37c9-11ed-a1c0-506b8dbc8dfb</t>
  </si>
  <si>
    <t>F - P - DC100732 Phan Thanh Phương</t>
  </si>
  <si>
    <t>13b1b67a-37c5-11ed-adcf-506b8dbc8dfb</t>
  </si>
  <si>
    <t>430767465e0cb752ee1d</t>
  </si>
  <si>
    <t>f3cef536-7671-11f0-84d2-506b8d982279</t>
  </si>
  <si>
    <t>353f3686-dcc8-11f0-82b8-506b8d982279</t>
  </si>
  <si>
    <t>e7ce6d37cc7f25217c6e</t>
  </si>
  <si>
    <t>af0e0460-72a1-11f0-a649-506b8d982279</t>
  </si>
  <si>
    <t>cdb1dc1a-3655-11ed-a124-506b8dbc8dfb</t>
  </si>
  <si>
    <t>b57751bd28f2c1ac98e3</t>
  </si>
  <si>
    <t>F - P - DC101983 Trần Thanh Tùng</t>
  </si>
  <si>
    <t>d0c49512-2f05-11f1-9378-fa163ee8d8ac</t>
  </si>
  <si>
    <t>P - P - PT101608 Tào Ngọc Long</t>
  </si>
  <si>
    <t>193300ea-7f95-11ee-84a7-506b8d9879b5</t>
  </si>
  <si>
    <t>P - P - PT101408 Đào Thanh Bình</t>
  </si>
  <si>
    <t>f8e1f88e-7428-11f0-9e02-506b8d982279</t>
  </si>
  <si>
    <t>aa436cae-e9f3-11ef-bd94-506b8d9879b5</t>
  </si>
  <si>
    <t>f07b253084796d273468</t>
  </si>
  <si>
    <t>P - P - PT101575 Nguyễn Hoàng Phước</t>
  </si>
  <si>
    <t>e4a718be-e9f3-11ef-98bc-506b8d9879b5</t>
  </si>
  <si>
    <t>c17d82a44af3a3adfae2</t>
  </si>
  <si>
    <t>P - P - PT101525 Trương Quân Bảo</t>
  </si>
  <si>
    <t>79df43e6-e4ad-11ed-b359-506b8dbc8dfb</t>
  </si>
  <si>
    <t>e80906b6b1fa58a401eb</t>
  </si>
  <si>
    <t>8909168a-37c4-11ed-9647-506b8dbc8dfb</t>
  </si>
  <si>
    <t>6f0424c9ec8505db5c94</t>
  </si>
  <si>
    <t>P - P - PT101624 Nguyễn Tấn Phát</t>
  </si>
  <si>
    <t>82eab352-ed64-11ed-b067-506b8dbc8dfb</t>
  </si>
  <si>
    <t>P - P - PT101564 Phạm Đình Thuận</t>
  </si>
  <si>
    <t>12f6f6a8-7671-11f0-8d6e-506b8d982279</t>
  </si>
  <si>
    <t>3baf1edd67908eced781</t>
  </si>
  <si>
    <t>F - P - DC101464 Nguyễn Hoàng Hiểu</t>
  </si>
  <si>
    <t>53288a46-729f-11f0-880a-506b8d982279</t>
  </si>
  <si>
    <t>061bd7aa-35a6-11ed-9426-506b8dbc8dfb</t>
  </si>
  <si>
    <t>a6d70e0cd7463e186757</t>
  </si>
  <si>
    <t>F - P - DC101808 Vòng Thanh Bình</t>
  </si>
  <si>
    <t>e6ec3cc4-982d-11f0-bf93-506b8d982279</t>
  </si>
  <si>
    <t>P - P - PT101395 Nguyễn Nhất Tiên</t>
  </si>
  <si>
    <t>4039c1ba-ecf4-11ef-9bff-506b8d9879b5</t>
  </si>
  <si>
    <t>F - P - DC100072 Lê Tự Đức</t>
  </si>
  <si>
    <t>ec91a612-35a4-11ed-953d-506b8dbc8dfb</t>
  </si>
  <si>
    <t>dd82363e-5392-11ee-a5c5-506b8d9879b5</t>
  </si>
  <si>
    <t>af55b146-7d36-11ee-88c7-506b8d9879b5</t>
  </si>
  <si>
    <t>F - P - DC100812 Lê Thanh Trí</t>
  </si>
  <si>
    <t>78bf2244-37c7-11ed-88ac-506b8dbc8dfb</t>
  </si>
  <si>
    <t>P - P - PT101510 Doãn Bá Hiên</t>
  </si>
  <si>
    <t>6b99d4e6-8315-11f0-a782-506b8d982279</t>
  </si>
  <si>
    <t>557c6317f65c1f02464d</t>
  </si>
  <si>
    <t>P - P - PT Nguyễn Hoàng Minh Hiếu</t>
  </si>
  <si>
    <t>be133350-2f42-11f1-9378-fa163ee8d8ac</t>
  </si>
  <si>
    <t>P - P - PT101330 Nguyễn Minh Trung</t>
  </si>
  <si>
    <t>3cb7f410-1967-11ee-a735-506b8d9879b5</t>
  </si>
  <si>
    <t>TEST JULIE</t>
  </si>
  <si>
    <t>30bc65ee-ecf4-11ef-9ebd-506b8d9879b5</t>
  </si>
  <si>
    <t>F - P - DC101676 Y Quý</t>
  </si>
  <si>
    <t>415fcafc-e9f3-11ef-83fe-506b8d9879b5</t>
  </si>
  <si>
    <t>78ab195a2c14c54a9c05</t>
  </si>
  <si>
    <t>Test D001</t>
  </si>
  <si>
    <t>31f703f0-002f-11ee-afcc-506b8dbc8dfb</t>
  </si>
  <si>
    <t>P - P - PT101590 Đỗ Đức Tú</t>
  </si>
  <si>
    <t>dd16c5e6-7711-11ee-a871-506b8d9879b5</t>
  </si>
  <si>
    <t>P - P - PT101560 Vũ Trần Hoàng</t>
  </si>
  <si>
    <t>9bc56e4c-bafa-11f0-ac23-506b8d982279</t>
  </si>
  <si>
    <t>P - P - PT101225 Đoàn Văn Thảo</t>
  </si>
  <si>
    <t>87a65bf6-e32f-11ed-9719-506b8dbc8dfb</t>
  </si>
  <si>
    <t>F - P - DC101665 Nguyễn Hoàng Phước</t>
  </si>
  <si>
    <t>d30c5ad8-e9f3-11ef-bb15-506b8d9879b5</t>
  </si>
  <si>
    <t>P - P - PT101512 Cao Hoài Đức</t>
  </si>
  <si>
    <t>45593fda-d98f-11f0-9cdf-506b8d982279</t>
  </si>
  <si>
    <t>P - P - PT101309 Trương Tuấn Kiệt</t>
  </si>
  <si>
    <t>94d020f4-7429-11f0-9518-506b8d982279</t>
  </si>
  <si>
    <t>1797055a-e9f3-11ef-9688-506b8d9879b5</t>
  </si>
  <si>
    <t>P - P - PT101629 Khưu Hiếu Long</t>
  </si>
  <si>
    <t>45184232-78c3-11f0-9059-506b8d982279</t>
  </si>
  <si>
    <t>P - P - PT101280 Phạm Thế Luật</t>
  </si>
  <si>
    <t>9c29f88c-37ca-11ed-849d-506b8dbc8dfb</t>
  </si>
  <si>
    <t>df012112df5f36016f4e</t>
  </si>
  <si>
    <t>717fa61c-3654-11ed-b103-506b8dbc8dfb</t>
  </si>
  <si>
    <t>fbc73b7bb6385f660629</t>
  </si>
  <si>
    <t>feb9afca-fcce-11f0-9378-fa163ee8d8ac</t>
  </si>
  <si>
    <t>P - P - PT101694 Trà Xuân Trường</t>
  </si>
  <si>
    <t>f2e2fe29-f504-11f0-9378-fa163ee8d8ac</t>
  </si>
  <si>
    <t>c68359c32e95c7cb9e84</t>
  </si>
  <si>
    <t>b2c9b066-9445-11f0-b1db-506b8d982279</t>
  </si>
  <si>
    <t>59fa514f510cb852e11d</t>
  </si>
  <si>
    <t>c2cc021a-35a3-11ed-bd3c-506b8dbc8dfb</t>
  </si>
  <si>
    <t>859d14288b6b62353b7a</t>
  </si>
  <si>
    <t>F - P - DC100477 Đoàn Triệu Khiết</t>
  </si>
  <si>
    <t>8ae6fb50-3654-11ed-a628-506b8dbc8dfb</t>
  </si>
  <si>
    <t>ed11af8003cfea91b3de</t>
  </si>
  <si>
    <t>F - P - DC101776 Đặng Thanh Duy</t>
  </si>
  <si>
    <t>a4f43b0a-7fe6-11f0-9c60-506b8d982279</t>
  </si>
  <si>
    <t>ebe64d8a32c4db9a82d5</t>
  </si>
  <si>
    <t>F - P - DC101925 Nguyễn Hữu Lợi</t>
  </si>
  <si>
    <t>ac72dd9c-16bc-11f1-9378-fa163ee8d8ac</t>
  </si>
  <si>
    <t>65935f09f3401a1e4351</t>
  </si>
  <si>
    <t>P - P - PT101511 Võ Quốc Vấn</t>
  </si>
  <si>
    <t>65729bbe-19da-11f1-9378-fa163ee8d8ac</t>
  </si>
  <si>
    <t>dd1ddbfd29a8c0f699b9</t>
  </si>
  <si>
    <t>P - P - PT101704 Nguyễn Thành Trung</t>
  </si>
  <si>
    <t>8d602488-2534-11f1-9378-fa163ee8d8ac</t>
  </si>
  <si>
    <t>P - P - PT101504 Đặng Bảo Minh</t>
  </si>
  <si>
    <t>4a572b20-7fc9-11f0-8022-506b8d982279</t>
  </si>
  <si>
    <t>79c9ae133c4ed5108c5f</t>
  </si>
  <si>
    <t>F - P - DC100300 Nguyễn Hoàng Thanh</t>
  </si>
  <si>
    <t>795acac4-35a5-11ed-9451-506b8dbc8dfb</t>
  </si>
  <si>
    <t>F - P - DC101272 Nguyễn Lê Trung HIếu</t>
  </si>
  <si>
    <t>48e958aa-3655-11ed-8881-506b8dbc8dfb</t>
  </si>
  <si>
    <t>5210b666-e7b0-11f0-b0d1-506b8d982279</t>
  </si>
  <si>
    <t>P - P - PT101549 Đỗ Hữu Hùng</t>
  </si>
  <si>
    <t>3332a8be-2c83-11f0-9d48-506b8d982279</t>
  </si>
  <si>
    <t>54ffd6939ec3779d2ed2</t>
  </si>
  <si>
    <t>P - P - PT101473 Nguyễn Hoàng Hiểu</t>
  </si>
  <si>
    <t>bfc74ad4-7e84-11f0-9b28-506b8d982279</t>
  </si>
  <si>
    <t>P - P - PT101690 Lâm Sơn Tuấn</t>
  </si>
  <si>
    <t>f5d3248a-eb7c-11f0-94e2-506b8d982279</t>
  </si>
  <si>
    <t>76599ccdde8e37d06e9f</t>
  </si>
  <si>
    <t>41ea8512-2e70-11f1-9378-fa163ee8d8ac</t>
  </si>
  <si>
    <t>987568fa-37c7-11ed-aac2-506b8dbc8dfb</t>
  </si>
  <si>
    <t>fb399a0ae5460c185557</t>
  </si>
  <si>
    <t>FT D010 Phạm Thái Phương</t>
  </si>
  <si>
    <t>34a6e11e-3fb1-11f1-9378-fa163ee8d8ac</t>
  </si>
  <si>
    <t>P - P - PTBU Dương Tấn Bảo</t>
  </si>
  <si>
    <t>5ffdb53e-42ba-11f1-9378-fa163ee8d8ac</t>
  </si>
  <si>
    <t>P - C - PT101706 Trần Hữu Nghị</t>
  </si>
  <si>
    <t>d5dd1b7a-2d78-11f1-9378-fa163ee8d8ac</t>
  </si>
  <si>
    <t>a4e52324-215e-11ee-afc5-506b8d9879b5</t>
  </si>
  <si>
    <t>948d059b10d2f98ca0c3</t>
  </si>
  <si>
    <t>af969480-7f94-11ee-b40a-506b8d9879b5</t>
  </si>
  <si>
    <t>F - P - DC102016 Dương Tấn Bảo</t>
  </si>
  <si>
    <t>eaf974dc-3f9c-11f1-9378-fa163ee8d8ac</t>
  </si>
  <si>
    <t>e3970cec-503e-11f1-9378-fa163ee8d8ac</t>
  </si>
  <si>
    <t>F - P - DC100014 Trần Việt Nhân</t>
  </si>
  <si>
    <t>50dc4de2-503c-11f1-9378-fa163ee8d8ac</t>
  </si>
  <si>
    <t>P - C - PT101707 Huỳnh Nhật Duy Anh Hòa</t>
  </si>
  <si>
    <t>3975f4d8-2e5d-11f1-9378-fa163ee8d8ac</t>
  </si>
  <si>
    <t>efbf243a-37c6-11ed-93fb-506b8dbc8dfb</t>
  </si>
  <si>
    <t>c73df7953cd9d5878cc8</t>
  </si>
  <si>
    <t>F - P - DC101219 Nguyễn Hoàng Vũ</t>
  </si>
  <si>
    <t>f3ac0136-ed64-11ed-9bdf-506b8dbc8dfb</t>
  </si>
  <si>
    <t>f5993946-37cf-11ed-a3fc-506b8dbc8dfb</t>
  </si>
  <si>
    <t>5b3b303a-8169-11ef-962e-506b8d9879b5</t>
  </si>
  <si>
    <t>cf90a04a-ed64-11ed-8947-506b8dbc8dfb</t>
  </si>
  <si>
    <t>28b72f24-3657-11ed-8d5c-506b8dbc8dfb</t>
  </si>
  <si>
    <t>26f3924da71c4e42170d</t>
  </si>
  <si>
    <t>b74e3178-7caf-11f0-a9c3-506b8d982279</t>
  </si>
  <si>
    <t>473ef1d8329bdbc5828a</t>
  </si>
  <si>
    <t>P - P - PT101563 Huỳnh Nhật Tân</t>
  </si>
  <si>
    <t>f760ccd8-b6e1-11ef-85b9-506b8d9879b5</t>
  </si>
  <si>
    <t>F - C - DC100666 Hòa Hán Bang</t>
  </si>
  <si>
    <t>d748ab72-3656-11ed-9cdf-506b8dbc8dfb</t>
  </si>
  <si>
    <t>a01fefe6-3653-11ed-8128-506b8dbc8dfb</t>
  </si>
  <si>
    <t>f61678a4-3656-11ed-9310-506b8dbc8dfb</t>
  </si>
  <si>
    <t>551b71e8ffa616f84fb7</t>
  </si>
  <si>
    <t>P - P - PT101588 Nguyễn Anh Khôi</t>
  </si>
  <si>
    <t>03ec40a6-e9f3-11ef-a79c-506b8d9879b5</t>
  </si>
  <si>
    <t>9a1a6ae8-7671-11f0-a52e-506b8d982279</t>
  </si>
  <si>
    <t>P - C - PT101638 Trần Minh Nhật</t>
  </si>
  <si>
    <t>8e16017a-7f2d-11f0-9e60-506b8d982279</t>
  </si>
  <si>
    <t>11469f24-5ce3-11ee-8084-506b8d9879b5</t>
  </si>
  <si>
    <t>P - P - PT101321 Lê Công Tính</t>
  </si>
  <si>
    <t>3c0bd4ba-37cb-11ed-86c0-506b8dbc8dfb</t>
  </si>
  <si>
    <t>P - P Nguyễn Thanh Hoàng</t>
  </si>
  <si>
    <t>62a541a0-3655-11ed-beb6-506b8dbc8dfb</t>
  </si>
  <si>
    <t>F - D - DC101721 Lê Bá Phi</t>
  </si>
  <si>
    <t>711c0518-e9f2-11ef-8620-506b8d9879b5</t>
  </si>
  <si>
    <t>abcf91f0-7efa-11f0-bfe8-506b8d982279</t>
  </si>
  <si>
    <t>P - C - PT101147 Nguyễn Hồng Sơn</t>
  </si>
  <si>
    <t>472f7dc4-3654-11ed-8d21-506b8dbc8dfb</t>
  </si>
  <si>
    <t>P - P - PT101661 Nguyễn Quốc Cường</t>
  </si>
  <si>
    <t>bc8e5514-aa40-11f0-be68-506b8d982279</t>
  </si>
  <si>
    <t>011b70c8f4801dde4491</t>
  </si>
  <si>
    <t>P - P - PT101357 Phan Thành Được</t>
  </si>
  <si>
    <t>1ba49b12-ed65-11ed-a043-506b8dbc8dfb</t>
  </si>
  <si>
    <t>f4d2e910814c6812315d</t>
  </si>
  <si>
    <t>ce2e0bd2-35a6-11ed-9c4e-506b8dbc8dfb</t>
  </si>
  <si>
    <t>P - P - PT101576 Y Quý</t>
  </si>
  <si>
    <t>24082208-37c9-11ed-98a4-506b8dbc8dfb</t>
  </si>
  <si>
    <t>232be490-35a4-11ed-88b7-506b8dbc8dfb</t>
  </si>
  <si>
    <t>d9fc37dd4093a9cdf082</t>
  </si>
  <si>
    <t>P - P - PT101622 Nguyễn Anh Tuấn</t>
  </si>
  <si>
    <t>47c557e8-ea4c-11ed-ab13-506b8dbc8dfb</t>
  </si>
  <si>
    <t>F - P - DC101482 Nguyễn Văn Mẫn</t>
  </si>
  <si>
    <t>846f8800-7670-11f0-9504-506b8d982279</t>
  </si>
  <si>
    <t>P - P - PT101372 Nguyễn Phú Quốc</t>
  </si>
  <si>
    <t>122aba00-3657-11ed-9ba4-506b8dbc8dfb</t>
  </si>
  <si>
    <t>19ef4f66a831416f1820</t>
  </si>
  <si>
    <t>P - P - PT101235 Bùi Ngọc Thành</t>
  </si>
  <si>
    <t>8af3a3ac-37c9-11ed-8adb-506b8dbc8dfb</t>
  </si>
  <si>
    <t>d6ee4678b03659680027</t>
  </si>
  <si>
    <t>f0937694-37c7-11ed-a013-506b8dbc8dfb</t>
  </si>
  <si>
    <t>1d4786cc-12f7-11f1-9378-fa163ee8d8ac</t>
  </si>
  <si>
    <t>85d2de46a91b4045190a</t>
  </si>
  <si>
    <t>412f31be-2fc3-11f1-9378-fa163ee8d8ac</t>
  </si>
  <si>
    <t>P - P - PT Trần Thanh Tùng</t>
  </si>
  <si>
    <t>4488cd0e-38a9-11f1-9378-fa163ee8d8ac</t>
  </si>
  <si>
    <t>PT101672 Đỗ Minh Tân</t>
  </si>
  <si>
    <t>6ad35010-38c7-11f1-9378-fa163ee8d8ac</t>
  </si>
  <si>
    <t>PT BO Trần Thị Mộng Hoa</t>
  </si>
  <si>
    <t>6c47e36e-38dd-11f1-9378-fa163ee8d8ac</t>
  </si>
  <si>
    <t>1f4f6cae-37cd-11ed-a84d-506b8dbc8dfb</t>
  </si>
  <si>
    <t>595aed435d09b457ed18</t>
  </si>
  <si>
    <t>Pierre Tison</t>
  </si>
  <si>
    <t>553bd482-21b3-11f1-9378-fa163ee8d8ac</t>
  </si>
  <si>
    <t>P - P - PT101699 Nguyễn Hùng Phong</t>
  </si>
  <si>
    <t>4c60d804-db1c-11f0-8b82-506b8d982279</t>
  </si>
  <si>
    <t>c34fdbc2-ea4c-11ed-a5e2-506b8dbc8dfb</t>
  </si>
  <si>
    <t>671c6e0f3741de1f8750</t>
  </si>
  <si>
    <t>660cb676-e32e-11ed-9e6c-506b8dbc8dfb</t>
  </si>
  <si>
    <t>656e49d39f9a76c42f8b</t>
  </si>
  <si>
    <t>8094d712-0f78-11f0-b96d-506b8d982279</t>
  </si>
  <si>
    <t>P - P - PT101602 Nguyễn Thanh Tú</t>
  </si>
  <si>
    <t>8ed7ed28-e9f3-11ef-adc7-506b8d9879b5</t>
  </si>
  <si>
    <t>c1149922-ecea-11ef-a670-506b8d9879b5</t>
  </si>
  <si>
    <t>F - P - DC100588 Nguyễn Phú Quốc</t>
  </si>
  <si>
    <t>54841d7a-3656-11ed-bf77-506b8dbc8dfb</t>
  </si>
  <si>
    <t>P - P - PT101610 Phạm Trang Quốc Tuấn</t>
  </si>
  <si>
    <t>f3704bb4-e9f2-11ef-869c-506b8d9879b5</t>
  </si>
  <si>
    <t>0af6ce7e702c9972c03d</t>
  </si>
  <si>
    <t>F - P - DC101794 Đinh Phúc Hậu</t>
  </si>
  <si>
    <t>8133e21e-945a-11f0-8e24-506b8d982279</t>
  </si>
  <si>
    <t>P - P - PT101660 Nguyễn Thành Đăng</t>
  </si>
  <si>
    <t>3115cbd8-a032-11f0-a91d-506b8d982279</t>
  </si>
  <si>
    <t>P - P - PT101527 Phạm Lưu Công Tâm</t>
  </si>
  <si>
    <t>47a3961c-7672-11f0-848f-506b8d982279</t>
  </si>
  <si>
    <t>ee94ca62-729f-11f0-8cd5-506b8d982279</t>
  </si>
  <si>
    <t>P - P - PT101522 Đặng Văn Trang</t>
  </si>
  <si>
    <t>a36494c2-ea44-11ed-8154-506b8dbc8dfb</t>
  </si>
  <si>
    <t>3e35b21a-35a5-11ed-a1e4-506b8dbc8dfb</t>
  </si>
  <si>
    <t>F - C - DC100776 Tô Trần Triết</t>
  </si>
  <si>
    <t>35717640-37cc-11ed-ae00-506b8dbc8dfb</t>
  </si>
  <si>
    <t>P - P - PT101283 Trần Hữu Vinh</t>
  </si>
  <si>
    <t>94ed201a-e334-11ed-b452-506b8dbc8dfb</t>
  </si>
  <si>
    <t>92652419354ddc13855c</t>
  </si>
  <si>
    <t>P - P - PT101623 Lê Hà Hoàng Phúc</t>
  </si>
  <si>
    <t>2f0de55a-e9f3-11ef-9580-506b8d9879b5</t>
  </si>
  <si>
    <t>443c5016-3017-11ee-a6b5-506b8d9879b5</t>
  </si>
  <si>
    <t>ceed15ce-7e85-11f0-b8be-506b8d982279</t>
  </si>
  <si>
    <t>a2f538f8-37ce-11ed-a5cf-506b8dbc8dfb</t>
  </si>
  <si>
    <t>c0d10f02724a9b14c25b</t>
  </si>
  <si>
    <t>51b847ba-37cd-11ed-a5f6-506b8dbc8dfb</t>
  </si>
  <si>
    <t>3d1fec9027dcce8297cd</t>
  </si>
  <si>
    <t>7898dd6c-816d-11f0-9f34-506b8d982279</t>
  </si>
  <si>
    <t>103090f4-37c8-11ed-9333-506b8dbc8dfb</t>
  </si>
  <si>
    <t>77085b30147bfd25a46a</t>
  </si>
  <si>
    <t>a9bf91b4-00e4-11f1-9378-fa163ee8d8ac</t>
  </si>
  <si>
    <t>P - P - PT101557 Trần Văn Tình</t>
  </si>
  <si>
    <t>1556b6b8-37d1-11ed-ae03-506b8dbc8dfb</t>
  </si>
  <si>
    <t>4c0038fe4eaea7f0febf</t>
  </si>
  <si>
    <t>F - P - DC101833 Nguyễn Trọng Nghĩa</t>
  </si>
  <si>
    <t>5b674c52-b93e-11f0-8461-506b8d982279</t>
  </si>
  <si>
    <t>cbbcb7e1c1be28e071af</t>
  </si>
  <si>
    <t>F - P - DC101204 Phạm Thế Luật</t>
  </si>
  <si>
    <t>4894b938-7295-11f0-b247-506b8d982279</t>
  </si>
  <si>
    <t>FT D010 Huỳnh Hải Đăng</t>
  </si>
  <si>
    <t>5c380e12-394c-11f1-9378-fa163ee8d8ac</t>
  </si>
  <si>
    <t>P-P-PT D011 Nguyễn Trí Thức</t>
  </si>
  <si>
    <t>0ad90b70-3d2f-11f1-9378-fa163ee8d8ac</t>
  </si>
  <si>
    <t>dff693c2-0371-11ee-90bc-506b8dbc8dfb</t>
  </si>
  <si>
    <t>402ca9dc1194f8caa185</t>
  </si>
  <si>
    <t>P - P - PT Nguyễn Lâm Hùng</t>
  </si>
  <si>
    <t>1b816c8e-39ff-11f1-9378-fa163ee8d8ac</t>
  </si>
  <si>
    <t>DC100XXX Proxy Reject Driver</t>
  </si>
  <si>
    <t>261e8f56-3c6a-11f1-9378-fa163ee8d8ac</t>
  </si>
  <si>
    <t>Logistics V</t>
  </si>
  <si>
    <t>ff1e6050-37e3-11f1-9378-fa163ee8d8ac</t>
  </si>
  <si>
    <t>b1a3184c-85ab-11f0-99d8-506b8d982279</t>
  </si>
  <si>
    <t>9ba6de4c-37d0-11ed-90bb-506b8dbc8dfb</t>
  </si>
  <si>
    <t>d0ce770b76499f17c658</t>
  </si>
  <si>
    <t>P - P - PT101506 Lê Tuấn Anh</t>
  </si>
  <si>
    <t>8528aa80-8078-11f0-84bb-506b8d982279</t>
  </si>
  <si>
    <t>deactivate Vương Đình Minh Quang</t>
  </si>
  <si>
    <t>a7b2b596-fbbd-11ee-950a-506b8d9879b5</t>
  </si>
  <si>
    <t>F - D - DC101774 Trần Trọng Khoái</t>
  </si>
  <si>
    <t>2e7152a6-8248-11f0-9c73-506b8d982279</t>
  </si>
  <si>
    <t>P - P - PT101436 Trần Trọng Khoái</t>
  </si>
  <si>
    <t>9ca4906a-9de3-11f0-80e6-506b8d982279</t>
  </si>
  <si>
    <t>1416599c-3656-11ed-8d25-506b8dbc8dfb</t>
  </si>
  <si>
    <t>P - P - PT101657 Hoàng Quốc Huy</t>
  </si>
  <si>
    <t>f0d46080-a021-11f0-8859-506b8d982279</t>
  </si>
  <si>
    <t>P - P - PT101313 Phan Thanh Nghĩa</t>
  </si>
  <si>
    <t>bcfe2800-8315-11f0-a347-506b8d982279</t>
  </si>
  <si>
    <t>f580f2a4-1966-11ee-a4c6-506b8d9879b5</t>
  </si>
  <si>
    <t>Audit Task</t>
  </si>
  <si>
    <t>26b9448d-ef6f-11f0-9378-fa163ee8d8ac</t>
  </si>
  <si>
    <t>ec034796-8970-11f0-bdfa-506b8d982279</t>
  </si>
  <si>
    <t>e4fed8071e4af714ae5b</t>
  </si>
  <si>
    <t>Log - Proxy Vật tư C&amp;H</t>
  </si>
  <si>
    <t>7e89ea30-5aea-11f0-95d4-506b8d982279</t>
  </si>
  <si>
    <t>F - P - DC101834 Phạm Đình Thuận</t>
  </si>
  <si>
    <t>0e394412-b93e-11f0-9542-506b8d982279</t>
  </si>
  <si>
    <t>P - P Trần Minh Nhựt</t>
  </si>
  <si>
    <t>9a88254c-bba9-11f0-a82b-506b8d982279</t>
  </si>
  <si>
    <t>P - P - PT101091 Nguyễn Viết Hà</t>
  </si>
  <si>
    <t>3eacca5c-b6c2-11f0-9552-506b8d982279</t>
  </si>
  <si>
    <t>9c57b7e7efb006ee5fa1</t>
  </si>
  <si>
    <t>P - P - PT101680 Nguyễn Thị Phương Nam</t>
  </si>
  <si>
    <t>5bc243b8-c385-11f0-82d4-506b8d982279</t>
  </si>
  <si>
    <t>e95f7d96-3655-11ed-8308-506b8dbc8dfb</t>
  </si>
  <si>
    <t>P - C - PT101732 Lê Hồng Thái</t>
  </si>
  <si>
    <t>62949c68-394b-11f1-9378-fa163ee8d8ac</t>
  </si>
  <si>
    <t>P - P - PT101731 Nguyễn Công Trung</t>
  </si>
  <si>
    <t>a3504dd2-387a-11f1-9378-fa163ee8d8ac</t>
  </si>
  <si>
    <t>F - C - DC111000 Nguyễn Thành Dũng</t>
  </si>
  <si>
    <t>7c4eb270-5033-11f1-9378-fa163ee8d8ac</t>
  </si>
  <si>
    <t>P - C - PT101737 Nguyễn Anh Khoa</t>
  </si>
  <si>
    <t>c3c70bc2-42c6-11f1-9378-fa163ee8d8ac</t>
  </si>
  <si>
    <t>F - P - DC100075 Nguyễn Thế Đức</t>
  </si>
  <si>
    <t>06bddd3a-35a5-11ed-8292-506b8dbc8dfb</t>
  </si>
  <si>
    <t>3f1509f3ccb125ef7ca0</t>
  </si>
  <si>
    <t>9e9376b6-37c5-11ed-a1d5-506b8dbc8dfb</t>
  </si>
  <si>
    <t>F - P - DC102019 Trần Ngọc Tuấn</t>
  </si>
  <si>
    <t>82637dd4-3d47-11f1-9378-fa163ee8d8ac</t>
  </si>
  <si>
    <t>P - C - PT Q9, Thủ Đức Huỳnh Tấn Phát</t>
  </si>
  <si>
    <t>201d3ff4-483f-11f1-9378-fa163ee8d8ac</t>
  </si>
  <si>
    <t>P - P - PT D015 Nguyễn Trung Tín</t>
  </si>
  <si>
    <t>04adde68-483f-11f1-9378-fa163ee8d8ac</t>
  </si>
  <si>
    <t>P - C - PT Trần Huỳnh Trọng Nghĩa</t>
  </si>
  <si>
    <t>4b3ddeaa-483f-11f1-9378-fa163ee8d8ac</t>
  </si>
  <si>
    <t>P - P - PT101734 Nguyễn Hữu Lợi</t>
  </si>
  <si>
    <t>5697c5ba-49cd-11f1-9378-fa163ee8d8ac</t>
  </si>
  <si>
    <t>P - C - PT Đào Đức Trung</t>
  </si>
  <si>
    <t>cf868d22-49fe-11f1-9378-fa163ee8d8ac</t>
  </si>
  <si>
    <t>F - C - DC101935 Nguyễn Hồng Quân</t>
  </si>
  <si>
    <t>3af7825a-1089-11f1-9378-fa163ee8d8ac</t>
  </si>
  <si>
    <t>P - P - PT000065 Lê Duy Khánh</t>
  </si>
  <si>
    <t>8cd1a3b6-1eed-11ee-9d3b-506b8d9879b5</t>
  </si>
  <si>
    <t>a5947f58-7342-11f0-a217-506b8d982279</t>
  </si>
  <si>
    <t>6f9759ea-d5a6-11f0-ab2b-506b8d982279</t>
  </si>
  <si>
    <t>F - P - DC100890 Nguyễn Hoàng Tuấn</t>
  </si>
  <si>
    <t>eca58278-d5a5-11f0-9923-506b8d982279</t>
  </si>
  <si>
    <t>P - P - PT101118 Nguyễn Hoàng Tuấn</t>
  </si>
  <si>
    <t>f3f3f726-dee7-11f0-9553-506b8d982279</t>
  </si>
  <si>
    <t>F - P Nguyễn Chí Thanh</t>
  </si>
  <si>
    <t>dfca4ccc-9901-11f0-8a1c-506b8d982279</t>
  </si>
  <si>
    <t>P - P - PT Trần Việt Tiến Hưng</t>
  </si>
  <si>
    <t>3f3fd428-4ac4-11f1-9378-fa163ee8d8ac</t>
  </si>
  <si>
    <t>P - P - PT101733 Đoàn Minh Lộc</t>
  </si>
  <si>
    <t>9d2a4882-3937-11f1-9378-fa163ee8d8ac</t>
  </si>
  <si>
    <t>d2c2d39e-11e4-11f1-9378-fa163ee8d8ac</t>
  </si>
  <si>
    <t>59a2bfce5a81b3dfea90</t>
  </si>
  <si>
    <t>PT - TBinh TPhu Nguyễn Đức Huy</t>
  </si>
  <si>
    <t>005e67fc-3e1b-11f1-9378-fa163ee8d8ac</t>
  </si>
  <si>
    <t>e3cfb84c-7670-11f0-9995-506b8d982279</t>
  </si>
  <si>
    <t>P - P - PT101471 Nguyễn Thành Tâm</t>
  </si>
  <si>
    <t>01332a16-742a-11f0-9923-506b8d982279</t>
  </si>
  <si>
    <t>b0ed9d24-2762-11f1-9378-fa163ee8d8ac</t>
  </si>
  <si>
    <t>P - C - PT101728 Nguyễn Hưng Thịnh</t>
  </si>
  <si>
    <t>55879fd0-33eb-11f1-9378-fa163ee8d8ac</t>
  </si>
  <si>
    <t>d63f18ac-7342-11f0-be1a-506b8d982279</t>
  </si>
  <si>
    <t>7d150c4e-e4a5-11f0-8fa0-506b8d982279</t>
  </si>
  <si>
    <t>374e72ea-733f-11f0-afbe-506b8d982279</t>
  </si>
  <si>
    <t>F - P - DC101712 Huỳnh Quang Vinh</t>
  </si>
  <si>
    <t>00b50a04-0dd4-11ef-9e83-506b8d9879b5</t>
  </si>
  <si>
    <t>P - P - PT101621 Võ Chánh Trung</t>
  </si>
  <si>
    <t>1d52f5cc-ecf4-11ef-b51f-506b8d9879b5</t>
  </si>
  <si>
    <t>P - P - PT101458 Đinh Ngọc Quý</t>
  </si>
  <si>
    <t>08712de2-7e83-11f0-87c5-506b8d982279</t>
  </si>
  <si>
    <t>fd17aff8-9eb1-11f0-9804-506b8d982279</t>
  </si>
  <si>
    <t>P - P - PT101689 Lê Nhật Quang</t>
  </si>
  <si>
    <t>80ea3858-eaef-11f0-aa7a-506b8d982279</t>
  </si>
  <si>
    <t>P - P - PT101703 Nguyễn Hồng Quân</t>
  </si>
  <si>
    <t>526b1cec-2832-11f1-9378-fa163ee8d8ac</t>
  </si>
  <si>
    <t>a72dc14a-3654-11ed-bef3-506b8dbc8dfb</t>
  </si>
  <si>
    <t>88199dcfa88541db1894</t>
  </si>
  <si>
    <t>0f715e0a-b6e2-11ef-92dc-506b8d9879b5</t>
  </si>
  <si>
    <t>F - P - DC101213 Võ Gia Bảo</t>
  </si>
  <si>
    <t>d1a2d5e2-3653-11ed-a84f-506b8dbc8dfb</t>
  </si>
  <si>
    <t>P - P - PT101639 Đặng Thanh Duy</t>
  </si>
  <si>
    <t>7b38e5c0-824a-11f0-9fd4-506b8d982279</t>
  </si>
  <si>
    <t>F - P - DC101303 Trần Ngọc Mỹ</t>
  </si>
  <si>
    <t>bfe054e6-3654-11ed-82c6-506b8dbc8dfb</t>
  </si>
  <si>
    <t>F - P - DC100873 Hoàng Ngọc Tuân</t>
  </si>
  <si>
    <t>ef56e070-37ce-11ed-8da1-506b8dbc8dfb</t>
  </si>
  <si>
    <t>F - P - DC101556 Lê Hồng Tân</t>
  </si>
  <si>
    <t>a62a70ba-729f-11f0-bc81-506b8d982279</t>
  </si>
  <si>
    <t>F - P - DC101557 Nguyễn Quốc Minh Cường</t>
  </si>
  <si>
    <t>79234b9e-ed65-11ed-ab61-506b8dbc8dfb</t>
  </si>
  <si>
    <t>PT D003 - SUN Trần Vi Lãm</t>
  </si>
  <si>
    <t>4181f7d6-3587-11f1-9378-fa163ee8d8ac</t>
  </si>
  <si>
    <t>P - P - PT New account</t>
  </si>
  <si>
    <t>e7665576-39ff-11f1-9378-fa163ee8d8ac</t>
  </si>
  <si>
    <t>DC100XXX Proxy Queue Driver</t>
  </si>
  <si>
    <t>a8c48608-45d0-11f1-9378-fa163ee8d8ac</t>
  </si>
  <si>
    <t>P - P - PT101735 Trần Thanh Phong</t>
  </si>
  <si>
    <t>44604048-4680-11f1-9378-fa163ee8d8ac</t>
  </si>
  <si>
    <t>P - P - PT SUN D023 Vũ Anh Khoa</t>
  </si>
  <si>
    <t>f2d907c0-394e-11f1-9378-fa163ee8d8ac</t>
  </si>
  <si>
    <t>P - P - PT101736 Nguyễn Hữu Lộc</t>
  </si>
  <si>
    <t>8072c358-3730-11f1-9378-fa163ee8d8ac</t>
  </si>
  <si>
    <t>fe233388-7731-11f0-81e6-506b8d982279</t>
  </si>
  <si>
    <t>P - P - PT101547 Nguyễn Thiết Thạch</t>
  </si>
  <si>
    <t>739d25e0-7351-11f0-a46d-506b8d982279</t>
  </si>
  <si>
    <t>P - P - PT101348 Bùi Hiền Anh Kiệt</t>
  </si>
  <si>
    <t>41eaa5fc-8316-11f0-b2f8-506b8d982279</t>
  </si>
  <si>
    <t>P - P - PT101626 Nguyễn Thanh Hoàng</t>
  </si>
  <si>
    <t>b01ac748-740f-11f0-bb0e-506b8d982279</t>
  </si>
  <si>
    <t>P - P - PT101567 Bùi Thế Anh Tân</t>
  </si>
  <si>
    <t>b01564ba-7671-11f0-b33e-506b8d982279</t>
  </si>
  <si>
    <t>F - P - DC111111 Huỳnh Nhựt An</t>
  </si>
  <si>
    <t>d5e45826-4f4d-11f1-9378-fa163ee8d8ac</t>
  </si>
  <si>
    <t>P - P - PT101459 Lưu Nguyễn Bảo Long</t>
  </si>
  <si>
    <t>18398f84-8316-11f0-ac0c-506b8d982279</t>
  </si>
  <si>
    <t>P - P - PT101628 Nguyễn Trọng Nghĩa</t>
  </si>
  <si>
    <t>8140054a-3656-11ed-b1c6-506b8dbc8dfb</t>
  </si>
  <si>
    <t>P - P - PT101687 Nguyễn Hoàng Phúc</t>
  </si>
  <si>
    <t>2be672f0-e242-11f0-bf22-506b8d982279</t>
  </si>
  <si>
    <t>P - P - PT101678 Trần Hoàng Đức</t>
  </si>
  <si>
    <t>ffbad3f2-c454-11f0-b0d6-506b8d982279</t>
  </si>
  <si>
    <t>P - P - PT Phạm Thái Phương</t>
  </si>
  <si>
    <t>7571dcba-2762-11f1-9378-fa163ee8d8ac</t>
  </si>
  <si>
    <t>1163ad80-d96e-11f0-b637-506b8d982279</t>
  </si>
  <si>
    <t>F - D - DC101748 Lê Quốc Bảo</t>
  </si>
  <si>
    <t>550a62ce-215e-11ee-9ecc-506b8d9879b5</t>
  </si>
  <si>
    <t>P - P - PT101509 Lê Trần Diệu Kỳ</t>
  </si>
  <si>
    <t>1d975926-7672-11f0-b5ad-506b8d982279</t>
  </si>
  <si>
    <t>b2d8ced8-2267-11f1-9378-fa163ee8d8ac</t>
  </si>
  <si>
    <t>af57dfcc-782d-11f0-b407-506b8d982279</t>
  </si>
  <si>
    <t>F - P - DC101528 Đinh Ngọc Quý</t>
  </si>
  <si>
    <t>e6e79e34-37c4-11ed-a792-506b8dbc8dfb</t>
  </si>
  <si>
    <t>P - P - PT Lê Ngọc Anh Tú</t>
  </si>
  <si>
    <t>6af155fa-27ed-11f1-9378-fa163ee8d8ac</t>
  </si>
  <si>
    <t>F - P - DC Trần Minh Thiên Tường</t>
  </si>
  <si>
    <t>1b54e000-1903-11f1-9378-fa163ee8d8ac</t>
  </si>
  <si>
    <t>F - P - DC100635 Huỳnh Ông Đạt</t>
  </si>
  <si>
    <t>1ca85c12-729f-11f0-9786-506b8d982279</t>
  </si>
  <si>
    <t>P - P - PT101686 Trương Đại Lộc</t>
  </si>
  <si>
    <t>861dd2e2-e470-11f0-9175-506b8d982279</t>
  </si>
  <si>
    <t>78b127b0-874a-11ee-b24a-506b8d9879b5</t>
  </si>
  <si>
    <t>95d72208-fbbd-11ee-a01d-506b8d9879b5</t>
  </si>
  <si>
    <t>6d8a5d6c-011a-11ef-b372-506b8d9879b5</t>
  </si>
  <si>
    <t>6c8220e4-70f5-11ef-920e-506b8d9879b5</t>
  </si>
  <si>
    <t>68f0e844-86d5-11ee-8e70-506b8d9879b5</t>
  </si>
  <si>
    <t>lat1</t>
  </si>
  <si>
    <t>long1</t>
  </si>
  <si>
    <t>lat2</t>
  </si>
  <si>
    <t>long2</t>
  </si>
  <si>
    <t>distance_km</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</si>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</sst>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18">
    <font>
      <sz val="10.0"/>
      <color rgb="FF000000"/>
      <name val="Arial"/>
      <scheme val="minor"/>
    </font>
    <font>
      <b/>
      <sz val="11.0"/>
      <color theme="1"/>
      <name val="Consolas"/>
    </font>
    <font>
      <sz val="11.0"/>
      <color rgb="FF000000"/>
      <name val="Calibri"/>
    </font>
    <font>
      <sz val="11.0"/>
      <color rgb="FF000000"/>
      <name val="Consolas"/>
    </font>
    <font>
      <sz val="11.0"/>
      <color rgb="FFEA4335"/>
      <name val="Calibri"/>
    </font>
    <font>
      <sz val="11.0"/>
      <color theme="1"/>
      <name val="Calibri"/>
    </font>
    <font>
      <color theme="1"/>
      <name val="Arial"/>
    </font>
    <font>
      <sz val="11.0"/>
      <color theme="1"/>
      <name val="Consolas"/>
    </font>
    <font>
      <color theme="1"/>
      <name val="Arial"/>
      <scheme val="minor"/>
    </font>
    <font>
      <color rgb="FF434343"/>
      <name val="Roboto"/>
    </font>
    <font>
      <b/>
      <color theme="1"/>
      <name val="Arial"/>
      <scheme val="minor"/>
    </font>
    <font>
      <b/>
      <sz val="12.0"/>
      <color rgb="FF000000"/>
      <name val="Roboto"/>
    </font>
    <font>
      <b/>
      <sz val="11.0"/>
      <color rgb="FFFFFFFF"/>
      <name val="Calibri"/>
    </font>
    <font>
      <sz val="12.0"/>
      <color theme="1"/>
      <name val="Roboto"/>
    </font>
    <font>
      <sz val="11.0"/>
      <color rgb="FF000000"/>
      <name val="Roboto"/>
    </font>
    <font>
      <sz val="11.0"/>
      <color rgb="FF000000"/>
      <name val="&quot;Aptos Narrow&quot;"/>
    </font>
    <font>
      <sz val="11.0"/>
      <color rgb="FF000000"/>
      <name val="Arial"/>
    </font>
    <font>
      <color rgb="FF000000"/>
      <name val="Arial"/>
    </font>
  </fonts>
  <fills count="7">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theme="4"/>
        <bgColor theme="4"/>
      </patternFill>
    </fill>
    <fill>
      <patternFill patternType="solid">
        <fgColor rgb="FFF3F3F3"/>
        <bgColor rgb="FFF3F3F3"/>
      </patternFill>
    </fill>
    <fill>
      <patternFill patternType="solid">
        <fgColor rgb="FFC0E6F5"/>
        <bgColor rgb="FFC0E6F5"/>
      </patternFill>
    </fill>
  </fills>
  <borders count="12">
    <border/>
    <border>
      <left style="thin">
        <color rgb="FF3E4791"/>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3E4791"/>
      </right>
      <top style="thin">
        <color rgb="FFD9D9D9"/>
      </top>
      <bottom style="thin">
        <color rgb="FFD9D9D9"/>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top style="thin">
        <color rgb="FFF6F8F9"/>
      </top>
      <bottom style="thin">
        <color rgb="FFF6F8F9"/>
      </bottom>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
      <right style="thin">
        <color rgb="FFFFFFFF"/>
      </right>
      <bottom style="thin">
        <color rgb="FFF6F8F9"/>
      </bottom>
    </border>
    <border>
      <right style="thin">
        <color rgb="FFF6F8F9"/>
      </right>
      <bottom style="thin">
        <color rgb="FFF6F8F9"/>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readingOrder="0" shrinkToFit="0" vertical="bottom" wrapText="0"/>
    </xf>
    <xf borderId="0" fillId="0" fontId="4" numFmtId="0" xfId="0" applyAlignment="1" applyFont="1">
      <alignment readingOrder="0" shrinkToFit="0" vertical="bottom" wrapText="0"/>
    </xf>
    <xf borderId="1" fillId="2" fontId="5" numFmtId="0" xfId="0" applyAlignment="1" applyBorder="1" applyFill="1" applyFont="1">
      <alignment shrinkToFit="0" vertical="bottom" wrapText="0"/>
    </xf>
    <xf borderId="2" fillId="2" fontId="5" numFmtId="0" xfId="0" applyAlignment="1" applyBorder="1" applyFont="1">
      <alignment shrinkToFit="0" vertical="bottom" wrapText="0"/>
    </xf>
    <xf borderId="2" fillId="2" fontId="6" numFmtId="0" xfId="0" applyAlignment="1" applyBorder="1" applyFont="1">
      <alignment shrinkToFit="0" vertical="bottom" wrapText="0"/>
    </xf>
    <xf borderId="2" fillId="2" fontId="5" numFmtId="0" xfId="0" applyAlignment="1" applyBorder="1" applyFont="1">
      <alignment shrinkToFit="0" vertical="bottom" wrapText="0"/>
    </xf>
    <xf borderId="2" fillId="2" fontId="6" numFmtId="0" xfId="0" applyAlignment="1" applyBorder="1" applyFont="1">
      <alignment shrinkToFit="0" vertical="bottom" wrapText="0"/>
    </xf>
    <xf borderId="2" fillId="2" fontId="7" numFmtId="0" xfId="0" applyAlignment="1" applyBorder="1" applyFont="1">
      <alignment horizontal="right" shrinkToFit="0" vertical="bottom" wrapText="0"/>
    </xf>
    <xf borderId="2" fillId="2" fontId="7" numFmtId="0" xfId="0" applyAlignment="1" applyBorder="1" applyFont="1">
      <alignment shrinkToFit="0" vertical="bottom" wrapText="0"/>
    </xf>
    <xf borderId="2" fillId="2" fontId="5" numFmtId="164" xfId="0" applyAlignment="1" applyBorder="1" applyFont="1" applyNumberFormat="1">
      <alignment horizontal="right" readingOrder="0" shrinkToFit="0" vertical="bottom" wrapText="0"/>
    </xf>
    <xf borderId="3" fillId="2" fontId="5" numFmtId="164" xfId="0" applyAlignment="1" applyBorder="1" applyFont="1" applyNumberFormat="1">
      <alignment horizontal="right" readingOrder="0" shrinkToFit="0" vertical="bottom" wrapText="0"/>
    </xf>
    <xf borderId="0" fillId="2" fontId="5" numFmtId="164" xfId="0" applyAlignment="1" applyFont="1" applyNumberFormat="1">
      <alignment horizontal="right" readingOrder="0" shrinkToFit="0" vertical="bottom" wrapText="0"/>
    </xf>
    <xf borderId="0" fillId="2" fontId="5" numFmtId="0" xfId="0" applyAlignment="1" applyFont="1">
      <alignment shrinkToFit="0" vertical="bottom" wrapText="0"/>
    </xf>
    <xf borderId="0" fillId="2" fontId="6" numFmtId="0" xfId="0" applyAlignment="1" applyFont="1">
      <alignment shrinkToFit="0" vertical="bottom" wrapText="0"/>
    </xf>
    <xf borderId="0" fillId="2" fontId="5" numFmtId="0" xfId="0" applyAlignment="1" applyFont="1">
      <alignment readingOrder="0" shrinkToFit="0" vertical="bottom" wrapText="0"/>
    </xf>
    <xf borderId="0" fillId="2" fontId="6" numFmtId="0" xfId="0" applyAlignment="1" applyFont="1">
      <alignment shrinkToFit="0" vertical="bottom" wrapText="0"/>
    </xf>
    <xf borderId="0" fillId="2" fontId="7" numFmtId="0" xfId="0" applyAlignment="1" applyFont="1">
      <alignment horizontal="right" shrinkToFit="0" vertical="bottom" wrapText="0"/>
    </xf>
    <xf borderId="0" fillId="2" fontId="7" numFmtId="0" xfId="0" applyAlignment="1" applyFont="1">
      <alignment shrinkToFit="0" vertical="bottom" wrapText="0"/>
    </xf>
    <xf borderId="0" fillId="0" fontId="2" numFmtId="164" xfId="0" applyAlignment="1" applyFont="1" applyNumberFormat="1">
      <alignment readingOrder="0" shrinkToFit="0" vertical="bottom" wrapText="0"/>
    </xf>
    <xf borderId="0" fillId="0" fontId="8" numFmtId="0" xfId="0" applyAlignment="1" applyFont="1">
      <alignment horizontal="left" readingOrder="0" shrinkToFit="0" vertical="center" wrapText="0"/>
    </xf>
    <xf borderId="0" fillId="0" fontId="8" numFmtId="0" xfId="0" applyAlignment="1" applyFont="1">
      <alignment horizontal="left" readingOrder="0" shrinkToFit="0" vertical="center" wrapText="0"/>
    </xf>
    <xf borderId="0" fillId="0" fontId="8" numFmtId="0" xfId="0" applyAlignment="1" applyFont="1">
      <alignment readingOrder="0" shrinkToFit="0" vertical="center" wrapText="0"/>
    </xf>
    <xf borderId="0" fillId="0" fontId="8" numFmtId="0" xfId="0" applyAlignment="1" applyFont="1">
      <alignment shrinkToFit="0" vertical="center" wrapText="0"/>
    </xf>
    <xf borderId="4" fillId="3" fontId="9" numFmtId="0" xfId="0" applyAlignment="1" applyBorder="1" applyFill="1" applyFont="1">
      <alignment shrinkToFit="0" vertical="center" wrapText="0"/>
    </xf>
    <xf borderId="5" fillId="3" fontId="9" numFmtId="0" xfId="0" applyAlignment="1" applyBorder="1" applyFont="1">
      <alignment readingOrder="0" shrinkToFit="0" vertical="center" wrapText="0"/>
    </xf>
    <xf borderId="6" fillId="3" fontId="9" numFmtId="0" xfId="0" applyAlignment="1" applyBorder="1" applyFont="1">
      <alignment shrinkToFit="0" vertical="center" wrapText="0"/>
    </xf>
    <xf borderId="0" fillId="0" fontId="6" numFmtId="0" xfId="0" applyAlignment="1" applyFont="1">
      <alignment vertical="bottom"/>
    </xf>
    <xf borderId="0" fillId="0" fontId="8" numFmtId="0" xfId="0" applyAlignment="1" applyFont="1">
      <alignment shrinkToFit="0" vertical="center" wrapText="0"/>
    </xf>
    <xf borderId="0" fillId="0" fontId="3" numFmtId="0" xfId="0" applyAlignment="1" applyFont="1">
      <alignment readingOrder="0" shrinkToFit="0" vertical="bottom" wrapText="0"/>
    </xf>
    <xf borderId="0" fillId="0" fontId="8" numFmtId="0" xfId="0" applyFont="1"/>
    <xf borderId="0" fillId="0" fontId="8" numFmtId="0" xfId="0" applyAlignment="1" applyFont="1">
      <alignment readingOrder="0"/>
    </xf>
    <xf borderId="0" fillId="0" fontId="8" numFmtId="0" xfId="0" applyAlignment="1" applyFont="1">
      <alignment readingOrder="0" shrinkToFit="0" vertical="center" wrapText="0"/>
    </xf>
    <xf borderId="0" fillId="0" fontId="8" numFmtId="0" xfId="0" applyAlignment="1" applyFont="1">
      <alignment readingOrder="0" shrinkToFit="0" vertical="center" wrapText="0"/>
    </xf>
    <xf borderId="0" fillId="4" fontId="10" numFmtId="49" xfId="0" applyAlignment="1" applyFill="1" applyFont="1" applyNumberFormat="1">
      <alignment horizontal="left" readingOrder="0" shrinkToFit="0" vertical="center" wrapText="0"/>
    </xf>
    <xf borderId="0" fillId="2" fontId="8" numFmtId="0" xfId="0" applyAlignment="1" applyFont="1">
      <alignment readingOrder="0" shrinkToFit="0" vertical="center" wrapText="0"/>
    </xf>
    <xf borderId="0" fillId="2" fontId="8" numFmtId="0" xfId="0" applyAlignment="1" applyFont="1">
      <alignment shrinkToFit="0" vertical="center" wrapText="0"/>
    </xf>
    <xf borderId="0" fillId="2" fontId="8" numFmtId="0" xfId="0" applyAlignment="1" applyFont="1">
      <alignment shrinkToFit="0" vertical="center" wrapText="0"/>
    </xf>
    <xf borderId="0" fillId="2" fontId="8" numFmtId="0" xfId="0" applyAlignment="1" applyFont="1">
      <alignment readingOrder="0" shrinkToFit="0" vertical="center" wrapText="0"/>
    </xf>
    <xf borderId="0" fillId="2" fontId="8" numFmtId="0" xfId="0" applyAlignment="1" applyFont="1">
      <alignment readingOrder="0" shrinkToFit="0" vertical="center" wrapText="0"/>
    </xf>
    <xf borderId="0" fillId="2" fontId="8" numFmtId="0" xfId="0" applyAlignment="1" applyFont="1">
      <alignment readingOrder="0" shrinkToFit="0" vertical="center" wrapText="0"/>
    </xf>
    <xf borderId="0" fillId="2" fontId="8" numFmtId="0" xfId="0" applyAlignment="1" applyFont="1">
      <alignment readingOrder="0" shrinkToFit="0" vertical="center" wrapText="0"/>
    </xf>
    <xf borderId="0" fillId="2" fontId="8" numFmtId="0" xfId="0" applyAlignment="1" applyFont="1">
      <alignment readingOrder="0" shrinkToFit="0" vertical="center" wrapText="0"/>
    </xf>
    <xf borderId="0" fillId="2" fontId="8" numFmtId="0" xfId="0" applyAlignment="1" applyFont="1">
      <alignment readingOrder="0" shrinkToFit="0" vertical="center" wrapText="0"/>
    </xf>
    <xf borderId="0" fillId="2" fontId="8" numFmtId="0" xfId="0" applyAlignment="1" applyFont="1">
      <alignment shrinkToFit="0" vertical="center" wrapText="0"/>
    </xf>
    <xf borderId="0" fillId="5" fontId="11" numFmtId="0" xfId="0" applyAlignment="1" applyFill="1" applyFont="1">
      <alignment horizontal="left" readingOrder="0" shrinkToFit="0" vertical="center" wrapText="0"/>
    </xf>
    <xf borderId="0" fillId="5" fontId="11" numFmtId="49" xfId="0" applyAlignment="1" applyFont="1" applyNumberFormat="1">
      <alignment horizontal="left" readingOrder="0" shrinkToFit="0" vertical="center" wrapText="0"/>
    </xf>
    <xf borderId="0" fillId="0" fontId="12" numFmtId="0" xfId="0" applyAlignment="1" applyFont="1">
      <alignment horizontal="left" readingOrder="0" shrinkToFit="0" wrapText="0"/>
    </xf>
    <xf borderId="0" fillId="0" fontId="13" numFmtId="0" xfId="0" applyAlignment="1" applyFont="1">
      <alignment readingOrder="0" shrinkToFit="0" vertical="center" wrapText="0"/>
    </xf>
    <xf borderId="0" fillId="0" fontId="14" numFmtId="0" xfId="0" applyAlignment="1" applyFont="1">
      <alignment horizontal="right" readingOrder="0" shrinkToFit="0" vertical="bottom" wrapText="0"/>
    </xf>
    <xf borderId="0" fillId="0" fontId="13" numFmtId="0" xfId="0" applyAlignment="1" applyFont="1">
      <alignment readingOrder="0" shrinkToFit="0" vertical="center" wrapText="0"/>
    </xf>
    <xf borderId="0" fillId="0" fontId="6" numFmtId="0" xfId="0" applyAlignment="1" applyFont="1">
      <alignment horizontal="left" readingOrder="0" shrinkToFit="0" vertical="bottom" wrapText="0"/>
    </xf>
    <xf borderId="7" fillId="6" fontId="15" numFmtId="0" xfId="0" applyAlignment="1" applyBorder="1" applyFill="1" applyFont="1">
      <alignment horizontal="right" readingOrder="0" shrinkToFit="0" vertical="bottom" wrapText="0"/>
    </xf>
    <xf borderId="8" fillId="6" fontId="16" numFmtId="0" xfId="0" applyAlignment="1" applyBorder="1" applyFont="1">
      <alignment horizontal="right" readingOrder="0" shrinkToFit="0" vertical="bottom" wrapText="0"/>
    </xf>
    <xf borderId="8" fillId="6" fontId="15" numFmtId="0" xfId="0" applyAlignment="1" applyBorder="1" applyFont="1">
      <alignment horizontal="right" readingOrder="0" shrinkToFit="0" vertical="bottom" wrapText="0"/>
    </xf>
    <xf borderId="9" fillId="6" fontId="15" numFmtId="0" xfId="0" applyAlignment="1" applyBorder="1" applyFont="1">
      <alignment horizontal="right" readingOrder="0" shrinkToFit="0" vertical="bottom" wrapText="0"/>
    </xf>
    <xf borderId="10" fillId="2" fontId="17" numFmtId="0" xfId="0" applyAlignment="1" applyBorder="1" applyFont="1">
      <alignment horizontal="right" readingOrder="0" vertical="bottom"/>
    </xf>
    <xf borderId="7" fillId="0" fontId="15" numFmtId="0" xfId="0" applyAlignment="1" applyBorder="1" applyFont="1">
      <alignment horizontal="right" readingOrder="0" shrinkToFit="0" vertical="bottom" wrapText="0"/>
    </xf>
    <xf borderId="8" fillId="0" fontId="15" numFmtId="0" xfId="0" applyAlignment="1" applyBorder="1" applyFont="1">
      <alignment horizontal="right" readingOrder="0" shrinkToFit="0" vertical="bottom" wrapText="0"/>
    </xf>
    <xf borderId="9" fillId="0" fontId="15" numFmtId="0" xfId="0" applyAlignment="1" applyBorder="1" applyFont="1">
      <alignment horizontal="right" readingOrder="0" shrinkToFit="0" vertical="bottom" wrapText="0"/>
    </xf>
    <xf borderId="11" fillId="3" fontId="17" numFmtId="0" xfId="0" applyAlignment="1" applyBorder="1" applyFont="1">
      <alignment horizontal="right" readingOrder="0" vertical="bottom"/>
    </xf>
    <xf borderId="0" fillId="0" fontId="15" numFmtId="0" xfId="0" applyAlignment="1" applyFont="1">
      <alignment horizontal="right" readingOrder="0" shrinkToFit="0" vertical="bottom" wrapText="0"/>
    </xf>
    <xf borderId="0" fillId="0" fontId="15" numFmtId="0" xfId="0" applyAlignment="1" applyFont="1">
      <alignment horizontal="right" readingOrder="0" shrinkToFit="0" vertical="bottom" wrapText="0"/>
    </xf>
    <xf borderId="0" fillId="0" fontId="17" numFmtId="0" xfId="0" applyAlignment="1" applyFont="1">
      <alignment horizontal="right" readingOrder="0" shrinkToFit="0" vertical="bottom" wrapText="0"/>
    </xf>
  </cellXfs>
  <cellStyles count="1">
    <cellStyle xfId="0" name="Normal" builtinId="0"/>
  </cellStyles>
  <dxfs count="8">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
      <font/>
      <fill>
        <patternFill patternType="solid">
          <fgColor rgb="FFF6F8F9"/>
          <bgColor rgb="FFF6F8F9"/>
        </patternFill>
      </fill>
      <border/>
    </dxf>
    <dxf>
      <font>
        <color rgb="FF000000"/>
      </font>
      <fill>
        <patternFill patternType="solid">
          <fgColor rgb="FF00FF00"/>
          <bgColor rgb="FF00FF00"/>
        </patternFill>
      </fill>
      <border/>
    </dxf>
    <dxf>
      <font>
        <color rgb="FF000000"/>
      </font>
      <fill>
        <patternFill patternType="none"/>
      </fill>
      <border/>
    </dxf>
  </dxfs>
  <tableStyles count="9">
    <tableStyle count="4" pivot="0" name="config-style">
      <tableStyleElement dxfId="1" type="headerRow"/>
      <tableStyleElement dxfId="2" type="firstRowStripe"/>
      <tableStyleElement dxfId="2" type="secondRowStripe"/>
      <tableStyleElement dxfId="3" size="0" type="wholeTable"/>
    </tableStyle>
    <tableStyle count="2" pivot="0" name="config-style 2">
      <tableStyleElement dxfId="2" type="firstRowStripe"/>
      <tableStyleElement dxfId="2" type="secondRowStripe"/>
    </tableStyle>
    <tableStyle count="4" pivot="0" name="3PL-style">
      <tableStyleElement dxfId="4" type="headerRow"/>
      <tableStyleElement dxfId="2" type="firstRowStripe"/>
      <tableStyleElement dxfId="5" type="secondRowStripe"/>
      <tableStyleElement dxfId="3" size="0" type="wholeTable"/>
    </tableStyle>
    <tableStyle count="4" pivot="0" name="config_sun-style">
      <tableStyleElement dxfId="1" type="headerRow"/>
      <tableStyleElement dxfId="2" type="firstRowStripe"/>
      <tableStyleElement dxfId="2" type="secondRowStripe"/>
      <tableStyleElement dxfId="3" size="0" type="wholeTable"/>
    </tableStyle>
    <tableStyle count="2" pivot="0" name="config_sun-style 2">
      <tableStyleElement dxfId="2" type="firstRowStripe"/>
      <tableStyleElement dxfId="2" type="secondRowStripe"/>
    </tableStyle>
    <tableStyle count="4" pivot="0" name="PSC-style">
      <tableStyleElement dxfId="4" type="headerRow"/>
      <tableStyleElement dxfId="2" type="firstRowStripe"/>
      <tableStyleElement dxfId="5" type="secondRowStripe"/>
      <tableStyleElement dxfId="3" size="0" type="wholeTable"/>
    </tableStyle>
    <tableStyle count="4" pivot="0" name="Location Table-style">
      <tableStyleElement dxfId="4" type="headerRow"/>
      <tableStyleElement dxfId="2" type="firstRowStripe"/>
      <tableStyleElement dxfId="5" type="secondRowStripe"/>
      <tableStyleElement dxfId="3" size="0" type="wholeTable"/>
    </tableStyle>
    <tableStyle count="4" pivot="0" name="Driver-style">
      <tableStyleElement dxfId="4" type="headerRow"/>
      <tableStyleElement dxfId="2" type="firstRowStripe"/>
      <tableStyleElement dxfId="5" type="secondRowStripe"/>
      <tableStyleElement dxfId="3" size="0" type="wholeTable"/>
    </tableStyle>
    <tableStyle count="4" pivot="0" name="distance_master-style">
      <tableStyleElement dxfId="4" type="headerRow"/>
      <tableStyleElement dxfId="2" type="firstRowStripe"/>
      <tableStyleElement dxfId="5"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ierre TISON" id="{9a87e3dd-8593-4615-a515-b0406542fdbe}" providerId="google-sheets"/>
  <x18tc:person displayName="Nguyen Thanh Long" id="{f2855eab-5509-4176-b707-326977a12fec}" providerId="google-sheets"/>
</x18tc:personList>
</file>

<file path=xl/tables/table1.xml><?xml version="1.0" encoding="utf-8"?>
<table xmlns="http://schemas.openxmlformats.org/spreadsheetml/2006/main" ref="A1:K1332" displayName="Config" name="Config" id="1">
  <autoFilter ref="$A$1:$K$1332">
    <filterColumn colId="3">
      <filters>
        <filter val="BRA - D033"/>
      </filters>
    </filterColumn>
  </autoFilter>
  <tableColumns count="11">
    <tableColumn name="customer_id" id="1"/>
    <tableColumn name="driver_id" id="2"/>
    <tableColumn name="alt_drop_off_id" id="3"/>
    <tableColumn name="Điểm Pick-up" id="4"/>
    <tableColumn name="Điểm Drop-off thay thế" id="5"/>
    <tableColumn name="Driver" id="6"/>
    <tableColumn name="bot_token" id="7"/>
    <tableColumn name="chat_id" id="8"/>
    <tableColumn name="shift_start" id="9"/>
    <tableColumn name="shift_end" id="10"/>
    <tableColumn name="smart_driver_id" id="11"/>
  </tableColumns>
  <tableStyleInfo name="config-style" showColumnStripes="0" showFirstColumn="1" showLastColumn="1" showRowStripes="1"/>
</table>
</file>

<file path=xl/tables/table2.xml><?xml version="1.0" encoding="utf-8"?>
<table xmlns="http://schemas.openxmlformats.org/spreadsheetml/2006/main" headerRowCount="0" ref="A1335:K2334" displayName="Table_1" name="Table_1"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onfig-style 2" showColumnStripes="0" showFirstColumn="1" showLastColumn="1" showRowStripes="1"/>
</table>
</file>

<file path=xl/tables/table3.xml><?xml version="1.0" encoding="utf-8"?>
<table xmlns="http://schemas.openxmlformats.org/spreadsheetml/2006/main" ref="A1:D12" displayName="Table3" name="Table3" id="3">
  <tableColumns count="4">
    <tableColumn name="psc-tinh" id="1"/>
    <tableColumn name="3pl" id="2"/>
    <tableColumn name="3pl_uuid" id="3"/>
    <tableColumn name="address" id="4"/>
  </tableColumns>
  <tableStyleInfo name="3PL-style" showColumnStripes="0" showFirstColumn="1" showLastColumn="1" showRowStripes="1"/>
</table>
</file>

<file path=xl/tables/table4.xml><?xml version="1.0" encoding="utf-8"?>
<table xmlns="http://schemas.openxmlformats.org/spreadsheetml/2006/main" ref="A1:J1349" displayName="Config_2" name="Config_2" id="4">
  <autoFilter ref="$A$1:$J$1349">
    <filterColumn colId="7">
      <filters blank="1">
        <filter val="402ca9dc1194f8caa185"/>
        <filter val="f07b253084796d273468"/>
        <filter val="fbc73b7bb6385f660629"/>
        <filter val="595aed435d09b457ed18"/>
        <filter val="77085b30147bfd25a46a"/>
        <filter val="948d059b10d2f98ca0c3"/>
        <filter val="d9fc37dd4093a9cdf082"/>
        <filter val="c68359c32e95c7cb9e84"/>
        <filter val="473ef1d8329bdbc5828a"/>
        <filter val="011b70c8f4801dde4491"/>
        <filter val="e4fed8071e4af714ae5b"/>
        <filter val="a258dbc5a48f4dd1149e"/>
        <filter val="92652419354ddc13855c"/>
        <filter val="85d2de46a91b4045190a"/>
        <filter val="26f3924da71c4e42170d"/>
        <filter val="6f0424c9ec8505db5c94"/>
        <filter val="557c6317f65c1f02464d"/>
        <filter val="cb12ddfaeea707f95eb6"/>
        <filter val="76599ccdde8e37d06e9f"/>
        <filter val="c4530791c2db2b8572ca"/>
        <filter val="f4d2e910814c6812315d"/>
        <filter val="65a6581b624a8b14d25b"/>
        <filter val="a6d70e0cd7463e186757"/>
        <filter val="3d1fec9027dcce8297cd"/>
        <filter val="859d14288b6b62353b7a"/>
        <filter val="b57751bd28f2c1ac98e3"/>
        <filter val="e24e6f345362ba3ce373"/>
        <filter val="fb399a0ae5460c185557"/>
        <filter val="671c6e0f3741de1f8750"/>
        <filter val="656e49d39f9a76c42f8b"/>
        <filter val="c73df7953cd9d5878cc8"/>
        <filter val="59fa514f510cb852e11d"/>
        <filter val="e7ce6d37cc7f25217c6e"/>
        <filter val="c0d10f02724a9b14c25b"/>
        <filter val="03bb8b129d5c74022d4d"/>
        <filter val="7b7d76055846b118e857"/>
        <filter val="551b71e8ffa616f84fb7"/>
        <filter val="430767465e0cb752ee1d"/>
        <filter val="d0ce770b76499f17c658"/>
      </filters>
    </filterColumn>
  </autoFilter>
  <tableColumns count="10">
    <tableColumn name="customer_id" id="1"/>
    <tableColumn name="driver_id" id="2"/>
    <tableColumn name="alt_drop_off_id" id="3"/>
    <tableColumn name="Điểm Pick-up" id="4"/>
    <tableColumn name="Điểm Drop-off thay thế" id="5"/>
    <tableColumn name="Driver" id="6"/>
    <tableColumn name="bot_token" id="7"/>
    <tableColumn name="chat_id" id="8"/>
    <tableColumn name="shift_start" id="9"/>
    <tableColumn name="shift_end" id="10"/>
  </tableColumns>
  <tableStyleInfo name="config_sun-style" showColumnStripes="0" showFirstColumn="1" showLastColumn="1" showRowStripes="1"/>
</table>
</file>

<file path=xl/tables/table5.xml><?xml version="1.0" encoding="utf-8"?>
<table xmlns="http://schemas.openxmlformats.org/spreadsheetml/2006/main" headerRowCount="0" ref="A1351:J2351" displayName="Table_2" name="Table_2"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nfig_sun-style 2" showColumnStripes="0" showFirstColumn="1" showLastColumn="1" showRowStripes="1"/>
</table>
</file>

<file path=xl/tables/table6.xml><?xml version="1.0" encoding="utf-8"?>
<table xmlns="http://schemas.openxmlformats.org/spreadsheetml/2006/main" ref="A1:H47" displayName="Table1" name="Table1" id="6">
  <tableColumns count="8">
    <tableColumn name="psc_pickup" id="1"/>
    <tableColumn name="dropoff_location" id="2"/>
    <tableColumn name="pickup" id="3"/>
    <tableColumn name="dropoff" id="4"/>
    <tableColumn name="ref_number" id="5"/>
    <tableColumn name="address" id="6"/>
    <tableColumn name="lat" id="7"/>
    <tableColumn name="long" id="8"/>
  </tableColumns>
  <tableStyleInfo name="PSC-style" showColumnStripes="0" showFirstColumn="1" showLastColumn="1" showRowStripes="1"/>
</table>
</file>

<file path=xl/tables/table7.xml><?xml version="1.0" encoding="utf-8"?>
<table xmlns="http://schemas.openxmlformats.org/spreadsheetml/2006/main" ref="A1:K3002" displayName="Table2" name="Table2" id="7">
  <autoFilter ref="$A$1:$K$3002"/>
  <tableColumns count="11">
    <tableColumn name="customer_name" id="1"/>
    <tableColumn name="customer_id" id="2"/>
    <tableColumn name="address_line_1" id="3"/>
    <tableColumn name="new_ward" id="4"/>
    <tableColumn name="dropoff" id="5"/>
    <tableColumn name="dropoff_id" id="6"/>
    <tableColumn name="eta" id="7"/>
    <tableColumn name="export_status" id="8"/>
    <tableColumn name="nearest_dropoff" id="9"/>
    <tableColumn name="lat" id="10"/>
    <tableColumn name="lng" id="11"/>
  </tableColumns>
  <tableStyleInfo name="Location Table-style" showColumnStripes="0" showFirstColumn="1" showLastColumn="1" showRowStripes="1"/>
</table>
</file>

<file path=xl/tables/table8.xml><?xml version="1.0" encoding="utf-8"?>
<table xmlns="http://schemas.openxmlformats.org/spreadsheetml/2006/main" ref="A1:D266" displayName="Driver_2" name="Driver_2" id="8">
  <autoFilter ref="$A$1:$D$266"/>
  <tableColumns count="4">
    <tableColumn name="Driver" id="1"/>
    <tableColumn name="delivery_driver_id" id="2"/>
    <tableColumn name="driver_zalo_id" id="3"/>
    <tableColumn name="bot_token" id="4"/>
  </tableColumns>
  <tableStyleInfo name="Driver-style" showColumnStripes="0" showFirstColumn="1" showLastColumn="1" showRowStripes="1"/>
</table>
</file>

<file path=xl/tables/table9.xml><?xml version="1.0" encoding="utf-8"?>
<table xmlns="http://schemas.openxmlformats.org/spreadsheetml/2006/main" ref="A1:E6556" displayName="distance" name="distance" id="9">
  <autoFilter ref="$A$1:$E$6556"/>
  <tableColumns count="5">
    <tableColumn name="lat1" id="1"/>
    <tableColumn name="long1" id="2"/>
    <tableColumn name="lat2" id="3"/>
    <tableColumn name="long2" id="4"/>
    <tableColumn name="distance_km" id="5"/>
  </tableColumns>
  <tableStyleInfo name="distance_mas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2-03T05:40:58.00" personId="{f2855eab-5509-4176-b707-326977a12fec}" id="{8b45ffa7-2242-4b45-814c-8c5620b3e900}" done="0">
    <x18tc:text xml:space="preserve">test, KHÔNG xóa / overwrite dòng này</x18tc:text>
  </x18tc:threadedComment>
  <x18tc:threadedComment ref="A2" dT="2026-02-09T06:19:51.00" personId="{9a87e3dd-8593-4615-a515-b0406542fdbe}" id="{25409347-1d3b-4189-bd9f-402217ae1047}" parentId="{8b45ffa7-2242-4b45-814c-8c5620b3e900}">
    <x18tc:text xml:space="preserv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9" Type="http://schemas.openxmlformats.org/officeDocument/2006/relationships/table" Target="../tables/table2.xml"/><Relationship Id="rId5" Type="http://schemas.openxmlformats.org/officeDocument/2006/relationships/vmlDrawing" Target="../drawings/vmlDrawing1.v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4.xml"/><Relationship Id="rId5"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25"/>
    <col customWidth="1" min="2" max="2" width="35.25"/>
    <col customWidth="1" min="3" max="3" width="24.75"/>
    <col customWidth="1" min="4" max="4" width="76.0"/>
    <col customWidth="1" min="5" max="6" width="50.25"/>
    <col customWidth="1" min="7" max="7" width="29.75"/>
    <col customWidth="1" min="8" max="8" width="21.13"/>
    <col customWidth="1" min="9" max="9" width="16.5"/>
    <col customWidth="1" min="10" max="10" width="17.13"/>
    <col customWidth="1" min="11" max="11" width="28.5"/>
  </cols>
  <sheetData>
    <row r="1">
      <c r="A1" s="1" t="s">
        <v>0</v>
      </c>
      <c r="B1" s="2" t="s">
        <v>1</v>
      </c>
      <c r="C1" s="3" t="s">
        <v>2</v>
      </c>
      <c r="D1" s="4" t="s">
        <v>3</v>
      </c>
      <c r="E1" s="4" t="s">
        <v>4</v>
      </c>
      <c r="F1" s="1" t="s">
        <v>5</v>
      </c>
      <c r="G1" s="1" t="s">
        <v>6</v>
      </c>
      <c r="H1" s="1" t="s">
        <v>7</v>
      </c>
      <c r="I1" s="1" t="s">
        <v>8</v>
      </c>
      <c r="J1" s="1" t="s">
        <v>9</v>
      </c>
      <c r="K1" s="1" t="s">
        <v>10</v>
      </c>
    </row>
    <row r="2" hidden="1">
      <c r="A2" s="5" t="s">
        <v>11</v>
      </c>
      <c r="B2" s="5" t="str">
        <f>IFNA(VLOOKUP(F2,Driver!A:C,2,false),"")</f>
        <v>8094d712-0f78-11f0-b96d-506b8d982279</v>
      </c>
      <c r="C2" s="5" t="str">
        <f>IFNA(VLOOKUP(E2,'Location Table'!A:C,2,false),"")</f>
        <v/>
      </c>
      <c r="D2" s="6" t="s">
        <v>12</v>
      </c>
      <c r="E2" s="6"/>
      <c r="F2" s="6" t="s">
        <v>13</v>
      </c>
      <c r="G2" s="7" t="str">
        <f>IFNA(VLOOKUP(F2,Driver!A:D,4,false),"")</f>
        <v/>
      </c>
      <c r="H2" s="8" t="str">
        <f>IFNA(VLOOKUP(F2,Driver!A:C,3,false),"")</f>
        <v/>
      </c>
      <c r="I2" s="9">
        <v>0.2916666666666667</v>
      </c>
      <c r="J2" s="9">
        <v>0.6666666666666666</v>
      </c>
      <c r="K2" s="9"/>
    </row>
    <row r="3" hidden="1">
      <c r="A3" s="5" t="str">
        <f>IFNA(VLOOKUP(D3,'Location Table'!A:C,2,false),"")</f>
        <v>7fefc6d4-4539-11ed-94b3-506b8dbc8dfb</v>
      </c>
      <c r="B3" s="5" t="str">
        <f>IFNA(VLOOKUP(F3,Driver!A:C,2,false),"")</f>
        <v>7898dd6c-816d-11f0-9f34-506b8d982279</v>
      </c>
      <c r="C3" s="5" t="str">
        <f>IFNA(VLOOKUP(E3,'Location Table'!A:C,2,false),"")</f>
        <v/>
      </c>
      <c r="D3" s="6" t="s">
        <v>14</v>
      </c>
      <c r="E3" s="6"/>
      <c r="F3" s="6" t="s">
        <v>15</v>
      </c>
      <c r="G3" s="7" t="str">
        <f>IFNA(VLOOKUP(F3,Driver!A:D,4,false),"")</f>
        <v>1980698793628880414:XXMGIAegigeHesHcPUQpIcnMCwhigvPUATFrPyRHiqIZqTwmvWiXbUzfDhivxPcl</v>
      </c>
      <c r="H3" s="8" t="str">
        <f>IFNA(VLOOKUP(F3,Driver!A:C,3,false),"")</f>
        <v>011b70c8f4801dde4491</v>
      </c>
      <c r="I3" s="9">
        <v>0.2916666666666667</v>
      </c>
      <c r="J3" s="9">
        <v>0.6666666666666666</v>
      </c>
      <c r="K3" s="9"/>
    </row>
    <row r="4" hidden="1">
      <c r="A4" s="5" t="str">
        <f>IFNA(VLOOKUP(D4,'Location Table'!A:C,2,false),"")</f>
        <v>84d326dc-4543-11ed-a50a-506b8dbc8dfb</v>
      </c>
      <c r="B4" s="5" t="str">
        <f>IFNA(VLOOKUP(F4,Driver!A:C,2,false),"")</f>
        <v>7898dd6c-816d-11f0-9f34-506b8d982279</v>
      </c>
      <c r="C4" s="5" t="str">
        <f>IFNA(VLOOKUP(E4,'Location Table'!A:C,2,false),"")</f>
        <v/>
      </c>
      <c r="D4" s="6" t="s">
        <v>16</v>
      </c>
      <c r="E4" s="6"/>
      <c r="F4" s="6" t="s">
        <v>15</v>
      </c>
      <c r="G4" s="7" t="str">
        <f>IFNA(VLOOKUP(F4,Driver!A:D,4,false),"")</f>
        <v>1980698793628880414:XXMGIAegigeHesHcPUQpIcnMCwhigvPUATFrPyRHiqIZqTwmvWiXbUzfDhivxPcl</v>
      </c>
      <c r="H4" s="8" t="str">
        <f>IFNA(VLOOKUP(F4,Driver!A:C,3,false),"")</f>
        <v>011b70c8f4801dde4491</v>
      </c>
      <c r="I4" s="9">
        <v>0.2916666666666667</v>
      </c>
      <c r="J4" s="9">
        <v>0.6666666666666666</v>
      </c>
      <c r="K4" s="9"/>
    </row>
    <row r="5" hidden="1">
      <c r="A5" s="5" t="str">
        <f>IFNA(VLOOKUP(D5,'Location Table'!A:C,2,false),"")</f>
        <v>6e14d1d4-11de-11ef-9e30-506b8d9879b5</v>
      </c>
      <c r="B5" s="5" t="str">
        <f>IFNA(VLOOKUP(F5,Driver!A:C,2,false),"")</f>
        <v>7898dd6c-816d-11f0-9f34-506b8d982279</v>
      </c>
      <c r="C5" s="5" t="str">
        <f>IFNA(VLOOKUP(E5,'Location Table'!A:C,2,false),"")</f>
        <v/>
      </c>
      <c r="D5" s="6" t="s">
        <v>17</v>
      </c>
      <c r="E5" s="6"/>
      <c r="F5" s="6" t="s">
        <v>15</v>
      </c>
      <c r="G5" s="7" t="str">
        <f>IFNA(VLOOKUP(F5,Driver!A:D,4,false),"")</f>
        <v>1980698793628880414:XXMGIAegigeHesHcPUQpIcnMCwhigvPUATFrPyRHiqIZqTwmvWiXbUzfDhivxPcl</v>
      </c>
      <c r="H5" s="8" t="str">
        <f>IFNA(VLOOKUP(F5,Driver!A:C,3,false),"")</f>
        <v>011b70c8f4801dde4491</v>
      </c>
      <c r="I5" s="9">
        <v>0.2916666666666667</v>
      </c>
      <c r="J5" s="9">
        <v>0.6666666666666666</v>
      </c>
      <c r="K5" s="9"/>
    </row>
    <row r="6" hidden="1">
      <c r="A6" s="5" t="str">
        <f>IFNA(VLOOKUP(D6,'Location Table'!A:C,2,false),"")</f>
        <v>61af27cc-8aad-11ee-b551-506b8d9879b5</v>
      </c>
      <c r="B6" s="5" t="str">
        <f>IFNA(VLOOKUP(F6,Driver!A:C,2,false),"")</f>
        <v>7898dd6c-816d-11f0-9f34-506b8d982279</v>
      </c>
      <c r="C6" s="5" t="str">
        <f>IFNA(VLOOKUP(E6,'Location Table'!A:C,2,false),"")</f>
        <v/>
      </c>
      <c r="D6" s="6" t="s">
        <v>18</v>
      </c>
      <c r="E6" s="6"/>
      <c r="F6" s="6" t="s">
        <v>15</v>
      </c>
      <c r="G6" s="7" t="str">
        <f>IFNA(VLOOKUP(F6,Driver!A:D,4,false),"")</f>
        <v>1980698793628880414:XXMGIAegigeHesHcPUQpIcnMCwhigvPUATFrPyRHiqIZqTwmvWiXbUzfDhivxPcl</v>
      </c>
      <c r="H6" s="8" t="str">
        <f>IFNA(VLOOKUP(F6,Driver!A:C,3,false),"")</f>
        <v>011b70c8f4801dde4491</v>
      </c>
      <c r="I6" s="9">
        <v>0.2916666666666667</v>
      </c>
      <c r="J6" s="9">
        <v>0.6666666666666666</v>
      </c>
      <c r="K6" s="9"/>
    </row>
    <row r="7" hidden="1">
      <c r="A7" s="5" t="str">
        <f>IFNA(VLOOKUP(D7,'Location Table'!A:C,2,false),"")</f>
        <v>41126efc-4349-11ef-8430-506b8d9879b5</v>
      </c>
      <c r="B7" s="5" t="str">
        <f>IFNA(VLOOKUP(F7,Driver!A:C,2,false),"")</f>
        <v>7898dd6c-816d-11f0-9f34-506b8d982279</v>
      </c>
      <c r="C7" s="5" t="str">
        <f>IFNA(VLOOKUP(E7,'Location Table'!A:C,2,false),"")</f>
        <v/>
      </c>
      <c r="D7" s="6" t="s">
        <v>19</v>
      </c>
      <c r="E7" s="6"/>
      <c r="F7" s="6" t="s">
        <v>15</v>
      </c>
      <c r="G7" s="7" t="str">
        <f>IFNA(VLOOKUP(F7,Driver!A:D,4,false),"")</f>
        <v>1980698793628880414:XXMGIAegigeHesHcPUQpIcnMCwhigvPUATFrPyRHiqIZqTwmvWiXbUzfDhivxPcl</v>
      </c>
      <c r="H7" s="8" t="str">
        <f>IFNA(VLOOKUP(F7,Driver!A:C,3,false),"")</f>
        <v>011b70c8f4801dde4491</v>
      </c>
      <c r="I7" s="9">
        <v>0.2916666666666667</v>
      </c>
      <c r="J7" s="9">
        <v>0.6666666666666666</v>
      </c>
      <c r="K7" s="9"/>
    </row>
    <row r="8" hidden="1">
      <c r="A8" s="5" t="str">
        <f>IFNA(VLOOKUP(D8,'Location Table'!A:C,2,false),"")</f>
        <v>4f07dccc-9ce9-11f0-99fb-506b8d982279</v>
      </c>
      <c r="B8" s="5" t="str">
        <f>IFNA(VLOOKUP(F8,Driver!A:C,2,false),"")</f>
        <v>7898dd6c-816d-11f0-9f34-506b8d982279</v>
      </c>
      <c r="C8" s="5" t="str">
        <f>IFNA(VLOOKUP(E8,'Location Table'!A:C,2,false),"")</f>
        <v/>
      </c>
      <c r="D8" s="6" t="s">
        <v>20</v>
      </c>
      <c r="E8" s="6"/>
      <c r="F8" s="6" t="s">
        <v>15</v>
      </c>
      <c r="G8" s="7" t="str">
        <f>IFNA(VLOOKUP(F8,Driver!A:D,4,false),"")</f>
        <v>1980698793628880414:XXMGIAegigeHesHcPUQpIcnMCwhigvPUATFrPyRHiqIZqTwmvWiXbUzfDhivxPcl</v>
      </c>
      <c r="H8" s="8" t="str">
        <f>IFNA(VLOOKUP(F8,Driver!A:C,3,false),"")</f>
        <v>011b70c8f4801dde4491</v>
      </c>
      <c r="I8" s="9">
        <v>0.2916666666666667</v>
      </c>
      <c r="J8" s="9">
        <v>0.6666666666666666</v>
      </c>
      <c r="K8" s="9"/>
    </row>
    <row r="9" hidden="1">
      <c r="A9" s="5" t="str">
        <f>IFNA(VLOOKUP(D9,'Location Table'!A:C,2,false),"")</f>
        <v>f036056c-8a92-11ee-b9a1-506b8d9879b5</v>
      </c>
      <c r="B9" s="5" t="str">
        <f>IFNA(VLOOKUP(F9,Driver!A:C,2,false),"")</f>
        <v>7898dd6c-816d-11f0-9f34-506b8d982279</v>
      </c>
      <c r="C9" s="5" t="str">
        <f>IFNA(VLOOKUP(E9,'Location Table'!A:C,2,false),"")</f>
        <v/>
      </c>
      <c r="D9" s="6" t="s">
        <v>21</v>
      </c>
      <c r="E9" s="6"/>
      <c r="F9" s="6" t="s">
        <v>15</v>
      </c>
      <c r="G9" s="7" t="str">
        <f>IFNA(VLOOKUP(F9,Driver!A:D,4,false),"")</f>
        <v>1980698793628880414:XXMGIAegigeHesHcPUQpIcnMCwhigvPUATFrPyRHiqIZqTwmvWiXbUzfDhivxPcl</v>
      </c>
      <c r="H9" s="8" t="str">
        <f>IFNA(VLOOKUP(F9,Driver!A:C,3,false),"")</f>
        <v>011b70c8f4801dde4491</v>
      </c>
      <c r="I9" s="9">
        <v>0.2916666666666667</v>
      </c>
      <c r="J9" s="9">
        <v>0.6666666666666666</v>
      </c>
      <c r="K9" s="9"/>
    </row>
    <row r="10" hidden="1">
      <c r="A10" s="5" t="str">
        <f>IFNA(VLOOKUP(D10,'Location Table'!A:C,2,false),"")</f>
        <v>230eb4e2-a57d-11ef-a7db-506b8d9879b5</v>
      </c>
      <c r="B10" s="5" t="str">
        <f>IFNA(VLOOKUP(F10,Driver!A:C,2,false),"")</f>
        <v>7898dd6c-816d-11f0-9f34-506b8d982279</v>
      </c>
      <c r="C10" s="5" t="str">
        <f>IFNA(VLOOKUP(E10,'Location Table'!A:C,2,false),"")</f>
        <v/>
      </c>
      <c r="D10" s="6" t="s">
        <v>22</v>
      </c>
      <c r="E10" s="6"/>
      <c r="F10" s="6" t="s">
        <v>15</v>
      </c>
      <c r="G10" s="7" t="str">
        <f>IFNA(VLOOKUP(F10,Driver!A:D,4,false),"")</f>
        <v>1980698793628880414:XXMGIAegigeHesHcPUQpIcnMCwhigvPUATFrPyRHiqIZqTwmvWiXbUzfDhivxPcl</v>
      </c>
      <c r="H10" s="8" t="str">
        <f>IFNA(VLOOKUP(F10,Driver!A:C,3,false),"")</f>
        <v>011b70c8f4801dde4491</v>
      </c>
      <c r="I10" s="9">
        <v>0.2916666666666667</v>
      </c>
      <c r="J10" s="9">
        <v>0.6666666666666666</v>
      </c>
      <c r="K10" s="9"/>
    </row>
    <row r="11" hidden="1">
      <c r="A11" s="5" t="str">
        <f>IFNA(VLOOKUP(D11,'Location Table'!A:C,2,false),"")</f>
        <v>f5c156fc-11b7-11ee-a03b-506b8dbc8dfb</v>
      </c>
      <c r="B11" s="5" t="str">
        <f>IFNA(VLOOKUP(F11,Driver!A:C,2,false),"")</f>
        <v>7898dd6c-816d-11f0-9f34-506b8d982279</v>
      </c>
      <c r="C11" s="5" t="str">
        <f>IFNA(VLOOKUP(E11,'Location Table'!A:C,2,false),"")</f>
        <v/>
      </c>
      <c r="D11" s="6" t="s">
        <v>23</v>
      </c>
      <c r="E11" s="6"/>
      <c r="F11" s="6" t="s">
        <v>15</v>
      </c>
      <c r="G11" s="7" t="str">
        <f>IFNA(VLOOKUP(F11,Driver!A:D,4,false),"")</f>
        <v>1980698793628880414:XXMGIAegigeHesHcPUQpIcnMCwhigvPUATFrPyRHiqIZqTwmvWiXbUzfDhivxPcl</v>
      </c>
      <c r="H11" s="8" t="str">
        <f>IFNA(VLOOKUP(F11,Driver!A:C,3,false),"")</f>
        <v>011b70c8f4801dde4491</v>
      </c>
      <c r="I11" s="9">
        <v>0.2916666666666667</v>
      </c>
      <c r="J11" s="9">
        <v>0.6666666666666666</v>
      </c>
      <c r="K11" s="9"/>
    </row>
    <row r="12" hidden="1">
      <c r="A12" s="5" t="str">
        <f>IFNA(VLOOKUP(D12,'Location Table'!A:C,2,false),"")</f>
        <v>3999a980-0f35-11ef-b000-506b8d9879b5</v>
      </c>
      <c r="B12" s="5" t="str">
        <f>IFNA(VLOOKUP(F12,Driver!A:C,2,false),"")</f>
        <v>7898dd6c-816d-11f0-9f34-506b8d982279</v>
      </c>
      <c r="C12" s="5" t="str">
        <f>IFNA(VLOOKUP(E12,'Location Table'!A:C,2,false),"")</f>
        <v/>
      </c>
      <c r="D12" s="6" t="s">
        <v>24</v>
      </c>
      <c r="E12" s="6"/>
      <c r="F12" s="6" t="s">
        <v>15</v>
      </c>
      <c r="G12" s="7" t="str">
        <f>IFNA(VLOOKUP(F12,Driver!A:D,4,false),"")</f>
        <v>1980698793628880414:XXMGIAegigeHesHcPUQpIcnMCwhigvPUATFrPyRHiqIZqTwmvWiXbUzfDhivxPcl</v>
      </c>
      <c r="H12" s="8" t="str">
        <f>IFNA(VLOOKUP(F12,Driver!A:C,3,false),"")</f>
        <v>011b70c8f4801dde4491</v>
      </c>
      <c r="I12" s="9">
        <v>0.2916666666666667</v>
      </c>
      <c r="J12" s="9">
        <v>0.6666666666666666</v>
      </c>
      <c r="K12" s="9"/>
    </row>
    <row r="13" hidden="1">
      <c r="A13" s="5" t="str">
        <f>IFNA(VLOOKUP(D13,'Location Table'!A:C,2,false),"")</f>
        <v>d6fca2e0-513f-11ee-8a83-506b8d9879b5</v>
      </c>
      <c r="B13" s="5" t="str">
        <f>IFNA(VLOOKUP(F13,Driver!A:C,2,false),"")</f>
        <v>7898dd6c-816d-11f0-9f34-506b8d982279</v>
      </c>
      <c r="C13" s="5" t="str">
        <f>IFNA(VLOOKUP(E13,'Location Table'!A:C,2,false),"")</f>
        <v/>
      </c>
      <c r="D13" s="6" t="s">
        <v>25</v>
      </c>
      <c r="E13" s="6"/>
      <c r="F13" s="6" t="s">
        <v>15</v>
      </c>
      <c r="G13" s="7" t="str">
        <f>IFNA(VLOOKUP(F13,Driver!A:D,4,false),"")</f>
        <v>1980698793628880414:XXMGIAegigeHesHcPUQpIcnMCwhigvPUATFrPyRHiqIZqTwmvWiXbUzfDhivxPcl</v>
      </c>
      <c r="H13" s="8" t="str">
        <f>IFNA(VLOOKUP(F13,Driver!A:C,3,false),"")</f>
        <v>011b70c8f4801dde4491</v>
      </c>
      <c r="I13" s="9">
        <v>0.2916666666666667</v>
      </c>
      <c r="J13" s="9">
        <v>0.6666666666666666</v>
      </c>
      <c r="K13" s="9"/>
    </row>
    <row r="14" hidden="1">
      <c r="A14" s="5" t="str">
        <f>IFNA(VLOOKUP(D14,'Location Table'!A:C,2,false),"")</f>
        <v>8741aed2-0d86-11ee-bea3-506b8dbc8dfb</v>
      </c>
      <c r="B14" s="5" t="str">
        <f>IFNA(VLOOKUP(F14,Driver!A:C,2,false),"")</f>
        <v>7898dd6c-816d-11f0-9f34-506b8d982279</v>
      </c>
      <c r="C14" s="5" t="str">
        <f>IFNA(VLOOKUP(E14,'Location Table'!A:C,2,false),"")</f>
        <v/>
      </c>
      <c r="D14" s="6" t="s">
        <v>26</v>
      </c>
      <c r="E14" s="6"/>
      <c r="F14" s="6" t="s">
        <v>15</v>
      </c>
      <c r="G14" s="7" t="str">
        <f>IFNA(VLOOKUP(F14,Driver!A:D,4,false),"")</f>
        <v>1980698793628880414:XXMGIAegigeHesHcPUQpIcnMCwhigvPUATFrPyRHiqIZqTwmvWiXbUzfDhivxPcl</v>
      </c>
      <c r="H14" s="8" t="str">
        <f>IFNA(VLOOKUP(F14,Driver!A:C,3,false),"")</f>
        <v>011b70c8f4801dde4491</v>
      </c>
      <c r="I14" s="9">
        <v>0.2916666666666667</v>
      </c>
      <c r="J14" s="9">
        <v>0.6666666666666666</v>
      </c>
      <c r="K14" s="9"/>
    </row>
    <row r="15" hidden="1">
      <c r="A15" s="5" t="str">
        <f>IFNA(VLOOKUP(D15,'Location Table'!A:C,2,false),"")</f>
        <v>d87754f8-5dcd-11ef-b0d4-506b8d9879b5</v>
      </c>
      <c r="B15" s="5" t="str">
        <f>IFNA(VLOOKUP(F15,Driver!A:C,2,false),"")</f>
        <v>7898dd6c-816d-11f0-9f34-506b8d982279</v>
      </c>
      <c r="C15" s="5" t="str">
        <f>IFNA(VLOOKUP(E15,'Location Table'!A:C,2,false),"")</f>
        <v/>
      </c>
      <c r="D15" s="6" t="s">
        <v>27</v>
      </c>
      <c r="E15" s="6"/>
      <c r="F15" s="6" t="s">
        <v>15</v>
      </c>
      <c r="G15" s="7" t="str">
        <f>IFNA(VLOOKUP(F15,Driver!A:D,4,false),"")</f>
        <v>1980698793628880414:XXMGIAegigeHesHcPUQpIcnMCwhigvPUATFrPyRHiqIZqTwmvWiXbUzfDhivxPcl</v>
      </c>
      <c r="H15" s="8" t="str">
        <f>IFNA(VLOOKUP(F15,Driver!A:C,3,false),"")</f>
        <v>011b70c8f4801dde4491</v>
      </c>
      <c r="I15" s="9">
        <v>0.2916666666666667</v>
      </c>
      <c r="J15" s="9">
        <v>0.6666666666666666</v>
      </c>
      <c r="K15" s="9"/>
    </row>
    <row r="16" hidden="1">
      <c r="A16" s="5" t="str">
        <f>IFNA(VLOOKUP(D16,'Location Table'!A:C,2,false),"")</f>
        <v>f38c1fe0-560c-11ee-b602-506b8d9879b5</v>
      </c>
      <c r="B16" s="5" t="str">
        <f>IFNA(VLOOKUP(F16,Driver!A:C,2,false),"")</f>
        <v>7898dd6c-816d-11f0-9f34-506b8d982279</v>
      </c>
      <c r="C16" s="5" t="str">
        <f>IFNA(VLOOKUP(E16,'Location Table'!A:C,2,false),"")</f>
        <v/>
      </c>
      <c r="D16" s="6" t="s">
        <v>28</v>
      </c>
      <c r="E16" s="6"/>
      <c r="F16" s="6" t="s">
        <v>15</v>
      </c>
      <c r="G16" s="7" t="str">
        <f>IFNA(VLOOKUP(F16,Driver!A:D,4,false),"")</f>
        <v>1980698793628880414:XXMGIAegigeHesHcPUQpIcnMCwhigvPUATFrPyRHiqIZqTwmvWiXbUzfDhivxPcl</v>
      </c>
      <c r="H16" s="8" t="str">
        <f>IFNA(VLOOKUP(F16,Driver!A:C,3,false),"")</f>
        <v>011b70c8f4801dde4491</v>
      </c>
      <c r="I16" s="9">
        <v>0.2916666666666667</v>
      </c>
      <c r="J16" s="9">
        <v>0.6666666666666666</v>
      </c>
      <c r="K16" s="9"/>
    </row>
    <row r="17" hidden="1">
      <c r="A17" s="5" t="str">
        <f>IFNA(VLOOKUP(D17,'Location Table'!A:C,2,false),"")</f>
        <v>3a077e58-58e0-11ee-92dc-506b8d9879b5</v>
      </c>
      <c r="B17" s="5" t="str">
        <f>IFNA(VLOOKUP(F17,Driver!A:C,2,false),"")</f>
        <v>7898dd6c-816d-11f0-9f34-506b8d982279</v>
      </c>
      <c r="C17" s="5" t="str">
        <f>IFNA(VLOOKUP(E17,'Location Table'!A:C,2,false),"")</f>
        <v/>
      </c>
      <c r="D17" s="6" t="s">
        <v>29</v>
      </c>
      <c r="E17" s="6"/>
      <c r="F17" s="6" t="s">
        <v>15</v>
      </c>
      <c r="G17" s="7" t="str">
        <f>IFNA(VLOOKUP(F17,Driver!A:D,4,false),"")</f>
        <v>1980698793628880414:XXMGIAegigeHesHcPUQpIcnMCwhigvPUATFrPyRHiqIZqTwmvWiXbUzfDhivxPcl</v>
      </c>
      <c r="H17" s="8" t="str">
        <f>IFNA(VLOOKUP(F17,Driver!A:C,3,false),"")</f>
        <v>011b70c8f4801dde4491</v>
      </c>
      <c r="I17" s="9">
        <v>0.2916666666666667</v>
      </c>
      <c r="J17" s="9">
        <v>0.6666666666666666</v>
      </c>
      <c r="K17" s="9"/>
    </row>
    <row r="18" hidden="1">
      <c r="A18" s="5" t="str">
        <f>IFNA(VLOOKUP(D18,'Location Table'!A:C,2,false),"")</f>
        <v>dfadbd84-49fb-11ee-9adb-506b8d9879b5</v>
      </c>
      <c r="B18" s="5" t="str">
        <f>IFNA(VLOOKUP(F18,Driver!A:C,2,false),"")</f>
        <v>7898dd6c-816d-11f0-9f34-506b8d982279</v>
      </c>
      <c r="C18" s="5" t="str">
        <f>IFNA(VLOOKUP(E18,'Location Table'!A:C,2,false),"")</f>
        <v/>
      </c>
      <c r="D18" s="6" t="s">
        <v>30</v>
      </c>
      <c r="E18" s="6"/>
      <c r="F18" s="6" t="s">
        <v>15</v>
      </c>
      <c r="G18" s="7" t="str">
        <f>IFNA(VLOOKUP(F18,Driver!A:D,4,false),"")</f>
        <v>1980698793628880414:XXMGIAegigeHesHcPUQpIcnMCwhigvPUATFrPyRHiqIZqTwmvWiXbUzfDhivxPcl</v>
      </c>
      <c r="H18" s="8" t="str">
        <f>IFNA(VLOOKUP(F18,Driver!A:C,3,false),"")</f>
        <v>011b70c8f4801dde4491</v>
      </c>
      <c r="I18" s="9">
        <v>0.2916666666666667</v>
      </c>
      <c r="J18" s="9">
        <v>0.6666666666666666</v>
      </c>
      <c r="K18" s="9"/>
    </row>
    <row r="19" hidden="1">
      <c r="A19" s="5" t="str">
        <f>IFNA(VLOOKUP(D19,'Location Table'!A:C,2,false),"")</f>
        <v>1a5c8214-0ebb-11f0-91cd-506b8d982279</v>
      </c>
      <c r="B19" s="5" t="str">
        <f>IFNA(VLOOKUP(F19,Driver!A:C,2,false),"")</f>
        <v>7898dd6c-816d-11f0-9f34-506b8d982279</v>
      </c>
      <c r="C19" s="5" t="str">
        <f>IFNA(VLOOKUP(E19,'Location Table'!A:C,2,false),"")</f>
        <v/>
      </c>
      <c r="D19" s="6" t="s">
        <v>31</v>
      </c>
      <c r="E19" s="6"/>
      <c r="F19" s="6" t="s">
        <v>15</v>
      </c>
      <c r="G19" s="7" t="str">
        <f>IFNA(VLOOKUP(F19,Driver!A:D,4,false),"")</f>
        <v>1980698793628880414:XXMGIAegigeHesHcPUQpIcnMCwhigvPUATFrPyRHiqIZqTwmvWiXbUzfDhivxPcl</v>
      </c>
      <c r="H19" s="8" t="str">
        <f>IFNA(VLOOKUP(F19,Driver!A:C,3,false),"")</f>
        <v>011b70c8f4801dde4491</v>
      </c>
      <c r="I19" s="9">
        <v>0.2916666666666667</v>
      </c>
      <c r="J19" s="9">
        <v>0.6666666666666666</v>
      </c>
      <c r="K19" s="9"/>
    </row>
    <row r="20" hidden="1">
      <c r="A20" s="5" t="str">
        <f>IFNA(VLOOKUP(D20,'Location Table'!A:C,2,false),"")</f>
        <v>b2434be2-f195-11ee-8d01-506b8d9879b5</v>
      </c>
      <c r="B20" s="5" t="str">
        <f>IFNA(VLOOKUP(F20,Driver!A:C,2,false),"")</f>
        <v>7898dd6c-816d-11f0-9f34-506b8d982279</v>
      </c>
      <c r="C20" s="5" t="str">
        <f>IFNA(VLOOKUP(E20,'Location Table'!A:C,2,false),"")</f>
        <v/>
      </c>
      <c r="D20" s="6" t="s">
        <v>32</v>
      </c>
      <c r="E20" s="6"/>
      <c r="F20" s="6" t="s">
        <v>15</v>
      </c>
      <c r="G20" s="7" t="str">
        <f>IFNA(VLOOKUP(F20,Driver!A:D,4,false),"")</f>
        <v>1980698793628880414:XXMGIAegigeHesHcPUQpIcnMCwhigvPUATFrPyRHiqIZqTwmvWiXbUzfDhivxPcl</v>
      </c>
      <c r="H20" s="8" t="str">
        <f>IFNA(VLOOKUP(F20,Driver!A:C,3,false),"")</f>
        <v>011b70c8f4801dde4491</v>
      </c>
      <c r="I20" s="9">
        <v>0.2916666666666667</v>
      </c>
      <c r="J20" s="9">
        <v>0.6666666666666666</v>
      </c>
      <c r="K20" s="9"/>
    </row>
    <row r="21" hidden="1">
      <c r="A21" s="5" t="str">
        <f>IFNA(VLOOKUP(D21,'Location Table'!A:C,2,false),"")</f>
        <v>9dffb88c-9187-11ee-b505-506b8d9879b5</v>
      </c>
      <c r="B21" s="5" t="str">
        <f>IFNA(VLOOKUP(F21,Driver!A:C,2,false),"")</f>
        <v>7898dd6c-816d-11f0-9f34-506b8d982279</v>
      </c>
      <c r="C21" s="5" t="str">
        <f>IFNA(VLOOKUP(E21,'Location Table'!A:C,2,false),"")</f>
        <v/>
      </c>
      <c r="D21" s="6" t="s">
        <v>33</v>
      </c>
      <c r="E21" s="6"/>
      <c r="F21" s="6" t="s">
        <v>15</v>
      </c>
      <c r="G21" s="7" t="str">
        <f>IFNA(VLOOKUP(F21,Driver!A:D,4,false),"")</f>
        <v>1980698793628880414:XXMGIAegigeHesHcPUQpIcnMCwhigvPUATFrPyRHiqIZqTwmvWiXbUzfDhivxPcl</v>
      </c>
      <c r="H21" s="8" t="str">
        <f>IFNA(VLOOKUP(F21,Driver!A:C,3,false),"")</f>
        <v>011b70c8f4801dde4491</v>
      </c>
      <c r="I21" s="9">
        <v>0.2916666666666667</v>
      </c>
      <c r="J21" s="9">
        <v>0.6666666666666666</v>
      </c>
      <c r="K21" s="9"/>
    </row>
    <row r="22" hidden="1">
      <c r="A22" s="5" t="str">
        <f>IFNA(VLOOKUP(D22,'Location Table'!A:C,2,false),"")</f>
        <v>97b2a6a2-795c-11ef-ba0d-506b8d9879b5</v>
      </c>
      <c r="B22" s="5" t="str">
        <f>IFNA(VLOOKUP(F22,Driver!A:C,2,false),"")</f>
        <v>41ea8512-2e70-11f1-9378-fa163ee8d8ac</v>
      </c>
      <c r="C22" s="5" t="str">
        <f>IFNA(VLOOKUP(E22,'Location Table'!A:C,2,false),"")</f>
        <v/>
      </c>
      <c r="D22" s="6" t="s">
        <v>34</v>
      </c>
      <c r="E22" s="6"/>
      <c r="F22" s="10" t="s">
        <v>35</v>
      </c>
      <c r="G22" s="7" t="str">
        <f>IFNA(VLOOKUP(F22,Driver!A:D,4,false),"")</f>
        <v/>
      </c>
      <c r="H22" s="8" t="str">
        <f>IFNA(VLOOKUP(F22,Driver!A:C,3,false),"")</f>
        <v/>
      </c>
      <c r="I22" s="9">
        <v>0.2916666666666667</v>
      </c>
      <c r="J22" s="9">
        <v>0.6666666666666666</v>
      </c>
      <c r="K22" s="9"/>
    </row>
    <row r="23" hidden="1">
      <c r="A23" s="5" t="str">
        <f>IFNA(VLOOKUP(D23,'Location Table'!A:C,2,false),"")</f>
        <v>78efbf60-a6c7-11ee-9b33-506b8d9879b5</v>
      </c>
      <c r="B23" s="5" t="str">
        <f>IFNA(VLOOKUP(F23,Driver!A:C,2,false),"")</f>
        <v>7898dd6c-816d-11f0-9f34-506b8d982279</v>
      </c>
      <c r="C23" s="5" t="str">
        <f>IFNA(VLOOKUP(E23,'Location Table'!A:C,2,false),"")</f>
        <v/>
      </c>
      <c r="D23" s="6" t="s">
        <v>36</v>
      </c>
      <c r="E23" s="6"/>
      <c r="F23" s="6" t="s">
        <v>15</v>
      </c>
      <c r="G23" s="7" t="str">
        <f>IFNA(VLOOKUP(F23,Driver!A:D,4,false),"")</f>
        <v>1980698793628880414:XXMGIAegigeHesHcPUQpIcnMCwhigvPUATFrPyRHiqIZqTwmvWiXbUzfDhivxPcl</v>
      </c>
      <c r="H23" s="8" t="str">
        <f>IFNA(VLOOKUP(F23,Driver!A:C,3,false),"")</f>
        <v>011b70c8f4801dde4491</v>
      </c>
      <c r="I23" s="9">
        <v>0.2916666666666667</v>
      </c>
      <c r="J23" s="9">
        <v>0.6666666666666666</v>
      </c>
      <c r="K23" s="9"/>
    </row>
    <row r="24" hidden="1">
      <c r="A24" s="5" t="str">
        <f>IFNA(VLOOKUP(D24,'Location Table'!A:C,2,false),"")</f>
        <v>b9b5962a-57ef-11f0-a199-506b8d982279</v>
      </c>
      <c r="B24" s="5" t="str">
        <f>IFNA(VLOOKUP(F24,Driver!A:C,2,false),"")</f>
        <v>7898dd6c-816d-11f0-9f34-506b8d982279</v>
      </c>
      <c r="C24" s="5" t="str">
        <f>IFNA(VLOOKUP(E24,'Location Table'!A:C,2,false),"")</f>
        <v/>
      </c>
      <c r="D24" s="6" t="s">
        <v>37</v>
      </c>
      <c r="E24" s="6"/>
      <c r="F24" s="6" t="s">
        <v>15</v>
      </c>
      <c r="G24" s="7" t="str">
        <f>IFNA(VLOOKUP(F24,Driver!A:D,4,false),"")</f>
        <v>1980698793628880414:XXMGIAegigeHesHcPUQpIcnMCwhigvPUATFrPyRHiqIZqTwmvWiXbUzfDhivxPcl</v>
      </c>
      <c r="H24" s="8" t="str">
        <f>IFNA(VLOOKUP(F24,Driver!A:C,3,false),"")</f>
        <v>011b70c8f4801dde4491</v>
      </c>
      <c r="I24" s="9">
        <v>0.2916666666666667</v>
      </c>
      <c r="J24" s="9">
        <v>0.6666666666666666</v>
      </c>
      <c r="K24" s="9"/>
    </row>
    <row r="25" hidden="1">
      <c r="A25" s="5" t="str">
        <f>IFNA(VLOOKUP(D25,'Location Table'!A:C,2,false),"")</f>
        <v>be5efcd8-17f6-11ee-8aad-506b8d9879b5</v>
      </c>
      <c r="B25" s="5" t="str">
        <f>IFNA(VLOOKUP(F25,Driver!A:C,2,false),"")</f>
        <v>7898dd6c-816d-11f0-9f34-506b8d982279</v>
      </c>
      <c r="C25" s="5" t="str">
        <f>IFNA(VLOOKUP(E25,'Location Table'!A:C,2,false),"")</f>
        <v/>
      </c>
      <c r="D25" s="6" t="s">
        <v>38</v>
      </c>
      <c r="E25" s="6"/>
      <c r="F25" s="6" t="s">
        <v>15</v>
      </c>
      <c r="G25" s="7" t="str">
        <f>IFNA(VLOOKUP(F25,Driver!A:D,4,false),"")</f>
        <v>1980698793628880414:XXMGIAegigeHesHcPUQpIcnMCwhigvPUATFrPyRHiqIZqTwmvWiXbUzfDhivxPcl</v>
      </c>
      <c r="H25" s="8" t="str">
        <f>IFNA(VLOOKUP(F25,Driver!A:C,3,false),"")</f>
        <v>011b70c8f4801dde4491</v>
      </c>
      <c r="I25" s="9">
        <v>0.2916666666666667</v>
      </c>
      <c r="J25" s="9">
        <v>0.6666666666666666</v>
      </c>
      <c r="K25" s="9"/>
    </row>
    <row r="26" hidden="1">
      <c r="A26" s="5" t="str">
        <f>IFNA(VLOOKUP(D26,'Location Table'!A:C,2,false),"")</f>
        <v>7ffce736-4cbd-11f0-a4d4-506b8d982279</v>
      </c>
      <c r="B26" s="5" t="str">
        <f>IFNA(VLOOKUP(F26,Driver!A:C,2,false),"")</f>
        <v>7898dd6c-816d-11f0-9f34-506b8d982279</v>
      </c>
      <c r="C26" s="5" t="str">
        <f>IFNA(VLOOKUP(E26,'Location Table'!A:C,2,false),"")</f>
        <v/>
      </c>
      <c r="D26" s="6" t="s">
        <v>39</v>
      </c>
      <c r="E26" s="6"/>
      <c r="F26" s="6" t="s">
        <v>15</v>
      </c>
      <c r="G26" s="7" t="str">
        <f>IFNA(VLOOKUP(F26,Driver!A:D,4,false),"")</f>
        <v>1980698793628880414:XXMGIAegigeHesHcPUQpIcnMCwhigvPUATFrPyRHiqIZqTwmvWiXbUzfDhivxPcl</v>
      </c>
      <c r="H26" s="8" t="str">
        <f>IFNA(VLOOKUP(F26,Driver!A:C,3,false),"")</f>
        <v>011b70c8f4801dde4491</v>
      </c>
      <c r="I26" s="9">
        <v>0.2916666666666667</v>
      </c>
      <c r="J26" s="9">
        <v>0.6666666666666666</v>
      </c>
      <c r="K26" s="9"/>
    </row>
    <row r="27" hidden="1">
      <c r="A27" s="5" t="str">
        <f>IFNA(VLOOKUP(D27,'Location Table'!A:C,2,false),"")</f>
        <v>dda1ab1e-f012-11ee-b675-506b8d9879b5</v>
      </c>
      <c r="B27" s="5" t="str">
        <f>IFNA(VLOOKUP(F27,Driver!A:C,2,false),"")</f>
        <v>7898dd6c-816d-11f0-9f34-506b8d982279</v>
      </c>
      <c r="C27" s="5" t="str">
        <f>IFNA(VLOOKUP(E27,'Location Table'!A:C,2,false),"")</f>
        <v/>
      </c>
      <c r="D27" s="6" t="s">
        <v>40</v>
      </c>
      <c r="E27" s="6"/>
      <c r="F27" s="6" t="s">
        <v>15</v>
      </c>
      <c r="G27" s="7" t="str">
        <f>IFNA(VLOOKUP(F27,Driver!A:D,4,false),"")</f>
        <v>1980698793628880414:XXMGIAegigeHesHcPUQpIcnMCwhigvPUATFrPyRHiqIZqTwmvWiXbUzfDhivxPcl</v>
      </c>
      <c r="H27" s="8" t="str">
        <f>IFNA(VLOOKUP(F27,Driver!A:C,3,false),"")</f>
        <v>011b70c8f4801dde4491</v>
      </c>
      <c r="I27" s="9">
        <v>0.2916666666666667</v>
      </c>
      <c r="J27" s="9">
        <v>0.6666666666666666</v>
      </c>
      <c r="K27" s="9"/>
    </row>
    <row r="28" hidden="1">
      <c r="A28" s="5" t="str">
        <f>IFNA(VLOOKUP(D28,'Location Table'!A:C,2,false),"")</f>
        <v>d89f14ec-3bf5-11ef-9970-506b8d9879b5</v>
      </c>
      <c r="B28" s="5" t="str">
        <f>IFNA(VLOOKUP(F28,Driver!A:C,2,false),"")</f>
        <v>7898dd6c-816d-11f0-9f34-506b8d982279</v>
      </c>
      <c r="C28" s="5" t="str">
        <f>IFNA(VLOOKUP(E28,'Location Table'!A:C,2,false),"")</f>
        <v/>
      </c>
      <c r="D28" s="6" t="s">
        <v>41</v>
      </c>
      <c r="E28" s="6"/>
      <c r="F28" s="6" t="s">
        <v>15</v>
      </c>
      <c r="G28" s="7" t="str">
        <f>IFNA(VLOOKUP(F28,Driver!A:D,4,false),"")</f>
        <v>1980698793628880414:XXMGIAegigeHesHcPUQpIcnMCwhigvPUATFrPyRHiqIZqTwmvWiXbUzfDhivxPcl</v>
      </c>
      <c r="H28" s="8" t="str">
        <f>IFNA(VLOOKUP(F28,Driver!A:C,3,false),"")</f>
        <v>011b70c8f4801dde4491</v>
      </c>
      <c r="I28" s="9">
        <v>0.2916666666666667</v>
      </c>
      <c r="J28" s="9">
        <v>0.6666666666666666</v>
      </c>
      <c r="K28" s="9"/>
    </row>
    <row r="29" hidden="1">
      <c r="A29" s="5" t="str">
        <f>IFNA(VLOOKUP(D29,'Location Table'!A:C,2,false),"")</f>
        <v>0cb3abde-dcde-11ee-aa78-506b8d9879b5</v>
      </c>
      <c r="B29" s="5" t="str">
        <f>IFNA(VLOOKUP(F29,Driver!A:C,2,false),"")</f>
        <v>7898dd6c-816d-11f0-9f34-506b8d982279</v>
      </c>
      <c r="C29" s="5" t="str">
        <f>IFNA(VLOOKUP(E29,'Location Table'!A:C,2,false),"")</f>
        <v/>
      </c>
      <c r="D29" s="6" t="s">
        <v>42</v>
      </c>
      <c r="E29" s="6"/>
      <c r="F29" s="6" t="s">
        <v>15</v>
      </c>
      <c r="G29" s="7" t="str">
        <f>IFNA(VLOOKUP(F29,Driver!A:D,4,false),"")</f>
        <v>1980698793628880414:XXMGIAegigeHesHcPUQpIcnMCwhigvPUATFrPyRHiqIZqTwmvWiXbUzfDhivxPcl</v>
      </c>
      <c r="H29" s="8" t="str">
        <f>IFNA(VLOOKUP(F29,Driver!A:C,3,false),"")</f>
        <v>011b70c8f4801dde4491</v>
      </c>
      <c r="I29" s="9">
        <v>0.2916666666666667</v>
      </c>
      <c r="J29" s="9">
        <v>0.6666666666666666</v>
      </c>
      <c r="K29" s="9"/>
    </row>
    <row r="30" hidden="1">
      <c r="A30" s="5" t="str">
        <f>IFNA(VLOOKUP(D30,'Location Table'!A:C,2,false),"")</f>
        <v>a0efb8b4-c2a2-11f0-9999-506b8d982279</v>
      </c>
      <c r="B30" s="5" t="str">
        <f>IFNA(VLOOKUP(F30,Driver!A:C,2,false),"")</f>
        <v>7898dd6c-816d-11f0-9f34-506b8d982279</v>
      </c>
      <c r="C30" s="5" t="str">
        <f>IFNA(VLOOKUP(E30,'Location Table'!A:C,2,false),"")</f>
        <v/>
      </c>
      <c r="D30" s="6" t="s">
        <v>43</v>
      </c>
      <c r="E30" s="6"/>
      <c r="F30" s="6" t="s">
        <v>15</v>
      </c>
      <c r="G30" s="7" t="str">
        <f>IFNA(VLOOKUP(F30,Driver!A:D,4,false),"")</f>
        <v>1980698793628880414:XXMGIAegigeHesHcPUQpIcnMCwhigvPUATFrPyRHiqIZqTwmvWiXbUzfDhivxPcl</v>
      </c>
      <c r="H30" s="8" t="str">
        <f>IFNA(VLOOKUP(F30,Driver!A:C,3,false),"")</f>
        <v>011b70c8f4801dde4491</v>
      </c>
      <c r="I30" s="9">
        <v>0.2916666666666667</v>
      </c>
      <c r="J30" s="9">
        <v>0.6666666666666666</v>
      </c>
      <c r="K30" s="9"/>
    </row>
    <row r="31" hidden="1">
      <c r="A31" s="5" t="str">
        <f>IFNA(VLOOKUP(D31,'Location Table'!A:C,2,false),"")</f>
        <v>b7dcc424-4af6-11ef-b9ad-506b8d9879b5</v>
      </c>
      <c r="B31" s="5" t="str">
        <f>IFNA(VLOOKUP(F31,Driver!A:C,2,false),"")</f>
        <v>7898dd6c-816d-11f0-9f34-506b8d982279</v>
      </c>
      <c r="C31" s="5" t="str">
        <f>IFNA(VLOOKUP(E31,'Location Table'!A:C,2,false),"")</f>
        <v/>
      </c>
      <c r="D31" s="6" t="s">
        <v>44</v>
      </c>
      <c r="E31" s="6"/>
      <c r="F31" s="6" t="s">
        <v>15</v>
      </c>
      <c r="G31" s="7" t="str">
        <f>IFNA(VLOOKUP(F31,Driver!A:D,4,false),"")</f>
        <v>1980698793628880414:XXMGIAegigeHesHcPUQpIcnMCwhigvPUATFrPyRHiqIZqTwmvWiXbUzfDhivxPcl</v>
      </c>
      <c r="H31" s="8" t="str">
        <f>IFNA(VLOOKUP(F31,Driver!A:C,3,false),"")</f>
        <v>011b70c8f4801dde4491</v>
      </c>
      <c r="I31" s="9">
        <v>0.2916666666666667</v>
      </c>
      <c r="J31" s="9">
        <v>0.6666666666666666</v>
      </c>
      <c r="K31" s="9"/>
    </row>
    <row r="32" hidden="1">
      <c r="A32" s="5" t="str">
        <f>IFNA(VLOOKUP(D32,'Location Table'!A:C,2,false),"")</f>
        <v>6a197874-46fd-11ef-bcee-506b8d9879b5</v>
      </c>
      <c r="B32" s="5" t="str">
        <f>IFNA(VLOOKUP(F32,Driver!A:C,2,false),"")</f>
        <v>7898dd6c-816d-11f0-9f34-506b8d982279</v>
      </c>
      <c r="C32" s="5" t="str">
        <f>IFNA(VLOOKUP(E32,'Location Table'!A:C,2,false),"")</f>
        <v/>
      </c>
      <c r="D32" s="6" t="s">
        <v>45</v>
      </c>
      <c r="E32" s="6"/>
      <c r="F32" s="6" t="s">
        <v>15</v>
      </c>
      <c r="G32" s="7" t="str">
        <f>IFNA(VLOOKUP(F32,Driver!A:D,4,false),"")</f>
        <v>1980698793628880414:XXMGIAegigeHesHcPUQpIcnMCwhigvPUATFrPyRHiqIZqTwmvWiXbUzfDhivxPcl</v>
      </c>
      <c r="H32" s="8" t="str">
        <f>IFNA(VLOOKUP(F32,Driver!A:C,3,false),"")</f>
        <v>011b70c8f4801dde4491</v>
      </c>
      <c r="I32" s="9">
        <v>0.2916666666666667</v>
      </c>
      <c r="J32" s="9">
        <v>0.6666666666666666</v>
      </c>
      <c r="K32" s="9"/>
    </row>
    <row r="33" hidden="1">
      <c r="A33" s="5" t="str">
        <f>IFNA(VLOOKUP(D33,'Location Table'!A:C,2,false),"")</f>
        <v>c79322bc-5f52-11ef-89fe-506b8d9879b5</v>
      </c>
      <c r="B33" s="5" t="str">
        <f>IFNA(VLOOKUP(F33,Driver!A:C,2,false),"")</f>
        <v>7898dd6c-816d-11f0-9f34-506b8d982279</v>
      </c>
      <c r="C33" s="5" t="str">
        <f>IFNA(VLOOKUP(E33,'Location Table'!A:C,2,false),"")</f>
        <v/>
      </c>
      <c r="D33" s="6" t="s">
        <v>46</v>
      </c>
      <c r="E33" s="6"/>
      <c r="F33" s="6" t="s">
        <v>15</v>
      </c>
      <c r="G33" s="7" t="str">
        <f>IFNA(VLOOKUP(F33,Driver!A:D,4,false),"")</f>
        <v>1980698793628880414:XXMGIAegigeHesHcPUQpIcnMCwhigvPUATFrPyRHiqIZqTwmvWiXbUzfDhivxPcl</v>
      </c>
      <c r="H33" s="8" t="str">
        <f>IFNA(VLOOKUP(F33,Driver!A:C,3,false),"")</f>
        <v>011b70c8f4801dde4491</v>
      </c>
      <c r="I33" s="9">
        <v>0.2916666666666667</v>
      </c>
      <c r="J33" s="9">
        <v>0.6666666666666666</v>
      </c>
      <c r="K33" s="9"/>
    </row>
    <row r="34" hidden="1">
      <c r="A34" s="5" t="str">
        <f>IFNA(VLOOKUP(D34,'Location Table'!A:C,2,false),"")</f>
        <v>5647d68e-f05c-11ef-97d9-506b8d9879b5</v>
      </c>
      <c r="B34" s="5" t="str">
        <f>IFNA(VLOOKUP(F34,Driver!A:C,2,false),"")</f>
        <v>7898dd6c-816d-11f0-9f34-506b8d982279</v>
      </c>
      <c r="C34" s="5" t="str">
        <f>IFNA(VLOOKUP(E34,'Location Table'!A:C,2,false),"")</f>
        <v/>
      </c>
      <c r="D34" s="6" t="s">
        <v>47</v>
      </c>
      <c r="E34" s="6"/>
      <c r="F34" s="6" t="s">
        <v>15</v>
      </c>
      <c r="G34" s="7" t="str">
        <f>IFNA(VLOOKUP(F34,Driver!A:D,4,false),"")</f>
        <v>1980698793628880414:XXMGIAegigeHesHcPUQpIcnMCwhigvPUATFrPyRHiqIZqTwmvWiXbUzfDhivxPcl</v>
      </c>
      <c r="H34" s="8" t="str">
        <f>IFNA(VLOOKUP(F34,Driver!A:C,3,false),"")</f>
        <v>011b70c8f4801dde4491</v>
      </c>
      <c r="I34" s="9">
        <v>0.2916666666666667</v>
      </c>
      <c r="J34" s="9">
        <v>0.6666666666666666</v>
      </c>
      <c r="K34" s="9"/>
    </row>
    <row r="35" hidden="1">
      <c r="A35" s="5" t="str">
        <f>IFNA(VLOOKUP(D35,'Location Table'!A:C,2,false),"")</f>
        <v>27a5e552-e745-11ef-85e6-506b8d9879b5</v>
      </c>
      <c r="B35" s="5" t="str">
        <f>IFNA(VLOOKUP(F35,Driver!A:C,2,false),"")</f>
        <v>7898dd6c-816d-11f0-9f34-506b8d982279</v>
      </c>
      <c r="C35" s="5" t="str">
        <f>IFNA(VLOOKUP(E35,'Location Table'!A:C,2,false),"")</f>
        <v/>
      </c>
      <c r="D35" s="6" t="s">
        <v>48</v>
      </c>
      <c r="E35" s="6"/>
      <c r="F35" s="6" t="s">
        <v>15</v>
      </c>
      <c r="G35" s="7" t="str">
        <f>IFNA(VLOOKUP(F35,Driver!A:D,4,false),"")</f>
        <v>1980698793628880414:XXMGIAegigeHesHcPUQpIcnMCwhigvPUATFrPyRHiqIZqTwmvWiXbUzfDhivxPcl</v>
      </c>
      <c r="H35" s="8" t="str">
        <f>IFNA(VLOOKUP(F35,Driver!A:C,3,false),"")</f>
        <v>011b70c8f4801dde4491</v>
      </c>
      <c r="I35" s="9">
        <v>0.2916666666666667</v>
      </c>
      <c r="J35" s="9">
        <v>0.6666666666666666</v>
      </c>
      <c r="K35" s="9"/>
    </row>
    <row r="36" hidden="1">
      <c r="A36" s="5" t="str">
        <f>IFNA(VLOOKUP(D36,'Location Table'!A:C,2,false),"")</f>
        <v>4735289c-1512-11f0-a168-506b8d982279</v>
      </c>
      <c r="B36" s="5" t="str">
        <f>IFNA(VLOOKUP(F36,Driver!A:C,2,false),"")</f>
        <v>7898dd6c-816d-11f0-9f34-506b8d982279</v>
      </c>
      <c r="C36" s="5" t="str">
        <f>IFNA(VLOOKUP(E36,'Location Table'!A:C,2,false),"")</f>
        <v/>
      </c>
      <c r="D36" s="6" t="s">
        <v>49</v>
      </c>
      <c r="E36" s="6"/>
      <c r="F36" s="6" t="s">
        <v>15</v>
      </c>
      <c r="G36" s="7" t="str">
        <f>IFNA(VLOOKUP(F36,Driver!A:D,4,false),"")</f>
        <v>1980698793628880414:XXMGIAegigeHesHcPUQpIcnMCwhigvPUATFrPyRHiqIZqTwmvWiXbUzfDhivxPcl</v>
      </c>
      <c r="H36" s="8" t="str">
        <f>IFNA(VLOOKUP(F36,Driver!A:C,3,false),"")</f>
        <v>011b70c8f4801dde4491</v>
      </c>
      <c r="I36" s="9">
        <v>0.2916666666666667</v>
      </c>
      <c r="J36" s="9">
        <v>0.6666666666666666</v>
      </c>
      <c r="K36" s="9"/>
    </row>
    <row r="37" hidden="1">
      <c r="A37" s="5" t="str">
        <f>IFNA(VLOOKUP(D37,'Location Table'!A:C,2,false),"")</f>
        <v>84fde21c-1f31-11f0-a64b-506b8d982279</v>
      </c>
      <c r="B37" s="5" t="str">
        <f>IFNA(VLOOKUP(F37,Driver!A:C,2,false),"")</f>
        <v>7898dd6c-816d-11f0-9f34-506b8d982279</v>
      </c>
      <c r="C37" s="5" t="str">
        <f>IFNA(VLOOKUP(E37,'Location Table'!A:C,2,false),"")</f>
        <v/>
      </c>
      <c r="D37" s="6" t="s">
        <v>50</v>
      </c>
      <c r="E37" s="6"/>
      <c r="F37" s="6" t="s">
        <v>15</v>
      </c>
      <c r="G37" s="7" t="str">
        <f>IFNA(VLOOKUP(F37,Driver!A:D,4,false),"")</f>
        <v>1980698793628880414:XXMGIAegigeHesHcPUQpIcnMCwhigvPUATFrPyRHiqIZqTwmvWiXbUzfDhivxPcl</v>
      </c>
      <c r="H37" s="8" t="str">
        <f>IFNA(VLOOKUP(F37,Driver!A:C,3,false),"")</f>
        <v>011b70c8f4801dde4491</v>
      </c>
      <c r="I37" s="9">
        <v>0.2916666666666667</v>
      </c>
      <c r="J37" s="9">
        <v>0.6666666666666666</v>
      </c>
      <c r="K37" s="9"/>
    </row>
    <row r="38" hidden="1">
      <c r="A38" s="5" t="str">
        <f>IFNA(VLOOKUP(D38,'Location Table'!A:C,2,false),"")</f>
        <v>2bd59acc-d593-11f0-9c4e-506b8d982279</v>
      </c>
      <c r="B38" s="5" t="str">
        <f>IFNA(VLOOKUP(F38,Driver!A:C,2,false),"")</f>
        <v>7898dd6c-816d-11f0-9f34-506b8d982279</v>
      </c>
      <c r="C38" s="5" t="str">
        <f>IFNA(VLOOKUP(E38,'Location Table'!A:C,2,false),"")</f>
        <v/>
      </c>
      <c r="D38" s="6" t="s">
        <v>51</v>
      </c>
      <c r="E38" s="6"/>
      <c r="F38" s="6" t="s">
        <v>15</v>
      </c>
      <c r="G38" s="7" t="str">
        <f>IFNA(VLOOKUP(F38,Driver!A:D,4,false),"")</f>
        <v>1980698793628880414:XXMGIAegigeHesHcPUQpIcnMCwhigvPUATFrPyRHiqIZqTwmvWiXbUzfDhivxPcl</v>
      </c>
      <c r="H38" s="8" t="str">
        <f>IFNA(VLOOKUP(F38,Driver!A:C,3,false),"")</f>
        <v>011b70c8f4801dde4491</v>
      </c>
      <c r="I38" s="9">
        <v>0.2916666666666667</v>
      </c>
      <c r="J38" s="9">
        <v>0.6666666666666666</v>
      </c>
      <c r="K38" s="9"/>
    </row>
    <row r="39" hidden="1">
      <c r="A39" s="5" t="str">
        <f>IFNA(VLOOKUP(D39,'Location Table'!A:C,2,false),"")</f>
        <v>48400794-5490-11f0-a04e-506b8d982279</v>
      </c>
      <c r="B39" s="5" t="str">
        <f>IFNA(VLOOKUP(F39,Driver!A:C,2,false),"")</f>
        <v>7898dd6c-816d-11f0-9f34-506b8d982279</v>
      </c>
      <c r="C39" s="5" t="str">
        <f>IFNA(VLOOKUP(E39,'Location Table'!A:C,2,false),"")</f>
        <v/>
      </c>
      <c r="D39" s="6" t="s">
        <v>52</v>
      </c>
      <c r="E39" s="6"/>
      <c r="F39" s="6" t="s">
        <v>15</v>
      </c>
      <c r="G39" s="7" t="str">
        <f>IFNA(VLOOKUP(F39,Driver!A:D,4,false),"")</f>
        <v>1980698793628880414:XXMGIAegigeHesHcPUQpIcnMCwhigvPUATFrPyRHiqIZqTwmvWiXbUzfDhivxPcl</v>
      </c>
      <c r="H39" s="8" t="str">
        <f>IFNA(VLOOKUP(F39,Driver!A:C,3,false),"")</f>
        <v>011b70c8f4801dde4491</v>
      </c>
      <c r="I39" s="9">
        <v>0.2916666666666667</v>
      </c>
      <c r="J39" s="9">
        <v>0.6666666666666666</v>
      </c>
      <c r="K39" s="9"/>
    </row>
    <row r="40" hidden="1">
      <c r="A40" s="5" t="str">
        <f>IFNA(VLOOKUP(D40,'Location Table'!A:C,2,false),"")</f>
        <v>9b7030ec-7353-11f0-b91d-506b8d982279</v>
      </c>
      <c r="B40" s="5" t="str">
        <f>IFNA(VLOOKUP(F40,Driver!A:C,2,false),"")</f>
        <v>7898dd6c-816d-11f0-9f34-506b8d982279</v>
      </c>
      <c r="C40" s="5" t="str">
        <f>IFNA(VLOOKUP(E40,'Location Table'!A:C,2,false),"")</f>
        <v/>
      </c>
      <c r="D40" s="6" t="s">
        <v>53</v>
      </c>
      <c r="E40" s="6"/>
      <c r="F40" s="6" t="s">
        <v>15</v>
      </c>
      <c r="G40" s="7" t="str">
        <f>IFNA(VLOOKUP(F40,Driver!A:D,4,false),"")</f>
        <v>1980698793628880414:XXMGIAegigeHesHcPUQpIcnMCwhigvPUATFrPyRHiqIZqTwmvWiXbUzfDhivxPcl</v>
      </c>
      <c r="H40" s="8" t="str">
        <f>IFNA(VLOOKUP(F40,Driver!A:C,3,false),"")</f>
        <v>011b70c8f4801dde4491</v>
      </c>
      <c r="I40" s="9">
        <v>0.2916666666666667</v>
      </c>
      <c r="J40" s="9">
        <v>0.6666666666666666</v>
      </c>
      <c r="K40" s="9"/>
    </row>
    <row r="41" hidden="1">
      <c r="A41" s="5" t="str">
        <f>IFNA(VLOOKUP(D41,'Location Table'!A:C,2,false),"")</f>
        <v>584e8c0c-a975-11f0-bc05-506b8d982279</v>
      </c>
      <c r="B41" s="5" t="str">
        <f>IFNA(VLOOKUP(F41,Driver!A:C,2,false),"")</f>
        <v>7898dd6c-816d-11f0-9f34-506b8d982279</v>
      </c>
      <c r="C41" s="5" t="str">
        <f>IFNA(VLOOKUP(E41,'Location Table'!A:C,2,false),"")</f>
        <v/>
      </c>
      <c r="D41" s="6" t="s">
        <v>54</v>
      </c>
      <c r="E41" s="6"/>
      <c r="F41" s="6" t="s">
        <v>15</v>
      </c>
      <c r="G41" s="7" t="str">
        <f>IFNA(VLOOKUP(F41,Driver!A:D,4,false),"")</f>
        <v>1980698793628880414:XXMGIAegigeHesHcPUQpIcnMCwhigvPUATFrPyRHiqIZqTwmvWiXbUzfDhivxPcl</v>
      </c>
      <c r="H41" s="8" t="str">
        <f>IFNA(VLOOKUP(F41,Driver!A:C,3,false),"")</f>
        <v>011b70c8f4801dde4491</v>
      </c>
      <c r="I41" s="9">
        <v>0.2916666666666667</v>
      </c>
      <c r="J41" s="9">
        <v>0.6666666666666666</v>
      </c>
      <c r="K41" s="9"/>
    </row>
    <row r="42" hidden="1">
      <c r="A42" s="5" t="str">
        <f>IFNA(VLOOKUP(D42,'Location Table'!A:C,2,false),"")</f>
        <v>1d97d904-f12a-11f0-9378-fa163ee8d8ac</v>
      </c>
      <c r="B42" s="5" t="str">
        <f>IFNA(VLOOKUP(F42,Driver!A:C,2,false),"")</f>
        <v>7898dd6c-816d-11f0-9f34-506b8d982279</v>
      </c>
      <c r="C42" s="5" t="str">
        <f>IFNA(VLOOKUP(E42,'Location Table'!A:C,2,false),"")</f>
        <v/>
      </c>
      <c r="D42" s="6" t="s">
        <v>55</v>
      </c>
      <c r="E42" s="6"/>
      <c r="F42" s="6" t="s">
        <v>15</v>
      </c>
      <c r="G42" s="7" t="str">
        <f>IFNA(VLOOKUP(F42,Driver!A:D,4,false),"")</f>
        <v>1980698793628880414:XXMGIAegigeHesHcPUQpIcnMCwhigvPUATFrPyRHiqIZqTwmvWiXbUzfDhivxPcl</v>
      </c>
      <c r="H42" s="8" t="str">
        <f>IFNA(VLOOKUP(F42,Driver!A:C,3,false),"")</f>
        <v>011b70c8f4801dde4491</v>
      </c>
      <c r="I42" s="9">
        <v>0.2916666666666667</v>
      </c>
      <c r="J42" s="9">
        <v>0.6666666666666666</v>
      </c>
      <c r="K42" s="9"/>
    </row>
    <row r="43" hidden="1">
      <c r="A43" s="5" t="str">
        <f>IFNA(VLOOKUP(D43,'Location Table'!A:C,2,false),"")</f>
        <v>6ec2c57e-f2b4-11f0-9378-fa163ee8d8ac</v>
      </c>
      <c r="B43" s="5" t="str">
        <f>IFNA(VLOOKUP(F43,Driver!A:C,2,false),"")</f>
        <v>7898dd6c-816d-11f0-9f34-506b8d982279</v>
      </c>
      <c r="C43" s="5" t="str">
        <f>IFNA(VLOOKUP(E43,'Location Table'!A:C,2,false),"")</f>
        <v/>
      </c>
      <c r="D43" s="6" t="s">
        <v>56</v>
      </c>
      <c r="E43" s="6"/>
      <c r="F43" s="6" t="s">
        <v>15</v>
      </c>
      <c r="G43" s="7" t="str">
        <f>IFNA(VLOOKUP(F43,Driver!A:D,4,false),"")</f>
        <v>1980698793628880414:XXMGIAegigeHesHcPUQpIcnMCwhigvPUATFrPyRHiqIZqTwmvWiXbUzfDhivxPcl</v>
      </c>
      <c r="H43" s="8" t="str">
        <f>IFNA(VLOOKUP(F43,Driver!A:C,3,false),"")</f>
        <v>011b70c8f4801dde4491</v>
      </c>
      <c r="I43" s="9">
        <v>0.2916666666666667</v>
      </c>
      <c r="J43" s="9">
        <v>0.6666666666666666</v>
      </c>
      <c r="K43" s="9"/>
    </row>
    <row r="44" hidden="1">
      <c r="A44" s="5" t="str">
        <f>IFNA(VLOOKUP(D44,'Location Table'!A:C,2,false),"")</f>
        <v>38d5de78-8c0a-11ee-8788-506b8d9879b5</v>
      </c>
      <c r="B44" s="5" t="str">
        <f>IFNA(VLOOKUP(F44,Driver!A:C,2,false),"")</f>
        <v>7898dd6c-816d-11f0-9f34-506b8d982279</v>
      </c>
      <c r="C44" s="5" t="str">
        <f>IFNA(VLOOKUP(E44,'Location Table'!A:C,2,false),"")</f>
        <v/>
      </c>
      <c r="D44" s="6" t="s">
        <v>57</v>
      </c>
      <c r="E44" s="6"/>
      <c r="F44" s="6" t="s">
        <v>15</v>
      </c>
      <c r="G44" s="7" t="str">
        <f>IFNA(VLOOKUP(F44,Driver!A:D,4,false),"")</f>
        <v>1980698793628880414:XXMGIAegigeHesHcPUQpIcnMCwhigvPUATFrPyRHiqIZqTwmvWiXbUzfDhivxPcl</v>
      </c>
      <c r="H44" s="8" t="str">
        <f>IFNA(VLOOKUP(F44,Driver!A:C,3,false),"")</f>
        <v>011b70c8f4801dde4491</v>
      </c>
      <c r="I44" s="9">
        <v>0.2916666666666667</v>
      </c>
      <c r="J44" s="9">
        <v>0.6666666666666666</v>
      </c>
      <c r="K44" s="9"/>
    </row>
    <row r="45" hidden="1">
      <c r="A45" s="5" t="str">
        <f>IFNA(VLOOKUP(D45,'Location Table'!A:C,2,false),"")</f>
        <v>84b552a0-8c0b-11ee-9f3f-506b8d9879b5</v>
      </c>
      <c r="B45" s="5" t="str">
        <f>IFNA(VLOOKUP(F45,Driver!A:C,2,false),"")</f>
        <v>7898dd6c-816d-11f0-9f34-506b8d982279</v>
      </c>
      <c r="C45" s="5" t="str">
        <f>IFNA(VLOOKUP(E45,'Location Table'!A:C,2,false),"")</f>
        <v/>
      </c>
      <c r="D45" s="6" t="s">
        <v>58</v>
      </c>
      <c r="E45" s="6"/>
      <c r="F45" s="6" t="s">
        <v>15</v>
      </c>
      <c r="G45" s="7" t="str">
        <f>IFNA(VLOOKUP(F45,Driver!A:D,4,false),"")</f>
        <v>1980698793628880414:XXMGIAegigeHesHcPUQpIcnMCwhigvPUATFrPyRHiqIZqTwmvWiXbUzfDhivxPcl</v>
      </c>
      <c r="H45" s="8" t="str">
        <f>IFNA(VLOOKUP(F45,Driver!A:C,3,false),"")</f>
        <v>011b70c8f4801dde4491</v>
      </c>
      <c r="I45" s="9">
        <v>0.2916666666666667</v>
      </c>
      <c r="J45" s="9">
        <v>0.6666666666666666</v>
      </c>
      <c r="K45" s="9"/>
    </row>
    <row r="46" hidden="1">
      <c r="A46" s="5" t="str">
        <f>IFNA(VLOOKUP(D46,'Location Table'!A:C,2,false),"")</f>
        <v>78912f9a-2abc-11ee-93df-506b8d9879b5</v>
      </c>
      <c r="B46" s="5" t="str">
        <f>IFNA(VLOOKUP(F46,Driver!A:C,2,false),"")</f>
        <v>7898dd6c-816d-11f0-9f34-506b8d982279</v>
      </c>
      <c r="C46" s="5" t="str">
        <f>IFNA(VLOOKUP(E46,'Location Table'!A:C,2,false),"")</f>
        <v/>
      </c>
      <c r="D46" s="6" t="s">
        <v>59</v>
      </c>
      <c r="E46" s="6"/>
      <c r="F46" s="6" t="s">
        <v>15</v>
      </c>
      <c r="G46" s="7" t="str">
        <f>IFNA(VLOOKUP(F46,Driver!A:D,4,false),"")</f>
        <v>1980698793628880414:XXMGIAegigeHesHcPUQpIcnMCwhigvPUATFrPyRHiqIZqTwmvWiXbUzfDhivxPcl</v>
      </c>
      <c r="H46" s="8" t="str">
        <f>IFNA(VLOOKUP(F46,Driver!A:C,3,false),"")</f>
        <v>011b70c8f4801dde4491</v>
      </c>
      <c r="I46" s="9">
        <v>0.2916666666666667</v>
      </c>
      <c r="J46" s="9">
        <v>0.6666666666666666</v>
      </c>
      <c r="K46" s="9"/>
    </row>
    <row r="47" hidden="1">
      <c r="A47" s="5" t="str">
        <f>IFNA(VLOOKUP(D47,'Location Table'!A:C,2,false),"")</f>
        <v>29a07840-4a03-11ed-ba7b-506b8dbc8dfb</v>
      </c>
      <c r="B47" s="5" t="str">
        <f>IFNA(VLOOKUP(F47,Driver!A:C,2,false),"")</f>
        <v>7898dd6c-816d-11f0-9f34-506b8d982279</v>
      </c>
      <c r="C47" s="5" t="str">
        <f>IFNA(VLOOKUP(E47,'Location Table'!A:C,2,false),"")</f>
        <v/>
      </c>
      <c r="D47" s="6" t="s">
        <v>60</v>
      </c>
      <c r="E47" s="6"/>
      <c r="F47" s="6" t="s">
        <v>15</v>
      </c>
      <c r="G47" s="7" t="str">
        <f>IFNA(VLOOKUP(F47,Driver!A:D,4,false),"")</f>
        <v>1980698793628880414:XXMGIAegigeHesHcPUQpIcnMCwhigvPUATFrPyRHiqIZqTwmvWiXbUzfDhivxPcl</v>
      </c>
      <c r="H47" s="8" t="str">
        <f>IFNA(VLOOKUP(F47,Driver!A:C,3,false),"")</f>
        <v>011b70c8f4801dde4491</v>
      </c>
      <c r="I47" s="9">
        <v>0.2916666666666667</v>
      </c>
      <c r="J47" s="9">
        <v>0.6666666666666666</v>
      </c>
      <c r="K47" s="9"/>
    </row>
    <row r="48" hidden="1">
      <c r="A48" s="5" t="str">
        <f>IFNA(VLOOKUP(D48,'Location Table'!A:C,2,false),"")</f>
        <v>2b2dc0f6-c06a-11f0-950c-506b8d982279</v>
      </c>
      <c r="B48" s="5" t="str">
        <f>IFNA(VLOOKUP(F48,Driver!A:C,2,false),"")</f>
        <v>7898dd6c-816d-11f0-9f34-506b8d982279</v>
      </c>
      <c r="C48" s="5" t="str">
        <f>IFNA(VLOOKUP(E48,'Location Table'!A:C,2,false),"")</f>
        <v/>
      </c>
      <c r="D48" s="6" t="s">
        <v>61</v>
      </c>
      <c r="E48" s="6"/>
      <c r="F48" s="6" t="s">
        <v>15</v>
      </c>
      <c r="G48" s="7" t="str">
        <f>IFNA(VLOOKUP(F48,Driver!A:D,4,false),"")</f>
        <v>1980698793628880414:XXMGIAegigeHesHcPUQpIcnMCwhigvPUATFrPyRHiqIZqTwmvWiXbUzfDhivxPcl</v>
      </c>
      <c r="H48" s="8" t="str">
        <f>IFNA(VLOOKUP(F48,Driver!A:C,3,false),"")</f>
        <v>011b70c8f4801dde4491</v>
      </c>
      <c r="I48" s="9">
        <v>0.2916666666666667</v>
      </c>
      <c r="J48" s="9">
        <v>0.6666666666666666</v>
      </c>
      <c r="K48" s="9"/>
    </row>
    <row r="49" hidden="1">
      <c r="A49" s="5" t="str">
        <f>IFNA(VLOOKUP(D49,'Location Table'!A:C,2,false),"")</f>
        <v>1d2c7048-4a01-11ed-8a72-506b8dbc8dfb</v>
      </c>
      <c r="B49" s="5" t="str">
        <f>IFNA(VLOOKUP(F49,Driver!A:C,2,false),"")</f>
        <v>7898dd6c-816d-11f0-9f34-506b8d982279</v>
      </c>
      <c r="C49" s="5" t="str">
        <f>IFNA(VLOOKUP(E49,'Location Table'!A:C,2,false),"")</f>
        <v/>
      </c>
      <c r="D49" s="6" t="s">
        <v>62</v>
      </c>
      <c r="E49" s="6"/>
      <c r="F49" s="6" t="s">
        <v>15</v>
      </c>
      <c r="G49" s="7" t="str">
        <f>IFNA(VLOOKUP(F49,Driver!A:D,4,false),"")</f>
        <v>1980698793628880414:XXMGIAegigeHesHcPUQpIcnMCwhigvPUATFrPyRHiqIZqTwmvWiXbUzfDhivxPcl</v>
      </c>
      <c r="H49" s="8" t="str">
        <f>IFNA(VLOOKUP(F49,Driver!A:C,3,false),"")</f>
        <v>011b70c8f4801dde4491</v>
      </c>
      <c r="I49" s="9">
        <v>0.2916666666666667</v>
      </c>
      <c r="J49" s="9">
        <v>0.6666666666666666</v>
      </c>
      <c r="K49" s="9"/>
    </row>
    <row r="50" hidden="1">
      <c r="A50" s="5" t="str">
        <f>IFNA(VLOOKUP(D50,'Location Table'!A:C,2,false),"")</f>
        <v>4b9b050a-4808-11ef-b1d7-506b8d9879b5</v>
      </c>
      <c r="B50" s="5" t="str">
        <f>IFNA(VLOOKUP(F50,Driver!A:C,2,false),"")</f>
        <v>7898dd6c-816d-11f0-9f34-506b8d982279</v>
      </c>
      <c r="C50" s="5" t="str">
        <f>IFNA(VLOOKUP(E50,'Location Table'!A:C,2,false),"")</f>
        <v/>
      </c>
      <c r="D50" s="6" t="s">
        <v>63</v>
      </c>
      <c r="E50" s="6"/>
      <c r="F50" s="6" t="s">
        <v>15</v>
      </c>
      <c r="G50" s="7" t="str">
        <f>IFNA(VLOOKUP(F50,Driver!A:D,4,false),"")</f>
        <v>1980698793628880414:XXMGIAegigeHesHcPUQpIcnMCwhigvPUATFrPyRHiqIZqTwmvWiXbUzfDhivxPcl</v>
      </c>
      <c r="H50" s="8" t="str">
        <f>IFNA(VLOOKUP(F50,Driver!A:C,3,false),"")</f>
        <v>011b70c8f4801dde4491</v>
      </c>
      <c r="I50" s="9">
        <v>0.2916666666666667</v>
      </c>
      <c r="J50" s="9">
        <v>0.6666666666666666</v>
      </c>
      <c r="K50" s="9"/>
    </row>
    <row r="51" hidden="1">
      <c r="A51" s="5" t="str">
        <f>IFNA(VLOOKUP(D51,'Location Table'!A:C,2,false),"")</f>
        <v>95c60d24-5585-11f0-8ba7-506b8d982279</v>
      </c>
      <c r="B51" s="5" t="str">
        <f>IFNA(VLOOKUP(F51,Driver!A:C,2,false),"")</f>
        <v>7898dd6c-816d-11f0-9f34-506b8d982279</v>
      </c>
      <c r="C51" s="5" t="str">
        <f>IFNA(VLOOKUP(E51,'Location Table'!A:C,2,false),"")</f>
        <v/>
      </c>
      <c r="D51" s="6" t="s">
        <v>64</v>
      </c>
      <c r="E51" s="6"/>
      <c r="F51" s="6" t="s">
        <v>15</v>
      </c>
      <c r="G51" s="7" t="str">
        <f>IFNA(VLOOKUP(F51,Driver!A:D,4,false),"")</f>
        <v>1980698793628880414:XXMGIAegigeHesHcPUQpIcnMCwhigvPUATFrPyRHiqIZqTwmvWiXbUzfDhivxPcl</v>
      </c>
      <c r="H51" s="8" t="str">
        <f>IFNA(VLOOKUP(F51,Driver!A:C,3,false),"")</f>
        <v>011b70c8f4801dde4491</v>
      </c>
      <c r="I51" s="9">
        <v>0.2916666666666667</v>
      </c>
      <c r="J51" s="9">
        <v>0.6666666666666666</v>
      </c>
      <c r="K51" s="9"/>
    </row>
    <row r="52" hidden="1">
      <c r="A52" s="5" t="str">
        <f>IFNA(VLOOKUP(D52,'Location Table'!A:C,2,false),"")</f>
        <v>04a3f214-453b-11ed-8d0e-506b8dbc8dfb</v>
      </c>
      <c r="B52" s="5" t="str">
        <f>IFNA(VLOOKUP(F52,Driver!A:C,2,false),"")</f>
        <v>7898dd6c-816d-11f0-9f34-506b8d982279</v>
      </c>
      <c r="C52" s="5" t="str">
        <f>IFNA(VLOOKUP(E52,'Location Table'!A:C,2,false),"")</f>
        <v/>
      </c>
      <c r="D52" s="6" t="s">
        <v>65</v>
      </c>
      <c r="E52" s="6"/>
      <c r="F52" s="6" t="s">
        <v>15</v>
      </c>
      <c r="G52" s="7" t="str">
        <f>IFNA(VLOOKUP(F52,Driver!A:D,4,false),"")</f>
        <v>1980698793628880414:XXMGIAegigeHesHcPUQpIcnMCwhigvPUATFrPyRHiqIZqTwmvWiXbUzfDhivxPcl</v>
      </c>
      <c r="H52" s="8" t="str">
        <f>IFNA(VLOOKUP(F52,Driver!A:C,3,false),"")</f>
        <v>011b70c8f4801dde4491</v>
      </c>
      <c r="I52" s="9">
        <v>0.2916666666666667</v>
      </c>
      <c r="J52" s="9">
        <v>0.6666666666666666</v>
      </c>
      <c r="K52" s="9"/>
    </row>
    <row r="53" hidden="1">
      <c r="A53" s="5" t="str">
        <f>IFNA(VLOOKUP(D53,'Location Table'!A:C,2,false),"")</f>
        <v>f3d664fa-d466-11ee-b71b-506b8d9879b5</v>
      </c>
      <c r="B53" s="5" t="str">
        <f>IFNA(VLOOKUP(F53,Driver!A:C,2,false),"")</f>
        <v>7898dd6c-816d-11f0-9f34-506b8d982279</v>
      </c>
      <c r="C53" s="5" t="str">
        <f>IFNA(VLOOKUP(E53,'Location Table'!A:C,2,false),"")</f>
        <v/>
      </c>
      <c r="D53" s="6" t="s">
        <v>66</v>
      </c>
      <c r="E53" s="6"/>
      <c r="F53" s="6" t="s">
        <v>15</v>
      </c>
      <c r="G53" s="7" t="str">
        <f>IFNA(VLOOKUP(F53,Driver!A:D,4,false),"")</f>
        <v>1980698793628880414:XXMGIAegigeHesHcPUQpIcnMCwhigvPUATFrPyRHiqIZqTwmvWiXbUzfDhivxPcl</v>
      </c>
      <c r="H53" s="8" t="str">
        <f>IFNA(VLOOKUP(F53,Driver!A:C,3,false),"")</f>
        <v>011b70c8f4801dde4491</v>
      </c>
      <c r="I53" s="9">
        <v>0.2916666666666667</v>
      </c>
      <c r="J53" s="9">
        <v>0.6666666666666666</v>
      </c>
      <c r="K53" s="9"/>
    </row>
    <row r="54" hidden="1">
      <c r="A54" s="5" t="str">
        <f>IFNA(VLOOKUP(D54,'Location Table'!A:C,2,false),"")</f>
        <v>588e52ec-0c4a-11f0-98e5-506b8d982279</v>
      </c>
      <c r="B54" s="5" t="str">
        <f>IFNA(VLOOKUP(F54,Driver!A:C,2,false),"")</f>
        <v>7898dd6c-816d-11f0-9f34-506b8d982279</v>
      </c>
      <c r="C54" s="5" t="str">
        <f>IFNA(VLOOKUP(E54,'Location Table'!A:C,2,false),"")</f>
        <v/>
      </c>
      <c r="D54" s="6" t="s">
        <v>67</v>
      </c>
      <c r="E54" s="6"/>
      <c r="F54" s="6" t="s">
        <v>15</v>
      </c>
      <c r="G54" s="7" t="str">
        <f>IFNA(VLOOKUP(F54,Driver!A:D,4,false),"")</f>
        <v>1980698793628880414:XXMGIAegigeHesHcPUQpIcnMCwhigvPUATFrPyRHiqIZqTwmvWiXbUzfDhivxPcl</v>
      </c>
      <c r="H54" s="8" t="str">
        <f>IFNA(VLOOKUP(F54,Driver!A:C,3,false),"")</f>
        <v>011b70c8f4801dde4491</v>
      </c>
      <c r="I54" s="9">
        <v>0.2916666666666667</v>
      </c>
      <c r="J54" s="9">
        <v>0.6666666666666666</v>
      </c>
      <c r="K54" s="9"/>
    </row>
    <row r="55" hidden="1">
      <c r="A55" s="5" t="str">
        <f>IFNA(VLOOKUP(D55,'Location Table'!A:C,2,false),"")</f>
        <v>31537c92-f4c7-11ef-9714-506b8d9879b5</v>
      </c>
      <c r="B55" s="5" t="str">
        <f>IFNA(VLOOKUP(F55,Driver!A:C,2,false),"")</f>
        <v>7898dd6c-816d-11f0-9f34-506b8d982279</v>
      </c>
      <c r="C55" s="5" t="str">
        <f>IFNA(VLOOKUP(E55,'Location Table'!A:C,2,false),"")</f>
        <v/>
      </c>
      <c r="D55" s="6" t="s">
        <v>68</v>
      </c>
      <c r="E55" s="6"/>
      <c r="F55" s="6" t="s">
        <v>15</v>
      </c>
      <c r="G55" s="7" t="str">
        <f>IFNA(VLOOKUP(F55,Driver!A:D,4,false),"")</f>
        <v>1980698793628880414:XXMGIAegigeHesHcPUQpIcnMCwhigvPUATFrPyRHiqIZqTwmvWiXbUzfDhivxPcl</v>
      </c>
      <c r="H55" s="8" t="str">
        <f>IFNA(VLOOKUP(F55,Driver!A:C,3,false),"")</f>
        <v>011b70c8f4801dde4491</v>
      </c>
      <c r="I55" s="9">
        <v>0.2916666666666667</v>
      </c>
      <c r="J55" s="9">
        <v>0.6666666666666666</v>
      </c>
      <c r="K55" s="9"/>
    </row>
    <row r="56" hidden="1">
      <c r="A56" s="5" t="str">
        <f>IFNA(VLOOKUP(D56,'Location Table'!A:C,2,false),"")</f>
        <v>9a0c4726-d0ba-11f0-abc5-506b8d982279</v>
      </c>
      <c r="B56" s="5" t="str">
        <f>IFNA(VLOOKUP(F56,Driver!A:C,2,false),"")</f>
        <v>7898dd6c-816d-11f0-9f34-506b8d982279</v>
      </c>
      <c r="C56" s="5" t="str">
        <f>IFNA(VLOOKUP(E56,'Location Table'!A:C,2,false),"")</f>
        <v/>
      </c>
      <c r="D56" s="6" t="s">
        <v>69</v>
      </c>
      <c r="E56" s="6"/>
      <c r="F56" s="6" t="s">
        <v>15</v>
      </c>
      <c r="G56" s="7" t="str">
        <f>IFNA(VLOOKUP(F56,Driver!A:D,4,false),"")</f>
        <v>1980698793628880414:XXMGIAegigeHesHcPUQpIcnMCwhigvPUATFrPyRHiqIZqTwmvWiXbUzfDhivxPcl</v>
      </c>
      <c r="H56" s="8" t="str">
        <f>IFNA(VLOOKUP(F56,Driver!A:C,3,false),"")</f>
        <v>011b70c8f4801dde4491</v>
      </c>
      <c r="I56" s="9">
        <v>0.2916666666666667</v>
      </c>
      <c r="J56" s="9">
        <v>0.6666666666666666</v>
      </c>
      <c r="K56" s="9"/>
    </row>
    <row r="57" hidden="1">
      <c r="A57" s="5" t="str">
        <f>IFNA(VLOOKUP(D57,'Location Table'!A:C,2,false),"")</f>
        <v>f38ad192-49f3-11ed-9233-506b8dbc8dfb</v>
      </c>
      <c r="B57" s="5" t="str">
        <f>IFNA(VLOOKUP(F57,Driver!A:C,2,false),"")</f>
        <v>7898dd6c-816d-11f0-9f34-506b8d982279</v>
      </c>
      <c r="C57" s="5" t="str">
        <f>IFNA(VLOOKUP(E57,'Location Table'!A:C,2,false),"")</f>
        <v/>
      </c>
      <c r="D57" s="6" t="s">
        <v>70</v>
      </c>
      <c r="E57" s="6"/>
      <c r="F57" s="6" t="s">
        <v>15</v>
      </c>
      <c r="G57" s="7" t="str">
        <f>IFNA(VLOOKUP(F57,Driver!A:D,4,false),"")</f>
        <v>1980698793628880414:XXMGIAegigeHesHcPUQpIcnMCwhigvPUATFrPyRHiqIZqTwmvWiXbUzfDhivxPcl</v>
      </c>
      <c r="H57" s="8" t="str">
        <f>IFNA(VLOOKUP(F57,Driver!A:C,3,false),"")</f>
        <v>011b70c8f4801dde4491</v>
      </c>
      <c r="I57" s="9">
        <v>0.2916666666666667</v>
      </c>
      <c r="J57" s="9">
        <v>0.6666666666666666</v>
      </c>
      <c r="K57" s="9"/>
    </row>
    <row r="58" hidden="1">
      <c r="A58" s="5" t="str">
        <f>IFNA(VLOOKUP(D58,'Location Table'!A:C,2,false),"")</f>
        <v>6a6fbad4-84db-11ee-a902-506b8d9879b5</v>
      </c>
      <c r="B58" s="5" t="str">
        <f>IFNA(VLOOKUP(F58,Driver!A:C,2,false),"")</f>
        <v>7898dd6c-816d-11f0-9f34-506b8d982279</v>
      </c>
      <c r="C58" s="5" t="str">
        <f>IFNA(VLOOKUP(E58,'Location Table'!A:C,2,false),"")</f>
        <v/>
      </c>
      <c r="D58" s="6" t="s">
        <v>71</v>
      </c>
      <c r="E58" s="6"/>
      <c r="F58" s="6" t="s">
        <v>15</v>
      </c>
      <c r="G58" s="7" t="str">
        <f>IFNA(VLOOKUP(F58,Driver!A:D,4,false),"")</f>
        <v>1980698793628880414:XXMGIAegigeHesHcPUQpIcnMCwhigvPUATFrPyRHiqIZqTwmvWiXbUzfDhivxPcl</v>
      </c>
      <c r="H58" s="8" t="str">
        <f>IFNA(VLOOKUP(F58,Driver!A:C,3,false),"")</f>
        <v>011b70c8f4801dde4491</v>
      </c>
      <c r="I58" s="9">
        <v>0.2916666666666667</v>
      </c>
      <c r="J58" s="9">
        <v>0.6666666666666666</v>
      </c>
      <c r="K58" s="9"/>
    </row>
    <row r="59" hidden="1">
      <c r="A59" s="5" t="str">
        <f>IFNA(VLOOKUP(D59,'Location Table'!A:C,2,false),"")</f>
        <v>9c279fa4-ef52-11f0-9378-fa163ee8d8ac</v>
      </c>
      <c r="B59" s="5" t="str">
        <f>IFNA(VLOOKUP(F59,Driver!A:C,2,false),"")</f>
        <v>7898dd6c-816d-11f0-9f34-506b8d982279</v>
      </c>
      <c r="C59" s="5" t="str">
        <f>IFNA(VLOOKUP(E59,'Location Table'!A:C,2,false),"")</f>
        <v/>
      </c>
      <c r="D59" s="6" t="s">
        <v>72</v>
      </c>
      <c r="E59" s="6"/>
      <c r="F59" s="6" t="s">
        <v>15</v>
      </c>
      <c r="G59" s="7" t="str">
        <f>IFNA(VLOOKUP(F59,Driver!A:D,4,false),"")</f>
        <v>1980698793628880414:XXMGIAegigeHesHcPUQpIcnMCwhigvPUATFrPyRHiqIZqTwmvWiXbUzfDhivxPcl</v>
      </c>
      <c r="H59" s="8" t="str">
        <f>IFNA(VLOOKUP(F59,Driver!A:C,3,false),"")</f>
        <v>011b70c8f4801dde4491</v>
      </c>
      <c r="I59" s="9">
        <v>0.2916666666666667</v>
      </c>
      <c r="J59" s="9">
        <v>0.6666666666666666</v>
      </c>
      <c r="K59" s="9"/>
    </row>
    <row r="60" hidden="1">
      <c r="A60" s="5" t="str">
        <f>IFNA(VLOOKUP(D60,'Location Table'!A:C,2,false),"")</f>
        <v>347d0da0-ed73-11ed-990f-506b8dbc8dfb</v>
      </c>
      <c r="B60" s="5" t="str">
        <f>IFNA(VLOOKUP(F60,Driver!A:C,2,false),"")</f>
        <v>7898dd6c-816d-11f0-9f34-506b8d982279</v>
      </c>
      <c r="C60" s="5" t="str">
        <f>IFNA(VLOOKUP(E60,'Location Table'!A:C,2,false),"")</f>
        <v/>
      </c>
      <c r="D60" s="6" t="s">
        <v>73</v>
      </c>
      <c r="E60" s="6"/>
      <c r="F60" s="6" t="s">
        <v>15</v>
      </c>
      <c r="G60" s="7" t="str">
        <f>IFNA(VLOOKUP(F60,Driver!A:D,4,false),"")</f>
        <v>1980698793628880414:XXMGIAegigeHesHcPUQpIcnMCwhigvPUATFrPyRHiqIZqTwmvWiXbUzfDhivxPcl</v>
      </c>
      <c r="H60" s="8" t="str">
        <f>IFNA(VLOOKUP(F60,Driver!A:C,3,false),"")</f>
        <v>011b70c8f4801dde4491</v>
      </c>
      <c r="I60" s="9">
        <v>0.2916666666666667</v>
      </c>
      <c r="J60" s="9">
        <v>0.6666666666666666</v>
      </c>
      <c r="K60" s="9"/>
    </row>
    <row r="61" hidden="1">
      <c r="A61" s="5" t="str">
        <f>IFNA(VLOOKUP(D61,'Location Table'!A:C,2,false),"")</f>
        <v>79fa44ce-87aa-11ef-b366-506b8d9879b5</v>
      </c>
      <c r="B61" s="5" t="str">
        <f>IFNA(VLOOKUP(F61,Driver!A:C,2,false),"")</f>
        <v>7898dd6c-816d-11f0-9f34-506b8d982279</v>
      </c>
      <c r="C61" s="5" t="str">
        <f>IFNA(VLOOKUP(E61,'Location Table'!A:C,2,false),"")</f>
        <v/>
      </c>
      <c r="D61" s="6" t="s">
        <v>74</v>
      </c>
      <c r="E61" s="6"/>
      <c r="F61" s="6" t="s">
        <v>15</v>
      </c>
      <c r="G61" s="7" t="str">
        <f>IFNA(VLOOKUP(F61,Driver!A:D,4,false),"")</f>
        <v>1980698793628880414:XXMGIAegigeHesHcPUQpIcnMCwhigvPUATFrPyRHiqIZqTwmvWiXbUzfDhivxPcl</v>
      </c>
      <c r="H61" s="8" t="str">
        <f>IFNA(VLOOKUP(F61,Driver!A:C,3,false),"")</f>
        <v>011b70c8f4801dde4491</v>
      </c>
      <c r="I61" s="9">
        <v>0.2916666666666667</v>
      </c>
      <c r="J61" s="9">
        <v>0.6666666666666666</v>
      </c>
      <c r="K61" s="9"/>
    </row>
    <row r="62" hidden="1">
      <c r="A62" s="5" t="str">
        <f>IFNA(VLOOKUP(D62,'Location Table'!A:C,2,false),"")</f>
        <v>10cc36b6-6a99-11ef-bf04-506b8d9879b5</v>
      </c>
      <c r="B62" s="5" t="str">
        <f>IFNA(VLOOKUP(F62,Driver!A:C,2,false),"")</f>
        <v>7898dd6c-816d-11f0-9f34-506b8d982279</v>
      </c>
      <c r="C62" s="5" t="str">
        <f>IFNA(VLOOKUP(E62,'Location Table'!A:C,2,false),"")</f>
        <v/>
      </c>
      <c r="D62" s="6" t="s">
        <v>75</v>
      </c>
      <c r="E62" s="6"/>
      <c r="F62" s="6" t="s">
        <v>15</v>
      </c>
      <c r="G62" s="7" t="str">
        <f>IFNA(VLOOKUP(F62,Driver!A:D,4,false),"")</f>
        <v>1980698793628880414:XXMGIAegigeHesHcPUQpIcnMCwhigvPUATFrPyRHiqIZqTwmvWiXbUzfDhivxPcl</v>
      </c>
      <c r="H62" s="8" t="str">
        <f>IFNA(VLOOKUP(F62,Driver!A:C,3,false),"")</f>
        <v>011b70c8f4801dde4491</v>
      </c>
      <c r="I62" s="9">
        <v>0.2916666666666667</v>
      </c>
      <c r="J62" s="9">
        <v>0.6666666666666666</v>
      </c>
      <c r="K62" s="9"/>
    </row>
    <row r="63" hidden="1">
      <c r="A63" s="5" t="str">
        <f>IFNA(VLOOKUP(D63,'Location Table'!A:C,2,false),"")</f>
        <v>a81a3208-04f9-11ef-b200-506b8d9879b5</v>
      </c>
      <c r="B63" s="5" t="str">
        <f>IFNA(VLOOKUP(F63,Driver!A:C,2,false),"")</f>
        <v>7898dd6c-816d-11f0-9f34-506b8d982279</v>
      </c>
      <c r="C63" s="5" t="str">
        <f>IFNA(VLOOKUP(E63,'Location Table'!A:C,2,false),"")</f>
        <v/>
      </c>
      <c r="D63" s="6" t="s">
        <v>76</v>
      </c>
      <c r="E63" s="6"/>
      <c r="F63" s="6" t="s">
        <v>15</v>
      </c>
      <c r="G63" s="7" t="str">
        <f>IFNA(VLOOKUP(F63,Driver!A:D,4,false),"")</f>
        <v>1980698793628880414:XXMGIAegigeHesHcPUQpIcnMCwhigvPUATFrPyRHiqIZqTwmvWiXbUzfDhivxPcl</v>
      </c>
      <c r="H63" s="8" t="str">
        <f>IFNA(VLOOKUP(F63,Driver!A:C,3,false),"")</f>
        <v>011b70c8f4801dde4491</v>
      </c>
      <c r="I63" s="9">
        <v>0.2916666666666667</v>
      </c>
      <c r="J63" s="9">
        <v>0.6666666666666666</v>
      </c>
      <c r="K63" s="9"/>
    </row>
    <row r="64" hidden="1">
      <c r="A64" s="5" t="str">
        <f>IFNA(VLOOKUP(D64,'Location Table'!A:C,2,false),"")</f>
        <v>b7d82b7c-2369-11ee-a7e9-506b8d9879b5</v>
      </c>
      <c r="B64" s="5" t="str">
        <f>IFNA(VLOOKUP(F64,Driver!A:C,2,false),"")</f>
        <v>7898dd6c-816d-11f0-9f34-506b8d982279</v>
      </c>
      <c r="C64" s="5" t="str">
        <f>IFNA(VLOOKUP(E64,'Location Table'!A:C,2,false),"")</f>
        <v/>
      </c>
      <c r="D64" s="6" t="s">
        <v>77</v>
      </c>
      <c r="E64" s="6"/>
      <c r="F64" s="6" t="s">
        <v>15</v>
      </c>
      <c r="G64" s="7" t="str">
        <f>IFNA(VLOOKUP(F64,Driver!A:D,4,false),"")</f>
        <v>1980698793628880414:XXMGIAegigeHesHcPUQpIcnMCwhigvPUATFrPyRHiqIZqTwmvWiXbUzfDhivxPcl</v>
      </c>
      <c r="H64" s="8" t="str">
        <f>IFNA(VLOOKUP(F64,Driver!A:C,3,false),"")</f>
        <v>011b70c8f4801dde4491</v>
      </c>
      <c r="I64" s="9">
        <v>0.2916666666666667</v>
      </c>
      <c r="J64" s="9">
        <v>0.6666666666666666</v>
      </c>
      <c r="K64" s="9"/>
    </row>
    <row r="65" hidden="1">
      <c r="A65" s="5" t="str">
        <f>IFNA(VLOOKUP(D65,'Location Table'!A:C,2,false),"")</f>
        <v>ca9e98ca-49fa-11ed-ac5b-506b8dbc8dfb</v>
      </c>
      <c r="B65" s="5" t="str">
        <f>IFNA(VLOOKUP(F65,Driver!A:C,2,false),"")</f>
        <v>7898dd6c-816d-11f0-9f34-506b8d982279</v>
      </c>
      <c r="C65" s="5" t="str">
        <f>IFNA(VLOOKUP(E65,'Location Table'!A:C,2,false),"")</f>
        <v/>
      </c>
      <c r="D65" s="6" t="s">
        <v>78</v>
      </c>
      <c r="E65" s="6"/>
      <c r="F65" s="6" t="s">
        <v>15</v>
      </c>
      <c r="G65" s="7" t="str">
        <f>IFNA(VLOOKUP(F65,Driver!A:D,4,false),"")</f>
        <v>1980698793628880414:XXMGIAegigeHesHcPUQpIcnMCwhigvPUATFrPyRHiqIZqTwmvWiXbUzfDhivxPcl</v>
      </c>
      <c r="H65" s="8" t="str">
        <f>IFNA(VLOOKUP(F65,Driver!A:C,3,false),"")</f>
        <v>011b70c8f4801dde4491</v>
      </c>
      <c r="I65" s="9">
        <v>0.2916666666666667</v>
      </c>
      <c r="J65" s="9">
        <v>0.6666666666666666</v>
      </c>
      <c r="K65" s="9"/>
    </row>
    <row r="66" hidden="1">
      <c r="A66" s="5" t="str">
        <f>IFNA(VLOOKUP(D66,'Location Table'!A:C,2,false),"")</f>
        <v>b257dd46-4539-11ed-b6bd-506b8dbc8dfb</v>
      </c>
      <c r="B66" s="5" t="str">
        <f>IFNA(VLOOKUP(F66,Driver!A:C,2,false),"")</f>
        <v>7898dd6c-816d-11f0-9f34-506b8d982279</v>
      </c>
      <c r="C66" s="5" t="str">
        <f>IFNA(VLOOKUP(E66,'Location Table'!A:C,2,false),"")</f>
        <v/>
      </c>
      <c r="D66" s="6" t="s">
        <v>79</v>
      </c>
      <c r="E66" s="6"/>
      <c r="F66" s="6" t="s">
        <v>15</v>
      </c>
      <c r="G66" s="7" t="str">
        <f>IFNA(VLOOKUP(F66,Driver!A:D,4,false),"")</f>
        <v>1980698793628880414:XXMGIAegigeHesHcPUQpIcnMCwhigvPUATFrPyRHiqIZqTwmvWiXbUzfDhivxPcl</v>
      </c>
      <c r="H66" s="8" t="str">
        <f>IFNA(VLOOKUP(F66,Driver!A:C,3,false),"")</f>
        <v>011b70c8f4801dde4491</v>
      </c>
      <c r="I66" s="9">
        <v>0.2916666666666667</v>
      </c>
      <c r="J66" s="9">
        <v>0.6666666666666666</v>
      </c>
      <c r="K66" s="9"/>
    </row>
    <row r="67" hidden="1">
      <c r="A67" s="5" t="str">
        <f>IFNA(VLOOKUP(D67,'Location Table'!A:C,2,false),"")</f>
        <v>963d6a82-8c04-11ee-9ac6-506b8d9879b5</v>
      </c>
      <c r="B67" s="5" t="str">
        <f>IFNA(VLOOKUP(F67,Driver!A:C,2,false),"")</f>
        <v>7898dd6c-816d-11f0-9f34-506b8d982279</v>
      </c>
      <c r="C67" s="5" t="str">
        <f>IFNA(VLOOKUP(E67,'Location Table'!A:C,2,false),"")</f>
        <v/>
      </c>
      <c r="D67" s="6" t="s">
        <v>80</v>
      </c>
      <c r="E67" s="6"/>
      <c r="F67" s="6" t="s">
        <v>15</v>
      </c>
      <c r="G67" s="7" t="str">
        <f>IFNA(VLOOKUP(F67,Driver!A:D,4,false),"")</f>
        <v>1980698793628880414:XXMGIAegigeHesHcPUQpIcnMCwhigvPUATFrPyRHiqIZqTwmvWiXbUzfDhivxPcl</v>
      </c>
      <c r="H67" s="8" t="str">
        <f>IFNA(VLOOKUP(F67,Driver!A:C,3,false),"")</f>
        <v>011b70c8f4801dde4491</v>
      </c>
      <c r="I67" s="9">
        <v>0.2916666666666667</v>
      </c>
      <c r="J67" s="9">
        <v>0.6666666666666666</v>
      </c>
      <c r="K67" s="9"/>
    </row>
    <row r="68" hidden="1">
      <c r="A68" s="5" t="str">
        <f>IFNA(VLOOKUP(D68,'Location Table'!A:C,2,false),"")</f>
        <v>bd2f05c8-4543-11ed-a63c-506b8dbc8dfb</v>
      </c>
      <c r="B68" s="5" t="str">
        <f>IFNA(VLOOKUP(F68,Driver!A:C,2,false),"")</f>
        <v>7898dd6c-816d-11f0-9f34-506b8d982279</v>
      </c>
      <c r="C68" s="5" t="str">
        <f>IFNA(VLOOKUP(E68,'Location Table'!A:C,2,false),"")</f>
        <v/>
      </c>
      <c r="D68" s="6" t="s">
        <v>81</v>
      </c>
      <c r="E68" s="6"/>
      <c r="F68" s="6" t="s">
        <v>15</v>
      </c>
      <c r="G68" s="7" t="str">
        <f>IFNA(VLOOKUP(F68,Driver!A:D,4,false),"")</f>
        <v>1980698793628880414:XXMGIAegigeHesHcPUQpIcnMCwhigvPUATFrPyRHiqIZqTwmvWiXbUzfDhivxPcl</v>
      </c>
      <c r="H68" s="8" t="str">
        <f>IFNA(VLOOKUP(F68,Driver!A:C,3,false),"")</f>
        <v>011b70c8f4801dde4491</v>
      </c>
      <c r="I68" s="9">
        <v>0.2916666666666667</v>
      </c>
      <c r="J68" s="9">
        <v>0.6666666666666666</v>
      </c>
      <c r="K68" s="9"/>
    </row>
    <row r="69" hidden="1">
      <c r="A69" s="5" t="str">
        <f>IFNA(VLOOKUP(D69,'Location Table'!A:C,2,false),"")</f>
        <v>86408c0c-65fd-11f0-825c-506b8d982279</v>
      </c>
      <c r="B69" s="5" t="str">
        <f>IFNA(VLOOKUP(F69,Driver!A:C,2,false),"")</f>
        <v>7898dd6c-816d-11f0-9f34-506b8d982279</v>
      </c>
      <c r="C69" s="5" t="str">
        <f>IFNA(VLOOKUP(E69,'Location Table'!A:C,2,false),"")</f>
        <v/>
      </c>
      <c r="D69" s="6" t="s">
        <v>82</v>
      </c>
      <c r="E69" s="6"/>
      <c r="F69" s="6" t="s">
        <v>15</v>
      </c>
      <c r="G69" s="7" t="str">
        <f>IFNA(VLOOKUP(F69,Driver!A:D,4,false),"")</f>
        <v>1980698793628880414:XXMGIAegigeHesHcPUQpIcnMCwhigvPUATFrPyRHiqIZqTwmvWiXbUzfDhivxPcl</v>
      </c>
      <c r="H69" s="8" t="str">
        <f>IFNA(VLOOKUP(F69,Driver!A:C,3,false),"")</f>
        <v>011b70c8f4801dde4491</v>
      </c>
      <c r="I69" s="9">
        <v>0.2916666666666667</v>
      </c>
      <c r="J69" s="9">
        <v>0.6666666666666666</v>
      </c>
      <c r="K69" s="9"/>
    </row>
    <row r="70" hidden="1">
      <c r="A70" s="5" t="str">
        <f>IFNA(VLOOKUP(D70,'Location Table'!A:C,2,false),"")</f>
        <v>9267efae-a5f4-11ee-afb0-506b8d9879b5</v>
      </c>
      <c r="B70" s="5" t="str">
        <f>IFNA(VLOOKUP(F70,Driver!A:C,2,false),"")</f>
        <v>7898dd6c-816d-11f0-9f34-506b8d982279</v>
      </c>
      <c r="C70" s="5" t="str">
        <f>IFNA(VLOOKUP(E70,'Location Table'!A:C,2,false),"")</f>
        <v/>
      </c>
      <c r="D70" s="6" t="s">
        <v>83</v>
      </c>
      <c r="E70" s="6"/>
      <c r="F70" s="6" t="s">
        <v>15</v>
      </c>
      <c r="G70" s="7" t="str">
        <f>IFNA(VLOOKUP(F70,Driver!A:D,4,false),"")</f>
        <v>1980698793628880414:XXMGIAegigeHesHcPUQpIcnMCwhigvPUATFrPyRHiqIZqTwmvWiXbUzfDhivxPcl</v>
      </c>
      <c r="H70" s="8" t="str">
        <f>IFNA(VLOOKUP(F70,Driver!A:C,3,false),"")</f>
        <v>011b70c8f4801dde4491</v>
      </c>
      <c r="I70" s="9">
        <v>0.2916666666666667</v>
      </c>
      <c r="J70" s="9">
        <v>0.6666666666666666</v>
      </c>
      <c r="K70" s="9"/>
    </row>
    <row r="71" hidden="1">
      <c r="A71" s="5" t="str">
        <f>IFNA(VLOOKUP(D71,'Location Table'!A:C,2,false),"")</f>
        <v>39104722-4a00-11ed-bd93-506b8dbc8dfb</v>
      </c>
      <c r="B71" s="5" t="str">
        <f>IFNA(VLOOKUP(F71,Driver!A:C,2,false),"")</f>
        <v>7898dd6c-816d-11f0-9f34-506b8d982279</v>
      </c>
      <c r="C71" s="5" t="str">
        <f>IFNA(VLOOKUP(E71,'Location Table'!A:C,2,false),"")</f>
        <v/>
      </c>
      <c r="D71" s="6" t="s">
        <v>84</v>
      </c>
      <c r="E71" s="6"/>
      <c r="F71" s="6" t="s">
        <v>15</v>
      </c>
      <c r="G71" s="7" t="str">
        <f>IFNA(VLOOKUP(F71,Driver!A:D,4,false),"")</f>
        <v>1980698793628880414:XXMGIAegigeHesHcPUQpIcnMCwhigvPUATFrPyRHiqIZqTwmvWiXbUzfDhivxPcl</v>
      </c>
      <c r="H71" s="8" t="str">
        <f>IFNA(VLOOKUP(F71,Driver!A:C,3,false),"")</f>
        <v>011b70c8f4801dde4491</v>
      </c>
      <c r="I71" s="9">
        <v>0.2916666666666667</v>
      </c>
      <c r="J71" s="9">
        <v>0.6666666666666666</v>
      </c>
      <c r="K71" s="9"/>
    </row>
    <row r="72" hidden="1">
      <c r="A72" s="5" t="str">
        <f>IFNA(VLOOKUP(D72,'Location Table'!A:C,2,false),"")</f>
        <v>3d7beb2e-8693-11ee-9c82-506b8d9879b5</v>
      </c>
      <c r="B72" s="5" t="str">
        <f>IFNA(VLOOKUP(F72,Driver!A:C,2,false),"")</f>
        <v>7898dd6c-816d-11f0-9f34-506b8d982279</v>
      </c>
      <c r="C72" s="5" t="str">
        <f>IFNA(VLOOKUP(E72,'Location Table'!A:C,2,false),"")</f>
        <v/>
      </c>
      <c r="D72" s="6" t="s">
        <v>85</v>
      </c>
      <c r="E72" s="6"/>
      <c r="F72" s="6" t="s">
        <v>15</v>
      </c>
      <c r="G72" s="7" t="str">
        <f>IFNA(VLOOKUP(F72,Driver!A:D,4,false),"")</f>
        <v>1980698793628880414:XXMGIAegigeHesHcPUQpIcnMCwhigvPUATFrPyRHiqIZqTwmvWiXbUzfDhivxPcl</v>
      </c>
      <c r="H72" s="8" t="str">
        <f>IFNA(VLOOKUP(F72,Driver!A:C,3,false),"")</f>
        <v>011b70c8f4801dde4491</v>
      </c>
      <c r="I72" s="9">
        <v>0.2916666666666667</v>
      </c>
      <c r="J72" s="9">
        <v>0.6666666666666666</v>
      </c>
      <c r="K72" s="9"/>
    </row>
    <row r="73" hidden="1">
      <c r="A73" s="5" t="str">
        <f>IFNA(VLOOKUP(D73,'Location Table'!A:C,2,false),"")</f>
        <v>a11159ec-8d7f-11ee-90e4-506b8d9879b5</v>
      </c>
      <c r="B73" s="5" t="str">
        <f>IFNA(VLOOKUP(F73,Driver!A:C,2,false),"")</f>
        <v>7898dd6c-816d-11f0-9f34-506b8d982279</v>
      </c>
      <c r="C73" s="5" t="str">
        <f>IFNA(VLOOKUP(E73,'Location Table'!A:C,2,false),"")</f>
        <v/>
      </c>
      <c r="D73" s="6" t="s">
        <v>86</v>
      </c>
      <c r="E73" s="6"/>
      <c r="F73" s="6" t="s">
        <v>15</v>
      </c>
      <c r="G73" s="7" t="str">
        <f>IFNA(VLOOKUP(F73,Driver!A:D,4,false),"")</f>
        <v>1980698793628880414:XXMGIAegigeHesHcPUQpIcnMCwhigvPUATFrPyRHiqIZqTwmvWiXbUzfDhivxPcl</v>
      </c>
      <c r="H73" s="8" t="str">
        <f>IFNA(VLOOKUP(F73,Driver!A:C,3,false),"")</f>
        <v>011b70c8f4801dde4491</v>
      </c>
      <c r="I73" s="9">
        <v>0.2916666666666667</v>
      </c>
      <c r="J73" s="9">
        <v>0.6666666666666666</v>
      </c>
      <c r="K73" s="9"/>
    </row>
    <row r="74" hidden="1">
      <c r="A74" s="5" t="str">
        <f>IFNA(VLOOKUP(D74,'Location Table'!A:C,2,false),"")</f>
        <v>0d4f6c7c-03e3-11f0-91da-506b8d9879b5</v>
      </c>
      <c r="B74" s="5" t="str">
        <f>IFNA(VLOOKUP(F74,Driver!A:C,2,false),"")</f>
        <v>d2c2d39e-11e4-11f1-9378-fa163ee8d8ac</v>
      </c>
      <c r="C74" s="5" t="str">
        <f>IFNA(VLOOKUP(E74,'Location Table'!A:C,2,false),"")</f>
        <v/>
      </c>
      <c r="D74" s="6" t="s">
        <v>87</v>
      </c>
      <c r="E74" s="6"/>
      <c r="F74" s="6" t="s">
        <v>88</v>
      </c>
      <c r="G74" s="7" t="str">
        <f>IFNA(VLOOKUP(F74,Driver!A:D,4,false),"")</f>
        <v>1980698793628880414:XXMGIAegigeHesHcPUQpIcnMCwhigvPUATFrPyRHiqIZqTwmvWiXbUzfDhivxPcl</v>
      </c>
      <c r="H74" s="8" t="str">
        <f>IFNA(VLOOKUP(F74,Driver!A:C,3,false),"")</f>
        <v>59a2bfce5a81b3dfea90</v>
      </c>
      <c r="I74" s="9">
        <v>0.2916666666666667</v>
      </c>
      <c r="J74" s="9">
        <v>0.6875</v>
      </c>
      <c r="K74" s="9"/>
    </row>
    <row r="75" hidden="1">
      <c r="A75" s="5" t="str">
        <f>IFNA(VLOOKUP(D75,'Location Table'!A:C,2,false),"")</f>
        <v>6ace5052-a575-11ee-83d6-506b8d9879b5</v>
      </c>
      <c r="B75" s="5" t="str">
        <f>IFNA(VLOOKUP(F75,Driver!A:C,2,false),"")</f>
        <v>d2c2d39e-11e4-11f1-9378-fa163ee8d8ac</v>
      </c>
      <c r="C75" s="5" t="str">
        <f>IFNA(VLOOKUP(E75,'Location Table'!A:C,2,false),"")</f>
        <v/>
      </c>
      <c r="D75" s="6" t="s">
        <v>89</v>
      </c>
      <c r="E75" s="6"/>
      <c r="F75" s="6" t="s">
        <v>88</v>
      </c>
      <c r="G75" s="7" t="str">
        <f>IFNA(VLOOKUP(F75,Driver!A:D,4,false),"")</f>
        <v>1980698793628880414:XXMGIAegigeHesHcPUQpIcnMCwhigvPUATFrPyRHiqIZqTwmvWiXbUzfDhivxPcl</v>
      </c>
      <c r="H75" s="8" t="str">
        <f>IFNA(VLOOKUP(F75,Driver!A:C,3,false),"")</f>
        <v>59a2bfce5a81b3dfea90</v>
      </c>
      <c r="I75" s="9">
        <v>0.2916666666666667</v>
      </c>
      <c r="J75" s="9">
        <v>0.6875</v>
      </c>
      <c r="K75" s="9"/>
    </row>
    <row r="76" hidden="1">
      <c r="A76" s="5" t="str">
        <f>IFNA(VLOOKUP(D76,'Location Table'!A:C,2,false),"")</f>
        <v>09a251ea-5edb-11f0-ba30-506b8d982279</v>
      </c>
      <c r="B76" s="5" t="str">
        <f>IFNA(VLOOKUP(F76,Driver!A:C,2,false),"")</f>
        <v>d2c2d39e-11e4-11f1-9378-fa163ee8d8ac</v>
      </c>
      <c r="C76" s="5" t="str">
        <f>IFNA(VLOOKUP(E76,'Location Table'!A:C,2,false),"")</f>
        <v/>
      </c>
      <c r="D76" s="6" t="s">
        <v>90</v>
      </c>
      <c r="E76" s="6"/>
      <c r="F76" s="6" t="s">
        <v>88</v>
      </c>
      <c r="G76" s="7" t="str">
        <f>IFNA(VLOOKUP(F76,Driver!A:D,4,false),"")</f>
        <v>1980698793628880414:XXMGIAegigeHesHcPUQpIcnMCwhigvPUATFrPyRHiqIZqTwmvWiXbUzfDhivxPcl</v>
      </c>
      <c r="H76" s="8" t="str">
        <f>IFNA(VLOOKUP(F76,Driver!A:C,3,false),"")</f>
        <v>59a2bfce5a81b3dfea90</v>
      </c>
      <c r="I76" s="9">
        <v>0.2916666666666667</v>
      </c>
      <c r="J76" s="9">
        <v>0.6875</v>
      </c>
      <c r="K76" s="9"/>
    </row>
    <row r="77" hidden="1">
      <c r="A77" s="5" t="str">
        <f>IFNA(VLOOKUP(D77,'Location Table'!A:C,2,false),"")</f>
        <v>d328c92a-582c-11ee-914e-506b8d9879b5</v>
      </c>
      <c r="B77" s="5" t="str">
        <f>IFNA(VLOOKUP(F77,Driver!A:C,2,false),"")</f>
        <v>d2c2d39e-11e4-11f1-9378-fa163ee8d8ac</v>
      </c>
      <c r="C77" s="5" t="str">
        <f>IFNA(VLOOKUP(E77,'Location Table'!A:C,2,false),"")</f>
        <v/>
      </c>
      <c r="D77" s="6" t="s">
        <v>91</v>
      </c>
      <c r="E77" s="6"/>
      <c r="F77" s="6" t="s">
        <v>88</v>
      </c>
      <c r="G77" s="7" t="str">
        <f>IFNA(VLOOKUP(F77,Driver!A:D,4,false),"")</f>
        <v>1980698793628880414:XXMGIAegigeHesHcPUQpIcnMCwhigvPUATFrPyRHiqIZqTwmvWiXbUzfDhivxPcl</v>
      </c>
      <c r="H77" s="8" t="str">
        <f>IFNA(VLOOKUP(F77,Driver!A:C,3,false),"")</f>
        <v>59a2bfce5a81b3dfea90</v>
      </c>
      <c r="I77" s="9">
        <v>0.2916666666666667</v>
      </c>
      <c r="J77" s="9">
        <v>0.6875</v>
      </c>
      <c r="K77" s="9"/>
    </row>
    <row r="78" hidden="1">
      <c r="A78" s="5" t="str">
        <f>IFNA(VLOOKUP(D78,'Location Table'!A:C,2,false),"")</f>
        <v>54f02904-31ee-11ee-ad30-506b8d9879b5</v>
      </c>
      <c r="B78" s="5" t="str">
        <f>IFNA(VLOOKUP(F78,Driver!A:C,2,false),"")</f>
        <v>d2c2d39e-11e4-11f1-9378-fa163ee8d8ac</v>
      </c>
      <c r="C78" s="5" t="str">
        <f>IFNA(VLOOKUP(E78,'Location Table'!A:C,2,false),"")</f>
        <v/>
      </c>
      <c r="D78" s="6" t="s">
        <v>92</v>
      </c>
      <c r="E78" s="6"/>
      <c r="F78" s="6" t="s">
        <v>88</v>
      </c>
      <c r="G78" s="7" t="str">
        <f>IFNA(VLOOKUP(F78,Driver!A:D,4,false),"")</f>
        <v>1980698793628880414:XXMGIAegigeHesHcPUQpIcnMCwhigvPUATFrPyRHiqIZqTwmvWiXbUzfDhivxPcl</v>
      </c>
      <c r="H78" s="8" t="str">
        <f>IFNA(VLOOKUP(F78,Driver!A:C,3,false),"")</f>
        <v>59a2bfce5a81b3dfea90</v>
      </c>
      <c r="I78" s="9">
        <v>0.2916666666666667</v>
      </c>
      <c r="J78" s="9">
        <v>0.6875</v>
      </c>
      <c r="K78" s="9"/>
    </row>
    <row r="79" hidden="1">
      <c r="A79" s="5" t="str">
        <f>IFNA(VLOOKUP(D79,'Location Table'!A:C,2,false),"")</f>
        <v>483740a6-42d8-11f0-9e1e-506b8d982279</v>
      </c>
      <c r="B79" s="5" t="str">
        <f>IFNA(VLOOKUP(F79,Driver!A:C,2,false),"")</f>
        <v>51b847ba-37cd-11ed-a5f6-506b8dbc8dfb</v>
      </c>
      <c r="C79" s="5" t="str">
        <f>IFNA(VLOOKUP(E79,'Location Table'!A:C,2,false),"")</f>
        <v/>
      </c>
      <c r="D79" s="6" t="s">
        <v>93</v>
      </c>
      <c r="E79" s="6"/>
      <c r="F79" s="10" t="s">
        <v>94</v>
      </c>
      <c r="G79" s="7" t="str">
        <f>IFNA(VLOOKUP(F79,Driver!A:D,4,false),"")</f>
        <v>1980698793628880414:XXMGIAegigeHesHcPUQpIcnMCwhigvPUATFrPyRHiqIZqTwmvWiXbUzfDhivxPcl</v>
      </c>
      <c r="H79" s="8" t="str">
        <f>IFNA(VLOOKUP(F79,Driver!A:C,3,false),"")</f>
        <v>3d1fec9027dcce8297cd</v>
      </c>
      <c r="I79" s="9">
        <v>0.2916666666666667</v>
      </c>
      <c r="J79" s="9">
        <v>0.6875</v>
      </c>
      <c r="K79" s="9"/>
    </row>
    <row r="80" hidden="1">
      <c r="A80" s="5" t="str">
        <f>IFNA(VLOOKUP(D80,'Location Table'!A:C,2,false),"")</f>
        <v>e03f6628-00c3-11f0-9b12-506b8d9879b5</v>
      </c>
      <c r="B80" s="5" t="str">
        <f>IFNA(VLOOKUP(F80,Driver!A:C,2,false),"")</f>
        <v>353f3686-dcc8-11f0-82b8-506b8d982279</v>
      </c>
      <c r="C80" s="5" t="str">
        <f>IFNA(VLOOKUP(E80,'Location Table'!A:C,2,false),"")</f>
        <v/>
      </c>
      <c r="D80" s="6" t="s">
        <v>95</v>
      </c>
      <c r="E80" s="6"/>
      <c r="F80" s="10" t="s">
        <v>96</v>
      </c>
      <c r="G80" s="7" t="str">
        <f>IFNA(VLOOKUP(F80,Driver!A:D,4,false),"")</f>
        <v>2160130926882687325:VSRHFZoYrhhtnecmAaOfmgvaKlfxBZEgxFxSbLPTAhfVwurTuJfQgOTrwyseeqJQ</v>
      </c>
      <c r="H80" s="8" t="str">
        <f>IFNA(VLOOKUP(F80,Driver!A:C,3,false),"")</f>
        <v>e7ce6d37cc7f25217c6e</v>
      </c>
      <c r="I80" s="9">
        <v>0.2916666666666667</v>
      </c>
      <c r="J80" s="9">
        <v>0.6875</v>
      </c>
      <c r="K80" s="9"/>
    </row>
    <row r="81" hidden="1">
      <c r="A81" s="5" t="str">
        <f>IFNA(VLOOKUP(D81,'Location Table'!A:C,2,false),"")</f>
        <v>ee64f962-8c06-11ee-aaa7-506b8d9879b5</v>
      </c>
      <c r="B81" s="5" t="str">
        <f>IFNA(VLOOKUP(F81,Driver!A:C,2,false),"")</f>
        <v>d2c2d39e-11e4-11f1-9378-fa163ee8d8ac</v>
      </c>
      <c r="C81" s="5" t="str">
        <f>IFNA(VLOOKUP(E81,'Location Table'!A:C,2,false),"")</f>
        <v/>
      </c>
      <c r="D81" s="6" t="s">
        <v>97</v>
      </c>
      <c r="E81" s="6"/>
      <c r="F81" s="6" t="s">
        <v>88</v>
      </c>
      <c r="G81" s="7" t="str">
        <f>IFNA(VLOOKUP(F81,Driver!A:D,4,false),"")</f>
        <v>1980698793628880414:XXMGIAegigeHesHcPUQpIcnMCwhigvPUATFrPyRHiqIZqTwmvWiXbUzfDhivxPcl</v>
      </c>
      <c r="H81" s="8" t="str">
        <f>IFNA(VLOOKUP(F81,Driver!A:C,3,false),"")</f>
        <v>59a2bfce5a81b3dfea90</v>
      </c>
      <c r="I81" s="9">
        <v>0.2916666666666667</v>
      </c>
      <c r="J81" s="9">
        <v>0.6875</v>
      </c>
      <c r="K81" s="9"/>
    </row>
    <row r="82" hidden="1">
      <c r="A82" s="5" t="str">
        <f>IFNA(VLOOKUP(D82,'Location Table'!A:C,2,false),"")</f>
        <v>0122420a-e8ed-11ef-8d33-506b8d9879b5</v>
      </c>
      <c r="B82" s="5" t="str">
        <f>IFNA(VLOOKUP(F82,Driver!A:C,2,false),"")</f>
        <v>d2c2d39e-11e4-11f1-9378-fa163ee8d8ac</v>
      </c>
      <c r="C82" s="5" t="str">
        <f>IFNA(VLOOKUP(E82,'Location Table'!A:C,2,false),"")</f>
        <v/>
      </c>
      <c r="D82" s="6" t="s">
        <v>98</v>
      </c>
      <c r="E82" s="6"/>
      <c r="F82" s="6" t="s">
        <v>88</v>
      </c>
      <c r="G82" s="7" t="str">
        <f>IFNA(VLOOKUP(F82,Driver!A:D,4,false),"")</f>
        <v>1980698793628880414:XXMGIAegigeHesHcPUQpIcnMCwhigvPUATFrPyRHiqIZqTwmvWiXbUzfDhivxPcl</v>
      </c>
      <c r="H82" s="8" t="str">
        <f>IFNA(VLOOKUP(F82,Driver!A:C,3,false),"")</f>
        <v>59a2bfce5a81b3dfea90</v>
      </c>
      <c r="I82" s="9">
        <v>0.2916666666666667</v>
      </c>
      <c r="J82" s="9">
        <v>0.6875</v>
      </c>
      <c r="K82" s="9"/>
    </row>
    <row r="83" hidden="1">
      <c r="A83" s="5" t="str">
        <f>IFNA(VLOOKUP(D83,'Location Table'!A:C,2,false),"")</f>
        <v>12689eae-9747-11ee-b1f9-506b8d9879b5</v>
      </c>
      <c r="B83" s="5" t="str">
        <f>IFNA(VLOOKUP(F83,Driver!A:C,2,false),"")</f>
        <v>d2c2d39e-11e4-11f1-9378-fa163ee8d8ac</v>
      </c>
      <c r="C83" s="5" t="str">
        <f>IFNA(VLOOKUP(E83,'Location Table'!A:C,2,false),"")</f>
        <v/>
      </c>
      <c r="D83" s="6" t="s">
        <v>99</v>
      </c>
      <c r="E83" s="6"/>
      <c r="F83" s="6" t="s">
        <v>88</v>
      </c>
      <c r="G83" s="7" t="str">
        <f>IFNA(VLOOKUP(F83,Driver!A:D,4,false),"")</f>
        <v>1980698793628880414:XXMGIAegigeHesHcPUQpIcnMCwhigvPUATFrPyRHiqIZqTwmvWiXbUzfDhivxPcl</v>
      </c>
      <c r="H83" s="8" t="str">
        <f>IFNA(VLOOKUP(F83,Driver!A:C,3,false),"")</f>
        <v>59a2bfce5a81b3dfea90</v>
      </c>
      <c r="I83" s="9">
        <v>0.2916666666666667</v>
      </c>
      <c r="J83" s="9">
        <v>0.6875</v>
      </c>
      <c r="K83" s="9"/>
    </row>
    <row r="84" hidden="1">
      <c r="A84" s="5" t="str">
        <f>IFNA(VLOOKUP(D84,'Location Table'!A:C,2,false),"")</f>
        <v>88aab068-7abc-11ee-bf4b-506b8d9879b5</v>
      </c>
      <c r="B84" s="5" t="str">
        <f>IFNA(VLOOKUP(F84,Driver!A:C,2,false),"")</f>
        <v>d2c2d39e-11e4-11f1-9378-fa163ee8d8ac</v>
      </c>
      <c r="C84" s="5" t="str">
        <f>IFNA(VLOOKUP(E84,'Location Table'!A:C,2,false),"")</f>
        <v/>
      </c>
      <c r="D84" s="6" t="s">
        <v>100</v>
      </c>
      <c r="E84" s="6"/>
      <c r="F84" s="6" t="s">
        <v>88</v>
      </c>
      <c r="G84" s="7" t="str">
        <f>IFNA(VLOOKUP(F84,Driver!A:D,4,false),"")</f>
        <v>1980698793628880414:XXMGIAegigeHesHcPUQpIcnMCwhigvPUATFrPyRHiqIZqTwmvWiXbUzfDhivxPcl</v>
      </c>
      <c r="H84" s="8" t="str">
        <f>IFNA(VLOOKUP(F84,Driver!A:C,3,false),"")</f>
        <v>59a2bfce5a81b3dfea90</v>
      </c>
      <c r="I84" s="9">
        <v>0.2916666666666667</v>
      </c>
      <c r="J84" s="9">
        <v>0.6875</v>
      </c>
      <c r="K84" s="9"/>
    </row>
    <row r="85" hidden="1">
      <c r="A85" s="5" t="str">
        <f>IFNA(VLOOKUP(D85,'Location Table'!A:C,2,false),"")</f>
        <v>816c5ca4-466c-11ee-b7bb-506b8d9879b5</v>
      </c>
      <c r="B85" s="5" t="str">
        <f>IFNA(VLOOKUP(F85,Driver!A:C,2,false),"")</f>
        <v>d2c2d39e-11e4-11f1-9378-fa163ee8d8ac</v>
      </c>
      <c r="C85" s="5" t="str">
        <f>IFNA(VLOOKUP(E85,'Location Table'!A:C,2,false),"")</f>
        <v/>
      </c>
      <c r="D85" s="6" t="s">
        <v>101</v>
      </c>
      <c r="E85" s="6"/>
      <c r="F85" s="6" t="s">
        <v>88</v>
      </c>
      <c r="G85" s="7" t="str">
        <f>IFNA(VLOOKUP(F85,Driver!A:D,4,false),"")</f>
        <v>1980698793628880414:XXMGIAegigeHesHcPUQpIcnMCwhigvPUATFrPyRHiqIZqTwmvWiXbUzfDhivxPcl</v>
      </c>
      <c r="H85" s="8" t="str">
        <f>IFNA(VLOOKUP(F85,Driver!A:C,3,false),"")</f>
        <v>59a2bfce5a81b3dfea90</v>
      </c>
      <c r="I85" s="9">
        <v>0.2916666666666667</v>
      </c>
      <c r="J85" s="9">
        <v>0.6875</v>
      </c>
      <c r="K85" s="9"/>
    </row>
    <row r="86" hidden="1">
      <c r="A86" s="5" t="str">
        <f>IFNA(VLOOKUP(D86,'Location Table'!A:C,2,false),"")</f>
        <v>17cc53dc-ed78-11ed-967c-506b8dbc8dfb</v>
      </c>
      <c r="B86" s="5" t="str">
        <f>IFNA(VLOOKUP(F86,Driver!A:C,2,false),"")</f>
        <v>d2c2d39e-11e4-11f1-9378-fa163ee8d8ac</v>
      </c>
      <c r="C86" s="5" t="str">
        <f>IFNA(VLOOKUP(E86,'Location Table'!A:C,2,false),"")</f>
        <v/>
      </c>
      <c r="D86" s="6" t="s">
        <v>102</v>
      </c>
      <c r="E86" s="6"/>
      <c r="F86" s="6" t="s">
        <v>88</v>
      </c>
      <c r="G86" s="7" t="str">
        <f>IFNA(VLOOKUP(F86,Driver!A:D,4,false),"")</f>
        <v>1980698793628880414:XXMGIAegigeHesHcPUQpIcnMCwhigvPUATFrPyRHiqIZqTwmvWiXbUzfDhivxPcl</v>
      </c>
      <c r="H86" s="8" t="str">
        <f>IFNA(VLOOKUP(F86,Driver!A:C,3,false),"")</f>
        <v>59a2bfce5a81b3dfea90</v>
      </c>
      <c r="I86" s="9">
        <v>0.2916666666666667</v>
      </c>
      <c r="J86" s="9">
        <v>0.6875</v>
      </c>
      <c r="K86" s="9"/>
    </row>
    <row r="87" hidden="1">
      <c r="A87" s="5" t="str">
        <f>IFNA(VLOOKUP(D87,'Location Table'!A:C,2,false),"")</f>
        <v>616a6542-55bf-11ee-8279-506b8d9879b5</v>
      </c>
      <c r="B87" s="5" t="str">
        <f>IFNA(VLOOKUP(F87,Driver!A:C,2,false),"")</f>
        <v>ee94ca62-729f-11f0-8cd5-506b8d982279</v>
      </c>
      <c r="C87" s="5" t="str">
        <f>IFNA(VLOOKUP(E87,'Location Table'!A:C,2,false),"")</f>
        <v/>
      </c>
      <c r="D87" s="6" t="s">
        <v>103</v>
      </c>
      <c r="E87" s="6"/>
      <c r="F87" s="6" t="s">
        <v>104</v>
      </c>
      <c r="G87" s="7" t="str">
        <f>IFNA(VLOOKUP(F87,Driver!A:D,4,false),"")</f>
        <v>1980698793628880414:XXMGIAegigeHesHcPUQpIcnMCwhigvPUATFrPyRHiqIZqTwmvWiXbUzfDhivxPcl</v>
      </c>
      <c r="H87" s="8" t="str">
        <f>IFNA(VLOOKUP(F87,Driver!A:C,3,false),"")</f>
        <v>f4d2e910814c6812315d</v>
      </c>
      <c r="I87" s="9">
        <v>0.2916666666666667</v>
      </c>
      <c r="J87" s="9">
        <v>0.6875</v>
      </c>
      <c r="K87" s="9"/>
    </row>
    <row r="88" hidden="1">
      <c r="A88" s="5" t="str">
        <f>IFNA(VLOOKUP(D88,'Location Table'!A:C,2,false),"")</f>
        <v>8a9db336-9ebc-11f0-ae49-506b8d982279</v>
      </c>
      <c r="B88" s="5" t="str">
        <f>IFNA(VLOOKUP(F88,Driver!A:C,2,false),"")</f>
        <v>d2c2d39e-11e4-11f1-9378-fa163ee8d8ac</v>
      </c>
      <c r="C88" s="5" t="str">
        <f>IFNA(VLOOKUP(E88,'Location Table'!A:C,2,false),"")</f>
        <v/>
      </c>
      <c r="D88" s="6" t="s">
        <v>105</v>
      </c>
      <c r="E88" s="6"/>
      <c r="F88" s="6" t="s">
        <v>88</v>
      </c>
      <c r="G88" s="7" t="str">
        <f>IFNA(VLOOKUP(F88,Driver!A:D,4,false),"")</f>
        <v>1980698793628880414:XXMGIAegigeHesHcPUQpIcnMCwhigvPUATFrPyRHiqIZqTwmvWiXbUzfDhivxPcl</v>
      </c>
      <c r="H88" s="8" t="str">
        <f>IFNA(VLOOKUP(F88,Driver!A:C,3,false),"")</f>
        <v>59a2bfce5a81b3dfea90</v>
      </c>
      <c r="I88" s="9">
        <v>0.2916666666666667</v>
      </c>
      <c r="J88" s="9">
        <v>0.6875</v>
      </c>
      <c r="K88" s="9"/>
    </row>
    <row r="89" hidden="1">
      <c r="A89" s="5" t="str">
        <f>IFNA(VLOOKUP(D89,'Location Table'!A:C,2,false),"")</f>
        <v>0b4579c2-06be-11ee-8510-506b8dbc8dfb</v>
      </c>
      <c r="B89" s="5" t="str">
        <f>IFNA(VLOOKUP(F89,Driver!A:C,2,false),"")</f>
        <v>d2c2d39e-11e4-11f1-9378-fa163ee8d8ac</v>
      </c>
      <c r="C89" s="5" t="str">
        <f>IFNA(VLOOKUP(E89,'Location Table'!A:C,2,false),"")</f>
        <v/>
      </c>
      <c r="D89" s="6" t="s">
        <v>106</v>
      </c>
      <c r="E89" s="6"/>
      <c r="F89" s="6" t="s">
        <v>88</v>
      </c>
      <c r="G89" s="7" t="str">
        <f>IFNA(VLOOKUP(F89,Driver!A:D,4,false),"")</f>
        <v>1980698793628880414:XXMGIAegigeHesHcPUQpIcnMCwhigvPUATFrPyRHiqIZqTwmvWiXbUzfDhivxPcl</v>
      </c>
      <c r="H89" s="8" t="str">
        <f>IFNA(VLOOKUP(F89,Driver!A:C,3,false),"")</f>
        <v>59a2bfce5a81b3dfea90</v>
      </c>
      <c r="I89" s="9">
        <v>0.2916666666666667</v>
      </c>
      <c r="J89" s="9">
        <v>0.6875</v>
      </c>
      <c r="K89" s="9"/>
    </row>
    <row r="90" hidden="1">
      <c r="A90" s="5" t="str">
        <f>IFNA(VLOOKUP(D90,'Location Table'!A:C,2,false),"")</f>
        <v>e3a57076-1d4b-11ee-a7b2-506b8d9879b5</v>
      </c>
      <c r="B90" s="5" t="str">
        <f>IFNA(VLOOKUP(F90,Driver!A:C,2,false),"")</f>
        <v>d2c2d39e-11e4-11f1-9378-fa163ee8d8ac</v>
      </c>
      <c r="C90" s="5" t="str">
        <f>IFNA(VLOOKUP(E90,'Location Table'!A:C,2,false),"")</f>
        <v/>
      </c>
      <c r="D90" s="6" t="s">
        <v>107</v>
      </c>
      <c r="E90" s="6"/>
      <c r="F90" s="6" t="s">
        <v>88</v>
      </c>
      <c r="G90" s="7" t="str">
        <f>IFNA(VLOOKUP(F90,Driver!A:D,4,false),"")</f>
        <v>1980698793628880414:XXMGIAegigeHesHcPUQpIcnMCwhigvPUATFrPyRHiqIZqTwmvWiXbUzfDhivxPcl</v>
      </c>
      <c r="H90" s="8" t="str">
        <f>IFNA(VLOOKUP(F90,Driver!A:C,3,false),"")</f>
        <v>59a2bfce5a81b3dfea90</v>
      </c>
      <c r="I90" s="9">
        <v>0.2916666666666667</v>
      </c>
      <c r="J90" s="9">
        <v>0.6875</v>
      </c>
      <c r="K90" s="9"/>
    </row>
    <row r="91" hidden="1">
      <c r="A91" s="5" t="str">
        <f>IFNA(VLOOKUP(D91,'Location Table'!A:C,2,false),"")</f>
        <v>17d9c24c-3012-11ee-ba36-506b8d9879b5</v>
      </c>
      <c r="B91" s="5" t="str">
        <f>IFNA(VLOOKUP(F91,Driver!A:C,2,false),"")</f>
        <v>d2c2d39e-11e4-11f1-9378-fa163ee8d8ac</v>
      </c>
      <c r="C91" s="5" t="str">
        <f>IFNA(VLOOKUP(E91,'Location Table'!A:C,2,false),"")</f>
        <v/>
      </c>
      <c r="D91" s="6" t="s">
        <v>108</v>
      </c>
      <c r="E91" s="6"/>
      <c r="F91" s="6" t="s">
        <v>88</v>
      </c>
      <c r="G91" s="7" t="str">
        <f>IFNA(VLOOKUP(F91,Driver!A:D,4,false),"")</f>
        <v>1980698793628880414:XXMGIAegigeHesHcPUQpIcnMCwhigvPUATFrPyRHiqIZqTwmvWiXbUzfDhivxPcl</v>
      </c>
      <c r="H91" s="8" t="str">
        <f>IFNA(VLOOKUP(F91,Driver!A:C,3,false),"")</f>
        <v>59a2bfce5a81b3dfea90</v>
      </c>
      <c r="I91" s="9">
        <v>0.2916666666666667</v>
      </c>
      <c r="J91" s="9">
        <v>0.6875</v>
      </c>
      <c r="K91" s="9"/>
    </row>
    <row r="92" hidden="1">
      <c r="A92" s="5" t="str">
        <f>IFNA(VLOOKUP(D92,'Location Table'!A:C,2,false),"")</f>
        <v>d36ee302-7b0d-11ee-8eac-506b8d9879b5</v>
      </c>
      <c r="B92" s="5" t="str">
        <f>IFNA(VLOOKUP(F92,Driver!A:C,2,false),"")</f>
        <v>232be490-35a4-11ed-88b7-506b8dbc8dfb</v>
      </c>
      <c r="C92" s="5" t="str">
        <f>IFNA(VLOOKUP(E92,'Location Table'!A:C,2,false),"")</f>
        <v/>
      </c>
      <c r="D92" s="6" t="s">
        <v>109</v>
      </c>
      <c r="E92" s="6"/>
      <c r="F92" s="6" t="s">
        <v>110</v>
      </c>
      <c r="G92" s="7" t="str">
        <f>IFNA(VLOOKUP(F92,Driver!A:D,4,false),"")</f>
        <v>2160130926882687325:VSRHFZoYrhhtnecmAaOfmgvaKlfxBZEgxFxSbLPTAhfVwurTuJfQgOTrwyseeqJQ</v>
      </c>
      <c r="H92" s="8" t="str">
        <f>IFNA(VLOOKUP(F92,Driver!A:C,3,false),"")</f>
        <v>d9fc37dd4093a9cdf082</v>
      </c>
      <c r="I92" s="9">
        <v>0.2916666666666667</v>
      </c>
      <c r="J92" s="9">
        <v>0.6875</v>
      </c>
      <c r="K92" s="9"/>
    </row>
    <row r="93" hidden="1">
      <c r="A93" s="5" t="str">
        <f>IFNA(VLOOKUP(D93,'Location Table'!A:C,2,false),"")</f>
        <v>3a464870-9af0-11ee-9c0c-506b8d9879b5</v>
      </c>
      <c r="B93" s="5" t="str">
        <f>IFNA(VLOOKUP(F93,Driver!A:C,2,false),"")</f>
        <v>f3cef536-7671-11f0-84d2-506b8d982279</v>
      </c>
      <c r="C93" s="5" t="str">
        <f>IFNA(VLOOKUP(E93,'Location Table'!A:C,2,false),"")</f>
        <v/>
      </c>
      <c r="D93" s="6" t="s">
        <v>111</v>
      </c>
      <c r="E93" s="6"/>
      <c r="F93" s="6" t="s">
        <v>112</v>
      </c>
      <c r="G93" s="7" t="str">
        <f>IFNA(VLOOKUP(F93,Driver!A:D,4,false),"")</f>
        <v/>
      </c>
      <c r="H93" s="8" t="str">
        <f>IFNA(VLOOKUP(F93,Driver!A:C,3,false),"")</f>
        <v/>
      </c>
      <c r="I93" s="9">
        <v>0.2916666666666667</v>
      </c>
      <c r="J93" s="9">
        <v>0.6875</v>
      </c>
      <c r="K93" s="9"/>
    </row>
    <row r="94" hidden="1">
      <c r="A94" s="5" t="str">
        <f>IFNA(VLOOKUP(D94,'Location Table'!A:C,2,false),"")</f>
        <v>a81ad386-1513-11f0-bef8-506b8d982279</v>
      </c>
      <c r="B94" s="5" t="str">
        <f>IFNA(VLOOKUP(F94,Driver!A:C,2,false),"")</f>
        <v>d2c2d39e-11e4-11f1-9378-fa163ee8d8ac</v>
      </c>
      <c r="C94" s="5" t="str">
        <f>IFNA(VLOOKUP(E94,'Location Table'!A:C,2,false),"")</f>
        <v/>
      </c>
      <c r="D94" s="6" t="s">
        <v>113</v>
      </c>
      <c r="E94" s="6"/>
      <c r="F94" s="6" t="s">
        <v>88</v>
      </c>
      <c r="G94" s="7" t="str">
        <f>IFNA(VLOOKUP(F94,Driver!A:D,4,false),"")</f>
        <v>1980698793628880414:XXMGIAegigeHesHcPUQpIcnMCwhigvPUATFrPyRHiqIZqTwmvWiXbUzfDhivxPcl</v>
      </c>
      <c r="H94" s="8" t="str">
        <f>IFNA(VLOOKUP(F94,Driver!A:C,3,false),"")</f>
        <v>59a2bfce5a81b3dfea90</v>
      </c>
      <c r="I94" s="9">
        <v>0.2916666666666667</v>
      </c>
      <c r="J94" s="9">
        <v>0.6875</v>
      </c>
      <c r="K94" s="9"/>
    </row>
    <row r="95" hidden="1">
      <c r="A95" s="5" t="str">
        <f>IFNA(VLOOKUP(D95,'Location Table'!A:C,2,false),"")</f>
        <v>bb1d17a2-f55f-11ee-97e3-506b8d9879b5</v>
      </c>
      <c r="B95" s="5" t="str">
        <f>IFNA(VLOOKUP(F95,Driver!A:C,2,false),"")</f>
        <v>d2c2d39e-11e4-11f1-9378-fa163ee8d8ac</v>
      </c>
      <c r="C95" s="5" t="str">
        <f>IFNA(VLOOKUP(E95,'Location Table'!A:C,2,false),"")</f>
        <v/>
      </c>
      <c r="D95" s="6" t="s">
        <v>114</v>
      </c>
      <c r="E95" s="6"/>
      <c r="F95" s="6" t="s">
        <v>88</v>
      </c>
      <c r="G95" s="7" t="str">
        <f>IFNA(VLOOKUP(F95,Driver!A:D,4,false),"")</f>
        <v>1980698793628880414:XXMGIAegigeHesHcPUQpIcnMCwhigvPUATFrPyRHiqIZqTwmvWiXbUzfDhivxPcl</v>
      </c>
      <c r="H95" s="8" t="str">
        <f>IFNA(VLOOKUP(F95,Driver!A:C,3,false),"")</f>
        <v>59a2bfce5a81b3dfea90</v>
      </c>
      <c r="I95" s="9">
        <v>0.2916666666666667</v>
      </c>
      <c r="J95" s="9">
        <v>0.6875</v>
      </c>
      <c r="K95" s="9"/>
    </row>
    <row r="96" hidden="1">
      <c r="A96" s="5" t="str">
        <f>IFNA(VLOOKUP(D96,'Location Table'!A:C,2,false),"")</f>
        <v>8ab1f2b4-258d-11ef-b80a-506b8d9879b5</v>
      </c>
      <c r="B96" s="5" t="str">
        <f>IFNA(VLOOKUP(F96,Driver!A:C,2,false),"")</f>
        <v>51b847ba-37cd-11ed-a5f6-506b8dbc8dfb</v>
      </c>
      <c r="C96" s="5" t="str">
        <f>IFNA(VLOOKUP(E96,'Location Table'!A:C,2,false),"")</f>
        <v/>
      </c>
      <c r="D96" s="6" t="s">
        <v>115</v>
      </c>
      <c r="E96" s="6"/>
      <c r="F96" s="6" t="s">
        <v>94</v>
      </c>
      <c r="G96" s="7" t="str">
        <f>IFNA(VLOOKUP(F96,Driver!A:D,4,false),"")</f>
        <v>1980698793628880414:XXMGIAegigeHesHcPUQpIcnMCwhigvPUATFrPyRHiqIZqTwmvWiXbUzfDhivxPcl</v>
      </c>
      <c r="H96" s="8" t="str">
        <f>IFNA(VLOOKUP(F96,Driver!A:C,3,false),"")</f>
        <v>3d1fec9027dcce8297cd</v>
      </c>
      <c r="I96" s="9">
        <v>0.2916666666666667</v>
      </c>
      <c r="J96" s="9">
        <v>0.6875</v>
      </c>
      <c r="K96" s="9"/>
    </row>
    <row r="97" hidden="1">
      <c r="A97" s="5" t="str">
        <f>IFNA(VLOOKUP(D97,'Location Table'!A:C,2,false),"")</f>
        <v>6d7bd3da-27a0-11ef-bc8c-506b8d9879b5</v>
      </c>
      <c r="B97" s="5" t="str">
        <f>IFNA(VLOOKUP(F97,Driver!A:C,2,false),"")</f>
        <v>d2c2d39e-11e4-11f1-9378-fa163ee8d8ac</v>
      </c>
      <c r="C97" s="5" t="str">
        <f>IFNA(VLOOKUP(E97,'Location Table'!A:C,2,false),"")</f>
        <v/>
      </c>
      <c r="D97" s="6" t="s">
        <v>116</v>
      </c>
      <c r="E97" s="6"/>
      <c r="F97" s="6" t="s">
        <v>88</v>
      </c>
      <c r="G97" s="7" t="str">
        <f>IFNA(VLOOKUP(F97,Driver!A:D,4,false),"")</f>
        <v>1980698793628880414:XXMGIAegigeHesHcPUQpIcnMCwhigvPUATFrPyRHiqIZqTwmvWiXbUzfDhivxPcl</v>
      </c>
      <c r="H97" s="8" t="str">
        <f>IFNA(VLOOKUP(F97,Driver!A:C,3,false),"")</f>
        <v>59a2bfce5a81b3dfea90</v>
      </c>
      <c r="I97" s="9">
        <v>0.2916666666666667</v>
      </c>
      <c r="J97" s="9">
        <v>0.6875</v>
      </c>
      <c r="K97" s="9"/>
    </row>
    <row r="98" hidden="1">
      <c r="A98" s="5" t="str">
        <f>IFNA(VLOOKUP(D98,'Location Table'!A:C,2,false),"")</f>
        <v>d856507a-1cad-11ef-8762-506b8d9879b5</v>
      </c>
      <c r="B98" s="5" t="str">
        <f>IFNA(VLOOKUP(F98,Driver!A:C,2,false),"")</f>
        <v>d2c2d39e-11e4-11f1-9378-fa163ee8d8ac</v>
      </c>
      <c r="C98" s="5" t="str">
        <f>IFNA(VLOOKUP(E98,'Location Table'!A:C,2,false),"")</f>
        <v/>
      </c>
      <c r="D98" s="6" t="s">
        <v>117</v>
      </c>
      <c r="E98" s="6"/>
      <c r="F98" s="6" t="s">
        <v>88</v>
      </c>
      <c r="G98" s="7" t="str">
        <f>IFNA(VLOOKUP(F98,Driver!A:D,4,false),"")</f>
        <v>1980698793628880414:XXMGIAegigeHesHcPUQpIcnMCwhigvPUATFrPyRHiqIZqTwmvWiXbUzfDhivxPcl</v>
      </c>
      <c r="H98" s="8" t="str">
        <f>IFNA(VLOOKUP(F98,Driver!A:C,3,false),"")</f>
        <v>59a2bfce5a81b3dfea90</v>
      </c>
      <c r="I98" s="9">
        <v>0.2916666666666667</v>
      </c>
      <c r="J98" s="9">
        <v>0.6875</v>
      </c>
      <c r="K98" s="9"/>
    </row>
    <row r="99" hidden="1">
      <c r="A99" s="5" t="str">
        <f>IFNA(VLOOKUP(D99,'Location Table'!A:C,2,false),"")</f>
        <v>c0b8b0b6-248c-11ef-87be-506b8d9879b5</v>
      </c>
      <c r="B99" s="5" t="str">
        <f>IFNA(VLOOKUP(F99,Driver!A:C,2,false),"")</f>
        <v>d2c2d39e-11e4-11f1-9378-fa163ee8d8ac</v>
      </c>
      <c r="C99" s="5" t="str">
        <f>IFNA(VLOOKUP(E99,'Location Table'!A:C,2,false),"")</f>
        <v/>
      </c>
      <c r="D99" s="6" t="s">
        <v>118</v>
      </c>
      <c r="E99" s="6"/>
      <c r="F99" s="6" t="s">
        <v>88</v>
      </c>
      <c r="G99" s="7" t="str">
        <f>IFNA(VLOOKUP(F99,Driver!A:D,4,false),"")</f>
        <v>1980698793628880414:XXMGIAegigeHesHcPUQpIcnMCwhigvPUATFrPyRHiqIZqTwmvWiXbUzfDhivxPcl</v>
      </c>
      <c r="H99" s="8" t="str">
        <f>IFNA(VLOOKUP(F99,Driver!A:C,3,false),"")</f>
        <v>59a2bfce5a81b3dfea90</v>
      </c>
      <c r="I99" s="9">
        <v>0.2916666666666667</v>
      </c>
      <c r="J99" s="9">
        <v>0.6875</v>
      </c>
      <c r="K99" s="9"/>
    </row>
    <row r="100" hidden="1">
      <c r="A100" s="5" t="str">
        <f>IFNA(VLOOKUP(D100,'Location Table'!A:C,2,false),"")</f>
        <v>f8781c90-7580-11ef-964d-506b8d9879b5</v>
      </c>
      <c r="B100" s="5" t="str">
        <f>IFNA(VLOOKUP(F100,Driver!A:C,2,false),"")</f>
        <v>d2c2d39e-11e4-11f1-9378-fa163ee8d8ac</v>
      </c>
      <c r="C100" s="5" t="str">
        <f>IFNA(VLOOKUP(E100,'Location Table'!A:C,2,false),"")</f>
        <v/>
      </c>
      <c r="D100" s="6" t="s">
        <v>119</v>
      </c>
      <c r="E100" s="6"/>
      <c r="F100" s="6" t="s">
        <v>88</v>
      </c>
      <c r="G100" s="7" t="str">
        <f>IFNA(VLOOKUP(F100,Driver!A:D,4,false),"")</f>
        <v>1980698793628880414:XXMGIAegigeHesHcPUQpIcnMCwhigvPUATFrPyRHiqIZqTwmvWiXbUzfDhivxPcl</v>
      </c>
      <c r="H100" s="8" t="str">
        <f>IFNA(VLOOKUP(F100,Driver!A:C,3,false),"")</f>
        <v>59a2bfce5a81b3dfea90</v>
      </c>
      <c r="I100" s="9">
        <v>0.2916666666666667</v>
      </c>
      <c r="J100" s="9">
        <v>0.6875</v>
      </c>
      <c r="K100" s="9"/>
    </row>
    <row r="101" hidden="1">
      <c r="A101" s="5" t="str">
        <f>IFNA(VLOOKUP(D101,'Location Table'!A:C,2,false),"")</f>
        <v>3cf31c56-e0e6-11ee-a911-506b8d9879b5</v>
      </c>
      <c r="B101" s="5" t="str">
        <f>IFNA(VLOOKUP(F101,Driver!A:C,2,false),"")</f>
        <v>d2c2d39e-11e4-11f1-9378-fa163ee8d8ac</v>
      </c>
      <c r="C101" s="5" t="str">
        <f>IFNA(VLOOKUP(E101,'Location Table'!A:C,2,false),"")</f>
        <v/>
      </c>
      <c r="D101" s="6" t="s">
        <v>120</v>
      </c>
      <c r="E101" s="6"/>
      <c r="F101" s="6" t="s">
        <v>88</v>
      </c>
      <c r="G101" s="7" t="str">
        <f>IFNA(VLOOKUP(F101,Driver!A:D,4,false),"")</f>
        <v>1980698793628880414:XXMGIAegigeHesHcPUQpIcnMCwhigvPUATFrPyRHiqIZqTwmvWiXbUzfDhivxPcl</v>
      </c>
      <c r="H101" s="8" t="str">
        <f>IFNA(VLOOKUP(F101,Driver!A:C,3,false),"")</f>
        <v>59a2bfce5a81b3dfea90</v>
      </c>
      <c r="I101" s="9">
        <v>0.2916666666666667</v>
      </c>
      <c r="J101" s="9">
        <v>0.6875</v>
      </c>
      <c r="K101" s="9"/>
    </row>
    <row r="102" hidden="1">
      <c r="A102" s="5" t="str">
        <f>IFNA(VLOOKUP(D102,'Location Table'!A:C,2,false),"")</f>
        <v>61c50a76-8f78-11ef-bc55-506b8d9879b5</v>
      </c>
      <c r="B102" s="5" t="str">
        <f>IFNA(VLOOKUP(F102,Driver!A:C,2,false),"")</f>
        <v>d2c2d39e-11e4-11f1-9378-fa163ee8d8ac</v>
      </c>
      <c r="C102" s="5" t="str">
        <f>IFNA(VLOOKUP(E102,'Location Table'!A:C,2,false),"")</f>
        <v/>
      </c>
      <c r="D102" s="6" t="s">
        <v>121</v>
      </c>
      <c r="E102" s="6"/>
      <c r="F102" s="6" t="s">
        <v>88</v>
      </c>
      <c r="G102" s="7" t="str">
        <f>IFNA(VLOOKUP(F102,Driver!A:D,4,false),"")</f>
        <v>1980698793628880414:XXMGIAegigeHesHcPUQpIcnMCwhigvPUATFrPyRHiqIZqTwmvWiXbUzfDhivxPcl</v>
      </c>
      <c r="H102" s="8" t="str">
        <f>IFNA(VLOOKUP(F102,Driver!A:C,3,false),"")</f>
        <v>59a2bfce5a81b3dfea90</v>
      </c>
      <c r="I102" s="9">
        <v>0.2916666666666667</v>
      </c>
      <c r="J102" s="9">
        <v>0.6875</v>
      </c>
      <c r="K102" s="9"/>
    </row>
    <row r="103" hidden="1">
      <c r="A103" s="5" t="str">
        <f>IFNA(VLOOKUP(D103,'Location Table'!A:C,2,false),"")</f>
        <v>5e35af64-380d-11ee-92f9-506b8d9879b5</v>
      </c>
      <c r="B103" s="5" t="str">
        <f>IFNA(VLOOKUP(F103,Driver!A:C,2,false),"")</f>
        <v>d2c2d39e-11e4-11f1-9378-fa163ee8d8ac</v>
      </c>
      <c r="C103" s="5" t="str">
        <f>IFNA(VLOOKUP(E103,'Location Table'!A:C,2,false),"")</f>
        <v/>
      </c>
      <c r="D103" s="6" t="s">
        <v>122</v>
      </c>
      <c r="E103" s="6"/>
      <c r="F103" s="6" t="s">
        <v>88</v>
      </c>
      <c r="G103" s="7" t="str">
        <f>IFNA(VLOOKUP(F103,Driver!A:D,4,false),"")</f>
        <v>1980698793628880414:XXMGIAegigeHesHcPUQpIcnMCwhigvPUATFrPyRHiqIZqTwmvWiXbUzfDhivxPcl</v>
      </c>
      <c r="H103" s="8" t="str">
        <f>IFNA(VLOOKUP(F103,Driver!A:C,3,false),"")</f>
        <v>59a2bfce5a81b3dfea90</v>
      </c>
      <c r="I103" s="9">
        <v>0.2916666666666667</v>
      </c>
      <c r="J103" s="9">
        <v>0.6875</v>
      </c>
      <c r="K103" s="9"/>
    </row>
    <row r="104" hidden="1">
      <c r="A104" s="5" t="str">
        <f>IFNA(VLOOKUP(D104,'Location Table'!A:C,2,false),"")</f>
        <v>a0f06ff8-4626-11ed-913e-506b8dbc8dfb</v>
      </c>
      <c r="B104" s="5" t="str">
        <f>IFNA(VLOOKUP(F104,Driver!A:C,2,false),"")</f>
        <v>d2c2d39e-11e4-11f1-9378-fa163ee8d8ac</v>
      </c>
      <c r="C104" s="5" t="str">
        <f>IFNA(VLOOKUP(E104,'Location Table'!A:C,2,false),"")</f>
        <v/>
      </c>
      <c r="D104" s="6" t="s">
        <v>123</v>
      </c>
      <c r="E104" s="6"/>
      <c r="F104" s="6" t="s">
        <v>88</v>
      </c>
      <c r="G104" s="7" t="str">
        <f>IFNA(VLOOKUP(F104,Driver!A:D,4,false),"")</f>
        <v>1980698793628880414:XXMGIAegigeHesHcPUQpIcnMCwhigvPUATFrPyRHiqIZqTwmvWiXbUzfDhivxPcl</v>
      </c>
      <c r="H104" s="8" t="str">
        <f>IFNA(VLOOKUP(F104,Driver!A:C,3,false),"")</f>
        <v>59a2bfce5a81b3dfea90</v>
      </c>
      <c r="I104" s="9">
        <v>0.2916666666666667</v>
      </c>
      <c r="J104" s="9">
        <v>0.6875</v>
      </c>
      <c r="K104" s="9"/>
    </row>
    <row r="105" hidden="1">
      <c r="A105" s="5" t="str">
        <f>IFNA(VLOOKUP(D105,'Location Table'!A:C,2,false),"")</f>
        <v>e6d1a2b4-56c6-11ef-a12a-506b8d9879b5</v>
      </c>
      <c r="B105" s="5" t="str">
        <f>IFNA(VLOOKUP(F105,Driver!A:C,2,false),"")</f>
        <v>d2c2d39e-11e4-11f1-9378-fa163ee8d8ac</v>
      </c>
      <c r="C105" s="5" t="str">
        <f>IFNA(VLOOKUP(E105,'Location Table'!A:C,2,false),"")</f>
        <v/>
      </c>
      <c r="D105" s="6" t="s">
        <v>124</v>
      </c>
      <c r="E105" s="6"/>
      <c r="F105" s="6" t="s">
        <v>88</v>
      </c>
      <c r="G105" s="7" t="str">
        <f>IFNA(VLOOKUP(F105,Driver!A:D,4,false),"")</f>
        <v>1980698793628880414:XXMGIAegigeHesHcPUQpIcnMCwhigvPUATFrPyRHiqIZqTwmvWiXbUzfDhivxPcl</v>
      </c>
      <c r="H105" s="8" t="str">
        <f>IFNA(VLOOKUP(F105,Driver!A:C,3,false),"")</f>
        <v>59a2bfce5a81b3dfea90</v>
      </c>
      <c r="I105" s="9">
        <v>0.2916666666666667</v>
      </c>
      <c r="J105" s="9">
        <v>0.6875</v>
      </c>
      <c r="K105" s="9"/>
    </row>
    <row r="106" hidden="1">
      <c r="A106" s="5" t="str">
        <f>IFNA(VLOOKUP(D106,'Location Table'!A:C,2,false),"")</f>
        <v>eb68666c-a592-11ef-b072-506b8d9879b5</v>
      </c>
      <c r="B106" s="5" t="str">
        <f>IFNA(VLOOKUP(F106,Driver!A:C,2,false),"")</f>
        <v>d2c2d39e-11e4-11f1-9378-fa163ee8d8ac</v>
      </c>
      <c r="C106" s="5" t="str">
        <f>IFNA(VLOOKUP(E106,'Location Table'!A:C,2,false),"")</f>
        <v/>
      </c>
      <c r="D106" s="6" t="s">
        <v>125</v>
      </c>
      <c r="E106" s="6"/>
      <c r="F106" s="6" t="s">
        <v>88</v>
      </c>
      <c r="G106" s="7" t="str">
        <f>IFNA(VLOOKUP(F106,Driver!A:D,4,false),"")</f>
        <v>1980698793628880414:XXMGIAegigeHesHcPUQpIcnMCwhigvPUATFrPyRHiqIZqTwmvWiXbUzfDhivxPcl</v>
      </c>
      <c r="H106" s="8" t="str">
        <f>IFNA(VLOOKUP(F106,Driver!A:C,3,false),"")</f>
        <v>59a2bfce5a81b3dfea90</v>
      </c>
      <c r="I106" s="9">
        <v>0.2916666666666667</v>
      </c>
      <c r="J106" s="9">
        <v>0.6875</v>
      </c>
      <c r="K106" s="9"/>
    </row>
    <row r="107" hidden="1">
      <c r="A107" s="5" t="str">
        <f>IFNA(VLOOKUP(D107,'Location Table'!A:C,2,false),"")</f>
        <v>fe316052-950f-11ef-8282-506b8d9879b5</v>
      </c>
      <c r="B107" s="5" t="str">
        <f>IFNA(VLOOKUP(F107,Driver!A:C,2,false),"")</f>
        <v>51b847ba-37cd-11ed-a5f6-506b8dbc8dfb</v>
      </c>
      <c r="C107" s="5" t="str">
        <f>IFNA(VLOOKUP(E107,'Location Table'!A:C,2,false),"")</f>
        <v/>
      </c>
      <c r="D107" s="6" t="s">
        <v>126</v>
      </c>
      <c r="E107" s="6"/>
      <c r="F107" s="6" t="s">
        <v>94</v>
      </c>
      <c r="G107" s="7" t="str">
        <f>IFNA(VLOOKUP(F107,Driver!A:D,4,false),"")</f>
        <v>1980698793628880414:XXMGIAegigeHesHcPUQpIcnMCwhigvPUATFrPyRHiqIZqTwmvWiXbUzfDhivxPcl</v>
      </c>
      <c r="H107" s="8" t="str">
        <f>IFNA(VLOOKUP(F107,Driver!A:C,3,false),"")</f>
        <v>3d1fec9027dcce8297cd</v>
      </c>
      <c r="I107" s="9">
        <v>0.2916666666666667</v>
      </c>
      <c r="J107" s="9">
        <v>0.6875</v>
      </c>
      <c r="K107" s="9"/>
    </row>
    <row r="108" hidden="1">
      <c r="A108" s="5" t="str">
        <f>IFNA(VLOOKUP(D108,'Location Table'!A:C,2,false),"")</f>
        <v>3a5b86ac-91b9-11ef-a7dc-506b8d9879b5</v>
      </c>
      <c r="B108" s="5" t="str">
        <f>IFNA(VLOOKUP(F108,Driver!A:C,2,false),"")</f>
        <v>a01fefe6-3653-11ed-8128-506b8dbc8dfb</v>
      </c>
      <c r="C108" s="5" t="str">
        <f>IFNA(VLOOKUP(E108,'Location Table'!A:C,2,false),"")</f>
        <v/>
      </c>
      <c r="D108" s="6" t="s">
        <v>127</v>
      </c>
      <c r="E108" s="6"/>
      <c r="F108" s="6" t="s">
        <v>128</v>
      </c>
      <c r="G108" s="7" t="str">
        <f>IFNA(VLOOKUP(F108,Driver!A:D,4,false),"")</f>
        <v/>
      </c>
      <c r="H108" s="8" t="str">
        <f>IFNA(VLOOKUP(F108,Driver!A:C,3,false),"")</f>
        <v/>
      </c>
      <c r="I108" s="9">
        <v>0.2916666666666667</v>
      </c>
      <c r="J108" s="9">
        <v>0.6875</v>
      </c>
      <c r="K108" s="9"/>
    </row>
    <row r="109" hidden="1">
      <c r="A109" s="5" t="str">
        <f>IFNA(VLOOKUP(D109,'Location Table'!A:C,2,false),"")</f>
        <v>e4ac41f6-086e-11f0-b94a-506b8d982279</v>
      </c>
      <c r="B109" s="5" t="str">
        <f>IFNA(VLOOKUP(F109,Driver!A:C,2,false),"")</f>
        <v>103090f4-37c8-11ed-9333-506b8dbc8dfb</v>
      </c>
      <c r="C109" s="5" t="str">
        <f>IFNA(VLOOKUP(E109,'Location Table'!A:C,2,false),"")</f>
        <v/>
      </c>
      <c r="D109" s="10" t="s">
        <v>129</v>
      </c>
      <c r="E109" s="6"/>
      <c r="F109" s="6" t="s">
        <v>130</v>
      </c>
      <c r="G109" s="7" t="str">
        <f>IFNA(VLOOKUP(F109,Driver!A:D,4,false),"")</f>
        <v>2160130926882687325:VSRHFZoYrhhtnecmAaOfmgvaKlfxBZEgxFxSbLPTAhfVwurTuJfQgOTrwyseeqJQ</v>
      </c>
      <c r="H109" s="8" t="str">
        <f>IFNA(VLOOKUP(F109,Driver!A:C,3,false),"")</f>
        <v>77085b30147bfd25a46a</v>
      </c>
      <c r="I109" s="9">
        <v>0.2916666666666667</v>
      </c>
      <c r="J109" s="9">
        <v>0.8541666666666666</v>
      </c>
      <c r="K109" s="9"/>
    </row>
    <row r="110" hidden="1">
      <c r="A110" s="5" t="str">
        <f>IFNA(VLOOKUP(D110,'Location Table'!A:C,2,false),"")</f>
        <v>e6f43818-1f31-11f0-81af-506b8d982279</v>
      </c>
      <c r="B110" s="5" t="str">
        <f>IFNA(VLOOKUP(F110,Driver!A:C,2,false),"")</f>
        <v>a51713c2-37c4-11ed-a4e6-506b8dbc8dfb</v>
      </c>
      <c r="C110" s="5" t="str">
        <f>IFNA(VLOOKUP(E110,'Location Table'!A:C,2,false),"")</f>
        <v/>
      </c>
      <c r="D110" s="6" t="s">
        <v>131</v>
      </c>
      <c r="E110" s="6"/>
      <c r="F110" s="6" t="s">
        <v>132</v>
      </c>
      <c r="G110" s="7" t="str">
        <f>IFNA(VLOOKUP(F110,Driver!A:D,4,false),"")</f>
        <v>1980698793628880414:XXMGIAegigeHesHcPUQpIcnMCwhigvPUATFrPyRHiqIZqTwmvWiXbUzfDhivxPcl</v>
      </c>
      <c r="H110" s="8" t="str">
        <f>IFNA(VLOOKUP(F110,Driver!A:C,3,false),"")</f>
        <v>e24e6f345362ba3ce373</v>
      </c>
      <c r="I110" s="9">
        <v>0.2916666666666667</v>
      </c>
      <c r="J110" s="9">
        <v>0.5</v>
      </c>
      <c r="K110" s="9"/>
    </row>
    <row r="111" hidden="1">
      <c r="A111" s="5" t="str">
        <f>IFNA(VLOOKUP(D111,'Location Table'!A:C,2,false),"")</f>
        <v>ebe315f8-79a2-11f0-ba44-506b8d982279</v>
      </c>
      <c r="B111" s="5" t="str">
        <f>IFNA(VLOOKUP(F111,Driver!A:C,2,false),"")</f>
        <v>d2c2d39e-11e4-11f1-9378-fa163ee8d8ac</v>
      </c>
      <c r="C111" s="5" t="str">
        <f>IFNA(VLOOKUP(E111,'Location Table'!A:C,2,false),"")</f>
        <v/>
      </c>
      <c r="D111" s="6" t="s">
        <v>133</v>
      </c>
      <c r="E111" s="6"/>
      <c r="F111" s="6" t="s">
        <v>88</v>
      </c>
      <c r="G111" s="7" t="str">
        <f>IFNA(VLOOKUP(F111,Driver!A:D,4,false),"")</f>
        <v>1980698793628880414:XXMGIAegigeHesHcPUQpIcnMCwhigvPUATFrPyRHiqIZqTwmvWiXbUzfDhivxPcl</v>
      </c>
      <c r="H111" s="8" t="str">
        <f>IFNA(VLOOKUP(F111,Driver!A:C,3,false),"")</f>
        <v>59a2bfce5a81b3dfea90</v>
      </c>
      <c r="I111" s="9">
        <v>0.2916666666666667</v>
      </c>
      <c r="J111" s="9">
        <v>0.6875</v>
      </c>
      <c r="K111" s="9"/>
    </row>
    <row r="112" hidden="1">
      <c r="A112" s="5" t="str">
        <f>IFNA(VLOOKUP(D112,'Location Table'!A:C,2,false),"")</f>
        <v>cb81ff40-cf79-11f0-ae64-506b8d982279</v>
      </c>
      <c r="B112" s="5" t="str">
        <f>IFNA(VLOOKUP(F112,Driver!A:C,2,false),"")</f>
        <v>d2c2d39e-11e4-11f1-9378-fa163ee8d8ac</v>
      </c>
      <c r="C112" s="5" t="str">
        <f>IFNA(VLOOKUP(E112,'Location Table'!A:C,2,false),"")</f>
        <v/>
      </c>
      <c r="D112" s="6" t="s">
        <v>134</v>
      </c>
      <c r="E112" s="6"/>
      <c r="F112" s="6" t="s">
        <v>88</v>
      </c>
      <c r="G112" s="7" t="str">
        <f>IFNA(VLOOKUP(F112,Driver!A:D,4,false),"")</f>
        <v>1980698793628880414:XXMGIAegigeHesHcPUQpIcnMCwhigvPUATFrPyRHiqIZqTwmvWiXbUzfDhivxPcl</v>
      </c>
      <c r="H112" s="8" t="str">
        <f>IFNA(VLOOKUP(F112,Driver!A:C,3,false),"")</f>
        <v>59a2bfce5a81b3dfea90</v>
      </c>
      <c r="I112" s="9">
        <v>0.2916666666666667</v>
      </c>
      <c r="J112" s="9">
        <v>0.6875</v>
      </c>
      <c r="K112" s="9"/>
    </row>
    <row r="113" hidden="1">
      <c r="A113" s="5" t="str">
        <f>IFNA(VLOOKUP(D113,'Location Table'!A:C,2,false),"")</f>
        <v>f255c942-4473-11ed-9f83-506b8dbc8dfb</v>
      </c>
      <c r="B113" s="5" t="str">
        <f>IFNA(VLOOKUP(F113,Driver!A:C,2,false),"")</f>
        <v>d2c2d39e-11e4-11f1-9378-fa163ee8d8ac</v>
      </c>
      <c r="C113" s="5" t="str">
        <f>IFNA(VLOOKUP(E113,'Location Table'!A:C,2,false),"")</f>
        <v/>
      </c>
      <c r="D113" s="6" t="s">
        <v>135</v>
      </c>
      <c r="E113" s="6"/>
      <c r="F113" s="6" t="s">
        <v>88</v>
      </c>
      <c r="G113" s="7" t="str">
        <f>IFNA(VLOOKUP(F113,Driver!A:D,4,false),"")</f>
        <v>1980698793628880414:XXMGIAegigeHesHcPUQpIcnMCwhigvPUATFrPyRHiqIZqTwmvWiXbUzfDhivxPcl</v>
      </c>
      <c r="H113" s="8" t="str">
        <f>IFNA(VLOOKUP(F113,Driver!A:C,3,false),"")</f>
        <v>59a2bfce5a81b3dfea90</v>
      </c>
      <c r="I113" s="9">
        <v>0.2916666666666667</v>
      </c>
      <c r="J113" s="9">
        <v>0.6875</v>
      </c>
      <c r="K113" s="9"/>
    </row>
    <row r="114" hidden="1">
      <c r="A114" s="5" t="str">
        <f>IFNA(VLOOKUP(D114,'Location Table'!A:C,2,false),"")</f>
        <v>4ea75656-11c0-11ee-8562-506b8dbc8dfb</v>
      </c>
      <c r="B114" s="5" t="str">
        <f>IFNA(VLOOKUP(F114,Driver!A:C,2,false),"")</f>
        <v>d2c2d39e-11e4-11f1-9378-fa163ee8d8ac</v>
      </c>
      <c r="C114" s="5" t="str">
        <f>IFNA(VLOOKUP(E114,'Location Table'!A:C,2,false),"")</f>
        <v/>
      </c>
      <c r="D114" s="6" t="s">
        <v>136</v>
      </c>
      <c r="E114" s="6"/>
      <c r="F114" s="6" t="s">
        <v>88</v>
      </c>
      <c r="G114" s="7" t="str">
        <f>IFNA(VLOOKUP(F114,Driver!A:D,4,false),"")</f>
        <v>1980698793628880414:XXMGIAegigeHesHcPUQpIcnMCwhigvPUATFrPyRHiqIZqTwmvWiXbUzfDhivxPcl</v>
      </c>
      <c r="H114" s="8" t="str">
        <f>IFNA(VLOOKUP(F114,Driver!A:C,3,false),"")</f>
        <v>59a2bfce5a81b3dfea90</v>
      </c>
      <c r="I114" s="9">
        <v>0.2916666666666667</v>
      </c>
      <c r="J114" s="9">
        <v>0.6875</v>
      </c>
      <c r="K114" s="9"/>
    </row>
    <row r="115" hidden="1">
      <c r="A115" s="5" t="str">
        <f>IFNA(VLOOKUP(D115,'Location Table'!A:C,2,false),"")</f>
        <v>74412442-0b75-11ee-b2f4-506b8dbc8dfb</v>
      </c>
      <c r="B115" s="5" t="str">
        <f>IFNA(VLOOKUP(F115,Driver!A:C,2,false),"")</f>
        <v>d2c2d39e-11e4-11f1-9378-fa163ee8d8ac</v>
      </c>
      <c r="C115" s="5" t="str">
        <f>IFNA(VLOOKUP(E115,'Location Table'!A:C,2,false),"")</f>
        <v/>
      </c>
      <c r="D115" s="6" t="s">
        <v>137</v>
      </c>
      <c r="E115" s="6"/>
      <c r="F115" s="6" t="s">
        <v>88</v>
      </c>
      <c r="G115" s="7" t="str">
        <f>IFNA(VLOOKUP(F115,Driver!A:D,4,false),"")</f>
        <v>1980698793628880414:XXMGIAegigeHesHcPUQpIcnMCwhigvPUATFrPyRHiqIZqTwmvWiXbUzfDhivxPcl</v>
      </c>
      <c r="H115" s="8" t="str">
        <f>IFNA(VLOOKUP(F115,Driver!A:C,3,false),"")</f>
        <v>59a2bfce5a81b3dfea90</v>
      </c>
      <c r="I115" s="9">
        <v>0.2916666666666667</v>
      </c>
      <c r="J115" s="9">
        <v>0.6875</v>
      </c>
      <c r="K115" s="9"/>
    </row>
    <row r="116" hidden="1">
      <c r="A116" s="5" t="str">
        <f>IFNA(VLOOKUP(D116,'Location Table'!A:C,2,false),"")</f>
        <v>839d5112-8bff-11ee-bbac-506b8d9879b5</v>
      </c>
      <c r="B116" s="5" t="str">
        <f>IFNA(VLOOKUP(F116,Driver!A:C,2,false),"")</f>
        <v>d2c2d39e-11e4-11f1-9378-fa163ee8d8ac</v>
      </c>
      <c r="C116" s="5" t="str">
        <f>IFNA(VLOOKUP(E116,'Location Table'!A:C,2,false),"")</f>
        <v/>
      </c>
      <c r="D116" s="6" t="s">
        <v>138</v>
      </c>
      <c r="E116" s="6"/>
      <c r="F116" s="6" t="s">
        <v>88</v>
      </c>
      <c r="G116" s="7" t="str">
        <f>IFNA(VLOOKUP(F116,Driver!A:D,4,false),"")</f>
        <v>1980698793628880414:XXMGIAegigeHesHcPUQpIcnMCwhigvPUATFrPyRHiqIZqTwmvWiXbUzfDhivxPcl</v>
      </c>
      <c r="H116" s="8" t="str">
        <f>IFNA(VLOOKUP(F116,Driver!A:C,3,false),"")</f>
        <v>59a2bfce5a81b3dfea90</v>
      </c>
      <c r="I116" s="9">
        <v>0.2916666666666667</v>
      </c>
      <c r="J116" s="9">
        <v>0.6875</v>
      </c>
      <c r="K116" s="9"/>
    </row>
    <row r="117" hidden="1">
      <c r="A117" s="5" t="str">
        <f>IFNA(VLOOKUP(D117,'Location Table'!A:C,2,false),"")</f>
        <v>44b4b038-2ca6-11ef-b9dd-506b8d9879b5</v>
      </c>
      <c r="B117" s="5" t="str">
        <f>IFNA(VLOOKUP(F117,Driver!A:C,2,false),"")</f>
        <v>d2c2d39e-11e4-11f1-9378-fa163ee8d8ac</v>
      </c>
      <c r="C117" s="5" t="str">
        <f>IFNA(VLOOKUP(E117,'Location Table'!A:C,2,false),"")</f>
        <v/>
      </c>
      <c r="D117" s="6" t="s">
        <v>139</v>
      </c>
      <c r="E117" s="6"/>
      <c r="F117" s="6" t="s">
        <v>88</v>
      </c>
      <c r="G117" s="7" t="str">
        <f>IFNA(VLOOKUP(F117,Driver!A:D,4,false),"")</f>
        <v>1980698793628880414:XXMGIAegigeHesHcPUQpIcnMCwhigvPUATFrPyRHiqIZqTwmvWiXbUzfDhivxPcl</v>
      </c>
      <c r="H117" s="8" t="str">
        <f>IFNA(VLOOKUP(F117,Driver!A:C,3,false),"")</f>
        <v>59a2bfce5a81b3dfea90</v>
      </c>
      <c r="I117" s="9">
        <v>0.2916666666666667</v>
      </c>
      <c r="J117" s="9">
        <v>0.6875</v>
      </c>
      <c r="K117" s="9"/>
    </row>
    <row r="118" hidden="1">
      <c r="A118" s="5" t="str">
        <f>IFNA(VLOOKUP(D118,'Location Table'!A:C,2,false),"")</f>
        <v>0edfdc38-8346-11f0-a9c6-506b8d982279</v>
      </c>
      <c r="B118" s="5" t="str">
        <f>IFNA(VLOOKUP(F118,Driver!A:C,2,false),"")</f>
        <v>d2c2d39e-11e4-11f1-9378-fa163ee8d8ac</v>
      </c>
      <c r="C118" s="5" t="str">
        <f>IFNA(VLOOKUP(E118,'Location Table'!A:C,2,false),"")</f>
        <v/>
      </c>
      <c r="D118" s="6" t="s">
        <v>140</v>
      </c>
      <c r="E118" s="6"/>
      <c r="F118" s="6" t="s">
        <v>88</v>
      </c>
      <c r="G118" s="7" t="str">
        <f>IFNA(VLOOKUP(F118,Driver!A:D,4,false),"")</f>
        <v>1980698793628880414:XXMGIAegigeHesHcPUQpIcnMCwhigvPUATFrPyRHiqIZqTwmvWiXbUzfDhivxPcl</v>
      </c>
      <c r="H118" s="8" t="str">
        <f>IFNA(VLOOKUP(F118,Driver!A:C,3,false),"")</f>
        <v>59a2bfce5a81b3dfea90</v>
      </c>
      <c r="I118" s="9">
        <v>0.2916666666666667</v>
      </c>
      <c r="J118" s="9">
        <v>0.6875</v>
      </c>
      <c r="K118" s="9"/>
    </row>
    <row r="119" hidden="1">
      <c r="A119" s="5" t="str">
        <f>IFNA(VLOOKUP(D119,'Location Table'!A:C,2,false),"")</f>
        <v>2898c1f0-4620-11ed-a0dd-506b8dbc8dfb</v>
      </c>
      <c r="B119" s="5" t="str">
        <f>IFNA(VLOOKUP(F119,Driver!A:C,2,false),"")</f>
        <v>a9bf91b4-00e4-11f1-9378-fa163ee8d8ac</v>
      </c>
      <c r="C119" s="5" t="str">
        <f>IFNA(VLOOKUP(E119,'Location Table'!A:C,2,false),"")</f>
        <v/>
      </c>
      <c r="D119" s="6" t="s">
        <v>141</v>
      </c>
      <c r="E119" s="6"/>
      <c r="F119" s="6" t="s">
        <v>142</v>
      </c>
      <c r="G119" s="7" t="str">
        <f>IFNA(VLOOKUP(F119,Driver!A:D,4,false),"")</f>
        <v/>
      </c>
      <c r="H119" s="8" t="str">
        <f>IFNA(VLOOKUP(F119,Driver!A:C,3,false),"")</f>
        <v/>
      </c>
      <c r="I119" s="9">
        <v>0.2916666666666667</v>
      </c>
      <c r="J119" s="9">
        <v>0.6041666666666666</v>
      </c>
      <c r="K119" s="9"/>
    </row>
    <row r="120" hidden="1">
      <c r="A120" s="5" t="str">
        <f>IFNA(VLOOKUP(D120,'Location Table'!A:C,2,false),"")</f>
        <v>92ee6dfe-8f78-11ef-a014-506b8d9879b5</v>
      </c>
      <c r="B120" s="5" t="str">
        <f>IFNA(VLOOKUP(F120,Driver!A:C,2,false),"")</f>
        <v>d2c2d39e-11e4-11f1-9378-fa163ee8d8ac</v>
      </c>
      <c r="C120" s="5" t="str">
        <f>IFNA(VLOOKUP(E120,'Location Table'!A:C,2,false),"")</f>
        <v/>
      </c>
      <c r="D120" s="6" t="s">
        <v>143</v>
      </c>
      <c r="E120" s="6"/>
      <c r="F120" s="6" t="s">
        <v>88</v>
      </c>
      <c r="G120" s="7" t="str">
        <f>IFNA(VLOOKUP(F120,Driver!A:D,4,false),"")</f>
        <v>1980698793628880414:XXMGIAegigeHesHcPUQpIcnMCwhigvPUATFrPyRHiqIZqTwmvWiXbUzfDhivxPcl</v>
      </c>
      <c r="H120" s="8" t="str">
        <f>IFNA(VLOOKUP(F120,Driver!A:C,3,false),"")</f>
        <v>59a2bfce5a81b3dfea90</v>
      </c>
      <c r="I120" s="9">
        <v>0.2916666666666667</v>
      </c>
      <c r="J120" s="9">
        <v>0.6875</v>
      </c>
      <c r="K120" s="9"/>
    </row>
    <row r="121" hidden="1">
      <c r="A121" s="5" t="str">
        <f>IFNA(VLOOKUP(D121,'Location Table'!A:C,2,false),"")</f>
        <v>311a9ec8-4bf6-11f0-a1cc-506b8d982279</v>
      </c>
      <c r="B121" s="5" t="str">
        <f>IFNA(VLOOKUP(F121,Driver!A:C,2,false),"")</f>
        <v>d2c2d39e-11e4-11f1-9378-fa163ee8d8ac</v>
      </c>
      <c r="C121" s="5" t="str">
        <f>IFNA(VLOOKUP(E121,'Location Table'!A:C,2,false),"")</f>
        <v/>
      </c>
      <c r="D121" s="6" t="s">
        <v>144</v>
      </c>
      <c r="E121" s="6"/>
      <c r="F121" s="6" t="s">
        <v>88</v>
      </c>
      <c r="G121" s="7" t="str">
        <f>IFNA(VLOOKUP(F121,Driver!A:D,4,false),"")</f>
        <v>1980698793628880414:XXMGIAegigeHesHcPUQpIcnMCwhigvPUATFrPyRHiqIZqTwmvWiXbUzfDhivxPcl</v>
      </c>
      <c r="H121" s="8" t="str">
        <f>IFNA(VLOOKUP(F121,Driver!A:C,3,false),"")</f>
        <v>59a2bfce5a81b3dfea90</v>
      </c>
      <c r="I121" s="9">
        <v>0.2916666666666667</v>
      </c>
      <c r="J121" s="9">
        <v>0.6875</v>
      </c>
      <c r="K121" s="9"/>
    </row>
    <row r="122" hidden="1">
      <c r="A122" s="5" t="str">
        <f>IFNA(VLOOKUP(D122,'Location Table'!A:C,2,false),"")</f>
        <v>87e34800-4621-11ed-8bd3-506b8dbc8dfb</v>
      </c>
      <c r="B122" s="5" t="str">
        <f>IFNA(VLOOKUP(F122,Driver!A:C,2,false),"")</f>
        <v>d2c2d39e-11e4-11f1-9378-fa163ee8d8ac</v>
      </c>
      <c r="C122" s="5" t="str">
        <f>IFNA(VLOOKUP(E122,'Location Table'!A:C,2,false),"")</f>
        <v/>
      </c>
      <c r="D122" s="6" t="s">
        <v>145</v>
      </c>
      <c r="E122" s="6"/>
      <c r="F122" s="6" t="s">
        <v>88</v>
      </c>
      <c r="G122" s="7" t="str">
        <f>IFNA(VLOOKUP(F122,Driver!A:D,4,false),"")</f>
        <v>1980698793628880414:XXMGIAegigeHesHcPUQpIcnMCwhigvPUATFrPyRHiqIZqTwmvWiXbUzfDhivxPcl</v>
      </c>
      <c r="H122" s="8" t="str">
        <f>IFNA(VLOOKUP(F122,Driver!A:C,3,false),"")</f>
        <v>59a2bfce5a81b3dfea90</v>
      </c>
      <c r="I122" s="9">
        <v>0.2916666666666667</v>
      </c>
      <c r="J122" s="9">
        <v>0.6875</v>
      </c>
      <c r="K122" s="9"/>
    </row>
    <row r="123" hidden="1">
      <c r="A123" s="5" t="str">
        <f>IFNA(VLOOKUP(D123,'Location Table'!A:C,2,false),"")</f>
        <v>619c943a-4621-11ed-a633-506b8dbc8dfb</v>
      </c>
      <c r="B123" s="5" t="str">
        <f>IFNA(VLOOKUP(F123,Driver!A:C,2,false),"")</f>
        <v>d2c2d39e-11e4-11f1-9378-fa163ee8d8ac</v>
      </c>
      <c r="C123" s="5" t="str">
        <f>IFNA(VLOOKUP(E123,'Location Table'!A:C,2,false),"")</f>
        <v/>
      </c>
      <c r="D123" s="6" t="s">
        <v>146</v>
      </c>
      <c r="E123" s="6"/>
      <c r="F123" s="6" t="s">
        <v>88</v>
      </c>
      <c r="G123" s="7" t="str">
        <f>IFNA(VLOOKUP(F123,Driver!A:D,4,false),"")</f>
        <v>1980698793628880414:XXMGIAegigeHesHcPUQpIcnMCwhigvPUATFrPyRHiqIZqTwmvWiXbUzfDhivxPcl</v>
      </c>
      <c r="H123" s="8" t="str">
        <f>IFNA(VLOOKUP(F123,Driver!A:C,3,false),"")</f>
        <v>59a2bfce5a81b3dfea90</v>
      </c>
      <c r="I123" s="9">
        <v>0.2916666666666667</v>
      </c>
      <c r="J123" s="9">
        <v>0.6875</v>
      </c>
      <c r="K123" s="9"/>
    </row>
    <row r="124" hidden="1">
      <c r="A124" s="5" t="str">
        <f>IFNA(VLOOKUP(D124,'Location Table'!A:C,2,false),"")</f>
        <v>6173b692-9421-11ee-8e63-506b8d9879b5</v>
      </c>
      <c r="B124" s="5" t="str">
        <f>IFNA(VLOOKUP(F124,Driver!A:C,2,false),"")</f>
        <v>d2c2d39e-11e4-11f1-9378-fa163ee8d8ac</v>
      </c>
      <c r="C124" s="5" t="str">
        <f>IFNA(VLOOKUP(E124,'Location Table'!A:C,2,false),"")</f>
        <v/>
      </c>
      <c r="D124" s="6" t="s">
        <v>147</v>
      </c>
      <c r="E124" s="6"/>
      <c r="F124" s="6" t="s">
        <v>88</v>
      </c>
      <c r="G124" s="7" t="str">
        <f>IFNA(VLOOKUP(F124,Driver!A:D,4,false),"")</f>
        <v>1980698793628880414:XXMGIAegigeHesHcPUQpIcnMCwhigvPUATFrPyRHiqIZqTwmvWiXbUzfDhivxPcl</v>
      </c>
      <c r="H124" s="8" t="str">
        <f>IFNA(VLOOKUP(F124,Driver!A:C,3,false),"")</f>
        <v>59a2bfce5a81b3dfea90</v>
      </c>
      <c r="I124" s="9">
        <v>0.2916666666666667</v>
      </c>
      <c r="J124" s="9">
        <v>0.6875</v>
      </c>
      <c r="K124" s="9"/>
    </row>
    <row r="125" hidden="1">
      <c r="A125" s="5" t="str">
        <f>IFNA(VLOOKUP(D125,'Location Table'!A:C,2,false),"")</f>
        <v>771aedca-4621-11ed-9b84-506b8dbc8dfb</v>
      </c>
      <c r="B125" s="5" t="str">
        <f>IFNA(VLOOKUP(F125,Driver!A:C,2,false),"")</f>
        <v>d2c2d39e-11e4-11f1-9378-fa163ee8d8ac</v>
      </c>
      <c r="C125" s="5" t="str">
        <f>IFNA(VLOOKUP(E125,'Location Table'!A:C,2,false),"")</f>
        <v/>
      </c>
      <c r="D125" s="6" t="s">
        <v>148</v>
      </c>
      <c r="E125" s="6"/>
      <c r="F125" s="6" t="s">
        <v>88</v>
      </c>
      <c r="G125" s="7" t="str">
        <f>IFNA(VLOOKUP(F125,Driver!A:D,4,false),"")</f>
        <v>1980698793628880414:XXMGIAegigeHesHcPUQpIcnMCwhigvPUATFrPyRHiqIZqTwmvWiXbUzfDhivxPcl</v>
      </c>
      <c r="H125" s="8" t="str">
        <f>IFNA(VLOOKUP(F125,Driver!A:C,3,false),"")</f>
        <v>59a2bfce5a81b3dfea90</v>
      </c>
      <c r="I125" s="9">
        <v>0.2916666666666667</v>
      </c>
      <c r="J125" s="9">
        <v>0.6875</v>
      </c>
      <c r="K125" s="9"/>
    </row>
    <row r="126" hidden="1">
      <c r="A126" s="5" t="str">
        <f>IFNA(VLOOKUP(D126,'Location Table'!A:C,2,false),"")</f>
        <v>5572588a-4fb5-11ef-a663-506b8d9879b5</v>
      </c>
      <c r="B126" s="5" t="str">
        <f>IFNA(VLOOKUP(F126,Driver!A:C,2,false),"")</f>
        <v>d2c2d39e-11e4-11f1-9378-fa163ee8d8ac</v>
      </c>
      <c r="C126" s="5" t="str">
        <f>IFNA(VLOOKUP(E126,'Location Table'!A:C,2,false),"")</f>
        <v/>
      </c>
      <c r="D126" s="6" t="s">
        <v>149</v>
      </c>
      <c r="E126" s="6"/>
      <c r="F126" s="6" t="s">
        <v>88</v>
      </c>
      <c r="G126" s="7" t="str">
        <f>IFNA(VLOOKUP(F126,Driver!A:D,4,false),"")</f>
        <v>1980698793628880414:XXMGIAegigeHesHcPUQpIcnMCwhigvPUATFrPyRHiqIZqTwmvWiXbUzfDhivxPcl</v>
      </c>
      <c r="H126" s="8" t="str">
        <f>IFNA(VLOOKUP(F126,Driver!A:C,3,false),"")</f>
        <v>59a2bfce5a81b3dfea90</v>
      </c>
      <c r="I126" s="9">
        <v>0.2916666666666667</v>
      </c>
      <c r="J126" s="9">
        <v>0.6875</v>
      </c>
      <c r="K126" s="9"/>
    </row>
    <row r="127" hidden="1">
      <c r="A127" s="5" t="str">
        <f>IFNA(VLOOKUP(D127,'Location Table'!A:C,2,false),"")</f>
        <v>f26c8e60-8b27-11ee-b474-506b8d9879b5</v>
      </c>
      <c r="B127" s="5" t="str">
        <f>IFNA(VLOOKUP(F127,Driver!A:C,2,false),"")</f>
        <v>d2c2d39e-11e4-11f1-9378-fa163ee8d8ac</v>
      </c>
      <c r="C127" s="5" t="str">
        <f>IFNA(VLOOKUP(E127,'Location Table'!A:C,2,false),"")</f>
        <v/>
      </c>
      <c r="D127" s="6" t="s">
        <v>150</v>
      </c>
      <c r="E127" s="6"/>
      <c r="F127" s="6" t="s">
        <v>88</v>
      </c>
      <c r="G127" s="7" t="str">
        <f>IFNA(VLOOKUP(F127,Driver!A:D,4,false),"")</f>
        <v>1980698793628880414:XXMGIAegigeHesHcPUQpIcnMCwhigvPUATFrPyRHiqIZqTwmvWiXbUzfDhivxPcl</v>
      </c>
      <c r="H127" s="8" t="str">
        <f>IFNA(VLOOKUP(F127,Driver!A:C,3,false),"")</f>
        <v>59a2bfce5a81b3dfea90</v>
      </c>
      <c r="I127" s="9">
        <v>0.2916666666666667</v>
      </c>
      <c r="J127" s="9">
        <v>0.6875</v>
      </c>
      <c r="K127" s="9"/>
    </row>
    <row r="128" hidden="1">
      <c r="A128" s="5" t="str">
        <f>IFNA(VLOOKUP(D128,'Location Table'!A:C,2,false),"")</f>
        <v>1a92d838-9959-11ee-b37b-506b8d9879b5</v>
      </c>
      <c r="B128" s="5" t="str">
        <f>IFNA(VLOOKUP(F128,Driver!A:C,2,false),"")</f>
        <v>d2c2d39e-11e4-11f1-9378-fa163ee8d8ac</v>
      </c>
      <c r="C128" s="5" t="str">
        <f>IFNA(VLOOKUP(E128,'Location Table'!A:C,2,false),"")</f>
        <v/>
      </c>
      <c r="D128" s="6" t="s">
        <v>151</v>
      </c>
      <c r="E128" s="6"/>
      <c r="F128" s="6" t="s">
        <v>88</v>
      </c>
      <c r="G128" s="7" t="str">
        <f>IFNA(VLOOKUP(F128,Driver!A:D,4,false),"")</f>
        <v>1980698793628880414:XXMGIAegigeHesHcPUQpIcnMCwhigvPUATFrPyRHiqIZqTwmvWiXbUzfDhivxPcl</v>
      </c>
      <c r="H128" s="8" t="str">
        <f>IFNA(VLOOKUP(F128,Driver!A:C,3,false),"")</f>
        <v>59a2bfce5a81b3dfea90</v>
      </c>
      <c r="I128" s="9">
        <v>0.2916666666666667</v>
      </c>
      <c r="J128" s="9">
        <v>0.6875</v>
      </c>
      <c r="K128" s="9"/>
    </row>
    <row r="129" hidden="1">
      <c r="A129" s="5" t="str">
        <f>IFNA(VLOOKUP(D129,'Location Table'!A:C,2,false),"")</f>
        <v>79fa44ce-87aa-11ef-b366-506b8d9879b5</v>
      </c>
      <c r="B129" s="5" t="str">
        <f>IFNA(VLOOKUP(F129,Driver!A:C,2,false),"")</f>
        <v>7898dd6c-816d-11f0-9f34-506b8d982279</v>
      </c>
      <c r="C129" s="5" t="str">
        <f>IFNA(VLOOKUP(E129,'Location Table'!A:C,2,false),"")</f>
        <v/>
      </c>
      <c r="D129" s="6" t="s">
        <v>74</v>
      </c>
      <c r="E129" s="6"/>
      <c r="F129" s="6" t="s">
        <v>15</v>
      </c>
      <c r="G129" s="7" t="str">
        <f>IFNA(VLOOKUP(F129,Driver!A:D,4,false),"")</f>
        <v>1980698793628880414:XXMGIAegigeHesHcPUQpIcnMCwhigvPUATFrPyRHiqIZqTwmvWiXbUzfDhivxPcl</v>
      </c>
      <c r="H129" s="8" t="str">
        <f>IFNA(VLOOKUP(F129,Driver!A:C,3,false),"")</f>
        <v>011b70c8f4801dde4491</v>
      </c>
      <c r="I129" s="9">
        <v>0.2916666666666667</v>
      </c>
      <c r="J129" s="9">
        <v>0.6875</v>
      </c>
      <c r="K129" s="9"/>
    </row>
    <row r="130" hidden="1">
      <c r="A130" s="5" t="str">
        <f>IFNA(VLOOKUP(D130,'Location Table'!A:C,2,false),"")</f>
        <v>10cc36b6-6a99-11ef-bf04-506b8d9879b5</v>
      </c>
      <c r="B130" s="5" t="str">
        <f>IFNA(VLOOKUP(F130,Driver!A:C,2,false),"")</f>
        <v>7898dd6c-816d-11f0-9f34-506b8d982279</v>
      </c>
      <c r="C130" s="5" t="str">
        <f>IFNA(VLOOKUP(E130,'Location Table'!A:C,2,false),"")</f>
        <v/>
      </c>
      <c r="D130" s="6" t="s">
        <v>75</v>
      </c>
      <c r="E130" s="6"/>
      <c r="F130" s="6" t="s">
        <v>15</v>
      </c>
      <c r="G130" s="7" t="str">
        <f>IFNA(VLOOKUP(F130,Driver!A:D,4,false),"")</f>
        <v>1980698793628880414:XXMGIAegigeHesHcPUQpIcnMCwhigvPUATFrPyRHiqIZqTwmvWiXbUzfDhivxPcl</v>
      </c>
      <c r="H130" s="8" t="str">
        <f>IFNA(VLOOKUP(F130,Driver!A:C,3,false),"")</f>
        <v>011b70c8f4801dde4491</v>
      </c>
      <c r="I130" s="9">
        <v>0.2916666666666667</v>
      </c>
      <c r="J130" s="9">
        <v>0.6875</v>
      </c>
      <c r="K130" s="9"/>
    </row>
    <row r="131" hidden="1">
      <c r="A131" s="5" t="str">
        <f>IFNA(VLOOKUP(D131,'Location Table'!A:C,2,false),"")</f>
        <v>ffef10f0-90ed-11ee-8f8f-506b8d9879b5</v>
      </c>
      <c r="B131" s="5" t="str">
        <f>IFNA(VLOOKUP(F131,Driver!A:C,2,false),"")</f>
        <v>d2c2d39e-11e4-11f1-9378-fa163ee8d8ac</v>
      </c>
      <c r="C131" s="5" t="str">
        <f>IFNA(VLOOKUP(E131,'Location Table'!A:C,2,false),"")</f>
        <v/>
      </c>
      <c r="D131" s="6" t="s">
        <v>152</v>
      </c>
      <c r="E131" s="6"/>
      <c r="F131" s="6" t="s">
        <v>88</v>
      </c>
      <c r="G131" s="7" t="str">
        <f>IFNA(VLOOKUP(F131,Driver!A:D,4,false),"")</f>
        <v>1980698793628880414:XXMGIAegigeHesHcPUQpIcnMCwhigvPUATFrPyRHiqIZqTwmvWiXbUzfDhivxPcl</v>
      </c>
      <c r="H131" s="8" t="str">
        <f>IFNA(VLOOKUP(F131,Driver!A:C,3,false),"")</f>
        <v>59a2bfce5a81b3dfea90</v>
      </c>
      <c r="I131" s="9">
        <v>0.2916666666666667</v>
      </c>
      <c r="J131" s="9">
        <v>0.6875</v>
      </c>
      <c r="K131" s="9"/>
    </row>
    <row r="132" hidden="1">
      <c r="A132" s="5" t="str">
        <f>IFNA(VLOOKUP(D132,'Location Table'!A:C,2,false),"")</f>
        <v>611f696c-17c0-11ee-8d73-506b8d9879b5</v>
      </c>
      <c r="B132" s="5" t="str">
        <f>IFNA(VLOOKUP(F132,Driver!A:C,2,false),"")</f>
        <v>d2c2d39e-11e4-11f1-9378-fa163ee8d8ac</v>
      </c>
      <c r="C132" s="5" t="str">
        <f>IFNA(VLOOKUP(E132,'Location Table'!A:C,2,false),"")</f>
        <v/>
      </c>
      <c r="D132" s="6" t="s">
        <v>153</v>
      </c>
      <c r="E132" s="6"/>
      <c r="F132" s="6" t="s">
        <v>88</v>
      </c>
      <c r="G132" s="7" t="str">
        <f>IFNA(VLOOKUP(F132,Driver!A:D,4,false),"")</f>
        <v>1980698793628880414:XXMGIAegigeHesHcPUQpIcnMCwhigvPUATFrPyRHiqIZqTwmvWiXbUzfDhivxPcl</v>
      </c>
      <c r="H132" s="8" t="str">
        <f>IFNA(VLOOKUP(F132,Driver!A:C,3,false),"")</f>
        <v>59a2bfce5a81b3dfea90</v>
      </c>
      <c r="I132" s="9">
        <v>0.2916666666666667</v>
      </c>
      <c r="J132" s="9">
        <v>0.6875</v>
      </c>
      <c r="K132" s="9"/>
    </row>
    <row r="133" hidden="1">
      <c r="A133" s="5" t="str">
        <f>IFNA(VLOOKUP(D133,'Location Table'!A:C,2,false),"")</f>
        <v>3f09fff4-a555-11ee-9113-506b8d9879b5</v>
      </c>
      <c r="B133" s="5" t="str">
        <f>IFNA(VLOOKUP(F133,Driver!A:C,2,false),"")</f>
        <v>d2c2d39e-11e4-11f1-9378-fa163ee8d8ac</v>
      </c>
      <c r="C133" s="5" t="str">
        <f>IFNA(VLOOKUP(E133,'Location Table'!A:C,2,false),"")</f>
        <v/>
      </c>
      <c r="D133" s="6" t="s">
        <v>154</v>
      </c>
      <c r="E133" s="6"/>
      <c r="F133" s="6" t="s">
        <v>88</v>
      </c>
      <c r="G133" s="7" t="str">
        <f>IFNA(VLOOKUP(F133,Driver!A:D,4,false),"")</f>
        <v>1980698793628880414:XXMGIAegigeHesHcPUQpIcnMCwhigvPUATFrPyRHiqIZqTwmvWiXbUzfDhivxPcl</v>
      </c>
      <c r="H133" s="8" t="str">
        <f>IFNA(VLOOKUP(F133,Driver!A:C,3,false),"")</f>
        <v>59a2bfce5a81b3dfea90</v>
      </c>
      <c r="I133" s="9">
        <v>0.2916666666666667</v>
      </c>
      <c r="J133" s="9">
        <v>0.6875</v>
      </c>
      <c r="K133" s="9"/>
    </row>
    <row r="134" hidden="1">
      <c r="A134" s="5" t="str">
        <f>IFNA(VLOOKUP(D134,'Location Table'!A:C,2,false),"")</f>
        <v>8d89004c-665a-11ee-99cd-506b8d9879b5</v>
      </c>
      <c r="B134" s="5" t="str">
        <f>IFNA(VLOOKUP(F134,Driver!A:C,2,false),"")</f>
        <v>d2c2d39e-11e4-11f1-9378-fa163ee8d8ac</v>
      </c>
      <c r="C134" s="5" t="str">
        <f>IFNA(VLOOKUP(E134,'Location Table'!A:C,2,false),"")</f>
        <v/>
      </c>
      <c r="D134" s="6" t="s">
        <v>155</v>
      </c>
      <c r="E134" s="6"/>
      <c r="F134" s="6" t="s">
        <v>88</v>
      </c>
      <c r="G134" s="7" t="str">
        <f>IFNA(VLOOKUP(F134,Driver!A:D,4,false),"")</f>
        <v>1980698793628880414:XXMGIAegigeHesHcPUQpIcnMCwhigvPUATFrPyRHiqIZqTwmvWiXbUzfDhivxPcl</v>
      </c>
      <c r="H134" s="8" t="str">
        <f>IFNA(VLOOKUP(F134,Driver!A:C,3,false),"")</f>
        <v>59a2bfce5a81b3dfea90</v>
      </c>
      <c r="I134" s="9">
        <v>0.2916666666666667</v>
      </c>
      <c r="J134" s="9">
        <v>0.6875</v>
      </c>
      <c r="K134" s="9"/>
    </row>
    <row r="135" hidden="1">
      <c r="A135" s="5" t="str">
        <f>IFNA(VLOOKUP(D135,'Location Table'!A:C,2,false),"")</f>
        <v>3f0c5bb6-4b17-11ee-8b8e-506b8d9879b5</v>
      </c>
      <c r="B135" s="5" t="str">
        <f>IFNA(VLOOKUP(F135,Driver!A:C,2,false),"")</f>
        <v>d2c2d39e-11e4-11f1-9378-fa163ee8d8ac</v>
      </c>
      <c r="C135" s="5" t="str">
        <f>IFNA(VLOOKUP(E135,'Location Table'!A:C,2,false),"")</f>
        <v/>
      </c>
      <c r="D135" s="6" t="s">
        <v>156</v>
      </c>
      <c r="E135" s="6"/>
      <c r="F135" s="6" t="s">
        <v>88</v>
      </c>
      <c r="G135" s="7" t="str">
        <f>IFNA(VLOOKUP(F135,Driver!A:D,4,false),"")</f>
        <v>1980698793628880414:XXMGIAegigeHesHcPUQpIcnMCwhigvPUATFrPyRHiqIZqTwmvWiXbUzfDhivxPcl</v>
      </c>
      <c r="H135" s="8" t="str">
        <f>IFNA(VLOOKUP(F135,Driver!A:C,3,false),"")</f>
        <v>59a2bfce5a81b3dfea90</v>
      </c>
      <c r="I135" s="9">
        <v>0.2916666666666667</v>
      </c>
      <c r="J135" s="9">
        <v>0.6875</v>
      </c>
      <c r="K135" s="9"/>
    </row>
    <row r="136" hidden="1">
      <c r="A136" s="5" t="str">
        <f>IFNA(VLOOKUP(D136,'Location Table'!A:C,2,false),"")</f>
        <v>7a3b43a4-4a01-11ed-90e7-506b8dbc8dfb</v>
      </c>
      <c r="B136" s="5" t="str">
        <f>IFNA(VLOOKUP(F136,Driver!A:C,2,false),"")</f>
        <v>d2c2d39e-11e4-11f1-9378-fa163ee8d8ac</v>
      </c>
      <c r="C136" s="5" t="str">
        <f>IFNA(VLOOKUP(E136,'Location Table'!A:C,2,false),"")</f>
        <v/>
      </c>
      <c r="D136" s="6" t="s">
        <v>157</v>
      </c>
      <c r="E136" s="6"/>
      <c r="F136" s="6" t="s">
        <v>88</v>
      </c>
      <c r="G136" s="7" t="str">
        <f>IFNA(VLOOKUP(F136,Driver!A:D,4,false),"")</f>
        <v>1980698793628880414:XXMGIAegigeHesHcPUQpIcnMCwhigvPUATFrPyRHiqIZqTwmvWiXbUzfDhivxPcl</v>
      </c>
      <c r="H136" s="8" t="str">
        <f>IFNA(VLOOKUP(F136,Driver!A:C,3,false),"")</f>
        <v>59a2bfce5a81b3dfea90</v>
      </c>
      <c r="I136" s="9">
        <v>0.2916666666666667</v>
      </c>
      <c r="J136" s="9">
        <v>0.6875</v>
      </c>
      <c r="K136" s="9"/>
    </row>
    <row r="137" hidden="1">
      <c r="A137" s="5" t="str">
        <f>IFNA(VLOOKUP(D137,'Location Table'!A:C,2,false),"")</f>
        <v>a66000e2-5b3e-11ee-9f53-506b8d9879b5</v>
      </c>
      <c r="B137" s="5" t="str">
        <f>IFNA(VLOOKUP(F137,Driver!A:C,2,false),"")</f>
        <v>103090f4-37c8-11ed-9333-506b8dbc8dfb</v>
      </c>
      <c r="C137" s="5" t="str">
        <f>IFNA(VLOOKUP(E137,'Location Table'!A:C,2,false),"")</f>
        <v/>
      </c>
      <c r="D137" s="6" t="s">
        <v>158</v>
      </c>
      <c r="E137" s="6"/>
      <c r="F137" s="6" t="s">
        <v>130</v>
      </c>
      <c r="G137" s="7" t="str">
        <f>IFNA(VLOOKUP(F137,Driver!A:D,4,false),"")</f>
        <v>2160130926882687325:VSRHFZoYrhhtnecmAaOfmgvaKlfxBZEgxFxSbLPTAhfVwurTuJfQgOTrwyseeqJQ</v>
      </c>
      <c r="H137" s="8" t="str">
        <f>IFNA(VLOOKUP(F137,Driver!A:C,3,false),"")</f>
        <v>77085b30147bfd25a46a</v>
      </c>
      <c r="I137" s="9">
        <v>0.2916666666666667</v>
      </c>
      <c r="J137" s="9">
        <v>0.8541666666666666</v>
      </c>
      <c r="K137" s="9"/>
    </row>
    <row r="138" hidden="1">
      <c r="A138" s="5" t="str">
        <f>IFNA(VLOOKUP(D138,'Location Table'!A:C,2,false),"")</f>
        <v>bb407480-a12d-11ee-8943-506b8d9879b5</v>
      </c>
      <c r="B138" s="5" t="str">
        <f>IFNA(VLOOKUP(F138,Driver!A:C,2,false),"")</f>
        <v>103090f4-37c8-11ed-9333-506b8dbc8dfb</v>
      </c>
      <c r="C138" s="5" t="str">
        <f>IFNA(VLOOKUP(E138,'Location Table'!A:C,2,false),"")</f>
        <v/>
      </c>
      <c r="D138" s="6" t="s">
        <v>159</v>
      </c>
      <c r="E138" s="6"/>
      <c r="F138" s="6" t="s">
        <v>130</v>
      </c>
      <c r="G138" s="7" t="str">
        <f>IFNA(VLOOKUP(F138,Driver!A:D,4,false),"")</f>
        <v>2160130926882687325:VSRHFZoYrhhtnecmAaOfmgvaKlfxBZEgxFxSbLPTAhfVwurTuJfQgOTrwyseeqJQ</v>
      </c>
      <c r="H138" s="8" t="str">
        <f>IFNA(VLOOKUP(F138,Driver!A:C,3,false),"")</f>
        <v>77085b30147bfd25a46a</v>
      </c>
      <c r="I138" s="9">
        <v>0.2916666666666667</v>
      </c>
      <c r="J138" s="9">
        <v>0.8541666666666666</v>
      </c>
      <c r="K138" s="9"/>
    </row>
    <row r="139" hidden="1">
      <c r="A139" s="5" t="str">
        <f>IFNA(VLOOKUP(D139,'Location Table'!A:C,2,false),"")</f>
        <v>c3cce6a2-1626-11ee-a49d-506b8dbc8dfb</v>
      </c>
      <c r="B139" s="5" t="str">
        <f>IFNA(VLOOKUP(F139,Driver!A:C,2,false),"")</f>
        <v>103090f4-37c8-11ed-9333-506b8dbc8dfb</v>
      </c>
      <c r="C139" s="5" t="str">
        <f>IFNA(VLOOKUP(E139,'Location Table'!A:C,2,false),"")</f>
        <v/>
      </c>
      <c r="D139" s="6" t="s">
        <v>160</v>
      </c>
      <c r="E139" s="6"/>
      <c r="F139" s="6" t="s">
        <v>130</v>
      </c>
      <c r="G139" s="7" t="str">
        <f>IFNA(VLOOKUP(F139,Driver!A:D,4,false),"")</f>
        <v>2160130926882687325:VSRHFZoYrhhtnecmAaOfmgvaKlfxBZEgxFxSbLPTAhfVwurTuJfQgOTrwyseeqJQ</v>
      </c>
      <c r="H139" s="8" t="str">
        <f>IFNA(VLOOKUP(F139,Driver!A:C,3,false),"")</f>
        <v>77085b30147bfd25a46a</v>
      </c>
      <c r="I139" s="9">
        <v>0.2916666666666667</v>
      </c>
      <c r="J139" s="9">
        <v>0.8541666666666666</v>
      </c>
      <c r="K139" s="9"/>
    </row>
    <row r="140" hidden="1">
      <c r="A140" s="5" t="str">
        <f>IFNA(VLOOKUP(D140,'Location Table'!A:C,2,false),"")</f>
        <v>e891cc4c-0cb6-11ee-817a-506b8dbc8dfb</v>
      </c>
      <c r="B140" s="5" t="str">
        <f>IFNA(VLOOKUP(F140,Driver!A:C,2,false),"")</f>
        <v>103090f4-37c8-11ed-9333-506b8dbc8dfb</v>
      </c>
      <c r="C140" s="5" t="str">
        <f>IFNA(VLOOKUP(E140,'Location Table'!A:C,2,false),"")</f>
        <v/>
      </c>
      <c r="D140" s="6" t="s">
        <v>161</v>
      </c>
      <c r="E140" s="6"/>
      <c r="F140" s="6" t="s">
        <v>130</v>
      </c>
      <c r="G140" s="7" t="str">
        <f>IFNA(VLOOKUP(F140,Driver!A:D,4,false),"")</f>
        <v>2160130926882687325:VSRHFZoYrhhtnecmAaOfmgvaKlfxBZEgxFxSbLPTAhfVwurTuJfQgOTrwyseeqJQ</v>
      </c>
      <c r="H140" s="8" t="str">
        <f>IFNA(VLOOKUP(F140,Driver!A:C,3,false),"")</f>
        <v>77085b30147bfd25a46a</v>
      </c>
      <c r="I140" s="9">
        <v>0.2916666666666667</v>
      </c>
      <c r="J140" s="9">
        <v>0.8541666666666666</v>
      </c>
      <c r="K140" s="9"/>
    </row>
    <row r="141" hidden="1">
      <c r="A141" s="5" t="str">
        <f>IFNA(VLOOKUP(D141,'Location Table'!A:C,2,false),"")</f>
        <v>5f516146-4491-11ee-b228-506b8d9879b5</v>
      </c>
      <c r="B141" s="5" t="str">
        <f>IFNA(VLOOKUP(F141,Driver!A:C,2,false),"")</f>
        <v>103090f4-37c8-11ed-9333-506b8dbc8dfb</v>
      </c>
      <c r="C141" s="5" t="str">
        <f>IFNA(VLOOKUP(E141,'Location Table'!A:C,2,false),"")</f>
        <v/>
      </c>
      <c r="D141" s="6" t="s">
        <v>162</v>
      </c>
      <c r="E141" s="6"/>
      <c r="F141" s="6" t="s">
        <v>130</v>
      </c>
      <c r="G141" s="7" t="str">
        <f>IFNA(VLOOKUP(F141,Driver!A:D,4,false),"")</f>
        <v>2160130926882687325:VSRHFZoYrhhtnecmAaOfmgvaKlfxBZEgxFxSbLPTAhfVwurTuJfQgOTrwyseeqJQ</v>
      </c>
      <c r="H141" s="8" t="str">
        <f>IFNA(VLOOKUP(F141,Driver!A:C,3,false),"")</f>
        <v>77085b30147bfd25a46a</v>
      </c>
      <c r="I141" s="9">
        <v>0.2916666666666667</v>
      </c>
      <c r="J141" s="9">
        <v>0.8541666666666666</v>
      </c>
      <c r="K141" s="9"/>
    </row>
    <row r="142" hidden="1">
      <c r="A142" s="5" t="str">
        <f>IFNA(VLOOKUP(D142,'Location Table'!A:C,2,false),"")</f>
        <v>20f5f71e-174e-11ef-9485-506b8d9879b5</v>
      </c>
      <c r="B142" s="5" t="str">
        <f>IFNA(VLOOKUP(F142,Driver!A:C,2,false),"")</f>
        <v>103090f4-37c8-11ed-9333-506b8dbc8dfb</v>
      </c>
      <c r="C142" s="5" t="str">
        <f>IFNA(VLOOKUP(E142,'Location Table'!A:C,2,false),"")</f>
        <v/>
      </c>
      <c r="D142" s="6" t="s">
        <v>163</v>
      </c>
      <c r="E142" s="6"/>
      <c r="F142" s="6" t="s">
        <v>130</v>
      </c>
      <c r="G142" s="7" t="str">
        <f>IFNA(VLOOKUP(F142,Driver!A:D,4,false),"")</f>
        <v>2160130926882687325:VSRHFZoYrhhtnecmAaOfmgvaKlfxBZEgxFxSbLPTAhfVwurTuJfQgOTrwyseeqJQ</v>
      </c>
      <c r="H142" s="8" t="str">
        <f>IFNA(VLOOKUP(F142,Driver!A:C,3,false),"")</f>
        <v>77085b30147bfd25a46a</v>
      </c>
      <c r="I142" s="9">
        <v>0.2916666666666667</v>
      </c>
      <c r="J142" s="9">
        <v>0.8541666666666666</v>
      </c>
      <c r="K142" s="9"/>
    </row>
    <row r="143" hidden="1">
      <c r="A143" s="5" t="str">
        <f>IFNA(VLOOKUP(D143,'Location Table'!A:C,2,false),"")</f>
        <v>7fc74622-970a-11ee-ac7e-506b8d9879b5</v>
      </c>
      <c r="B143" s="5" t="str">
        <f>IFNA(VLOOKUP(F143,Driver!A:C,2,false),"")</f>
        <v>103090f4-37c8-11ed-9333-506b8dbc8dfb</v>
      </c>
      <c r="C143" s="5" t="str">
        <f>IFNA(VLOOKUP(E143,'Location Table'!A:C,2,false),"")</f>
        <v/>
      </c>
      <c r="D143" s="6" t="s">
        <v>164</v>
      </c>
      <c r="E143" s="6"/>
      <c r="F143" s="6" t="s">
        <v>130</v>
      </c>
      <c r="G143" s="7" t="str">
        <f>IFNA(VLOOKUP(F143,Driver!A:D,4,false),"")</f>
        <v>2160130926882687325:VSRHFZoYrhhtnecmAaOfmgvaKlfxBZEgxFxSbLPTAhfVwurTuJfQgOTrwyseeqJQ</v>
      </c>
      <c r="H143" s="8" t="str">
        <f>IFNA(VLOOKUP(F143,Driver!A:C,3,false),"")</f>
        <v>77085b30147bfd25a46a</v>
      </c>
      <c r="I143" s="9">
        <v>0.2916666666666667</v>
      </c>
      <c r="J143" s="9">
        <v>0.8541666666666666</v>
      </c>
      <c r="K143" s="9"/>
    </row>
    <row r="144" hidden="1">
      <c r="A144" s="5" t="str">
        <f>IFNA(VLOOKUP(D144,'Location Table'!A:C,2,false),"")</f>
        <v>723f537c-5f6f-11ef-9b17-506b8d9879b5</v>
      </c>
      <c r="B144" s="5" t="str">
        <f>IFNA(VLOOKUP(F144,Driver!A:C,2,false),"")</f>
        <v>103090f4-37c8-11ed-9333-506b8dbc8dfb</v>
      </c>
      <c r="C144" s="5" t="str">
        <f>IFNA(VLOOKUP(E144,'Location Table'!A:C,2,false),"")</f>
        <v/>
      </c>
      <c r="D144" s="6" t="s">
        <v>165</v>
      </c>
      <c r="E144" s="6"/>
      <c r="F144" s="6" t="s">
        <v>130</v>
      </c>
      <c r="G144" s="7" t="str">
        <f>IFNA(VLOOKUP(F144,Driver!A:D,4,false),"")</f>
        <v>2160130926882687325:VSRHFZoYrhhtnecmAaOfmgvaKlfxBZEgxFxSbLPTAhfVwurTuJfQgOTrwyseeqJQ</v>
      </c>
      <c r="H144" s="8" t="str">
        <f>IFNA(VLOOKUP(F144,Driver!A:C,3,false),"")</f>
        <v>77085b30147bfd25a46a</v>
      </c>
      <c r="I144" s="9">
        <v>0.2916666666666667</v>
      </c>
      <c r="J144" s="9">
        <v>0.8541666666666666</v>
      </c>
      <c r="K144" s="9"/>
    </row>
    <row r="145" hidden="1">
      <c r="A145" s="5" t="str">
        <f>IFNA(VLOOKUP(D145,'Location Table'!A:C,2,false),"")</f>
        <v>81a847dc-cb8f-11f0-803a-506b8d982279</v>
      </c>
      <c r="B145" s="5" t="str">
        <f>IFNA(VLOOKUP(F145,Driver!A:C,2,false),"")</f>
        <v>103090f4-37c8-11ed-9333-506b8dbc8dfb</v>
      </c>
      <c r="C145" s="5" t="str">
        <f>IFNA(VLOOKUP(E145,'Location Table'!A:C,2,false),"")</f>
        <v/>
      </c>
      <c r="D145" s="6" t="s">
        <v>166</v>
      </c>
      <c r="E145" s="6"/>
      <c r="F145" s="6" t="s">
        <v>130</v>
      </c>
      <c r="G145" s="7" t="str">
        <f>IFNA(VLOOKUP(F145,Driver!A:D,4,false),"")</f>
        <v>2160130926882687325:VSRHFZoYrhhtnecmAaOfmgvaKlfxBZEgxFxSbLPTAhfVwurTuJfQgOTrwyseeqJQ</v>
      </c>
      <c r="H145" s="8" t="str">
        <f>IFNA(VLOOKUP(F145,Driver!A:C,3,false),"")</f>
        <v>77085b30147bfd25a46a</v>
      </c>
      <c r="I145" s="9">
        <v>0.2916666666666667</v>
      </c>
      <c r="J145" s="9">
        <v>0.8541666666666666</v>
      </c>
      <c r="K145" s="9"/>
    </row>
    <row r="146" hidden="1">
      <c r="A146" s="5" t="str">
        <f>IFNA(VLOOKUP(D146,'Location Table'!A:C,2,false),"")</f>
        <v>3b2d75d0-727e-11f0-adca-506b8d982279</v>
      </c>
      <c r="B146" s="5" t="str">
        <f>IFNA(VLOOKUP(F146,Driver!A:C,2,false),"")</f>
        <v>103090f4-37c8-11ed-9333-506b8dbc8dfb</v>
      </c>
      <c r="C146" s="5" t="str">
        <f>IFNA(VLOOKUP(E146,'Location Table'!A:C,2,false),"")</f>
        <v/>
      </c>
      <c r="D146" s="6" t="s">
        <v>167</v>
      </c>
      <c r="E146" s="6"/>
      <c r="F146" s="6" t="s">
        <v>130</v>
      </c>
      <c r="G146" s="7" t="str">
        <f>IFNA(VLOOKUP(F146,Driver!A:D,4,false),"")</f>
        <v>2160130926882687325:VSRHFZoYrhhtnecmAaOfmgvaKlfxBZEgxFxSbLPTAhfVwurTuJfQgOTrwyseeqJQ</v>
      </c>
      <c r="H146" s="8" t="str">
        <f>IFNA(VLOOKUP(F146,Driver!A:C,3,false),"")</f>
        <v>77085b30147bfd25a46a</v>
      </c>
      <c r="I146" s="9">
        <v>0.2916666666666667</v>
      </c>
      <c r="J146" s="9">
        <v>0.8541666666666666</v>
      </c>
      <c r="K146" s="9"/>
    </row>
    <row r="147" hidden="1">
      <c r="A147" s="5" t="str">
        <f>IFNA(VLOOKUP(D147,'Location Table'!A:C,2,false),"")</f>
        <v>b14bc54a-842e-11ee-a982-506b8d9879b5</v>
      </c>
      <c r="B147" s="5" t="str">
        <f>IFNA(VLOOKUP(F147,Driver!A:C,2,false),"")</f>
        <v>103090f4-37c8-11ed-9333-506b8dbc8dfb</v>
      </c>
      <c r="C147" s="5" t="str">
        <f>IFNA(VLOOKUP(E147,'Location Table'!A:C,2,false),"")</f>
        <v/>
      </c>
      <c r="D147" s="6" t="s">
        <v>168</v>
      </c>
      <c r="E147" s="6"/>
      <c r="F147" s="6" t="s">
        <v>130</v>
      </c>
      <c r="G147" s="7" t="str">
        <f>IFNA(VLOOKUP(F147,Driver!A:D,4,false),"")</f>
        <v>2160130926882687325:VSRHFZoYrhhtnecmAaOfmgvaKlfxBZEgxFxSbLPTAhfVwurTuJfQgOTrwyseeqJQ</v>
      </c>
      <c r="H147" s="8" t="str">
        <f>IFNA(VLOOKUP(F147,Driver!A:C,3,false),"")</f>
        <v>77085b30147bfd25a46a</v>
      </c>
      <c r="I147" s="9">
        <v>0.2916666666666667</v>
      </c>
      <c r="J147" s="9">
        <v>0.8541666666666666</v>
      </c>
      <c r="K147" s="9"/>
    </row>
    <row r="148" hidden="1">
      <c r="A148" s="5" t="str">
        <f>IFNA(VLOOKUP(D148,'Location Table'!A:C,2,false),"")</f>
        <v>280c8a50-4735-11f0-ad45-506b8d982279</v>
      </c>
      <c r="B148" s="5" t="str">
        <f>IFNA(VLOOKUP(F148,Driver!A:C,2,false),"")</f>
        <v>103090f4-37c8-11ed-9333-506b8dbc8dfb</v>
      </c>
      <c r="C148" s="5" t="str">
        <f>IFNA(VLOOKUP(E148,'Location Table'!A:C,2,false),"")</f>
        <v/>
      </c>
      <c r="D148" s="6" t="s">
        <v>169</v>
      </c>
      <c r="E148" s="6"/>
      <c r="F148" s="6" t="s">
        <v>130</v>
      </c>
      <c r="G148" s="7" t="str">
        <f>IFNA(VLOOKUP(F148,Driver!A:D,4,false),"")</f>
        <v>2160130926882687325:VSRHFZoYrhhtnecmAaOfmgvaKlfxBZEgxFxSbLPTAhfVwurTuJfQgOTrwyseeqJQ</v>
      </c>
      <c r="H148" s="8" t="str">
        <f>IFNA(VLOOKUP(F148,Driver!A:C,3,false),"")</f>
        <v>77085b30147bfd25a46a</v>
      </c>
      <c r="I148" s="9">
        <v>0.2916666666666667</v>
      </c>
      <c r="J148" s="9">
        <v>0.8541666666666666</v>
      </c>
      <c r="K148" s="9"/>
    </row>
    <row r="149" hidden="1">
      <c r="A149" s="5" t="str">
        <f>IFNA(VLOOKUP(D149,'Location Table'!A:C,2,false),"")</f>
        <v>62622bee-3b81-11ef-8ea2-506b8d9879b5</v>
      </c>
      <c r="B149" s="5" t="str">
        <f>IFNA(VLOOKUP(F149,Driver!A:C,2,false),"")</f>
        <v>103090f4-37c8-11ed-9333-506b8dbc8dfb</v>
      </c>
      <c r="C149" s="5" t="str">
        <f>IFNA(VLOOKUP(E149,'Location Table'!A:C,2,false),"")</f>
        <v/>
      </c>
      <c r="D149" s="6" t="s">
        <v>170</v>
      </c>
      <c r="E149" s="6"/>
      <c r="F149" s="6" t="s">
        <v>130</v>
      </c>
      <c r="G149" s="7" t="str">
        <f>IFNA(VLOOKUP(F149,Driver!A:D,4,false),"")</f>
        <v>2160130926882687325:VSRHFZoYrhhtnecmAaOfmgvaKlfxBZEgxFxSbLPTAhfVwurTuJfQgOTrwyseeqJQ</v>
      </c>
      <c r="H149" s="8" t="str">
        <f>IFNA(VLOOKUP(F149,Driver!A:C,3,false),"")</f>
        <v>77085b30147bfd25a46a</v>
      </c>
      <c r="I149" s="9">
        <v>0.2916666666666667</v>
      </c>
      <c r="J149" s="9">
        <v>0.8541666666666666</v>
      </c>
      <c r="K149" s="9"/>
    </row>
    <row r="150" hidden="1">
      <c r="A150" s="5" t="str">
        <f>IFNA(VLOOKUP(D150,'Location Table'!A:C,2,false),"")</f>
        <v>9a5df978-3555-11f0-a64b-506b8d982279</v>
      </c>
      <c r="B150" s="5" t="str">
        <f>IFNA(VLOOKUP(F150,Driver!A:C,2,false),"")</f>
        <v>103090f4-37c8-11ed-9333-506b8dbc8dfb</v>
      </c>
      <c r="C150" s="5" t="str">
        <f>IFNA(VLOOKUP(E150,'Location Table'!A:C,2,false),"")</f>
        <v/>
      </c>
      <c r="D150" s="6" t="s">
        <v>171</v>
      </c>
      <c r="E150" s="6"/>
      <c r="F150" s="6" t="s">
        <v>130</v>
      </c>
      <c r="G150" s="7" t="str">
        <f>IFNA(VLOOKUP(F150,Driver!A:D,4,false),"")</f>
        <v>2160130926882687325:VSRHFZoYrhhtnecmAaOfmgvaKlfxBZEgxFxSbLPTAhfVwurTuJfQgOTrwyseeqJQ</v>
      </c>
      <c r="H150" s="8" t="str">
        <f>IFNA(VLOOKUP(F150,Driver!A:C,3,false),"")</f>
        <v>77085b30147bfd25a46a</v>
      </c>
      <c r="I150" s="9">
        <v>0.2916666666666667</v>
      </c>
      <c r="J150" s="9">
        <v>0.8541666666666666</v>
      </c>
      <c r="K150" s="9"/>
    </row>
    <row r="151" hidden="1">
      <c r="A151" s="5" t="str">
        <f>IFNA(VLOOKUP(D151,'Location Table'!A:C,2,false),"")</f>
        <v>3845f552-092b-11f0-8f8e-506b8d982279</v>
      </c>
      <c r="B151" s="5" t="str">
        <f>IFNA(VLOOKUP(F151,Driver!A:C,2,false),"")</f>
        <v>103090f4-37c8-11ed-9333-506b8dbc8dfb</v>
      </c>
      <c r="C151" s="5" t="str">
        <f>IFNA(VLOOKUP(E151,'Location Table'!A:C,2,false),"")</f>
        <v/>
      </c>
      <c r="D151" s="6" t="s">
        <v>172</v>
      </c>
      <c r="E151" s="6"/>
      <c r="F151" s="6" t="s">
        <v>130</v>
      </c>
      <c r="G151" s="7" t="str">
        <f>IFNA(VLOOKUP(F151,Driver!A:D,4,false),"")</f>
        <v>2160130926882687325:VSRHFZoYrhhtnecmAaOfmgvaKlfxBZEgxFxSbLPTAhfVwurTuJfQgOTrwyseeqJQ</v>
      </c>
      <c r="H151" s="8" t="str">
        <f>IFNA(VLOOKUP(F151,Driver!A:C,3,false),"")</f>
        <v>77085b30147bfd25a46a</v>
      </c>
      <c r="I151" s="9">
        <v>0.2916666666666667</v>
      </c>
      <c r="J151" s="9">
        <v>0.8541666666666666</v>
      </c>
      <c r="K151" s="9"/>
    </row>
    <row r="152" hidden="1">
      <c r="A152" s="5" t="str">
        <f>IFNA(VLOOKUP(D152,'Location Table'!A:C,2,false),"")</f>
        <v>7c283a4e-21f8-11ee-a440-506b8d9879b5</v>
      </c>
      <c r="B152" s="5" t="str">
        <f>IFNA(VLOOKUP(F152,Driver!A:C,2,false),"")</f>
        <v>103090f4-37c8-11ed-9333-506b8dbc8dfb</v>
      </c>
      <c r="C152" s="5" t="str">
        <f>IFNA(VLOOKUP(E152,'Location Table'!A:C,2,false),"")</f>
        <v/>
      </c>
      <c r="D152" s="6" t="s">
        <v>173</v>
      </c>
      <c r="E152" s="6"/>
      <c r="F152" s="6" t="s">
        <v>130</v>
      </c>
      <c r="G152" s="7" t="str">
        <f>IFNA(VLOOKUP(F152,Driver!A:D,4,false),"")</f>
        <v>2160130926882687325:VSRHFZoYrhhtnecmAaOfmgvaKlfxBZEgxFxSbLPTAhfVwurTuJfQgOTrwyseeqJQ</v>
      </c>
      <c r="H152" s="8" t="str">
        <f>IFNA(VLOOKUP(F152,Driver!A:C,3,false),"")</f>
        <v>77085b30147bfd25a46a</v>
      </c>
      <c r="I152" s="9">
        <v>0.2916666666666667</v>
      </c>
      <c r="J152" s="9">
        <v>0.8541666666666666</v>
      </c>
      <c r="K152" s="9"/>
    </row>
    <row r="153" hidden="1">
      <c r="A153" s="5" t="str">
        <f>IFNA(VLOOKUP(D153,'Location Table'!A:C,2,false),"")</f>
        <v>9253d6aa-bc7b-11f0-ab72-506b8d982279</v>
      </c>
      <c r="B153" s="5" t="str">
        <f>IFNA(VLOOKUP(F153,Driver!A:C,2,false),"")</f>
        <v>103090f4-37c8-11ed-9333-506b8dbc8dfb</v>
      </c>
      <c r="C153" s="5" t="str">
        <f>IFNA(VLOOKUP(E153,'Location Table'!A:C,2,false),"")</f>
        <v/>
      </c>
      <c r="D153" s="6" t="s">
        <v>174</v>
      </c>
      <c r="E153" s="6"/>
      <c r="F153" s="6" t="s">
        <v>130</v>
      </c>
      <c r="G153" s="7" t="str">
        <f>IFNA(VLOOKUP(F153,Driver!A:D,4,false),"")</f>
        <v>2160130926882687325:VSRHFZoYrhhtnecmAaOfmgvaKlfxBZEgxFxSbLPTAhfVwurTuJfQgOTrwyseeqJQ</v>
      </c>
      <c r="H153" s="8" t="str">
        <f>IFNA(VLOOKUP(F153,Driver!A:C,3,false),"")</f>
        <v>77085b30147bfd25a46a</v>
      </c>
      <c r="I153" s="9">
        <v>0.2916666666666667</v>
      </c>
      <c r="J153" s="9">
        <v>0.8541666666666666</v>
      </c>
      <c r="K153" s="9"/>
    </row>
    <row r="154" hidden="1">
      <c r="A154" s="5" t="str">
        <f>IFNA(VLOOKUP(D154,'Location Table'!A:C,2,false),"")</f>
        <v>afa432a4-e237-11f0-8595-506b8d982279</v>
      </c>
      <c r="B154" s="5" t="str">
        <f>IFNA(VLOOKUP(F154,Driver!A:C,2,false),"")</f>
        <v>103090f4-37c8-11ed-9333-506b8dbc8dfb</v>
      </c>
      <c r="C154" s="5" t="str">
        <f>IFNA(VLOOKUP(E154,'Location Table'!A:C,2,false),"")</f>
        <v/>
      </c>
      <c r="D154" s="6" t="s">
        <v>175</v>
      </c>
      <c r="E154" s="6"/>
      <c r="F154" s="6" t="s">
        <v>130</v>
      </c>
      <c r="G154" s="7" t="str">
        <f>IFNA(VLOOKUP(F154,Driver!A:D,4,false),"")</f>
        <v>2160130926882687325:VSRHFZoYrhhtnecmAaOfmgvaKlfxBZEgxFxSbLPTAhfVwurTuJfQgOTrwyseeqJQ</v>
      </c>
      <c r="H154" s="8" t="str">
        <f>IFNA(VLOOKUP(F154,Driver!A:C,3,false),"")</f>
        <v>77085b30147bfd25a46a</v>
      </c>
      <c r="I154" s="9">
        <v>0.2916666666666667</v>
      </c>
      <c r="J154" s="9">
        <v>0.8541666666666666</v>
      </c>
      <c r="K154" s="9"/>
    </row>
    <row r="155" hidden="1">
      <c r="A155" s="5" t="str">
        <f>IFNA(VLOOKUP(D155,'Location Table'!A:C,2,false),"")</f>
        <v>8aa38e5a-6803-11ef-95f4-506b8d9879b5</v>
      </c>
      <c r="B155" s="5" t="str">
        <f>IFNA(VLOOKUP(F155,Driver!A:C,2,false),"")</f>
        <v>103090f4-37c8-11ed-9333-506b8dbc8dfb</v>
      </c>
      <c r="C155" s="5" t="str">
        <f>IFNA(VLOOKUP(E155,'Location Table'!A:C,2,false),"")</f>
        <v/>
      </c>
      <c r="D155" s="6" t="s">
        <v>176</v>
      </c>
      <c r="E155" s="6"/>
      <c r="F155" s="6" t="s">
        <v>130</v>
      </c>
      <c r="G155" s="7" t="str">
        <f>IFNA(VLOOKUP(F155,Driver!A:D,4,false),"")</f>
        <v>2160130926882687325:VSRHFZoYrhhtnecmAaOfmgvaKlfxBZEgxFxSbLPTAhfVwurTuJfQgOTrwyseeqJQ</v>
      </c>
      <c r="H155" s="8" t="str">
        <f>IFNA(VLOOKUP(F155,Driver!A:C,3,false),"")</f>
        <v>77085b30147bfd25a46a</v>
      </c>
      <c r="I155" s="9">
        <v>0.2916666666666667</v>
      </c>
      <c r="J155" s="9">
        <v>0.8541666666666666</v>
      </c>
      <c r="K155" s="9"/>
    </row>
    <row r="156" hidden="1">
      <c r="A156" s="5" t="str">
        <f>IFNA(VLOOKUP(D156,'Location Table'!A:C,2,false),"")</f>
        <v>faecc7ba-461f-11ed-8f50-506b8dbc8dfb</v>
      </c>
      <c r="B156" s="5" t="str">
        <f>IFNA(VLOOKUP(F156,Driver!A:C,2,false),"")</f>
        <v>103090f4-37c8-11ed-9333-506b8dbc8dfb</v>
      </c>
      <c r="C156" s="5" t="str">
        <f>IFNA(VLOOKUP(E156,'Location Table'!A:C,2,false),"")</f>
        <v/>
      </c>
      <c r="D156" s="6" t="s">
        <v>177</v>
      </c>
      <c r="E156" s="6"/>
      <c r="F156" s="6" t="s">
        <v>130</v>
      </c>
      <c r="G156" s="7" t="str">
        <f>IFNA(VLOOKUP(F156,Driver!A:D,4,false),"")</f>
        <v>2160130926882687325:VSRHFZoYrhhtnecmAaOfmgvaKlfxBZEgxFxSbLPTAhfVwurTuJfQgOTrwyseeqJQ</v>
      </c>
      <c r="H156" s="8" t="str">
        <f>IFNA(VLOOKUP(F156,Driver!A:C,3,false),"")</f>
        <v>77085b30147bfd25a46a</v>
      </c>
      <c r="I156" s="9">
        <v>0.2916666666666667</v>
      </c>
      <c r="J156" s="9">
        <v>0.8541666666666666</v>
      </c>
      <c r="K156" s="9"/>
    </row>
    <row r="157" hidden="1">
      <c r="A157" s="5" t="str">
        <f>IFNA(VLOOKUP(D157,'Location Table'!A:C,2,false),"")</f>
        <v>85e97062-ccdb-11f0-a8e7-506b8d982279</v>
      </c>
      <c r="B157" s="5" t="str">
        <f>IFNA(VLOOKUP(F157,Driver!A:C,2,false),"")</f>
        <v>103090f4-37c8-11ed-9333-506b8dbc8dfb</v>
      </c>
      <c r="C157" s="5" t="str">
        <f>IFNA(VLOOKUP(E157,'Location Table'!A:C,2,false),"")</f>
        <v/>
      </c>
      <c r="D157" s="6" t="s">
        <v>178</v>
      </c>
      <c r="E157" s="6"/>
      <c r="F157" s="6" t="s">
        <v>130</v>
      </c>
      <c r="G157" s="7" t="str">
        <f>IFNA(VLOOKUP(F157,Driver!A:D,4,false),"")</f>
        <v>2160130926882687325:VSRHFZoYrhhtnecmAaOfmgvaKlfxBZEgxFxSbLPTAhfVwurTuJfQgOTrwyseeqJQ</v>
      </c>
      <c r="H157" s="8" t="str">
        <f>IFNA(VLOOKUP(F157,Driver!A:C,3,false),"")</f>
        <v>77085b30147bfd25a46a</v>
      </c>
      <c r="I157" s="9">
        <v>0.2916666666666667</v>
      </c>
      <c r="J157" s="9">
        <v>0.8541666666666666</v>
      </c>
      <c r="K157" s="9"/>
    </row>
    <row r="158" hidden="1">
      <c r="A158" s="5" t="str">
        <f>IFNA(VLOOKUP(D158,'Location Table'!A:C,2,false),"")</f>
        <v>31ebea1e-7204-11ee-a6e2-506b8d9879b5</v>
      </c>
      <c r="B158" s="5" t="str">
        <f>IFNA(VLOOKUP(F158,Driver!A:C,2,false),"")</f>
        <v>103090f4-37c8-11ed-9333-506b8dbc8dfb</v>
      </c>
      <c r="C158" s="5" t="str">
        <f>IFNA(VLOOKUP(E158,'Location Table'!A:C,2,false),"")</f>
        <v/>
      </c>
      <c r="D158" s="6" t="s">
        <v>179</v>
      </c>
      <c r="E158" s="6"/>
      <c r="F158" s="6" t="s">
        <v>130</v>
      </c>
      <c r="G158" s="7" t="str">
        <f>IFNA(VLOOKUP(F158,Driver!A:D,4,false),"")</f>
        <v>2160130926882687325:VSRHFZoYrhhtnecmAaOfmgvaKlfxBZEgxFxSbLPTAhfVwurTuJfQgOTrwyseeqJQ</v>
      </c>
      <c r="H158" s="8" t="str">
        <f>IFNA(VLOOKUP(F158,Driver!A:C,3,false),"")</f>
        <v>77085b30147bfd25a46a</v>
      </c>
      <c r="I158" s="9">
        <v>0.2916666666666667</v>
      </c>
      <c r="J158" s="9">
        <v>0.8541666666666666</v>
      </c>
      <c r="K158" s="9"/>
    </row>
    <row r="159" hidden="1">
      <c r="A159" s="5" t="str">
        <f>IFNA(VLOOKUP(D159,'Location Table'!A:C,2,false),"")</f>
        <v>d26fb6ae-f9a3-11f0-9378-fa163ee8d8ac</v>
      </c>
      <c r="B159" s="5" t="str">
        <f>IFNA(VLOOKUP(F159,Driver!A:C,2,false),"")</f>
        <v>103090f4-37c8-11ed-9333-506b8dbc8dfb</v>
      </c>
      <c r="C159" s="5" t="str">
        <f>IFNA(VLOOKUP(E159,'Location Table'!A:C,2,false),"")</f>
        <v/>
      </c>
      <c r="D159" s="6" t="s">
        <v>180</v>
      </c>
      <c r="E159" s="6"/>
      <c r="F159" s="6" t="s">
        <v>130</v>
      </c>
      <c r="G159" s="7" t="str">
        <f>IFNA(VLOOKUP(F159,Driver!A:D,4,false),"")</f>
        <v>2160130926882687325:VSRHFZoYrhhtnecmAaOfmgvaKlfxBZEgxFxSbLPTAhfVwurTuJfQgOTrwyseeqJQ</v>
      </c>
      <c r="H159" s="8" t="str">
        <f>IFNA(VLOOKUP(F159,Driver!A:C,3,false),"")</f>
        <v>77085b30147bfd25a46a</v>
      </c>
      <c r="I159" s="9">
        <v>0.2916666666666667</v>
      </c>
      <c r="J159" s="9">
        <v>0.8541666666666666</v>
      </c>
      <c r="K159" s="9"/>
    </row>
    <row r="160" hidden="1">
      <c r="A160" s="5" t="str">
        <f>IFNA(VLOOKUP(D160,'Location Table'!A:C,2,false),"")</f>
        <v>b3299904-1290-11f0-9954-506b8d982279</v>
      </c>
      <c r="B160" s="5" t="str">
        <f>IFNA(VLOOKUP(F160,Driver!A:C,2,false),"")</f>
        <v>103090f4-37c8-11ed-9333-506b8dbc8dfb</v>
      </c>
      <c r="C160" s="5" t="str">
        <f>IFNA(VLOOKUP(E160,'Location Table'!A:C,2,false),"")</f>
        <v/>
      </c>
      <c r="D160" s="6" t="s">
        <v>181</v>
      </c>
      <c r="E160" s="6"/>
      <c r="F160" s="6" t="s">
        <v>130</v>
      </c>
      <c r="G160" s="7" t="str">
        <f>IFNA(VLOOKUP(F160,Driver!A:D,4,false),"")</f>
        <v>2160130926882687325:VSRHFZoYrhhtnecmAaOfmgvaKlfxBZEgxFxSbLPTAhfVwurTuJfQgOTrwyseeqJQ</v>
      </c>
      <c r="H160" s="8" t="str">
        <f>IFNA(VLOOKUP(F160,Driver!A:C,3,false),"")</f>
        <v>77085b30147bfd25a46a</v>
      </c>
      <c r="I160" s="9">
        <v>0.2916666666666667</v>
      </c>
      <c r="J160" s="9">
        <v>0.8541666666666666</v>
      </c>
      <c r="K160" s="9"/>
    </row>
    <row r="161" hidden="1">
      <c r="A161" s="5" t="str">
        <f>IFNA(VLOOKUP(D161,'Location Table'!A:C,2,false),"")</f>
        <v>a5492496-164b-11ee-8c10-506b8dbc8dfb</v>
      </c>
      <c r="B161" s="5" t="str">
        <f>IFNA(VLOOKUP(F161,Driver!A:C,2,false),"")</f>
        <v>d442fba0-37c6-11ed-ab29-506b8dbc8dfb</v>
      </c>
      <c r="C161" s="5" t="str">
        <f>IFNA(VLOOKUP(E161,'Location Table'!A:C,2,false),"")</f>
        <v/>
      </c>
      <c r="D161" s="6" t="s">
        <v>182</v>
      </c>
      <c r="E161" s="6"/>
      <c r="F161" s="6" t="s">
        <v>183</v>
      </c>
      <c r="G161" s="7" t="str">
        <f>IFNA(VLOOKUP(F161,Driver!A:D,4,false),"")</f>
        <v>2160130926882687325:VSRHFZoYrhhtnecmAaOfmgvaKlfxBZEgxFxSbLPTAhfVwurTuJfQgOTrwyseeqJQ</v>
      </c>
      <c r="H161" s="8" t="str">
        <f>IFNA(VLOOKUP(F161,Driver!A:C,3,false),"")</f>
        <v>c4530791c2db2b8572ca</v>
      </c>
      <c r="I161" s="9">
        <v>0.2916666666666667</v>
      </c>
      <c r="J161" s="9">
        <v>0.6666666666666666</v>
      </c>
      <c r="K161" s="9"/>
    </row>
    <row r="162" hidden="1">
      <c r="A162" s="5" t="str">
        <f>IFNA(VLOOKUP(D162,'Location Table'!A:C,2,false),"")</f>
        <v>260f4646-b35e-11ee-b01c-506b8d9879b5</v>
      </c>
      <c r="B162" s="5" t="str">
        <f>IFNA(VLOOKUP(F162,Driver!A:C,2,false),"")</f>
        <v>d442fba0-37c6-11ed-ab29-506b8dbc8dfb</v>
      </c>
      <c r="C162" s="5" t="str">
        <f>IFNA(VLOOKUP(E162,'Location Table'!A:C,2,false),"")</f>
        <v/>
      </c>
      <c r="D162" s="6" t="s">
        <v>184</v>
      </c>
      <c r="E162" s="6"/>
      <c r="F162" s="6" t="s">
        <v>183</v>
      </c>
      <c r="G162" s="7" t="str">
        <f>IFNA(VLOOKUP(F162,Driver!A:D,4,false),"")</f>
        <v>2160130926882687325:VSRHFZoYrhhtnecmAaOfmgvaKlfxBZEgxFxSbLPTAhfVwurTuJfQgOTrwyseeqJQ</v>
      </c>
      <c r="H162" s="8" t="str">
        <f>IFNA(VLOOKUP(F162,Driver!A:C,3,false),"")</f>
        <v>c4530791c2db2b8572ca</v>
      </c>
      <c r="I162" s="9">
        <v>0.2916666666666667</v>
      </c>
      <c r="J162" s="9">
        <v>0.6666666666666666</v>
      </c>
      <c r="K162" s="9"/>
    </row>
    <row r="163" hidden="1">
      <c r="A163" s="5" t="str">
        <f>IFNA(VLOOKUP(D163,'Location Table'!A:C,2,false),"")</f>
        <v>cb38d6fc-7408-11f0-89a2-506b8d982279</v>
      </c>
      <c r="B163" s="5" t="str">
        <f>IFNA(VLOOKUP(F163,Driver!A:C,2,false),"")</f>
        <v>d442fba0-37c6-11ed-ab29-506b8dbc8dfb</v>
      </c>
      <c r="C163" s="5" t="str">
        <f>IFNA(VLOOKUP(E163,'Location Table'!A:C,2,false),"")</f>
        <v/>
      </c>
      <c r="D163" s="6" t="s">
        <v>185</v>
      </c>
      <c r="E163" s="6"/>
      <c r="F163" s="6" t="s">
        <v>183</v>
      </c>
      <c r="G163" s="7" t="str">
        <f>IFNA(VLOOKUP(F163,Driver!A:D,4,false),"")</f>
        <v>2160130926882687325:VSRHFZoYrhhtnecmAaOfmgvaKlfxBZEgxFxSbLPTAhfVwurTuJfQgOTrwyseeqJQ</v>
      </c>
      <c r="H163" s="8" t="str">
        <f>IFNA(VLOOKUP(F163,Driver!A:C,3,false),"")</f>
        <v>c4530791c2db2b8572ca</v>
      </c>
      <c r="I163" s="9">
        <v>0.2916666666666667</v>
      </c>
      <c r="J163" s="9">
        <v>0.6666666666666666</v>
      </c>
      <c r="K163" s="9"/>
    </row>
    <row r="164" hidden="1">
      <c r="A164" s="5" t="str">
        <f>IFNA(VLOOKUP(D164,'Location Table'!A:C,2,false),"")</f>
        <v>482c0390-1976-11ee-81e2-506b8d9879b5</v>
      </c>
      <c r="B164" s="5" t="str">
        <f>IFNA(VLOOKUP(F164,Driver!A:C,2,false),"")</f>
        <v>d442fba0-37c6-11ed-ab29-506b8dbc8dfb</v>
      </c>
      <c r="C164" s="5" t="str">
        <f>IFNA(VLOOKUP(E164,'Location Table'!A:C,2,false),"")</f>
        <v/>
      </c>
      <c r="D164" s="6" t="s">
        <v>186</v>
      </c>
      <c r="E164" s="6"/>
      <c r="F164" s="6" t="s">
        <v>183</v>
      </c>
      <c r="G164" s="7" t="str">
        <f>IFNA(VLOOKUP(F164,Driver!A:D,4,false),"")</f>
        <v>2160130926882687325:VSRHFZoYrhhtnecmAaOfmgvaKlfxBZEgxFxSbLPTAhfVwurTuJfQgOTrwyseeqJQ</v>
      </c>
      <c r="H164" s="8" t="str">
        <f>IFNA(VLOOKUP(F164,Driver!A:C,3,false),"")</f>
        <v>c4530791c2db2b8572ca</v>
      </c>
      <c r="I164" s="9">
        <v>0.2916666666666667</v>
      </c>
      <c r="J164" s="9">
        <v>0.6666666666666666</v>
      </c>
      <c r="K164" s="9"/>
    </row>
    <row r="165" hidden="1">
      <c r="A165" s="5" t="str">
        <f>IFNA(VLOOKUP(D165,'Location Table'!A:C,2,false),"")</f>
        <v>2183272e-9331-11ef-8509-506b8d9879b5</v>
      </c>
      <c r="B165" s="5" t="str">
        <f>IFNA(VLOOKUP(F165,Driver!A:C,2,false),"")</f>
        <v>d442fba0-37c6-11ed-ab29-506b8dbc8dfb</v>
      </c>
      <c r="C165" s="5" t="str">
        <f>IFNA(VLOOKUP(E165,'Location Table'!A:C,2,false),"")</f>
        <v/>
      </c>
      <c r="D165" s="6" t="s">
        <v>187</v>
      </c>
      <c r="E165" s="6"/>
      <c r="F165" s="6" t="s">
        <v>183</v>
      </c>
      <c r="G165" s="7" t="str">
        <f>IFNA(VLOOKUP(F165,Driver!A:D,4,false),"")</f>
        <v>2160130926882687325:VSRHFZoYrhhtnecmAaOfmgvaKlfxBZEgxFxSbLPTAhfVwurTuJfQgOTrwyseeqJQ</v>
      </c>
      <c r="H165" s="8" t="str">
        <f>IFNA(VLOOKUP(F165,Driver!A:C,3,false),"")</f>
        <v>c4530791c2db2b8572ca</v>
      </c>
      <c r="I165" s="9">
        <v>0.2916666666666667</v>
      </c>
      <c r="J165" s="9">
        <v>0.6666666666666666</v>
      </c>
      <c r="K165" s="9"/>
    </row>
    <row r="166" hidden="1">
      <c r="A166" s="5" t="str">
        <f>IFNA(VLOOKUP(D166,'Location Table'!A:C,2,false),"")</f>
        <v>d62b7cf6-155d-11ee-9d43-506b8dbc8dfb</v>
      </c>
      <c r="B166" s="5" t="str">
        <f>IFNA(VLOOKUP(F166,Driver!A:C,2,false),"")</f>
        <v>d442fba0-37c6-11ed-ab29-506b8dbc8dfb</v>
      </c>
      <c r="C166" s="5" t="str">
        <f>IFNA(VLOOKUP(E166,'Location Table'!A:C,2,false),"")</f>
        <v/>
      </c>
      <c r="D166" s="6" t="s">
        <v>188</v>
      </c>
      <c r="E166" s="6"/>
      <c r="F166" s="6" t="s">
        <v>183</v>
      </c>
      <c r="G166" s="7" t="str">
        <f>IFNA(VLOOKUP(F166,Driver!A:D,4,false),"")</f>
        <v>2160130926882687325:VSRHFZoYrhhtnecmAaOfmgvaKlfxBZEgxFxSbLPTAhfVwurTuJfQgOTrwyseeqJQ</v>
      </c>
      <c r="H166" s="8" t="str">
        <f>IFNA(VLOOKUP(F166,Driver!A:C,3,false),"")</f>
        <v>c4530791c2db2b8572ca</v>
      </c>
      <c r="I166" s="9">
        <v>0.2916666666666667</v>
      </c>
      <c r="J166" s="9">
        <v>0.6666666666666666</v>
      </c>
      <c r="K166" s="9"/>
    </row>
    <row r="167" hidden="1">
      <c r="A167" s="5" t="str">
        <f>IFNA(VLOOKUP(D167,'Location Table'!A:C,2,false),"")</f>
        <v>c2618fe8-4af1-11ee-a9fa-506b8d9879b5</v>
      </c>
      <c r="B167" s="5" t="str">
        <f>IFNA(VLOOKUP(F167,Driver!A:C,2,false),"")</f>
        <v>d442fba0-37c6-11ed-ab29-506b8dbc8dfb</v>
      </c>
      <c r="C167" s="5" t="str">
        <f>IFNA(VLOOKUP(E167,'Location Table'!A:C,2,false),"")</f>
        <v/>
      </c>
      <c r="D167" s="6" t="s">
        <v>189</v>
      </c>
      <c r="E167" s="6"/>
      <c r="F167" s="6" t="s">
        <v>183</v>
      </c>
      <c r="G167" s="7" t="str">
        <f>IFNA(VLOOKUP(F167,Driver!A:D,4,false),"")</f>
        <v>2160130926882687325:VSRHFZoYrhhtnecmAaOfmgvaKlfxBZEgxFxSbLPTAhfVwurTuJfQgOTrwyseeqJQ</v>
      </c>
      <c r="H167" s="8" t="str">
        <f>IFNA(VLOOKUP(F167,Driver!A:C,3,false),"")</f>
        <v>c4530791c2db2b8572ca</v>
      </c>
      <c r="I167" s="9">
        <v>0.2916666666666667</v>
      </c>
      <c r="J167" s="9">
        <v>0.6666666666666666</v>
      </c>
      <c r="K167" s="9"/>
    </row>
    <row r="168" hidden="1">
      <c r="A168" s="5" t="str">
        <f>IFNA(VLOOKUP(D168,'Location Table'!A:C,2,false),"")</f>
        <v>897f5fea-335c-11ee-a126-506b8d9879b5</v>
      </c>
      <c r="B168" s="5" t="str">
        <f>IFNA(VLOOKUP(F168,Driver!A:C,2,false),"")</f>
        <v>d442fba0-37c6-11ed-ab29-506b8dbc8dfb</v>
      </c>
      <c r="C168" s="5" t="str">
        <f>IFNA(VLOOKUP(E168,'Location Table'!A:C,2,false),"")</f>
        <v/>
      </c>
      <c r="D168" s="6" t="s">
        <v>190</v>
      </c>
      <c r="E168" s="6"/>
      <c r="F168" s="6" t="s">
        <v>183</v>
      </c>
      <c r="G168" s="7" t="str">
        <f>IFNA(VLOOKUP(F168,Driver!A:D,4,false),"")</f>
        <v>2160130926882687325:VSRHFZoYrhhtnecmAaOfmgvaKlfxBZEgxFxSbLPTAhfVwurTuJfQgOTrwyseeqJQ</v>
      </c>
      <c r="H168" s="8" t="str">
        <f>IFNA(VLOOKUP(F168,Driver!A:C,3,false),"")</f>
        <v>c4530791c2db2b8572ca</v>
      </c>
      <c r="I168" s="9">
        <v>0.2916666666666667</v>
      </c>
      <c r="J168" s="9">
        <v>0.6666666666666666</v>
      </c>
      <c r="K168" s="9"/>
    </row>
    <row r="169" hidden="1">
      <c r="A169" s="5" t="str">
        <f>IFNA(VLOOKUP(D169,'Location Table'!A:C,2,false),"")</f>
        <v>e172d860-08d9-11ee-84c9-506b8dbc8dfb</v>
      </c>
      <c r="B169" s="5" t="str">
        <f>IFNA(VLOOKUP(F169,Driver!A:C,2,false),"")</f>
        <v>d442fba0-37c6-11ed-ab29-506b8dbc8dfb</v>
      </c>
      <c r="C169" s="5" t="str">
        <f>IFNA(VLOOKUP(E169,'Location Table'!A:C,2,false),"")</f>
        <v/>
      </c>
      <c r="D169" s="6" t="s">
        <v>191</v>
      </c>
      <c r="E169" s="6"/>
      <c r="F169" s="6" t="s">
        <v>183</v>
      </c>
      <c r="G169" s="7" t="str">
        <f>IFNA(VLOOKUP(F169,Driver!A:D,4,false),"")</f>
        <v>2160130926882687325:VSRHFZoYrhhtnecmAaOfmgvaKlfxBZEgxFxSbLPTAhfVwurTuJfQgOTrwyseeqJQ</v>
      </c>
      <c r="H169" s="8" t="str">
        <f>IFNA(VLOOKUP(F169,Driver!A:C,3,false),"")</f>
        <v>c4530791c2db2b8572ca</v>
      </c>
      <c r="I169" s="9">
        <v>0.2916666666666667</v>
      </c>
      <c r="J169" s="9">
        <v>0.6666666666666666</v>
      </c>
      <c r="K169" s="9"/>
    </row>
    <row r="170" hidden="1">
      <c r="A170" s="5" t="str">
        <f>IFNA(VLOOKUP(D170,'Location Table'!A:C,2,false),"")</f>
        <v>653308f6-803e-11ee-8092-506b8d9879b5</v>
      </c>
      <c r="B170" s="5" t="str">
        <f>IFNA(VLOOKUP(F170,Driver!A:C,2,false),"")</f>
        <v>d442fba0-37c6-11ed-ab29-506b8dbc8dfb</v>
      </c>
      <c r="C170" s="5" t="str">
        <f>IFNA(VLOOKUP(E170,'Location Table'!A:C,2,false),"")</f>
        <v/>
      </c>
      <c r="D170" s="6" t="s">
        <v>192</v>
      </c>
      <c r="E170" s="6"/>
      <c r="F170" s="6" t="s">
        <v>183</v>
      </c>
      <c r="G170" s="7" t="str">
        <f>IFNA(VLOOKUP(F170,Driver!A:D,4,false),"")</f>
        <v>2160130926882687325:VSRHFZoYrhhtnecmAaOfmgvaKlfxBZEgxFxSbLPTAhfVwurTuJfQgOTrwyseeqJQ</v>
      </c>
      <c r="H170" s="8" t="str">
        <f>IFNA(VLOOKUP(F170,Driver!A:C,3,false),"")</f>
        <v>c4530791c2db2b8572ca</v>
      </c>
      <c r="I170" s="9">
        <v>0.2916666666666667</v>
      </c>
      <c r="J170" s="9">
        <v>0.6666666666666666</v>
      </c>
      <c r="K170" s="9"/>
    </row>
    <row r="171" hidden="1">
      <c r="A171" s="5" t="str">
        <f>IFNA(VLOOKUP(D171,'Location Table'!A:C,2,false),"")</f>
        <v>70254dc0-7ebf-11ef-8703-506b8d9879b5</v>
      </c>
      <c r="B171" s="5" t="str">
        <f>IFNA(VLOOKUP(F171,Driver!A:C,2,false),"")</f>
        <v>d442fba0-37c6-11ed-ab29-506b8dbc8dfb</v>
      </c>
      <c r="C171" s="5" t="str">
        <f>IFNA(VLOOKUP(E171,'Location Table'!A:C,2,false),"")</f>
        <v/>
      </c>
      <c r="D171" s="6" t="s">
        <v>193</v>
      </c>
      <c r="E171" s="6"/>
      <c r="F171" s="6" t="s">
        <v>183</v>
      </c>
      <c r="G171" s="7" t="str">
        <f>IFNA(VLOOKUP(F171,Driver!A:D,4,false),"")</f>
        <v>2160130926882687325:VSRHFZoYrhhtnecmAaOfmgvaKlfxBZEgxFxSbLPTAhfVwurTuJfQgOTrwyseeqJQ</v>
      </c>
      <c r="H171" s="8" t="str">
        <f>IFNA(VLOOKUP(F171,Driver!A:C,3,false),"")</f>
        <v>c4530791c2db2b8572ca</v>
      </c>
      <c r="I171" s="9">
        <v>0.2916666666666667</v>
      </c>
      <c r="J171" s="9">
        <v>0.6666666666666666</v>
      </c>
      <c r="K171" s="9"/>
    </row>
    <row r="172" hidden="1">
      <c r="A172" s="5" t="str">
        <f>IFNA(VLOOKUP(D172,'Location Table'!A:C,2,false),"")</f>
        <v>546e7350-25d7-11ee-89eb-506b8d9879b5</v>
      </c>
      <c r="B172" s="5" t="str">
        <f>IFNA(VLOOKUP(F172,Driver!A:C,2,false),"")</f>
        <v>d442fba0-37c6-11ed-ab29-506b8dbc8dfb</v>
      </c>
      <c r="C172" s="5" t="str">
        <f>IFNA(VLOOKUP(E172,'Location Table'!A:C,2,false),"")</f>
        <v/>
      </c>
      <c r="D172" s="6" t="s">
        <v>194</v>
      </c>
      <c r="E172" s="6"/>
      <c r="F172" s="6" t="s">
        <v>183</v>
      </c>
      <c r="G172" s="7" t="str">
        <f>IFNA(VLOOKUP(F172,Driver!A:D,4,false),"")</f>
        <v>2160130926882687325:VSRHFZoYrhhtnecmAaOfmgvaKlfxBZEgxFxSbLPTAhfVwurTuJfQgOTrwyseeqJQ</v>
      </c>
      <c r="H172" s="8" t="str">
        <f>IFNA(VLOOKUP(F172,Driver!A:C,3,false),"")</f>
        <v>c4530791c2db2b8572ca</v>
      </c>
      <c r="I172" s="9">
        <v>0.2916666666666667</v>
      </c>
      <c r="J172" s="9">
        <v>0.6666666666666666</v>
      </c>
      <c r="K172" s="9"/>
    </row>
    <row r="173" hidden="1">
      <c r="A173" s="5" t="str">
        <f>IFNA(VLOOKUP(D173,'Location Table'!A:C,2,false),"")</f>
        <v>f4329dc6-3658-11ee-9fcc-506b8d9879b5</v>
      </c>
      <c r="B173" s="5" t="str">
        <f>IFNA(VLOOKUP(F173,Driver!A:C,2,false),"")</f>
        <v>d442fba0-37c6-11ed-ab29-506b8dbc8dfb</v>
      </c>
      <c r="C173" s="5" t="str">
        <f>IFNA(VLOOKUP(E173,'Location Table'!A:C,2,false),"")</f>
        <v/>
      </c>
      <c r="D173" s="6" t="s">
        <v>195</v>
      </c>
      <c r="E173" s="6"/>
      <c r="F173" s="6" t="s">
        <v>183</v>
      </c>
      <c r="G173" s="7" t="str">
        <f>IFNA(VLOOKUP(F173,Driver!A:D,4,false),"")</f>
        <v>2160130926882687325:VSRHFZoYrhhtnecmAaOfmgvaKlfxBZEgxFxSbLPTAhfVwurTuJfQgOTrwyseeqJQ</v>
      </c>
      <c r="H173" s="8" t="str">
        <f>IFNA(VLOOKUP(F173,Driver!A:C,3,false),"")</f>
        <v>c4530791c2db2b8572ca</v>
      </c>
      <c r="I173" s="9">
        <v>0.2916666666666667</v>
      </c>
      <c r="J173" s="9">
        <v>0.6666666666666666</v>
      </c>
      <c r="K173" s="9"/>
    </row>
    <row r="174" hidden="1">
      <c r="A174" s="5" t="str">
        <f>IFNA(VLOOKUP(D174,'Location Table'!A:C,2,false),"")</f>
        <v>32c10ebc-b4ae-11f0-9d95-506b8d982279</v>
      </c>
      <c r="B174" s="5" t="str">
        <f>IFNA(VLOOKUP(F174,Driver!A:C,2,false),"")</f>
        <v>d442fba0-37c6-11ed-ab29-506b8dbc8dfb</v>
      </c>
      <c r="C174" s="5" t="str">
        <f>IFNA(VLOOKUP(E174,'Location Table'!A:C,2,false),"")</f>
        <v/>
      </c>
      <c r="D174" s="6" t="s">
        <v>196</v>
      </c>
      <c r="E174" s="6"/>
      <c r="F174" s="6" t="s">
        <v>183</v>
      </c>
      <c r="G174" s="7" t="str">
        <f>IFNA(VLOOKUP(F174,Driver!A:D,4,false),"")</f>
        <v>2160130926882687325:VSRHFZoYrhhtnecmAaOfmgvaKlfxBZEgxFxSbLPTAhfVwurTuJfQgOTrwyseeqJQ</v>
      </c>
      <c r="H174" s="8" t="str">
        <f>IFNA(VLOOKUP(F174,Driver!A:C,3,false),"")</f>
        <v>c4530791c2db2b8572ca</v>
      </c>
      <c r="I174" s="9">
        <v>0.2916666666666667</v>
      </c>
      <c r="J174" s="9">
        <v>0.6666666666666666</v>
      </c>
      <c r="K174" s="9"/>
    </row>
    <row r="175" hidden="1">
      <c r="A175" s="5" t="str">
        <f>IFNA(VLOOKUP(D175,'Location Table'!A:C,2,false),"")</f>
        <v>c0bc1f88-ebef-11ee-ac17-506b8d9879b5</v>
      </c>
      <c r="B175" s="5" t="str">
        <f>IFNA(VLOOKUP(F175,Driver!A:C,2,false),"")</f>
        <v>d442fba0-37c6-11ed-ab29-506b8dbc8dfb</v>
      </c>
      <c r="C175" s="5" t="str">
        <f>IFNA(VLOOKUP(E175,'Location Table'!A:C,2,false),"")</f>
        <v/>
      </c>
      <c r="D175" s="6" t="s">
        <v>197</v>
      </c>
      <c r="E175" s="6"/>
      <c r="F175" s="6" t="s">
        <v>183</v>
      </c>
      <c r="G175" s="7" t="str">
        <f>IFNA(VLOOKUP(F175,Driver!A:D,4,false),"")</f>
        <v>2160130926882687325:VSRHFZoYrhhtnecmAaOfmgvaKlfxBZEgxFxSbLPTAhfVwurTuJfQgOTrwyseeqJQ</v>
      </c>
      <c r="H175" s="8" t="str">
        <f>IFNA(VLOOKUP(F175,Driver!A:C,3,false),"")</f>
        <v>c4530791c2db2b8572ca</v>
      </c>
      <c r="I175" s="9">
        <v>0.2916666666666667</v>
      </c>
      <c r="J175" s="9">
        <v>0.6666666666666666</v>
      </c>
      <c r="K175" s="9"/>
    </row>
    <row r="176" hidden="1">
      <c r="A176" s="5" t="str">
        <f>IFNA(VLOOKUP(D176,'Location Table'!A:C,2,false),"")</f>
        <v>e008d078-537b-11ee-bc3a-506b8d9879b5</v>
      </c>
      <c r="B176" s="5" t="str">
        <f>IFNA(VLOOKUP(F176,Driver!A:C,2,false),"")</f>
        <v>d442fba0-37c6-11ed-ab29-506b8dbc8dfb</v>
      </c>
      <c r="C176" s="5" t="str">
        <f>IFNA(VLOOKUP(E176,'Location Table'!A:C,2,false),"")</f>
        <v/>
      </c>
      <c r="D176" s="6" t="s">
        <v>198</v>
      </c>
      <c r="E176" s="6"/>
      <c r="F176" s="6" t="s">
        <v>183</v>
      </c>
      <c r="G176" s="7" t="str">
        <f>IFNA(VLOOKUP(F176,Driver!A:D,4,false),"")</f>
        <v>2160130926882687325:VSRHFZoYrhhtnecmAaOfmgvaKlfxBZEgxFxSbLPTAhfVwurTuJfQgOTrwyseeqJQ</v>
      </c>
      <c r="H176" s="8" t="str">
        <f>IFNA(VLOOKUP(F176,Driver!A:C,3,false),"")</f>
        <v>c4530791c2db2b8572ca</v>
      </c>
      <c r="I176" s="9">
        <v>0.2916666666666667</v>
      </c>
      <c r="J176" s="9">
        <v>0.6666666666666666</v>
      </c>
      <c r="K176" s="9"/>
    </row>
    <row r="177" hidden="1">
      <c r="A177" s="5" t="str">
        <f>IFNA(VLOOKUP(D177,'Location Table'!A:C,2,false),"")</f>
        <v>b4655b48-4188-11ef-9349-506b8d9879b5</v>
      </c>
      <c r="B177" s="5" t="str">
        <f>IFNA(VLOOKUP(F177,Driver!A:C,2,false),"")</f>
        <v>d442fba0-37c6-11ed-ab29-506b8dbc8dfb</v>
      </c>
      <c r="C177" s="5" t="str">
        <f>IFNA(VLOOKUP(E177,'Location Table'!A:C,2,false),"")</f>
        <v/>
      </c>
      <c r="D177" s="6" t="s">
        <v>199</v>
      </c>
      <c r="E177" s="6"/>
      <c r="F177" s="6" t="s">
        <v>183</v>
      </c>
      <c r="G177" s="7" t="str">
        <f>IFNA(VLOOKUP(F177,Driver!A:D,4,false),"")</f>
        <v>2160130926882687325:VSRHFZoYrhhtnecmAaOfmgvaKlfxBZEgxFxSbLPTAhfVwurTuJfQgOTrwyseeqJQ</v>
      </c>
      <c r="H177" s="8" t="str">
        <f>IFNA(VLOOKUP(F177,Driver!A:C,3,false),"")</f>
        <v>c4530791c2db2b8572ca</v>
      </c>
      <c r="I177" s="9">
        <v>0.2916666666666667</v>
      </c>
      <c r="J177" s="9">
        <v>0.6666666666666666</v>
      </c>
      <c r="K177" s="9"/>
    </row>
    <row r="178" hidden="1">
      <c r="A178" s="5" t="str">
        <f>IFNA(VLOOKUP(D178,'Location Table'!A:C,2,false),"")</f>
        <v>31dd1354-cfa1-11ee-8171-506b8d9879b5</v>
      </c>
      <c r="B178" s="5" t="str">
        <f>IFNA(VLOOKUP(F178,Driver!A:C,2,false),"")</f>
        <v>d442fba0-37c6-11ed-ab29-506b8dbc8dfb</v>
      </c>
      <c r="C178" s="5" t="str">
        <f>IFNA(VLOOKUP(E178,'Location Table'!A:C,2,false),"")</f>
        <v/>
      </c>
      <c r="D178" s="6" t="s">
        <v>200</v>
      </c>
      <c r="E178" s="6"/>
      <c r="F178" s="6" t="s">
        <v>183</v>
      </c>
      <c r="G178" s="7" t="str">
        <f>IFNA(VLOOKUP(F178,Driver!A:D,4,false),"")</f>
        <v>2160130926882687325:VSRHFZoYrhhtnecmAaOfmgvaKlfxBZEgxFxSbLPTAhfVwurTuJfQgOTrwyseeqJQ</v>
      </c>
      <c r="H178" s="8" t="str">
        <f>IFNA(VLOOKUP(F178,Driver!A:C,3,false),"")</f>
        <v>c4530791c2db2b8572ca</v>
      </c>
      <c r="I178" s="9">
        <v>0.2916666666666667</v>
      </c>
      <c r="J178" s="9">
        <v>0.6666666666666666</v>
      </c>
      <c r="K178" s="9"/>
    </row>
    <row r="179" hidden="1">
      <c r="A179" s="5" t="str">
        <f>IFNA(VLOOKUP(D179,'Location Table'!A:C,2,false),"")</f>
        <v>67c52c1c-f248-11ee-a75f-506b8d9879b5</v>
      </c>
      <c r="B179" s="5" t="str">
        <f>IFNA(VLOOKUP(F179,Driver!A:C,2,false),"")</f>
        <v>d442fba0-37c6-11ed-ab29-506b8dbc8dfb</v>
      </c>
      <c r="C179" s="5" t="str">
        <f>IFNA(VLOOKUP(E179,'Location Table'!A:C,2,false),"")</f>
        <v/>
      </c>
      <c r="D179" s="6" t="s">
        <v>201</v>
      </c>
      <c r="E179" s="6"/>
      <c r="F179" s="6" t="s">
        <v>183</v>
      </c>
      <c r="G179" s="7" t="str">
        <f>IFNA(VLOOKUP(F179,Driver!A:D,4,false),"")</f>
        <v>2160130926882687325:VSRHFZoYrhhtnecmAaOfmgvaKlfxBZEgxFxSbLPTAhfVwurTuJfQgOTrwyseeqJQ</v>
      </c>
      <c r="H179" s="8" t="str">
        <f>IFNA(VLOOKUP(F179,Driver!A:C,3,false),"")</f>
        <v>c4530791c2db2b8572ca</v>
      </c>
      <c r="I179" s="9">
        <v>0.2916666666666667</v>
      </c>
      <c r="J179" s="9">
        <v>0.6666666666666666</v>
      </c>
      <c r="K179" s="9"/>
    </row>
    <row r="180" hidden="1">
      <c r="A180" s="5" t="str">
        <f>IFNA(VLOOKUP(D180,'Location Table'!A:C,2,false),"")</f>
        <v>dbd07d9c-14b1-11ef-aad1-506b8d9879b5</v>
      </c>
      <c r="B180" s="5" t="str">
        <f>IFNA(VLOOKUP(F180,Driver!A:C,2,false),"")</f>
        <v>41ea8512-2e70-11f1-9378-fa163ee8d8ac</v>
      </c>
      <c r="C180" s="5" t="str">
        <f>IFNA(VLOOKUP(E180,'Location Table'!A:C,2,false),"")</f>
        <v/>
      </c>
      <c r="D180" s="6" t="s">
        <v>202</v>
      </c>
      <c r="E180" s="6"/>
      <c r="F180" s="10" t="s">
        <v>35</v>
      </c>
      <c r="G180" s="7" t="str">
        <f>IFNA(VLOOKUP(F180,Driver!A:D,4,false),"")</f>
        <v/>
      </c>
      <c r="H180" s="8" t="str">
        <f>IFNA(VLOOKUP(F180,Driver!A:C,3,false),"")</f>
        <v/>
      </c>
      <c r="I180" s="9">
        <v>0.2916666666666667</v>
      </c>
      <c r="J180" s="9">
        <v>0.6666666666666666</v>
      </c>
      <c r="K180" s="9"/>
    </row>
    <row r="181" hidden="1">
      <c r="A181" s="5" t="str">
        <f>IFNA(VLOOKUP(D181,'Location Table'!A:C,2,false),"")</f>
        <v>290bbe50-5e22-11ef-aba5-506b8d9879b5</v>
      </c>
      <c r="B181" s="5" t="str">
        <f>IFNA(VLOOKUP(F181,Driver!A:C,2,false),"")</f>
        <v>d442fba0-37c6-11ed-ab29-506b8dbc8dfb</v>
      </c>
      <c r="C181" s="5" t="str">
        <f>IFNA(VLOOKUP(E181,'Location Table'!A:C,2,false),"")</f>
        <v/>
      </c>
      <c r="D181" s="6" t="s">
        <v>203</v>
      </c>
      <c r="E181" s="6"/>
      <c r="F181" s="6" t="s">
        <v>183</v>
      </c>
      <c r="G181" s="7" t="str">
        <f>IFNA(VLOOKUP(F181,Driver!A:D,4,false),"")</f>
        <v>2160130926882687325:VSRHFZoYrhhtnecmAaOfmgvaKlfxBZEgxFxSbLPTAhfVwurTuJfQgOTrwyseeqJQ</v>
      </c>
      <c r="H181" s="8" t="str">
        <f>IFNA(VLOOKUP(F181,Driver!A:C,3,false),"")</f>
        <v>c4530791c2db2b8572ca</v>
      </c>
      <c r="I181" s="9">
        <v>0.2916666666666667</v>
      </c>
      <c r="J181" s="9">
        <v>0.6666666666666666</v>
      </c>
      <c r="K181" s="9"/>
    </row>
    <row r="182" hidden="1">
      <c r="A182" s="5" t="str">
        <f>IFNA(VLOOKUP(D182,'Location Table'!A:C,2,false),"")</f>
        <v>cf29f9ca-102c-11f0-9d35-506b8d982279</v>
      </c>
      <c r="B182" s="5" t="str">
        <f>IFNA(VLOOKUP(F182,Driver!A:C,2,false),"")</f>
        <v>d442fba0-37c6-11ed-ab29-506b8dbc8dfb</v>
      </c>
      <c r="C182" s="5" t="str">
        <f>IFNA(VLOOKUP(E182,'Location Table'!A:C,2,false),"")</f>
        <v/>
      </c>
      <c r="D182" s="6" t="s">
        <v>204</v>
      </c>
      <c r="E182" s="6"/>
      <c r="F182" s="6" t="s">
        <v>183</v>
      </c>
      <c r="G182" s="7" t="str">
        <f>IFNA(VLOOKUP(F182,Driver!A:D,4,false),"")</f>
        <v>2160130926882687325:VSRHFZoYrhhtnecmAaOfmgvaKlfxBZEgxFxSbLPTAhfVwurTuJfQgOTrwyseeqJQ</v>
      </c>
      <c r="H182" s="8" t="str">
        <f>IFNA(VLOOKUP(F182,Driver!A:C,3,false),"")</f>
        <v>c4530791c2db2b8572ca</v>
      </c>
      <c r="I182" s="9">
        <v>0.2916666666666667</v>
      </c>
      <c r="J182" s="9">
        <v>0.6666666666666666</v>
      </c>
      <c r="K182" s="9"/>
    </row>
    <row r="183" hidden="1">
      <c r="A183" s="5" t="str">
        <f>IFNA(VLOOKUP(D183,'Location Table'!A:C,2,false),"")</f>
        <v>7f7b4db8-b90a-11ee-a2a8-506b8d9879b5</v>
      </c>
      <c r="B183" s="5" t="str">
        <f>IFNA(VLOOKUP(F183,Driver!A:C,2,false),"")</f>
        <v>d442fba0-37c6-11ed-ab29-506b8dbc8dfb</v>
      </c>
      <c r="C183" s="5" t="str">
        <f>IFNA(VLOOKUP(E183,'Location Table'!A:C,2,false),"")</f>
        <v/>
      </c>
      <c r="D183" s="6" t="s">
        <v>205</v>
      </c>
      <c r="E183" s="6"/>
      <c r="F183" s="6" t="s">
        <v>183</v>
      </c>
      <c r="G183" s="7" t="str">
        <f>IFNA(VLOOKUP(F183,Driver!A:D,4,false),"")</f>
        <v>2160130926882687325:VSRHFZoYrhhtnecmAaOfmgvaKlfxBZEgxFxSbLPTAhfVwurTuJfQgOTrwyseeqJQ</v>
      </c>
      <c r="H183" s="8" t="str">
        <f>IFNA(VLOOKUP(F183,Driver!A:C,3,false),"")</f>
        <v>c4530791c2db2b8572ca</v>
      </c>
      <c r="I183" s="9">
        <v>0.2916666666666667</v>
      </c>
      <c r="J183" s="9">
        <v>0.6666666666666666</v>
      </c>
      <c r="K183" s="9"/>
    </row>
    <row r="184" hidden="1">
      <c r="A184" s="5" t="str">
        <f>IFNA(VLOOKUP(D184,'Location Table'!A:C,2,false),"")</f>
        <v>06ff12ae-d3f6-11ef-a69f-506b8d9879b5</v>
      </c>
      <c r="B184" s="5" t="str">
        <f>IFNA(VLOOKUP(F184,Driver!A:C,2,false),"")</f>
        <v>d442fba0-37c6-11ed-ab29-506b8dbc8dfb</v>
      </c>
      <c r="C184" s="5" t="str">
        <f>IFNA(VLOOKUP(E184,'Location Table'!A:C,2,false),"")</f>
        <v/>
      </c>
      <c r="D184" s="6" t="s">
        <v>206</v>
      </c>
      <c r="E184" s="6"/>
      <c r="F184" s="6" t="s">
        <v>183</v>
      </c>
      <c r="G184" s="7" t="str">
        <f>IFNA(VLOOKUP(F184,Driver!A:D,4,false),"")</f>
        <v>2160130926882687325:VSRHFZoYrhhtnecmAaOfmgvaKlfxBZEgxFxSbLPTAhfVwurTuJfQgOTrwyseeqJQ</v>
      </c>
      <c r="H184" s="8" t="str">
        <f>IFNA(VLOOKUP(F184,Driver!A:C,3,false),"")</f>
        <v>c4530791c2db2b8572ca</v>
      </c>
      <c r="I184" s="9">
        <v>0.2916666666666667</v>
      </c>
      <c r="J184" s="9">
        <v>0.6666666666666666</v>
      </c>
      <c r="K184" s="9"/>
    </row>
    <row r="185" hidden="1">
      <c r="A185" s="5" t="str">
        <f>IFNA(VLOOKUP(D185,'Location Table'!A:C,2,false),"")</f>
        <v>c83677f6-17c7-11ee-bfd0-506b8d9879b5</v>
      </c>
      <c r="B185" s="5" t="str">
        <f>IFNA(VLOOKUP(F185,Driver!A:C,2,false),"")</f>
        <v>d442fba0-37c6-11ed-ab29-506b8dbc8dfb</v>
      </c>
      <c r="C185" s="5" t="str">
        <f>IFNA(VLOOKUP(E185,'Location Table'!A:C,2,false),"")</f>
        <v/>
      </c>
      <c r="D185" s="6" t="s">
        <v>207</v>
      </c>
      <c r="E185" s="6"/>
      <c r="F185" s="6" t="s">
        <v>183</v>
      </c>
      <c r="G185" s="7" t="str">
        <f>IFNA(VLOOKUP(F185,Driver!A:D,4,false),"")</f>
        <v>2160130926882687325:VSRHFZoYrhhtnecmAaOfmgvaKlfxBZEgxFxSbLPTAhfVwurTuJfQgOTrwyseeqJQ</v>
      </c>
      <c r="H185" s="8" t="str">
        <f>IFNA(VLOOKUP(F185,Driver!A:C,3,false),"")</f>
        <v>c4530791c2db2b8572ca</v>
      </c>
      <c r="I185" s="9">
        <v>0.2916666666666667</v>
      </c>
      <c r="J185" s="9">
        <v>0.6666666666666666</v>
      </c>
      <c r="K185" s="9"/>
    </row>
    <row r="186" hidden="1">
      <c r="A186" s="5" t="str">
        <f>IFNA(VLOOKUP(D186,'Location Table'!A:C,2,false),"")</f>
        <v>5e0615a2-93e2-11ee-b54c-506b8d9879b5</v>
      </c>
      <c r="B186" s="5" t="str">
        <f>IFNA(VLOOKUP(F186,Driver!A:C,2,false),"")</f>
        <v>d442fba0-37c6-11ed-ab29-506b8dbc8dfb</v>
      </c>
      <c r="C186" s="5" t="str">
        <f>IFNA(VLOOKUP(E186,'Location Table'!A:C,2,false),"")</f>
        <v/>
      </c>
      <c r="D186" s="6" t="s">
        <v>208</v>
      </c>
      <c r="E186" s="6"/>
      <c r="F186" s="6" t="s">
        <v>183</v>
      </c>
      <c r="G186" s="7" t="str">
        <f>IFNA(VLOOKUP(F186,Driver!A:D,4,false),"")</f>
        <v>2160130926882687325:VSRHFZoYrhhtnecmAaOfmgvaKlfxBZEgxFxSbLPTAhfVwurTuJfQgOTrwyseeqJQ</v>
      </c>
      <c r="H186" s="8" t="str">
        <f>IFNA(VLOOKUP(F186,Driver!A:C,3,false),"")</f>
        <v>c4530791c2db2b8572ca</v>
      </c>
      <c r="I186" s="9">
        <v>0.2916666666666667</v>
      </c>
      <c r="J186" s="9">
        <v>0.6666666666666666</v>
      </c>
      <c r="K186" s="9"/>
    </row>
    <row r="187" hidden="1">
      <c r="A187" s="5" t="str">
        <f>IFNA(VLOOKUP(D187,'Location Table'!A:C,2,false),"")</f>
        <v>5a41e340-ad5b-11ef-bdc2-506b8d9879b5</v>
      </c>
      <c r="B187" s="5" t="str">
        <f>IFNA(VLOOKUP(F187,Driver!A:C,2,false),"")</f>
        <v>d442fba0-37c6-11ed-ab29-506b8dbc8dfb</v>
      </c>
      <c r="C187" s="5" t="str">
        <f>IFNA(VLOOKUP(E187,'Location Table'!A:C,2,false),"")</f>
        <v/>
      </c>
      <c r="D187" s="6" t="s">
        <v>209</v>
      </c>
      <c r="E187" s="6"/>
      <c r="F187" s="6" t="s">
        <v>183</v>
      </c>
      <c r="G187" s="7" t="str">
        <f>IFNA(VLOOKUP(F187,Driver!A:D,4,false),"")</f>
        <v>2160130926882687325:VSRHFZoYrhhtnecmAaOfmgvaKlfxBZEgxFxSbLPTAhfVwurTuJfQgOTrwyseeqJQ</v>
      </c>
      <c r="H187" s="8" t="str">
        <f>IFNA(VLOOKUP(F187,Driver!A:C,3,false),"")</f>
        <v>c4530791c2db2b8572ca</v>
      </c>
      <c r="I187" s="9">
        <v>0.2916666666666667</v>
      </c>
      <c r="J187" s="9">
        <v>0.6666666666666666</v>
      </c>
      <c r="K187" s="9"/>
    </row>
    <row r="188" hidden="1">
      <c r="A188" s="5" t="str">
        <f>IFNA(VLOOKUP(D188,'Location Table'!A:C,2,false),"")</f>
        <v>5732b7fc-902c-11ef-8bd2-506b8d9879b5</v>
      </c>
      <c r="B188" s="5" t="str">
        <f>IFNA(VLOOKUP(F188,Driver!A:C,2,false),"")</f>
        <v>d442fba0-37c6-11ed-ab29-506b8dbc8dfb</v>
      </c>
      <c r="C188" s="5" t="str">
        <f>IFNA(VLOOKUP(E188,'Location Table'!A:C,2,false),"")</f>
        <v/>
      </c>
      <c r="D188" s="6" t="s">
        <v>210</v>
      </c>
      <c r="E188" s="6"/>
      <c r="F188" s="6" t="s">
        <v>183</v>
      </c>
      <c r="G188" s="7" t="str">
        <f>IFNA(VLOOKUP(F188,Driver!A:D,4,false),"")</f>
        <v>2160130926882687325:VSRHFZoYrhhtnecmAaOfmgvaKlfxBZEgxFxSbLPTAhfVwurTuJfQgOTrwyseeqJQ</v>
      </c>
      <c r="H188" s="8" t="str">
        <f>IFNA(VLOOKUP(F188,Driver!A:C,3,false),"")</f>
        <v>c4530791c2db2b8572ca</v>
      </c>
      <c r="I188" s="9">
        <v>0.2916666666666667</v>
      </c>
      <c r="J188" s="9">
        <v>0.6666666666666666</v>
      </c>
      <c r="K188" s="9"/>
    </row>
    <row r="189" hidden="1">
      <c r="A189" s="5" t="str">
        <f>IFNA(VLOOKUP(D189,'Location Table'!A:C,2,false),"")</f>
        <v>5af8a98e-9999-11ef-a973-506b8d9879b5</v>
      </c>
      <c r="B189" s="5" t="str">
        <f>IFNA(VLOOKUP(F189,Driver!A:C,2,false),"")</f>
        <v>d442fba0-37c6-11ed-ab29-506b8dbc8dfb</v>
      </c>
      <c r="C189" s="5" t="str">
        <f>IFNA(VLOOKUP(E189,'Location Table'!A:C,2,false),"")</f>
        <v/>
      </c>
      <c r="D189" s="6" t="s">
        <v>211</v>
      </c>
      <c r="E189" s="6"/>
      <c r="F189" s="6" t="s">
        <v>183</v>
      </c>
      <c r="G189" s="7" t="str">
        <f>IFNA(VLOOKUP(F189,Driver!A:D,4,false),"")</f>
        <v>2160130926882687325:VSRHFZoYrhhtnecmAaOfmgvaKlfxBZEgxFxSbLPTAhfVwurTuJfQgOTrwyseeqJQ</v>
      </c>
      <c r="H189" s="8" t="str">
        <f>IFNA(VLOOKUP(F189,Driver!A:C,3,false),"")</f>
        <v>c4530791c2db2b8572ca</v>
      </c>
      <c r="I189" s="9">
        <v>0.2916666666666667</v>
      </c>
      <c r="J189" s="9">
        <v>0.6666666666666666</v>
      </c>
      <c r="K189" s="9"/>
    </row>
    <row r="190" hidden="1">
      <c r="A190" s="5" t="str">
        <f>IFNA(VLOOKUP(D190,'Location Table'!A:C,2,false),"")</f>
        <v>d5d45af4-91dc-11f0-9af6-506b8d982279</v>
      </c>
      <c r="B190" s="5" t="str">
        <f>IFNA(VLOOKUP(F190,Driver!A:C,2,false),"")</f>
        <v>d442fba0-37c6-11ed-ab29-506b8dbc8dfb</v>
      </c>
      <c r="C190" s="5" t="str">
        <f>IFNA(VLOOKUP(E190,'Location Table'!A:C,2,false),"")</f>
        <v/>
      </c>
      <c r="D190" s="6" t="s">
        <v>212</v>
      </c>
      <c r="E190" s="6"/>
      <c r="F190" s="6" t="s">
        <v>183</v>
      </c>
      <c r="G190" s="7" t="str">
        <f>IFNA(VLOOKUP(F190,Driver!A:D,4,false),"")</f>
        <v>2160130926882687325:VSRHFZoYrhhtnecmAaOfmgvaKlfxBZEgxFxSbLPTAhfVwurTuJfQgOTrwyseeqJQ</v>
      </c>
      <c r="H190" s="8" t="str">
        <f>IFNA(VLOOKUP(F190,Driver!A:C,3,false),"")</f>
        <v>c4530791c2db2b8572ca</v>
      </c>
      <c r="I190" s="9">
        <v>0.2916666666666667</v>
      </c>
      <c r="J190" s="9">
        <v>0.6666666666666666</v>
      </c>
      <c r="K190" s="9"/>
    </row>
    <row r="191" hidden="1">
      <c r="A191" s="5" t="str">
        <f>IFNA(VLOOKUP(D191,'Location Table'!A:C,2,false),"")</f>
        <v>c5e2def6-ac6b-11ef-9515-506b8d9879b5</v>
      </c>
      <c r="B191" s="5" t="str">
        <f>IFNA(VLOOKUP(F191,Driver!A:C,2,false),"")</f>
        <v>d442fba0-37c6-11ed-ab29-506b8dbc8dfb</v>
      </c>
      <c r="C191" s="5" t="str">
        <f>IFNA(VLOOKUP(E191,'Location Table'!A:C,2,false),"")</f>
        <v/>
      </c>
      <c r="D191" s="6" t="s">
        <v>213</v>
      </c>
      <c r="E191" s="6"/>
      <c r="F191" s="6" t="s">
        <v>183</v>
      </c>
      <c r="G191" s="7" t="str">
        <f>IFNA(VLOOKUP(F191,Driver!A:D,4,false),"")</f>
        <v>2160130926882687325:VSRHFZoYrhhtnecmAaOfmgvaKlfxBZEgxFxSbLPTAhfVwurTuJfQgOTrwyseeqJQ</v>
      </c>
      <c r="H191" s="8" t="str">
        <f>IFNA(VLOOKUP(F191,Driver!A:C,3,false),"")</f>
        <v>c4530791c2db2b8572ca</v>
      </c>
      <c r="I191" s="9">
        <v>0.2916666666666667</v>
      </c>
      <c r="J191" s="9">
        <v>0.6666666666666666</v>
      </c>
      <c r="K191" s="9"/>
    </row>
    <row r="192" hidden="1">
      <c r="A192" s="5" t="str">
        <f>IFNA(VLOOKUP(D192,'Location Table'!A:C,2,false),"")</f>
        <v>ad7c3d8e-4514-11f0-b1fa-506b8d982279</v>
      </c>
      <c r="B192" s="5" t="str">
        <f>IFNA(VLOOKUP(F192,Driver!A:C,2,false),"")</f>
        <v>d442fba0-37c6-11ed-ab29-506b8dbc8dfb</v>
      </c>
      <c r="C192" s="5" t="str">
        <f>IFNA(VLOOKUP(E192,'Location Table'!A:C,2,false),"")</f>
        <v/>
      </c>
      <c r="D192" s="6" t="s">
        <v>214</v>
      </c>
      <c r="E192" s="6"/>
      <c r="F192" s="6" t="s">
        <v>183</v>
      </c>
      <c r="G192" s="7" t="str">
        <f>IFNA(VLOOKUP(F192,Driver!A:D,4,false),"")</f>
        <v>2160130926882687325:VSRHFZoYrhhtnecmAaOfmgvaKlfxBZEgxFxSbLPTAhfVwurTuJfQgOTrwyseeqJQ</v>
      </c>
      <c r="H192" s="8" t="str">
        <f>IFNA(VLOOKUP(F192,Driver!A:C,3,false),"")</f>
        <v>c4530791c2db2b8572ca</v>
      </c>
      <c r="I192" s="9">
        <v>0.2916666666666667</v>
      </c>
      <c r="J192" s="9">
        <v>0.6666666666666666</v>
      </c>
      <c r="K192" s="9"/>
    </row>
    <row r="193" hidden="1">
      <c r="A193" s="5" t="str">
        <f>IFNA(VLOOKUP(D193,'Location Table'!A:C,2,false),"")</f>
        <v>6e8d3dc6-d655-11f0-b393-506b8d982279</v>
      </c>
      <c r="B193" s="5" t="str">
        <f>IFNA(VLOOKUP(F193,Driver!A:C,2,false),"")</f>
        <v>d442fba0-37c6-11ed-ab29-506b8dbc8dfb</v>
      </c>
      <c r="C193" s="5" t="str">
        <f>IFNA(VLOOKUP(E193,'Location Table'!A:C,2,false),"")</f>
        <v/>
      </c>
      <c r="D193" s="6" t="s">
        <v>215</v>
      </c>
      <c r="E193" s="6"/>
      <c r="F193" s="6" t="s">
        <v>183</v>
      </c>
      <c r="G193" s="7" t="str">
        <f>IFNA(VLOOKUP(F193,Driver!A:D,4,false),"")</f>
        <v>2160130926882687325:VSRHFZoYrhhtnecmAaOfmgvaKlfxBZEgxFxSbLPTAhfVwurTuJfQgOTrwyseeqJQ</v>
      </c>
      <c r="H193" s="8" t="str">
        <f>IFNA(VLOOKUP(F193,Driver!A:C,3,false),"")</f>
        <v>c4530791c2db2b8572ca</v>
      </c>
      <c r="I193" s="9">
        <v>0.2916666666666667</v>
      </c>
      <c r="J193" s="9">
        <v>0.6666666666666666</v>
      </c>
      <c r="K193" s="9"/>
    </row>
    <row r="194" hidden="1">
      <c r="A194" s="5" t="str">
        <f>IFNA(VLOOKUP(D194,'Location Table'!A:C,2,false),"")</f>
        <v>5c5788d6-ad57-11f0-af0c-506b8d982279</v>
      </c>
      <c r="B194" s="5" t="str">
        <f>IFNA(VLOOKUP(F194,Driver!A:C,2,false),"")</f>
        <v>d442fba0-37c6-11ed-ab29-506b8dbc8dfb</v>
      </c>
      <c r="C194" s="5" t="str">
        <f>IFNA(VLOOKUP(E194,'Location Table'!A:C,2,false),"")</f>
        <v/>
      </c>
      <c r="D194" s="6" t="s">
        <v>216</v>
      </c>
      <c r="E194" s="6"/>
      <c r="F194" s="6" t="s">
        <v>183</v>
      </c>
      <c r="G194" s="7" t="str">
        <f>IFNA(VLOOKUP(F194,Driver!A:D,4,false),"")</f>
        <v>2160130926882687325:VSRHFZoYrhhtnecmAaOfmgvaKlfxBZEgxFxSbLPTAhfVwurTuJfQgOTrwyseeqJQ</v>
      </c>
      <c r="H194" s="8" t="str">
        <f>IFNA(VLOOKUP(F194,Driver!A:C,3,false),"")</f>
        <v>c4530791c2db2b8572ca</v>
      </c>
      <c r="I194" s="9">
        <v>0.2916666666666667</v>
      </c>
      <c r="J194" s="9">
        <v>0.6666666666666666</v>
      </c>
      <c r="K194" s="9"/>
    </row>
    <row r="195" hidden="1">
      <c r="A195" s="5" t="str">
        <f>IFNA(VLOOKUP(D195,'Location Table'!A:C,2,false),"")</f>
        <v>28570ae4-d0ce-11f0-9e59-506b8d982279</v>
      </c>
      <c r="B195" s="5" t="str">
        <f>IFNA(VLOOKUP(F195,Driver!A:C,2,false),"")</f>
        <v>d442fba0-37c6-11ed-ab29-506b8dbc8dfb</v>
      </c>
      <c r="C195" s="5" t="str">
        <f>IFNA(VLOOKUP(E195,'Location Table'!A:C,2,false),"")</f>
        <v/>
      </c>
      <c r="D195" s="6" t="s">
        <v>217</v>
      </c>
      <c r="E195" s="6"/>
      <c r="F195" s="6" t="s">
        <v>183</v>
      </c>
      <c r="G195" s="7" t="str">
        <f>IFNA(VLOOKUP(F195,Driver!A:D,4,false),"")</f>
        <v>2160130926882687325:VSRHFZoYrhhtnecmAaOfmgvaKlfxBZEgxFxSbLPTAhfVwurTuJfQgOTrwyseeqJQ</v>
      </c>
      <c r="H195" s="8" t="str">
        <f>IFNA(VLOOKUP(F195,Driver!A:C,3,false),"")</f>
        <v>c4530791c2db2b8572ca</v>
      </c>
      <c r="I195" s="9">
        <v>0.2916666666666667</v>
      </c>
      <c r="J195" s="9">
        <v>0.6666666666666666</v>
      </c>
      <c r="K195" s="9"/>
    </row>
    <row r="196" hidden="1">
      <c r="A196" s="5" t="str">
        <f>IFNA(VLOOKUP(D196,'Location Table'!A:C,2,false),"")</f>
        <v>d739b44c-e84a-11f0-beec-506b8d982279</v>
      </c>
      <c r="B196" s="5" t="str">
        <f>IFNA(VLOOKUP(F196,Driver!A:C,2,false),"")</f>
        <v>d442fba0-37c6-11ed-ab29-506b8dbc8dfb</v>
      </c>
      <c r="C196" s="5" t="str">
        <f>IFNA(VLOOKUP(E196,'Location Table'!A:C,2,false),"")</f>
        <v/>
      </c>
      <c r="D196" s="6" t="s">
        <v>218</v>
      </c>
      <c r="E196" s="6"/>
      <c r="F196" s="6" t="s">
        <v>183</v>
      </c>
      <c r="G196" s="7" t="str">
        <f>IFNA(VLOOKUP(F196,Driver!A:D,4,false),"")</f>
        <v>2160130926882687325:VSRHFZoYrhhtnecmAaOfmgvaKlfxBZEgxFxSbLPTAhfVwurTuJfQgOTrwyseeqJQ</v>
      </c>
      <c r="H196" s="8" t="str">
        <f>IFNA(VLOOKUP(F196,Driver!A:C,3,false),"")</f>
        <v>c4530791c2db2b8572ca</v>
      </c>
      <c r="I196" s="9">
        <v>0.2916666666666667</v>
      </c>
      <c r="J196" s="9">
        <v>0.6666666666666666</v>
      </c>
      <c r="K196" s="9"/>
    </row>
    <row r="197" hidden="1">
      <c r="A197" s="5" t="str">
        <f>IFNA(VLOOKUP(D197,'Location Table'!A:C,2,false),"")</f>
        <v>0704bb3e-ea14-11f0-9a4d-506b8d982279</v>
      </c>
      <c r="B197" s="5" t="str">
        <f>IFNA(VLOOKUP(F197,Driver!A:C,2,false),"")</f>
        <v>d442fba0-37c6-11ed-ab29-506b8dbc8dfb</v>
      </c>
      <c r="C197" s="5" t="str">
        <f>IFNA(VLOOKUP(E197,'Location Table'!A:C,2,false),"")</f>
        <v/>
      </c>
      <c r="D197" s="6" t="s">
        <v>219</v>
      </c>
      <c r="E197" s="6"/>
      <c r="F197" s="6" t="s">
        <v>183</v>
      </c>
      <c r="G197" s="7" t="str">
        <f>IFNA(VLOOKUP(F197,Driver!A:D,4,false),"")</f>
        <v>2160130926882687325:VSRHFZoYrhhtnecmAaOfmgvaKlfxBZEgxFxSbLPTAhfVwurTuJfQgOTrwyseeqJQ</v>
      </c>
      <c r="H197" s="8" t="str">
        <f>IFNA(VLOOKUP(F197,Driver!A:C,3,false),"")</f>
        <v>c4530791c2db2b8572ca</v>
      </c>
      <c r="I197" s="9">
        <v>0.2916666666666667</v>
      </c>
      <c r="J197" s="9">
        <v>0.6666666666666666</v>
      </c>
      <c r="K197" s="9"/>
    </row>
    <row r="198" hidden="1">
      <c r="A198" s="5" t="str">
        <f>IFNA(VLOOKUP(D198,'Location Table'!A:C,2,false),"")</f>
        <v>7d53a110-f90f-11f0-9378-fa163ee8d8ac</v>
      </c>
      <c r="B198" s="5" t="str">
        <f>IFNA(VLOOKUP(F198,Driver!A:C,2,false),"")</f>
        <v>d442fba0-37c6-11ed-ab29-506b8dbc8dfb</v>
      </c>
      <c r="C198" s="5" t="str">
        <f>IFNA(VLOOKUP(E198,'Location Table'!A:C,2,false),"")</f>
        <v/>
      </c>
      <c r="D198" s="6" t="s">
        <v>220</v>
      </c>
      <c r="E198" s="6"/>
      <c r="F198" s="6" t="s">
        <v>183</v>
      </c>
      <c r="G198" s="7" t="str">
        <f>IFNA(VLOOKUP(F198,Driver!A:D,4,false),"")</f>
        <v>2160130926882687325:VSRHFZoYrhhtnecmAaOfmgvaKlfxBZEgxFxSbLPTAhfVwurTuJfQgOTrwyseeqJQ</v>
      </c>
      <c r="H198" s="8" t="str">
        <f>IFNA(VLOOKUP(F198,Driver!A:C,3,false),"")</f>
        <v>c4530791c2db2b8572ca</v>
      </c>
      <c r="I198" s="9">
        <v>0.2916666666666667</v>
      </c>
      <c r="J198" s="9">
        <v>0.6666666666666666</v>
      </c>
      <c r="K198" s="9"/>
    </row>
    <row r="199" hidden="1">
      <c r="A199" s="5" t="str">
        <f>IFNA(VLOOKUP(D199,'Location Table'!A:C,2,false),"")</f>
        <v>a741cc82-e09a-11f0-a44c-506b8d982279</v>
      </c>
      <c r="B199" s="5" t="str">
        <f>IFNA(VLOOKUP(F199,Driver!A:C,2,false),"")</f>
        <v>d442fba0-37c6-11ed-ab29-506b8dbc8dfb</v>
      </c>
      <c r="C199" s="5" t="str">
        <f>IFNA(VLOOKUP(E199,'Location Table'!A:C,2,false),"")</f>
        <v/>
      </c>
      <c r="D199" s="6" t="s">
        <v>221</v>
      </c>
      <c r="E199" s="6"/>
      <c r="F199" s="6" t="s">
        <v>183</v>
      </c>
      <c r="G199" s="7" t="str">
        <f>IFNA(VLOOKUP(F199,Driver!A:D,4,false),"")</f>
        <v>2160130926882687325:VSRHFZoYrhhtnecmAaOfmgvaKlfxBZEgxFxSbLPTAhfVwurTuJfQgOTrwyseeqJQ</v>
      </c>
      <c r="H199" s="8" t="str">
        <f>IFNA(VLOOKUP(F199,Driver!A:C,3,false),"")</f>
        <v>c4530791c2db2b8572ca</v>
      </c>
      <c r="I199" s="9">
        <v>0.2916666666666667</v>
      </c>
      <c r="J199" s="9">
        <v>0.6666666666666666</v>
      </c>
      <c r="K199" s="9"/>
    </row>
    <row r="200" hidden="1">
      <c r="A200" s="5" t="str">
        <f>IFNA(VLOOKUP(D200,'Location Table'!A:C,2,false),"")</f>
        <v>d1aa759a-6fc3-11ee-981c-506b8d9879b5</v>
      </c>
      <c r="B200" s="5" t="str">
        <f>IFNA(VLOOKUP(F200,Driver!A:C,2,false),"")</f>
        <v>d442fba0-37c6-11ed-ab29-506b8dbc8dfb</v>
      </c>
      <c r="C200" s="5" t="str">
        <f>IFNA(VLOOKUP(E200,'Location Table'!A:C,2,false),"")</f>
        <v/>
      </c>
      <c r="D200" s="6" t="s">
        <v>222</v>
      </c>
      <c r="E200" s="6"/>
      <c r="F200" s="6" t="s">
        <v>183</v>
      </c>
      <c r="G200" s="7" t="str">
        <f>IFNA(VLOOKUP(F200,Driver!A:D,4,false),"")</f>
        <v>2160130926882687325:VSRHFZoYrhhtnecmAaOfmgvaKlfxBZEgxFxSbLPTAhfVwurTuJfQgOTrwyseeqJQ</v>
      </c>
      <c r="H200" s="8" t="str">
        <f>IFNA(VLOOKUP(F200,Driver!A:C,3,false),"")</f>
        <v>c4530791c2db2b8572ca</v>
      </c>
      <c r="I200" s="9">
        <v>0.2916666666666667</v>
      </c>
      <c r="J200" s="9">
        <v>0.6666666666666666</v>
      </c>
      <c r="K200" s="9"/>
    </row>
    <row r="201" hidden="1">
      <c r="A201" s="5" t="str">
        <f>IFNA(VLOOKUP(D201,'Location Table'!A:C,2,false),"")</f>
        <v>9cac571c-bf73-11f0-bb12-506b8d982279</v>
      </c>
      <c r="B201" s="5" t="str">
        <f>IFNA(VLOOKUP(F201,Driver!A:C,2,false),"")</f>
        <v>41ea8512-2e70-11f1-9378-fa163ee8d8ac</v>
      </c>
      <c r="C201" s="5" t="str">
        <f>IFNA(VLOOKUP(E201,'Location Table'!A:C,2,false),"")</f>
        <v/>
      </c>
      <c r="D201" s="6" t="s">
        <v>223</v>
      </c>
      <c r="E201" s="6"/>
      <c r="F201" s="10" t="s">
        <v>35</v>
      </c>
      <c r="G201" s="7" t="str">
        <f>IFNA(VLOOKUP(F201,Driver!A:D,4,false),"")</f>
        <v/>
      </c>
      <c r="H201" s="8" t="str">
        <f>IFNA(VLOOKUP(F201,Driver!A:C,3,false),"")</f>
        <v/>
      </c>
      <c r="I201" s="9">
        <v>0.2916666666666667</v>
      </c>
      <c r="J201" s="9">
        <v>0.6666666666666666</v>
      </c>
      <c r="K201" s="9"/>
    </row>
    <row r="202" hidden="1">
      <c r="A202" s="5" t="str">
        <f>IFNA(VLOOKUP(D202,'Location Table'!A:C,2,false),"")</f>
        <v>2cf996e2-1b14-11ee-91a0-506b8d9879b5</v>
      </c>
      <c r="B202" s="5" t="str">
        <f>IFNA(VLOOKUP(F202,Driver!A:C,2,false),"")</f>
        <v>d442fba0-37c6-11ed-ab29-506b8dbc8dfb</v>
      </c>
      <c r="C202" s="5" t="str">
        <f>IFNA(VLOOKUP(E202,'Location Table'!A:C,2,false),"")</f>
        <v/>
      </c>
      <c r="D202" s="6" t="s">
        <v>224</v>
      </c>
      <c r="E202" s="6"/>
      <c r="F202" s="6" t="s">
        <v>183</v>
      </c>
      <c r="G202" s="7" t="str">
        <f>IFNA(VLOOKUP(F202,Driver!A:D,4,false),"")</f>
        <v>2160130926882687325:VSRHFZoYrhhtnecmAaOfmgvaKlfxBZEgxFxSbLPTAhfVwurTuJfQgOTrwyseeqJQ</v>
      </c>
      <c r="H202" s="8" t="str">
        <f>IFNA(VLOOKUP(F202,Driver!A:C,3,false),"")</f>
        <v>c4530791c2db2b8572ca</v>
      </c>
      <c r="I202" s="9">
        <v>0.2916666666666667</v>
      </c>
      <c r="J202" s="9">
        <v>0.6666666666666666</v>
      </c>
      <c r="K202" s="9"/>
    </row>
    <row r="203" hidden="1">
      <c r="A203" s="5" t="str">
        <f>IFNA(VLOOKUP(D203,'Location Table'!A:C,2,false),"")</f>
        <v>556dbe26-2129-11ee-a592-506b8d9879b5</v>
      </c>
      <c r="B203" s="5" t="str">
        <f>IFNA(VLOOKUP(F203,Driver!A:C,2,false),"")</f>
        <v>d442fba0-37c6-11ed-ab29-506b8dbc8dfb</v>
      </c>
      <c r="C203" s="5" t="str">
        <f>IFNA(VLOOKUP(E203,'Location Table'!A:C,2,false),"")</f>
        <v/>
      </c>
      <c r="D203" s="6" t="s">
        <v>225</v>
      </c>
      <c r="E203" s="6"/>
      <c r="F203" s="6" t="s">
        <v>183</v>
      </c>
      <c r="G203" s="7" t="str">
        <f>IFNA(VLOOKUP(F203,Driver!A:D,4,false),"")</f>
        <v>2160130926882687325:VSRHFZoYrhhtnecmAaOfmgvaKlfxBZEgxFxSbLPTAhfVwurTuJfQgOTrwyseeqJQ</v>
      </c>
      <c r="H203" s="8" t="str">
        <f>IFNA(VLOOKUP(F203,Driver!A:C,3,false),"")</f>
        <v>c4530791c2db2b8572ca</v>
      </c>
      <c r="I203" s="9">
        <v>0.2916666666666667</v>
      </c>
      <c r="J203" s="9">
        <v>0.6666666666666666</v>
      </c>
      <c r="K203" s="9"/>
    </row>
    <row r="204" hidden="1">
      <c r="A204" s="5" t="str">
        <f>IFNA(VLOOKUP(D204,'Location Table'!A:C,2,false),"")</f>
        <v>8bd366aa-447f-11ed-9a1c-506b8dbc8dfb</v>
      </c>
      <c r="B204" s="5" t="str">
        <f>IFNA(VLOOKUP(F204,Driver!A:C,2,false),"")</f>
        <v>d442fba0-37c6-11ed-ab29-506b8dbc8dfb</v>
      </c>
      <c r="C204" s="5" t="str">
        <f>IFNA(VLOOKUP(E204,'Location Table'!A:C,2,false),"")</f>
        <v/>
      </c>
      <c r="D204" s="6" t="s">
        <v>226</v>
      </c>
      <c r="E204" s="6"/>
      <c r="F204" s="6" t="s">
        <v>183</v>
      </c>
      <c r="G204" s="7" t="str">
        <f>IFNA(VLOOKUP(F204,Driver!A:D,4,false),"")</f>
        <v>2160130926882687325:VSRHFZoYrhhtnecmAaOfmgvaKlfxBZEgxFxSbLPTAhfVwurTuJfQgOTrwyseeqJQ</v>
      </c>
      <c r="H204" s="8" t="str">
        <f>IFNA(VLOOKUP(F204,Driver!A:C,3,false),"")</f>
        <v>c4530791c2db2b8572ca</v>
      </c>
      <c r="I204" s="9">
        <v>0.2916666666666667</v>
      </c>
      <c r="J204" s="9">
        <v>0.6666666666666666</v>
      </c>
      <c r="K204" s="9"/>
    </row>
    <row r="205" hidden="1">
      <c r="A205" s="5" t="str">
        <f>IFNA(VLOOKUP(D205,'Location Table'!A:C,2,false),"")</f>
        <v>a79a4c0a-447f-11ed-b11a-506b8dbc8dfb</v>
      </c>
      <c r="B205" s="5" t="str">
        <f>IFNA(VLOOKUP(F205,Driver!A:C,2,false),"")</f>
        <v>a4e52324-215e-11ee-afc5-506b8d9879b5</v>
      </c>
      <c r="C205" s="5" t="str">
        <f>IFNA(VLOOKUP(E205,'Location Table'!A:C,2,false),"")</f>
        <v/>
      </c>
      <c r="D205" s="6" t="s">
        <v>227</v>
      </c>
      <c r="E205" s="6"/>
      <c r="F205" s="10" t="s">
        <v>228</v>
      </c>
      <c r="G205" s="7" t="str">
        <f>IFNA(VLOOKUP(F205,Driver!A:D,4,false),"")</f>
        <v>1980698793628880414:XXMGIAegigeHesHcPUQpIcnMCwhigvPUATFrPyRHiqIZqTwmvWiXbUzfDhivxPcl</v>
      </c>
      <c r="H205" s="8" t="str">
        <f>IFNA(VLOOKUP(F205,Driver!A:C,3,false),"")</f>
        <v>948d059b10d2f98ca0c3</v>
      </c>
      <c r="I205" s="9">
        <v>0.2916666666666667</v>
      </c>
      <c r="J205" s="9">
        <v>0.6666666666666666</v>
      </c>
      <c r="K205" s="9"/>
    </row>
    <row r="206" hidden="1">
      <c r="A206" s="5" t="str">
        <f>IFNA(VLOOKUP(D206,'Location Table'!A:C,2,false),"")</f>
        <v>e5c655b2-4a0d-11ed-92c7-506b8dbc8dfb</v>
      </c>
      <c r="B206" s="5" t="str">
        <f>IFNA(VLOOKUP(F206,Driver!A:C,2,false),"")</f>
        <v>d442fba0-37c6-11ed-ab29-506b8dbc8dfb</v>
      </c>
      <c r="C206" s="5" t="str">
        <f>IFNA(VLOOKUP(E206,'Location Table'!A:C,2,false),"")</f>
        <v/>
      </c>
      <c r="D206" s="6" t="s">
        <v>229</v>
      </c>
      <c r="E206" s="6"/>
      <c r="F206" s="6" t="s">
        <v>183</v>
      </c>
      <c r="G206" s="7" t="str">
        <f>IFNA(VLOOKUP(F206,Driver!A:D,4,false),"")</f>
        <v>2160130926882687325:VSRHFZoYrhhtnecmAaOfmgvaKlfxBZEgxFxSbLPTAhfVwurTuJfQgOTrwyseeqJQ</v>
      </c>
      <c r="H206" s="8" t="str">
        <f>IFNA(VLOOKUP(F206,Driver!A:C,3,false),"")</f>
        <v>c4530791c2db2b8572ca</v>
      </c>
      <c r="I206" s="9">
        <v>0.2916666666666667</v>
      </c>
      <c r="J206" s="9">
        <v>0.6666666666666666</v>
      </c>
      <c r="K206" s="9"/>
    </row>
    <row r="207" hidden="1">
      <c r="A207" s="5" t="str">
        <f>IFNA(VLOOKUP(D207,'Location Table'!A:C,2,false),"")</f>
        <v>2fde8600-4252-11ee-8362-506b8d9879b5</v>
      </c>
      <c r="B207" s="5" t="str">
        <f>IFNA(VLOOKUP(F207,Driver!A:C,2,false),"")</f>
        <v>d442fba0-37c6-11ed-ab29-506b8dbc8dfb</v>
      </c>
      <c r="C207" s="5" t="str">
        <f>IFNA(VLOOKUP(E207,'Location Table'!A:C,2,false),"")</f>
        <v/>
      </c>
      <c r="D207" s="6" t="s">
        <v>230</v>
      </c>
      <c r="E207" s="6"/>
      <c r="F207" s="6" t="s">
        <v>183</v>
      </c>
      <c r="G207" s="7" t="str">
        <f>IFNA(VLOOKUP(F207,Driver!A:D,4,false),"")</f>
        <v>2160130926882687325:VSRHFZoYrhhtnecmAaOfmgvaKlfxBZEgxFxSbLPTAhfVwurTuJfQgOTrwyseeqJQ</v>
      </c>
      <c r="H207" s="8" t="str">
        <f>IFNA(VLOOKUP(F207,Driver!A:C,3,false),"")</f>
        <v>c4530791c2db2b8572ca</v>
      </c>
      <c r="I207" s="9">
        <v>0.2916666666666667</v>
      </c>
      <c r="J207" s="9">
        <v>0.6666666666666666</v>
      </c>
      <c r="K207" s="9"/>
    </row>
    <row r="208" hidden="1">
      <c r="A208" s="5" t="str">
        <f>IFNA(VLOOKUP(D208,'Location Table'!A:C,2,false),"")</f>
        <v>37af7d88-4624-11ed-b5b0-506b8dbc8dfb</v>
      </c>
      <c r="B208" s="5" t="str">
        <f>IFNA(VLOOKUP(F208,Driver!A:C,2,false),"")</f>
        <v>d442fba0-37c6-11ed-ab29-506b8dbc8dfb</v>
      </c>
      <c r="C208" s="5" t="str">
        <f>IFNA(VLOOKUP(E208,'Location Table'!A:C,2,false),"")</f>
        <v/>
      </c>
      <c r="D208" s="6" t="s">
        <v>231</v>
      </c>
      <c r="E208" s="6"/>
      <c r="F208" s="6" t="s">
        <v>183</v>
      </c>
      <c r="G208" s="7" t="str">
        <f>IFNA(VLOOKUP(F208,Driver!A:D,4,false),"")</f>
        <v>2160130926882687325:VSRHFZoYrhhtnecmAaOfmgvaKlfxBZEgxFxSbLPTAhfVwurTuJfQgOTrwyseeqJQ</v>
      </c>
      <c r="H208" s="8" t="str">
        <f>IFNA(VLOOKUP(F208,Driver!A:C,3,false),"")</f>
        <v>c4530791c2db2b8572ca</v>
      </c>
      <c r="I208" s="9">
        <v>0.2916666666666667</v>
      </c>
      <c r="J208" s="9">
        <v>0.6666666666666666</v>
      </c>
      <c r="K208" s="9"/>
    </row>
    <row r="209" hidden="1">
      <c r="A209" s="5" t="str">
        <f>IFNA(VLOOKUP(D209,'Location Table'!A:C,2,false),"")</f>
        <v>61781582-47b1-11ee-9053-506b8d9879b5</v>
      </c>
      <c r="B209" s="5" t="str">
        <f>IFNA(VLOOKUP(F209,Driver!A:C,2,false),"")</f>
        <v>d442fba0-37c6-11ed-ab29-506b8dbc8dfb</v>
      </c>
      <c r="C209" s="5" t="str">
        <f>IFNA(VLOOKUP(E209,'Location Table'!A:C,2,false),"")</f>
        <v/>
      </c>
      <c r="D209" s="6" t="s">
        <v>232</v>
      </c>
      <c r="E209" s="6"/>
      <c r="F209" s="6" t="s">
        <v>183</v>
      </c>
      <c r="G209" s="7" t="str">
        <f>IFNA(VLOOKUP(F209,Driver!A:D,4,false),"")</f>
        <v>2160130926882687325:VSRHFZoYrhhtnecmAaOfmgvaKlfxBZEgxFxSbLPTAhfVwurTuJfQgOTrwyseeqJQ</v>
      </c>
      <c r="H209" s="8" t="str">
        <f>IFNA(VLOOKUP(F209,Driver!A:C,3,false),"")</f>
        <v>c4530791c2db2b8572ca</v>
      </c>
      <c r="I209" s="9">
        <v>0.2916666666666667</v>
      </c>
      <c r="J209" s="9">
        <v>0.6666666666666666</v>
      </c>
      <c r="K209" s="9"/>
    </row>
    <row r="210" hidden="1">
      <c r="A210" s="5" t="str">
        <f>IFNA(VLOOKUP(D210,'Location Table'!A:C,2,false),"")</f>
        <v>01e0ec98-cf06-11ee-b4d1-506b8d9879b5</v>
      </c>
      <c r="B210" s="5" t="str">
        <f>IFNA(VLOOKUP(F210,Driver!A:C,2,false),"")</f>
        <v>d442fba0-37c6-11ed-ab29-506b8dbc8dfb</v>
      </c>
      <c r="C210" s="5" t="str">
        <f>IFNA(VLOOKUP(E210,'Location Table'!A:C,2,false),"")</f>
        <v/>
      </c>
      <c r="D210" s="6" t="s">
        <v>233</v>
      </c>
      <c r="E210" s="6"/>
      <c r="F210" s="6" t="s">
        <v>183</v>
      </c>
      <c r="G210" s="7" t="str">
        <f>IFNA(VLOOKUP(F210,Driver!A:D,4,false),"")</f>
        <v>2160130926882687325:VSRHFZoYrhhtnecmAaOfmgvaKlfxBZEgxFxSbLPTAhfVwurTuJfQgOTrwyseeqJQ</v>
      </c>
      <c r="H210" s="8" t="str">
        <f>IFNA(VLOOKUP(F210,Driver!A:C,3,false),"")</f>
        <v>c4530791c2db2b8572ca</v>
      </c>
      <c r="I210" s="9">
        <v>0.2916666666666667</v>
      </c>
      <c r="J210" s="9">
        <v>0.6666666666666666</v>
      </c>
      <c r="K210" s="9"/>
    </row>
    <row r="211" hidden="1">
      <c r="A211" s="5" t="str">
        <f>IFNA(VLOOKUP(D211,'Location Table'!A:C,2,false),"")</f>
        <v>93b73574-49ff-11ed-81c1-506b8dbc8dfb</v>
      </c>
      <c r="B211" s="5" t="str">
        <f>IFNA(VLOOKUP(F211,Driver!A:C,2,false),"")</f>
        <v>d442fba0-37c6-11ed-ab29-506b8dbc8dfb</v>
      </c>
      <c r="C211" s="5" t="str">
        <f>IFNA(VLOOKUP(E211,'Location Table'!A:C,2,false),"")</f>
        <v/>
      </c>
      <c r="D211" s="6" t="s">
        <v>234</v>
      </c>
      <c r="E211" s="6"/>
      <c r="F211" s="6" t="s">
        <v>183</v>
      </c>
      <c r="G211" s="7" t="str">
        <f>IFNA(VLOOKUP(F211,Driver!A:D,4,false),"")</f>
        <v>2160130926882687325:VSRHFZoYrhhtnecmAaOfmgvaKlfxBZEgxFxSbLPTAhfVwurTuJfQgOTrwyseeqJQ</v>
      </c>
      <c r="H211" s="8" t="str">
        <f>IFNA(VLOOKUP(F211,Driver!A:C,3,false),"")</f>
        <v>c4530791c2db2b8572ca</v>
      </c>
      <c r="I211" s="9">
        <v>0.2916666666666667</v>
      </c>
      <c r="J211" s="9">
        <v>0.6666666666666666</v>
      </c>
      <c r="K211" s="9"/>
    </row>
    <row r="212" hidden="1">
      <c r="A212" s="5" t="str">
        <f>IFNA(VLOOKUP(D212,'Location Table'!A:C,2,false),"")</f>
        <v>7ec93b68-16fe-11ee-932a-506b8d9879b5</v>
      </c>
      <c r="B212" s="5" t="str">
        <f>IFNA(VLOOKUP(F212,Driver!A:C,2,false),"")</f>
        <v>d442fba0-37c6-11ed-ab29-506b8dbc8dfb</v>
      </c>
      <c r="C212" s="5" t="str">
        <f>IFNA(VLOOKUP(E212,'Location Table'!A:C,2,false),"")</f>
        <v/>
      </c>
      <c r="D212" s="6" t="s">
        <v>235</v>
      </c>
      <c r="E212" s="6"/>
      <c r="F212" s="6" t="s">
        <v>183</v>
      </c>
      <c r="G212" s="7" t="str">
        <f>IFNA(VLOOKUP(F212,Driver!A:D,4,false),"")</f>
        <v>2160130926882687325:VSRHFZoYrhhtnecmAaOfmgvaKlfxBZEgxFxSbLPTAhfVwurTuJfQgOTrwyseeqJQ</v>
      </c>
      <c r="H212" s="8" t="str">
        <f>IFNA(VLOOKUP(F212,Driver!A:C,3,false),"")</f>
        <v>c4530791c2db2b8572ca</v>
      </c>
      <c r="I212" s="9">
        <v>0.2916666666666667</v>
      </c>
      <c r="J212" s="9">
        <v>0.6666666666666666</v>
      </c>
      <c r="K212" s="9"/>
    </row>
    <row r="213" hidden="1">
      <c r="A213" s="5" t="str">
        <f>IFNA(VLOOKUP(D213,'Location Table'!A:C,2,false),"")</f>
        <v>3d8510ae-219d-11f0-8f8e-506b8d982279</v>
      </c>
      <c r="B213" s="5" t="str">
        <f>IFNA(VLOOKUP(F213,Driver!A:C,2,false),"")</f>
        <v>d442fba0-37c6-11ed-ab29-506b8dbc8dfb</v>
      </c>
      <c r="C213" s="5" t="str">
        <f>IFNA(VLOOKUP(E213,'Location Table'!A:C,2,false),"")</f>
        <v/>
      </c>
      <c r="D213" s="6" t="s">
        <v>236</v>
      </c>
      <c r="E213" s="6"/>
      <c r="F213" s="6" t="s">
        <v>183</v>
      </c>
      <c r="G213" s="7" t="str">
        <f>IFNA(VLOOKUP(F213,Driver!A:D,4,false),"")</f>
        <v>2160130926882687325:VSRHFZoYrhhtnecmAaOfmgvaKlfxBZEgxFxSbLPTAhfVwurTuJfQgOTrwyseeqJQ</v>
      </c>
      <c r="H213" s="8" t="str">
        <f>IFNA(VLOOKUP(F213,Driver!A:C,3,false),"")</f>
        <v>c4530791c2db2b8572ca</v>
      </c>
      <c r="I213" s="9">
        <v>0.2916666666666667</v>
      </c>
      <c r="J213" s="9">
        <v>0.6666666666666666</v>
      </c>
      <c r="K213" s="9"/>
    </row>
    <row r="214" hidden="1">
      <c r="A214" s="5" t="str">
        <f>IFNA(VLOOKUP(D214,'Location Table'!A:C,2,false),"")</f>
        <v>e88b0718-dba5-11ee-b0a0-506b8d9879b5</v>
      </c>
      <c r="B214" s="5" t="str">
        <f>IFNA(VLOOKUP(F214,Driver!A:C,2,false),"")</f>
        <v>d442fba0-37c6-11ed-ab29-506b8dbc8dfb</v>
      </c>
      <c r="C214" s="5" t="str">
        <f>IFNA(VLOOKUP(E214,'Location Table'!A:C,2,false),"")</f>
        <v/>
      </c>
      <c r="D214" s="6" t="s">
        <v>237</v>
      </c>
      <c r="E214" s="6"/>
      <c r="F214" s="6" t="s">
        <v>183</v>
      </c>
      <c r="G214" s="7" t="str">
        <f>IFNA(VLOOKUP(F214,Driver!A:D,4,false),"")</f>
        <v>2160130926882687325:VSRHFZoYrhhtnecmAaOfmgvaKlfxBZEgxFxSbLPTAhfVwurTuJfQgOTrwyseeqJQ</v>
      </c>
      <c r="H214" s="8" t="str">
        <f>IFNA(VLOOKUP(F214,Driver!A:C,3,false),"")</f>
        <v>c4530791c2db2b8572ca</v>
      </c>
      <c r="I214" s="9">
        <v>0.2916666666666667</v>
      </c>
      <c r="J214" s="9">
        <v>0.6666666666666666</v>
      </c>
      <c r="K214" s="9"/>
    </row>
    <row r="215" hidden="1">
      <c r="A215" s="5" t="str">
        <f>IFNA(VLOOKUP(D215,'Location Table'!A:C,2,false),"")</f>
        <v>bb622ab6-8b35-11ee-8453-506b8d9879b5</v>
      </c>
      <c r="B215" s="5" t="str">
        <f>IFNA(VLOOKUP(F215,Driver!A:C,2,false),"")</f>
        <v>d442fba0-37c6-11ed-ab29-506b8dbc8dfb</v>
      </c>
      <c r="C215" s="5" t="str">
        <f>IFNA(VLOOKUP(E215,'Location Table'!A:C,2,false),"")</f>
        <v/>
      </c>
      <c r="D215" s="6" t="s">
        <v>238</v>
      </c>
      <c r="E215" s="6"/>
      <c r="F215" s="6" t="s">
        <v>183</v>
      </c>
      <c r="G215" s="7" t="str">
        <f>IFNA(VLOOKUP(F215,Driver!A:D,4,false),"")</f>
        <v>2160130926882687325:VSRHFZoYrhhtnecmAaOfmgvaKlfxBZEgxFxSbLPTAhfVwurTuJfQgOTrwyseeqJQ</v>
      </c>
      <c r="H215" s="8" t="str">
        <f>IFNA(VLOOKUP(F215,Driver!A:C,3,false),"")</f>
        <v>c4530791c2db2b8572ca</v>
      </c>
      <c r="I215" s="9">
        <v>0.2916666666666667</v>
      </c>
      <c r="J215" s="9">
        <v>0.6666666666666666</v>
      </c>
      <c r="K215" s="9"/>
    </row>
    <row r="216" hidden="1">
      <c r="A216" s="5" t="str">
        <f>IFNA(VLOOKUP(D216,'Location Table'!A:C,2,false),"")</f>
        <v>2dbcf8fe-842c-11ee-969a-506b8d9879b5</v>
      </c>
      <c r="B216" s="5" t="str">
        <f>IFNA(VLOOKUP(F216,Driver!A:C,2,false),"")</f>
        <v>d442fba0-37c6-11ed-ab29-506b8dbc8dfb</v>
      </c>
      <c r="C216" s="5" t="str">
        <f>IFNA(VLOOKUP(E216,'Location Table'!A:C,2,false),"")</f>
        <v/>
      </c>
      <c r="D216" s="6" t="s">
        <v>239</v>
      </c>
      <c r="E216" s="6"/>
      <c r="F216" s="6" t="s">
        <v>183</v>
      </c>
      <c r="G216" s="7" t="str">
        <f>IFNA(VLOOKUP(F216,Driver!A:D,4,false),"")</f>
        <v>2160130926882687325:VSRHFZoYrhhtnecmAaOfmgvaKlfxBZEgxFxSbLPTAhfVwurTuJfQgOTrwyseeqJQ</v>
      </c>
      <c r="H216" s="8" t="str">
        <f>IFNA(VLOOKUP(F216,Driver!A:C,3,false),"")</f>
        <v>c4530791c2db2b8572ca</v>
      </c>
      <c r="I216" s="9">
        <v>0.2916666666666667</v>
      </c>
      <c r="J216" s="9">
        <v>0.6666666666666666</v>
      </c>
      <c r="K216" s="9"/>
    </row>
    <row r="217" hidden="1">
      <c r="A217" s="5" t="str">
        <f>IFNA(VLOOKUP(D217,'Location Table'!A:C,2,false),"")</f>
        <v>4063cc96-6051-11f0-95b5-506b8d982279</v>
      </c>
      <c r="B217" s="5" t="str">
        <f>IFNA(VLOOKUP(F217,Driver!A:C,2,false),"")</f>
        <v>d442fba0-37c6-11ed-ab29-506b8dbc8dfb</v>
      </c>
      <c r="C217" s="5" t="str">
        <f>IFNA(VLOOKUP(E217,'Location Table'!A:C,2,false),"")</f>
        <v/>
      </c>
      <c r="D217" s="6" t="s">
        <v>240</v>
      </c>
      <c r="E217" s="6"/>
      <c r="F217" s="6" t="s">
        <v>183</v>
      </c>
      <c r="G217" s="7" t="str">
        <f>IFNA(VLOOKUP(F217,Driver!A:D,4,false),"")</f>
        <v>2160130926882687325:VSRHFZoYrhhtnecmAaOfmgvaKlfxBZEgxFxSbLPTAhfVwurTuJfQgOTrwyseeqJQ</v>
      </c>
      <c r="H217" s="8" t="str">
        <f>IFNA(VLOOKUP(F217,Driver!A:C,3,false),"")</f>
        <v>c4530791c2db2b8572ca</v>
      </c>
      <c r="I217" s="9">
        <v>0.2916666666666667</v>
      </c>
      <c r="J217" s="9">
        <v>0.6666666666666666</v>
      </c>
      <c r="K217" s="9"/>
    </row>
    <row r="218" hidden="1">
      <c r="A218" s="5" t="str">
        <f>IFNA(VLOOKUP(D218,'Location Table'!A:C,2,false),"")</f>
        <v>7282a9a6-49fa-11ed-a652-506b8dbc8dfb</v>
      </c>
      <c r="B218" s="5" t="str">
        <f>IFNA(VLOOKUP(F218,Driver!A:C,2,false),"")</f>
        <v>d442fba0-37c6-11ed-ab29-506b8dbc8dfb</v>
      </c>
      <c r="C218" s="5" t="str">
        <f>IFNA(VLOOKUP(E218,'Location Table'!A:C,2,false),"")</f>
        <v/>
      </c>
      <c r="D218" s="6" t="s">
        <v>241</v>
      </c>
      <c r="E218" s="6"/>
      <c r="F218" s="6" t="s">
        <v>183</v>
      </c>
      <c r="G218" s="7" t="str">
        <f>IFNA(VLOOKUP(F218,Driver!A:D,4,false),"")</f>
        <v>2160130926882687325:VSRHFZoYrhhtnecmAaOfmgvaKlfxBZEgxFxSbLPTAhfVwurTuJfQgOTrwyseeqJQ</v>
      </c>
      <c r="H218" s="8" t="str">
        <f>IFNA(VLOOKUP(F218,Driver!A:C,3,false),"")</f>
        <v>c4530791c2db2b8572ca</v>
      </c>
      <c r="I218" s="9">
        <v>0.2916666666666667</v>
      </c>
      <c r="J218" s="9">
        <v>0.6666666666666666</v>
      </c>
      <c r="K218" s="9"/>
    </row>
    <row r="219" hidden="1">
      <c r="A219" s="5" t="str">
        <f>IFNA(VLOOKUP(D219,'Location Table'!A:C,2,false),"")</f>
        <v>d380223a-4480-11ed-8d02-506b8dbc8dfb</v>
      </c>
      <c r="B219" s="5" t="str">
        <f>IFNA(VLOOKUP(F219,Driver!A:C,2,false),"")</f>
        <v>d442fba0-37c6-11ed-ab29-506b8dbc8dfb</v>
      </c>
      <c r="C219" s="5" t="str">
        <f>IFNA(VLOOKUP(E219,'Location Table'!A:C,2,false),"")</f>
        <v/>
      </c>
      <c r="D219" s="6" t="s">
        <v>242</v>
      </c>
      <c r="E219" s="6"/>
      <c r="F219" s="6" t="s">
        <v>183</v>
      </c>
      <c r="G219" s="7" t="str">
        <f>IFNA(VLOOKUP(F219,Driver!A:D,4,false),"")</f>
        <v>2160130926882687325:VSRHFZoYrhhtnecmAaOfmgvaKlfxBZEgxFxSbLPTAhfVwurTuJfQgOTrwyseeqJQ</v>
      </c>
      <c r="H219" s="8" t="str">
        <f>IFNA(VLOOKUP(F219,Driver!A:C,3,false),"")</f>
        <v>c4530791c2db2b8572ca</v>
      </c>
      <c r="I219" s="9">
        <v>0.2916666666666667</v>
      </c>
      <c r="J219" s="9">
        <v>0.6666666666666666</v>
      </c>
      <c r="K219" s="9"/>
    </row>
    <row r="220" hidden="1">
      <c r="A220" s="5" t="str">
        <f>IFNA(VLOOKUP(D220,'Location Table'!A:C,2,false),"")</f>
        <v>fa2ed10e-1f7e-11ee-a677-506b8d9879b5</v>
      </c>
      <c r="B220" s="5" t="str">
        <f>IFNA(VLOOKUP(F220,Driver!A:C,2,false),"")</f>
        <v>d442fba0-37c6-11ed-ab29-506b8dbc8dfb</v>
      </c>
      <c r="C220" s="5" t="str">
        <f>IFNA(VLOOKUP(E220,'Location Table'!A:C,2,false),"")</f>
        <v/>
      </c>
      <c r="D220" s="6" t="s">
        <v>243</v>
      </c>
      <c r="E220" s="6"/>
      <c r="F220" s="6" t="s">
        <v>183</v>
      </c>
      <c r="G220" s="7" t="str">
        <f>IFNA(VLOOKUP(F220,Driver!A:D,4,false),"")</f>
        <v>2160130926882687325:VSRHFZoYrhhtnecmAaOfmgvaKlfxBZEgxFxSbLPTAhfVwurTuJfQgOTrwyseeqJQ</v>
      </c>
      <c r="H220" s="8" t="str">
        <f>IFNA(VLOOKUP(F220,Driver!A:C,3,false),"")</f>
        <v>c4530791c2db2b8572ca</v>
      </c>
      <c r="I220" s="9">
        <v>0.2916666666666667</v>
      </c>
      <c r="J220" s="9">
        <v>0.6666666666666666</v>
      </c>
      <c r="K220" s="9"/>
    </row>
    <row r="221" hidden="1">
      <c r="A221" s="5" t="str">
        <f>IFNA(VLOOKUP(D221,'Location Table'!A:C,2,false),"")</f>
        <v>72e3a2d4-8fba-11f0-a93c-506b8d982279</v>
      </c>
      <c r="B221" s="5" t="str">
        <f>IFNA(VLOOKUP(F221,Driver!A:C,2,false),"")</f>
        <v>d442fba0-37c6-11ed-ab29-506b8dbc8dfb</v>
      </c>
      <c r="C221" s="5" t="str">
        <f>IFNA(VLOOKUP(E221,'Location Table'!A:C,2,false),"")</f>
        <v/>
      </c>
      <c r="D221" s="6" t="s">
        <v>244</v>
      </c>
      <c r="E221" s="6"/>
      <c r="F221" s="6" t="s">
        <v>183</v>
      </c>
      <c r="G221" s="7" t="str">
        <f>IFNA(VLOOKUP(F221,Driver!A:D,4,false),"")</f>
        <v>2160130926882687325:VSRHFZoYrhhtnecmAaOfmgvaKlfxBZEgxFxSbLPTAhfVwurTuJfQgOTrwyseeqJQ</v>
      </c>
      <c r="H221" s="8" t="str">
        <f>IFNA(VLOOKUP(F221,Driver!A:C,3,false),"")</f>
        <v>c4530791c2db2b8572ca</v>
      </c>
      <c r="I221" s="9">
        <v>0.2916666666666667</v>
      </c>
      <c r="J221" s="9">
        <v>0.6666666666666666</v>
      </c>
      <c r="K221" s="9"/>
    </row>
    <row r="222" hidden="1">
      <c r="A222" s="5" t="str">
        <f>IFNA(VLOOKUP(D222,'Location Table'!A:C,2,false),"")</f>
        <v>08b826b6-938d-11ef-911f-506b8d9879b5</v>
      </c>
      <c r="B222" s="5" t="str">
        <f>IFNA(VLOOKUP(F222,Driver!A:C,2,false),"")</f>
        <v>a72dc14a-3654-11ed-bef3-506b8dbc8dfb</v>
      </c>
      <c r="C222" s="5" t="str">
        <f>IFNA(VLOOKUP(E222,'Location Table'!A:C,2,false),"")</f>
        <v/>
      </c>
      <c r="D222" s="6" t="s">
        <v>245</v>
      </c>
      <c r="E222" s="6"/>
      <c r="F222" s="6" t="s">
        <v>246</v>
      </c>
      <c r="G222" s="7" t="str">
        <f>IFNA(VLOOKUP(F222,Driver!A:D,4,false),"")</f>
        <v>1980698793628880414:XXMGIAegigeHesHcPUQpIcnMCwhigvPUATFrPyRHiqIZqTwmvWiXbUzfDhivxPcl</v>
      </c>
      <c r="H222" s="8" t="str">
        <f>IFNA(VLOOKUP(F222,Driver!A:C,3,false),"")</f>
        <v>88199dcfa88541db1894</v>
      </c>
      <c r="I222" s="9">
        <v>0.25</v>
      </c>
      <c r="J222" s="9">
        <v>0.4583333333333333</v>
      </c>
      <c r="K222" s="9"/>
    </row>
    <row r="223" hidden="1">
      <c r="A223" s="5" t="str">
        <f>IFNA(VLOOKUP(D223,'Location Table'!A:C,2,false),"")</f>
        <v>d9e8fcd4-48f5-11ef-86ca-506b8d9879b5</v>
      </c>
      <c r="B223" s="5" t="str">
        <f>IFNA(VLOOKUP(F223,Driver!A:C,2,false),"")</f>
        <v>a72dc14a-3654-11ed-bef3-506b8dbc8dfb</v>
      </c>
      <c r="C223" s="5" t="str">
        <f>IFNA(VLOOKUP(E223,'Location Table'!A:C,2,false),"")</f>
        <v/>
      </c>
      <c r="D223" s="6" t="s">
        <v>247</v>
      </c>
      <c r="E223" s="6"/>
      <c r="F223" s="6" t="s">
        <v>246</v>
      </c>
      <c r="G223" s="7" t="str">
        <f>IFNA(VLOOKUP(F223,Driver!A:D,4,false),"")</f>
        <v>1980698793628880414:XXMGIAegigeHesHcPUQpIcnMCwhigvPUATFrPyRHiqIZqTwmvWiXbUzfDhivxPcl</v>
      </c>
      <c r="H223" s="8" t="str">
        <f>IFNA(VLOOKUP(F223,Driver!A:C,3,false),"")</f>
        <v>88199dcfa88541db1894</v>
      </c>
      <c r="I223" s="9">
        <v>0.25</v>
      </c>
      <c r="J223" s="9">
        <v>0.4583333333333333</v>
      </c>
      <c r="K223" s="9"/>
    </row>
    <row r="224" hidden="1">
      <c r="A224" s="5" t="str">
        <f>IFNA(VLOOKUP(D224,'Location Table'!A:C,2,false),"")</f>
        <v>86fbb8bc-a919-11ee-abe3-506b8d9879b5</v>
      </c>
      <c r="B224" s="5" t="str">
        <f>IFNA(VLOOKUP(F224,Driver!A:C,2,false),"")</f>
        <v>a72dc14a-3654-11ed-bef3-506b8dbc8dfb</v>
      </c>
      <c r="C224" s="5" t="str">
        <f>IFNA(VLOOKUP(E224,'Location Table'!A:C,2,false),"")</f>
        <v/>
      </c>
      <c r="D224" s="6" t="s">
        <v>248</v>
      </c>
      <c r="E224" s="6"/>
      <c r="F224" s="6" t="s">
        <v>246</v>
      </c>
      <c r="G224" s="7" t="str">
        <f>IFNA(VLOOKUP(F224,Driver!A:D,4,false),"")</f>
        <v>1980698793628880414:XXMGIAegigeHesHcPUQpIcnMCwhigvPUATFrPyRHiqIZqTwmvWiXbUzfDhivxPcl</v>
      </c>
      <c r="H224" s="8" t="str">
        <f>IFNA(VLOOKUP(F224,Driver!A:C,3,false),"")</f>
        <v>88199dcfa88541db1894</v>
      </c>
      <c r="I224" s="9">
        <v>0.25</v>
      </c>
      <c r="J224" s="9">
        <v>0.4583333333333333</v>
      </c>
      <c r="K224" s="9"/>
    </row>
    <row r="225" hidden="1">
      <c r="A225" s="5" t="str">
        <f>IFNA(VLOOKUP(D225,'Location Table'!A:C,2,false),"")</f>
        <v>ff38cebe-2c19-11ee-9481-506b8d9879b5</v>
      </c>
      <c r="B225" s="5" t="str">
        <f>IFNA(VLOOKUP(F225,Driver!A:C,2,false),"")</f>
        <v>a72dc14a-3654-11ed-bef3-506b8dbc8dfb</v>
      </c>
      <c r="C225" s="5" t="str">
        <f>IFNA(VLOOKUP(E225,'Location Table'!A:C,2,false),"")</f>
        <v/>
      </c>
      <c r="D225" s="6" t="s">
        <v>249</v>
      </c>
      <c r="E225" s="6"/>
      <c r="F225" s="6" t="s">
        <v>246</v>
      </c>
      <c r="G225" s="7" t="str">
        <f>IFNA(VLOOKUP(F225,Driver!A:D,4,false),"")</f>
        <v>1980698793628880414:XXMGIAegigeHesHcPUQpIcnMCwhigvPUATFrPyRHiqIZqTwmvWiXbUzfDhivxPcl</v>
      </c>
      <c r="H225" s="8" t="str">
        <f>IFNA(VLOOKUP(F225,Driver!A:C,3,false),"")</f>
        <v>88199dcfa88541db1894</v>
      </c>
      <c r="I225" s="9">
        <v>0.25</v>
      </c>
      <c r="J225" s="9">
        <v>0.4583333333333333</v>
      </c>
      <c r="K225" s="9"/>
    </row>
    <row r="226" hidden="1">
      <c r="A226" s="5" t="str">
        <f>IFNA(VLOOKUP(D226,'Location Table'!A:C,2,false),"")</f>
        <v>7db8159c-8e53-11ee-8ddf-506b8d9879b5</v>
      </c>
      <c r="B226" s="5" t="str">
        <f>IFNA(VLOOKUP(F226,Driver!A:C,2,false),"")</f>
        <v>a72dc14a-3654-11ed-bef3-506b8dbc8dfb</v>
      </c>
      <c r="C226" s="5" t="str">
        <f>IFNA(VLOOKUP(E226,'Location Table'!A:C,2,false),"")</f>
        <v/>
      </c>
      <c r="D226" s="6" t="s">
        <v>250</v>
      </c>
      <c r="E226" s="6"/>
      <c r="F226" s="6" t="s">
        <v>246</v>
      </c>
      <c r="G226" s="7" t="str">
        <f>IFNA(VLOOKUP(F226,Driver!A:D,4,false),"")</f>
        <v>1980698793628880414:XXMGIAegigeHesHcPUQpIcnMCwhigvPUATFrPyRHiqIZqTwmvWiXbUzfDhivxPcl</v>
      </c>
      <c r="H226" s="8" t="str">
        <f>IFNA(VLOOKUP(F226,Driver!A:C,3,false),"")</f>
        <v>88199dcfa88541db1894</v>
      </c>
      <c r="I226" s="9">
        <v>0.25</v>
      </c>
      <c r="J226" s="9">
        <v>0.4583333333333333</v>
      </c>
      <c r="K226" s="9"/>
    </row>
    <row r="227" hidden="1">
      <c r="A227" s="5" t="str">
        <f>IFNA(VLOOKUP(D227,'Location Table'!A:C,2,false),"")</f>
        <v>289fdcc2-7573-11ef-964f-506b8d9879b5</v>
      </c>
      <c r="B227" s="5" t="str">
        <f>IFNA(VLOOKUP(F227,Driver!A:C,2,false),"")</f>
        <v>a72dc14a-3654-11ed-bef3-506b8dbc8dfb</v>
      </c>
      <c r="C227" s="5" t="str">
        <f>IFNA(VLOOKUP(E227,'Location Table'!A:C,2,false),"")</f>
        <v/>
      </c>
      <c r="D227" s="6" t="s">
        <v>251</v>
      </c>
      <c r="E227" s="6"/>
      <c r="F227" s="6" t="s">
        <v>246</v>
      </c>
      <c r="G227" s="7" t="str">
        <f>IFNA(VLOOKUP(F227,Driver!A:D,4,false),"")</f>
        <v>1980698793628880414:XXMGIAegigeHesHcPUQpIcnMCwhigvPUATFrPyRHiqIZqTwmvWiXbUzfDhivxPcl</v>
      </c>
      <c r="H227" s="8" t="str">
        <f>IFNA(VLOOKUP(F227,Driver!A:C,3,false),"")</f>
        <v>88199dcfa88541db1894</v>
      </c>
      <c r="I227" s="9">
        <v>0.25</v>
      </c>
      <c r="J227" s="9">
        <v>0.4583333333333333</v>
      </c>
      <c r="K227" s="9"/>
    </row>
    <row r="228" hidden="1">
      <c r="A228" s="5" t="str">
        <f>IFNA(VLOOKUP(D228,'Location Table'!A:C,2,false),"")</f>
        <v>7c7323ba-ec19-11ee-9b92-506b8d9879b5</v>
      </c>
      <c r="B228" s="5" t="str">
        <f>IFNA(VLOOKUP(F228,Driver!A:C,2,false),"")</f>
        <v>a72dc14a-3654-11ed-bef3-506b8dbc8dfb</v>
      </c>
      <c r="C228" s="5" t="str">
        <f>IFNA(VLOOKUP(E228,'Location Table'!A:C,2,false),"")</f>
        <v/>
      </c>
      <c r="D228" s="6" t="s">
        <v>252</v>
      </c>
      <c r="E228" s="6"/>
      <c r="F228" s="6" t="s">
        <v>246</v>
      </c>
      <c r="G228" s="7" t="str">
        <f>IFNA(VLOOKUP(F228,Driver!A:D,4,false),"")</f>
        <v>1980698793628880414:XXMGIAegigeHesHcPUQpIcnMCwhigvPUATFrPyRHiqIZqTwmvWiXbUzfDhivxPcl</v>
      </c>
      <c r="H228" s="8" t="str">
        <f>IFNA(VLOOKUP(F228,Driver!A:C,3,false),"")</f>
        <v>88199dcfa88541db1894</v>
      </c>
      <c r="I228" s="9">
        <v>0.25</v>
      </c>
      <c r="J228" s="9">
        <v>0.4583333333333333</v>
      </c>
      <c r="K228" s="9"/>
    </row>
    <row r="229" hidden="1">
      <c r="A229" s="5" t="str">
        <f>IFNA(VLOOKUP(D229,'Location Table'!A:C,2,false),"")</f>
        <v>12435506-ed6d-11ed-babc-506b8dbc8dfb</v>
      </c>
      <c r="B229" s="5" t="str">
        <f>IFNA(VLOOKUP(F229,Driver!A:C,2,false),"")</f>
        <v>a72dc14a-3654-11ed-bef3-506b8dbc8dfb</v>
      </c>
      <c r="C229" s="5" t="str">
        <f>IFNA(VLOOKUP(E229,'Location Table'!A:C,2,false),"")</f>
        <v/>
      </c>
      <c r="D229" s="6" t="s">
        <v>253</v>
      </c>
      <c r="E229" s="6"/>
      <c r="F229" s="6" t="s">
        <v>246</v>
      </c>
      <c r="G229" s="7" t="str">
        <f>IFNA(VLOOKUP(F229,Driver!A:D,4,false),"")</f>
        <v>1980698793628880414:XXMGIAegigeHesHcPUQpIcnMCwhigvPUATFrPyRHiqIZqTwmvWiXbUzfDhivxPcl</v>
      </c>
      <c r="H229" s="8" t="str">
        <f>IFNA(VLOOKUP(F229,Driver!A:C,3,false),"")</f>
        <v>88199dcfa88541db1894</v>
      </c>
      <c r="I229" s="9">
        <v>0.25</v>
      </c>
      <c r="J229" s="9">
        <v>0.4583333333333333</v>
      </c>
      <c r="K229" s="9"/>
    </row>
    <row r="230" hidden="1">
      <c r="A230" s="5" t="str">
        <f>IFNA(VLOOKUP(D230,'Location Table'!A:C,2,false),"")</f>
        <v>8cdac450-1498-11ee-af35-506b8dbc8dfb</v>
      </c>
      <c r="B230" s="5" t="str">
        <f>IFNA(VLOOKUP(F230,Driver!A:C,2,false),"")</f>
        <v>a72dc14a-3654-11ed-bef3-506b8dbc8dfb</v>
      </c>
      <c r="C230" s="5" t="str">
        <f>IFNA(VLOOKUP(E230,'Location Table'!A:C,2,false),"")</f>
        <v/>
      </c>
      <c r="D230" s="6" t="s">
        <v>254</v>
      </c>
      <c r="E230" s="6"/>
      <c r="F230" s="6" t="s">
        <v>246</v>
      </c>
      <c r="G230" s="7" t="str">
        <f>IFNA(VLOOKUP(F230,Driver!A:D,4,false),"")</f>
        <v>1980698793628880414:XXMGIAegigeHesHcPUQpIcnMCwhigvPUATFrPyRHiqIZqTwmvWiXbUzfDhivxPcl</v>
      </c>
      <c r="H230" s="8" t="str">
        <f>IFNA(VLOOKUP(F230,Driver!A:C,3,false),"")</f>
        <v>88199dcfa88541db1894</v>
      </c>
      <c r="I230" s="9">
        <v>0.25</v>
      </c>
      <c r="J230" s="9">
        <v>0.4583333333333333</v>
      </c>
      <c r="K230" s="9"/>
    </row>
    <row r="231" hidden="1">
      <c r="A231" s="5" t="str">
        <f>IFNA(VLOOKUP(D231,'Location Table'!A:C,2,false),"")</f>
        <v>39e63c4e-010f-11ee-ba33-506b8dbc8dfb</v>
      </c>
      <c r="B231" s="5" t="str">
        <f>IFNA(VLOOKUP(F231,Driver!A:C,2,false),"")</f>
        <v>a72dc14a-3654-11ed-bef3-506b8dbc8dfb</v>
      </c>
      <c r="C231" s="5" t="str">
        <f>IFNA(VLOOKUP(E231,'Location Table'!A:C,2,false),"")</f>
        <v/>
      </c>
      <c r="D231" s="6" t="s">
        <v>255</v>
      </c>
      <c r="E231" s="6"/>
      <c r="F231" s="6" t="s">
        <v>246</v>
      </c>
      <c r="G231" s="7" t="str">
        <f>IFNA(VLOOKUP(F231,Driver!A:D,4,false),"")</f>
        <v>1980698793628880414:XXMGIAegigeHesHcPUQpIcnMCwhigvPUATFrPyRHiqIZqTwmvWiXbUzfDhivxPcl</v>
      </c>
      <c r="H231" s="8" t="str">
        <f>IFNA(VLOOKUP(F231,Driver!A:C,3,false),"")</f>
        <v>88199dcfa88541db1894</v>
      </c>
      <c r="I231" s="9">
        <v>0.25</v>
      </c>
      <c r="J231" s="9">
        <v>0.4583333333333333</v>
      </c>
      <c r="K231" s="9"/>
    </row>
    <row r="232" hidden="1">
      <c r="A232" s="5" t="str">
        <f>IFNA(VLOOKUP(D232,'Location Table'!A:C,2,false),"")</f>
        <v>fa87ff92-4ac0-11ed-b0dd-506b8dbc8dfb</v>
      </c>
      <c r="B232" s="5" t="str">
        <f>IFNA(VLOOKUP(F232,Driver!A:C,2,false),"")</f>
        <v>a72dc14a-3654-11ed-bef3-506b8dbc8dfb</v>
      </c>
      <c r="C232" s="5" t="str">
        <f>IFNA(VLOOKUP(E232,'Location Table'!A:C,2,false),"")</f>
        <v/>
      </c>
      <c r="D232" s="6" t="s">
        <v>256</v>
      </c>
      <c r="E232" s="6"/>
      <c r="F232" s="6" t="s">
        <v>246</v>
      </c>
      <c r="G232" s="7" t="str">
        <f>IFNA(VLOOKUP(F232,Driver!A:D,4,false),"")</f>
        <v>1980698793628880414:XXMGIAegigeHesHcPUQpIcnMCwhigvPUATFrPyRHiqIZqTwmvWiXbUzfDhivxPcl</v>
      </c>
      <c r="H232" s="8" t="str">
        <f>IFNA(VLOOKUP(F232,Driver!A:C,3,false),"")</f>
        <v>88199dcfa88541db1894</v>
      </c>
      <c r="I232" s="9">
        <v>0.25</v>
      </c>
      <c r="J232" s="9">
        <v>0.4583333333333333</v>
      </c>
      <c r="K232" s="9"/>
    </row>
    <row r="233" hidden="1">
      <c r="A233" s="5" t="str">
        <f>IFNA(VLOOKUP(D233,'Location Table'!A:C,2,false),"")</f>
        <v>e92ad1f8-0112-11ee-80ef-506b8dbc8dfb</v>
      </c>
      <c r="B233" s="5" t="str">
        <f>IFNA(VLOOKUP(F233,Driver!A:C,2,false),"")</f>
        <v>a72dc14a-3654-11ed-bef3-506b8dbc8dfb</v>
      </c>
      <c r="C233" s="5" t="str">
        <f>IFNA(VLOOKUP(E233,'Location Table'!A:C,2,false),"")</f>
        <v/>
      </c>
      <c r="D233" s="6" t="s">
        <v>257</v>
      </c>
      <c r="E233" s="6"/>
      <c r="F233" s="6" t="s">
        <v>246</v>
      </c>
      <c r="G233" s="7" t="str">
        <f>IFNA(VLOOKUP(F233,Driver!A:D,4,false),"")</f>
        <v>1980698793628880414:XXMGIAegigeHesHcPUQpIcnMCwhigvPUATFrPyRHiqIZqTwmvWiXbUzfDhivxPcl</v>
      </c>
      <c r="H233" s="8" t="str">
        <f>IFNA(VLOOKUP(F233,Driver!A:C,3,false),"")</f>
        <v>88199dcfa88541db1894</v>
      </c>
      <c r="I233" s="9">
        <v>0.25</v>
      </c>
      <c r="J233" s="9">
        <v>0.4583333333333333</v>
      </c>
      <c r="K233" s="9"/>
    </row>
    <row r="234" hidden="1">
      <c r="A234" s="5" t="str">
        <f>IFNA(VLOOKUP(D234,'Location Table'!A:C,2,false),"")</f>
        <v>0ff3fbda-0aa9-11ee-948b-506b8dbc8dfb</v>
      </c>
      <c r="B234" s="5" t="str">
        <f>IFNA(VLOOKUP(F234,Driver!A:C,2,false),"")</f>
        <v>a72dc14a-3654-11ed-bef3-506b8dbc8dfb</v>
      </c>
      <c r="C234" s="5" t="str">
        <f>IFNA(VLOOKUP(E234,'Location Table'!A:C,2,false),"")</f>
        <v/>
      </c>
      <c r="D234" s="6" t="s">
        <v>258</v>
      </c>
      <c r="E234" s="6"/>
      <c r="F234" s="6" t="s">
        <v>246</v>
      </c>
      <c r="G234" s="7" t="str">
        <f>IFNA(VLOOKUP(F234,Driver!A:D,4,false),"")</f>
        <v>1980698793628880414:XXMGIAegigeHesHcPUQpIcnMCwhigvPUATFrPyRHiqIZqTwmvWiXbUzfDhivxPcl</v>
      </c>
      <c r="H234" s="8" t="str">
        <f>IFNA(VLOOKUP(F234,Driver!A:C,3,false),"")</f>
        <v>88199dcfa88541db1894</v>
      </c>
      <c r="I234" s="9">
        <v>0.25</v>
      </c>
      <c r="J234" s="9">
        <v>0.4583333333333333</v>
      </c>
      <c r="K234" s="9"/>
    </row>
    <row r="235" hidden="1">
      <c r="A235" s="5" t="str">
        <f>IFNA(VLOOKUP(D235,'Location Table'!A:C,2,false),"")</f>
        <v>085d5048-26a0-11ee-a5a4-506b8d9879b5</v>
      </c>
      <c r="B235" s="5" t="str">
        <f>IFNA(VLOOKUP(F235,Driver!A:C,2,false),"")</f>
        <v>a72dc14a-3654-11ed-bef3-506b8dbc8dfb</v>
      </c>
      <c r="C235" s="5" t="str">
        <f>IFNA(VLOOKUP(E235,'Location Table'!A:C,2,false),"")</f>
        <v/>
      </c>
      <c r="D235" s="6" t="s">
        <v>259</v>
      </c>
      <c r="E235" s="6"/>
      <c r="F235" s="6" t="s">
        <v>246</v>
      </c>
      <c r="G235" s="7" t="str">
        <f>IFNA(VLOOKUP(F235,Driver!A:D,4,false),"")</f>
        <v>1980698793628880414:XXMGIAegigeHesHcPUQpIcnMCwhigvPUATFrPyRHiqIZqTwmvWiXbUzfDhivxPcl</v>
      </c>
      <c r="H235" s="8" t="str">
        <f>IFNA(VLOOKUP(F235,Driver!A:C,3,false),"")</f>
        <v>88199dcfa88541db1894</v>
      </c>
      <c r="I235" s="9">
        <v>0.25</v>
      </c>
      <c r="J235" s="9">
        <v>0.4583333333333333</v>
      </c>
      <c r="K235" s="9"/>
    </row>
    <row r="236" hidden="1">
      <c r="A236" s="5" t="str">
        <f>IFNA(VLOOKUP(D236,'Location Table'!A:C,2,false),"")</f>
        <v>8fca3d12-fec7-11ed-aba6-506b8dbc8dfb</v>
      </c>
      <c r="B236" s="5" t="str">
        <f>IFNA(VLOOKUP(F236,Driver!A:C,2,false),"")</f>
        <v>a72dc14a-3654-11ed-bef3-506b8dbc8dfb</v>
      </c>
      <c r="C236" s="5" t="str">
        <f>IFNA(VLOOKUP(E236,'Location Table'!A:C,2,false),"")</f>
        <v/>
      </c>
      <c r="D236" s="6" t="s">
        <v>260</v>
      </c>
      <c r="E236" s="6"/>
      <c r="F236" s="6" t="s">
        <v>246</v>
      </c>
      <c r="G236" s="7" t="str">
        <f>IFNA(VLOOKUP(F236,Driver!A:D,4,false),"")</f>
        <v>1980698793628880414:XXMGIAegigeHesHcPUQpIcnMCwhigvPUATFrPyRHiqIZqTwmvWiXbUzfDhivxPcl</v>
      </c>
      <c r="H236" s="8" t="str">
        <f>IFNA(VLOOKUP(F236,Driver!A:C,3,false),"")</f>
        <v>88199dcfa88541db1894</v>
      </c>
      <c r="I236" s="9">
        <v>0.25</v>
      </c>
      <c r="J236" s="9">
        <v>0.4583333333333333</v>
      </c>
      <c r="K236" s="9"/>
    </row>
    <row r="237" hidden="1">
      <c r="A237" s="5" t="str">
        <f>IFNA(VLOOKUP(D237,'Location Table'!A:C,2,false),"")</f>
        <v>ae88c2bc-48b5-11ef-94b2-506b8d9879b5</v>
      </c>
      <c r="B237" s="5" t="str">
        <f>IFNA(VLOOKUP(F237,Driver!A:C,2,false),"")</f>
        <v>a72dc14a-3654-11ed-bef3-506b8dbc8dfb</v>
      </c>
      <c r="C237" s="5" t="str">
        <f>IFNA(VLOOKUP(E237,'Location Table'!A:C,2,false),"")</f>
        <v/>
      </c>
      <c r="D237" s="6" t="s">
        <v>261</v>
      </c>
      <c r="E237" s="6"/>
      <c r="F237" s="6" t="s">
        <v>246</v>
      </c>
      <c r="G237" s="7" t="str">
        <f>IFNA(VLOOKUP(F237,Driver!A:D,4,false),"")</f>
        <v>1980698793628880414:XXMGIAegigeHesHcPUQpIcnMCwhigvPUATFrPyRHiqIZqTwmvWiXbUzfDhivxPcl</v>
      </c>
      <c r="H237" s="8" t="str">
        <f>IFNA(VLOOKUP(F237,Driver!A:C,3,false),"")</f>
        <v>88199dcfa88541db1894</v>
      </c>
      <c r="I237" s="9">
        <v>0.25</v>
      </c>
      <c r="J237" s="9">
        <v>0.4583333333333333</v>
      </c>
      <c r="K237" s="9"/>
    </row>
    <row r="238" hidden="1">
      <c r="A238" s="5" t="str">
        <f>IFNA(VLOOKUP(D238,'Location Table'!A:C,2,false),"")</f>
        <v>7566c8b0-f731-11ee-b3f8-506b8d9879b5</v>
      </c>
      <c r="B238" s="5" t="str">
        <f>IFNA(VLOOKUP(F238,Driver!A:C,2,false),"")</f>
        <v>a72dc14a-3654-11ed-bef3-506b8dbc8dfb</v>
      </c>
      <c r="C238" s="5" t="str">
        <f>IFNA(VLOOKUP(E238,'Location Table'!A:C,2,false),"")</f>
        <v/>
      </c>
      <c r="D238" s="6" t="s">
        <v>262</v>
      </c>
      <c r="E238" s="6"/>
      <c r="F238" s="6" t="s">
        <v>246</v>
      </c>
      <c r="G238" s="7" t="str">
        <f>IFNA(VLOOKUP(F238,Driver!A:D,4,false),"")</f>
        <v>1980698793628880414:XXMGIAegigeHesHcPUQpIcnMCwhigvPUATFrPyRHiqIZqTwmvWiXbUzfDhivxPcl</v>
      </c>
      <c r="H238" s="8" t="str">
        <f>IFNA(VLOOKUP(F238,Driver!A:C,3,false),"")</f>
        <v>88199dcfa88541db1894</v>
      </c>
      <c r="I238" s="9">
        <v>0.25</v>
      </c>
      <c r="J238" s="9">
        <v>0.4583333333333333</v>
      </c>
      <c r="K238" s="9"/>
    </row>
    <row r="239" hidden="1">
      <c r="A239" s="5" t="str">
        <f>IFNA(VLOOKUP(D239,'Location Table'!A:C,2,false),"")</f>
        <v>ee4e8802-05bf-11ef-9a97-506b8d9879b5</v>
      </c>
      <c r="B239" s="5" t="str">
        <f>IFNA(VLOOKUP(F239,Driver!A:C,2,false),"")</f>
        <v>a72dc14a-3654-11ed-bef3-506b8dbc8dfb</v>
      </c>
      <c r="C239" s="5" t="str">
        <f>IFNA(VLOOKUP(E239,'Location Table'!A:C,2,false),"")</f>
        <v/>
      </c>
      <c r="D239" s="6" t="s">
        <v>263</v>
      </c>
      <c r="E239" s="6"/>
      <c r="F239" s="6" t="s">
        <v>246</v>
      </c>
      <c r="G239" s="7" t="str">
        <f>IFNA(VLOOKUP(F239,Driver!A:D,4,false),"")</f>
        <v>1980698793628880414:XXMGIAegigeHesHcPUQpIcnMCwhigvPUATFrPyRHiqIZqTwmvWiXbUzfDhivxPcl</v>
      </c>
      <c r="H239" s="8" t="str">
        <f>IFNA(VLOOKUP(F239,Driver!A:C,3,false),"")</f>
        <v>88199dcfa88541db1894</v>
      </c>
      <c r="I239" s="9">
        <v>0.25</v>
      </c>
      <c r="J239" s="9">
        <v>0.4583333333333333</v>
      </c>
      <c r="K239" s="9"/>
    </row>
    <row r="240" hidden="1">
      <c r="A240" s="5" t="str">
        <f>IFNA(VLOOKUP(D240,'Location Table'!A:C,2,false),"")</f>
        <v>9e0e7402-492b-11ee-8dd8-506b8d9879b5</v>
      </c>
      <c r="B240" s="5" t="str">
        <f>IFNA(VLOOKUP(F240,Driver!A:C,2,false),"")</f>
        <v>a72dc14a-3654-11ed-bef3-506b8dbc8dfb</v>
      </c>
      <c r="C240" s="5" t="str">
        <f>IFNA(VLOOKUP(E240,'Location Table'!A:C,2,false),"")</f>
        <v/>
      </c>
      <c r="D240" s="6" t="s">
        <v>264</v>
      </c>
      <c r="E240" s="6"/>
      <c r="F240" s="6" t="s">
        <v>246</v>
      </c>
      <c r="G240" s="7" t="str">
        <f>IFNA(VLOOKUP(F240,Driver!A:D,4,false),"")</f>
        <v>1980698793628880414:XXMGIAegigeHesHcPUQpIcnMCwhigvPUATFrPyRHiqIZqTwmvWiXbUzfDhivxPcl</v>
      </c>
      <c r="H240" s="8" t="str">
        <f>IFNA(VLOOKUP(F240,Driver!A:C,3,false),"")</f>
        <v>88199dcfa88541db1894</v>
      </c>
      <c r="I240" s="9">
        <v>0.25</v>
      </c>
      <c r="J240" s="9">
        <v>0.4583333333333333</v>
      </c>
      <c r="K240" s="9"/>
    </row>
    <row r="241" hidden="1">
      <c r="A241" s="5" t="str">
        <f>IFNA(VLOOKUP(D241,'Location Table'!A:C,2,false),"")</f>
        <v>bbf1a054-67ce-11ee-91d9-506b8d9879b5</v>
      </c>
      <c r="B241" s="5" t="str">
        <f>IFNA(VLOOKUP(F241,Driver!A:C,2,false),"")</f>
        <v>a72dc14a-3654-11ed-bef3-506b8dbc8dfb</v>
      </c>
      <c r="C241" s="5" t="str">
        <f>IFNA(VLOOKUP(E241,'Location Table'!A:C,2,false),"")</f>
        <v/>
      </c>
      <c r="D241" s="6" t="s">
        <v>265</v>
      </c>
      <c r="E241" s="6"/>
      <c r="F241" s="6" t="s">
        <v>246</v>
      </c>
      <c r="G241" s="7" t="str">
        <f>IFNA(VLOOKUP(F241,Driver!A:D,4,false),"")</f>
        <v>1980698793628880414:XXMGIAegigeHesHcPUQpIcnMCwhigvPUATFrPyRHiqIZqTwmvWiXbUzfDhivxPcl</v>
      </c>
      <c r="H241" s="8" t="str">
        <f>IFNA(VLOOKUP(F241,Driver!A:C,3,false),"")</f>
        <v>88199dcfa88541db1894</v>
      </c>
      <c r="I241" s="9">
        <v>0.25</v>
      </c>
      <c r="J241" s="9">
        <v>0.4583333333333333</v>
      </c>
      <c r="K241" s="9"/>
    </row>
    <row r="242" hidden="1">
      <c r="A242" s="5" t="str">
        <f>IFNA(VLOOKUP(D242,'Location Table'!A:C,2,false),"")</f>
        <v>7e2d9ace-9ee3-11ee-8906-506b8d9879b5</v>
      </c>
      <c r="B242" s="5" t="str">
        <f>IFNA(VLOOKUP(F242,Driver!A:C,2,false),"")</f>
        <v>a72dc14a-3654-11ed-bef3-506b8dbc8dfb</v>
      </c>
      <c r="C242" s="5" t="str">
        <f>IFNA(VLOOKUP(E242,'Location Table'!A:C,2,false),"")</f>
        <v/>
      </c>
      <c r="D242" s="6" t="s">
        <v>266</v>
      </c>
      <c r="E242" s="6"/>
      <c r="F242" s="6" t="s">
        <v>246</v>
      </c>
      <c r="G242" s="7" t="str">
        <f>IFNA(VLOOKUP(F242,Driver!A:D,4,false),"")</f>
        <v>1980698793628880414:XXMGIAegigeHesHcPUQpIcnMCwhigvPUATFrPyRHiqIZqTwmvWiXbUzfDhivxPcl</v>
      </c>
      <c r="H242" s="8" t="str">
        <f>IFNA(VLOOKUP(F242,Driver!A:C,3,false),"")</f>
        <v>88199dcfa88541db1894</v>
      </c>
      <c r="I242" s="9">
        <v>0.25</v>
      </c>
      <c r="J242" s="9">
        <v>0.4583333333333333</v>
      </c>
      <c r="K242" s="9"/>
    </row>
    <row r="243" hidden="1">
      <c r="A243" s="5" t="str">
        <f>IFNA(VLOOKUP(D243,'Location Table'!A:C,2,false),"")</f>
        <v>3b012e74-90aa-11ee-8f6f-506b8d9879b5</v>
      </c>
      <c r="B243" s="5" t="str">
        <f>IFNA(VLOOKUP(F243,Driver!A:C,2,false),"")</f>
        <v>a72dc14a-3654-11ed-bef3-506b8dbc8dfb</v>
      </c>
      <c r="C243" s="5" t="str">
        <f>IFNA(VLOOKUP(E243,'Location Table'!A:C,2,false),"")</f>
        <v/>
      </c>
      <c r="D243" s="6" t="s">
        <v>267</v>
      </c>
      <c r="E243" s="6"/>
      <c r="F243" s="6" t="s">
        <v>246</v>
      </c>
      <c r="G243" s="7" t="str">
        <f>IFNA(VLOOKUP(F243,Driver!A:D,4,false),"")</f>
        <v>1980698793628880414:XXMGIAegigeHesHcPUQpIcnMCwhigvPUATFrPyRHiqIZqTwmvWiXbUzfDhivxPcl</v>
      </c>
      <c r="H243" s="8" t="str">
        <f>IFNA(VLOOKUP(F243,Driver!A:C,3,false),"")</f>
        <v>88199dcfa88541db1894</v>
      </c>
      <c r="I243" s="9">
        <v>0.25</v>
      </c>
      <c r="J243" s="9">
        <v>0.4583333333333333</v>
      </c>
      <c r="K243" s="9"/>
    </row>
    <row r="244" hidden="1">
      <c r="A244" s="5" t="str">
        <f>IFNA(VLOOKUP(D244,'Location Table'!A:C,2,false),"")</f>
        <v>a2f4ec9c-1561-11ee-a153-506b8dbc8dfb</v>
      </c>
      <c r="B244" s="5" t="str">
        <f>IFNA(VLOOKUP(F244,Driver!A:C,2,false),"")</f>
        <v>a72dc14a-3654-11ed-bef3-506b8dbc8dfb</v>
      </c>
      <c r="C244" s="5" t="str">
        <f>IFNA(VLOOKUP(E244,'Location Table'!A:C,2,false),"")</f>
        <v/>
      </c>
      <c r="D244" s="6" t="s">
        <v>268</v>
      </c>
      <c r="E244" s="6"/>
      <c r="F244" s="6" t="s">
        <v>246</v>
      </c>
      <c r="G244" s="7" t="str">
        <f>IFNA(VLOOKUP(F244,Driver!A:D,4,false),"")</f>
        <v>1980698793628880414:XXMGIAegigeHesHcPUQpIcnMCwhigvPUATFrPyRHiqIZqTwmvWiXbUzfDhivxPcl</v>
      </c>
      <c r="H244" s="8" t="str">
        <f>IFNA(VLOOKUP(F244,Driver!A:C,3,false),"")</f>
        <v>88199dcfa88541db1894</v>
      </c>
      <c r="I244" s="9">
        <v>0.25</v>
      </c>
      <c r="J244" s="9">
        <v>0.4583333333333333</v>
      </c>
      <c r="K244" s="9"/>
    </row>
    <row r="245" hidden="1">
      <c r="A245" s="5" t="str">
        <f>IFNA(VLOOKUP(D245,'Location Table'!A:C,2,false),"")</f>
        <v>1af85000-6cc2-11ee-a53a-506b8d9879b5</v>
      </c>
      <c r="B245" s="5" t="str">
        <f>IFNA(VLOOKUP(F245,Driver!A:C,2,false),"")</f>
        <v>a72dc14a-3654-11ed-bef3-506b8dbc8dfb</v>
      </c>
      <c r="C245" s="5" t="str">
        <f>IFNA(VLOOKUP(E245,'Location Table'!A:C,2,false),"")</f>
        <v/>
      </c>
      <c r="D245" s="6" t="s">
        <v>269</v>
      </c>
      <c r="E245" s="6"/>
      <c r="F245" s="6" t="s">
        <v>246</v>
      </c>
      <c r="G245" s="7" t="str">
        <f>IFNA(VLOOKUP(F245,Driver!A:D,4,false),"")</f>
        <v>1980698793628880414:XXMGIAegigeHesHcPUQpIcnMCwhigvPUATFrPyRHiqIZqTwmvWiXbUzfDhivxPcl</v>
      </c>
      <c r="H245" s="8" t="str">
        <f>IFNA(VLOOKUP(F245,Driver!A:C,3,false),"")</f>
        <v>88199dcfa88541db1894</v>
      </c>
      <c r="I245" s="9">
        <v>0.25</v>
      </c>
      <c r="J245" s="9">
        <v>0.4583333333333333</v>
      </c>
      <c r="K245" s="9"/>
    </row>
    <row r="246" hidden="1">
      <c r="A246" s="5" t="str">
        <f>IFNA(VLOOKUP(D246,'Location Table'!A:C,2,false),"")</f>
        <v>97d16b52-0110-11ee-b15c-506b8dbc8dfb</v>
      </c>
      <c r="B246" s="5" t="str">
        <f>IFNA(VLOOKUP(F246,Driver!A:C,2,false),"")</f>
        <v>a72dc14a-3654-11ed-bef3-506b8dbc8dfb</v>
      </c>
      <c r="C246" s="5" t="str">
        <f>IFNA(VLOOKUP(E246,'Location Table'!A:C,2,false),"")</f>
        <v/>
      </c>
      <c r="D246" s="6" t="s">
        <v>270</v>
      </c>
      <c r="E246" s="6"/>
      <c r="F246" s="6" t="s">
        <v>246</v>
      </c>
      <c r="G246" s="7" t="str">
        <f>IFNA(VLOOKUP(F246,Driver!A:D,4,false),"")</f>
        <v>1980698793628880414:XXMGIAegigeHesHcPUQpIcnMCwhigvPUATFrPyRHiqIZqTwmvWiXbUzfDhivxPcl</v>
      </c>
      <c r="H246" s="8" t="str">
        <f>IFNA(VLOOKUP(F246,Driver!A:C,3,false),"")</f>
        <v>88199dcfa88541db1894</v>
      </c>
      <c r="I246" s="9">
        <v>0.25</v>
      </c>
      <c r="J246" s="9">
        <v>0.4583333333333333</v>
      </c>
      <c r="K246" s="9"/>
    </row>
    <row r="247" hidden="1">
      <c r="A247" s="5" t="str">
        <f>IFNA(VLOOKUP(D247,'Location Table'!A:C,2,false),"")</f>
        <v>f4fbe052-4088-11ee-a498-506b8d9879b5</v>
      </c>
      <c r="B247" s="5" t="str">
        <f>IFNA(VLOOKUP(F247,Driver!A:C,2,false),"")</f>
        <v>a72dc14a-3654-11ed-bef3-506b8dbc8dfb</v>
      </c>
      <c r="C247" s="5" t="str">
        <f>IFNA(VLOOKUP(E247,'Location Table'!A:C,2,false),"")</f>
        <v/>
      </c>
      <c r="D247" s="6" t="s">
        <v>271</v>
      </c>
      <c r="E247" s="6"/>
      <c r="F247" s="6" t="s">
        <v>246</v>
      </c>
      <c r="G247" s="7" t="str">
        <f>IFNA(VLOOKUP(F247,Driver!A:D,4,false),"")</f>
        <v>1980698793628880414:XXMGIAegigeHesHcPUQpIcnMCwhigvPUATFrPyRHiqIZqTwmvWiXbUzfDhivxPcl</v>
      </c>
      <c r="H247" s="8" t="str">
        <f>IFNA(VLOOKUP(F247,Driver!A:C,3,false),"")</f>
        <v>88199dcfa88541db1894</v>
      </c>
      <c r="I247" s="9">
        <v>0.25</v>
      </c>
      <c r="J247" s="9">
        <v>0.4583333333333333</v>
      </c>
      <c r="K247" s="9"/>
    </row>
    <row r="248" hidden="1">
      <c r="A248" s="5" t="str">
        <f>IFNA(VLOOKUP(D248,'Location Table'!A:C,2,false),"")</f>
        <v>d53b00de-6a38-11ee-98e0-506b8d9879b5</v>
      </c>
      <c r="B248" s="5" t="str">
        <f>IFNA(VLOOKUP(F248,Driver!A:C,2,false),"")</f>
        <v>a72dc14a-3654-11ed-bef3-506b8dbc8dfb</v>
      </c>
      <c r="C248" s="5" t="str">
        <f>IFNA(VLOOKUP(E248,'Location Table'!A:C,2,false),"")</f>
        <v/>
      </c>
      <c r="D248" s="6" t="s">
        <v>272</v>
      </c>
      <c r="E248" s="6"/>
      <c r="F248" s="6" t="s">
        <v>246</v>
      </c>
      <c r="G248" s="7" t="str">
        <f>IFNA(VLOOKUP(F248,Driver!A:D,4,false),"")</f>
        <v>1980698793628880414:XXMGIAegigeHesHcPUQpIcnMCwhigvPUATFrPyRHiqIZqTwmvWiXbUzfDhivxPcl</v>
      </c>
      <c r="H248" s="8" t="str">
        <f>IFNA(VLOOKUP(F248,Driver!A:C,3,false),"")</f>
        <v>88199dcfa88541db1894</v>
      </c>
      <c r="I248" s="9">
        <v>0.25</v>
      </c>
      <c r="J248" s="9">
        <v>0.4583333333333333</v>
      </c>
      <c r="K248" s="9"/>
    </row>
    <row r="249" hidden="1">
      <c r="A249" s="5" t="str">
        <f>IFNA(VLOOKUP(D249,'Location Table'!A:C,2,false),"")</f>
        <v>aebc13a0-0113-11ee-b1c8-506b8dbc8dfb</v>
      </c>
      <c r="B249" s="5" t="str">
        <f>IFNA(VLOOKUP(F249,Driver!A:C,2,false),"")</f>
        <v>a72dc14a-3654-11ed-bef3-506b8dbc8dfb</v>
      </c>
      <c r="C249" s="5" t="str">
        <f>IFNA(VLOOKUP(E249,'Location Table'!A:C,2,false),"")</f>
        <v/>
      </c>
      <c r="D249" s="6" t="s">
        <v>273</v>
      </c>
      <c r="E249" s="6"/>
      <c r="F249" s="6" t="s">
        <v>246</v>
      </c>
      <c r="G249" s="7" t="str">
        <f>IFNA(VLOOKUP(F249,Driver!A:D,4,false),"")</f>
        <v>1980698793628880414:XXMGIAegigeHesHcPUQpIcnMCwhigvPUATFrPyRHiqIZqTwmvWiXbUzfDhivxPcl</v>
      </c>
      <c r="H249" s="8" t="str">
        <f>IFNA(VLOOKUP(F249,Driver!A:C,3,false),"")</f>
        <v>88199dcfa88541db1894</v>
      </c>
      <c r="I249" s="9">
        <v>0.25</v>
      </c>
      <c r="J249" s="9">
        <v>0.4583333333333333</v>
      </c>
      <c r="K249" s="9"/>
    </row>
    <row r="250" hidden="1">
      <c r="A250" s="5" t="str">
        <f>IFNA(VLOOKUP(D250,'Location Table'!A:C,2,false),"")</f>
        <v>4ca8a4a8-456f-11ee-af67-506b8d9879b5</v>
      </c>
      <c r="B250" s="5" t="str">
        <f>IFNA(VLOOKUP(F250,Driver!A:C,2,false),"")</f>
        <v>a72dc14a-3654-11ed-bef3-506b8dbc8dfb</v>
      </c>
      <c r="C250" s="5" t="str">
        <f>IFNA(VLOOKUP(E250,'Location Table'!A:C,2,false),"")</f>
        <v/>
      </c>
      <c r="D250" s="6" t="s">
        <v>274</v>
      </c>
      <c r="E250" s="6"/>
      <c r="F250" s="6" t="s">
        <v>246</v>
      </c>
      <c r="G250" s="7" t="str">
        <f>IFNA(VLOOKUP(F250,Driver!A:D,4,false),"")</f>
        <v>1980698793628880414:XXMGIAegigeHesHcPUQpIcnMCwhigvPUATFrPyRHiqIZqTwmvWiXbUzfDhivxPcl</v>
      </c>
      <c r="H250" s="8" t="str">
        <f>IFNA(VLOOKUP(F250,Driver!A:C,3,false),"")</f>
        <v>88199dcfa88541db1894</v>
      </c>
      <c r="I250" s="9">
        <v>0.25</v>
      </c>
      <c r="J250" s="9">
        <v>0.4583333333333333</v>
      </c>
      <c r="K250" s="9"/>
    </row>
    <row r="251" hidden="1">
      <c r="A251" s="5" t="str">
        <f>IFNA(VLOOKUP(D251,'Location Table'!A:C,2,false),"")</f>
        <v>fafc59d2-3b41-11ef-a36a-506b8d9879b5</v>
      </c>
      <c r="B251" s="5" t="str">
        <f>IFNA(VLOOKUP(F251,Driver!A:C,2,false),"")</f>
        <v>a72dc14a-3654-11ed-bef3-506b8dbc8dfb</v>
      </c>
      <c r="C251" s="5" t="str">
        <f>IFNA(VLOOKUP(E251,'Location Table'!A:C,2,false),"")</f>
        <v/>
      </c>
      <c r="D251" s="6" t="s">
        <v>275</v>
      </c>
      <c r="E251" s="6"/>
      <c r="F251" s="6" t="s">
        <v>246</v>
      </c>
      <c r="G251" s="7" t="str">
        <f>IFNA(VLOOKUP(F251,Driver!A:D,4,false),"")</f>
        <v>1980698793628880414:XXMGIAegigeHesHcPUQpIcnMCwhigvPUATFrPyRHiqIZqTwmvWiXbUzfDhivxPcl</v>
      </c>
      <c r="H251" s="8" t="str">
        <f>IFNA(VLOOKUP(F251,Driver!A:C,3,false),"")</f>
        <v>88199dcfa88541db1894</v>
      </c>
      <c r="I251" s="9">
        <v>0.25</v>
      </c>
      <c r="J251" s="9">
        <v>0.4583333333333333</v>
      </c>
      <c r="K251" s="9"/>
    </row>
    <row r="252" hidden="1">
      <c r="A252" s="5" t="str">
        <f>IFNA(VLOOKUP(D252,'Location Table'!A:C,2,false),"")</f>
        <v>7e1b0ed8-1c64-11ee-a44a-506b8d9879b5</v>
      </c>
      <c r="B252" s="5" t="str">
        <f>IFNA(VLOOKUP(F252,Driver!A:C,2,false),"")</f>
        <v>a72dc14a-3654-11ed-bef3-506b8dbc8dfb</v>
      </c>
      <c r="C252" s="5" t="str">
        <f>IFNA(VLOOKUP(E252,'Location Table'!A:C,2,false),"")</f>
        <v/>
      </c>
      <c r="D252" s="6" t="s">
        <v>276</v>
      </c>
      <c r="E252" s="6"/>
      <c r="F252" s="6" t="s">
        <v>246</v>
      </c>
      <c r="G252" s="7" t="str">
        <f>IFNA(VLOOKUP(F252,Driver!A:D,4,false),"")</f>
        <v>1980698793628880414:XXMGIAegigeHesHcPUQpIcnMCwhigvPUATFrPyRHiqIZqTwmvWiXbUzfDhivxPcl</v>
      </c>
      <c r="H252" s="8" t="str">
        <f>IFNA(VLOOKUP(F252,Driver!A:C,3,false),"")</f>
        <v>88199dcfa88541db1894</v>
      </c>
      <c r="I252" s="9">
        <v>0.25</v>
      </c>
      <c r="J252" s="9">
        <v>0.4583333333333333</v>
      </c>
      <c r="K252" s="9"/>
    </row>
    <row r="253" hidden="1">
      <c r="A253" s="5" t="str">
        <f>IFNA(VLOOKUP(D253,'Location Table'!A:C,2,false),"")</f>
        <v>afcfc01c-bf57-11ef-9985-506b8d9879b5</v>
      </c>
      <c r="B253" s="5" t="str">
        <f>IFNA(VLOOKUP(F253,Driver!A:C,2,false),"")</f>
        <v>a72dc14a-3654-11ed-bef3-506b8dbc8dfb</v>
      </c>
      <c r="C253" s="5" t="str">
        <f>IFNA(VLOOKUP(E253,'Location Table'!A:C,2,false),"")</f>
        <v/>
      </c>
      <c r="D253" s="6" t="s">
        <v>277</v>
      </c>
      <c r="E253" s="6"/>
      <c r="F253" s="6" t="s">
        <v>246</v>
      </c>
      <c r="G253" s="7" t="str">
        <f>IFNA(VLOOKUP(F253,Driver!A:D,4,false),"")</f>
        <v>1980698793628880414:XXMGIAegigeHesHcPUQpIcnMCwhigvPUATFrPyRHiqIZqTwmvWiXbUzfDhivxPcl</v>
      </c>
      <c r="H253" s="8" t="str">
        <f>IFNA(VLOOKUP(F253,Driver!A:C,3,false),"")</f>
        <v>88199dcfa88541db1894</v>
      </c>
      <c r="I253" s="9">
        <v>0.25</v>
      </c>
      <c r="J253" s="9">
        <v>0.4583333333333333</v>
      </c>
      <c r="K253" s="9"/>
    </row>
    <row r="254" hidden="1">
      <c r="A254" s="5" t="str">
        <f>IFNA(VLOOKUP(D254,'Location Table'!A:C,2,false),"")</f>
        <v>35a70e9e-50bc-11ef-bbb1-506b8d9879b5</v>
      </c>
      <c r="B254" s="5" t="str">
        <f>IFNA(VLOOKUP(F254,Driver!A:C,2,false),"")</f>
        <v>a72dc14a-3654-11ed-bef3-506b8dbc8dfb</v>
      </c>
      <c r="C254" s="5" t="str">
        <f>IFNA(VLOOKUP(E254,'Location Table'!A:C,2,false),"")</f>
        <v/>
      </c>
      <c r="D254" s="6" t="s">
        <v>278</v>
      </c>
      <c r="E254" s="6"/>
      <c r="F254" s="6" t="s">
        <v>246</v>
      </c>
      <c r="G254" s="7" t="str">
        <f>IFNA(VLOOKUP(F254,Driver!A:D,4,false),"")</f>
        <v>1980698793628880414:XXMGIAegigeHesHcPUQpIcnMCwhigvPUATFrPyRHiqIZqTwmvWiXbUzfDhivxPcl</v>
      </c>
      <c r="H254" s="8" t="str">
        <f>IFNA(VLOOKUP(F254,Driver!A:C,3,false),"")</f>
        <v>88199dcfa88541db1894</v>
      </c>
      <c r="I254" s="9">
        <v>0.25</v>
      </c>
      <c r="J254" s="9">
        <v>0.4583333333333333</v>
      </c>
      <c r="K254" s="9"/>
    </row>
    <row r="255" hidden="1">
      <c r="A255" s="5" t="str">
        <f>IFNA(VLOOKUP(D255,'Location Table'!A:C,2,false),"")</f>
        <v>c78fdb82-6805-11ef-bf49-506b8d9879b5</v>
      </c>
      <c r="B255" s="5" t="str">
        <f>IFNA(VLOOKUP(F255,Driver!A:C,2,false),"")</f>
        <v>a72dc14a-3654-11ed-bef3-506b8dbc8dfb</v>
      </c>
      <c r="C255" s="5" t="str">
        <f>IFNA(VLOOKUP(E255,'Location Table'!A:C,2,false),"")</f>
        <v/>
      </c>
      <c r="D255" s="6" t="s">
        <v>279</v>
      </c>
      <c r="E255" s="6"/>
      <c r="F255" s="6" t="s">
        <v>246</v>
      </c>
      <c r="G255" s="7" t="str">
        <f>IFNA(VLOOKUP(F255,Driver!A:D,4,false),"")</f>
        <v>1980698793628880414:XXMGIAegigeHesHcPUQpIcnMCwhigvPUATFrPyRHiqIZqTwmvWiXbUzfDhivxPcl</v>
      </c>
      <c r="H255" s="8" t="str">
        <f>IFNA(VLOOKUP(F255,Driver!A:C,3,false),"")</f>
        <v>88199dcfa88541db1894</v>
      </c>
      <c r="I255" s="9">
        <v>0.25</v>
      </c>
      <c r="J255" s="9">
        <v>0.4583333333333333</v>
      </c>
      <c r="K255" s="9"/>
    </row>
    <row r="256" hidden="1">
      <c r="A256" s="5" t="str">
        <f>IFNA(VLOOKUP(D256,'Location Table'!A:C,2,false),"")</f>
        <v>4f54e06a-77e0-11ee-91f6-506b8d9879b5</v>
      </c>
      <c r="B256" s="5" t="str">
        <f>IFNA(VLOOKUP(F256,Driver!A:C,2,false),"")</f>
        <v>a72dc14a-3654-11ed-bef3-506b8dbc8dfb</v>
      </c>
      <c r="C256" s="5" t="str">
        <f>IFNA(VLOOKUP(E256,'Location Table'!A:C,2,false),"")</f>
        <v/>
      </c>
      <c r="D256" s="6" t="s">
        <v>280</v>
      </c>
      <c r="E256" s="6"/>
      <c r="F256" s="6" t="s">
        <v>246</v>
      </c>
      <c r="G256" s="7" t="str">
        <f>IFNA(VLOOKUP(F256,Driver!A:D,4,false),"")</f>
        <v>1980698793628880414:XXMGIAegigeHesHcPUQpIcnMCwhigvPUATFrPyRHiqIZqTwmvWiXbUzfDhivxPcl</v>
      </c>
      <c r="H256" s="8" t="str">
        <f>IFNA(VLOOKUP(F256,Driver!A:C,3,false),"")</f>
        <v>88199dcfa88541db1894</v>
      </c>
      <c r="I256" s="9">
        <v>0.25</v>
      </c>
      <c r="J256" s="9">
        <v>0.4583333333333333</v>
      </c>
      <c r="K256" s="9"/>
    </row>
    <row r="257" hidden="1">
      <c r="A257" s="5" t="str">
        <f>IFNA(VLOOKUP(D257,'Location Table'!A:C,2,false),"")</f>
        <v>ad47e07c-dae5-11f0-9e7c-506b8d982279</v>
      </c>
      <c r="B257" s="5" t="str">
        <f>IFNA(VLOOKUP(F257,Driver!A:C,2,false),"")</f>
        <v>a72dc14a-3654-11ed-bef3-506b8dbc8dfb</v>
      </c>
      <c r="C257" s="5" t="str">
        <f>IFNA(VLOOKUP(E257,'Location Table'!A:C,2,false),"")</f>
        <v/>
      </c>
      <c r="D257" s="6" t="s">
        <v>281</v>
      </c>
      <c r="E257" s="6"/>
      <c r="F257" s="6" t="s">
        <v>246</v>
      </c>
      <c r="G257" s="7" t="str">
        <f>IFNA(VLOOKUP(F257,Driver!A:D,4,false),"")</f>
        <v>1980698793628880414:XXMGIAegigeHesHcPUQpIcnMCwhigvPUATFrPyRHiqIZqTwmvWiXbUzfDhivxPcl</v>
      </c>
      <c r="H257" s="8" t="str">
        <f>IFNA(VLOOKUP(F257,Driver!A:C,3,false),"")</f>
        <v>88199dcfa88541db1894</v>
      </c>
      <c r="I257" s="9">
        <v>0.25</v>
      </c>
      <c r="J257" s="9">
        <v>0.4583333333333333</v>
      </c>
      <c r="K257" s="9"/>
    </row>
    <row r="258" hidden="1">
      <c r="A258" s="5" t="str">
        <f>IFNA(VLOOKUP(D258,'Location Table'!A:C,2,false),"")</f>
        <v>fcd0a9f6-ad20-11ef-90e1-506b8d9879b5</v>
      </c>
      <c r="B258" s="5" t="str">
        <f>IFNA(VLOOKUP(F258,Driver!A:C,2,false),"")</f>
        <v>a72dc14a-3654-11ed-bef3-506b8dbc8dfb</v>
      </c>
      <c r="C258" s="5" t="str">
        <f>IFNA(VLOOKUP(E258,'Location Table'!A:C,2,false),"")</f>
        <v/>
      </c>
      <c r="D258" s="6" t="s">
        <v>282</v>
      </c>
      <c r="E258" s="6"/>
      <c r="F258" s="6" t="s">
        <v>246</v>
      </c>
      <c r="G258" s="7" t="str">
        <f>IFNA(VLOOKUP(F258,Driver!A:D,4,false),"")</f>
        <v>1980698793628880414:XXMGIAegigeHesHcPUQpIcnMCwhigvPUATFrPyRHiqIZqTwmvWiXbUzfDhivxPcl</v>
      </c>
      <c r="H258" s="8" t="str">
        <f>IFNA(VLOOKUP(F258,Driver!A:C,3,false),"")</f>
        <v>88199dcfa88541db1894</v>
      </c>
      <c r="I258" s="9">
        <v>0.25</v>
      </c>
      <c r="J258" s="9">
        <v>0.4583333333333333</v>
      </c>
      <c r="K258" s="9"/>
    </row>
    <row r="259" hidden="1">
      <c r="A259" s="5" t="str">
        <f>IFNA(VLOOKUP(D259,'Location Table'!A:C,2,false),"")</f>
        <v>1e43d74c-8901-11ee-a635-506b8d9879b5</v>
      </c>
      <c r="B259" s="5" t="str">
        <f>IFNA(VLOOKUP(F259,Driver!A:C,2,false),"")</f>
        <v>a72dc14a-3654-11ed-bef3-506b8dbc8dfb</v>
      </c>
      <c r="C259" s="5" t="str">
        <f>IFNA(VLOOKUP(E259,'Location Table'!A:C,2,false),"")</f>
        <v/>
      </c>
      <c r="D259" s="6" t="s">
        <v>283</v>
      </c>
      <c r="E259" s="6"/>
      <c r="F259" s="6" t="s">
        <v>246</v>
      </c>
      <c r="G259" s="7" t="str">
        <f>IFNA(VLOOKUP(F259,Driver!A:D,4,false),"")</f>
        <v>1980698793628880414:XXMGIAegigeHesHcPUQpIcnMCwhigvPUATFrPyRHiqIZqTwmvWiXbUzfDhivxPcl</v>
      </c>
      <c r="H259" s="8" t="str">
        <f>IFNA(VLOOKUP(F259,Driver!A:C,3,false),"")</f>
        <v>88199dcfa88541db1894</v>
      </c>
      <c r="I259" s="9">
        <v>0.25</v>
      </c>
      <c r="J259" s="9">
        <v>0.4583333333333333</v>
      </c>
      <c r="K259" s="9"/>
    </row>
    <row r="260" hidden="1">
      <c r="A260" s="5" t="str">
        <f>IFNA(VLOOKUP(D260,'Location Table'!A:C,2,false),"")</f>
        <v>0d699b42-97d3-11ee-9e8a-506b8d9879b5</v>
      </c>
      <c r="B260" s="5" t="str">
        <f>IFNA(VLOOKUP(F260,Driver!A:C,2,false),"")</f>
        <v>a72dc14a-3654-11ed-bef3-506b8dbc8dfb</v>
      </c>
      <c r="C260" s="5" t="str">
        <f>IFNA(VLOOKUP(E260,'Location Table'!A:C,2,false),"")</f>
        <v/>
      </c>
      <c r="D260" s="6" t="s">
        <v>284</v>
      </c>
      <c r="E260" s="6"/>
      <c r="F260" s="6" t="s">
        <v>246</v>
      </c>
      <c r="G260" s="7" t="str">
        <f>IFNA(VLOOKUP(F260,Driver!A:D,4,false),"")</f>
        <v>1980698793628880414:XXMGIAegigeHesHcPUQpIcnMCwhigvPUATFrPyRHiqIZqTwmvWiXbUzfDhivxPcl</v>
      </c>
      <c r="H260" s="8" t="str">
        <f>IFNA(VLOOKUP(F260,Driver!A:C,3,false),"")</f>
        <v>88199dcfa88541db1894</v>
      </c>
      <c r="I260" s="9">
        <v>0.25</v>
      </c>
      <c r="J260" s="9">
        <v>0.4583333333333333</v>
      </c>
      <c r="K260" s="9"/>
    </row>
    <row r="261" hidden="1">
      <c r="A261" s="5" t="str">
        <f>IFNA(VLOOKUP(D261,'Location Table'!A:C,2,false),"")</f>
        <v>f94adc10-13de-11ef-8481-506b8d9879b5</v>
      </c>
      <c r="B261" s="5" t="str">
        <f>IFNA(VLOOKUP(F261,Driver!A:C,2,false),"")</f>
        <v>a72dc14a-3654-11ed-bef3-506b8dbc8dfb</v>
      </c>
      <c r="C261" s="5" t="str">
        <f>IFNA(VLOOKUP(E261,'Location Table'!A:C,2,false),"")</f>
        <v/>
      </c>
      <c r="D261" s="6" t="s">
        <v>285</v>
      </c>
      <c r="E261" s="6"/>
      <c r="F261" s="6" t="s">
        <v>246</v>
      </c>
      <c r="G261" s="7" t="str">
        <f>IFNA(VLOOKUP(F261,Driver!A:D,4,false),"")</f>
        <v>1980698793628880414:XXMGIAegigeHesHcPUQpIcnMCwhigvPUATFrPyRHiqIZqTwmvWiXbUzfDhivxPcl</v>
      </c>
      <c r="H261" s="8" t="str">
        <f>IFNA(VLOOKUP(F261,Driver!A:C,3,false),"")</f>
        <v>88199dcfa88541db1894</v>
      </c>
      <c r="I261" s="9">
        <v>0.25</v>
      </c>
      <c r="J261" s="9">
        <v>0.4583333333333333</v>
      </c>
      <c r="K261" s="9"/>
    </row>
    <row r="262" hidden="1">
      <c r="A262" s="5" t="str">
        <f>IFNA(VLOOKUP(D262,'Location Table'!A:C,2,false),"")</f>
        <v>323b0f74-7d10-11ee-b82b-506b8d9879b5</v>
      </c>
      <c r="B262" s="5" t="str">
        <f>IFNA(VLOOKUP(F262,Driver!A:C,2,false),"")</f>
        <v>a72dc14a-3654-11ed-bef3-506b8dbc8dfb</v>
      </c>
      <c r="C262" s="5" t="str">
        <f>IFNA(VLOOKUP(E262,'Location Table'!A:C,2,false),"")</f>
        <v/>
      </c>
      <c r="D262" s="6" t="s">
        <v>286</v>
      </c>
      <c r="E262" s="6"/>
      <c r="F262" s="6" t="s">
        <v>246</v>
      </c>
      <c r="G262" s="7" t="str">
        <f>IFNA(VLOOKUP(F262,Driver!A:D,4,false),"")</f>
        <v>1980698793628880414:XXMGIAegigeHesHcPUQpIcnMCwhigvPUATFrPyRHiqIZqTwmvWiXbUzfDhivxPcl</v>
      </c>
      <c r="H262" s="8" t="str">
        <f>IFNA(VLOOKUP(F262,Driver!A:C,3,false),"")</f>
        <v>88199dcfa88541db1894</v>
      </c>
      <c r="I262" s="9">
        <v>0.25</v>
      </c>
      <c r="J262" s="9">
        <v>0.4583333333333333</v>
      </c>
      <c r="K262" s="9"/>
    </row>
    <row r="263" hidden="1">
      <c r="A263" s="5" t="str">
        <f>IFNA(VLOOKUP(D263,'Location Table'!A:C,2,false),"")</f>
        <v>1b46fb96-02b9-11ef-8bdd-506b8d9879b5</v>
      </c>
      <c r="B263" s="5" t="str">
        <f>IFNA(VLOOKUP(F263,Driver!A:C,2,false),"")</f>
        <v>a72dc14a-3654-11ed-bef3-506b8dbc8dfb</v>
      </c>
      <c r="C263" s="5" t="str">
        <f>IFNA(VLOOKUP(E263,'Location Table'!A:C,2,false),"")</f>
        <v/>
      </c>
      <c r="D263" s="6" t="s">
        <v>287</v>
      </c>
      <c r="E263" s="6"/>
      <c r="F263" s="6" t="s">
        <v>246</v>
      </c>
      <c r="G263" s="7" t="str">
        <f>IFNA(VLOOKUP(F263,Driver!A:D,4,false),"")</f>
        <v>1980698793628880414:XXMGIAegigeHesHcPUQpIcnMCwhigvPUATFrPyRHiqIZqTwmvWiXbUzfDhivxPcl</v>
      </c>
      <c r="H263" s="8" t="str">
        <f>IFNA(VLOOKUP(F263,Driver!A:C,3,false),"")</f>
        <v>88199dcfa88541db1894</v>
      </c>
      <c r="I263" s="9">
        <v>0.25</v>
      </c>
      <c r="J263" s="9">
        <v>0.4583333333333333</v>
      </c>
      <c r="K263" s="9"/>
    </row>
    <row r="264" hidden="1">
      <c r="A264" s="5" t="str">
        <f>IFNA(VLOOKUP(D264,'Location Table'!A:C,2,false),"")</f>
        <v>d8d6e692-4531-11f0-a968-506b8d982279</v>
      </c>
      <c r="B264" s="5" t="str">
        <f>IFNA(VLOOKUP(F264,Driver!A:C,2,false),"")</f>
        <v>a72dc14a-3654-11ed-bef3-506b8dbc8dfb</v>
      </c>
      <c r="C264" s="5" t="str">
        <f>IFNA(VLOOKUP(E264,'Location Table'!A:C,2,false),"")</f>
        <v/>
      </c>
      <c r="D264" s="6" t="s">
        <v>288</v>
      </c>
      <c r="E264" s="6"/>
      <c r="F264" s="6" t="s">
        <v>246</v>
      </c>
      <c r="G264" s="7" t="str">
        <f>IFNA(VLOOKUP(F264,Driver!A:D,4,false),"")</f>
        <v>1980698793628880414:XXMGIAegigeHesHcPUQpIcnMCwhigvPUATFrPyRHiqIZqTwmvWiXbUzfDhivxPcl</v>
      </c>
      <c r="H264" s="8" t="str">
        <f>IFNA(VLOOKUP(F264,Driver!A:C,3,false),"")</f>
        <v>88199dcfa88541db1894</v>
      </c>
      <c r="I264" s="9">
        <v>0.25</v>
      </c>
      <c r="J264" s="9">
        <v>0.4583333333333333</v>
      </c>
      <c r="K264" s="9"/>
    </row>
    <row r="265" hidden="1">
      <c r="A265" s="5" t="str">
        <f>IFNA(VLOOKUP(D265,'Location Table'!A:C,2,false),"")</f>
        <v>8e7dd344-c9bc-11ef-ad21-506b8d9879b5</v>
      </c>
      <c r="B265" s="5" t="str">
        <f>IFNA(VLOOKUP(F265,Driver!A:C,2,false),"")</f>
        <v>a72dc14a-3654-11ed-bef3-506b8dbc8dfb</v>
      </c>
      <c r="C265" s="5" t="str">
        <f>IFNA(VLOOKUP(E265,'Location Table'!A:C,2,false),"")</f>
        <v/>
      </c>
      <c r="D265" s="6" t="s">
        <v>289</v>
      </c>
      <c r="E265" s="6"/>
      <c r="F265" s="6" t="s">
        <v>246</v>
      </c>
      <c r="G265" s="7" t="str">
        <f>IFNA(VLOOKUP(F265,Driver!A:D,4,false),"")</f>
        <v>1980698793628880414:XXMGIAegigeHesHcPUQpIcnMCwhigvPUATFrPyRHiqIZqTwmvWiXbUzfDhivxPcl</v>
      </c>
      <c r="H265" s="8" t="str">
        <f>IFNA(VLOOKUP(F265,Driver!A:C,3,false),"")</f>
        <v>88199dcfa88541db1894</v>
      </c>
      <c r="I265" s="9">
        <v>0.25</v>
      </c>
      <c r="J265" s="9">
        <v>0.4583333333333333</v>
      </c>
      <c r="K265" s="9"/>
    </row>
    <row r="266" hidden="1">
      <c r="A266" s="5" t="str">
        <f>IFNA(VLOOKUP(D266,'Location Table'!A:C,2,false),"")</f>
        <v>051eba38-cf32-11f0-b412-506b8d982279</v>
      </c>
      <c r="B266" s="5" t="str">
        <f>IFNA(VLOOKUP(F266,Driver!A:C,2,false),"")</f>
        <v>a72dc14a-3654-11ed-bef3-506b8dbc8dfb</v>
      </c>
      <c r="C266" s="5" t="str">
        <f>IFNA(VLOOKUP(E266,'Location Table'!A:C,2,false),"")</f>
        <v/>
      </c>
      <c r="D266" s="6" t="s">
        <v>290</v>
      </c>
      <c r="E266" s="6"/>
      <c r="F266" s="6" t="s">
        <v>246</v>
      </c>
      <c r="G266" s="7" t="str">
        <f>IFNA(VLOOKUP(F266,Driver!A:D,4,false),"")</f>
        <v>1980698793628880414:XXMGIAegigeHesHcPUQpIcnMCwhigvPUATFrPyRHiqIZqTwmvWiXbUzfDhivxPcl</v>
      </c>
      <c r="H266" s="8" t="str">
        <f>IFNA(VLOOKUP(F266,Driver!A:C,3,false),"")</f>
        <v>88199dcfa88541db1894</v>
      </c>
      <c r="I266" s="9">
        <v>0.25</v>
      </c>
      <c r="J266" s="9">
        <v>0.4583333333333333</v>
      </c>
      <c r="K266" s="9"/>
    </row>
    <row r="267" hidden="1">
      <c r="A267" s="5" t="str">
        <f>IFNA(VLOOKUP(D267,'Location Table'!A:C,2,false),"")</f>
        <v>35ffceee-7baf-11ef-916b-506b8d9879b5</v>
      </c>
      <c r="B267" s="5" t="str">
        <f>IFNA(VLOOKUP(F267,Driver!A:C,2,false),"")</f>
        <v>a72dc14a-3654-11ed-bef3-506b8dbc8dfb</v>
      </c>
      <c r="C267" s="5" t="str">
        <f>IFNA(VLOOKUP(E267,'Location Table'!A:C,2,false),"")</f>
        <v/>
      </c>
      <c r="D267" s="6" t="s">
        <v>291</v>
      </c>
      <c r="E267" s="6"/>
      <c r="F267" s="6" t="s">
        <v>246</v>
      </c>
      <c r="G267" s="7" t="str">
        <f>IFNA(VLOOKUP(F267,Driver!A:D,4,false),"")</f>
        <v>1980698793628880414:XXMGIAegigeHesHcPUQpIcnMCwhigvPUATFrPyRHiqIZqTwmvWiXbUzfDhivxPcl</v>
      </c>
      <c r="H267" s="8" t="str">
        <f>IFNA(VLOOKUP(F267,Driver!A:C,3,false),"")</f>
        <v>88199dcfa88541db1894</v>
      </c>
      <c r="I267" s="9">
        <v>0.25</v>
      </c>
      <c r="J267" s="9">
        <v>0.4583333333333333</v>
      </c>
      <c r="K267" s="9"/>
    </row>
    <row r="268" hidden="1">
      <c r="A268" s="5" t="str">
        <f>IFNA(VLOOKUP(D268,'Location Table'!A:C,2,false),"")</f>
        <v>44225afc-0a96-11f0-b7f4-506b8d982279</v>
      </c>
      <c r="B268" s="5" t="str">
        <f>IFNA(VLOOKUP(F268,Driver!A:C,2,false),"")</f>
        <v>a72dc14a-3654-11ed-bef3-506b8dbc8dfb</v>
      </c>
      <c r="C268" s="5" t="str">
        <f>IFNA(VLOOKUP(E268,'Location Table'!A:C,2,false),"")</f>
        <v/>
      </c>
      <c r="D268" s="6" t="s">
        <v>292</v>
      </c>
      <c r="E268" s="6"/>
      <c r="F268" s="6" t="s">
        <v>246</v>
      </c>
      <c r="G268" s="7" t="str">
        <f>IFNA(VLOOKUP(F268,Driver!A:D,4,false),"")</f>
        <v>1980698793628880414:XXMGIAegigeHesHcPUQpIcnMCwhigvPUATFrPyRHiqIZqTwmvWiXbUzfDhivxPcl</v>
      </c>
      <c r="H268" s="8" t="str">
        <f>IFNA(VLOOKUP(F268,Driver!A:C,3,false),"")</f>
        <v>88199dcfa88541db1894</v>
      </c>
      <c r="I268" s="9">
        <v>0.25</v>
      </c>
      <c r="J268" s="9">
        <v>0.4583333333333333</v>
      </c>
      <c r="K268" s="9"/>
    </row>
    <row r="269" hidden="1">
      <c r="A269" s="5" t="str">
        <f>IFNA(VLOOKUP(D269,'Location Table'!A:C,2,false),"")</f>
        <v>70d6804e-4b44-11ef-abeb-506b8d9879b5</v>
      </c>
      <c r="B269" s="5" t="str">
        <f>IFNA(VLOOKUP(F269,Driver!A:C,2,false),"")</f>
        <v>a72dc14a-3654-11ed-bef3-506b8dbc8dfb</v>
      </c>
      <c r="C269" s="5" t="str">
        <f>IFNA(VLOOKUP(E269,'Location Table'!A:C,2,false),"")</f>
        <v/>
      </c>
      <c r="D269" s="6" t="s">
        <v>293</v>
      </c>
      <c r="E269" s="6"/>
      <c r="F269" s="6" t="s">
        <v>246</v>
      </c>
      <c r="G269" s="7" t="str">
        <f>IFNA(VLOOKUP(F269,Driver!A:D,4,false),"")</f>
        <v>1980698793628880414:XXMGIAegigeHesHcPUQpIcnMCwhigvPUATFrPyRHiqIZqTwmvWiXbUzfDhivxPcl</v>
      </c>
      <c r="H269" s="8" t="str">
        <f>IFNA(VLOOKUP(F269,Driver!A:C,3,false),"")</f>
        <v>88199dcfa88541db1894</v>
      </c>
      <c r="I269" s="9">
        <v>0.25</v>
      </c>
      <c r="J269" s="9">
        <v>0.4583333333333333</v>
      </c>
      <c r="K269" s="9"/>
    </row>
    <row r="270" hidden="1">
      <c r="A270" s="5" t="str">
        <f>IFNA(VLOOKUP(D270,'Location Table'!A:C,2,false),"")</f>
        <v>fa0f6060-4f9f-11ef-bb9f-506b8d9879b5</v>
      </c>
      <c r="B270" s="5" t="str">
        <f>IFNA(VLOOKUP(F270,Driver!A:C,2,false),"")</f>
        <v>a72dc14a-3654-11ed-bef3-506b8dbc8dfb</v>
      </c>
      <c r="C270" s="5" t="str">
        <f>IFNA(VLOOKUP(E270,'Location Table'!A:C,2,false),"")</f>
        <v/>
      </c>
      <c r="D270" s="6" t="s">
        <v>294</v>
      </c>
      <c r="E270" s="6"/>
      <c r="F270" s="6" t="s">
        <v>246</v>
      </c>
      <c r="G270" s="7" t="str">
        <f>IFNA(VLOOKUP(F270,Driver!A:D,4,false),"")</f>
        <v>1980698793628880414:XXMGIAegigeHesHcPUQpIcnMCwhigvPUATFrPyRHiqIZqTwmvWiXbUzfDhivxPcl</v>
      </c>
      <c r="H270" s="8" t="str">
        <f>IFNA(VLOOKUP(F270,Driver!A:C,3,false),"")</f>
        <v>88199dcfa88541db1894</v>
      </c>
      <c r="I270" s="9">
        <v>0.25</v>
      </c>
      <c r="J270" s="9">
        <v>0.4583333333333333</v>
      </c>
      <c r="K270" s="9"/>
    </row>
    <row r="271" hidden="1">
      <c r="A271" s="5" t="str">
        <f>IFNA(VLOOKUP(D271,'Location Table'!A:C,2,false),"")</f>
        <v>22679c14-52e6-11ef-a589-506b8d9879b5</v>
      </c>
      <c r="B271" s="5" t="str">
        <f>IFNA(VLOOKUP(F271,Driver!A:C,2,false),"")</f>
        <v>a72dc14a-3654-11ed-bef3-506b8dbc8dfb</v>
      </c>
      <c r="C271" s="5" t="str">
        <f>IFNA(VLOOKUP(E271,'Location Table'!A:C,2,false),"")</f>
        <v/>
      </c>
      <c r="D271" s="6" t="s">
        <v>295</v>
      </c>
      <c r="E271" s="6"/>
      <c r="F271" s="6" t="s">
        <v>246</v>
      </c>
      <c r="G271" s="7" t="str">
        <f>IFNA(VLOOKUP(F271,Driver!A:D,4,false),"")</f>
        <v>1980698793628880414:XXMGIAegigeHesHcPUQpIcnMCwhigvPUATFrPyRHiqIZqTwmvWiXbUzfDhivxPcl</v>
      </c>
      <c r="H271" s="8" t="str">
        <f>IFNA(VLOOKUP(F271,Driver!A:C,3,false),"")</f>
        <v>88199dcfa88541db1894</v>
      </c>
      <c r="I271" s="9">
        <v>0.25</v>
      </c>
      <c r="J271" s="9">
        <v>0.4583333333333333</v>
      </c>
      <c r="K271" s="9"/>
    </row>
    <row r="272" hidden="1">
      <c r="A272" s="5" t="str">
        <f>IFNA(VLOOKUP(D272,'Location Table'!A:C,2,false),"")</f>
        <v>d9fd5fe8-6f0c-11ef-a4aa-506b8d9879b5</v>
      </c>
      <c r="B272" s="5" t="str">
        <f>IFNA(VLOOKUP(F272,Driver!A:C,2,false),"")</f>
        <v>a72dc14a-3654-11ed-bef3-506b8dbc8dfb</v>
      </c>
      <c r="C272" s="5" t="str">
        <f>IFNA(VLOOKUP(E272,'Location Table'!A:C,2,false),"")</f>
        <v/>
      </c>
      <c r="D272" s="6" t="s">
        <v>296</v>
      </c>
      <c r="E272" s="6"/>
      <c r="F272" s="6" t="s">
        <v>246</v>
      </c>
      <c r="G272" s="7" t="str">
        <f>IFNA(VLOOKUP(F272,Driver!A:D,4,false),"")</f>
        <v>1980698793628880414:XXMGIAegigeHesHcPUQpIcnMCwhigvPUATFrPyRHiqIZqTwmvWiXbUzfDhivxPcl</v>
      </c>
      <c r="H272" s="8" t="str">
        <f>IFNA(VLOOKUP(F272,Driver!A:C,3,false),"")</f>
        <v>88199dcfa88541db1894</v>
      </c>
      <c r="I272" s="9">
        <v>0.25</v>
      </c>
      <c r="J272" s="9">
        <v>0.4583333333333333</v>
      </c>
      <c r="K272" s="9"/>
    </row>
    <row r="273" hidden="1">
      <c r="A273" s="5" t="str">
        <f>IFNA(VLOOKUP(D273,'Location Table'!A:C,2,false),"")</f>
        <v>425ab5b8-765b-11ef-b8d8-506b8d9879b5</v>
      </c>
      <c r="B273" s="5" t="str">
        <f>IFNA(VLOOKUP(F273,Driver!A:C,2,false),"")</f>
        <v>a72dc14a-3654-11ed-bef3-506b8dbc8dfb</v>
      </c>
      <c r="C273" s="5" t="str">
        <f>IFNA(VLOOKUP(E273,'Location Table'!A:C,2,false),"")</f>
        <v/>
      </c>
      <c r="D273" s="6" t="s">
        <v>297</v>
      </c>
      <c r="E273" s="6"/>
      <c r="F273" s="6" t="s">
        <v>246</v>
      </c>
      <c r="G273" s="7" t="str">
        <f>IFNA(VLOOKUP(F273,Driver!A:D,4,false),"")</f>
        <v>1980698793628880414:XXMGIAegigeHesHcPUQpIcnMCwhigvPUATFrPyRHiqIZqTwmvWiXbUzfDhivxPcl</v>
      </c>
      <c r="H273" s="8" t="str">
        <f>IFNA(VLOOKUP(F273,Driver!A:C,3,false),"")</f>
        <v>88199dcfa88541db1894</v>
      </c>
      <c r="I273" s="9">
        <v>0.25</v>
      </c>
      <c r="J273" s="9">
        <v>0.4583333333333333</v>
      </c>
      <c r="K273" s="9"/>
    </row>
    <row r="274" hidden="1">
      <c r="A274" s="5" t="str">
        <f>IFNA(VLOOKUP(D274,'Location Table'!A:C,2,false),"")</f>
        <v>d758c56e-a546-11ef-801d-506b8d9879b5</v>
      </c>
      <c r="B274" s="5" t="str">
        <f>IFNA(VLOOKUP(F274,Driver!A:C,2,false),"")</f>
        <v>a72dc14a-3654-11ed-bef3-506b8dbc8dfb</v>
      </c>
      <c r="C274" s="5" t="str">
        <f>IFNA(VLOOKUP(E274,'Location Table'!A:C,2,false),"")</f>
        <v/>
      </c>
      <c r="D274" s="6" t="s">
        <v>298</v>
      </c>
      <c r="E274" s="6"/>
      <c r="F274" s="6" t="s">
        <v>246</v>
      </c>
      <c r="G274" s="7" t="str">
        <f>IFNA(VLOOKUP(F274,Driver!A:D,4,false),"")</f>
        <v>1980698793628880414:XXMGIAegigeHesHcPUQpIcnMCwhigvPUATFrPyRHiqIZqTwmvWiXbUzfDhivxPcl</v>
      </c>
      <c r="H274" s="8" t="str">
        <f>IFNA(VLOOKUP(F274,Driver!A:C,3,false),"")</f>
        <v>88199dcfa88541db1894</v>
      </c>
      <c r="I274" s="9">
        <v>0.25</v>
      </c>
      <c r="J274" s="9">
        <v>0.4583333333333333</v>
      </c>
      <c r="K274" s="9"/>
    </row>
    <row r="275" hidden="1">
      <c r="A275" s="5" t="str">
        <f>IFNA(VLOOKUP(D275,'Location Table'!A:C,2,false),"")</f>
        <v>799b3e00-b38a-11ef-b4d3-506b8d9879b5</v>
      </c>
      <c r="B275" s="5" t="str">
        <f>IFNA(VLOOKUP(F275,Driver!A:C,2,false),"")</f>
        <v>a72dc14a-3654-11ed-bef3-506b8dbc8dfb</v>
      </c>
      <c r="C275" s="5" t="str">
        <f>IFNA(VLOOKUP(E275,'Location Table'!A:C,2,false),"")</f>
        <v/>
      </c>
      <c r="D275" s="6" t="s">
        <v>299</v>
      </c>
      <c r="E275" s="6"/>
      <c r="F275" s="6" t="s">
        <v>246</v>
      </c>
      <c r="G275" s="7" t="str">
        <f>IFNA(VLOOKUP(F275,Driver!A:D,4,false),"")</f>
        <v>1980698793628880414:XXMGIAegigeHesHcPUQpIcnMCwhigvPUATFrPyRHiqIZqTwmvWiXbUzfDhivxPcl</v>
      </c>
      <c r="H275" s="8" t="str">
        <f>IFNA(VLOOKUP(F275,Driver!A:C,3,false),"")</f>
        <v>88199dcfa88541db1894</v>
      </c>
      <c r="I275" s="9">
        <v>0.25</v>
      </c>
      <c r="J275" s="9">
        <v>0.4583333333333333</v>
      </c>
      <c r="K275" s="9"/>
    </row>
    <row r="276" hidden="1">
      <c r="A276" s="5" t="str">
        <f>IFNA(VLOOKUP(D276,'Location Table'!A:C,2,false),"")</f>
        <v>baf592d8-9dae-11f0-81c0-506b8d982279</v>
      </c>
      <c r="B276" s="5" t="str">
        <f>IFNA(VLOOKUP(F276,Driver!A:C,2,false),"")</f>
        <v>a72dc14a-3654-11ed-bef3-506b8dbc8dfb</v>
      </c>
      <c r="C276" s="5" t="str">
        <f>IFNA(VLOOKUP(E276,'Location Table'!A:C,2,false),"")</f>
        <v/>
      </c>
      <c r="D276" s="6" t="s">
        <v>300</v>
      </c>
      <c r="E276" s="6"/>
      <c r="F276" s="6" t="s">
        <v>246</v>
      </c>
      <c r="G276" s="7" t="str">
        <f>IFNA(VLOOKUP(F276,Driver!A:D,4,false),"")</f>
        <v>1980698793628880414:XXMGIAegigeHesHcPUQpIcnMCwhigvPUATFrPyRHiqIZqTwmvWiXbUzfDhivxPcl</v>
      </c>
      <c r="H276" s="8" t="str">
        <f>IFNA(VLOOKUP(F276,Driver!A:C,3,false),"")</f>
        <v>88199dcfa88541db1894</v>
      </c>
      <c r="I276" s="9">
        <v>0.25</v>
      </c>
      <c r="J276" s="9">
        <v>0.4583333333333333</v>
      </c>
      <c r="K276" s="9"/>
    </row>
    <row r="277" hidden="1">
      <c r="A277" s="5" t="str">
        <f>IFNA(VLOOKUP(D277,'Location Table'!A:C,2,false),"")</f>
        <v>4061af16-d620-11f0-b121-506b8d982279</v>
      </c>
      <c r="B277" s="5" t="str">
        <f>IFNA(VLOOKUP(F277,Driver!A:C,2,false),"")</f>
        <v>a72dc14a-3654-11ed-bef3-506b8dbc8dfb</v>
      </c>
      <c r="C277" s="5" t="str">
        <f>IFNA(VLOOKUP(E277,'Location Table'!A:C,2,false),"")</f>
        <v/>
      </c>
      <c r="D277" s="6" t="s">
        <v>301</v>
      </c>
      <c r="E277" s="6"/>
      <c r="F277" s="6" t="s">
        <v>246</v>
      </c>
      <c r="G277" s="7" t="str">
        <f>IFNA(VLOOKUP(F277,Driver!A:D,4,false),"")</f>
        <v>1980698793628880414:XXMGIAegigeHesHcPUQpIcnMCwhigvPUATFrPyRHiqIZqTwmvWiXbUzfDhivxPcl</v>
      </c>
      <c r="H277" s="8" t="str">
        <f>IFNA(VLOOKUP(F277,Driver!A:C,3,false),"")</f>
        <v>88199dcfa88541db1894</v>
      </c>
      <c r="I277" s="9">
        <v>0.25</v>
      </c>
      <c r="J277" s="9">
        <v>0.4583333333333333</v>
      </c>
      <c r="K277" s="9"/>
    </row>
    <row r="278" hidden="1">
      <c r="A278" s="5" t="str">
        <f>IFNA(VLOOKUP(D278,'Location Table'!A:C,2,false),"")</f>
        <v>3e36323e-a975-11f0-a790-506b8d982279</v>
      </c>
      <c r="B278" s="5" t="str">
        <f>IFNA(VLOOKUP(F278,Driver!A:C,2,false),"")</f>
        <v>a72dc14a-3654-11ed-bef3-506b8dbc8dfb</v>
      </c>
      <c r="C278" s="5" t="str">
        <f>IFNA(VLOOKUP(E278,'Location Table'!A:C,2,false),"")</f>
        <v/>
      </c>
      <c r="D278" s="6" t="s">
        <v>302</v>
      </c>
      <c r="E278" s="6"/>
      <c r="F278" s="6" t="s">
        <v>246</v>
      </c>
      <c r="G278" s="7" t="str">
        <f>IFNA(VLOOKUP(F278,Driver!A:D,4,false),"")</f>
        <v>1980698793628880414:XXMGIAegigeHesHcPUQpIcnMCwhigvPUATFrPyRHiqIZqTwmvWiXbUzfDhivxPcl</v>
      </c>
      <c r="H278" s="8" t="str">
        <f>IFNA(VLOOKUP(F278,Driver!A:C,3,false),"")</f>
        <v>88199dcfa88541db1894</v>
      </c>
      <c r="I278" s="9">
        <v>0.25</v>
      </c>
      <c r="J278" s="9">
        <v>0.4583333333333333</v>
      </c>
      <c r="K278" s="9"/>
    </row>
    <row r="279" hidden="1">
      <c r="A279" s="5" t="str">
        <f>IFNA(VLOOKUP(D279,'Location Table'!A:C,2,false),"")</f>
        <v>d79450a8-ca70-11ef-a888-506b8d9879b5</v>
      </c>
      <c r="B279" s="5" t="str">
        <f>IFNA(VLOOKUP(F279,Driver!A:C,2,false),"")</f>
        <v>a72dc14a-3654-11ed-bef3-506b8dbc8dfb</v>
      </c>
      <c r="C279" s="5" t="str">
        <f>IFNA(VLOOKUP(E279,'Location Table'!A:C,2,false),"")</f>
        <v/>
      </c>
      <c r="D279" s="6" t="s">
        <v>303</v>
      </c>
      <c r="E279" s="6"/>
      <c r="F279" s="6" t="s">
        <v>246</v>
      </c>
      <c r="G279" s="7" t="str">
        <f>IFNA(VLOOKUP(F279,Driver!A:D,4,false),"")</f>
        <v>1980698793628880414:XXMGIAegigeHesHcPUQpIcnMCwhigvPUATFrPyRHiqIZqTwmvWiXbUzfDhivxPcl</v>
      </c>
      <c r="H279" s="8" t="str">
        <f>IFNA(VLOOKUP(F279,Driver!A:C,3,false),"")</f>
        <v>88199dcfa88541db1894</v>
      </c>
      <c r="I279" s="9">
        <v>0.25</v>
      </c>
      <c r="J279" s="9">
        <v>0.4583333333333333</v>
      </c>
      <c r="K279" s="9"/>
    </row>
    <row r="280" hidden="1">
      <c r="A280" s="5" t="str">
        <f>IFNA(VLOOKUP(D280,'Location Table'!A:C,2,false),"")</f>
        <v>dd3d2fcc-0111-11ee-96ed-506b8dbc8dfb</v>
      </c>
      <c r="B280" s="5" t="str">
        <f>IFNA(VLOOKUP(F280,Driver!A:C,2,false),"")</f>
        <v>a72dc14a-3654-11ed-bef3-506b8dbc8dfb</v>
      </c>
      <c r="C280" s="5" t="str">
        <f>IFNA(VLOOKUP(E280,'Location Table'!A:C,2,false),"")</f>
        <v/>
      </c>
      <c r="D280" s="6" t="s">
        <v>304</v>
      </c>
      <c r="E280" s="6"/>
      <c r="F280" s="6" t="s">
        <v>246</v>
      </c>
      <c r="G280" s="7" t="str">
        <f>IFNA(VLOOKUP(F280,Driver!A:D,4,false),"")</f>
        <v>1980698793628880414:XXMGIAegigeHesHcPUQpIcnMCwhigvPUATFrPyRHiqIZqTwmvWiXbUzfDhivxPcl</v>
      </c>
      <c r="H280" s="8" t="str">
        <f>IFNA(VLOOKUP(F280,Driver!A:C,3,false),"")</f>
        <v>88199dcfa88541db1894</v>
      </c>
      <c r="I280" s="9">
        <v>0.25</v>
      </c>
      <c r="J280" s="9">
        <v>0.4583333333333333</v>
      </c>
      <c r="K280" s="9"/>
    </row>
    <row r="281" hidden="1">
      <c r="A281" s="5" t="str">
        <f>IFNA(VLOOKUP(D281,'Location Table'!A:C,2,false),"")</f>
        <v>b4c275cc-8070-11ef-83a4-506b8d9879b5</v>
      </c>
      <c r="B281" s="5" t="str">
        <f>IFNA(VLOOKUP(F281,Driver!A:C,2,false),"")</f>
        <v>a72dc14a-3654-11ed-bef3-506b8dbc8dfb</v>
      </c>
      <c r="C281" s="5" t="str">
        <f>IFNA(VLOOKUP(E281,'Location Table'!A:C,2,false),"")</f>
        <v/>
      </c>
      <c r="D281" s="6" t="s">
        <v>305</v>
      </c>
      <c r="E281" s="6"/>
      <c r="F281" s="6" t="s">
        <v>246</v>
      </c>
      <c r="G281" s="7" t="str">
        <f>IFNA(VLOOKUP(F281,Driver!A:D,4,false),"")</f>
        <v>1980698793628880414:XXMGIAegigeHesHcPUQpIcnMCwhigvPUATFrPyRHiqIZqTwmvWiXbUzfDhivxPcl</v>
      </c>
      <c r="H281" s="8" t="str">
        <f>IFNA(VLOOKUP(F281,Driver!A:C,3,false),"")</f>
        <v>88199dcfa88541db1894</v>
      </c>
      <c r="I281" s="9">
        <v>0.25</v>
      </c>
      <c r="J281" s="9">
        <v>0.4583333333333333</v>
      </c>
      <c r="K281" s="9"/>
    </row>
    <row r="282" hidden="1">
      <c r="A282" s="5" t="str">
        <f>IFNA(VLOOKUP(D282,'Location Table'!A:C,2,false),"")</f>
        <v>f6cf48fa-2a03-11ef-86e0-506b8d9879b5</v>
      </c>
      <c r="B282" s="5" t="str">
        <f>IFNA(VLOOKUP(F282,Driver!A:C,2,false),"")</f>
        <v>a72dc14a-3654-11ed-bef3-506b8dbc8dfb</v>
      </c>
      <c r="C282" s="5" t="str">
        <f>IFNA(VLOOKUP(E282,'Location Table'!A:C,2,false),"")</f>
        <v/>
      </c>
      <c r="D282" s="6" t="s">
        <v>306</v>
      </c>
      <c r="E282" s="6"/>
      <c r="F282" s="6" t="s">
        <v>246</v>
      </c>
      <c r="G282" s="7" t="str">
        <f>IFNA(VLOOKUP(F282,Driver!A:D,4,false),"")</f>
        <v>1980698793628880414:XXMGIAegigeHesHcPUQpIcnMCwhigvPUATFrPyRHiqIZqTwmvWiXbUzfDhivxPcl</v>
      </c>
      <c r="H282" s="8" t="str">
        <f>IFNA(VLOOKUP(F282,Driver!A:C,3,false),"")</f>
        <v>88199dcfa88541db1894</v>
      </c>
      <c r="I282" s="9">
        <v>0.25</v>
      </c>
      <c r="J282" s="9">
        <v>0.4583333333333333</v>
      </c>
      <c r="K282" s="9"/>
    </row>
    <row r="283" hidden="1">
      <c r="A283" s="5" t="str">
        <f>IFNA(VLOOKUP(D283,'Location Table'!A:C,2,false),"")</f>
        <v>c0c4459e-010f-11ee-a6cd-506b8dbc8dfb</v>
      </c>
      <c r="B283" s="5" t="str">
        <f>IFNA(VLOOKUP(F283,Driver!A:C,2,false),"")</f>
        <v>a72dc14a-3654-11ed-bef3-506b8dbc8dfb</v>
      </c>
      <c r="C283" s="5" t="str">
        <f>IFNA(VLOOKUP(E283,'Location Table'!A:C,2,false),"")</f>
        <v/>
      </c>
      <c r="D283" s="6" t="s">
        <v>307</v>
      </c>
      <c r="E283" s="6"/>
      <c r="F283" s="6" t="s">
        <v>246</v>
      </c>
      <c r="G283" s="7" t="str">
        <f>IFNA(VLOOKUP(F283,Driver!A:D,4,false),"")</f>
        <v>1980698793628880414:XXMGIAegigeHesHcPUQpIcnMCwhigvPUATFrPyRHiqIZqTwmvWiXbUzfDhivxPcl</v>
      </c>
      <c r="H283" s="8" t="str">
        <f>IFNA(VLOOKUP(F283,Driver!A:C,3,false),"")</f>
        <v>88199dcfa88541db1894</v>
      </c>
      <c r="I283" s="9">
        <v>0.25</v>
      </c>
      <c r="J283" s="9">
        <v>0.4583333333333333</v>
      </c>
      <c r="K283" s="9"/>
    </row>
    <row r="284" hidden="1">
      <c r="A284" s="5" t="str">
        <f>IFNA(VLOOKUP(D284,'Location Table'!A:C,2,false),"")</f>
        <v>407d272e-0110-11ee-b0a3-506b8dbc8dfb</v>
      </c>
      <c r="B284" s="5" t="str">
        <f>IFNA(VLOOKUP(F284,Driver!A:C,2,false),"")</f>
        <v>a72dc14a-3654-11ed-bef3-506b8dbc8dfb</v>
      </c>
      <c r="C284" s="5" t="str">
        <f>IFNA(VLOOKUP(E284,'Location Table'!A:C,2,false),"")</f>
        <v/>
      </c>
      <c r="D284" s="6" t="s">
        <v>308</v>
      </c>
      <c r="E284" s="6"/>
      <c r="F284" s="6" t="s">
        <v>246</v>
      </c>
      <c r="G284" s="7" t="str">
        <f>IFNA(VLOOKUP(F284,Driver!A:D,4,false),"")</f>
        <v>1980698793628880414:XXMGIAegigeHesHcPUQpIcnMCwhigvPUATFrPyRHiqIZqTwmvWiXbUzfDhivxPcl</v>
      </c>
      <c r="H284" s="8" t="str">
        <f>IFNA(VLOOKUP(F284,Driver!A:C,3,false),"")</f>
        <v>88199dcfa88541db1894</v>
      </c>
      <c r="I284" s="9">
        <v>0.25</v>
      </c>
      <c r="J284" s="9">
        <v>0.4583333333333333</v>
      </c>
      <c r="K284" s="9"/>
    </row>
    <row r="285" hidden="1">
      <c r="A285" s="5" t="str">
        <f>IFNA(VLOOKUP(D285,'Location Table'!A:C,2,false),"")</f>
        <v>c320f744-4a06-11ed-adc5-506b8dbc8dfb</v>
      </c>
      <c r="B285" s="5" t="str">
        <f>IFNA(VLOOKUP(F285,Driver!A:C,2,false),"")</f>
        <v>a72dc14a-3654-11ed-bef3-506b8dbc8dfb</v>
      </c>
      <c r="C285" s="5" t="str">
        <f>IFNA(VLOOKUP(E285,'Location Table'!A:C,2,false),"")</f>
        <v/>
      </c>
      <c r="D285" s="6" t="s">
        <v>309</v>
      </c>
      <c r="E285" s="6"/>
      <c r="F285" s="6" t="s">
        <v>246</v>
      </c>
      <c r="G285" s="7" t="str">
        <f>IFNA(VLOOKUP(F285,Driver!A:D,4,false),"")</f>
        <v>1980698793628880414:XXMGIAegigeHesHcPUQpIcnMCwhigvPUATFrPyRHiqIZqTwmvWiXbUzfDhivxPcl</v>
      </c>
      <c r="H285" s="8" t="str">
        <f>IFNA(VLOOKUP(F285,Driver!A:C,3,false),"")</f>
        <v>88199dcfa88541db1894</v>
      </c>
      <c r="I285" s="9">
        <v>0.25</v>
      </c>
      <c r="J285" s="9">
        <v>0.4583333333333333</v>
      </c>
      <c r="K285" s="9"/>
    </row>
    <row r="286" hidden="1">
      <c r="A286" s="5" t="str">
        <f>IFNA(VLOOKUP(D286,'Location Table'!A:C,2,false),"")</f>
        <v>29c1bb04-4a08-11ed-9d26-506b8dbc8dfb</v>
      </c>
      <c r="B286" s="5" t="str">
        <f>IFNA(VLOOKUP(F286,Driver!A:C,2,false),"")</f>
        <v>a72dc14a-3654-11ed-bef3-506b8dbc8dfb</v>
      </c>
      <c r="C286" s="5" t="str">
        <f>IFNA(VLOOKUP(E286,'Location Table'!A:C,2,false),"")</f>
        <v/>
      </c>
      <c r="D286" s="6" t="s">
        <v>310</v>
      </c>
      <c r="E286" s="6"/>
      <c r="F286" s="6" t="s">
        <v>246</v>
      </c>
      <c r="G286" s="7" t="str">
        <f>IFNA(VLOOKUP(F286,Driver!A:D,4,false),"")</f>
        <v>1980698793628880414:XXMGIAegigeHesHcPUQpIcnMCwhigvPUATFrPyRHiqIZqTwmvWiXbUzfDhivxPcl</v>
      </c>
      <c r="H286" s="8" t="str">
        <f>IFNA(VLOOKUP(F286,Driver!A:C,3,false),"")</f>
        <v>88199dcfa88541db1894</v>
      </c>
      <c r="I286" s="9">
        <v>0.25</v>
      </c>
      <c r="J286" s="9">
        <v>0.4583333333333333</v>
      </c>
      <c r="K286" s="9"/>
    </row>
    <row r="287" hidden="1">
      <c r="A287" s="5" t="str">
        <f>IFNA(VLOOKUP(D287,'Location Table'!A:C,2,false),"")</f>
        <v>e9b61bae-005d-11f0-afd2-506b8d9879b5</v>
      </c>
      <c r="B287" s="5" t="str">
        <f>IFNA(VLOOKUP(F287,Driver!A:C,2,false),"")</f>
        <v>a72dc14a-3654-11ed-bef3-506b8dbc8dfb</v>
      </c>
      <c r="C287" s="5" t="str">
        <f>IFNA(VLOOKUP(E287,'Location Table'!A:C,2,false),"")</f>
        <v/>
      </c>
      <c r="D287" s="6" t="s">
        <v>311</v>
      </c>
      <c r="E287" s="6"/>
      <c r="F287" s="6" t="s">
        <v>246</v>
      </c>
      <c r="G287" s="7" t="str">
        <f>IFNA(VLOOKUP(F287,Driver!A:D,4,false),"")</f>
        <v>1980698793628880414:XXMGIAegigeHesHcPUQpIcnMCwhigvPUATFrPyRHiqIZqTwmvWiXbUzfDhivxPcl</v>
      </c>
      <c r="H287" s="8" t="str">
        <f>IFNA(VLOOKUP(F287,Driver!A:C,3,false),"")</f>
        <v>88199dcfa88541db1894</v>
      </c>
      <c r="I287" s="9">
        <v>0.25</v>
      </c>
      <c r="J287" s="9">
        <v>0.4583333333333333</v>
      </c>
      <c r="K287" s="9"/>
    </row>
    <row r="288" hidden="1">
      <c r="A288" s="5" t="str">
        <f>IFNA(VLOOKUP(D288,'Location Table'!A:C,2,false),"")</f>
        <v>79fe49a8-0113-11ee-bb47-506b8dbc8dfb</v>
      </c>
      <c r="B288" s="5" t="str">
        <f>IFNA(VLOOKUP(F288,Driver!A:C,2,false),"")</f>
        <v>a72dc14a-3654-11ed-bef3-506b8dbc8dfb</v>
      </c>
      <c r="C288" s="5" t="str">
        <f>IFNA(VLOOKUP(E288,'Location Table'!A:C,2,false),"")</f>
        <v/>
      </c>
      <c r="D288" s="6" t="s">
        <v>312</v>
      </c>
      <c r="E288" s="6"/>
      <c r="F288" s="6" t="s">
        <v>246</v>
      </c>
      <c r="G288" s="7" t="str">
        <f>IFNA(VLOOKUP(F288,Driver!A:D,4,false),"")</f>
        <v>1980698793628880414:XXMGIAegigeHesHcPUQpIcnMCwhigvPUATFrPyRHiqIZqTwmvWiXbUzfDhivxPcl</v>
      </c>
      <c r="H288" s="8" t="str">
        <f>IFNA(VLOOKUP(F288,Driver!A:C,3,false),"")</f>
        <v>88199dcfa88541db1894</v>
      </c>
      <c r="I288" s="9">
        <v>0.25</v>
      </c>
      <c r="J288" s="9">
        <v>0.4583333333333333</v>
      </c>
      <c r="K288" s="9"/>
    </row>
    <row r="289" hidden="1">
      <c r="A289" s="5" t="str">
        <f>IFNA(VLOOKUP(D289,'Location Table'!A:C,2,false),"")</f>
        <v>56eabc04-8eaf-11f0-a814-506b8d982279</v>
      </c>
      <c r="B289" s="5" t="str">
        <f>IFNA(VLOOKUP(F289,Driver!A:C,2,false),"")</f>
        <v>f5993946-37cf-11ed-a3fc-506b8dbc8dfb</v>
      </c>
      <c r="C289" s="5" t="str">
        <f>IFNA(VLOOKUP(E289,'Location Table'!A:C,2,false),"")</f>
        <v/>
      </c>
      <c r="D289" s="6" t="s">
        <v>313</v>
      </c>
      <c r="E289" s="6"/>
      <c r="F289" s="6" t="s">
        <v>314</v>
      </c>
      <c r="G289" s="7" t="str">
        <f>IFNA(VLOOKUP(F289,Driver!A:D,4,false),"")</f>
        <v/>
      </c>
      <c r="H289" s="8" t="str">
        <f>IFNA(VLOOKUP(F289,Driver!A:C,3,false),"")</f>
        <v/>
      </c>
      <c r="I289" s="9">
        <v>0.2916666666666667</v>
      </c>
      <c r="J289" s="9">
        <v>0.6875</v>
      </c>
      <c r="K289" s="9"/>
    </row>
    <row r="290" hidden="1">
      <c r="A290" s="5" t="str">
        <f>IFNA(VLOOKUP(D290,'Location Table'!A:C,2,false),"")</f>
        <v>c0f4fa12-4626-11ed-8f3f-506b8dbc8dfb</v>
      </c>
      <c r="B290" s="5" t="str">
        <f>IFNA(VLOOKUP(F290,Driver!A:C,2,false),"")</f>
        <v>51b847ba-37cd-11ed-a5f6-506b8dbc8dfb</v>
      </c>
      <c r="C290" s="5" t="str">
        <f>IFNA(VLOOKUP(E290,'Location Table'!A:C,2,false),"")</f>
        <v/>
      </c>
      <c r="D290" s="6" t="s">
        <v>315</v>
      </c>
      <c r="E290" s="6"/>
      <c r="F290" s="6" t="s">
        <v>94</v>
      </c>
      <c r="G290" s="7" t="str">
        <f>IFNA(VLOOKUP(F290,Driver!A:D,4,false),"")</f>
        <v>1980698793628880414:XXMGIAegigeHesHcPUQpIcnMCwhigvPUATFrPyRHiqIZqTwmvWiXbUzfDhivxPcl</v>
      </c>
      <c r="H290" s="8" t="str">
        <f>IFNA(VLOOKUP(F290,Driver!A:C,3,false),"")</f>
        <v>3d1fec9027dcce8297cd</v>
      </c>
      <c r="I290" s="9">
        <v>0.2916666666666667</v>
      </c>
      <c r="J290" s="9">
        <v>0.6875</v>
      </c>
      <c r="K290" s="9"/>
    </row>
    <row r="291" hidden="1">
      <c r="A291" s="5" t="str">
        <f>IFNA(VLOOKUP(D291,'Location Table'!A:C,2,false),"")</f>
        <v>ddd9ae3e-4626-11ed-bb97-506b8dbc8dfb</v>
      </c>
      <c r="B291" s="5" t="str">
        <f>IFNA(VLOOKUP(F291,Driver!A:C,2,false),"")</f>
        <v>51b847ba-37cd-11ed-a5f6-506b8dbc8dfb</v>
      </c>
      <c r="C291" s="5" t="str">
        <f>IFNA(VLOOKUP(E291,'Location Table'!A:C,2,false),"")</f>
        <v/>
      </c>
      <c r="D291" s="6" t="s">
        <v>316</v>
      </c>
      <c r="E291" s="6"/>
      <c r="F291" s="6" t="s">
        <v>94</v>
      </c>
      <c r="G291" s="7" t="str">
        <f>IFNA(VLOOKUP(F291,Driver!A:D,4,false),"")</f>
        <v>1980698793628880414:XXMGIAegigeHesHcPUQpIcnMCwhigvPUATFrPyRHiqIZqTwmvWiXbUzfDhivxPcl</v>
      </c>
      <c r="H291" s="8" t="str">
        <f>IFNA(VLOOKUP(F291,Driver!A:C,3,false),"")</f>
        <v>3d1fec9027dcce8297cd</v>
      </c>
      <c r="I291" s="9">
        <v>0.2916666666666667</v>
      </c>
      <c r="J291" s="9">
        <v>0.6875</v>
      </c>
      <c r="K291" s="9"/>
    </row>
    <row r="292" hidden="1">
      <c r="A292" s="5" t="str">
        <f>IFNA(VLOOKUP(D292,'Location Table'!A:C,2,false),"")</f>
        <v>6ea5cc10-32b0-11ee-b2df-506b8d9879b5</v>
      </c>
      <c r="B292" s="5" t="str">
        <f>IFNA(VLOOKUP(F292,Driver!A:C,2,false),"")</f>
        <v>f5993946-37cf-11ed-a3fc-506b8dbc8dfb</v>
      </c>
      <c r="C292" s="5" t="str">
        <f>IFNA(VLOOKUP(E292,'Location Table'!A:C,2,false),"")</f>
        <v/>
      </c>
      <c r="D292" s="6" t="s">
        <v>317</v>
      </c>
      <c r="E292" s="6"/>
      <c r="F292" s="6" t="s">
        <v>314</v>
      </c>
      <c r="G292" s="7" t="str">
        <f>IFNA(VLOOKUP(F292,Driver!A:D,4,false),"")</f>
        <v/>
      </c>
      <c r="H292" s="8" t="str">
        <f>IFNA(VLOOKUP(F292,Driver!A:C,3,false),"")</f>
        <v/>
      </c>
      <c r="I292" s="9">
        <v>0.2916666666666667</v>
      </c>
      <c r="J292" s="9">
        <v>0.6875</v>
      </c>
      <c r="K292" s="9"/>
    </row>
    <row r="293" hidden="1">
      <c r="A293" s="5" t="str">
        <f>IFNA(VLOOKUP(D293,'Location Table'!A:C,2,false),"")</f>
        <v>f9134f28-14e0-11ee-9d74-506b8dbc8dfb</v>
      </c>
      <c r="B293" s="5" t="str">
        <f>IFNA(VLOOKUP(F293,Driver!A:C,2,false),"")</f>
        <v>cdb1dc1a-3655-11ed-a124-506b8dbc8dfb</v>
      </c>
      <c r="C293" s="5" t="str">
        <f>IFNA(VLOOKUP(E293,'Location Table'!A:C,2,false),"")</f>
        <v/>
      </c>
      <c r="D293" s="6" t="s">
        <v>318</v>
      </c>
      <c r="E293" s="6"/>
      <c r="F293" s="6" t="s">
        <v>319</v>
      </c>
      <c r="G293" s="7" t="str">
        <f>IFNA(VLOOKUP(F293,Driver!A:D,4,false),"")</f>
        <v>1980698793628880414:XXMGIAegigeHesHcPUQpIcnMCwhigvPUATFrPyRHiqIZqTwmvWiXbUzfDhivxPcl</v>
      </c>
      <c r="H293" s="8" t="str">
        <f>IFNA(VLOOKUP(F293,Driver!A:C,3,false),"")</f>
        <v>b57751bd28f2c1ac98e3</v>
      </c>
      <c r="I293" s="9">
        <v>0.2916666666666667</v>
      </c>
      <c r="J293" s="9">
        <v>0.75</v>
      </c>
      <c r="K293" s="9"/>
    </row>
    <row r="294" hidden="1">
      <c r="A294" s="5" t="str">
        <f>IFNA(VLOOKUP(D294,'Location Table'!A:C,2,false),"")</f>
        <v>3c3f0394-1745-11ee-81df-506b8d9879b5</v>
      </c>
      <c r="B294" s="5" t="str">
        <f>IFNA(VLOOKUP(F294,Driver!A:C,2,false),"")</f>
        <v>ec034796-8970-11f0-bdfa-506b8d982279</v>
      </c>
      <c r="C294" s="5" t="str">
        <f>IFNA(VLOOKUP(E294,'Location Table'!A:C,2,false),"")</f>
        <v/>
      </c>
      <c r="D294" s="6" t="s">
        <v>320</v>
      </c>
      <c r="E294" s="6"/>
      <c r="F294" s="6" t="s">
        <v>321</v>
      </c>
      <c r="G294" s="7" t="str">
        <f>IFNA(VLOOKUP(F294,Driver!A:D,4,false),"")</f>
        <v>2160130926882687325:VSRHFZoYrhhtnecmAaOfmgvaKlfxBZEgxFxSbLPTAhfVwurTuJfQgOTrwyseeqJQ</v>
      </c>
      <c r="H294" s="8" t="str">
        <f>IFNA(VLOOKUP(F294,Driver!A:C,3,false),"")</f>
        <v>e4fed8071e4af714ae5b</v>
      </c>
      <c r="I294" s="9">
        <v>0.2916666666666667</v>
      </c>
      <c r="J294" s="9">
        <v>0.75</v>
      </c>
      <c r="K294" s="9"/>
    </row>
    <row r="295" hidden="1">
      <c r="A295" s="5" t="str">
        <f>IFNA(VLOOKUP(D295,'Location Table'!A:C,2,false),"")</f>
        <v>c3edb45e-3b9f-11f0-99d0-506b8d982279</v>
      </c>
      <c r="B295" s="5" t="str">
        <f>IFNA(VLOOKUP(F295,Driver!A:C,2,false),"")</f>
        <v>cdb1dc1a-3655-11ed-a124-506b8dbc8dfb</v>
      </c>
      <c r="C295" s="5" t="str">
        <f>IFNA(VLOOKUP(E295,'Location Table'!A:C,2,false),"")</f>
        <v/>
      </c>
      <c r="D295" s="6" t="s">
        <v>322</v>
      </c>
      <c r="E295" s="6"/>
      <c r="F295" s="6" t="s">
        <v>319</v>
      </c>
      <c r="G295" s="7" t="str">
        <f>IFNA(VLOOKUP(F295,Driver!A:D,4,false),"")</f>
        <v>1980698793628880414:XXMGIAegigeHesHcPUQpIcnMCwhigvPUATFrPyRHiqIZqTwmvWiXbUzfDhivxPcl</v>
      </c>
      <c r="H295" s="8" t="str">
        <f>IFNA(VLOOKUP(F295,Driver!A:C,3,false),"")</f>
        <v>b57751bd28f2c1ac98e3</v>
      </c>
      <c r="I295" s="9">
        <v>0.2916666666666667</v>
      </c>
      <c r="J295" s="9">
        <v>0.75</v>
      </c>
      <c r="K295" s="9"/>
    </row>
    <row r="296" hidden="1">
      <c r="A296" s="5" t="str">
        <f>IFNA(VLOOKUP(D296,'Location Table'!A:C,2,false),"")</f>
        <v>b0725974-ba9b-11ee-bffa-506b8d9879b5</v>
      </c>
      <c r="B296" s="5" t="str">
        <f>IFNA(VLOOKUP(F296,Driver!A:C,2,false),"")</f>
        <v>f5993946-37cf-11ed-a3fc-506b8dbc8dfb</v>
      </c>
      <c r="C296" s="5" t="str">
        <f>IFNA(VLOOKUP(E296,'Location Table'!A:C,2,false),"")</f>
        <v/>
      </c>
      <c r="D296" s="6" t="s">
        <v>323</v>
      </c>
      <c r="E296" s="6"/>
      <c r="F296" s="6" t="s">
        <v>314</v>
      </c>
      <c r="G296" s="7" t="str">
        <f>IFNA(VLOOKUP(F296,Driver!A:D,4,false),"")</f>
        <v/>
      </c>
      <c r="H296" s="8" t="str">
        <f>IFNA(VLOOKUP(F296,Driver!A:C,3,false),"")</f>
        <v/>
      </c>
      <c r="I296" s="9">
        <v>0.2916666666666667</v>
      </c>
      <c r="J296" s="9">
        <v>0.6875</v>
      </c>
      <c r="K296" s="9"/>
    </row>
    <row r="297" hidden="1">
      <c r="A297" s="5" t="str">
        <f>IFNA(VLOOKUP(D297,'Location Table'!A:C,2,false),"")</f>
        <v>8d7c8f4c-4626-11ed-b4de-506b8dbc8dfb</v>
      </c>
      <c r="B297" s="5" t="str">
        <f>IFNA(VLOOKUP(F297,Driver!A:C,2,false),"")</f>
        <v>f5993946-37cf-11ed-a3fc-506b8dbc8dfb</v>
      </c>
      <c r="C297" s="5" t="str">
        <f>IFNA(VLOOKUP(E297,'Location Table'!A:C,2,false),"")</f>
        <v/>
      </c>
      <c r="D297" s="6" t="s">
        <v>324</v>
      </c>
      <c r="E297" s="6"/>
      <c r="F297" s="6" t="s">
        <v>314</v>
      </c>
      <c r="G297" s="7" t="str">
        <f>IFNA(VLOOKUP(F297,Driver!A:D,4,false),"")</f>
        <v/>
      </c>
      <c r="H297" s="8" t="str">
        <f>IFNA(VLOOKUP(F297,Driver!A:C,3,false),"")</f>
        <v/>
      </c>
      <c r="I297" s="9">
        <v>0.2916666666666667</v>
      </c>
      <c r="J297" s="9">
        <v>0.6875</v>
      </c>
      <c r="K297" s="9"/>
    </row>
    <row r="298" hidden="1">
      <c r="A298" s="5" t="str">
        <f>IFNA(VLOOKUP(D298,'Location Table'!A:C,2,false),"")</f>
        <v>43ac08be-380d-11ee-800b-506b8d9879b5</v>
      </c>
      <c r="B298" s="5" t="str">
        <f>IFNA(VLOOKUP(F298,Driver!A:C,2,false),"")</f>
        <v>b74e3178-7caf-11f0-a9c3-506b8d982279</v>
      </c>
      <c r="C298" s="5" t="str">
        <f>IFNA(VLOOKUP(E298,'Location Table'!A:C,2,false),"")</f>
        <v/>
      </c>
      <c r="D298" s="6" t="s">
        <v>325</v>
      </c>
      <c r="E298" s="6"/>
      <c r="F298" s="6" t="s">
        <v>326</v>
      </c>
      <c r="G298" s="7" t="str">
        <f>IFNA(VLOOKUP(F298,Driver!A:D,4,false),"")</f>
        <v>2160130926882687325:VSRHFZoYrhhtnecmAaOfmgvaKlfxBZEgxFxSbLPTAhfVwurTuJfQgOTrwyseeqJQ</v>
      </c>
      <c r="H298" s="8" t="str">
        <f>IFNA(VLOOKUP(F298,Driver!A:C,3,false),"")</f>
        <v>473ef1d8329bdbc5828a</v>
      </c>
      <c r="I298" s="9">
        <v>0.2916666666666667</v>
      </c>
      <c r="J298" s="9">
        <v>0.6666666666666666</v>
      </c>
      <c r="K298" s="9"/>
    </row>
    <row r="299" hidden="1">
      <c r="A299" s="5" t="str">
        <f>IFNA(VLOOKUP(D299,'Location Table'!A:C,2,false),"")</f>
        <v>68682bea-755d-11ef-9d29-506b8d9879b5</v>
      </c>
      <c r="B299" s="5" t="str">
        <f>IFNA(VLOOKUP(F299,Driver!A:C,2,false),"")</f>
        <v>e3970cec-503e-11f1-9378-fa163ee8d8ac</v>
      </c>
      <c r="C299" s="5" t="str">
        <f>IFNA(VLOOKUP(E299,'Location Table'!A:C,2,false),"")</f>
        <v/>
      </c>
      <c r="D299" s="6" t="s">
        <v>327</v>
      </c>
      <c r="E299" s="6"/>
      <c r="F299" s="10" t="s">
        <v>328</v>
      </c>
      <c r="G299" s="7" t="str">
        <f>IFNA(VLOOKUP(F299,Driver!A:D,4,false),"")</f>
        <v/>
      </c>
      <c r="H299" s="8" t="str">
        <f>IFNA(VLOOKUP(F299,Driver!A:C,3,false),"")</f>
        <v/>
      </c>
      <c r="I299" s="9">
        <v>0.2916666666666667</v>
      </c>
      <c r="J299" s="9">
        <v>0.7916666666666666</v>
      </c>
      <c r="K299" s="9"/>
    </row>
    <row r="300" hidden="1">
      <c r="A300" s="5" t="str">
        <f>IFNA(VLOOKUP(D300,'Location Table'!A:C,2,false),"")</f>
        <v>323821e8-59e6-11ef-bc31-506b8d9879b5</v>
      </c>
      <c r="B300" s="5" t="str">
        <f>IFNA(VLOOKUP(F300,Driver!A:C,2,false),"")</f>
        <v>9ba6de4c-37d0-11ed-90bb-506b8dbc8dfb</v>
      </c>
      <c r="C300" s="5" t="str">
        <f>IFNA(VLOOKUP(E300,'Location Table'!A:C,2,false),"")</f>
        <v/>
      </c>
      <c r="D300" s="6" t="s">
        <v>329</v>
      </c>
      <c r="E300" s="6"/>
      <c r="F300" s="6" t="s">
        <v>330</v>
      </c>
      <c r="G300" s="7" t="str">
        <f>IFNA(VLOOKUP(F300,Driver!A:D,4,false),"")</f>
        <v>1980698793628880414:XXMGIAegigeHesHcPUQpIcnMCwhigvPUATFrPyRHiqIZqTwmvWiXbUzfDhivxPcl</v>
      </c>
      <c r="H300" s="8" t="str">
        <f>IFNA(VLOOKUP(F300,Driver!A:C,3,false),"")</f>
        <v>d0ce770b76499f17c658</v>
      </c>
      <c r="I300" s="9">
        <v>0.25</v>
      </c>
      <c r="J300" s="9">
        <v>0.6458333333333334</v>
      </c>
      <c r="K300" s="5" t="s">
        <v>331</v>
      </c>
    </row>
    <row r="301" hidden="1">
      <c r="A301" s="5" t="str">
        <f>IFNA(VLOOKUP(D301,'Location Table'!A:C,2,false),"")</f>
        <v>fd168f54-e9ef-11f0-a0fb-506b8d982279</v>
      </c>
      <c r="B301" s="5" t="str">
        <f>IFNA(VLOOKUP(F301,Driver!A:C,2,false),"")</f>
        <v>9ba6de4c-37d0-11ed-90bb-506b8dbc8dfb</v>
      </c>
      <c r="C301" s="5" t="str">
        <f>IFNA(VLOOKUP(E301,'Location Table'!A:C,2,false),"")</f>
        <v/>
      </c>
      <c r="D301" s="6" t="s">
        <v>332</v>
      </c>
      <c r="E301" s="6"/>
      <c r="F301" s="6" t="s">
        <v>330</v>
      </c>
      <c r="G301" s="7" t="str">
        <f>IFNA(VLOOKUP(F301,Driver!A:D,4,false),"")</f>
        <v>1980698793628880414:XXMGIAegigeHesHcPUQpIcnMCwhigvPUATFrPyRHiqIZqTwmvWiXbUzfDhivxPcl</v>
      </c>
      <c r="H301" s="8" t="str">
        <f>IFNA(VLOOKUP(F301,Driver!A:C,3,false),"")</f>
        <v>d0ce770b76499f17c658</v>
      </c>
      <c r="I301" s="9">
        <v>0.25</v>
      </c>
      <c r="J301" s="9">
        <v>0.6458333333333334</v>
      </c>
      <c r="K301" s="5" t="s">
        <v>331</v>
      </c>
    </row>
    <row r="302" hidden="1">
      <c r="A302" s="5" t="str">
        <f>IFNA(VLOOKUP(D302,'Location Table'!A:C,2,false),"")</f>
        <v>e07c49a2-0e9a-11ee-84f9-506b8dbc8dfb</v>
      </c>
      <c r="B302" s="5" t="str">
        <f>IFNA(VLOOKUP(F302,Driver!A:C,2,false),"")</f>
        <v>9ba6de4c-37d0-11ed-90bb-506b8dbc8dfb</v>
      </c>
      <c r="C302" s="5" t="str">
        <f>IFNA(VLOOKUP(E302,'Location Table'!A:C,2,false),"")</f>
        <v/>
      </c>
      <c r="D302" s="6" t="s">
        <v>333</v>
      </c>
      <c r="E302" s="6"/>
      <c r="F302" s="6" t="s">
        <v>330</v>
      </c>
      <c r="G302" s="7" t="str">
        <f>IFNA(VLOOKUP(F302,Driver!A:D,4,false),"")</f>
        <v>1980698793628880414:XXMGIAegigeHesHcPUQpIcnMCwhigvPUATFrPyRHiqIZqTwmvWiXbUzfDhivxPcl</v>
      </c>
      <c r="H302" s="8" t="str">
        <f>IFNA(VLOOKUP(F302,Driver!A:C,3,false),"")</f>
        <v>d0ce770b76499f17c658</v>
      </c>
      <c r="I302" s="9">
        <v>0.25</v>
      </c>
      <c r="J302" s="9">
        <v>0.6458333333333334</v>
      </c>
      <c r="K302" s="5" t="s">
        <v>331</v>
      </c>
    </row>
    <row r="303" hidden="1">
      <c r="A303" s="5" t="str">
        <f>IFNA(VLOOKUP(D303,'Location Table'!A:C,2,false),"")</f>
        <v>56e967fc-4626-11ed-99f2-506b8dbc8dfb</v>
      </c>
      <c r="B303" s="5" t="str">
        <f>IFNA(VLOOKUP(F303,Driver!A:C,2,false),"")</f>
        <v>c34fdbc2-ea4c-11ed-a5e2-506b8dbc8dfb</v>
      </c>
      <c r="C303" s="5" t="str">
        <f>IFNA(VLOOKUP(E303,'Location Table'!A:C,2,false),"")</f>
        <v/>
      </c>
      <c r="D303" s="6" t="s">
        <v>334</v>
      </c>
      <c r="E303" s="6"/>
      <c r="F303" s="6" t="s">
        <v>335</v>
      </c>
      <c r="G303" s="7" t="str">
        <f>IFNA(VLOOKUP(F303,Driver!A:D,4,false),"")</f>
        <v>1980698793628880414:XXMGIAegigeHesHcPUQpIcnMCwhigvPUATFrPyRHiqIZqTwmvWiXbUzfDhivxPcl</v>
      </c>
      <c r="H303" s="8" t="str">
        <f>IFNA(VLOOKUP(F303,Driver!A:C,3,false),"")</f>
        <v>671c6e0f3741de1f8750</v>
      </c>
      <c r="I303" s="9">
        <v>0.2916666666666667</v>
      </c>
      <c r="J303" s="9">
        <v>0.7916666666666666</v>
      </c>
      <c r="K303" s="9"/>
    </row>
    <row r="304" hidden="1">
      <c r="A304" s="5" t="str">
        <f>IFNA(VLOOKUP(D304,'Location Table'!A:C,2,false),"")</f>
        <v>ce820dc0-cf03-11ee-894e-506b8d9879b5</v>
      </c>
      <c r="B304" s="5" t="str">
        <f>IFNA(VLOOKUP(F304,Driver!A:C,2,false),"")</f>
        <v>353f3686-dcc8-11f0-82b8-506b8d982279</v>
      </c>
      <c r="C304" s="5" t="str">
        <f>IFNA(VLOOKUP(E304,'Location Table'!A:C,2,false),"")</f>
        <v/>
      </c>
      <c r="D304" s="6" t="s">
        <v>336</v>
      </c>
      <c r="E304" s="6"/>
      <c r="F304" s="6" t="s">
        <v>96</v>
      </c>
      <c r="G304" s="7" t="str">
        <f>IFNA(VLOOKUP(F304,Driver!A:D,4,false),"")</f>
        <v>2160130926882687325:VSRHFZoYrhhtnecmAaOfmgvaKlfxBZEgxFxSbLPTAhfVwurTuJfQgOTrwyseeqJQ</v>
      </c>
      <c r="H304" s="8" t="str">
        <f>IFNA(VLOOKUP(F304,Driver!A:C,3,false),"")</f>
        <v>e7ce6d37cc7f25217c6e</v>
      </c>
      <c r="I304" s="9">
        <v>0.2916666666666667</v>
      </c>
      <c r="J304" s="9">
        <v>0.7916666666666666</v>
      </c>
      <c r="K304" s="9"/>
    </row>
    <row r="305" hidden="1">
      <c r="A305" s="5" t="str">
        <f>IFNA(VLOOKUP(D305,'Location Table'!A:C,2,false),"")</f>
        <v>e8cd6044-4b22-11ef-902f-506b8d9879b5</v>
      </c>
      <c r="B305" s="5" t="str">
        <f>IFNA(VLOOKUP(F305,Driver!A:C,2,false),"")</f>
        <v>a2f538f8-37ce-11ed-a5cf-506b8dbc8dfb</v>
      </c>
      <c r="C305" s="5" t="str">
        <f>IFNA(VLOOKUP(E305,'Location Table'!A:C,2,false),"")</f>
        <v/>
      </c>
      <c r="D305" s="6" t="s">
        <v>337</v>
      </c>
      <c r="E305" s="6"/>
      <c r="F305" s="6" t="s">
        <v>338</v>
      </c>
      <c r="G305" s="7" t="str">
        <f>IFNA(VLOOKUP(F305,Driver!A:D,4,false),"")</f>
        <v>2160130926882687325:VSRHFZoYrhhtnecmAaOfmgvaKlfxBZEgxFxSbLPTAhfVwurTuJfQgOTrwyseeqJQ</v>
      </c>
      <c r="H305" s="8" t="str">
        <f>IFNA(VLOOKUP(F305,Driver!A:C,3,false),"")</f>
        <v>c0d10f02724a9b14c25b</v>
      </c>
      <c r="I305" s="9">
        <v>0.2916666666666667</v>
      </c>
      <c r="J305" s="9">
        <v>0.6875</v>
      </c>
      <c r="K305" s="9"/>
    </row>
    <row r="306" hidden="1">
      <c r="A306" s="5" t="str">
        <f>IFNA(VLOOKUP(D306,'Location Table'!A:C,2,false),"")</f>
        <v>702f6dc4-4626-11ed-88ba-506b8dbc8dfb</v>
      </c>
      <c r="B306" s="5" t="str">
        <f>IFNA(VLOOKUP(F306,Driver!A:C,2,false),"")</f>
        <v>a2f538f8-37ce-11ed-a5cf-506b8dbc8dfb</v>
      </c>
      <c r="C306" s="5" t="str">
        <f>IFNA(VLOOKUP(E306,'Location Table'!A:C,2,false),"")</f>
        <v/>
      </c>
      <c r="D306" s="6" t="s">
        <v>339</v>
      </c>
      <c r="E306" s="6"/>
      <c r="F306" s="6" t="s">
        <v>338</v>
      </c>
      <c r="G306" s="7" t="str">
        <f>IFNA(VLOOKUP(F306,Driver!A:D,4,false),"")</f>
        <v>2160130926882687325:VSRHFZoYrhhtnecmAaOfmgvaKlfxBZEgxFxSbLPTAhfVwurTuJfQgOTrwyseeqJQ</v>
      </c>
      <c r="H306" s="8" t="str">
        <f>IFNA(VLOOKUP(F306,Driver!A:C,3,false),"")</f>
        <v>c0d10f02724a9b14c25b</v>
      </c>
      <c r="I306" s="9">
        <v>0.2916666666666667</v>
      </c>
      <c r="J306" s="9">
        <v>0.6875</v>
      </c>
      <c r="K306" s="9"/>
    </row>
    <row r="307" hidden="1">
      <c r="A307" s="5" t="str">
        <f>IFNA(VLOOKUP(D307,'Location Table'!A:C,2,false),"")</f>
        <v>542902da-21f8-11ee-bcde-506b8d9879b5</v>
      </c>
      <c r="B307" s="5" t="str">
        <f>IFNA(VLOOKUP(F307,Driver!A:C,2,false),"")</f>
        <v>a2f538f8-37ce-11ed-a5cf-506b8dbc8dfb</v>
      </c>
      <c r="C307" s="5" t="str">
        <f>IFNA(VLOOKUP(E307,'Location Table'!A:C,2,false),"")</f>
        <v/>
      </c>
      <c r="D307" s="6" t="s">
        <v>340</v>
      </c>
      <c r="E307" s="6"/>
      <c r="F307" s="6" t="s">
        <v>338</v>
      </c>
      <c r="G307" s="7" t="str">
        <f>IFNA(VLOOKUP(F307,Driver!A:D,4,false),"")</f>
        <v>2160130926882687325:VSRHFZoYrhhtnecmAaOfmgvaKlfxBZEgxFxSbLPTAhfVwurTuJfQgOTrwyseeqJQ</v>
      </c>
      <c r="H307" s="8" t="str">
        <f>IFNA(VLOOKUP(F307,Driver!A:C,3,false),"")</f>
        <v>c0d10f02724a9b14c25b</v>
      </c>
      <c r="I307" s="9">
        <v>0.2916666666666667</v>
      </c>
      <c r="J307" s="9">
        <v>0.6875</v>
      </c>
      <c r="K307" s="9"/>
    </row>
    <row r="308" hidden="1">
      <c r="A308" s="5" t="str">
        <f>IFNA(VLOOKUP(D308,'Location Table'!A:C,2,false),"")</f>
        <v>7e60488c-9b1b-11ee-8ad8-506b8d9879b5</v>
      </c>
      <c r="B308" s="5" t="str">
        <f>IFNA(VLOOKUP(F308,Driver!A:C,2,false),"")</f>
        <v>a2f538f8-37ce-11ed-a5cf-506b8dbc8dfb</v>
      </c>
      <c r="C308" s="5" t="str">
        <f>IFNA(VLOOKUP(E308,'Location Table'!A:C,2,false),"")</f>
        <v/>
      </c>
      <c r="D308" s="6" t="s">
        <v>341</v>
      </c>
      <c r="E308" s="6"/>
      <c r="F308" s="6" t="s">
        <v>338</v>
      </c>
      <c r="G308" s="7" t="str">
        <f>IFNA(VLOOKUP(F308,Driver!A:D,4,false),"")</f>
        <v>2160130926882687325:VSRHFZoYrhhtnecmAaOfmgvaKlfxBZEgxFxSbLPTAhfVwurTuJfQgOTrwyseeqJQ</v>
      </c>
      <c r="H308" s="8" t="str">
        <f>IFNA(VLOOKUP(F308,Driver!A:C,3,false),"")</f>
        <v>c0d10f02724a9b14c25b</v>
      </c>
      <c r="I308" s="9">
        <v>0.2916666666666667</v>
      </c>
      <c r="J308" s="9">
        <v>0.6875</v>
      </c>
      <c r="K308" s="9"/>
    </row>
    <row r="309" hidden="1">
      <c r="A309" s="5" t="str">
        <f>IFNA(VLOOKUP(D309,'Location Table'!A:C,2,false),"")</f>
        <v>31419a48-09d9-11ee-8601-506b8dbc8dfb</v>
      </c>
      <c r="B309" s="5" t="str">
        <f>IFNA(VLOOKUP(F309,Driver!A:C,2,false),"")</f>
        <v>1d4786cc-12f7-11f1-9378-fa163ee8d8ac</v>
      </c>
      <c r="C309" s="5" t="str">
        <f>IFNA(VLOOKUP(E309,'Location Table'!A:C,2,false),"")</f>
        <v/>
      </c>
      <c r="D309" s="6" t="s">
        <v>342</v>
      </c>
      <c r="E309" s="6"/>
      <c r="F309" s="6" t="s">
        <v>343</v>
      </c>
      <c r="G309" s="7" t="str">
        <f>IFNA(VLOOKUP(F309,Driver!A:D,4,false),"")</f>
        <v>1980698793628880414:XXMGIAegigeHesHcPUQpIcnMCwhigvPUATFrPyRHiqIZqTwmvWiXbUzfDhivxPcl</v>
      </c>
      <c r="H309" s="8" t="str">
        <f>IFNA(VLOOKUP(F309,Driver!A:C,3,false),"")</f>
        <v>85d2de46a91b4045190a</v>
      </c>
      <c r="I309" s="9">
        <v>0.2916666666666667</v>
      </c>
      <c r="J309" s="9">
        <v>0.78125</v>
      </c>
      <c r="K309" s="9"/>
    </row>
    <row r="310" hidden="1">
      <c r="A310" s="5" t="str">
        <f>IFNA(VLOOKUP(D310,'Location Table'!A:C,2,false),"")</f>
        <v>de879fd6-4625-11ed-94a6-506b8dbc8dfb</v>
      </c>
      <c r="B310" s="5" t="str">
        <f>IFNA(VLOOKUP(F310,Driver!A:C,2,false),"")</f>
        <v>51b847ba-37cd-11ed-a5f6-506b8dbc8dfb</v>
      </c>
      <c r="C310" s="5" t="str">
        <f>IFNA(VLOOKUP(E310,'Location Table'!A:C,2,false),"")</f>
        <v/>
      </c>
      <c r="D310" s="6" t="s">
        <v>344</v>
      </c>
      <c r="E310" s="6"/>
      <c r="F310" s="6" t="s">
        <v>94</v>
      </c>
      <c r="G310" s="7" t="str">
        <f>IFNA(VLOOKUP(F310,Driver!A:D,4,false),"")</f>
        <v>1980698793628880414:XXMGIAegigeHesHcPUQpIcnMCwhigvPUATFrPyRHiqIZqTwmvWiXbUzfDhivxPcl</v>
      </c>
      <c r="H310" s="8" t="str">
        <f>IFNA(VLOOKUP(F310,Driver!A:C,3,false),"")</f>
        <v>3d1fec9027dcce8297cd</v>
      </c>
      <c r="I310" s="9">
        <v>0.2916666666666667</v>
      </c>
      <c r="J310" s="9">
        <v>0.6875</v>
      </c>
      <c r="K310" s="9"/>
    </row>
    <row r="311" hidden="1">
      <c r="A311" s="5" t="str">
        <f>IFNA(VLOOKUP(D311,'Location Table'!A:C,2,false),"")</f>
        <v>f80a7e92-4625-11ed-8ccf-506b8dbc8dfb</v>
      </c>
      <c r="B311" s="5" t="str">
        <f>IFNA(VLOOKUP(F311,Driver!A:C,2,false),"")</f>
        <v>061bd7aa-35a6-11ed-9426-506b8dbc8dfb</v>
      </c>
      <c r="C311" s="5" t="str">
        <f>IFNA(VLOOKUP(E311,'Location Table'!A:C,2,false),"")</f>
        <v/>
      </c>
      <c r="D311" s="6" t="s">
        <v>345</v>
      </c>
      <c r="E311" s="6"/>
      <c r="F311" s="6" t="s">
        <v>346</v>
      </c>
      <c r="G311" s="7" t="str">
        <f>IFNA(VLOOKUP(F311,Driver!A:D,4,false),"")</f>
        <v>2160130926882687325:VSRHFZoYrhhtnecmAaOfmgvaKlfxBZEgxFxSbLPTAhfVwurTuJfQgOTrwyseeqJQ</v>
      </c>
      <c r="H311" s="8" t="str">
        <f>IFNA(VLOOKUP(F311,Driver!A:C,3,false),"")</f>
        <v>a6d70e0cd7463e186757</v>
      </c>
      <c r="I311" s="9">
        <v>0.2916666666666667</v>
      </c>
      <c r="J311" s="9">
        <v>0.6666666666666666</v>
      </c>
      <c r="K311" s="9"/>
    </row>
    <row r="312" hidden="1">
      <c r="A312" s="5" t="str">
        <f>IFNA(VLOOKUP(D312,'Location Table'!A:C,2,false),"")</f>
        <v>0f308a76-4626-11ed-b728-506b8dbc8dfb</v>
      </c>
      <c r="B312" s="5" t="str">
        <f>IFNA(VLOOKUP(F312,Driver!A:C,2,false),"")</f>
        <v>65871f10-7671-11f0-9d16-506b8d982279</v>
      </c>
      <c r="C312" s="5" t="str">
        <f>IFNA(VLOOKUP(E312,'Location Table'!A:C,2,false),"")</f>
        <v/>
      </c>
      <c r="D312" s="6" t="s">
        <v>347</v>
      </c>
      <c r="E312" s="6"/>
      <c r="F312" s="6" t="s">
        <v>348</v>
      </c>
      <c r="G312" s="7" t="str">
        <f>IFNA(VLOOKUP(F312,Driver!A:D,4,false),"")</f>
        <v>2160130926882687325:VSRHFZoYrhhtnecmAaOfmgvaKlfxBZEgxFxSbLPTAhfVwurTuJfQgOTrwyseeqJQ</v>
      </c>
      <c r="H312" s="8" t="str">
        <f>IFNA(VLOOKUP(F312,Driver!A:C,3,false),"")</f>
        <v>03bb8b129d5c74022d4d</v>
      </c>
      <c r="I312" s="9">
        <v>0.2916666666666667</v>
      </c>
      <c r="J312" s="9">
        <v>0.75</v>
      </c>
      <c r="K312" s="9"/>
    </row>
    <row r="313" hidden="1">
      <c r="A313" s="5" t="str">
        <f>IFNA(VLOOKUP(D313,'Location Table'!A:C,2,false),"")</f>
        <v>ac6236cc-47b1-11ee-8d67-506b8d9879b5</v>
      </c>
      <c r="B313" s="5" t="str">
        <f>IFNA(VLOOKUP(F313,Driver!A:C,2,false),"")</f>
        <v>9e9376b6-37c5-11ed-a1d5-506b8dbc8dfb</v>
      </c>
      <c r="C313" s="5" t="str">
        <f>IFNA(VLOOKUP(E313,'Location Table'!A:C,2,false),"")</f>
        <v/>
      </c>
      <c r="D313" s="6" t="s">
        <v>349</v>
      </c>
      <c r="E313" s="6"/>
      <c r="F313" s="6" t="s">
        <v>350</v>
      </c>
      <c r="G313" s="7" t="str">
        <f>IFNA(VLOOKUP(F313,Driver!A:D,4,false),"")</f>
        <v>2160130926882687325:VSRHFZoYrhhtnecmAaOfmgvaKlfxBZEgxFxSbLPTAhfVwurTuJfQgOTrwyseeqJQ</v>
      </c>
      <c r="H313" s="8" t="str">
        <f>IFNA(VLOOKUP(F313,Driver!A:C,3,false),"")</f>
        <v>26f3924da71c4e42170d</v>
      </c>
      <c r="I313" s="9">
        <v>0.2916666666666667</v>
      </c>
      <c r="J313" s="9">
        <v>0.75</v>
      </c>
      <c r="K313" s="9"/>
    </row>
    <row r="314" hidden="1">
      <c r="A314" s="5" t="str">
        <f>IFNA(VLOOKUP(D314,'Location Table'!A:C,2,false),"")</f>
        <v>c7fafdda-21f8-11ee-b604-506b8d9879b5</v>
      </c>
      <c r="B314" s="5" t="str">
        <f>IFNA(VLOOKUP(F314,Driver!A:C,2,false),"")</f>
        <v>232be490-35a4-11ed-88b7-506b8dbc8dfb</v>
      </c>
      <c r="C314" s="5" t="str">
        <f>IFNA(VLOOKUP(E314,'Location Table'!A:C,2,false),"")</f>
        <v/>
      </c>
      <c r="D314" s="6" t="s">
        <v>351</v>
      </c>
      <c r="E314" s="6"/>
      <c r="F314" s="6" t="s">
        <v>110</v>
      </c>
      <c r="G314" s="7" t="str">
        <f>IFNA(VLOOKUP(F314,Driver!A:D,4,false),"")</f>
        <v>2160130926882687325:VSRHFZoYrhhtnecmAaOfmgvaKlfxBZEgxFxSbLPTAhfVwurTuJfQgOTrwyseeqJQ</v>
      </c>
      <c r="H314" s="8" t="str">
        <f>IFNA(VLOOKUP(F314,Driver!A:C,3,false),"")</f>
        <v>d9fc37dd4093a9cdf082</v>
      </c>
      <c r="I314" s="9">
        <v>0.2916666666666667</v>
      </c>
      <c r="J314" s="9">
        <v>0.6875</v>
      </c>
      <c r="K314" s="9"/>
    </row>
    <row r="315" hidden="1">
      <c r="A315" s="5" t="str">
        <f>IFNA(VLOOKUP(D315,'Location Table'!A:C,2,false),"")</f>
        <v>f1da5514-4626-11ed-b3bb-506b8dbc8dfb</v>
      </c>
      <c r="B315" s="5" t="str">
        <f>IFNA(VLOOKUP(F315,Driver!A:C,2,false),"")</f>
        <v>232be490-35a4-11ed-88b7-506b8dbc8dfb</v>
      </c>
      <c r="C315" s="5" t="str">
        <f>IFNA(VLOOKUP(E315,'Location Table'!A:C,2,false),"")</f>
        <v/>
      </c>
      <c r="D315" s="6" t="s">
        <v>352</v>
      </c>
      <c r="E315" s="6"/>
      <c r="F315" s="6" t="s">
        <v>110</v>
      </c>
      <c r="G315" s="7" t="str">
        <f>IFNA(VLOOKUP(F315,Driver!A:D,4,false),"")</f>
        <v>2160130926882687325:VSRHFZoYrhhtnecmAaOfmgvaKlfxBZEgxFxSbLPTAhfVwurTuJfQgOTrwyseeqJQ</v>
      </c>
      <c r="H315" s="8" t="str">
        <f>IFNA(VLOOKUP(F315,Driver!A:C,3,false),"")</f>
        <v>d9fc37dd4093a9cdf082</v>
      </c>
      <c r="I315" s="9">
        <v>0.2916666666666667</v>
      </c>
      <c r="J315" s="9">
        <v>0.6875</v>
      </c>
      <c r="K315" s="9"/>
    </row>
    <row r="316" hidden="1">
      <c r="A316" s="5" t="str">
        <f>IFNA(VLOOKUP(D316,'Location Table'!A:C,2,false),"")</f>
        <v>806f01ba-5cab-11f0-9f9a-506b8d982279</v>
      </c>
      <c r="B316" s="5" t="str">
        <f>IFNA(VLOOKUP(F316,Driver!A:C,2,false),"")</f>
        <v>232be490-35a4-11ed-88b7-506b8dbc8dfb</v>
      </c>
      <c r="C316" s="5" t="str">
        <f>IFNA(VLOOKUP(E316,'Location Table'!A:C,2,false),"")</f>
        <v/>
      </c>
      <c r="D316" s="6" t="s">
        <v>353</v>
      </c>
      <c r="E316" s="6"/>
      <c r="F316" s="6" t="s">
        <v>110</v>
      </c>
      <c r="G316" s="7" t="str">
        <f>IFNA(VLOOKUP(F316,Driver!A:D,4,false),"")</f>
        <v>2160130926882687325:VSRHFZoYrhhtnecmAaOfmgvaKlfxBZEgxFxSbLPTAhfVwurTuJfQgOTrwyseeqJQ</v>
      </c>
      <c r="H316" s="8" t="str">
        <f>IFNA(VLOOKUP(F316,Driver!A:C,3,false),"")</f>
        <v>d9fc37dd4093a9cdf082</v>
      </c>
      <c r="I316" s="9">
        <v>0.2916666666666667</v>
      </c>
      <c r="J316" s="9">
        <v>0.6875</v>
      </c>
      <c r="K316" s="9"/>
    </row>
    <row r="317" hidden="1">
      <c r="A317" s="5" t="str">
        <f>IFNA(VLOOKUP(D317,'Location Table'!A:C,2,false),"")</f>
        <v>bd3dc6d2-4627-11ed-b309-506b8dbc8dfb</v>
      </c>
      <c r="B317" s="5" t="str">
        <f>IFNA(VLOOKUP(F317,Driver!A:C,2,false),"")</f>
        <v>586fa64a-37d0-11ed-b5ef-506b8dbc8dfb</v>
      </c>
      <c r="C317" s="5" t="str">
        <f>IFNA(VLOOKUP(E317,'Location Table'!A:C,2,false),"")</f>
        <v/>
      </c>
      <c r="D317" s="6" t="s">
        <v>354</v>
      </c>
      <c r="E317" s="6"/>
      <c r="F317" s="6" t="s">
        <v>355</v>
      </c>
      <c r="G317" s="7" t="str">
        <f>IFNA(VLOOKUP(F317,Driver!A:D,4,false),"")</f>
        <v>2160130926882687325:VSRHFZoYrhhtnecmAaOfmgvaKlfxBZEgxFxSbLPTAhfVwurTuJfQgOTrwyseeqJQ</v>
      </c>
      <c r="H317" s="8" t="str">
        <f>IFNA(VLOOKUP(F317,Driver!A:C,3,false),"")</f>
        <v>cb12ddfaeea707f95eb6</v>
      </c>
      <c r="I317" s="9">
        <v>0.2916666666666667</v>
      </c>
      <c r="J317" s="9">
        <v>0.75</v>
      </c>
      <c r="K317" s="9"/>
    </row>
    <row r="318" hidden="1">
      <c r="A318" s="5" t="str">
        <f>IFNA(VLOOKUP(D318,'Location Table'!A:C,2,false),"")</f>
        <v>a8ce9492-32d4-11ef-9466-506b8d9879b5</v>
      </c>
      <c r="B318" s="5" t="str">
        <f>IFNA(VLOOKUP(F318,Driver!A:C,2,false),"")</f>
        <v>586fa64a-37d0-11ed-b5ef-506b8dbc8dfb</v>
      </c>
      <c r="C318" s="5" t="str">
        <f>IFNA(VLOOKUP(E318,'Location Table'!A:C,2,false),"")</f>
        <v/>
      </c>
      <c r="D318" s="6" t="s">
        <v>356</v>
      </c>
      <c r="E318" s="6"/>
      <c r="F318" s="6" t="s">
        <v>355</v>
      </c>
      <c r="G318" s="7" t="str">
        <f>IFNA(VLOOKUP(F318,Driver!A:D,4,false),"")</f>
        <v>2160130926882687325:VSRHFZoYrhhtnecmAaOfmgvaKlfxBZEgxFxSbLPTAhfVwurTuJfQgOTrwyseeqJQ</v>
      </c>
      <c r="H318" s="8" t="str">
        <f>IFNA(VLOOKUP(F318,Driver!A:C,3,false),"")</f>
        <v>cb12ddfaeea707f95eb6</v>
      </c>
      <c r="I318" s="9">
        <v>0.2916666666666667</v>
      </c>
      <c r="J318" s="9">
        <v>0.75</v>
      </c>
      <c r="K318" s="9"/>
    </row>
    <row r="319" hidden="1">
      <c r="A319" s="5" t="str">
        <f>IFNA(VLOOKUP(D319,'Location Table'!A:C,2,false),"")</f>
        <v>7bd9c268-4627-11ed-9d8d-506b8dbc8dfb</v>
      </c>
      <c r="B319" s="5" t="str">
        <f>IFNA(VLOOKUP(F319,Driver!A:C,2,false),"")</f>
        <v>a2f538f8-37ce-11ed-a5cf-506b8dbc8dfb</v>
      </c>
      <c r="C319" s="5" t="str">
        <f>IFNA(VLOOKUP(E319,'Location Table'!A:C,2,false),"")</f>
        <v/>
      </c>
      <c r="D319" s="6" t="s">
        <v>357</v>
      </c>
      <c r="E319" s="6"/>
      <c r="F319" s="6" t="s">
        <v>338</v>
      </c>
      <c r="G319" s="7" t="str">
        <f>IFNA(VLOOKUP(F319,Driver!A:D,4,false),"")</f>
        <v>2160130926882687325:VSRHFZoYrhhtnecmAaOfmgvaKlfxBZEgxFxSbLPTAhfVwurTuJfQgOTrwyseeqJQ</v>
      </c>
      <c r="H319" s="8" t="str">
        <f>IFNA(VLOOKUP(F319,Driver!A:C,3,false),"")</f>
        <v>c0d10f02724a9b14c25b</v>
      </c>
      <c r="I319" s="9">
        <v>0.2916666666666667</v>
      </c>
      <c r="J319" s="9">
        <v>0.6875</v>
      </c>
      <c r="K319" s="9"/>
    </row>
    <row r="320" hidden="1">
      <c r="A320" s="5" t="str">
        <f>IFNA(VLOOKUP(D320,'Location Table'!A:C,2,false),"")</f>
        <v>e6c1ed7a-31cd-11ee-963e-506b8d9879b5</v>
      </c>
      <c r="B320" s="5" t="str">
        <f>IFNA(VLOOKUP(F320,Driver!A:C,2,false),"")</f>
        <v>586fa64a-37d0-11ed-b5ef-506b8dbc8dfb</v>
      </c>
      <c r="C320" s="5" t="str">
        <f>IFNA(VLOOKUP(E320,'Location Table'!A:C,2,false),"")</f>
        <v/>
      </c>
      <c r="D320" s="6" t="s">
        <v>358</v>
      </c>
      <c r="E320" s="6"/>
      <c r="F320" s="6" t="s">
        <v>355</v>
      </c>
      <c r="G320" s="7" t="str">
        <f>IFNA(VLOOKUP(F320,Driver!A:D,4,false),"")</f>
        <v>2160130926882687325:VSRHFZoYrhhtnecmAaOfmgvaKlfxBZEgxFxSbLPTAhfVwurTuJfQgOTrwyseeqJQ</v>
      </c>
      <c r="H320" s="8" t="str">
        <f>IFNA(VLOOKUP(F320,Driver!A:C,3,false),"")</f>
        <v>cb12ddfaeea707f95eb6</v>
      </c>
      <c r="I320" s="9">
        <v>0.2916666666666667</v>
      </c>
      <c r="J320" s="9">
        <v>0.75</v>
      </c>
      <c r="K320" s="9"/>
    </row>
    <row r="321" hidden="1">
      <c r="A321" s="5" t="str">
        <f>IFNA(VLOOKUP(D321,'Location Table'!A:C,2,false),"")</f>
        <v>c828ca08-32b0-11ee-b9b6-506b8d9879b5</v>
      </c>
      <c r="B321" s="5" t="str">
        <f>IFNA(VLOOKUP(F321,Driver!A:C,2,false),"")</f>
        <v>a2f538f8-37ce-11ed-a5cf-506b8dbc8dfb</v>
      </c>
      <c r="C321" s="5" t="str">
        <f>IFNA(VLOOKUP(E321,'Location Table'!A:C,2,false),"")</f>
        <v/>
      </c>
      <c r="D321" s="6" t="s">
        <v>359</v>
      </c>
      <c r="E321" s="6"/>
      <c r="F321" s="6" t="s">
        <v>338</v>
      </c>
      <c r="G321" s="7" t="str">
        <f>IFNA(VLOOKUP(F321,Driver!A:D,4,false),"")</f>
        <v>2160130926882687325:VSRHFZoYrhhtnecmAaOfmgvaKlfxBZEgxFxSbLPTAhfVwurTuJfQgOTrwyseeqJQ</v>
      </c>
      <c r="H321" s="8" t="str">
        <f>IFNA(VLOOKUP(F321,Driver!A:C,3,false),"")</f>
        <v>c0d10f02724a9b14c25b</v>
      </c>
      <c r="I321" s="9">
        <v>0.2916666666666667</v>
      </c>
      <c r="J321" s="9">
        <v>0.6875</v>
      </c>
      <c r="K321" s="9"/>
    </row>
    <row r="322" hidden="1">
      <c r="A322" s="5" t="str">
        <f>IFNA(VLOOKUP(D322,'Location Table'!A:C,2,false),"")</f>
        <v>4dba51fe-e91d-11ef-b1f0-506b8d9879b5</v>
      </c>
      <c r="B322" s="5" t="str">
        <f>IFNA(VLOOKUP(F322,Driver!A:C,2,false),"")</f>
        <v>717fa61c-3654-11ed-b103-506b8dbc8dfb</v>
      </c>
      <c r="C322" s="5" t="str">
        <f>IFNA(VLOOKUP(E322,'Location Table'!A:C,2,false),"")</f>
        <v/>
      </c>
      <c r="D322" s="6" t="s">
        <v>360</v>
      </c>
      <c r="E322" s="6"/>
      <c r="F322" s="6" t="s">
        <v>361</v>
      </c>
      <c r="G322" s="7" t="str">
        <f>IFNA(VLOOKUP(F322,Driver!A:D,4,false),"")</f>
        <v>1980698793628880414:XXMGIAegigeHesHcPUQpIcnMCwhigvPUATFrPyRHiqIZqTwmvWiXbUzfDhivxPcl</v>
      </c>
      <c r="H322" s="8" t="str">
        <f>IFNA(VLOOKUP(F322,Driver!A:C,3,false),"")</f>
        <v>fbc73b7bb6385f660629</v>
      </c>
      <c r="I322" s="9">
        <v>0.23958333333333334</v>
      </c>
      <c r="J322" s="9">
        <v>0.6041666666666666</v>
      </c>
      <c r="K322" s="5" t="s">
        <v>362</v>
      </c>
    </row>
    <row r="323" hidden="1">
      <c r="A323" s="5" t="str">
        <f>IFNA(VLOOKUP(D323,'Location Table'!A:C,2,false),"")</f>
        <v>d312de0c-4627-11ed-a9e7-506b8dbc8dfb</v>
      </c>
      <c r="B323" s="5" t="str">
        <f>IFNA(VLOOKUP(F323,Driver!A:C,2,false),"")</f>
        <v>717fa61c-3654-11ed-b103-506b8dbc8dfb</v>
      </c>
      <c r="C323" s="5" t="str">
        <f>IFNA(VLOOKUP(E323,'Location Table'!A:C,2,false),"")</f>
        <v/>
      </c>
      <c r="D323" s="6" t="s">
        <v>363</v>
      </c>
      <c r="E323" s="6"/>
      <c r="F323" s="6" t="s">
        <v>361</v>
      </c>
      <c r="G323" s="7" t="str">
        <f>IFNA(VLOOKUP(F323,Driver!A:D,4,false),"")</f>
        <v>1980698793628880414:XXMGIAegigeHesHcPUQpIcnMCwhigvPUATFrPyRHiqIZqTwmvWiXbUzfDhivxPcl</v>
      </c>
      <c r="H323" s="8" t="str">
        <f>IFNA(VLOOKUP(F323,Driver!A:C,3,false),"")</f>
        <v>fbc73b7bb6385f660629</v>
      </c>
      <c r="I323" s="9">
        <v>0.23958333333333334</v>
      </c>
      <c r="J323" s="9">
        <v>0.6041666666666666</v>
      </c>
      <c r="K323" s="5" t="s">
        <v>362</v>
      </c>
    </row>
    <row r="324" hidden="1">
      <c r="A324" s="5" t="str">
        <f>IFNA(VLOOKUP(D324,'Location Table'!A:C,2,false),"")</f>
        <v>ed4ce56e-d619-11ee-bf30-506b8d9879b5</v>
      </c>
      <c r="B324" s="5" t="str">
        <f>IFNA(VLOOKUP(F324,Driver!A:C,2,false),"")</f>
        <v>dff693c2-0371-11ee-90bc-506b8dbc8dfb</v>
      </c>
      <c r="C324" s="5" t="str">
        <f>IFNA(VLOOKUP(E324,'Location Table'!A:C,2,false),"")</f>
        <v/>
      </c>
      <c r="D324" s="6" t="s">
        <v>364</v>
      </c>
      <c r="E324" s="6"/>
      <c r="F324" s="6" t="s">
        <v>365</v>
      </c>
      <c r="G324" s="7" t="str">
        <f>IFNA(VLOOKUP(F324,Driver!A:D,4,false),"")</f>
        <v>2160130926882687325:VSRHFZoYrhhtnecmAaOfmgvaKlfxBZEgxFxSbLPTAhfVwurTuJfQgOTrwyseeqJQ</v>
      </c>
      <c r="H324" s="8" t="str">
        <f>IFNA(VLOOKUP(F324,Driver!A:C,3,false),"")</f>
        <v>402ca9dc1194f8caa185</v>
      </c>
      <c r="I324" s="9">
        <v>0.23958333333333334</v>
      </c>
      <c r="J324" s="9">
        <v>0.6041666666666666</v>
      </c>
      <c r="K324" s="5" t="s">
        <v>362</v>
      </c>
    </row>
    <row r="325" hidden="1">
      <c r="A325" s="5" t="str">
        <f>IFNA(VLOOKUP(D325,'Location Table'!A:C,2,false),"")</f>
        <v>6a2f822a-f578-11ef-a059-506b8d9879b5</v>
      </c>
      <c r="B325" s="5" t="str">
        <f>IFNA(VLOOKUP(F325,Driver!A:C,2,false),"")</f>
        <v>65871f10-7671-11f0-9d16-506b8d982279</v>
      </c>
      <c r="C325" s="5" t="str">
        <f>IFNA(VLOOKUP(E325,'Location Table'!A:C,2,false),"")</f>
        <v/>
      </c>
      <c r="D325" s="6" t="s">
        <v>366</v>
      </c>
      <c r="E325" s="6"/>
      <c r="F325" s="6" t="s">
        <v>348</v>
      </c>
      <c r="G325" s="7" t="str">
        <f>IFNA(VLOOKUP(F325,Driver!A:D,4,false),"")</f>
        <v>2160130926882687325:VSRHFZoYrhhtnecmAaOfmgvaKlfxBZEgxFxSbLPTAhfVwurTuJfQgOTrwyseeqJQ</v>
      </c>
      <c r="H325" s="8" t="str">
        <f>IFNA(VLOOKUP(F325,Driver!A:C,3,false),"")</f>
        <v>03bb8b129d5c74022d4d</v>
      </c>
      <c r="I325" s="9">
        <v>0.2916666666666667</v>
      </c>
      <c r="J325" s="9">
        <v>0.75</v>
      </c>
      <c r="K325" s="9"/>
    </row>
    <row r="326" hidden="1">
      <c r="A326" s="5" t="str">
        <f>IFNA(VLOOKUP(D326,'Location Table'!A:C,2,false),"")</f>
        <v>3bc054d0-4627-11ed-9e74-506b8dbc8dfb</v>
      </c>
      <c r="B326" s="5" t="str">
        <f>IFNA(VLOOKUP(F326,Driver!A:C,2,false),"")</f>
        <v>e3970cec-503e-11f1-9378-fa163ee8d8ac</v>
      </c>
      <c r="C326" s="5" t="str">
        <f>IFNA(VLOOKUP(E326,'Location Table'!A:C,2,false),"")</f>
        <v/>
      </c>
      <c r="D326" s="6" t="s">
        <v>367</v>
      </c>
      <c r="E326" s="6"/>
      <c r="F326" s="10" t="s">
        <v>328</v>
      </c>
      <c r="G326" s="7" t="str">
        <f>IFNA(VLOOKUP(F326,Driver!A:D,4,false),"")</f>
        <v/>
      </c>
      <c r="H326" s="8" t="str">
        <f>IFNA(VLOOKUP(F326,Driver!A:C,3,false),"")</f>
        <v/>
      </c>
      <c r="I326" s="9">
        <v>0.2916666666666667</v>
      </c>
      <c r="J326" s="9">
        <v>0.5833333333333334</v>
      </c>
      <c r="K326" s="9"/>
    </row>
    <row r="327" hidden="1">
      <c r="A327" s="5" t="str">
        <f>IFNA(VLOOKUP(D327,'Location Table'!A:C,2,false),"")</f>
        <v>a1be066c-21f8-11ee-b5fb-506b8d9879b5</v>
      </c>
      <c r="B327" s="5" t="str">
        <f>IFNA(VLOOKUP(F327,Driver!A:C,2,false),"")</f>
        <v>d2c2d39e-11e4-11f1-9378-fa163ee8d8ac</v>
      </c>
      <c r="C327" s="5" t="str">
        <f>IFNA(VLOOKUP(E327,'Location Table'!A:C,2,false),"")</f>
        <v/>
      </c>
      <c r="D327" s="6" t="s">
        <v>368</v>
      </c>
      <c r="E327" s="6"/>
      <c r="F327" s="6" t="s">
        <v>88</v>
      </c>
      <c r="G327" s="7" t="str">
        <f>IFNA(VLOOKUP(F327,Driver!A:D,4,false),"")</f>
        <v>1980698793628880414:XXMGIAegigeHesHcPUQpIcnMCwhigvPUATFrPyRHiqIZqTwmvWiXbUzfDhivxPcl</v>
      </c>
      <c r="H327" s="8" t="str">
        <f>IFNA(VLOOKUP(F327,Driver!A:C,3,false),"")</f>
        <v>59a2bfce5a81b3dfea90</v>
      </c>
      <c r="I327" s="9">
        <v>0.2916666666666667</v>
      </c>
      <c r="J327" s="9">
        <v>0.6875</v>
      </c>
      <c r="K327" s="9"/>
    </row>
    <row r="328" hidden="1">
      <c r="A328" s="5" t="str">
        <f>IFNA(VLOOKUP(D328,'Location Table'!A:C,2,false),"")</f>
        <v>1b89cbc6-4d4f-11ee-9f11-506b8d9879b5</v>
      </c>
      <c r="B328" s="5" t="str">
        <f>IFNA(VLOOKUP(F328,Driver!A:C,2,false),"")</f>
        <v>d2c2d39e-11e4-11f1-9378-fa163ee8d8ac</v>
      </c>
      <c r="C328" s="5" t="str">
        <f>IFNA(VLOOKUP(E328,'Location Table'!A:C,2,false),"")</f>
        <v/>
      </c>
      <c r="D328" s="6" t="s">
        <v>369</v>
      </c>
      <c r="E328" s="6"/>
      <c r="F328" s="6" t="s">
        <v>88</v>
      </c>
      <c r="G328" s="7" t="str">
        <f>IFNA(VLOOKUP(F328,Driver!A:D,4,false),"")</f>
        <v>1980698793628880414:XXMGIAegigeHesHcPUQpIcnMCwhigvPUATFrPyRHiqIZqTwmvWiXbUzfDhivxPcl</v>
      </c>
      <c r="H328" s="8" t="str">
        <f>IFNA(VLOOKUP(F328,Driver!A:C,3,false),"")</f>
        <v>59a2bfce5a81b3dfea90</v>
      </c>
      <c r="I328" s="9">
        <v>0.2916666666666667</v>
      </c>
      <c r="J328" s="9">
        <v>0.6875</v>
      </c>
      <c r="K328" s="9"/>
    </row>
    <row r="329" hidden="1">
      <c r="A329" s="5" t="str">
        <f>IFNA(VLOOKUP(D329,'Location Table'!A:C,2,false),"")</f>
        <v>d538c282-3761-11ef-92b6-506b8d9879b5</v>
      </c>
      <c r="B329" s="5" t="str">
        <f>IFNA(VLOOKUP(F329,Driver!A:C,2,false),"")</f>
        <v>d2c2d39e-11e4-11f1-9378-fa163ee8d8ac</v>
      </c>
      <c r="C329" s="5" t="str">
        <f>IFNA(VLOOKUP(E329,'Location Table'!A:C,2,false),"")</f>
        <v/>
      </c>
      <c r="D329" s="6" t="s">
        <v>370</v>
      </c>
      <c r="E329" s="6"/>
      <c r="F329" s="6" t="s">
        <v>88</v>
      </c>
      <c r="G329" s="7" t="str">
        <f>IFNA(VLOOKUP(F329,Driver!A:D,4,false),"")</f>
        <v>1980698793628880414:XXMGIAegigeHesHcPUQpIcnMCwhigvPUATFrPyRHiqIZqTwmvWiXbUzfDhivxPcl</v>
      </c>
      <c r="H329" s="8" t="str">
        <f>IFNA(VLOOKUP(F329,Driver!A:C,3,false),"")</f>
        <v>59a2bfce5a81b3dfea90</v>
      </c>
      <c r="I329" s="9">
        <v>0.2916666666666667</v>
      </c>
      <c r="J329" s="9">
        <v>0.6875</v>
      </c>
      <c r="K329" s="9"/>
    </row>
    <row r="330" hidden="1">
      <c r="A330" s="5" t="str">
        <f>IFNA(VLOOKUP(D330,'Location Table'!A:C,2,false),"")</f>
        <v>d04814d6-dc2f-11ee-96ca-506b8d9879b5</v>
      </c>
      <c r="B330" s="5" t="str">
        <f>IFNA(VLOOKUP(F330,Driver!A:C,2,false),"")</f>
        <v>d2c2d39e-11e4-11f1-9378-fa163ee8d8ac</v>
      </c>
      <c r="C330" s="5" t="str">
        <f>IFNA(VLOOKUP(E330,'Location Table'!A:C,2,false),"")</f>
        <v/>
      </c>
      <c r="D330" s="6" t="s">
        <v>371</v>
      </c>
      <c r="E330" s="6"/>
      <c r="F330" s="6" t="s">
        <v>88</v>
      </c>
      <c r="G330" s="7" t="str">
        <f>IFNA(VLOOKUP(F330,Driver!A:D,4,false),"")</f>
        <v>1980698793628880414:XXMGIAegigeHesHcPUQpIcnMCwhigvPUATFrPyRHiqIZqTwmvWiXbUzfDhivxPcl</v>
      </c>
      <c r="H330" s="8" t="str">
        <f>IFNA(VLOOKUP(F330,Driver!A:C,3,false),"")</f>
        <v>59a2bfce5a81b3dfea90</v>
      </c>
      <c r="I330" s="9">
        <v>0.2916666666666667</v>
      </c>
      <c r="J330" s="9">
        <v>0.6875</v>
      </c>
      <c r="K330" s="9"/>
    </row>
    <row r="331" hidden="1">
      <c r="A331" s="5" t="str">
        <f>IFNA(VLOOKUP(D331,'Location Table'!A:C,2,false),"")</f>
        <v>073c12b6-0f63-11ee-837c-506b8dbc8dfb</v>
      </c>
      <c r="B331" s="5" t="str">
        <f>IFNA(VLOOKUP(F331,Driver!A:C,2,false),"")</f>
        <v>d2c2d39e-11e4-11f1-9378-fa163ee8d8ac</v>
      </c>
      <c r="C331" s="5" t="str">
        <f>IFNA(VLOOKUP(E331,'Location Table'!A:C,2,false),"")</f>
        <v/>
      </c>
      <c r="D331" s="6" t="s">
        <v>372</v>
      </c>
      <c r="E331" s="6"/>
      <c r="F331" s="6" t="s">
        <v>88</v>
      </c>
      <c r="G331" s="7" t="str">
        <f>IFNA(VLOOKUP(F331,Driver!A:D,4,false),"")</f>
        <v>1980698793628880414:XXMGIAegigeHesHcPUQpIcnMCwhigvPUATFrPyRHiqIZqTwmvWiXbUzfDhivxPcl</v>
      </c>
      <c r="H331" s="8" t="str">
        <f>IFNA(VLOOKUP(F331,Driver!A:C,3,false),"")</f>
        <v>59a2bfce5a81b3dfea90</v>
      </c>
      <c r="I331" s="9">
        <v>0.2916666666666667</v>
      </c>
      <c r="J331" s="9">
        <v>0.6875</v>
      </c>
      <c r="K331" s="9"/>
    </row>
    <row r="332" hidden="1">
      <c r="A332" s="5" t="str">
        <f>IFNA(VLOOKUP(D332,'Location Table'!A:C,2,false),"")</f>
        <v>027cd410-2275-11ef-b4a3-506b8d9879b5</v>
      </c>
      <c r="B332" s="5" t="str">
        <f>IFNA(VLOOKUP(F332,Driver!A:C,2,false),"")</f>
        <v>232be490-35a4-11ed-88b7-506b8dbc8dfb</v>
      </c>
      <c r="C332" s="5" t="str">
        <f>IFNA(VLOOKUP(E332,'Location Table'!A:C,2,false),"")</f>
        <v/>
      </c>
      <c r="D332" s="6" t="s">
        <v>373</v>
      </c>
      <c r="E332" s="6"/>
      <c r="F332" s="6" t="s">
        <v>110</v>
      </c>
      <c r="G332" s="7" t="str">
        <f>IFNA(VLOOKUP(F332,Driver!A:D,4,false),"")</f>
        <v>2160130926882687325:VSRHFZoYrhhtnecmAaOfmgvaKlfxBZEgxFxSbLPTAhfVwurTuJfQgOTrwyseeqJQ</v>
      </c>
      <c r="H332" s="8" t="str">
        <f>IFNA(VLOOKUP(F332,Driver!A:C,3,false),"")</f>
        <v>d9fc37dd4093a9cdf082</v>
      </c>
      <c r="I332" s="9">
        <v>0.2916666666666667</v>
      </c>
      <c r="J332" s="9">
        <v>0.6875</v>
      </c>
      <c r="K332" s="9"/>
    </row>
    <row r="333" hidden="1">
      <c r="A333" s="5" t="str">
        <f>IFNA(VLOOKUP(D333,'Location Table'!A:C,2,false),"")</f>
        <v>98465eea-93ea-11ee-9af5-506b8d9879b5</v>
      </c>
      <c r="B333" s="5" t="str">
        <f>IFNA(VLOOKUP(F333,Driver!A:C,2,false),"")</f>
        <v>232be490-35a4-11ed-88b7-506b8dbc8dfb</v>
      </c>
      <c r="C333" s="5" t="str">
        <f>IFNA(VLOOKUP(E333,'Location Table'!A:C,2,false),"")</f>
        <v/>
      </c>
      <c r="D333" s="6" t="s">
        <v>374</v>
      </c>
      <c r="E333" s="6"/>
      <c r="F333" s="6" t="s">
        <v>110</v>
      </c>
      <c r="G333" s="7" t="str">
        <f>IFNA(VLOOKUP(F333,Driver!A:D,4,false),"")</f>
        <v>2160130926882687325:VSRHFZoYrhhtnecmAaOfmgvaKlfxBZEgxFxSbLPTAhfVwurTuJfQgOTrwyseeqJQ</v>
      </c>
      <c r="H333" s="8" t="str">
        <f>IFNA(VLOOKUP(F333,Driver!A:C,3,false),"")</f>
        <v>d9fc37dd4093a9cdf082</v>
      </c>
      <c r="I333" s="9">
        <v>0.2916666666666667</v>
      </c>
      <c r="J333" s="9">
        <v>0.6875</v>
      </c>
      <c r="K333" s="9"/>
    </row>
    <row r="334" hidden="1">
      <c r="A334" s="5" t="str">
        <f>IFNA(VLOOKUP(D334,'Location Table'!A:C,2,false),"")</f>
        <v>be36be84-3528-11f0-89ed-506b8d982279</v>
      </c>
      <c r="B334" s="5" t="str">
        <f>IFNA(VLOOKUP(F334,Driver!A:C,2,false),"")</f>
        <v>f5993946-37cf-11ed-a3fc-506b8dbc8dfb</v>
      </c>
      <c r="C334" s="5" t="str">
        <f>IFNA(VLOOKUP(E334,'Location Table'!A:C,2,false),"")</f>
        <v/>
      </c>
      <c r="D334" s="6" t="s">
        <v>375</v>
      </c>
      <c r="E334" s="6"/>
      <c r="F334" s="6" t="s">
        <v>314</v>
      </c>
      <c r="G334" s="7" t="str">
        <f>IFNA(VLOOKUP(F334,Driver!A:D,4,false),"")</f>
        <v/>
      </c>
      <c r="H334" s="8" t="str">
        <f>IFNA(VLOOKUP(F334,Driver!A:C,3,false),"")</f>
        <v/>
      </c>
      <c r="I334" s="9">
        <v>0.2916666666666667</v>
      </c>
      <c r="J334" s="9">
        <v>0.6875</v>
      </c>
      <c r="K334" s="9"/>
    </row>
    <row r="335" hidden="1">
      <c r="A335" s="5" t="str">
        <f>IFNA(VLOOKUP(D335,'Location Table'!A:C,2,false),"")</f>
        <v>a4f0de66-8a3a-11f0-98af-506b8d982279</v>
      </c>
      <c r="B335" s="5" t="str">
        <f>IFNA(VLOOKUP(F335,Driver!A:C,2,false),"")</f>
        <v>f5993946-37cf-11ed-a3fc-506b8dbc8dfb</v>
      </c>
      <c r="C335" s="5" t="str">
        <f>IFNA(VLOOKUP(E335,'Location Table'!A:C,2,false),"")</f>
        <v/>
      </c>
      <c r="D335" s="6" t="s">
        <v>376</v>
      </c>
      <c r="E335" s="6"/>
      <c r="F335" s="6" t="s">
        <v>314</v>
      </c>
      <c r="G335" s="7" t="str">
        <f>IFNA(VLOOKUP(F335,Driver!A:D,4,false),"")</f>
        <v/>
      </c>
      <c r="H335" s="8" t="str">
        <f>IFNA(VLOOKUP(F335,Driver!A:C,3,false),"")</f>
        <v/>
      </c>
      <c r="I335" s="9">
        <v>0.2916666666666667</v>
      </c>
      <c r="J335" s="9">
        <v>0.6875</v>
      </c>
      <c r="K335" s="9"/>
    </row>
    <row r="336" hidden="1">
      <c r="A336" s="5" t="str">
        <f>IFNA(VLOOKUP(D336,'Location Table'!A:C,2,false),"")</f>
        <v>5b63341e-4623-11ed-a460-506b8dbc8dfb</v>
      </c>
      <c r="B336" s="5" t="str">
        <f>IFNA(VLOOKUP(F336,Driver!A:C,2,false),"")</f>
        <v>51b847ba-37cd-11ed-a5f6-506b8dbc8dfb</v>
      </c>
      <c r="C336" s="5" t="str">
        <f>IFNA(VLOOKUP(E336,'Location Table'!A:C,2,false),"")</f>
        <v/>
      </c>
      <c r="D336" s="6" t="s">
        <v>377</v>
      </c>
      <c r="E336" s="6"/>
      <c r="F336" s="6" t="s">
        <v>94</v>
      </c>
      <c r="G336" s="7" t="str">
        <f>IFNA(VLOOKUP(F336,Driver!A:D,4,false),"")</f>
        <v>1980698793628880414:XXMGIAegigeHesHcPUQpIcnMCwhigvPUATFrPyRHiqIZqTwmvWiXbUzfDhivxPcl</v>
      </c>
      <c r="H336" s="8" t="str">
        <f>IFNA(VLOOKUP(F336,Driver!A:C,3,false),"")</f>
        <v>3d1fec9027dcce8297cd</v>
      </c>
      <c r="I336" s="9">
        <v>0.2916666666666667</v>
      </c>
      <c r="J336" s="9">
        <v>0.6875</v>
      </c>
      <c r="K336" s="9"/>
    </row>
    <row r="337" hidden="1">
      <c r="A337" s="5" t="str">
        <f>IFNA(VLOOKUP(D337,'Location Table'!A:C,2,false),"")</f>
        <v>0cfb7cc4-4550-11ed-8c98-506b8dbc8dfb</v>
      </c>
      <c r="B337" s="5" t="str">
        <f>IFNA(VLOOKUP(F337,Driver!A:C,2,false),"")</f>
        <v>51b847ba-37cd-11ed-a5f6-506b8dbc8dfb</v>
      </c>
      <c r="C337" s="5" t="str">
        <f>IFNA(VLOOKUP(E337,'Location Table'!A:C,2,false),"")</f>
        <v/>
      </c>
      <c r="D337" s="6" t="s">
        <v>378</v>
      </c>
      <c r="E337" s="6"/>
      <c r="F337" s="6" t="s">
        <v>94</v>
      </c>
      <c r="G337" s="7" t="str">
        <f>IFNA(VLOOKUP(F337,Driver!A:D,4,false),"")</f>
        <v>1980698793628880414:XXMGIAegigeHesHcPUQpIcnMCwhigvPUATFrPyRHiqIZqTwmvWiXbUzfDhivxPcl</v>
      </c>
      <c r="H337" s="8" t="str">
        <f>IFNA(VLOOKUP(F337,Driver!A:C,3,false),"")</f>
        <v>3d1fec9027dcce8297cd</v>
      </c>
      <c r="I337" s="9">
        <v>0.2916666666666667</v>
      </c>
      <c r="J337" s="9">
        <v>0.6875</v>
      </c>
      <c r="K337" s="9"/>
    </row>
    <row r="338" hidden="1">
      <c r="A338" s="5" t="str">
        <f>IFNA(VLOOKUP(D338,'Location Table'!A:C,2,false),"")</f>
        <v>d8610906-8140-11ee-abb7-506b8d9879b5</v>
      </c>
      <c r="B338" s="5" t="str">
        <f>IFNA(VLOOKUP(F338,Driver!A:C,2,false),"")</f>
        <v>f5993946-37cf-11ed-a3fc-506b8dbc8dfb</v>
      </c>
      <c r="C338" s="5" t="str">
        <f>IFNA(VLOOKUP(E338,'Location Table'!A:C,2,false),"")</f>
        <v/>
      </c>
      <c r="D338" s="6" t="s">
        <v>379</v>
      </c>
      <c r="E338" s="6"/>
      <c r="F338" s="6" t="s">
        <v>314</v>
      </c>
      <c r="G338" s="7" t="str">
        <f>IFNA(VLOOKUP(F338,Driver!A:D,4,false),"")</f>
        <v/>
      </c>
      <c r="H338" s="8" t="str">
        <f>IFNA(VLOOKUP(F338,Driver!A:C,3,false),"")</f>
        <v/>
      </c>
      <c r="I338" s="9">
        <v>0.2916666666666667</v>
      </c>
      <c r="J338" s="9">
        <v>0.6875</v>
      </c>
      <c r="K338" s="9"/>
    </row>
    <row r="339" hidden="1">
      <c r="A339" s="5" t="str">
        <f>IFNA(VLOOKUP(D339,'Location Table'!A:C,2,false),"")</f>
        <v>0d517404-4621-11ed-8c7f-506b8dbc8dfb</v>
      </c>
      <c r="B339" s="5" t="str">
        <f>IFNA(VLOOKUP(F339,Driver!A:C,2,false),"")</f>
        <v>cdb1dc1a-3655-11ed-a124-506b8dbc8dfb</v>
      </c>
      <c r="C339" s="5" t="str">
        <f>IFNA(VLOOKUP(E339,'Location Table'!A:C,2,false),"")</f>
        <v/>
      </c>
      <c r="D339" s="6" t="s">
        <v>380</v>
      </c>
      <c r="E339" s="6"/>
      <c r="F339" s="6" t="s">
        <v>319</v>
      </c>
      <c r="G339" s="7" t="str">
        <f>IFNA(VLOOKUP(F339,Driver!A:D,4,false),"")</f>
        <v>1980698793628880414:XXMGIAegigeHesHcPUQpIcnMCwhigvPUATFrPyRHiqIZqTwmvWiXbUzfDhivxPcl</v>
      </c>
      <c r="H339" s="8" t="str">
        <f>IFNA(VLOOKUP(F339,Driver!A:C,3,false),"")</f>
        <v>b57751bd28f2c1ac98e3</v>
      </c>
      <c r="I339" s="9">
        <v>0.2916666666666667</v>
      </c>
      <c r="J339" s="9">
        <v>0.75</v>
      </c>
      <c r="K339" s="9"/>
    </row>
    <row r="340" hidden="1">
      <c r="A340" s="5" t="str">
        <f>IFNA(VLOOKUP(D340,'Location Table'!A:C,2,false),"")</f>
        <v>8a866508-0a7d-11ee-9b14-506b8dbc8dfb</v>
      </c>
      <c r="B340" s="5" t="str">
        <f>IFNA(VLOOKUP(F340,Driver!A:C,2,false),"")</f>
        <v>ec034796-8970-11f0-bdfa-506b8d982279</v>
      </c>
      <c r="C340" s="5" t="str">
        <f>IFNA(VLOOKUP(E340,'Location Table'!A:C,2,false),"")</f>
        <v/>
      </c>
      <c r="D340" s="6" t="s">
        <v>381</v>
      </c>
      <c r="E340" s="6"/>
      <c r="F340" s="6" t="s">
        <v>321</v>
      </c>
      <c r="G340" s="7" t="str">
        <f>IFNA(VLOOKUP(F340,Driver!A:D,4,false),"")</f>
        <v>2160130926882687325:VSRHFZoYrhhtnecmAaOfmgvaKlfxBZEgxFxSbLPTAhfVwurTuJfQgOTrwyseeqJQ</v>
      </c>
      <c r="H340" s="8" t="str">
        <f>IFNA(VLOOKUP(F340,Driver!A:C,3,false),"")</f>
        <v>e4fed8071e4af714ae5b</v>
      </c>
      <c r="I340" s="9">
        <v>0.2916666666666667</v>
      </c>
      <c r="J340" s="9">
        <v>0.75</v>
      </c>
      <c r="K340" s="9"/>
    </row>
    <row r="341" hidden="1">
      <c r="A341" s="5" t="str">
        <f>IFNA(VLOOKUP(D341,'Location Table'!A:C,2,false),"")</f>
        <v>46bb67d6-4621-11ed-908d-506b8dbc8dfb</v>
      </c>
      <c r="B341" s="5" t="str">
        <f>IFNA(VLOOKUP(F341,Driver!A:C,2,false),"")</f>
        <v>f5993946-37cf-11ed-a3fc-506b8dbc8dfb</v>
      </c>
      <c r="C341" s="5" t="str">
        <f>IFNA(VLOOKUP(E341,'Location Table'!A:C,2,false),"")</f>
        <v/>
      </c>
      <c r="D341" s="6" t="s">
        <v>382</v>
      </c>
      <c r="E341" s="6"/>
      <c r="F341" s="6" t="s">
        <v>314</v>
      </c>
      <c r="G341" s="7" t="str">
        <f>IFNA(VLOOKUP(F341,Driver!A:D,4,false),"")</f>
        <v/>
      </c>
      <c r="H341" s="8" t="str">
        <f>IFNA(VLOOKUP(F341,Driver!A:C,3,false),"")</f>
        <v/>
      </c>
      <c r="I341" s="9">
        <v>0.2916666666666667</v>
      </c>
      <c r="J341" s="9">
        <v>0.6875</v>
      </c>
      <c r="K341" s="9"/>
    </row>
    <row r="342" hidden="1">
      <c r="A342" s="5" t="str">
        <f>IFNA(VLOOKUP(D342,'Location Table'!A:C,2,false),"")</f>
        <v>9575b00e-ba9f-11ee-86c0-506b8d9879b5</v>
      </c>
      <c r="B342" s="5" t="str">
        <f>IFNA(VLOOKUP(F342,Driver!A:C,2,false),"")</f>
        <v>f5993946-37cf-11ed-a3fc-506b8dbc8dfb</v>
      </c>
      <c r="C342" s="5" t="str">
        <f>IFNA(VLOOKUP(E342,'Location Table'!A:C,2,false),"")</f>
        <v/>
      </c>
      <c r="D342" s="6" t="s">
        <v>383</v>
      </c>
      <c r="E342" s="6"/>
      <c r="F342" s="6" t="s">
        <v>314</v>
      </c>
      <c r="G342" s="7" t="str">
        <f>IFNA(VLOOKUP(F342,Driver!A:D,4,false),"")</f>
        <v/>
      </c>
      <c r="H342" s="8" t="str">
        <f>IFNA(VLOOKUP(F342,Driver!A:C,3,false),"")</f>
        <v/>
      </c>
      <c r="I342" s="9">
        <v>0.2916666666666667</v>
      </c>
      <c r="J342" s="9">
        <v>0.6875</v>
      </c>
      <c r="K342" s="9"/>
    </row>
    <row r="343" hidden="1">
      <c r="A343" s="5" t="str">
        <f>IFNA(VLOOKUP(D343,'Location Table'!A:C,2,false),"")</f>
        <v>31d94d60-4621-11ed-a164-506b8dbc8dfb</v>
      </c>
      <c r="B343" s="5" t="str">
        <f>IFNA(VLOOKUP(F343,Driver!A:C,2,false),"")</f>
        <v>f5993946-37cf-11ed-a3fc-506b8dbc8dfb</v>
      </c>
      <c r="C343" s="5" t="str">
        <f>IFNA(VLOOKUP(E343,'Location Table'!A:C,2,false),"")</f>
        <v/>
      </c>
      <c r="D343" s="6" t="s">
        <v>384</v>
      </c>
      <c r="E343" s="6"/>
      <c r="F343" s="6" t="s">
        <v>314</v>
      </c>
      <c r="G343" s="7" t="str">
        <f>IFNA(VLOOKUP(F343,Driver!A:D,4,false),"")</f>
        <v/>
      </c>
      <c r="H343" s="8" t="str">
        <f>IFNA(VLOOKUP(F343,Driver!A:C,3,false),"")</f>
        <v/>
      </c>
      <c r="I343" s="9">
        <v>0.2916666666666667</v>
      </c>
      <c r="J343" s="9">
        <v>0.6875</v>
      </c>
      <c r="K343" s="9"/>
    </row>
    <row r="344" hidden="1">
      <c r="A344" s="5" t="str">
        <f>IFNA(VLOOKUP(D344,'Location Table'!A:C,2,false),"")</f>
        <v>f9b7b020-4620-11ed-a3ea-506b8dbc8dfb</v>
      </c>
      <c r="B344" s="5" t="str">
        <f>IFNA(VLOOKUP(F344,Driver!A:C,2,false),"")</f>
        <v>f5993946-37cf-11ed-a3fc-506b8dbc8dfb</v>
      </c>
      <c r="C344" s="5" t="str">
        <f>IFNA(VLOOKUP(E344,'Location Table'!A:C,2,false),"")</f>
        <v/>
      </c>
      <c r="D344" s="6" t="s">
        <v>385</v>
      </c>
      <c r="E344" s="6"/>
      <c r="F344" s="6" t="s">
        <v>314</v>
      </c>
      <c r="G344" s="7" t="str">
        <f>IFNA(VLOOKUP(F344,Driver!A:D,4,false),"")</f>
        <v/>
      </c>
      <c r="H344" s="8" t="str">
        <f>IFNA(VLOOKUP(F344,Driver!A:C,3,false),"")</f>
        <v/>
      </c>
      <c r="I344" s="9">
        <v>0.2916666666666667</v>
      </c>
      <c r="J344" s="9">
        <v>0.6875</v>
      </c>
      <c r="K344" s="9"/>
    </row>
    <row r="345" hidden="1">
      <c r="A345" s="5" t="str">
        <f>IFNA(VLOOKUP(D345,'Location Table'!A:C,2,false),"")</f>
        <v>b15b569a-447e-11ed-98ce-506b8dbc8dfb</v>
      </c>
      <c r="B345" s="5" t="str">
        <f>IFNA(VLOOKUP(F345,Driver!A:C,2,false),"")</f>
        <v>b74e3178-7caf-11f0-a9c3-506b8d982279</v>
      </c>
      <c r="C345" s="5" t="str">
        <f>IFNA(VLOOKUP(E345,'Location Table'!A:C,2,false),"")</f>
        <v/>
      </c>
      <c r="D345" s="6" t="s">
        <v>386</v>
      </c>
      <c r="E345" s="6"/>
      <c r="F345" s="6" t="s">
        <v>326</v>
      </c>
      <c r="G345" s="7" t="str">
        <f>IFNA(VLOOKUP(F345,Driver!A:D,4,false),"")</f>
        <v>2160130926882687325:VSRHFZoYrhhtnecmAaOfmgvaKlfxBZEgxFxSbLPTAhfVwurTuJfQgOTrwyseeqJQ</v>
      </c>
      <c r="H345" s="8" t="str">
        <f>IFNA(VLOOKUP(F345,Driver!A:C,3,false),"")</f>
        <v>473ef1d8329bdbc5828a</v>
      </c>
      <c r="I345" s="9">
        <v>0.2916666666666667</v>
      </c>
      <c r="J345" s="9">
        <v>0.6666666666666666</v>
      </c>
      <c r="K345" s="9"/>
    </row>
    <row r="346" hidden="1">
      <c r="A346" s="5" t="str">
        <f>IFNA(VLOOKUP(D346,'Location Table'!A:C,2,false),"")</f>
        <v>b69e3ad8-4621-11ed-8baa-506b8dbc8dfb</v>
      </c>
      <c r="B346" s="5" t="str">
        <f>IFNA(VLOOKUP(F346,Driver!A:C,2,false),"")</f>
        <v>e3970cec-503e-11f1-9378-fa163ee8d8ac</v>
      </c>
      <c r="C346" s="5" t="str">
        <f>IFNA(VLOOKUP(E346,'Location Table'!A:C,2,false),"")</f>
        <v/>
      </c>
      <c r="D346" s="6" t="s">
        <v>387</v>
      </c>
      <c r="E346" s="6"/>
      <c r="F346" s="10" t="s">
        <v>328</v>
      </c>
      <c r="G346" s="7" t="str">
        <f>IFNA(VLOOKUP(F346,Driver!A:D,4,false),"")</f>
        <v/>
      </c>
      <c r="H346" s="8" t="str">
        <f>IFNA(VLOOKUP(F346,Driver!A:C,3,false),"")</f>
        <v/>
      </c>
      <c r="I346" s="9">
        <v>0.2916666666666667</v>
      </c>
      <c r="J346" s="9">
        <v>0.7916666666666666</v>
      </c>
      <c r="K346" s="9"/>
    </row>
    <row r="347" hidden="1">
      <c r="A347" s="5" t="str">
        <f>IFNA(VLOOKUP(D347,'Location Table'!A:C,2,false),"")</f>
        <v>cdfd8daa-1736-11ee-9478-506b8d9879b5</v>
      </c>
      <c r="B347" s="5" t="str">
        <f>IFNA(VLOOKUP(F347,Driver!A:C,2,false),"")</f>
        <v>e3970cec-503e-11f1-9378-fa163ee8d8ac</v>
      </c>
      <c r="C347" s="5" t="str">
        <f>IFNA(VLOOKUP(E347,'Location Table'!A:C,2,false),"")</f>
        <v/>
      </c>
      <c r="D347" s="6" t="s">
        <v>388</v>
      </c>
      <c r="E347" s="6"/>
      <c r="F347" s="10" t="s">
        <v>328</v>
      </c>
      <c r="G347" s="7" t="str">
        <f>IFNA(VLOOKUP(F347,Driver!A:D,4,false),"")</f>
        <v/>
      </c>
      <c r="H347" s="8" t="str">
        <f>IFNA(VLOOKUP(F347,Driver!A:C,3,false),"")</f>
        <v/>
      </c>
      <c r="I347" s="9">
        <v>0.2916666666666667</v>
      </c>
      <c r="J347" s="9">
        <v>0.7916666666666666</v>
      </c>
      <c r="K347" s="9"/>
    </row>
    <row r="348" hidden="1">
      <c r="A348" s="5" t="str">
        <f>IFNA(VLOOKUP(D348,'Location Table'!A:C,2,false),"")</f>
        <v>7eade5f2-b5e1-11ee-a194-506b8d9879b5</v>
      </c>
      <c r="B348" s="5" t="str">
        <f>IFNA(VLOOKUP(F348,Driver!A:C,2,false),"")</f>
        <v>9ba6de4c-37d0-11ed-90bb-506b8dbc8dfb</v>
      </c>
      <c r="C348" s="5" t="str">
        <f>IFNA(VLOOKUP(E348,'Location Table'!A:C,2,false),"")</f>
        <v/>
      </c>
      <c r="D348" s="6" t="s">
        <v>389</v>
      </c>
      <c r="E348" s="6"/>
      <c r="F348" s="6" t="s">
        <v>330</v>
      </c>
      <c r="G348" s="7" t="str">
        <f>IFNA(VLOOKUP(F348,Driver!A:D,4,false),"")</f>
        <v>1980698793628880414:XXMGIAegigeHesHcPUQpIcnMCwhigvPUATFrPyRHiqIZqTwmvWiXbUzfDhivxPcl</v>
      </c>
      <c r="H348" s="8" t="str">
        <f>IFNA(VLOOKUP(F348,Driver!A:C,3,false),"")</f>
        <v>d0ce770b76499f17c658</v>
      </c>
      <c r="I348" s="9">
        <v>0.25</v>
      </c>
      <c r="J348" s="9">
        <v>0.6458333333333334</v>
      </c>
      <c r="K348" s="5" t="s">
        <v>331</v>
      </c>
    </row>
    <row r="349" hidden="1">
      <c r="A349" s="5" t="str">
        <f>IFNA(VLOOKUP(D349,'Location Table'!A:C,2,false),"")</f>
        <v>3edbf400-4625-11ed-9c1b-506b8dbc8dfb</v>
      </c>
      <c r="B349" s="5" t="str">
        <f>IFNA(VLOOKUP(F349,Driver!A:C,2,false),"")</f>
        <v>9ba6de4c-37d0-11ed-90bb-506b8dbc8dfb</v>
      </c>
      <c r="C349" s="5" t="str">
        <f>IFNA(VLOOKUP(E349,'Location Table'!A:C,2,false),"")</f>
        <v/>
      </c>
      <c r="D349" s="6" t="s">
        <v>390</v>
      </c>
      <c r="E349" s="6"/>
      <c r="F349" s="6" t="s">
        <v>330</v>
      </c>
      <c r="G349" s="7" t="str">
        <f>IFNA(VLOOKUP(F349,Driver!A:D,4,false),"")</f>
        <v>1980698793628880414:XXMGIAegigeHesHcPUQpIcnMCwhigvPUATFrPyRHiqIZqTwmvWiXbUzfDhivxPcl</v>
      </c>
      <c r="H349" s="8" t="str">
        <f>IFNA(VLOOKUP(F349,Driver!A:C,3,false),"")</f>
        <v>d0ce770b76499f17c658</v>
      </c>
      <c r="I349" s="9">
        <v>0.25</v>
      </c>
      <c r="J349" s="9">
        <v>0.6458333333333334</v>
      </c>
      <c r="K349" s="5" t="s">
        <v>331</v>
      </c>
    </row>
    <row r="350" hidden="1">
      <c r="A350" s="5" t="str">
        <f>IFNA(VLOOKUP(D350,'Location Table'!A:C,2,false),"")</f>
        <v>38c9c1aa-4620-11ed-9196-506b8dbc8dfb</v>
      </c>
      <c r="B350" s="5" t="str">
        <f>IFNA(VLOOKUP(F350,Driver!A:C,2,false),"")</f>
        <v>a9bf91b4-00e4-11f1-9378-fa163ee8d8ac</v>
      </c>
      <c r="C350" s="5" t="str">
        <f>IFNA(VLOOKUP(E350,'Location Table'!A:C,2,false),"")</f>
        <v/>
      </c>
      <c r="D350" s="6" t="s">
        <v>391</v>
      </c>
      <c r="E350" s="6"/>
      <c r="F350" s="6" t="s">
        <v>142</v>
      </c>
      <c r="G350" s="7" t="str">
        <f>IFNA(VLOOKUP(F350,Driver!A:D,4,false),"")</f>
        <v/>
      </c>
      <c r="H350" s="8" t="str">
        <f>IFNA(VLOOKUP(F350,Driver!A:C,3,false),"")</f>
        <v/>
      </c>
      <c r="I350" s="9">
        <v>0.2916666666666667</v>
      </c>
      <c r="J350" s="9">
        <v>0.5</v>
      </c>
      <c r="K350" s="9"/>
    </row>
    <row r="351" hidden="1">
      <c r="A351" s="5" t="str">
        <f>IFNA(VLOOKUP(D351,'Location Table'!A:C,2,false),"")</f>
        <v>2e371346-21f8-11ee-a792-506b8d9879b5</v>
      </c>
      <c r="B351" s="5" t="str">
        <f>IFNA(VLOOKUP(F351,Driver!A:C,2,false),"")</f>
        <v>061bd7aa-35a6-11ed-9426-506b8dbc8dfb</v>
      </c>
      <c r="C351" s="5" t="str">
        <f>IFNA(VLOOKUP(E351,'Location Table'!A:C,2,false),"")</f>
        <v/>
      </c>
      <c r="D351" s="6" t="s">
        <v>392</v>
      </c>
      <c r="E351" s="6"/>
      <c r="F351" s="6" t="s">
        <v>346</v>
      </c>
      <c r="G351" s="7" t="str">
        <f>IFNA(VLOOKUP(F351,Driver!A:D,4,false),"")</f>
        <v>2160130926882687325:VSRHFZoYrhhtnecmAaOfmgvaKlfxBZEgxFxSbLPTAhfVwurTuJfQgOTrwyseeqJQ</v>
      </c>
      <c r="H351" s="8" t="str">
        <f>IFNA(VLOOKUP(F351,Driver!A:C,3,false),"")</f>
        <v>a6d70e0cd7463e186757</v>
      </c>
      <c r="I351" s="9">
        <v>0.2916666666666667</v>
      </c>
      <c r="J351" s="9">
        <v>0.6666666666666666</v>
      </c>
      <c r="K351" s="9"/>
    </row>
    <row r="352" hidden="1">
      <c r="A352" s="5" t="str">
        <f>IFNA(VLOOKUP(D352,'Location Table'!A:C,2,false),"")</f>
        <v>6e28b82a-8c67-11f0-9f5d-506b8d982279</v>
      </c>
      <c r="B352" s="5" t="str">
        <f>IFNA(VLOOKUP(F352,Driver!A:C,2,false),"")</f>
        <v>a2f538f8-37ce-11ed-a5cf-506b8dbc8dfb</v>
      </c>
      <c r="C352" s="5" t="str">
        <f>IFNA(VLOOKUP(E352,'Location Table'!A:C,2,false),"")</f>
        <v/>
      </c>
      <c r="D352" s="6" t="s">
        <v>393</v>
      </c>
      <c r="E352" s="6"/>
      <c r="F352" s="6" t="s">
        <v>338</v>
      </c>
      <c r="G352" s="7" t="str">
        <f>IFNA(VLOOKUP(F352,Driver!A:D,4,false),"")</f>
        <v>2160130926882687325:VSRHFZoYrhhtnecmAaOfmgvaKlfxBZEgxFxSbLPTAhfVwurTuJfQgOTrwyseeqJQ</v>
      </c>
      <c r="H352" s="8" t="str">
        <f>IFNA(VLOOKUP(F352,Driver!A:C,3,false),"")</f>
        <v>c0d10f02724a9b14c25b</v>
      </c>
      <c r="I352" s="9">
        <v>0.2916666666666667</v>
      </c>
      <c r="J352" s="9">
        <v>0.6666666666666666</v>
      </c>
      <c r="K352" s="9"/>
    </row>
    <row r="353" hidden="1">
      <c r="A353" s="5" t="str">
        <f>IFNA(VLOOKUP(D353,'Location Table'!A:C,2,false),"")</f>
        <v>08dc27ae-4d84-11ef-ba5f-506b8d9879b5</v>
      </c>
      <c r="B353" s="5" t="str">
        <f>IFNA(VLOOKUP(F353,Driver!A:C,2,false),"")</f>
        <v>a2f538f8-37ce-11ed-a5cf-506b8dbc8dfb</v>
      </c>
      <c r="C353" s="5" t="str">
        <f>IFNA(VLOOKUP(E353,'Location Table'!A:C,2,false),"")</f>
        <v/>
      </c>
      <c r="D353" s="6" t="s">
        <v>394</v>
      </c>
      <c r="E353" s="6"/>
      <c r="F353" s="6" t="s">
        <v>338</v>
      </c>
      <c r="G353" s="7" t="str">
        <f>IFNA(VLOOKUP(F353,Driver!A:D,4,false),"")</f>
        <v>2160130926882687325:VSRHFZoYrhhtnecmAaOfmgvaKlfxBZEgxFxSbLPTAhfVwurTuJfQgOTrwyseeqJQ</v>
      </c>
      <c r="H353" s="8" t="str">
        <f>IFNA(VLOOKUP(F353,Driver!A:C,3,false),"")</f>
        <v>c0d10f02724a9b14c25b</v>
      </c>
      <c r="I353" s="9">
        <v>0.2916666666666667</v>
      </c>
      <c r="J353" s="9">
        <v>0.6666666666666666</v>
      </c>
      <c r="K353" s="9"/>
    </row>
    <row r="354" hidden="1">
      <c r="A354" s="5" t="str">
        <f>IFNA(VLOOKUP(D354,'Location Table'!A:C,2,false),"")</f>
        <v>c9c4cd62-4620-11ed-a198-506b8dbc8dfb</v>
      </c>
      <c r="B354" s="5" t="str">
        <f>IFNA(VLOOKUP(F354,Driver!A:C,2,false),"")</f>
        <v>a2f538f8-37ce-11ed-a5cf-506b8dbc8dfb</v>
      </c>
      <c r="C354" s="5" t="str">
        <f>IFNA(VLOOKUP(E354,'Location Table'!A:C,2,false),"")</f>
        <v/>
      </c>
      <c r="D354" s="6" t="s">
        <v>395</v>
      </c>
      <c r="E354" s="6"/>
      <c r="F354" s="6" t="s">
        <v>338</v>
      </c>
      <c r="G354" s="7" t="str">
        <f>IFNA(VLOOKUP(F354,Driver!A:D,4,false),"")</f>
        <v>2160130926882687325:VSRHFZoYrhhtnecmAaOfmgvaKlfxBZEgxFxSbLPTAhfVwurTuJfQgOTrwyseeqJQ</v>
      </c>
      <c r="H354" s="8" t="str">
        <f>IFNA(VLOOKUP(F354,Driver!A:C,3,false),"")</f>
        <v>c0d10f02724a9b14c25b</v>
      </c>
      <c r="I354" s="9">
        <v>0.2916666666666667</v>
      </c>
      <c r="J354" s="9">
        <v>0.6666666666666666</v>
      </c>
      <c r="K354" s="9"/>
    </row>
    <row r="355" hidden="1">
      <c r="A355" s="5" t="str">
        <f>IFNA(VLOOKUP(D355,'Location Table'!A:C,2,false),"")</f>
        <v>acdc38c0-4620-11ed-88dd-506b8dbc8dfb</v>
      </c>
      <c r="B355" s="5" t="str">
        <f>IFNA(VLOOKUP(F355,Driver!A:C,2,false),"")</f>
        <v>a2f538f8-37ce-11ed-a5cf-506b8dbc8dfb</v>
      </c>
      <c r="C355" s="5" t="str">
        <f>IFNA(VLOOKUP(E355,'Location Table'!A:C,2,false),"")</f>
        <v/>
      </c>
      <c r="D355" s="6" t="s">
        <v>396</v>
      </c>
      <c r="E355" s="6"/>
      <c r="F355" s="6" t="s">
        <v>338</v>
      </c>
      <c r="G355" s="7" t="str">
        <f>IFNA(VLOOKUP(F355,Driver!A:D,4,false),"")</f>
        <v>2160130926882687325:VSRHFZoYrhhtnecmAaOfmgvaKlfxBZEgxFxSbLPTAhfVwurTuJfQgOTrwyseeqJQ</v>
      </c>
      <c r="H355" s="8" t="str">
        <f>IFNA(VLOOKUP(F355,Driver!A:C,3,false),"")</f>
        <v>c0d10f02724a9b14c25b</v>
      </c>
      <c r="I355" s="9">
        <v>0.2916666666666667</v>
      </c>
      <c r="J355" s="9">
        <v>0.6666666666666666</v>
      </c>
      <c r="K355" s="9"/>
    </row>
    <row r="356" hidden="1">
      <c r="A356" s="5" t="str">
        <f>IFNA(VLOOKUP(D356,'Location Table'!A:C,2,false),"")</f>
        <v>7645c48a-4d84-11ef-ad7f-506b8d9879b5</v>
      </c>
      <c r="B356" s="5" t="str">
        <f>IFNA(VLOOKUP(F356,Driver!A:C,2,false),"")</f>
        <v>a2f538f8-37ce-11ed-a5cf-506b8dbc8dfb</v>
      </c>
      <c r="C356" s="5" t="str">
        <f>IFNA(VLOOKUP(E356,'Location Table'!A:C,2,false),"")</f>
        <v/>
      </c>
      <c r="D356" s="6" t="s">
        <v>397</v>
      </c>
      <c r="E356" s="6"/>
      <c r="F356" s="6" t="s">
        <v>338</v>
      </c>
      <c r="G356" s="7" t="str">
        <f>IFNA(VLOOKUP(F356,Driver!A:D,4,false),"")</f>
        <v>2160130926882687325:VSRHFZoYrhhtnecmAaOfmgvaKlfxBZEgxFxSbLPTAhfVwurTuJfQgOTrwyseeqJQ</v>
      </c>
      <c r="H356" s="8" t="str">
        <f>IFNA(VLOOKUP(F356,Driver!A:C,3,false),"")</f>
        <v>c0d10f02724a9b14c25b</v>
      </c>
      <c r="I356" s="9">
        <v>0.2916666666666667</v>
      </c>
      <c r="J356" s="9">
        <v>0.6666666666666666</v>
      </c>
      <c r="K356" s="9"/>
    </row>
    <row r="357" hidden="1">
      <c r="A357" s="5" t="str">
        <f>IFNA(VLOOKUP(D357,'Location Table'!A:C,2,false),"")</f>
        <v>a283fb2c-93e2-11ee-958b-506b8d9879b5</v>
      </c>
      <c r="B357" s="5" t="str">
        <f>IFNA(VLOOKUP(F357,Driver!A:C,2,false),"")</f>
        <v>a2f538f8-37ce-11ed-a5cf-506b8dbc8dfb</v>
      </c>
      <c r="C357" s="5" t="str">
        <f>IFNA(VLOOKUP(E357,'Location Table'!A:C,2,false),"")</f>
        <v/>
      </c>
      <c r="D357" s="6" t="s">
        <v>398</v>
      </c>
      <c r="E357" s="6"/>
      <c r="F357" s="6" t="s">
        <v>338</v>
      </c>
      <c r="G357" s="7" t="str">
        <f>IFNA(VLOOKUP(F357,Driver!A:D,4,false),"")</f>
        <v>2160130926882687325:VSRHFZoYrhhtnecmAaOfmgvaKlfxBZEgxFxSbLPTAhfVwurTuJfQgOTrwyseeqJQ</v>
      </c>
      <c r="H357" s="8" t="str">
        <f>IFNA(VLOOKUP(F357,Driver!A:C,3,false),"")</f>
        <v>c0d10f02724a9b14c25b</v>
      </c>
      <c r="I357" s="9">
        <v>0.2916666666666667</v>
      </c>
      <c r="J357" s="9">
        <v>0.6666666666666666</v>
      </c>
      <c r="K357" s="9"/>
    </row>
    <row r="358" hidden="1">
      <c r="A358" s="5" t="str">
        <f>IFNA(VLOOKUP(D358,'Location Table'!A:C,2,false),"")</f>
        <v>efaf92da-5588-11f0-88a4-506b8d982279</v>
      </c>
      <c r="B358" s="5" t="str">
        <f>IFNA(VLOOKUP(F358,Driver!A:C,2,false),"")</f>
        <v>a2f538f8-37ce-11ed-a5cf-506b8dbc8dfb</v>
      </c>
      <c r="C358" s="5" t="str">
        <f>IFNA(VLOOKUP(E358,'Location Table'!A:C,2,false),"")</f>
        <v/>
      </c>
      <c r="D358" s="6" t="s">
        <v>399</v>
      </c>
      <c r="E358" s="6"/>
      <c r="F358" s="6" t="s">
        <v>338</v>
      </c>
      <c r="G358" s="7" t="str">
        <f>IFNA(VLOOKUP(F358,Driver!A:D,4,false),"")</f>
        <v>2160130926882687325:VSRHFZoYrhhtnecmAaOfmgvaKlfxBZEgxFxSbLPTAhfVwurTuJfQgOTrwyseeqJQ</v>
      </c>
      <c r="H358" s="8" t="str">
        <f>IFNA(VLOOKUP(F358,Driver!A:C,3,false),"")</f>
        <v>c0d10f02724a9b14c25b</v>
      </c>
      <c r="I358" s="9">
        <v>0.2916666666666667</v>
      </c>
      <c r="J358" s="9">
        <v>0.6666666666666666</v>
      </c>
      <c r="K358" s="9"/>
    </row>
    <row r="359" hidden="1">
      <c r="A359" s="5" t="str">
        <f>IFNA(VLOOKUP(D359,'Location Table'!A:C,2,false),"")</f>
        <v>f622b542-be20-11f0-95e7-506b8d982279</v>
      </c>
      <c r="B359" s="5" t="str">
        <f>IFNA(VLOOKUP(F359,Driver!A:C,2,false),"")</f>
        <v>a2f538f8-37ce-11ed-a5cf-506b8dbc8dfb</v>
      </c>
      <c r="C359" s="5" t="str">
        <f>IFNA(VLOOKUP(E359,'Location Table'!A:C,2,false),"")</f>
        <v/>
      </c>
      <c r="D359" s="6" t="s">
        <v>400</v>
      </c>
      <c r="E359" s="6"/>
      <c r="F359" s="6" t="s">
        <v>338</v>
      </c>
      <c r="G359" s="7" t="str">
        <f>IFNA(VLOOKUP(F359,Driver!A:D,4,false),"")</f>
        <v>2160130926882687325:VSRHFZoYrhhtnecmAaOfmgvaKlfxBZEgxFxSbLPTAhfVwurTuJfQgOTrwyseeqJQ</v>
      </c>
      <c r="H359" s="8" t="str">
        <f>IFNA(VLOOKUP(F359,Driver!A:C,3,false),"")</f>
        <v>c0d10f02724a9b14c25b</v>
      </c>
      <c r="I359" s="9">
        <v>0.2916666666666667</v>
      </c>
      <c r="J359" s="9">
        <v>0.6666666666666666</v>
      </c>
      <c r="K359" s="9"/>
    </row>
    <row r="360" hidden="1">
      <c r="A360" s="5" t="str">
        <f>IFNA(VLOOKUP(D360,'Location Table'!A:C,2,false),"")</f>
        <v>f864d386-461d-11ed-a4b7-506b8dbc8dfb</v>
      </c>
      <c r="B360" s="5" t="str">
        <f>IFNA(VLOOKUP(F360,Driver!A:C,2,false),"")</f>
        <v>b74e3178-7caf-11f0-a9c3-506b8d982279</v>
      </c>
      <c r="C360" s="5" t="str">
        <f>IFNA(VLOOKUP(E360,'Location Table'!A:C,2,false),"")</f>
        <v/>
      </c>
      <c r="D360" s="6" t="s">
        <v>401</v>
      </c>
      <c r="E360" s="6"/>
      <c r="F360" s="6" t="s">
        <v>326</v>
      </c>
      <c r="G360" s="7" t="str">
        <f>IFNA(VLOOKUP(F360,Driver!A:D,4,false),"")</f>
        <v>2160130926882687325:VSRHFZoYrhhtnecmAaOfmgvaKlfxBZEgxFxSbLPTAhfVwurTuJfQgOTrwyseeqJQ</v>
      </c>
      <c r="H360" s="8" t="str">
        <f>IFNA(VLOOKUP(F360,Driver!A:C,3,false),"")</f>
        <v>473ef1d8329bdbc5828a</v>
      </c>
      <c r="I360" s="9">
        <v>0.2916666666666667</v>
      </c>
      <c r="J360" s="9">
        <v>0.6666666666666666</v>
      </c>
      <c r="K360" s="9"/>
    </row>
    <row r="361" hidden="1">
      <c r="A361" s="5" t="str">
        <f>IFNA(VLOOKUP(D361,'Location Table'!A:C,2,false),"")</f>
        <v>66cbf49e-461e-11ed-8092-506b8dbc8dfb</v>
      </c>
      <c r="B361" s="5" t="str">
        <f>IFNA(VLOOKUP(F361,Driver!A:C,2,false),"")</f>
        <v>d442fba0-37c6-11ed-ab29-506b8dbc8dfb</v>
      </c>
      <c r="C361" s="5" t="str">
        <f>IFNA(VLOOKUP(E361,'Location Table'!A:C,2,false),"")</f>
        <v/>
      </c>
      <c r="D361" s="6" t="s">
        <v>402</v>
      </c>
      <c r="E361" s="6"/>
      <c r="F361" s="6" t="s">
        <v>183</v>
      </c>
      <c r="G361" s="7" t="str">
        <f>IFNA(VLOOKUP(F361,Driver!A:D,4,false),"")</f>
        <v>2160130926882687325:VSRHFZoYrhhtnecmAaOfmgvaKlfxBZEgxFxSbLPTAhfVwurTuJfQgOTrwyseeqJQ</v>
      </c>
      <c r="H361" s="8" t="str">
        <f>IFNA(VLOOKUP(F361,Driver!A:C,3,false),"")</f>
        <v>c4530791c2db2b8572ca</v>
      </c>
      <c r="I361" s="9">
        <v>0.2916666666666667</v>
      </c>
      <c r="J361" s="9">
        <v>0.6666666666666666</v>
      </c>
      <c r="K361" s="9"/>
    </row>
    <row r="362" hidden="1">
      <c r="A362" s="5" t="str">
        <f>IFNA(VLOOKUP(D362,'Location Table'!A:C,2,false),"")</f>
        <v>c444e4a0-461e-11ed-9831-506b8dbc8dfb</v>
      </c>
      <c r="B362" s="5" t="str">
        <f>IFNA(VLOOKUP(F362,Driver!A:C,2,false),"")</f>
        <v>1d4786cc-12f7-11f1-9378-fa163ee8d8ac</v>
      </c>
      <c r="C362" s="5" t="str">
        <f>IFNA(VLOOKUP(E362,'Location Table'!A:C,2,false),"")</f>
        <v/>
      </c>
      <c r="D362" s="6" t="s">
        <v>403</v>
      </c>
      <c r="E362" s="6"/>
      <c r="F362" s="6" t="s">
        <v>343</v>
      </c>
      <c r="G362" s="7" t="str">
        <f>IFNA(VLOOKUP(F362,Driver!A:D,4,false),"")</f>
        <v>1980698793628880414:XXMGIAegigeHesHcPUQpIcnMCwhigvPUATFrPyRHiqIZqTwmvWiXbUzfDhivxPcl</v>
      </c>
      <c r="H362" s="8" t="str">
        <f>IFNA(VLOOKUP(F362,Driver!A:C,3,false),"")</f>
        <v>85d2de46a91b4045190a</v>
      </c>
      <c r="I362" s="9">
        <v>0.2916666666666667</v>
      </c>
      <c r="J362" s="9">
        <v>0.75</v>
      </c>
      <c r="K362" s="9"/>
    </row>
    <row r="363" hidden="1">
      <c r="A363" s="5" t="str">
        <f>IFNA(VLOOKUP(D363,'Location Table'!A:C,2,false),"")</f>
        <v>81144800-461f-11ed-beba-506b8dbc8dfb</v>
      </c>
      <c r="B363" s="5" t="str">
        <f>IFNA(VLOOKUP(F363,Driver!A:C,2,false),"")</f>
        <v>51b847ba-37cd-11ed-a5f6-506b8dbc8dfb</v>
      </c>
      <c r="C363" s="5" t="str">
        <f>IFNA(VLOOKUP(E363,'Location Table'!A:C,2,false),"")</f>
        <v/>
      </c>
      <c r="D363" s="6" t="s">
        <v>404</v>
      </c>
      <c r="E363" s="6"/>
      <c r="F363" s="6" t="s">
        <v>94</v>
      </c>
      <c r="G363" s="7" t="str">
        <f>IFNA(VLOOKUP(F363,Driver!A:D,4,false),"")</f>
        <v>1980698793628880414:XXMGIAegigeHesHcPUQpIcnMCwhigvPUATFrPyRHiqIZqTwmvWiXbUzfDhivxPcl</v>
      </c>
      <c r="H363" s="8" t="str">
        <f>IFNA(VLOOKUP(F363,Driver!A:C,3,false),"")</f>
        <v>3d1fec9027dcce8297cd</v>
      </c>
      <c r="I363" s="9">
        <v>0.2916666666666667</v>
      </c>
      <c r="J363" s="9">
        <v>0.6666666666666666</v>
      </c>
      <c r="K363" s="9"/>
    </row>
    <row r="364" hidden="1">
      <c r="A364" s="5" t="str">
        <f>IFNA(VLOOKUP(D364,'Location Table'!A:C,2,false),"")</f>
        <v>b53f8874-461f-11ed-ac01-506b8dbc8dfb</v>
      </c>
      <c r="B364" s="5" t="str">
        <f>IFNA(VLOOKUP(F364,Driver!A:C,2,false),"")</f>
        <v>061bd7aa-35a6-11ed-9426-506b8dbc8dfb</v>
      </c>
      <c r="C364" s="5" t="str">
        <f>IFNA(VLOOKUP(E364,'Location Table'!A:C,2,false),"")</f>
        <v/>
      </c>
      <c r="D364" s="6" t="s">
        <v>405</v>
      </c>
      <c r="E364" s="6"/>
      <c r="F364" s="6" t="s">
        <v>346</v>
      </c>
      <c r="G364" s="7" t="str">
        <f>IFNA(VLOOKUP(F364,Driver!A:D,4,false),"")</f>
        <v>2160130926882687325:VSRHFZoYrhhtnecmAaOfmgvaKlfxBZEgxFxSbLPTAhfVwurTuJfQgOTrwyseeqJQ</v>
      </c>
      <c r="H364" s="8" t="str">
        <f>IFNA(VLOOKUP(F364,Driver!A:C,3,false),"")</f>
        <v>a6d70e0cd7463e186757</v>
      </c>
      <c r="I364" s="9">
        <v>0.2916666666666667</v>
      </c>
      <c r="J364" s="9">
        <v>0.6666666666666666</v>
      </c>
      <c r="K364" s="9"/>
    </row>
    <row r="365" hidden="1">
      <c r="A365" s="5" t="str">
        <f>IFNA(VLOOKUP(D365,'Location Table'!A:C,2,false),"")</f>
        <v>cc4cf010-461f-11ed-8f40-506b8dbc8dfb</v>
      </c>
      <c r="B365" s="5" t="str">
        <f>IFNA(VLOOKUP(F365,Driver!A:C,2,false),"")</f>
        <v>061bd7aa-35a6-11ed-9426-506b8dbc8dfb</v>
      </c>
      <c r="C365" s="5" t="str">
        <f>IFNA(VLOOKUP(E365,'Location Table'!A:C,2,false),"")</f>
        <v/>
      </c>
      <c r="D365" s="6" t="s">
        <v>406</v>
      </c>
      <c r="E365" s="6"/>
      <c r="F365" s="6" t="s">
        <v>346</v>
      </c>
      <c r="G365" s="7" t="str">
        <f>IFNA(VLOOKUP(F365,Driver!A:D,4,false),"")</f>
        <v>2160130926882687325:VSRHFZoYrhhtnecmAaOfmgvaKlfxBZEgxFxSbLPTAhfVwurTuJfQgOTrwyseeqJQ</v>
      </c>
      <c r="H365" s="8" t="str">
        <f>IFNA(VLOOKUP(F365,Driver!A:C,3,false),"")</f>
        <v>a6d70e0cd7463e186757</v>
      </c>
      <c r="I365" s="9">
        <v>0.2916666666666667</v>
      </c>
      <c r="J365" s="9">
        <v>0.6666666666666666</v>
      </c>
      <c r="K365" s="9"/>
    </row>
    <row r="366" hidden="1">
      <c r="A366" s="5" t="str">
        <f>IFNA(VLOOKUP(D366,'Location Table'!A:C,2,false),"")</f>
        <v>d1ac161c-8097-11ef-b9ab-506b8d9879b5</v>
      </c>
      <c r="B366" s="5" t="str">
        <f>IFNA(VLOOKUP(F366,Driver!A:C,2,false),"")</f>
        <v>65871f10-7671-11f0-9d16-506b8d982279</v>
      </c>
      <c r="C366" s="5" t="str">
        <f>IFNA(VLOOKUP(E366,'Location Table'!A:C,2,false),"")</f>
        <v/>
      </c>
      <c r="D366" s="6" t="s">
        <v>407</v>
      </c>
      <c r="E366" s="6"/>
      <c r="F366" s="6" t="s">
        <v>348</v>
      </c>
      <c r="G366" s="7" t="str">
        <f>IFNA(VLOOKUP(F366,Driver!A:D,4,false),"")</f>
        <v>2160130926882687325:VSRHFZoYrhhtnecmAaOfmgvaKlfxBZEgxFxSbLPTAhfVwurTuJfQgOTrwyseeqJQ</v>
      </c>
      <c r="H366" s="8" t="str">
        <f>IFNA(VLOOKUP(F366,Driver!A:C,3,false),"")</f>
        <v>03bb8b129d5c74022d4d</v>
      </c>
      <c r="I366" s="9">
        <v>0.2916666666666667</v>
      </c>
      <c r="J366" s="9">
        <v>0.75</v>
      </c>
      <c r="K366" s="9"/>
    </row>
    <row r="367" hidden="1">
      <c r="A367" s="5" t="str">
        <f>IFNA(VLOOKUP(D367,'Location Table'!A:C,2,false),"")</f>
        <v>ac335b00-7f6e-11ee-9967-506b8d9879b5</v>
      </c>
      <c r="B367" s="5" t="str">
        <f>IFNA(VLOOKUP(F367,Driver!A:C,2,false),"")</f>
        <v>103090f4-37c8-11ed-9333-506b8dbc8dfb</v>
      </c>
      <c r="C367" s="5" t="str">
        <f>IFNA(VLOOKUP(E367,'Location Table'!A:C,2,false),"")</f>
        <v/>
      </c>
      <c r="D367" s="6" t="s">
        <v>408</v>
      </c>
      <c r="E367" s="6"/>
      <c r="F367" s="6" t="s">
        <v>130</v>
      </c>
      <c r="G367" s="7" t="str">
        <f>IFNA(VLOOKUP(F367,Driver!A:D,4,false),"")</f>
        <v>2160130926882687325:VSRHFZoYrhhtnecmAaOfmgvaKlfxBZEgxFxSbLPTAhfVwurTuJfQgOTrwyseeqJQ</v>
      </c>
      <c r="H367" s="8" t="str">
        <f>IFNA(VLOOKUP(F367,Driver!A:C,3,false),"")</f>
        <v>77085b30147bfd25a46a</v>
      </c>
      <c r="I367" s="9">
        <v>0.2916666666666667</v>
      </c>
      <c r="J367" s="9">
        <v>0.8541666666666666</v>
      </c>
      <c r="K367" s="9"/>
    </row>
    <row r="368" hidden="1">
      <c r="A368" s="5" t="str">
        <f>IFNA(VLOOKUP(D368,'Location Table'!A:C,2,false),"")</f>
        <v>f3a91ab0-6191-11ee-8062-506b8d9879b5</v>
      </c>
      <c r="B368" s="5" t="str">
        <f>IFNA(VLOOKUP(F368,Driver!A:C,2,false),"")</f>
        <v>9e9376b6-37c5-11ed-a1d5-506b8dbc8dfb</v>
      </c>
      <c r="C368" s="5" t="str">
        <f>IFNA(VLOOKUP(E368,'Location Table'!A:C,2,false),"")</f>
        <v/>
      </c>
      <c r="D368" s="6" t="s">
        <v>409</v>
      </c>
      <c r="E368" s="6"/>
      <c r="F368" s="6" t="s">
        <v>350</v>
      </c>
      <c r="G368" s="7" t="str">
        <f>IFNA(VLOOKUP(F368,Driver!A:D,4,false),"")</f>
        <v>2160130926882687325:VSRHFZoYrhhtnecmAaOfmgvaKlfxBZEgxFxSbLPTAhfVwurTuJfQgOTrwyseeqJQ</v>
      </c>
      <c r="H368" s="8" t="str">
        <f>IFNA(VLOOKUP(F368,Driver!A:C,3,false),"")</f>
        <v>26f3924da71c4e42170d</v>
      </c>
      <c r="I368" s="9">
        <v>0.2916666666666667</v>
      </c>
      <c r="J368" s="9">
        <v>0.75</v>
      </c>
      <c r="K368" s="9"/>
    </row>
    <row r="369" hidden="1">
      <c r="A369" s="5" t="str">
        <f>IFNA(VLOOKUP(D369,'Location Table'!A:C,2,false),"")</f>
        <v>15f046d6-4620-11ed-92e1-506b8dbc8dfb</v>
      </c>
      <c r="B369" s="5" t="str">
        <f>IFNA(VLOOKUP(F369,Driver!A:C,2,false),"")</f>
        <v>51b847ba-37cd-11ed-a5f6-506b8dbc8dfb</v>
      </c>
      <c r="C369" s="5" t="str">
        <f>IFNA(VLOOKUP(E369,'Location Table'!A:C,2,false),"")</f>
        <v/>
      </c>
      <c r="D369" s="6" t="s">
        <v>410</v>
      </c>
      <c r="E369" s="6"/>
      <c r="F369" s="6" t="s">
        <v>94</v>
      </c>
      <c r="G369" s="7" t="str">
        <f>IFNA(VLOOKUP(F369,Driver!A:D,4,false),"")</f>
        <v>1980698793628880414:XXMGIAegigeHesHcPUQpIcnMCwhigvPUATFrPyRHiqIZqTwmvWiXbUzfDhivxPcl</v>
      </c>
      <c r="H369" s="8" t="str">
        <f>IFNA(VLOOKUP(F369,Driver!A:C,3,false),"")</f>
        <v>3d1fec9027dcce8297cd</v>
      </c>
      <c r="I369" s="9">
        <v>0.2916666666666667</v>
      </c>
      <c r="J369" s="9">
        <v>0.6666666666666666</v>
      </c>
      <c r="K369" s="9"/>
    </row>
    <row r="370" hidden="1">
      <c r="A370" s="5" t="str">
        <f>IFNA(VLOOKUP(D370,'Location Table'!A:C,2,false),"")</f>
        <v>a4ca13c4-4624-11ed-a72e-506b8dbc8dfb</v>
      </c>
      <c r="B370" s="5" t="str">
        <f>IFNA(VLOOKUP(F370,Driver!A:C,2,false),"")</f>
        <v>232be490-35a4-11ed-88b7-506b8dbc8dfb</v>
      </c>
      <c r="C370" s="5" t="str">
        <f>IFNA(VLOOKUP(E370,'Location Table'!A:C,2,false),"")</f>
        <v/>
      </c>
      <c r="D370" s="6" t="s">
        <v>411</v>
      </c>
      <c r="E370" s="6"/>
      <c r="F370" s="6" t="s">
        <v>110</v>
      </c>
      <c r="G370" s="7" t="str">
        <f>IFNA(VLOOKUP(F370,Driver!A:D,4,false),"")</f>
        <v>2160130926882687325:VSRHFZoYrhhtnecmAaOfmgvaKlfxBZEgxFxSbLPTAhfVwurTuJfQgOTrwyseeqJQ</v>
      </c>
      <c r="H370" s="8" t="str">
        <f>IFNA(VLOOKUP(F370,Driver!A:C,3,false),"")</f>
        <v>d9fc37dd4093a9cdf082</v>
      </c>
      <c r="I370" s="9">
        <v>0.2916666666666667</v>
      </c>
      <c r="J370" s="9">
        <v>0.6666666666666666</v>
      </c>
      <c r="K370" s="9"/>
    </row>
    <row r="371" hidden="1">
      <c r="A371" s="5" t="str">
        <f>IFNA(VLOOKUP(D371,'Location Table'!A:C,2,false),"")</f>
        <v>217168cc-bad6-11f0-b824-506b8d982279</v>
      </c>
      <c r="B371" s="5" t="str">
        <f>IFNA(VLOOKUP(F371,Driver!A:C,2,false),"")</f>
        <v>232be490-35a4-11ed-88b7-506b8dbc8dfb</v>
      </c>
      <c r="C371" s="5" t="str">
        <f>IFNA(VLOOKUP(E371,'Location Table'!A:C,2,false),"")</f>
        <v/>
      </c>
      <c r="D371" s="6" t="s">
        <v>412</v>
      </c>
      <c r="E371" s="6"/>
      <c r="F371" s="6" t="s">
        <v>110</v>
      </c>
      <c r="G371" s="7" t="str">
        <f>IFNA(VLOOKUP(F371,Driver!A:D,4,false),"")</f>
        <v>2160130926882687325:VSRHFZoYrhhtnecmAaOfmgvaKlfxBZEgxFxSbLPTAhfVwurTuJfQgOTrwyseeqJQ</v>
      </c>
      <c r="H371" s="8" t="str">
        <f>IFNA(VLOOKUP(F371,Driver!A:C,3,false),"")</f>
        <v>d9fc37dd4093a9cdf082</v>
      </c>
      <c r="I371" s="9">
        <v>0.2916666666666667</v>
      </c>
      <c r="J371" s="9">
        <v>0.6666666666666666</v>
      </c>
      <c r="K371" s="9"/>
    </row>
    <row r="372" hidden="1">
      <c r="A372" s="5" t="str">
        <f>IFNA(VLOOKUP(D372,'Location Table'!A:C,2,false),"")</f>
        <v>b57674f6-4624-11ed-9100-506b8dbc8dfb</v>
      </c>
      <c r="B372" s="5" t="str">
        <f>IFNA(VLOOKUP(F372,Driver!A:C,2,false),"")</f>
        <v>232be490-35a4-11ed-88b7-506b8dbc8dfb</v>
      </c>
      <c r="C372" s="5" t="str">
        <f>IFNA(VLOOKUP(E372,'Location Table'!A:C,2,false),"")</f>
        <v/>
      </c>
      <c r="D372" s="6" t="s">
        <v>413</v>
      </c>
      <c r="E372" s="6"/>
      <c r="F372" s="6" t="s">
        <v>110</v>
      </c>
      <c r="G372" s="7" t="str">
        <f>IFNA(VLOOKUP(F372,Driver!A:D,4,false),"")</f>
        <v>2160130926882687325:VSRHFZoYrhhtnecmAaOfmgvaKlfxBZEgxFxSbLPTAhfVwurTuJfQgOTrwyseeqJQ</v>
      </c>
      <c r="H372" s="8" t="str">
        <f>IFNA(VLOOKUP(F372,Driver!A:C,3,false),"")</f>
        <v>d9fc37dd4093a9cdf082</v>
      </c>
      <c r="I372" s="9">
        <v>0.2916666666666667</v>
      </c>
      <c r="J372" s="9">
        <v>0.6666666666666666</v>
      </c>
      <c r="K372" s="9"/>
    </row>
    <row r="373" hidden="1">
      <c r="A373" s="5" t="str">
        <f>IFNA(VLOOKUP(D373,'Location Table'!A:C,2,false),"")</f>
        <v>79755906-47b1-11ee-a628-506b8d9879b5</v>
      </c>
      <c r="B373" s="5" t="str">
        <f>IFNA(VLOOKUP(F532,Driver!A:C,2,false),"")</f>
        <v>412f31be-2fc3-11f1-9378-fa163ee8d8ac</v>
      </c>
      <c r="C373" s="5" t="str">
        <f>IFNA(VLOOKUP(E373,'Location Table'!A:C,2,false),"")</f>
        <v/>
      </c>
      <c r="D373" s="6" t="s">
        <v>414</v>
      </c>
      <c r="E373" s="6"/>
      <c r="F373" s="10" t="s">
        <v>328</v>
      </c>
      <c r="G373" s="7" t="str">
        <f>IFNA(VLOOKUP(F532,Driver!A:D,4,false),"")</f>
        <v/>
      </c>
      <c r="H373" s="8" t="str">
        <f>IFNA(VLOOKUP(F532,Driver!A:C,3,false),"")</f>
        <v/>
      </c>
      <c r="I373" s="9">
        <v>0.2916666666666667</v>
      </c>
      <c r="J373" s="9">
        <v>0.75</v>
      </c>
      <c r="K373" s="9"/>
    </row>
    <row r="374" hidden="1">
      <c r="A374" s="5" t="str">
        <f>IFNA(VLOOKUP(D374,'Location Table'!A:C,2,false),"")</f>
        <v>dc4c537a-4624-11ed-b116-506b8dbc8dfb</v>
      </c>
      <c r="B374" s="5" t="str">
        <f>IFNA(VLOOKUP(F374,Driver!A:C,2,false),"")</f>
        <v>586fa64a-37d0-11ed-b5ef-506b8dbc8dfb</v>
      </c>
      <c r="C374" s="5" t="str">
        <f>IFNA(VLOOKUP(E374,'Location Table'!A:C,2,false),"")</f>
        <v/>
      </c>
      <c r="D374" s="6" t="s">
        <v>415</v>
      </c>
      <c r="E374" s="6"/>
      <c r="F374" s="6" t="s">
        <v>355</v>
      </c>
      <c r="G374" s="7" t="str">
        <f>IFNA(VLOOKUP(F374,Driver!A:D,4,false),"")</f>
        <v>2160130926882687325:VSRHFZoYrhhtnecmAaOfmgvaKlfxBZEgxFxSbLPTAhfVwurTuJfQgOTrwyseeqJQ</v>
      </c>
      <c r="H374" s="8" t="str">
        <f>IFNA(VLOOKUP(F374,Driver!A:C,3,false),"")</f>
        <v>cb12ddfaeea707f95eb6</v>
      </c>
      <c r="I374" s="9">
        <v>0.2916666666666667</v>
      </c>
      <c r="J374" s="9">
        <v>0.75</v>
      </c>
      <c r="K374" s="9"/>
    </row>
    <row r="375" hidden="1">
      <c r="A375" s="5" t="str">
        <f>IFNA(VLOOKUP(D375,'Location Table'!A:C,2,false),"")</f>
        <v>cb5e725a-4624-11ed-9796-506b8dbc8dfb</v>
      </c>
      <c r="B375" s="5" t="str">
        <f>IFNA(VLOOKUP(F375,Driver!A:C,2,false),"")</f>
        <v>a2f538f8-37ce-11ed-a5cf-506b8dbc8dfb</v>
      </c>
      <c r="C375" s="5" t="str">
        <f>IFNA(VLOOKUP(E375,'Location Table'!A:C,2,false),"")</f>
        <v/>
      </c>
      <c r="D375" s="6" t="s">
        <v>416</v>
      </c>
      <c r="E375" s="6"/>
      <c r="F375" s="6" t="s">
        <v>338</v>
      </c>
      <c r="G375" s="7" t="str">
        <f>IFNA(VLOOKUP(F375,Driver!A:D,4,false),"")</f>
        <v>2160130926882687325:VSRHFZoYrhhtnecmAaOfmgvaKlfxBZEgxFxSbLPTAhfVwurTuJfQgOTrwyseeqJQ</v>
      </c>
      <c r="H375" s="8" t="str">
        <f>IFNA(VLOOKUP(F375,Driver!A:C,3,false),"")</f>
        <v>c0d10f02724a9b14c25b</v>
      </c>
      <c r="I375" s="9">
        <v>0.2916666666666667</v>
      </c>
      <c r="J375" s="9">
        <v>0.6666666666666666</v>
      </c>
      <c r="K375" s="9"/>
    </row>
    <row r="376" hidden="1">
      <c r="A376" s="5" t="str">
        <f>IFNA(VLOOKUP(D376,'Location Table'!A:C,2,false),"")</f>
        <v>a94ef2b0-32b0-11ee-9251-506b8d9879b5</v>
      </c>
      <c r="B376" s="5" t="str">
        <f>IFNA(VLOOKUP(F376,Driver!A:C,2,false),"")</f>
        <v>a2f538f8-37ce-11ed-a5cf-506b8dbc8dfb</v>
      </c>
      <c r="C376" s="5" t="str">
        <f>IFNA(VLOOKUP(E376,'Location Table'!A:C,2,false),"")</f>
        <v/>
      </c>
      <c r="D376" s="6" t="s">
        <v>417</v>
      </c>
      <c r="E376" s="6"/>
      <c r="F376" s="6" t="s">
        <v>338</v>
      </c>
      <c r="G376" s="7" t="str">
        <f>IFNA(VLOOKUP(F376,Driver!A:D,4,false),"")</f>
        <v>2160130926882687325:VSRHFZoYrhhtnecmAaOfmgvaKlfxBZEgxFxSbLPTAhfVwurTuJfQgOTrwyseeqJQ</v>
      </c>
      <c r="H376" s="8" t="str">
        <f>IFNA(VLOOKUP(F376,Driver!A:C,3,false),"")</f>
        <v>c0d10f02724a9b14c25b</v>
      </c>
      <c r="I376" s="9">
        <v>0.2916666666666667</v>
      </c>
      <c r="J376" s="9">
        <v>0.6666666666666666</v>
      </c>
      <c r="K376" s="9"/>
    </row>
    <row r="377" hidden="1">
      <c r="A377" s="5" t="str">
        <f>IFNA(VLOOKUP(D377,'Location Table'!A:C,2,false),"")</f>
        <v>3a2b645e-32b0-11ee-b21d-506b8d9879b5</v>
      </c>
      <c r="B377" s="5" t="str">
        <f>IFNA(VLOOKUP(F377,Driver!A:C,2,false),"")</f>
        <v>a2f538f8-37ce-11ed-a5cf-506b8dbc8dfb</v>
      </c>
      <c r="C377" s="5" t="str">
        <f>IFNA(VLOOKUP(E377,'Location Table'!A:C,2,false),"")</f>
        <v/>
      </c>
      <c r="D377" s="6" t="s">
        <v>418</v>
      </c>
      <c r="E377" s="6"/>
      <c r="F377" s="6" t="s">
        <v>338</v>
      </c>
      <c r="G377" s="7" t="str">
        <f>IFNA(VLOOKUP(F377,Driver!A:D,4,false),"")</f>
        <v>2160130926882687325:VSRHFZoYrhhtnecmAaOfmgvaKlfxBZEgxFxSbLPTAhfVwurTuJfQgOTrwyseeqJQ</v>
      </c>
      <c r="H377" s="8" t="str">
        <f>IFNA(VLOOKUP(F377,Driver!A:C,3,false),"")</f>
        <v>c0d10f02724a9b14c25b</v>
      </c>
      <c r="I377" s="9">
        <v>0.2916666666666667</v>
      </c>
      <c r="J377" s="9">
        <v>0.6666666666666666</v>
      </c>
      <c r="K377" s="9"/>
    </row>
    <row r="378" hidden="1">
      <c r="A378" s="5" t="str">
        <f>IFNA(VLOOKUP(D378,'Location Table'!A:C,2,false),"")</f>
        <v>16874f0a-c8c2-11ef-aced-506b8d9879b5</v>
      </c>
      <c r="B378" s="5" t="str">
        <f>IFNA(VLOOKUP(F378,Driver!A:C,2,false),"")</f>
        <v>717fa61c-3654-11ed-b103-506b8dbc8dfb</v>
      </c>
      <c r="C378" s="5" t="str">
        <f>IFNA(VLOOKUP(E378,'Location Table'!A:C,2,false),"")</f>
        <v/>
      </c>
      <c r="D378" s="6" t="s">
        <v>419</v>
      </c>
      <c r="E378" s="6"/>
      <c r="F378" s="6" t="s">
        <v>361</v>
      </c>
      <c r="G378" s="7" t="str">
        <f>IFNA(VLOOKUP(F378,Driver!A:D,4,false),"")</f>
        <v>1980698793628880414:XXMGIAegigeHesHcPUQpIcnMCwhigvPUATFrPyRHiqIZqTwmvWiXbUzfDhivxPcl</v>
      </c>
      <c r="H378" s="8" t="str">
        <f>IFNA(VLOOKUP(F378,Driver!A:C,3,false),"")</f>
        <v>fbc73b7bb6385f660629</v>
      </c>
      <c r="I378" s="9">
        <v>0.23958333333333334</v>
      </c>
      <c r="J378" s="9">
        <v>0.6041666666666666</v>
      </c>
      <c r="K378" s="5" t="s">
        <v>362</v>
      </c>
    </row>
    <row r="379" hidden="1">
      <c r="A379" s="5" t="str">
        <f>IFNA(VLOOKUP(D379,'Location Table'!A:C,2,false),"")</f>
        <v>1eb8a47a-4625-11ed-a856-506b8dbc8dfb</v>
      </c>
      <c r="B379" s="5" t="str">
        <f>IFNA(VLOOKUP(F379,Driver!A:C,2,false),"")</f>
        <v>717fa61c-3654-11ed-b103-506b8dbc8dfb</v>
      </c>
      <c r="C379" s="5" t="str">
        <f>IFNA(VLOOKUP(E379,'Location Table'!A:C,2,false),"")</f>
        <v/>
      </c>
      <c r="D379" s="6" t="s">
        <v>420</v>
      </c>
      <c r="E379" s="6"/>
      <c r="F379" s="6" t="s">
        <v>361</v>
      </c>
      <c r="G379" s="7" t="str">
        <f>IFNA(VLOOKUP(F379,Driver!A:D,4,false),"")</f>
        <v>1980698793628880414:XXMGIAegigeHesHcPUQpIcnMCwhigvPUATFrPyRHiqIZqTwmvWiXbUzfDhivxPcl</v>
      </c>
      <c r="H379" s="8" t="str">
        <f>IFNA(VLOOKUP(F379,Driver!A:C,3,false),"")</f>
        <v>fbc73b7bb6385f660629</v>
      </c>
      <c r="I379" s="9">
        <v>0.23958333333333334</v>
      </c>
      <c r="J379" s="9">
        <v>0.6041666666666666</v>
      </c>
      <c r="K379" s="5" t="s">
        <v>362</v>
      </c>
    </row>
    <row r="380" hidden="1">
      <c r="A380" s="5" t="str">
        <f>IFNA(VLOOKUP(D380,'Location Table'!A:C,2,false),"")</f>
        <v>0b8b3520-4625-11ed-aaa4-506b8dbc8dfb</v>
      </c>
      <c r="B380" s="5" t="str">
        <f>IFNA(VLOOKUP(F380,Driver!A:C,2,false),"")</f>
        <v>717fa61c-3654-11ed-b103-506b8dbc8dfb</v>
      </c>
      <c r="C380" s="5" t="str">
        <f>IFNA(VLOOKUP(E380,'Location Table'!A:C,2,false),"")</f>
        <v/>
      </c>
      <c r="D380" s="6" t="s">
        <v>421</v>
      </c>
      <c r="E380" s="6"/>
      <c r="F380" s="6" t="s">
        <v>361</v>
      </c>
      <c r="G380" s="7" t="str">
        <f>IFNA(VLOOKUP(F380,Driver!A:D,4,false),"")</f>
        <v>1980698793628880414:XXMGIAegigeHesHcPUQpIcnMCwhigvPUATFrPyRHiqIZqTwmvWiXbUzfDhivxPcl</v>
      </c>
      <c r="H380" s="8" t="str">
        <f>IFNA(VLOOKUP(F380,Driver!A:C,3,false),"")</f>
        <v>fbc73b7bb6385f660629</v>
      </c>
      <c r="I380" s="9">
        <v>0.23958333333333334</v>
      </c>
      <c r="J380" s="9">
        <v>0.6041666666666666</v>
      </c>
      <c r="K380" s="5" t="s">
        <v>362</v>
      </c>
    </row>
    <row r="381" hidden="1">
      <c r="A381" s="5" t="str">
        <f>IFNA(VLOOKUP(D381,'Location Table'!A:C,2,false),"")</f>
        <v>b7e27baa-37fe-11ee-8340-506b8d9879b5</v>
      </c>
      <c r="B381" s="5" t="str">
        <f>IFNA(VLOOKUP(F381,Driver!A:C,2,false),"")</f>
        <v>dff693c2-0371-11ee-90bc-506b8dbc8dfb</v>
      </c>
      <c r="C381" s="5" t="str">
        <f>IFNA(VLOOKUP(E381,'Location Table'!A:C,2,false),"")</f>
        <v/>
      </c>
      <c r="D381" s="6" t="s">
        <v>422</v>
      </c>
      <c r="E381" s="6"/>
      <c r="F381" s="6" t="s">
        <v>365</v>
      </c>
      <c r="G381" s="7" t="str">
        <f>IFNA(VLOOKUP(F381,Driver!A:D,4,false),"")</f>
        <v>2160130926882687325:VSRHFZoYrhhtnecmAaOfmgvaKlfxBZEgxFxSbLPTAhfVwurTuJfQgOTrwyseeqJQ</v>
      </c>
      <c r="H381" s="8" t="str">
        <f>IFNA(VLOOKUP(F381,Driver!A:C,3,false),"")</f>
        <v>402ca9dc1194f8caa185</v>
      </c>
      <c r="I381" s="9">
        <v>0.23958333333333334</v>
      </c>
      <c r="J381" s="9">
        <v>0.6041666666666666</v>
      </c>
      <c r="K381" s="5" t="s">
        <v>362</v>
      </c>
    </row>
    <row r="382" hidden="1">
      <c r="A382" s="5" t="str">
        <f>IFNA(VLOOKUP(D382,'Location Table'!A:C,2,false),"")</f>
        <v>2da9c09a-4625-11ed-bd6e-506b8dbc8dfb</v>
      </c>
      <c r="B382" s="5" t="str">
        <f>IFNA(VLOOKUP(F382,Driver!A:C,2,false),"")</f>
        <v>717fa61c-3654-11ed-b103-506b8dbc8dfb</v>
      </c>
      <c r="C382" s="5" t="str">
        <f>IFNA(VLOOKUP(E382,'Location Table'!A:C,2,false),"")</f>
        <v/>
      </c>
      <c r="D382" s="6" t="s">
        <v>423</v>
      </c>
      <c r="E382" s="6"/>
      <c r="F382" s="6" t="s">
        <v>361</v>
      </c>
      <c r="G382" s="7" t="str">
        <f>IFNA(VLOOKUP(F382,Driver!A:D,4,false),"")</f>
        <v>1980698793628880414:XXMGIAegigeHesHcPUQpIcnMCwhigvPUATFrPyRHiqIZqTwmvWiXbUzfDhivxPcl</v>
      </c>
      <c r="H382" s="8" t="str">
        <f>IFNA(VLOOKUP(F382,Driver!A:C,3,false),"")</f>
        <v>fbc73b7bb6385f660629</v>
      </c>
      <c r="I382" s="9">
        <v>0.23958333333333334</v>
      </c>
      <c r="J382" s="9">
        <v>0.6041666666666666</v>
      </c>
      <c r="K382" s="5" t="s">
        <v>362</v>
      </c>
    </row>
    <row r="383" hidden="1">
      <c r="A383" s="5" t="str">
        <f>IFNA(VLOOKUP(D383,'Location Table'!A:C,2,false),"")</f>
        <v>b275e594-511e-11f1-9378-fa163ee8d8ac</v>
      </c>
      <c r="B383" s="5" t="str">
        <f>IFNA(VLOOKUP(F383,Driver!A:C,2,false),"")</f>
        <v>65871f10-7671-11f0-9d16-506b8d982279</v>
      </c>
      <c r="C383" s="5" t="str">
        <f>IFNA(VLOOKUP(E383,'Location Table'!A:C,2,false),"")</f>
        <v/>
      </c>
      <c r="D383" s="6" t="s">
        <v>424</v>
      </c>
      <c r="E383" s="6"/>
      <c r="F383" s="6" t="s">
        <v>348</v>
      </c>
      <c r="G383" s="7" t="str">
        <f>IFNA(VLOOKUP(F383,Driver!A:D,4,false),"")</f>
        <v>2160130926882687325:VSRHFZoYrhhtnecmAaOfmgvaKlfxBZEgxFxSbLPTAhfVwurTuJfQgOTrwyseeqJQ</v>
      </c>
      <c r="H383" s="8" t="str">
        <f>IFNA(VLOOKUP(F383,Driver!A:C,3,false),"")</f>
        <v>03bb8b129d5c74022d4d</v>
      </c>
      <c r="I383" s="9">
        <v>0.2916666666666667</v>
      </c>
      <c r="J383" s="9">
        <v>0.75</v>
      </c>
      <c r="K383" s="9"/>
    </row>
    <row r="384" hidden="1">
      <c r="A384" s="5" t="str">
        <f>IFNA(VLOOKUP(D384,'Location Table'!A:C,2,false),"")</f>
        <v>dc1cec40-ef44-11ef-b4d7-506b8d9879b5</v>
      </c>
      <c r="B384" s="5" t="str">
        <f>IFNA(VLOOKUP(F384,Driver!A:C,2,false),"")</f>
        <v>103090f4-37c8-11ed-9333-506b8dbc8dfb</v>
      </c>
      <c r="C384" s="5" t="str">
        <f>IFNA(VLOOKUP(E384,'Location Table'!A:C,2,false),"")</f>
        <v/>
      </c>
      <c r="D384" s="6" t="s">
        <v>425</v>
      </c>
      <c r="E384" s="6"/>
      <c r="F384" s="6" t="s">
        <v>130</v>
      </c>
      <c r="G384" s="7" t="str">
        <f>IFNA(VLOOKUP(F384,Driver!A:D,4,false),"")</f>
        <v>2160130926882687325:VSRHFZoYrhhtnecmAaOfmgvaKlfxBZEgxFxSbLPTAhfVwurTuJfQgOTrwyseeqJQ</v>
      </c>
      <c r="H384" s="8" t="str">
        <f>IFNA(VLOOKUP(F384,Driver!A:C,3,false),"")</f>
        <v>77085b30147bfd25a46a</v>
      </c>
      <c r="I384" s="9">
        <v>0.2916666666666667</v>
      </c>
      <c r="J384" s="9">
        <v>0.8541666666666666</v>
      </c>
      <c r="K384" s="9"/>
    </row>
    <row r="385" hidden="1">
      <c r="A385" s="5" t="str">
        <f>IFNA(VLOOKUP(D385,'Location Table'!A:C,2,false),"")</f>
        <v>13f99116-21f8-11ee-87d0-506b8d9879b5</v>
      </c>
      <c r="B385" s="5" t="str">
        <f>IFNA(VLOOKUP(F385,Driver!A:C,2,false),"")</f>
        <v>e3970cec-503e-11f1-9378-fa163ee8d8ac</v>
      </c>
      <c r="C385" s="5" t="str">
        <f>IFNA(VLOOKUP(E385,'Location Table'!A:C,2,false),"")</f>
        <v/>
      </c>
      <c r="D385" s="6" t="s">
        <v>426</v>
      </c>
      <c r="E385" s="6"/>
      <c r="F385" s="10" t="s">
        <v>328</v>
      </c>
      <c r="G385" s="7" t="str">
        <f>IFNA(VLOOKUP(F385,Driver!A:D,4,false),"")</f>
        <v/>
      </c>
      <c r="H385" s="8" t="str">
        <f>IFNA(VLOOKUP(F385,Driver!A:C,3,false),"")</f>
        <v/>
      </c>
      <c r="I385" s="9">
        <v>0.2916666666666667</v>
      </c>
      <c r="J385" s="9">
        <v>0.5833333333333334</v>
      </c>
      <c r="K385" s="9"/>
    </row>
    <row r="386" hidden="1">
      <c r="A386" s="5" t="str">
        <f>IFNA(VLOOKUP(D386,'Location Table'!A:C,2,false),"")</f>
        <v>eb0acfc0-47b0-11ee-9a76-506b8d9879b5</v>
      </c>
      <c r="B386" s="5" t="str">
        <f>IFNA(VLOOKUP(F386,Driver!A:C,2,false),"")</f>
        <v>e3970cec-503e-11f1-9378-fa163ee8d8ac</v>
      </c>
      <c r="C386" s="5" t="str">
        <f>IFNA(VLOOKUP(E386,'Location Table'!A:C,2,false),"")</f>
        <v/>
      </c>
      <c r="D386" s="6" t="s">
        <v>427</v>
      </c>
      <c r="E386" s="6"/>
      <c r="F386" s="10" t="s">
        <v>328</v>
      </c>
      <c r="G386" s="7" t="str">
        <f>IFNA(VLOOKUP(F386,Driver!A:D,4,false),"")</f>
        <v/>
      </c>
      <c r="H386" s="8" t="str">
        <f>IFNA(VLOOKUP(F386,Driver!A:C,3,false),"")</f>
        <v/>
      </c>
      <c r="I386" s="9">
        <v>0.2916666666666667</v>
      </c>
      <c r="J386" s="9">
        <v>0.5833333333333334</v>
      </c>
      <c r="K386" s="9"/>
    </row>
    <row r="387" hidden="1">
      <c r="A387" s="5" t="str">
        <f>IFNA(VLOOKUP(D387,'Location Table'!A:C,2,false),"")</f>
        <v>f936c402-4d4e-11ee-b7b9-506b8d9879b5</v>
      </c>
      <c r="B387" s="5" t="str">
        <f>IFNA(VLOOKUP(F387,Driver!A:C,2,false),"")</f>
        <v>d2c2d39e-11e4-11f1-9378-fa163ee8d8ac</v>
      </c>
      <c r="C387" s="5" t="str">
        <f>IFNA(VLOOKUP(E387,'Location Table'!A:C,2,false),"")</f>
        <v/>
      </c>
      <c r="D387" s="6" t="s">
        <v>428</v>
      </c>
      <c r="E387" s="6"/>
      <c r="F387" s="6" t="s">
        <v>88</v>
      </c>
      <c r="G387" s="7" t="str">
        <f>IFNA(VLOOKUP(F387,Driver!A:D,4,false),"")</f>
        <v>1980698793628880414:XXMGIAegigeHesHcPUQpIcnMCwhigvPUATFrPyRHiqIZqTwmvWiXbUzfDhivxPcl</v>
      </c>
      <c r="H387" s="8" t="str">
        <f>IFNA(VLOOKUP(F387,Driver!A:C,3,false),"")</f>
        <v>59a2bfce5a81b3dfea90</v>
      </c>
      <c r="I387" s="9">
        <v>0.2916666666666667</v>
      </c>
      <c r="J387" s="9">
        <v>0.6875</v>
      </c>
      <c r="K387" s="9"/>
    </row>
    <row r="388" hidden="1">
      <c r="A388" s="5" t="str">
        <f>IFNA(VLOOKUP(D388,'Location Table'!A:C,2,false),"")</f>
        <v>90798798-454c-11ed-b675-506b8dbc8dfb</v>
      </c>
      <c r="B388" s="5" t="str">
        <f>IFNA(VLOOKUP(F388,Driver!A:C,2,false),"")</f>
        <v>d2c2d39e-11e4-11f1-9378-fa163ee8d8ac</v>
      </c>
      <c r="C388" s="5" t="str">
        <f>IFNA(VLOOKUP(E388,'Location Table'!A:C,2,false),"")</f>
        <v/>
      </c>
      <c r="D388" s="6" t="s">
        <v>429</v>
      </c>
      <c r="E388" s="6"/>
      <c r="F388" s="6" t="s">
        <v>88</v>
      </c>
      <c r="G388" s="7" t="str">
        <f>IFNA(VLOOKUP(F388,Driver!A:D,4,false),"")</f>
        <v>1980698793628880414:XXMGIAegigeHesHcPUQpIcnMCwhigvPUATFrPyRHiqIZqTwmvWiXbUzfDhivxPcl</v>
      </c>
      <c r="H388" s="8" t="str">
        <f>IFNA(VLOOKUP(F388,Driver!A:C,3,false),"")</f>
        <v>59a2bfce5a81b3dfea90</v>
      </c>
      <c r="I388" s="9">
        <v>0.2916666666666667</v>
      </c>
      <c r="J388" s="9">
        <v>0.6875</v>
      </c>
      <c r="K388" s="9"/>
    </row>
    <row r="389" hidden="1">
      <c r="A389" s="5" t="str">
        <f>IFNA(VLOOKUP(D389,'Location Table'!A:C,2,false),"")</f>
        <v>87b6cc22-a916-11ee-9507-506b8d9879b5</v>
      </c>
      <c r="B389" s="5" t="str">
        <f>IFNA(VLOOKUP(F389,Driver!A:C,2,false),"")</f>
        <v>d2c2d39e-11e4-11f1-9378-fa163ee8d8ac</v>
      </c>
      <c r="C389" s="5" t="str">
        <f>IFNA(VLOOKUP(E389,'Location Table'!A:C,2,false),"")</f>
        <v/>
      </c>
      <c r="D389" s="6" t="s">
        <v>430</v>
      </c>
      <c r="E389" s="6"/>
      <c r="F389" s="6" t="s">
        <v>88</v>
      </c>
      <c r="G389" s="7" t="str">
        <f>IFNA(VLOOKUP(F389,Driver!A:D,4,false),"")</f>
        <v>1980698793628880414:XXMGIAegigeHesHcPUQpIcnMCwhigvPUATFrPyRHiqIZqTwmvWiXbUzfDhivxPcl</v>
      </c>
      <c r="H389" s="8" t="str">
        <f>IFNA(VLOOKUP(F389,Driver!A:C,3,false),"")</f>
        <v>59a2bfce5a81b3dfea90</v>
      </c>
      <c r="I389" s="9">
        <v>0.2916666666666667</v>
      </c>
      <c r="J389" s="9">
        <v>0.6875</v>
      </c>
      <c r="K389" s="9"/>
    </row>
    <row r="390" hidden="1">
      <c r="A390" s="5" t="str">
        <f>IFNA(VLOOKUP(D390,'Location Table'!A:C,2,false),"")</f>
        <v>1dbb8184-4ac4-11ed-8962-506b8dbc8dfb</v>
      </c>
      <c r="B390" s="5" t="str">
        <f>IFNA(VLOOKUP(F390,Driver!A:C,2,false),"")</f>
        <v>c34fdbc2-ea4c-11ed-a5e2-506b8dbc8dfb</v>
      </c>
      <c r="C390" s="5" t="str">
        <f>IFNA(VLOOKUP(E390,'Location Table'!A:C,2,false),"")</f>
        <v/>
      </c>
      <c r="D390" s="6" t="s">
        <v>431</v>
      </c>
      <c r="E390" s="6"/>
      <c r="F390" s="6" t="s">
        <v>335</v>
      </c>
      <c r="G390" s="7" t="str">
        <f>IFNA(VLOOKUP(F390,Driver!A:D,4,false),"")</f>
        <v>1980698793628880414:XXMGIAegigeHesHcPUQpIcnMCwhigvPUATFrPyRHiqIZqTwmvWiXbUzfDhivxPcl</v>
      </c>
      <c r="H390" s="8" t="str">
        <f>IFNA(VLOOKUP(F390,Driver!A:C,3,false),"")</f>
        <v>671c6e0f3741de1f8750</v>
      </c>
      <c r="I390" s="9">
        <v>0.2916666666666667</v>
      </c>
      <c r="J390" s="9">
        <v>0.7916666666666666</v>
      </c>
      <c r="K390" s="9"/>
    </row>
    <row r="391" hidden="1">
      <c r="A391" s="5" t="str">
        <f>IFNA(VLOOKUP(D391,'Location Table'!A:C,2,false),"")</f>
        <v>543998ac-f753-11ef-ab07-506b8d9879b5</v>
      </c>
      <c r="B391" s="5" t="str">
        <f>IFNA(VLOOKUP(F391,Driver!A:C,2,false),"")</f>
        <v>a2f538f8-37ce-11ed-a5cf-506b8dbc8dfb</v>
      </c>
      <c r="C391" s="5" t="str">
        <f>IFNA(VLOOKUP(E391,'Location Table'!A:C,2,false),"")</f>
        <v/>
      </c>
      <c r="D391" s="6" t="s">
        <v>432</v>
      </c>
      <c r="E391" s="6"/>
      <c r="F391" s="6" t="s">
        <v>338</v>
      </c>
      <c r="G391" s="7" t="str">
        <f>IFNA(VLOOKUP(F391,Driver!A:D,4,false),"")</f>
        <v>2160130926882687325:VSRHFZoYrhhtnecmAaOfmgvaKlfxBZEgxFxSbLPTAhfVwurTuJfQgOTrwyseeqJQ</v>
      </c>
      <c r="H391" s="8" t="str">
        <f>IFNA(VLOOKUP(F391,Driver!A:C,3,false),"")</f>
        <v>c0d10f02724a9b14c25b</v>
      </c>
      <c r="I391" s="9">
        <v>0.2916666666666667</v>
      </c>
      <c r="J391" s="9">
        <v>0.6666666666666666</v>
      </c>
      <c r="K391" s="9"/>
    </row>
    <row r="392" hidden="1">
      <c r="A392" s="5" t="str">
        <f>IFNA(VLOOKUP(D392,'Location Table'!A:C,2,false),"")</f>
        <v>ed7827b2-4621-11ed-9c75-506b8dbc8dfb</v>
      </c>
      <c r="B392" s="5" t="str">
        <f>IFNA(VLOOKUP(F392,Driver!A:C,2,false),"")</f>
        <v>d2c2d39e-11e4-11f1-9378-fa163ee8d8ac</v>
      </c>
      <c r="C392" s="5" t="str">
        <f>IFNA(VLOOKUP(E392,'Location Table'!A:C,2,false),"")</f>
        <v/>
      </c>
      <c r="D392" s="6" t="s">
        <v>433</v>
      </c>
      <c r="E392" s="6"/>
      <c r="F392" s="6" t="s">
        <v>88</v>
      </c>
      <c r="G392" s="7" t="str">
        <f>IFNA(VLOOKUP(F392,Driver!A:D,4,false),"")</f>
        <v>1980698793628880414:XXMGIAegigeHesHcPUQpIcnMCwhigvPUATFrPyRHiqIZqTwmvWiXbUzfDhivxPcl</v>
      </c>
      <c r="H392" s="8" t="str">
        <f>IFNA(VLOOKUP(F392,Driver!A:C,3,false),"")</f>
        <v>59a2bfce5a81b3dfea90</v>
      </c>
      <c r="I392" s="9">
        <v>0.2916666666666667</v>
      </c>
      <c r="J392" s="9">
        <v>0.6875</v>
      </c>
      <c r="K392" s="9"/>
    </row>
    <row r="393" hidden="1">
      <c r="A393" s="5" t="str">
        <f>IFNA(VLOOKUP(D393,'Location Table'!A:C,2,false),"")</f>
        <v>4f7acefe-4624-11ed-8c39-506b8dbc8dfb</v>
      </c>
      <c r="B393" s="5" t="str">
        <f>IFNA(VLOOKUP(F393,Driver!A:C,2,false),"")</f>
        <v>232be490-35a4-11ed-88b7-506b8dbc8dfb</v>
      </c>
      <c r="C393" s="5" t="str">
        <f>IFNA(VLOOKUP(E393,'Location Table'!A:C,2,false),"")</f>
        <v/>
      </c>
      <c r="D393" s="6" t="s">
        <v>434</v>
      </c>
      <c r="E393" s="6"/>
      <c r="F393" s="6" t="s">
        <v>110</v>
      </c>
      <c r="G393" s="7" t="str">
        <f>IFNA(VLOOKUP(F393,Driver!A:D,4,false),"")</f>
        <v>2160130926882687325:VSRHFZoYrhhtnecmAaOfmgvaKlfxBZEgxFxSbLPTAhfVwurTuJfQgOTrwyseeqJQ</v>
      </c>
      <c r="H393" s="8" t="str">
        <f>IFNA(VLOOKUP(F393,Driver!A:C,3,false),"")</f>
        <v>d9fc37dd4093a9cdf082</v>
      </c>
      <c r="I393" s="9">
        <v>0.2916666666666667</v>
      </c>
      <c r="J393" s="9">
        <v>0.6666666666666666</v>
      </c>
      <c r="K393" s="9"/>
    </row>
    <row r="394" hidden="1">
      <c r="A394" s="5" t="str">
        <f>IFNA(VLOOKUP(D394,'Location Table'!A:C,2,false),"")</f>
        <v>6b207712-4624-11ed-ace2-506b8dbc8dfb</v>
      </c>
      <c r="B394" s="5" t="str">
        <f>IFNA(VLOOKUP(F394,Driver!A:C,2,false),"")</f>
        <v>232be490-35a4-11ed-88b7-506b8dbc8dfb</v>
      </c>
      <c r="C394" s="5" t="str">
        <f>IFNA(VLOOKUP(E394,'Location Table'!A:C,2,false),"")</f>
        <v/>
      </c>
      <c r="D394" s="6" t="s">
        <v>435</v>
      </c>
      <c r="E394" s="6"/>
      <c r="F394" s="6" t="s">
        <v>110</v>
      </c>
      <c r="G394" s="7" t="str">
        <f>IFNA(VLOOKUP(F394,Driver!A:D,4,false),"")</f>
        <v>2160130926882687325:VSRHFZoYrhhtnecmAaOfmgvaKlfxBZEgxFxSbLPTAhfVwurTuJfQgOTrwyseeqJQ</v>
      </c>
      <c r="H394" s="8" t="str">
        <f>IFNA(VLOOKUP(F394,Driver!A:C,3,false),"")</f>
        <v>d9fc37dd4093a9cdf082</v>
      </c>
      <c r="I394" s="9">
        <v>0.2916666666666667</v>
      </c>
      <c r="J394" s="9">
        <v>0.6666666666666666</v>
      </c>
      <c r="K394" s="9"/>
    </row>
    <row r="395" hidden="1">
      <c r="A395" s="5" t="str">
        <f>IFNA(VLOOKUP(D395,'Location Table'!A:C,2,false),"")</f>
        <v>724b7d56-a0ab-11ee-bfe2-506b8d9879b5</v>
      </c>
      <c r="B395" s="5" t="str">
        <f>IFNA(VLOOKUP(F395,Driver!A:C,2,false),"")</f>
        <v>51b847ba-37cd-11ed-a5f6-506b8dbc8dfb</v>
      </c>
      <c r="C395" s="5" t="str">
        <f>IFNA(VLOOKUP(E395,'Location Table'!A:C,2,false),"")</f>
        <v/>
      </c>
      <c r="D395" s="6" t="s">
        <v>436</v>
      </c>
      <c r="E395" s="6"/>
      <c r="F395" s="6" t="s">
        <v>94</v>
      </c>
      <c r="G395" s="7" t="str">
        <f>IFNA(VLOOKUP(F395,Driver!A:D,4,false),"")</f>
        <v>1980698793628880414:XXMGIAegigeHesHcPUQpIcnMCwhigvPUATFrPyRHiqIZqTwmvWiXbUzfDhivxPcl</v>
      </c>
      <c r="H395" s="8" t="str">
        <f>IFNA(VLOOKUP(F395,Driver!A:C,3,false),"")</f>
        <v>3d1fec9027dcce8297cd</v>
      </c>
      <c r="I395" s="9">
        <v>0.2916666666666667</v>
      </c>
      <c r="J395" s="9">
        <v>0.6666666666666666</v>
      </c>
      <c r="K395" s="9"/>
    </row>
    <row r="396" hidden="1">
      <c r="A396" s="5" t="str">
        <f>IFNA(VLOOKUP(D396,'Location Table'!A:C,2,false),"")</f>
        <v>b52b729a-2449-11ee-8a70-506b8d9879b5</v>
      </c>
      <c r="B396" s="5" t="str">
        <f>IFNA(VLOOKUP(F396,Driver!A:C,2,false),"")</f>
        <v>cdb1dc1a-3655-11ed-a124-506b8dbc8dfb</v>
      </c>
      <c r="C396" s="5" t="str">
        <f>IFNA(VLOOKUP(E396,'Location Table'!A:C,2,false),"")</f>
        <v/>
      </c>
      <c r="D396" s="6" t="s">
        <v>437</v>
      </c>
      <c r="E396" s="6"/>
      <c r="F396" s="6" t="s">
        <v>319</v>
      </c>
      <c r="G396" s="7" t="str">
        <f>IFNA(VLOOKUP(F396,Driver!A:D,4,false),"")</f>
        <v>1980698793628880414:XXMGIAegigeHesHcPUQpIcnMCwhigvPUATFrPyRHiqIZqTwmvWiXbUzfDhivxPcl</v>
      </c>
      <c r="H396" s="8" t="str">
        <f>IFNA(VLOOKUP(F396,Driver!A:C,3,false),"")</f>
        <v>b57751bd28f2c1ac98e3</v>
      </c>
      <c r="I396" s="9">
        <v>0.2916666666666667</v>
      </c>
      <c r="J396" s="9">
        <v>0.75</v>
      </c>
      <c r="K396" s="9"/>
    </row>
    <row r="397" hidden="1">
      <c r="A397" s="5" t="str">
        <f>IFNA(VLOOKUP(D397,'Location Table'!A:C,2,false),"")</f>
        <v>74ba6576-270f-11ef-ae03-506b8d9879b5</v>
      </c>
      <c r="B397" s="5" t="str">
        <f>IFNA(VLOOKUP(F397,Driver!A:C,2,false),"")</f>
        <v>a9bf91b4-00e4-11f1-9378-fa163ee8d8ac</v>
      </c>
      <c r="C397" s="5" t="str">
        <f>IFNA(VLOOKUP(E397,'Location Table'!A:C,2,false),"")</f>
        <v/>
      </c>
      <c r="D397" s="6" t="s">
        <v>438</v>
      </c>
      <c r="E397" s="6"/>
      <c r="F397" s="6" t="s">
        <v>142</v>
      </c>
      <c r="G397" s="7" t="str">
        <f>IFNA(VLOOKUP(F397,Driver!A:D,4,false),"")</f>
        <v/>
      </c>
      <c r="H397" s="8" t="str">
        <f>IFNA(VLOOKUP(F397,Driver!A:C,3,false),"")</f>
        <v/>
      </c>
      <c r="I397" s="9">
        <v>0.2916666666666667</v>
      </c>
      <c r="J397" s="9">
        <v>0.5</v>
      </c>
      <c r="K397" s="9"/>
    </row>
    <row r="398" hidden="1">
      <c r="A398" s="5" t="str">
        <f>IFNA(VLOOKUP(D398,'Location Table'!A:C,2,false),"")</f>
        <v>a1370236-312d-11ee-9841-506b8d9879b5</v>
      </c>
      <c r="B398" s="5" t="str">
        <f>IFNA(VLOOKUP(F398,Driver!A:C,2,false),"")</f>
        <v>a2f538f8-37ce-11ed-a5cf-506b8dbc8dfb</v>
      </c>
      <c r="C398" s="5" t="str">
        <f>IFNA(VLOOKUP(E398,'Location Table'!A:C,2,false),"")</f>
        <v/>
      </c>
      <c r="D398" s="6" t="s">
        <v>439</v>
      </c>
      <c r="E398" s="6"/>
      <c r="F398" s="6" t="s">
        <v>338</v>
      </c>
      <c r="G398" s="7" t="str">
        <f>IFNA(VLOOKUP(F398,Driver!A:D,4,false),"")</f>
        <v>2160130926882687325:VSRHFZoYrhhtnecmAaOfmgvaKlfxBZEgxFxSbLPTAhfVwurTuJfQgOTrwyseeqJQ</v>
      </c>
      <c r="H398" s="8" t="str">
        <f>IFNA(VLOOKUP(F398,Driver!A:C,3,false),"")</f>
        <v>c0d10f02724a9b14c25b</v>
      </c>
      <c r="I398" s="9">
        <v>0.2916666666666667</v>
      </c>
      <c r="J398" s="9">
        <v>0.6666666666666666</v>
      </c>
      <c r="K398" s="9"/>
    </row>
    <row r="399" hidden="1">
      <c r="A399" s="5" t="str">
        <f>IFNA(VLOOKUP(D399,'Location Table'!A:C,2,false),"")</f>
        <v>3d99ca00-54a0-11ef-92b7-506b8d9879b5</v>
      </c>
      <c r="B399" s="5" t="str">
        <f>IFNA(VLOOKUP(F399,Driver!A:C,2,false),"")</f>
        <v>a2f538f8-37ce-11ed-a5cf-506b8dbc8dfb</v>
      </c>
      <c r="C399" s="5" t="str">
        <f>IFNA(VLOOKUP(E399,'Location Table'!A:C,2,false),"")</f>
        <v/>
      </c>
      <c r="D399" s="6" t="s">
        <v>440</v>
      </c>
      <c r="E399" s="6"/>
      <c r="F399" s="6" t="s">
        <v>338</v>
      </c>
      <c r="G399" s="7" t="str">
        <f>IFNA(VLOOKUP(F399,Driver!A:D,4,false),"")</f>
        <v>2160130926882687325:VSRHFZoYrhhtnecmAaOfmgvaKlfxBZEgxFxSbLPTAhfVwurTuJfQgOTrwyseeqJQ</v>
      </c>
      <c r="H399" s="8" t="str">
        <f>IFNA(VLOOKUP(F399,Driver!A:C,3,false),"")</f>
        <v>c0d10f02724a9b14c25b</v>
      </c>
      <c r="I399" s="9">
        <v>0.2916666666666667</v>
      </c>
      <c r="J399" s="9">
        <v>0.6666666666666666</v>
      </c>
      <c r="K399" s="9"/>
    </row>
    <row r="400" hidden="1">
      <c r="A400" s="5" t="str">
        <f>IFNA(VLOOKUP(D400,'Location Table'!A:C,2,false),"")</f>
        <v>afe4e912-5ffc-11ee-a935-506b8d9879b5</v>
      </c>
      <c r="B400" s="5" t="str">
        <f>IFNA(VLOOKUP(F400,Driver!A:C,2,false),"")</f>
        <v>103090f4-37c8-11ed-9333-506b8dbc8dfb</v>
      </c>
      <c r="C400" s="5" t="str">
        <f>IFNA(VLOOKUP(E400,'Location Table'!A:C,2,false),"")</f>
        <v/>
      </c>
      <c r="D400" s="6" t="s">
        <v>441</v>
      </c>
      <c r="E400" s="6"/>
      <c r="F400" s="6" t="s">
        <v>130</v>
      </c>
      <c r="G400" s="7" t="str">
        <f>IFNA(VLOOKUP(F400,Driver!A:D,4,false),"")</f>
        <v>2160130926882687325:VSRHFZoYrhhtnecmAaOfmgvaKlfxBZEgxFxSbLPTAhfVwurTuJfQgOTrwyseeqJQ</v>
      </c>
      <c r="H400" s="8" t="str">
        <f>IFNA(VLOOKUP(F400,Driver!A:C,3,false),"")</f>
        <v>77085b30147bfd25a46a</v>
      </c>
      <c r="I400" s="9">
        <v>0.2916666666666667</v>
      </c>
      <c r="J400" s="9">
        <v>0.8541666666666666</v>
      </c>
      <c r="K400" s="9"/>
    </row>
    <row r="401" hidden="1">
      <c r="A401" s="5" t="str">
        <f>IFNA(VLOOKUP(D401,'Location Table'!A:C,2,false),"")</f>
        <v>a44407ce-7bed-11ef-b6a7-506b8d9879b5</v>
      </c>
      <c r="B401" s="5" t="str">
        <f>IFNA(VLOOKUP(F401,Driver!A:C,2,false),"")</f>
        <v>232be490-35a4-11ed-88b7-506b8dbc8dfb</v>
      </c>
      <c r="C401" s="5" t="str">
        <f>IFNA(VLOOKUP(E401,'Location Table'!A:C,2,false),"")</f>
        <v/>
      </c>
      <c r="D401" s="6" t="s">
        <v>442</v>
      </c>
      <c r="E401" s="6"/>
      <c r="F401" s="6" t="s">
        <v>110</v>
      </c>
      <c r="G401" s="7" t="str">
        <f>IFNA(VLOOKUP(F401,Driver!A:D,4,false),"")</f>
        <v>2160130926882687325:VSRHFZoYrhhtnecmAaOfmgvaKlfxBZEgxFxSbLPTAhfVwurTuJfQgOTrwyseeqJQ</v>
      </c>
      <c r="H401" s="8" t="str">
        <f>IFNA(VLOOKUP(F401,Driver!A:C,3,false),"")</f>
        <v>d9fc37dd4093a9cdf082</v>
      </c>
      <c r="I401" s="9">
        <v>0.2916666666666667</v>
      </c>
      <c r="J401" s="9">
        <v>0.6666666666666666</v>
      </c>
      <c r="K401" s="9"/>
    </row>
    <row r="402" hidden="1">
      <c r="A402" s="5" t="str">
        <f>IFNA(VLOOKUP(D402,'Location Table'!A:C,2,false),"")</f>
        <v>e4c438d6-27bb-11ef-b969-506b8d9879b5</v>
      </c>
      <c r="B402" s="5" t="str">
        <f>IFNA(VLOOKUP(F402,Driver!A:C,2,false),"")</f>
        <v>a2f538f8-37ce-11ed-a5cf-506b8dbc8dfb</v>
      </c>
      <c r="C402" s="5" t="str">
        <f>IFNA(VLOOKUP(E402,'Location Table'!A:C,2,false),"")</f>
        <v/>
      </c>
      <c r="D402" s="6" t="s">
        <v>443</v>
      </c>
      <c r="E402" s="6"/>
      <c r="F402" s="6" t="s">
        <v>338</v>
      </c>
      <c r="G402" s="7" t="str">
        <f>IFNA(VLOOKUP(F402,Driver!A:D,4,false),"")</f>
        <v>2160130926882687325:VSRHFZoYrhhtnecmAaOfmgvaKlfxBZEgxFxSbLPTAhfVwurTuJfQgOTrwyseeqJQ</v>
      </c>
      <c r="H402" s="8" t="str">
        <f>IFNA(VLOOKUP(F402,Driver!A:C,3,false),"")</f>
        <v>c0d10f02724a9b14c25b</v>
      </c>
      <c r="I402" s="9">
        <v>0.2916666666666667</v>
      </c>
      <c r="J402" s="9">
        <v>0.6666666666666666</v>
      </c>
      <c r="K402" s="9"/>
    </row>
    <row r="403" hidden="1">
      <c r="A403" s="5" t="str">
        <f>IFNA(VLOOKUP(D403,'Location Table'!A:C,2,false),"")</f>
        <v>b615381e-a3c7-11ee-9343-506b8d9879b5</v>
      </c>
      <c r="B403" s="5" t="str">
        <f>IFNA(VLOOKUP(F403,Driver!A:C,2,false),"")</f>
        <v>dff693c2-0371-11ee-90bc-506b8dbc8dfb</v>
      </c>
      <c r="C403" s="5" t="str">
        <f>IFNA(VLOOKUP(E403,'Location Table'!A:C,2,false),"")</f>
        <v/>
      </c>
      <c r="D403" s="6" t="s">
        <v>444</v>
      </c>
      <c r="E403" s="6"/>
      <c r="F403" s="6" t="s">
        <v>365</v>
      </c>
      <c r="G403" s="7" t="str">
        <f>IFNA(VLOOKUP(F403,Driver!A:D,4,false),"")</f>
        <v>2160130926882687325:VSRHFZoYrhhtnecmAaOfmgvaKlfxBZEgxFxSbLPTAhfVwurTuJfQgOTrwyseeqJQ</v>
      </c>
      <c r="H403" s="8" t="str">
        <f>IFNA(VLOOKUP(F403,Driver!A:C,3,false),"")</f>
        <v>402ca9dc1194f8caa185</v>
      </c>
      <c r="I403" s="9">
        <v>0.23958333333333334</v>
      </c>
      <c r="J403" s="9">
        <v>0.6041666666666666</v>
      </c>
      <c r="K403" s="5" t="s">
        <v>362</v>
      </c>
    </row>
    <row r="404" hidden="1">
      <c r="A404" s="5" t="str">
        <f>IFNA(VLOOKUP(D404,'Location Table'!A:C,2,false),"")</f>
        <v>f88dfab6-b522-11ee-bb52-506b8d9879b5</v>
      </c>
      <c r="B404" s="5" t="str">
        <f>IFNA(VLOOKUP(F404,Driver!A:C,2,false),"")</f>
        <v>222b5bca-37cf-11ed-bee5-506b8dbc8dfb</v>
      </c>
      <c r="C404" s="5" t="str">
        <f>IFNA(VLOOKUP(E404,'Location Table'!A:C,2,false),"")</f>
        <v/>
      </c>
      <c r="D404" s="6" t="s">
        <v>445</v>
      </c>
      <c r="E404" s="6"/>
      <c r="F404" s="6" t="s">
        <v>446</v>
      </c>
      <c r="G404" s="7" t="str">
        <f>IFNA(VLOOKUP(F404,Driver!A:D,4,false),"")</f>
        <v>1980698793628880414:XXMGIAegigeHesHcPUQpIcnMCwhigvPUATFrPyRHiqIZqTwmvWiXbUzfDhivxPcl</v>
      </c>
      <c r="H404" s="8" t="str">
        <f>IFNA(VLOOKUP(F404,Driver!A:C,3,false),"")</f>
        <v>a258dbc5a48f4dd1149e</v>
      </c>
      <c r="I404" s="9">
        <v>0.2916666666666667</v>
      </c>
      <c r="J404" s="9">
        <v>0.4583333333333333</v>
      </c>
      <c r="K404" s="9"/>
    </row>
    <row r="405" hidden="1">
      <c r="A405" s="5" t="str">
        <f>IFNA(VLOOKUP(D405,'Location Table'!A:C,2,false),"")</f>
        <v>974045e8-717f-11ee-b588-506b8d9879b5</v>
      </c>
      <c r="B405" s="5" t="str">
        <f>IFNA(VLOOKUP(F405,Driver!A:C,2,false),"")</f>
        <v>9e9376b6-37c5-11ed-a1d5-506b8dbc8dfb</v>
      </c>
      <c r="C405" s="5" t="str">
        <f>IFNA(VLOOKUP(E405,'Location Table'!A:C,2,false),"")</f>
        <v/>
      </c>
      <c r="D405" s="6" t="s">
        <v>447</v>
      </c>
      <c r="E405" s="6"/>
      <c r="F405" s="6" t="s">
        <v>350</v>
      </c>
      <c r="G405" s="7" t="str">
        <f>IFNA(VLOOKUP(F405,Driver!A:D,4,false),"")</f>
        <v>2160130926882687325:VSRHFZoYrhhtnecmAaOfmgvaKlfxBZEgxFxSbLPTAhfVwurTuJfQgOTrwyseeqJQ</v>
      </c>
      <c r="H405" s="8" t="str">
        <f>IFNA(VLOOKUP(F405,Driver!A:C,3,false),"")</f>
        <v>26f3924da71c4e42170d</v>
      </c>
      <c r="I405" s="9">
        <v>0.2916666666666667</v>
      </c>
      <c r="J405" s="9">
        <v>0.75</v>
      </c>
      <c r="K405" s="9"/>
    </row>
    <row r="406" hidden="1">
      <c r="A406" s="5" t="str">
        <f>IFNA(VLOOKUP(D406,'Location Table'!A:C,2,false),"")</f>
        <v>b9c5ae90-0731-11ee-a942-506b8dbc8dfb</v>
      </c>
      <c r="B406" s="5" t="str">
        <f>IFNA(VLOOKUP(F406,Driver!A:C,2,false),"")</f>
        <v>353f3686-dcc8-11f0-82b8-506b8d982279</v>
      </c>
      <c r="C406" s="5" t="str">
        <f>IFNA(VLOOKUP(E406,'Location Table'!A:C,2,false),"")</f>
        <v/>
      </c>
      <c r="D406" s="6" t="s">
        <v>448</v>
      </c>
      <c r="E406" s="6"/>
      <c r="F406" s="6" t="s">
        <v>96</v>
      </c>
      <c r="G406" s="7" t="str">
        <f>IFNA(VLOOKUP(F406,Driver!A:D,4,false),"")</f>
        <v>2160130926882687325:VSRHFZoYrhhtnecmAaOfmgvaKlfxBZEgxFxSbLPTAhfVwurTuJfQgOTrwyseeqJQ</v>
      </c>
      <c r="H406" s="8" t="str">
        <f>IFNA(VLOOKUP(F406,Driver!A:C,3,false),"")</f>
        <v>e7ce6d37cc7f25217c6e</v>
      </c>
      <c r="I406" s="9">
        <v>0.2916666666666667</v>
      </c>
      <c r="J406" s="9">
        <v>0.75</v>
      </c>
      <c r="K406" s="9"/>
    </row>
    <row r="407" hidden="1">
      <c r="A407" s="5" t="str">
        <f>IFNA(VLOOKUP(D407,'Location Table'!A:C,2,false),"")</f>
        <v>e02a09a6-ea13-11f0-baeb-506b8d982279</v>
      </c>
      <c r="B407" s="5" t="str">
        <f>IFNA(VLOOKUP(F407,Driver!A:C,2,false),"")</f>
        <v>353f3686-dcc8-11f0-82b8-506b8d982279</v>
      </c>
      <c r="C407" s="5" t="str">
        <f>IFNA(VLOOKUP(E407,'Location Table'!A:C,2,false),"")</f>
        <v/>
      </c>
      <c r="D407" s="10" t="s">
        <v>449</v>
      </c>
      <c r="E407" s="6"/>
      <c r="F407" s="6" t="s">
        <v>96</v>
      </c>
      <c r="G407" s="7" t="str">
        <f>IFNA(VLOOKUP(F407,Driver!A:D,4,false),"")</f>
        <v>2160130926882687325:VSRHFZoYrhhtnecmAaOfmgvaKlfxBZEgxFxSbLPTAhfVwurTuJfQgOTrwyseeqJQ</v>
      </c>
      <c r="H407" s="8" t="str">
        <f>IFNA(VLOOKUP(F407,Driver!A:C,3,false),"")</f>
        <v>e7ce6d37cc7f25217c6e</v>
      </c>
      <c r="I407" s="9">
        <v>0.2916666666666667</v>
      </c>
      <c r="J407" s="9">
        <v>0.75</v>
      </c>
      <c r="K407" s="9"/>
    </row>
    <row r="408" hidden="1">
      <c r="A408" s="5" t="str">
        <f>IFNA(VLOOKUP(D408,'Location Table'!A:C,2,false),"")</f>
        <v>831f639e-9999-11ef-b44e-506b8d9879b5</v>
      </c>
      <c r="B408" s="5" t="str">
        <f>IFNA(VLOOKUP(F408,Driver!A:C,2,false),"")</f>
        <v>b74e3178-7caf-11f0-a9c3-506b8d982279</v>
      </c>
      <c r="C408" s="5" t="str">
        <f>IFNA(VLOOKUP(E408,'Location Table'!A:C,2,false),"")</f>
        <v/>
      </c>
      <c r="D408" s="6" t="s">
        <v>450</v>
      </c>
      <c r="E408" s="6"/>
      <c r="F408" s="6" t="s">
        <v>326</v>
      </c>
      <c r="G408" s="7" t="str">
        <f>IFNA(VLOOKUP(F408,Driver!A:D,4,false),"")</f>
        <v>2160130926882687325:VSRHFZoYrhhtnecmAaOfmgvaKlfxBZEgxFxSbLPTAhfVwurTuJfQgOTrwyseeqJQ</v>
      </c>
      <c r="H408" s="8" t="str">
        <f>IFNA(VLOOKUP(F408,Driver!A:C,3,false),"")</f>
        <v>473ef1d8329bdbc5828a</v>
      </c>
      <c r="I408" s="9">
        <v>0.2916666666666667</v>
      </c>
      <c r="J408" s="9">
        <v>0.6666666666666666</v>
      </c>
      <c r="K408" s="9"/>
    </row>
    <row r="409" hidden="1">
      <c r="A409" s="5" t="str">
        <f>IFNA(VLOOKUP(D409,'Location Table'!A:C,2,false),"")</f>
        <v>d28c2b68-87b7-11ef-9468-506b8d9879b5</v>
      </c>
      <c r="B409" s="5" t="str">
        <f>IFNA(VLOOKUP(F409,Driver!A:C,2,false),"")</f>
        <v>aa436cae-e9f3-11ef-bd94-506b8d9879b5</v>
      </c>
      <c r="C409" s="5" t="str">
        <f>IFNA(VLOOKUP(E409,'Location Table'!A:C,2,false),"")</f>
        <v/>
      </c>
      <c r="D409" s="6" t="s">
        <v>451</v>
      </c>
      <c r="E409" s="6"/>
      <c r="F409" s="6" t="s">
        <v>452</v>
      </c>
      <c r="G409" s="7" t="str">
        <f>IFNA(VLOOKUP(F409,Driver!A:D,4,false),"")</f>
        <v>1980698793628880414:XXMGIAegigeHesHcPUQpIcnMCwhigvPUATFrPyRHiqIZqTwmvWiXbUzfDhivxPcl</v>
      </c>
      <c r="H409" s="8" t="str">
        <f>IFNA(VLOOKUP(F409,Driver!A:C,3,false),"")</f>
        <v>f07b253084796d273468</v>
      </c>
      <c r="I409" s="9">
        <v>0.2916666666666667</v>
      </c>
      <c r="J409" s="9">
        <v>0.4166666666666667</v>
      </c>
      <c r="K409" s="9"/>
    </row>
    <row r="410" hidden="1">
      <c r="A410" s="5" t="str">
        <f>IFNA(VLOOKUP(D410,'Location Table'!A:C,2,false),"")</f>
        <v>69604404-7f9c-11ee-ac0e-506b8d9879b5</v>
      </c>
      <c r="B410" s="5" t="str">
        <f>IFNA(VLOOKUP(F410,Driver!A:C,2,false),"")</f>
        <v>a5947f58-7342-11f0-a217-506b8d982279</v>
      </c>
      <c r="C410" s="5" t="str">
        <f>IFNA(VLOOKUP(E410,'Location Table'!A:C,2,false),"")</f>
        <v/>
      </c>
      <c r="D410" s="6" t="s">
        <v>453</v>
      </c>
      <c r="E410" s="6"/>
      <c r="F410" s="6" t="s">
        <v>454</v>
      </c>
      <c r="G410" s="7" t="str">
        <f>IFNA(VLOOKUP(F410,Driver!A:D,4,false),"")</f>
        <v>1980698793628880414:XXMGIAegigeHesHcPUQpIcnMCwhigvPUATFrPyRHiqIZqTwmvWiXbUzfDhivxPcl</v>
      </c>
      <c r="H410" s="8" t="str">
        <f>IFNA(VLOOKUP(F410,Driver!A:C,3,false),"")</f>
        <v>92652419354ddc13855c</v>
      </c>
      <c r="I410" s="9">
        <v>0.2916666666666667</v>
      </c>
      <c r="J410" s="9">
        <v>0.4166666666666667</v>
      </c>
      <c r="K410" s="9"/>
    </row>
    <row r="411" hidden="1">
      <c r="A411" s="5" t="str">
        <f>IFNA(VLOOKUP(D411,'Location Table'!A:C,2,false),"")</f>
        <v>8da5fd32-1bea-11ef-a915-506b8d9879b5</v>
      </c>
      <c r="B411" s="5" t="str">
        <f>IFNA(VLOOKUP(F411,Driver!A:C,2,false),"")</f>
        <v>353f3686-dcc8-11f0-82b8-506b8d982279</v>
      </c>
      <c r="C411" s="5" t="str">
        <f>IFNA(VLOOKUP(E411,'Location Table'!A:C,2,false),"")</f>
        <v/>
      </c>
      <c r="D411" s="6" t="s">
        <v>455</v>
      </c>
      <c r="E411" s="6"/>
      <c r="F411" s="6" t="s">
        <v>96</v>
      </c>
      <c r="G411" s="7" t="str">
        <f>IFNA(VLOOKUP(F411,Driver!A:D,4,false),"")</f>
        <v>2160130926882687325:VSRHFZoYrhhtnecmAaOfmgvaKlfxBZEgxFxSbLPTAhfVwurTuJfQgOTrwyseeqJQ</v>
      </c>
      <c r="H411" s="8" t="str">
        <f>IFNA(VLOOKUP(F411,Driver!A:C,3,false),"")</f>
        <v>e7ce6d37cc7f25217c6e</v>
      </c>
      <c r="I411" s="9">
        <v>0.2916666666666667</v>
      </c>
      <c r="J411" s="9">
        <v>0.75</v>
      </c>
      <c r="K411" s="9"/>
    </row>
    <row r="412" hidden="1">
      <c r="A412" s="5" t="str">
        <f>IFNA(VLOOKUP(D412,'Location Table'!A:C,2,false),"")</f>
        <v>ba7452ba-50d1-11f0-a00e-506b8d982279</v>
      </c>
      <c r="B412" s="5" t="str">
        <f>IFNA(VLOOKUP(F412,Driver!A:C,2,false),"")</f>
        <v>222b5bca-37cf-11ed-bee5-506b8dbc8dfb</v>
      </c>
      <c r="C412" s="5" t="str">
        <f>IFNA(VLOOKUP(E412,'Location Table'!A:C,2,false),"")</f>
        <v/>
      </c>
      <c r="D412" s="6" t="s">
        <v>456</v>
      </c>
      <c r="E412" s="6"/>
      <c r="F412" s="6" t="s">
        <v>446</v>
      </c>
      <c r="G412" s="7" t="str">
        <f>IFNA(VLOOKUP(F412,Driver!A:D,4,false),"")</f>
        <v>1980698793628880414:XXMGIAegigeHesHcPUQpIcnMCwhigvPUATFrPyRHiqIZqTwmvWiXbUzfDhivxPcl</v>
      </c>
      <c r="H412" s="8" t="str">
        <f>IFNA(VLOOKUP(F412,Driver!A:C,3,false),"")</f>
        <v>a258dbc5a48f4dd1149e</v>
      </c>
      <c r="I412" s="9">
        <v>0.2916666666666667</v>
      </c>
      <c r="J412" s="9">
        <v>0.3333333333333333</v>
      </c>
      <c r="K412" s="9"/>
    </row>
    <row r="413" hidden="1">
      <c r="A413" s="5" t="str">
        <f>IFNA(VLOOKUP(D413,'Location Table'!A:C,2,false),"")</f>
        <v>d98568e2-c9ad-11f0-8c1e-506b8d982279</v>
      </c>
      <c r="B413" s="5" t="str">
        <f>IFNA(VLOOKUP(F413,Driver!A:C,2,false),"")</f>
        <v>51b847ba-37cd-11ed-a5f6-506b8dbc8dfb</v>
      </c>
      <c r="C413" s="5" t="str">
        <f>IFNA(VLOOKUP(E413,'Location Table'!A:C,2,false),"")</f>
        <v/>
      </c>
      <c r="D413" s="6" t="s">
        <v>457</v>
      </c>
      <c r="E413" s="6"/>
      <c r="F413" s="6" t="s">
        <v>94</v>
      </c>
      <c r="G413" s="7" t="str">
        <f>IFNA(VLOOKUP(F413,Driver!A:D,4,false),"")</f>
        <v>1980698793628880414:XXMGIAegigeHesHcPUQpIcnMCwhigvPUATFrPyRHiqIZqTwmvWiXbUzfDhivxPcl</v>
      </c>
      <c r="H413" s="8" t="str">
        <f>IFNA(VLOOKUP(F413,Driver!A:C,3,false),"")</f>
        <v>3d1fec9027dcce8297cd</v>
      </c>
      <c r="I413" s="9">
        <v>0.2916666666666667</v>
      </c>
      <c r="J413" s="9">
        <v>0.6666666666666666</v>
      </c>
      <c r="K413" s="9"/>
    </row>
    <row r="414" hidden="1">
      <c r="A414" s="5" t="str">
        <f>IFNA(VLOOKUP(D414,'Location Table'!A:C,2,false),"")</f>
        <v>e05dd2f2-befa-11f0-a698-506b8d982279</v>
      </c>
      <c r="B414" s="5" t="str">
        <f>IFNA(VLOOKUP(F414,Driver!A:C,2,false),"")</f>
        <v>51b847ba-37cd-11ed-a5f6-506b8dbc8dfb</v>
      </c>
      <c r="C414" s="5" t="str">
        <f>IFNA(VLOOKUP(E414,'Location Table'!A:C,2,false),"")</f>
        <v/>
      </c>
      <c r="D414" s="6" t="s">
        <v>458</v>
      </c>
      <c r="E414" s="6"/>
      <c r="F414" s="6" t="s">
        <v>94</v>
      </c>
      <c r="G414" s="7" t="str">
        <f>IFNA(VLOOKUP(F414,Driver!A:D,4,false),"")</f>
        <v>1980698793628880414:XXMGIAegigeHesHcPUQpIcnMCwhigvPUATFrPyRHiqIZqTwmvWiXbUzfDhivxPcl</v>
      </c>
      <c r="H414" s="8" t="str">
        <f>IFNA(VLOOKUP(F414,Driver!A:C,3,false),"")</f>
        <v>3d1fec9027dcce8297cd</v>
      </c>
      <c r="I414" s="9">
        <v>0.2916666666666667</v>
      </c>
      <c r="J414" s="9">
        <v>0.6666666666666666</v>
      </c>
      <c r="K414" s="9"/>
    </row>
    <row r="415" hidden="1">
      <c r="A415" s="5" t="str">
        <f>IFNA(VLOOKUP(D415,'Location Table'!A:C,2,false),"")</f>
        <v>3a019f18-8590-11f0-83a8-506b8d982279</v>
      </c>
      <c r="B415" s="5" t="str">
        <f>IFNA(VLOOKUP(F415,Driver!A:C,2,false),"")</f>
        <v>ee94ca62-729f-11f0-8cd5-506b8d982279</v>
      </c>
      <c r="C415" s="5" t="str">
        <f>IFNA(VLOOKUP(E415,'Location Table'!A:C,2,false),"")</f>
        <v/>
      </c>
      <c r="D415" s="6" t="s">
        <v>459</v>
      </c>
      <c r="E415" s="6"/>
      <c r="F415" s="6" t="s">
        <v>104</v>
      </c>
      <c r="G415" s="7" t="str">
        <f>IFNA(VLOOKUP(F415,Driver!A:D,4,false),"")</f>
        <v>1980698793628880414:XXMGIAegigeHesHcPUQpIcnMCwhigvPUATFrPyRHiqIZqTwmvWiXbUzfDhivxPcl</v>
      </c>
      <c r="H415" s="8" t="str">
        <f>IFNA(VLOOKUP(F415,Driver!A:C,3,false),"")</f>
        <v>f4d2e910814c6812315d</v>
      </c>
      <c r="I415" s="9">
        <v>0.2916666666666667</v>
      </c>
      <c r="J415" s="9">
        <v>0.75</v>
      </c>
      <c r="K415" s="9"/>
    </row>
    <row r="416" hidden="1">
      <c r="A416" s="5" t="str">
        <f>IFNA(VLOOKUP(D416,'Location Table'!A:C,2,false),"")</f>
        <v>b0b197ac-bea4-11ef-8ee7-506b8d9879b5</v>
      </c>
      <c r="B416" s="5" t="str">
        <f>IFNA(VLOOKUP(F416,Driver!A:C,2,false),"")</f>
        <v>b74e3178-7caf-11f0-a9c3-506b8d982279</v>
      </c>
      <c r="C416" s="5" t="str">
        <f>IFNA(VLOOKUP(E416,'Location Table'!A:C,2,false),"")</f>
        <v/>
      </c>
      <c r="D416" s="6" t="s">
        <v>460</v>
      </c>
      <c r="E416" s="6"/>
      <c r="F416" s="6" t="s">
        <v>326</v>
      </c>
      <c r="G416" s="7" t="str">
        <f>IFNA(VLOOKUP(F416,Driver!A:D,4,false),"")</f>
        <v>2160130926882687325:VSRHFZoYrhhtnecmAaOfmgvaKlfxBZEgxFxSbLPTAhfVwurTuJfQgOTrwyseeqJQ</v>
      </c>
      <c r="H416" s="8" t="str">
        <f>IFNA(VLOOKUP(F416,Driver!A:C,3,false),"")</f>
        <v>473ef1d8329bdbc5828a</v>
      </c>
      <c r="I416" s="9">
        <v>0.2916666666666667</v>
      </c>
      <c r="J416" s="9">
        <v>0.6666666666666666</v>
      </c>
      <c r="K416" s="9"/>
    </row>
    <row r="417" hidden="1">
      <c r="A417" s="5" t="str">
        <f>IFNA(VLOOKUP(D417,'Location Table'!A:C,2,false),"")</f>
        <v>6a0525ea-669c-11ef-9bd6-506b8d9879b5</v>
      </c>
      <c r="B417" s="5" t="str">
        <f>IFNA(VLOOKUP(F417,Driver!A:C,2,false),"")</f>
        <v>f5993946-37cf-11ed-a3fc-506b8dbc8dfb</v>
      </c>
      <c r="C417" s="5" t="str">
        <f>IFNA(VLOOKUP(E417,'Location Table'!A:C,2,false),"")</f>
        <v/>
      </c>
      <c r="D417" s="6" t="s">
        <v>461</v>
      </c>
      <c r="E417" s="6"/>
      <c r="F417" s="6" t="s">
        <v>314</v>
      </c>
      <c r="G417" s="7" t="str">
        <f>IFNA(VLOOKUP(F417,Driver!A:D,4,false),"")</f>
        <v/>
      </c>
      <c r="H417" s="8" t="str">
        <f>IFNA(VLOOKUP(F417,Driver!A:C,3,false),"")</f>
        <v/>
      </c>
      <c r="I417" s="9">
        <v>0.2916666666666667</v>
      </c>
      <c r="J417" s="9">
        <v>0.6666666666666666</v>
      </c>
      <c r="K417" s="9"/>
    </row>
    <row r="418" hidden="1">
      <c r="A418" s="5" t="str">
        <f>IFNA(VLOOKUP(D418,'Location Table'!A:C,2,false),"")</f>
        <v>87c8718a-4548-11ed-9a79-506b8dbc8dfb</v>
      </c>
      <c r="B418" s="5" t="str">
        <f>IFNA(VLOOKUP(F418,Driver!A:C,2,false),"")</f>
        <v>e3970cec-503e-11f1-9378-fa163ee8d8ac</v>
      </c>
      <c r="C418" s="5" t="str">
        <f>IFNA(VLOOKUP(E418,'Location Table'!A:C,2,false),"")</f>
        <v/>
      </c>
      <c r="D418" s="6" t="s">
        <v>462</v>
      </c>
      <c r="E418" s="6"/>
      <c r="F418" s="10" t="s">
        <v>328</v>
      </c>
      <c r="G418" s="7" t="str">
        <f>IFNA(VLOOKUP(F418,Driver!A:D,4,false),"")</f>
        <v/>
      </c>
      <c r="H418" s="8" t="str">
        <f>IFNA(VLOOKUP(F418,Driver!A:C,3,false),"")</f>
        <v/>
      </c>
      <c r="I418" s="9">
        <v>0.2916666666666667</v>
      </c>
      <c r="J418" s="9">
        <v>0.5833333333333334</v>
      </c>
      <c r="K418" s="9"/>
    </row>
    <row r="419" hidden="1">
      <c r="A419" s="5" t="str">
        <f>IFNA(VLOOKUP(D419,'Location Table'!A:C,2,false),"")</f>
        <v>3537446e-15a4-11ee-bf00-506b8dbc8dfb</v>
      </c>
      <c r="B419" s="5" t="str">
        <f>IFNA(VLOOKUP(F419,Driver!A:C,2,false),"")</f>
        <v>b74e3178-7caf-11f0-a9c3-506b8d982279</v>
      </c>
      <c r="C419" s="5" t="str">
        <f>IFNA(VLOOKUP(E419,'Location Table'!A:C,2,false),"")</f>
        <v/>
      </c>
      <c r="D419" s="6" t="s">
        <v>463</v>
      </c>
      <c r="E419" s="6"/>
      <c r="F419" s="6" t="s">
        <v>326</v>
      </c>
      <c r="G419" s="7" t="str">
        <f>IFNA(VLOOKUP(F419,Driver!A:D,4,false),"")</f>
        <v>2160130926882687325:VSRHFZoYrhhtnecmAaOfmgvaKlfxBZEgxFxSbLPTAhfVwurTuJfQgOTrwyseeqJQ</v>
      </c>
      <c r="H419" s="8" t="str">
        <f>IFNA(VLOOKUP(F419,Driver!A:C,3,false),"")</f>
        <v>473ef1d8329bdbc5828a</v>
      </c>
      <c r="I419" s="9">
        <v>0.2916666666666667</v>
      </c>
      <c r="J419" s="9">
        <v>0.6666666666666666</v>
      </c>
      <c r="K419" s="9"/>
    </row>
    <row r="420" hidden="1">
      <c r="A420" s="5" t="str">
        <f>IFNA(VLOOKUP(D420,'Location Table'!A:C,2,false),"")</f>
        <v>544395bc-a191-11f0-8165-506b8d982279</v>
      </c>
      <c r="B420" s="5" t="str">
        <f>IFNA(VLOOKUP(F420,Driver!A:C,2,false),"")</f>
        <v>51b847ba-37cd-11ed-a5f6-506b8dbc8dfb</v>
      </c>
      <c r="C420" s="5" t="str">
        <f>IFNA(VLOOKUP(E420,'Location Table'!A:C,2,false),"")</f>
        <v/>
      </c>
      <c r="D420" s="6" t="s">
        <v>464</v>
      </c>
      <c r="E420" s="6"/>
      <c r="F420" s="6" t="s">
        <v>94</v>
      </c>
      <c r="G420" s="7" t="str">
        <f>IFNA(VLOOKUP(F420,Driver!A:D,4,false),"")</f>
        <v>1980698793628880414:XXMGIAegigeHesHcPUQpIcnMCwhigvPUATFrPyRHiqIZqTwmvWiXbUzfDhivxPcl</v>
      </c>
      <c r="H420" s="8" t="str">
        <f>IFNA(VLOOKUP(F420,Driver!A:C,3,false),"")</f>
        <v>3d1fec9027dcce8297cd</v>
      </c>
      <c r="I420" s="9">
        <v>0.2916666666666667</v>
      </c>
      <c r="J420" s="9">
        <v>0.6666666666666666</v>
      </c>
      <c r="K420" s="9"/>
    </row>
    <row r="421" hidden="1">
      <c r="A421" s="5" t="str">
        <f>IFNA(VLOOKUP(D421,'Location Table'!A:C,2,false),"")</f>
        <v>0f249710-bc37-11ee-a241-506b8d9879b5</v>
      </c>
      <c r="B421" s="5" t="str">
        <f>IFNA(VLOOKUP(F421,Driver!A:C,2,false),"")</f>
        <v>f5993946-37cf-11ed-a3fc-506b8dbc8dfb</v>
      </c>
      <c r="C421" s="5" t="str">
        <f>IFNA(VLOOKUP(E421,'Location Table'!A:C,2,false),"")</f>
        <v/>
      </c>
      <c r="D421" s="6" t="s">
        <v>465</v>
      </c>
      <c r="E421" s="6"/>
      <c r="F421" s="6" t="s">
        <v>314</v>
      </c>
      <c r="G421" s="7" t="str">
        <f>IFNA(VLOOKUP(F421,Driver!A:D,4,false),"")</f>
        <v/>
      </c>
      <c r="H421" s="8" t="str">
        <f>IFNA(VLOOKUP(F421,Driver!A:C,3,false),"")</f>
        <v/>
      </c>
      <c r="I421" s="9">
        <v>0.2916666666666667</v>
      </c>
      <c r="J421" s="9">
        <v>0.6666666666666666</v>
      </c>
      <c r="K421" s="9"/>
    </row>
    <row r="422" hidden="1">
      <c r="A422" s="5" t="str">
        <f>IFNA(VLOOKUP(D422,'Location Table'!A:C,2,false),"")</f>
        <v>4a2a0bca-776f-11f0-84a1-506b8d982279</v>
      </c>
      <c r="B422" s="5" t="str">
        <f>IFNA(VLOOKUP(F422,Driver!A:C,2,false),"")</f>
        <v>41ea8512-2e70-11f1-9378-fa163ee8d8ac</v>
      </c>
      <c r="C422" s="5" t="str">
        <f>IFNA(VLOOKUP(E422,'Location Table'!A:C,2,false),"")</f>
        <v/>
      </c>
      <c r="D422" s="6" t="s">
        <v>466</v>
      </c>
      <c r="E422" s="6"/>
      <c r="F422" s="10" t="s">
        <v>35</v>
      </c>
      <c r="G422" s="7" t="str">
        <f>IFNA(VLOOKUP(F422,Driver!A:D,4,false),"")</f>
        <v/>
      </c>
      <c r="H422" s="8" t="str">
        <f>IFNA(VLOOKUP(F422,Driver!A:C,3,false),"")</f>
        <v/>
      </c>
      <c r="I422" s="9">
        <v>0.2916666666666667</v>
      </c>
      <c r="J422" s="9">
        <v>0.75</v>
      </c>
      <c r="K422" s="9"/>
    </row>
    <row r="423" hidden="1">
      <c r="A423" s="5" t="str">
        <f>IFNA(VLOOKUP(D423,'Location Table'!A:C,2,false),"")</f>
        <v>2a66cc5e-1594-11ee-bea6-506b8dbc8dfb</v>
      </c>
      <c r="B423" s="5" t="str">
        <f>IFNA(VLOOKUP(F423,Driver!A:C,2,false),"")</f>
        <v>c2cc021a-35a3-11ed-bd3c-506b8dbc8dfb</v>
      </c>
      <c r="C423" s="5" t="str">
        <f>IFNA(VLOOKUP(E423,'Location Table'!A:C,2,false),"")</f>
        <v/>
      </c>
      <c r="D423" s="6" t="s">
        <v>467</v>
      </c>
      <c r="E423" s="6"/>
      <c r="F423" s="6" t="s">
        <v>468</v>
      </c>
      <c r="G423" s="7" t="str">
        <f>IFNA(VLOOKUP(F423,Driver!A:D,4,false),"")</f>
        <v>1980698793628880414:XXMGIAegigeHesHcPUQpIcnMCwhigvPUATFrPyRHiqIZqTwmvWiXbUzfDhivxPcl</v>
      </c>
      <c r="H423" s="8" t="str">
        <f>IFNA(VLOOKUP(F423,Driver!A:C,3,false),"")</f>
        <v>859d14288b6b62353b7a</v>
      </c>
      <c r="I423" s="9">
        <v>0.2916666666666667</v>
      </c>
      <c r="J423" s="9">
        <v>0.5833333333333334</v>
      </c>
      <c r="K423" s="9"/>
    </row>
    <row r="424" hidden="1">
      <c r="A424" s="5" t="str">
        <f>IFNA(VLOOKUP(D424,'Location Table'!A:C,2,false),"")</f>
        <v>0d52804c-95b1-11ef-a68d-506b8d9879b5</v>
      </c>
      <c r="B424" s="5" t="str">
        <f>IFNA(VLOOKUP(F424,Driver!A:C,2,false),"")</f>
        <v>f61678a4-3656-11ed-9310-506b8dbc8dfb</v>
      </c>
      <c r="C424" s="5" t="str">
        <f>IFNA(VLOOKUP(E424,'Location Table'!A:C,2,false),"")</f>
        <v/>
      </c>
      <c r="D424" s="6" t="s">
        <v>469</v>
      </c>
      <c r="E424" s="6"/>
      <c r="F424" s="6" t="s">
        <v>470</v>
      </c>
      <c r="G424" s="7" t="str">
        <f>IFNA(VLOOKUP(F424,Driver!A:D,4,false),"")</f>
        <v>2160130926882687325:VSRHFZoYrhhtnecmAaOfmgvaKlfxBZEgxFxSbLPTAhfVwurTuJfQgOTrwyseeqJQ</v>
      </c>
      <c r="H424" s="8" t="str">
        <f>IFNA(VLOOKUP(F424,Driver!A:C,3,false),"")</f>
        <v>551b71e8ffa616f84fb7</v>
      </c>
      <c r="I424" s="9">
        <v>0.5833333333333334</v>
      </c>
      <c r="J424" s="9">
        <v>0.75</v>
      </c>
      <c r="K424" s="9"/>
    </row>
    <row r="425" hidden="1">
      <c r="A425" s="5" t="str">
        <f>IFNA(VLOOKUP(D425,'Location Table'!A:C,2,false),"")</f>
        <v>ec4bb76e-8b76-11ee-909c-506b8d9879b5</v>
      </c>
      <c r="B425" s="5" t="str">
        <f>IFNA(VLOOKUP(F425,Driver!A:C,2,false),"")</f>
        <v>41ea8512-2e70-11f1-9378-fa163ee8d8ac</v>
      </c>
      <c r="C425" s="5" t="str">
        <f>IFNA(VLOOKUP(E425,'Location Table'!A:C,2,false),"")</f>
        <v/>
      </c>
      <c r="D425" s="6" t="s">
        <v>471</v>
      </c>
      <c r="E425" s="6"/>
      <c r="F425" s="10" t="s">
        <v>35</v>
      </c>
      <c r="G425" s="7" t="str">
        <f>IFNA(VLOOKUP(F425,Driver!A:D,4,false),"")</f>
        <v/>
      </c>
      <c r="H425" s="8" t="str">
        <f>IFNA(VLOOKUP(F425,Driver!A:C,3,false),"")</f>
        <v/>
      </c>
      <c r="I425" s="9">
        <v>0.2916666666666667</v>
      </c>
      <c r="J425" s="9">
        <v>0.75</v>
      </c>
      <c r="K425" s="9"/>
    </row>
    <row r="426" hidden="1">
      <c r="A426" s="5" t="str">
        <f>IFNA(VLOOKUP(D426,'Location Table'!A:C,2,false),"")</f>
        <v>1c2f6a70-14c1-11ee-aef1-506b8dbc8dfb</v>
      </c>
      <c r="B426" s="5" t="str">
        <f>IFNA(VLOOKUP(F426,Driver!A:C,2,false),"")</f>
        <v>a01fefe6-3653-11ed-8128-506b8dbc8dfb</v>
      </c>
      <c r="C426" s="5" t="str">
        <f>IFNA(VLOOKUP(E426,'Location Table'!A:C,2,false),"")</f>
        <v/>
      </c>
      <c r="D426" s="6" t="s">
        <v>472</v>
      </c>
      <c r="E426" s="6"/>
      <c r="F426" s="6" t="s">
        <v>128</v>
      </c>
      <c r="G426" s="7" t="str">
        <f>IFNA(VLOOKUP(F426,Driver!A:D,4,false),"")</f>
        <v/>
      </c>
      <c r="H426" s="8" t="str">
        <f>IFNA(VLOOKUP(F426,Driver!A:C,3,false),"")</f>
        <v/>
      </c>
      <c r="I426" s="9">
        <v>0.2916666666666667</v>
      </c>
      <c r="J426" s="9">
        <v>0.5</v>
      </c>
      <c r="K426" s="9"/>
    </row>
    <row r="427" hidden="1">
      <c r="A427" s="5" t="str">
        <f>IFNA(VLOOKUP(D427,'Location Table'!A:C,2,false),"")</f>
        <v>3c422a6c-2e3e-11f0-88f0-506b8d982279</v>
      </c>
      <c r="B427" s="5" t="str">
        <f>IFNA(VLOOKUP(F427,Driver!A:C,2,false),"")</f>
        <v>a01fefe6-3653-11ed-8128-506b8dbc8dfb</v>
      </c>
      <c r="C427" s="5" t="str">
        <f>IFNA(VLOOKUP(E427,'Location Table'!A:C,2,false),"")</f>
        <v/>
      </c>
      <c r="D427" s="6" t="s">
        <v>473</v>
      </c>
      <c r="E427" s="6"/>
      <c r="F427" s="6" t="s">
        <v>128</v>
      </c>
      <c r="G427" s="7" t="str">
        <f>IFNA(VLOOKUP(F427,Driver!A:D,4,false),"")</f>
        <v/>
      </c>
      <c r="H427" s="8" t="str">
        <f>IFNA(VLOOKUP(F427,Driver!A:C,3,false),"")</f>
        <v/>
      </c>
      <c r="I427" s="9">
        <v>0.2916666666666667</v>
      </c>
      <c r="J427" s="9">
        <v>0.5</v>
      </c>
      <c r="K427" s="9"/>
    </row>
    <row r="428" hidden="1">
      <c r="A428" s="5" t="str">
        <f>IFNA(VLOOKUP(D428,'Location Table'!A:C,2,false),"")</f>
        <v>c543ce02-051c-11ef-9692-506b8d9879b5</v>
      </c>
      <c r="B428" s="5" t="str">
        <f>IFNA(VLOOKUP(F428,Driver!A:C,2,false),"")</f>
        <v>a9bf91b4-00e4-11f1-9378-fa163ee8d8ac</v>
      </c>
      <c r="C428" s="5" t="str">
        <f>IFNA(VLOOKUP(E428,'Location Table'!A:C,2,false),"")</f>
        <v/>
      </c>
      <c r="D428" s="6" t="s">
        <v>474</v>
      </c>
      <c r="E428" s="6"/>
      <c r="F428" s="6" t="s">
        <v>142</v>
      </c>
      <c r="G428" s="7" t="str">
        <f>IFNA(VLOOKUP(F428,Driver!A:D,4,false),"")</f>
        <v/>
      </c>
      <c r="H428" s="8" t="str">
        <f>IFNA(VLOOKUP(F428,Driver!A:C,3,false),"")</f>
        <v/>
      </c>
      <c r="I428" s="9">
        <v>0.2916666666666667</v>
      </c>
      <c r="J428" s="9">
        <v>0.5</v>
      </c>
      <c r="K428" s="9"/>
    </row>
    <row r="429" hidden="1">
      <c r="A429" s="5" t="str">
        <f>IFNA(VLOOKUP(D429,'Location Table'!A:C,2,false),"")</f>
        <v>865f5ec8-a16f-11ef-9efd-506b8d9879b5</v>
      </c>
      <c r="B429" s="5" t="str">
        <f>IFNA(VLOOKUP(F429,Driver!A:C,2,false),"")</f>
        <v>a01fefe6-3653-11ed-8128-506b8dbc8dfb</v>
      </c>
      <c r="C429" s="5" t="str">
        <f>IFNA(VLOOKUP(E429,'Location Table'!A:C,2,false),"")</f>
        <v/>
      </c>
      <c r="D429" s="6" t="s">
        <v>475</v>
      </c>
      <c r="E429" s="6"/>
      <c r="F429" s="6" t="s">
        <v>128</v>
      </c>
      <c r="G429" s="7" t="str">
        <f>IFNA(VLOOKUP(F429,Driver!A:D,4,false),"")</f>
        <v/>
      </c>
      <c r="H429" s="8" t="str">
        <f>IFNA(VLOOKUP(F429,Driver!A:C,3,false),"")</f>
        <v/>
      </c>
      <c r="I429" s="9">
        <v>0.2916666666666667</v>
      </c>
      <c r="J429" s="9">
        <v>0.5</v>
      </c>
      <c r="K429" s="9"/>
    </row>
    <row r="430" hidden="1">
      <c r="A430" s="5" t="str">
        <f>IFNA(VLOOKUP(D430,'Location Table'!A:C,2,false),"")</f>
        <v>a152221e-1c74-11ee-a1ed-506b8d9879b5</v>
      </c>
      <c r="B430" s="5" t="str">
        <f>IFNA(VLOOKUP(F430,Driver!A:C,2,false),"")</f>
        <v>a01fefe6-3653-11ed-8128-506b8dbc8dfb</v>
      </c>
      <c r="C430" s="5" t="str">
        <f>IFNA(VLOOKUP(E430,'Location Table'!A:C,2,false),"")</f>
        <v/>
      </c>
      <c r="D430" s="6" t="s">
        <v>476</v>
      </c>
      <c r="E430" s="6"/>
      <c r="F430" s="6" t="s">
        <v>128</v>
      </c>
      <c r="G430" s="7" t="str">
        <f>IFNA(VLOOKUP(F430,Driver!A:D,4,false),"")</f>
        <v/>
      </c>
      <c r="H430" s="8" t="str">
        <f>IFNA(VLOOKUP(F430,Driver!A:C,3,false),"")</f>
        <v/>
      </c>
      <c r="I430" s="9">
        <v>0.2916666666666667</v>
      </c>
      <c r="J430" s="9">
        <v>0.5</v>
      </c>
      <c r="K430" s="9"/>
    </row>
    <row r="431" hidden="1">
      <c r="A431" s="5" t="str">
        <f>IFNA(VLOOKUP(D431,'Location Table'!A:C,2,false),"")</f>
        <v>348b9524-c034-11ef-9e8b-506b8d9879b5</v>
      </c>
      <c r="B431" s="5" t="str">
        <f>IFNA(VLOOKUP(F431,Driver!A:C,2,false),"")</f>
        <v>a9bf91b4-00e4-11f1-9378-fa163ee8d8ac</v>
      </c>
      <c r="C431" s="5" t="str">
        <f>IFNA(VLOOKUP(E431,'Location Table'!A:C,2,false),"")</f>
        <v/>
      </c>
      <c r="D431" s="6" t="s">
        <v>477</v>
      </c>
      <c r="E431" s="6"/>
      <c r="F431" s="6" t="s">
        <v>142</v>
      </c>
      <c r="G431" s="7" t="str">
        <f>IFNA(VLOOKUP(F431,Driver!A:D,4,false),"")</f>
        <v/>
      </c>
      <c r="H431" s="8" t="str">
        <f>IFNA(VLOOKUP(F431,Driver!A:C,3,false),"")</f>
        <v/>
      </c>
      <c r="I431" s="9">
        <v>0.2916666666666667</v>
      </c>
      <c r="J431" s="9">
        <v>0.5</v>
      </c>
      <c r="K431" s="9"/>
    </row>
    <row r="432" hidden="1">
      <c r="A432" s="5" t="str">
        <f>IFNA(VLOOKUP(D432,'Location Table'!A:C,2,false),"")</f>
        <v>25a3a9f6-5a22-11f0-8592-506b8d982279</v>
      </c>
      <c r="B432" s="5" t="str">
        <f>IFNA(VLOOKUP(F432,Driver!A:C,2,false),"")</f>
        <v>a9bf91b4-00e4-11f1-9378-fa163ee8d8ac</v>
      </c>
      <c r="C432" s="5" t="str">
        <f>IFNA(VLOOKUP(E432,'Location Table'!A:C,2,false),"")</f>
        <v/>
      </c>
      <c r="D432" s="6" t="s">
        <v>478</v>
      </c>
      <c r="E432" s="6"/>
      <c r="F432" s="6" t="s">
        <v>142</v>
      </c>
      <c r="G432" s="7" t="str">
        <f>IFNA(VLOOKUP(F432,Driver!A:D,4,false),"")</f>
        <v/>
      </c>
      <c r="H432" s="8" t="str">
        <f>IFNA(VLOOKUP(F432,Driver!A:C,3,false),"")</f>
        <v/>
      </c>
      <c r="I432" s="9">
        <v>0.2916666666666667</v>
      </c>
      <c r="J432" s="9">
        <v>0.5</v>
      </c>
      <c r="K432" s="9"/>
    </row>
    <row r="433" hidden="1">
      <c r="A433" s="5" t="str">
        <f>IFNA(VLOOKUP(D433,'Location Table'!A:C,2,false),"")</f>
        <v>9d84404a-766d-11f0-9777-506b8d982279</v>
      </c>
      <c r="B433" s="5" t="str">
        <f>IFNA(VLOOKUP(F433,Driver!A:C,2,false),"")</f>
        <v>232be490-35a4-11ed-88b7-506b8dbc8dfb</v>
      </c>
      <c r="C433" s="5" t="str">
        <f>IFNA(VLOOKUP(E433,'Location Table'!A:C,2,false),"")</f>
        <v/>
      </c>
      <c r="D433" s="6" t="s">
        <v>479</v>
      </c>
      <c r="E433" s="6"/>
      <c r="F433" s="6" t="s">
        <v>110</v>
      </c>
      <c r="G433" s="7" t="str">
        <f>IFNA(VLOOKUP(F433,Driver!A:D,4,false),"")</f>
        <v>2160130926882687325:VSRHFZoYrhhtnecmAaOfmgvaKlfxBZEgxFxSbLPTAhfVwurTuJfQgOTrwyseeqJQ</v>
      </c>
      <c r="H433" s="8" t="str">
        <f>IFNA(VLOOKUP(F433,Driver!A:C,3,false),"")</f>
        <v>d9fc37dd4093a9cdf082</v>
      </c>
      <c r="I433" s="9">
        <v>0.2916666666666667</v>
      </c>
      <c r="J433" s="9">
        <v>0.6666666666666666</v>
      </c>
      <c r="K433" s="9"/>
    </row>
    <row r="434" hidden="1">
      <c r="A434" s="5" t="str">
        <f>IFNA(VLOOKUP(D434,'Location Table'!A:C,2,false),"")</f>
        <v>d220372a-71ed-11f0-a7df-506b8d982279</v>
      </c>
      <c r="B434" s="5" t="str">
        <f>IFNA(VLOOKUP(F434,Driver!A:C,2,false),"")</f>
        <v>232be490-35a4-11ed-88b7-506b8dbc8dfb</v>
      </c>
      <c r="C434" s="5" t="str">
        <f>IFNA(VLOOKUP(E434,'Location Table'!A:C,2,false),"")</f>
        <v/>
      </c>
      <c r="D434" s="6" t="s">
        <v>480</v>
      </c>
      <c r="E434" s="6"/>
      <c r="F434" s="6" t="s">
        <v>110</v>
      </c>
      <c r="G434" s="7" t="str">
        <f>IFNA(VLOOKUP(F434,Driver!A:D,4,false),"")</f>
        <v>2160130926882687325:VSRHFZoYrhhtnecmAaOfmgvaKlfxBZEgxFxSbLPTAhfVwurTuJfQgOTrwyseeqJQ</v>
      </c>
      <c r="H434" s="8" t="str">
        <f>IFNA(VLOOKUP(F434,Driver!A:C,3,false),"")</f>
        <v>d9fc37dd4093a9cdf082</v>
      </c>
      <c r="I434" s="9">
        <v>0.2916666666666667</v>
      </c>
      <c r="J434" s="9">
        <v>0.6666666666666666</v>
      </c>
      <c r="K434" s="9"/>
    </row>
    <row r="435" hidden="1">
      <c r="A435" s="5" t="str">
        <f>IFNA(VLOOKUP(D435,'Location Table'!A:C,2,false),"")</f>
        <v>9e804122-4a03-11ed-a843-506b8dbc8dfb</v>
      </c>
      <c r="B435" s="5" t="str">
        <f>IFNA(VLOOKUP(F435,Driver!A:C,2,false),"")</f>
        <v>232be490-35a4-11ed-88b7-506b8dbc8dfb</v>
      </c>
      <c r="C435" s="5" t="str">
        <f>IFNA(VLOOKUP(E435,'Location Table'!A:C,2,false),"")</f>
        <v/>
      </c>
      <c r="D435" s="6" t="s">
        <v>481</v>
      </c>
      <c r="E435" s="6"/>
      <c r="F435" s="6" t="s">
        <v>110</v>
      </c>
      <c r="G435" s="7" t="str">
        <f>IFNA(VLOOKUP(F435,Driver!A:D,4,false),"")</f>
        <v>2160130926882687325:VSRHFZoYrhhtnecmAaOfmgvaKlfxBZEgxFxSbLPTAhfVwurTuJfQgOTrwyseeqJQ</v>
      </c>
      <c r="H435" s="8" t="str">
        <f>IFNA(VLOOKUP(F435,Driver!A:C,3,false),"")</f>
        <v>d9fc37dd4093a9cdf082</v>
      </c>
      <c r="I435" s="9">
        <v>0.2916666666666667</v>
      </c>
      <c r="J435" s="9">
        <v>0.6666666666666666</v>
      </c>
      <c r="K435" s="9"/>
    </row>
    <row r="436" hidden="1">
      <c r="A436" s="5" t="str">
        <f>IFNA(VLOOKUP(D436,'Location Table'!A:C,2,false),"")</f>
        <v>b4d7bbf4-2d3f-11f0-9f74-506b8d982279</v>
      </c>
      <c r="B436" s="5" t="str">
        <f>IFNA(VLOOKUP(F436,Driver!A:C,2,false),"")</f>
        <v>232be490-35a4-11ed-88b7-506b8dbc8dfb</v>
      </c>
      <c r="C436" s="5" t="str">
        <f>IFNA(VLOOKUP(E436,'Location Table'!A:C,2,false),"")</f>
        <v/>
      </c>
      <c r="D436" s="6" t="s">
        <v>482</v>
      </c>
      <c r="E436" s="6"/>
      <c r="F436" s="6" t="s">
        <v>110</v>
      </c>
      <c r="G436" s="7" t="str">
        <f>IFNA(VLOOKUP(F436,Driver!A:D,4,false),"")</f>
        <v>2160130926882687325:VSRHFZoYrhhtnecmAaOfmgvaKlfxBZEgxFxSbLPTAhfVwurTuJfQgOTrwyseeqJQ</v>
      </c>
      <c r="H436" s="8" t="str">
        <f>IFNA(VLOOKUP(F436,Driver!A:C,3,false),"")</f>
        <v>d9fc37dd4093a9cdf082</v>
      </c>
      <c r="I436" s="9">
        <v>0.2916666666666667</v>
      </c>
      <c r="J436" s="9">
        <v>0.6666666666666666</v>
      </c>
      <c r="K436" s="9"/>
    </row>
    <row r="437" hidden="1">
      <c r="A437" s="5" t="str">
        <f>IFNA(VLOOKUP(D437,'Location Table'!A:C,2,false),"")</f>
        <v>86916f9c-f378-11f0-9378-fa163ee8d8ac</v>
      </c>
      <c r="B437" s="5" t="str">
        <f>IFNA(VLOOKUP(F437,Driver!A:C,2,false),"")</f>
        <v>232be490-35a4-11ed-88b7-506b8dbc8dfb</v>
      </c>
      <c r="C437" s="5" t="str">
        <f>IFNA(VLOOKUP(E437,'Location Table'!A:C,2,false),"")</f>
        <v/>
      </c>
      <c r="D437" s="6" t="s">
        <v>483</v>
      </c>
      <c r="E437" s="6"/>
      <c r="F437" s="6" t="s">
        <v>110</v>
      </c>
      <c r="G437" s="7" t="str">
        <f>IFNA(VLOOKUP(F437,Driver!A:D,4,false),"")</f>
        <v>2160130926882687325:VSRHFZoYrhhtnecmAaOfmgvaKlfxBZEgxFxSbLPTAhfVwurTuJfQgOTrwyseeqJQ</v>
      </c>
      <c r="H437" s="8" t="str">
        <f>IFNA(VLOOKUP(F437,Driver!A:C,3,false),"")</f>
        <v>d9fc37dd4093a9cdf082</v>
      </c>
      <c r="I437" s="9">
        <v>0.2916666666666667</v>
      </c>
      <c r="J437" s="9">
        <v>0.6666666666666666</v>
      </c>
      <c r="K437" s="9"/>
    </row>
    <row r="438" hidden="1">
      <c r="A438" s="5" t="str">
        <f>IFNA(VLOOKUP(D438,'Location Table'!A:C,2,false),"")</f>
        <v>3a86599e-127f-11f0-a16b-506b8d982279</v>
      </c>
      <c r="B438" s="5" t="str">
        <f>IFNA(VLOOKUP(F438,Driver!A:C,2,false),"")</f>
        <v>232be490-35a4-11ed-88b7-506b8dbc8dfb</v>
      </c>
      <c r="C438" s="5" t="str">
        <f>IFNA(VLOOKUP(E438,'Location Table'!A:C,2,false),"")</f>
        <v/>
      </c>
      <c r="D438" s="6" t="s">
        <v>484</v>
      </c>
      <c r="E438" s="6"/>
      <c r="F438" s="6" t="s">
        <v>110</v>
      </c>
      <c r="G438" s="7" t="str">
        <f>IFNA(VLOOKUP(F438,Driver!A:D,4,false),"")</f>
        <v>2160130926882687325:VSRHFZoYrhhtnecmAaOfmgvaKlfxBZEgxFxSbLPTAhfVwurTuJfQgOTrwyseeqJQ</v>
      </c>
      <c r="H438" s="8" t="str">
        <f>IFNA(VLOOKUP(F438,Driver!A:C,3,false),"")</f>
        <v>d9fc37dd4093a9cdf082</v>
      </c>
      <c r="I438" s="9">
        <v>0.2916666666666667</v>
      </c>
      <c r="J438" s="9">
        <v>0.6666666666666666</v>
      </c>
      <c r="K438" s="9"/>
    </row>
    <row r="439" hidden="1">
      <c r="A439" s="5" t="str">
        <f>IFNA(VLOOKUP(D439,'Location Table'!A:C,2,false),"")</f>
        <v>5c78d8c6-887a-11f0-92fa-506b8d982279</v>
      </c>
      <c r="B439" s="5" t="str">
        <f>IFNA(VLOOKUP(F439,Driver!A:C,2,false),"")</f>
        <v>232be490-35a4-11ed-88b7-506b8dbc8dfb</v>
      </c>
      <c r="C439" s="5" t="str">
        <f>IFNA(VLOOKUP(E439,'Location Table'!A:C,2,false),"")</f>
        <v/>
      </c>
      <c r="D439" s="6" t="s">
        <v>485</v>
      </c>
      <c r="E439" s="6"/>
      <c r="F439" s="6" t="s">
        <v>110</v>
      </c>
      <c r="G439" s="7" t="str">
        <f>IFNA(VLOOKUP(F439,Driver!A:D,4,false),"")</f>
        <v>2160130926882687325:VSRHFZoYrhhtnecmAaOfmgvaKlfxBZEgxFxSbLPTAhfVwurTuJfQgOTrwyseeqJQ</v>
      </c>
      <c r="H439" s="8" t="str">
        <f>IFNA(VLOOKUP(F439,Driver!A:C,3,false),"")</f>
        <v>d9fc37dd4093a9cdf082</v>
      </c>
      <c r="I439" s="9">
        <v>0.2916666666666667</v>
      </c>
      <c r="J439" s="9">
        <v>0.6666666666666666</v>
      </c>
      <c r="K439" s="9"/>
    </row>
    <row r="440" hidden="1">
      <c r="A440" s="5" t="str">
        <f>IFNA(VLOOKUP(D440,'Location Table'!A:C,2,false),"")</f>
        <v>b9c0d130-65e5-11f0-afb8-506b8d982279</v>
      </c>
      <c r="B440" s="5" t="str">
        <f>IFNA(VLOOKUP(F440,Driver!A:C,2,false),"")</f>
        <v>232be490-35a4-11ed-88b7-506b8dbc8dfb</v>
      </c>
      <c r="C440" s="5" t="str">
        <f>IFNA(VLOOKUP(E440,'Location Table'!A:C,2,false),"")</f>
        <v/>
      </c>
      <c r="D440" s="6" t="s">
        <v>486</v>
      </c>
      <c r="E440" s="6"/>
      <c r="F440" s="6" t="s">
        <v>110</v>
      </c>
      <c r="G440" s="7" t="str">
        <f>IFNA(VLOOKUP(F440,Driver!A:D,4,false),"")</f>
        <v>2160130926882687325:VSRHFZoYrhhtnecmAaOfmgvaKlfxBZEgxFxSbLPTAhfVwurTuJfQgOTrwyseeqJQ</v>
      </c>
      <c r="H440" s="8" t="str">
        <f>IFNA(VLOOKUP(F440,Driver!A:C,3,false),"")</f>
        <v>d9fc37dd4093a9cdf082</v>
      </c>
      <c r="I440" s="9">
        <v>0.2916666666666667</v>
      </c>
      <c r="J440" s="9">
        <v>0.6666666666666666</v>
      </c>
      <c r="K440" s="9"/>
    </row>
    <row r="441" hidden="1">
      <c r="A441" s="5" t="str">
        <f>IFNA(VLOOKUP(D441,'Location Table'!A:C,2,false),"")</f>
        <v>8b214fbe-cb29-11ef-adf4-506b8d9879b5</v>
      </c>
      <c r="B441" s="5" t="str">
        <f>IFNA(VLOOKUP(F441,Driver!A:C,2,false),"")</f>
        <v>232be490-35a4-11ed-88b7-506b8dbc8dfb</v>
      </c>
      <c r="C441" s="5" t="str">
        <f>IFNA(VLOOKUP(E441,'Location Table'!A:C,2,false),"")</f>
        <v/>
      </c>
      <c r="D441" s="6" t="s">
        <v>487</v>
      </c>
      <c r="E441" s="6"/>
      <c r="F441" s="6" t="s">
        <v>110</v>
      </c>
      <c r="G441" s="7" t="str">
        <f>IFNA(VLOOKUP(F441,Driver!A:D,4,false),"")</f>
        <v>2160130926882687325:VSRHFZoYrhhtnecmAaOfmgvaKlfxBZEgxFxSbLPTAhfVwurTuJfQgOTrwyseeqJQ</v>
      </c>
      <c r="H441" s="8" t="str">
        <f>IFNA(VLOOKUP(F441,Driver!A:C,3,false),"")</f>
        <v>d9fc37dd4093a9cdf082</v>
      </c>
      <c r="I441" s="9">
        <v>0.2916666666666667</v>
      </c>
      <c r="J441" s="9">
        <v>0.6666666666666666</v>
      </c>
      <c r="K441" s="9"/>
    </row>
    <row r="442" hidden="1">
      <c r="A442" s="5" t="str">
        <f>IFNA(VLOOKUP(D442,'Location Table'!A:C,2,false),"")</f>
        <v>043ae9d6-2be8-11f0-82f9-506b8d982279</v>
      </c>
      <c r="B442" s="5" t="str">
        <f>IFNA(VLOOKUP(F442,Driver!A:C,2,false),"")</f>
        <v>232be490-35a4-11ed-88b7-506b8dbc8dfb</v>
      </c>
      <c r="C442" s="5" t="str">
        <f>IFNA(VLOOKUP(E442,'Location Table'!A:C,2,false),"")</f>
        <v/>
      </c>
      <c r="D442" s="6" t="s">
        <v>488</v>
      </c>
      <c r="E442" s="6"/>
      <c r="F442" s="6" t="s">
        <v>110</v>
      </c>
      <c r="G442" s="7" t="str">
        <f>IFNA(VLOOKUP(F442,Driver!A:D,4,false),"")</f>
        <v>2160130926882687325:VSRHFZoYrhhtnecmAaOfmgvaKlfxBZEgxFxSbLPTAhfVwurTuJfQgOTrwyseeqJQ</v>
      </c>
      <c r="H442" s="8" t="str">
        <f>IFNA(VLOOKUP(F442,Driver!A:C,3,false),"")</f>
        <v>d9fc37dd4093a9cdf082</v>
      </c>
      <c r="I442" s="9">
        <v>0.2916666666666667</v>
      </c>
      <c r="J442" s="9">
        <v>0.6666666666666666</v>
      </c>
      <c r="K442" s="9"/>
    </row>
    <row r="443" hidden="1">
      <c r="A443" s="5" t="str">
        <f>IFNA(VLOOKUP(D443,'Location Table'!A:C,2,false),"")</f>
        <v>d2229a02-c02f-11f0-951d-506b8d982279</v>
      </c>
      <c r="B443" s="5" t="str">
        <f>IFNA(VLOOKUP(F443,Driver!A:C,2,false),"")</f>
        <v>a01fefe6-3653-11ed-8128-506b8dbc8dfb</v>
      </c>
      <c r="C443" s="5" t="str">
        <f>IFNA(VLOOKUP(E443,'Location Table'!A:C,2,false),"")</f>
        <v/>
      </c>
      <c r="D443" s="6" t="s">
        <v>489</v>
      </c>
      <c r="E443" s="6"/>
      <c r="F443" s="6" t="s">
        <v>128</v>
      </c>
      <c r="G443" s="7" t="str">
        <f>IFNA(VLOOKUP(F443,Driver!A:D,4,false),"")</f>
        <v/>
      </c>
      <c r="H443" s="8" t="str">
        <f>IFNA(VLOOKUP(F443,Driver!A:C,3,false),"")</f>
        <v/>
      </c>
      <c r="I443" s="9">
        <v>0.2916666666666667</v>
      </c>
      <c r="J443" s="9">
        <v>0.5</v>
      </c>
      <c r="K443" s="9"/>
    </row>
    <row r="444" hidden="1">
      <c r="A444" s="5" t="str">
        <f>IFNA(VLOOKUP(D444,'Location Table'!A:C,2,false),"")</f>
        <v>c53f193c-f73e-11f0-9378-fa163ee8d8ac</v>
      </c>
      <c r="B444" s="5" t="str">
        <f>IFNA(VLOOKUP(F444,Driver!A:C,2,false),"")</f>
        <v>232be490-35a4-11ed-88b7-506b8dbc8dfb</v>
      </c>
      <c r="C444" s="5" t="str">
        <f>IFNA(VLOOKUP(E444,'Location Table'!A:C,2,false),"")</f>
        <v/>
      </c>
      <c r="D444" s="6" t="s">
        <v>490</v>
      </c>
      <c r="E444" s="6"/>
      <c r="F444" s="6" t="s">
        <v>110</v>
      </c>
      <c r="G444" s="7" t="str">
        <f>IFNA(VLOOKUP(F444,Driver!A:D,4,false),"")</f>
        <v>2160130926882687325:VSRHFZoYrhhtnecmAaOfmgvaKlfxBZEgxFxSbLPTAhfVwurTuJfQgOTrwyseeqJQ</v>
      </c>
      <c r="H444" s="8" t="str">
        <f>IFNA(VLOOKUP(F444,Driver!A:C,3,false),"")</f>
        <v>d9fc37dd4093a9cdf082</v>
      </c>
      <c r="I444" s="9">
        <v>0.2916666666666667</v>
      </c>
      <c r="J444" s="9">
        <v>0.6666666666666666</v>
      </c>
      <c r="K444" s="9"/>
    </row>
    <row r="445" hidden="1">
      <c r="A445" s="5" t="str">
        <f>IFNA(VLOOKUP(D445,'Location Table'!A:C,2,false),"")</f>
        <v>4e6db408-85b7-11ee-8c15-506b8d9879b5</v>
      </c>
      <c r="B445" s="5" t="str">
        <f>IFNA(VLOOKUP(F445,Driver!A:C,2,false),"")</f>
        <v>232be490-35a4-11ed-88b7-506b8dbc8dfb</v>
      </c>
      <c r="C445" s="5" t="str">
        <f>IFNA(VLOOKUP(E445,'Location Table'!A:C,2,false),"")</f>
        <v/>
      </c>
      <c r="D445" s="6" t="s">
        <v>491</v>
      </c>
      <c r="E445" s="6"/>
      <c r="F445" s="6" t="s">
        <v>110</v>
      </c>
      <c r="G445" s="7" t="str">
        <f>IFNA(VLOOKUP(F445,Driver!A:D,4,false),"")</f>
        <v>2160130926882687325:VSRHFZoYrhhtnecmAaOfmgvaKlfxBZEgxFxSbLPTAhfVwurTuJfQgOTrwyseeqJQ</v>
      </c>
      <c r="H445" s="8" t="str">
        <f>IFNA(VLOOKUP(F445,Driver!A:C,3,false),"")</f>
        <v>d9fc37dd4093a9cdf082</v>
      </c>
      <c r="I445" s="9">
        <v>0.2916666666666667</v>
      </c>
      <c r="J445" s="9">
        <v>0.6666666666666666</v>
      </c>
      <c r="K445" s="9"/>
    </row>
    <row r="446" hidden="1">
      <c r="A446" s="5" t="str">
        <f>IFNA(VLOOKUP(D446,'Location Table'!A:C,2,false),"")</f>
        <v>7137d374-94d4-11ef-bdaf-506b8d9879b5</v>
      </c>
      <c r="B446" s="5" t="str">
        <f>IFNA(VLOOKUP(F446,Driver!A:C,2,false),"")</f>
        <v>232be490-35a4-11ed-88b7-506b8dbc8dfb</v>
      </c>
      <c r="C446" s="5" t="str">
        <f>IFNA(VLOOKUP(E446,'Location Table'!A:C,2,false),"")</f>
        <v/>
      </c>
      <c r="D446" s="6" t="s">
        <v>492</v>
      </c>
      <c r="E446" s="6"/>
      <c r="F446" s="6" t="s">
        <v>110</v>
      </c>
      <c r="G446" s="7" t="str">
        <f>IFNA(VLOOKUP(F446,Driver!A:D,4,false),"")</f>
        <v>2160130926882687325:VSRHFZoYrhhtnecmAaOfmgvaKlfxBZEgxFxSbLPTAhfVwurTuJfQgOTrwyseeqJQ</v>
      </c>
      <c r="H446" s="8" t="str">
        <f>IFNA(VLOOKUP(F446,Driver!A:C,3,false),"")</f>
        <v>d9fc37dd4093a9cdf082</v>
      </c>
      <c r="I446" s="9">
        <v>0.2916666666666667</v>
      </c>
      <c r="J446" s="9">
        <v>0.6666666666666666</v>
      </c>
      <c r="K446" s="9"/>
    </row>
    <row r="447" hidden="1">
      <c r="A447" s="5" t="str">
        <f>IFNA(VLOOKUP(D447,'Location Table'!A:C,2,false),"")</f>
        <v>7b081f0c-442b-11ef-9ff8-506b8d9879b5</v>
      </c>
      <c r="B447" s="5" t="str">
        <f>IFNA(VLOOKUP(F447,Driver!A:C,2,false),"")</f>
        <v>660cb676-e32e-11ed-9e6c-506b8dbc8dfb</v>
      </c>
      <c r="C447" s="5" t="str">
        <f>IFNA(VLOOKUP(E447,'Location Table'!A:C,2,false),"")</f>
        <v/>
      </c>
      <c r="D447" s="6" t="s">
        <v>493</v>
      </c>
      <c r="E447" s="6"/>
      <c r="F447" s="6" t="s">
        <v>494</v>
      </c>
      <c r="G447" s="7" t="str">
        <f>IFNA(VLOOKUP(F447,Driver!A:D,4,false),"")</f>
        <v>2160130926882687325:VSRHFZoYrhhtnecmAaOfmgvaKlfxBZEgxFxSbLPTAhfVwurTuJfQgOTrwyseeqJQ</v>
      </c>
      <c r="H447" s="8" t="str">
        <f>IFNA(VLOOKUP(F447,Driver!A:C,3,false),"")</f>
        <v>656e49d39f9a76c42f8b</v>
      </c>
      <c r="I447" s="9">
        <v>0.2916666666666667</v>
      </c>
      <c r="J447" s="9">
        <v>0.75</v>
      </c>
      <c r="K447" s="9"/>
    </row>
    <row r="448" hidden="1">
      <c r="A448" s="5" t="str">
        <f>IFNA(VLOOKUP(D448,'Location Table'!A:C,2,false),"")</f>
        <v>c7059358-2b0c-11f0-967c-506b8d982279</v>
      </c>
      <c r="B448" s="5" t="str">
        <f>IFNA(VLOOKUP(F448,Driver!A:C,2,false),"")</f>
        <v>a9bf91b4-00e4-11f1-9378-fa163ee8d8ac</v>
      </c>
      <c r="C448" s="5" t="str">
        <f>IFNA(VLOOKUP(E448,'Location Table'!A:C,2,false),"")</f>
        <v/>
      </c>
      <c r="D448" s="6" t="s">
        <v>495</v>
      </c>
      <c r="E448" s="6"/>
      <c r="F448" s="6" t="s">
        <v>142</v>
      </c>
      <c r="G448" s="7" t="str">
        <f>IFNA(VLOOKUP(F448,Driver!A:D,4,false),"")</f>
        <v/>
      </c>
      <c r="H448" s="8" t="str">
        <f>IFNA(VLOOKUP(F448,Driver!A:C,3,false),"")</f>
        <v/>
      </c>
      <c r="I448" s="9">
        <v>0.2916666666666667</v>
      </c>
      <c r="J448" s="9">
        <v>0.5</v>
      </c>
      <c r="K448" s="9"/>
    </row>
    <row r="449" hidden="1">
      <c r="A449" s="5" t="str">
        <f>IFNA(VLOOKUP(D449,'Location Table'!A:C,2,false),"")</f>
        <v>51bfb168-446f-11ed-888f-506b8dbc8dfb</v>
      </c>
      <c r="B449" s="5" t="str">
        <f>IFNA(VLOOKUP(F449,Driver!A:C,2,false),"")</f>
        <v>222b5bca-37cf-11ed-bee5-506b8dbc8dfb</v>
      </c>
      <c r="C449" s="5" t="str">
        <f>IFNA(VLOOKUP(E449,'Location Table'!A:C,2,false),"")</f>
        <v/>
      </c>
      <c r="D449" s="6" t="s">
        <v>496</v>
      </c>
      <c r="E449" s="6"/>
      <c r="F449" s="6" t="s">
        <v>446</v>
      </c>
      <c r="G449" s="7" t="str">
        <f>IFNA(VLOOKUP(F449,Driver!A:D,4,false),"")</f>
        <v>1980698793628880414:XXMGIAegigeHesHcPUQpIcnMCwhigvPUATFrPyRHiqIZqTwmvWiXbUzfDhivxPcl</v>
      </c>
      <c r="H449" s="8" t="str">
        <f>IFNA(VLOOKUP(F449,Driver!A:C,3,false),"")</f>
        <v>a258dbc5a48f4dd1149e</v>
      </c>
      <c r="I449" s="9">
        <v>0.2916666666666667</v>
      </c>
      <c r="J449" s="9">
        <v>0.5</v>
      </c>
      <c r="K449" s="9"/>
    </row>
    <row r="450" hidden="1">
      <c r="A450" s="5" t="str">
        <f>IFNA(VLOOKUP(D450,'Location Table'!A:C,2,false),"")</f>
        <v>43db0062-1e38-11ef-b952-506b8d9879b5</v>
      </c>
      <c r="B450" s="5" t="str">
        <f>IFNA(VLOOKUP(F450,Driver!A:C,2,false),"")</f>
        <v>1163ad80-d96e-11f0-b637-506b8d982279</v>
      </c>
      <c r="C450" s="5" t="str">
        <f>IFNA(VLOOKUP(E450,'Location Table'!A:C,2,false),"")</f>
        <v/>
      </c>
      <c r="D450" s="6" t="s">
        <v>497</v>
      </c>
      <c r="E450" s="6"/>
      <c r="F450" s="6" t="s">
        <v>498</v>
      </c>
      <c r="G450" s="7" t="str">
        <f>IFNA(VLOOKUP(F450,Driver!A:D,4,false),"")</f>
        <v>2160130926882687325:VSRHFZoYrhhtnecmAaOfmgvaKlfxBZEgxFxSbLPTAhfVwurTuJfQgOTrwyseeqJQ</v>
      </c>
      <c r="H450" s="8" t="str">
        <f>IFNA(VLOOKUP(F450,Driver!A:C,3,false),"")</f>
        <v>76599ccdde8e37d06e9f</v>
      </c>
      <c r="I450" s="9">
        <v>0.2916666666666667</v>
      </c>
      <c r="J450" s="9">
        <v>0.75</v>
      </c>
      <c r="K450" s="9"/>
    </row>
    <row r="451" hidden="1">
      <c r="A451" s="5" t="str">
        <f>IFNA(VLOOKUP(D451,'Location Table'!A:C,2,false),"")</f>
        <v>8fcd43b2-52dd-11ee-ac1e-506b8d9879b5</v>
      </c>
      <c r="B451" s="5" t="str">
        <f>IFNA(VLOOKUP(F451,Driver!A:C,2,false),"")</f>
        <v>a9bf91b4-00e4-11f1-9378-fa163ee8d8ac</v>
      </c>
      <c r="C451" s="5" t="str">
        <f>IFNA(VLOOKUP(E451,'Location Table'!A:C,2,false),"")</f>
        <v/>
      </c>
      <c r="D451" s="6" t="s">
        <v>499</v>
      </c>
      <c r="E451" s="6"/>
      <c r="F451" s="6" t="s">
        <v>142</v>
      </c>
      <c r="G451" s="7" t="str">
        <f>IFNA(VLOOKUP(F451,Driver!A:D,4,false),"")</f>
        <v/>
      </c>
      <c r="H451" s="8" t="str">
        <f>IFNA(VLOOKUP(F451,Driver!A:C,3,false),"")</f>
        <v/>
      </c>
      <c r="I451" s="9">
        <v>0.2916666666666667</v>
      </c>
      <c r="J451" s="9">
        <v>0.5</v>
      </c>
      <c r="K451" s="9"/>
    </row>
    <row r="452" hidden="1">
      <c r="A452" s="5" t="str">
        <f>IFNA(VLOOKUP(D452,'Location Table'!A:C,2,false),"")</f>
        <v>6aec0b28-c8f2-11ef-a575-506b8d9879b5</v>
      </c>
      <c r="B452" s="5" t="str">
        <f>IFNA(VLOOKUP(F452,Driver!A:C,2,false),"")</f>
        <v>a9bf91b4-00e4-11f1-9378-fa163ee8d8ac</v>
      </c>
      <c r="C452" s="5" t="str">
        <f>IFNA(VLOOKUP(E452,'Location Table'!A:C,2,false),"")</f>
        <v/>
      </c>
      <c r="D452" s="6" t="s">
        <v>500</v>
      </c>
      <c r="E452" s="6"/>
      <c r="F452" s="6" t="s">
        <v>142</v>
      </c>
      <c r="G452" s="7" t="str">
        <f>IFNA(VLOOKUP(F452,Driver!A:D,4,false),"")</f>
        <v/>
      </c>
      <c r="H452" s="8" t="str">
        <f>IFNA(VLOOKUP(F452,Driver!A:C,3,false),"")</f>
        <v/>
      </c>
      <c r="I452" s="9">
        <v>0.2916666666666667</v>
      </c>
      <c r="J452" s="9">
        <v>0.5</v>
      </c>
      <c r="K452" s="9"/>
    </row>
    <row r="453" hidden="1">
      <c r="A453" s="5" t="str">
        <f>IFNA(VLOOKUP(D453,'Location Table'!A:C,2,false),"")</f>
        <v>7565eee6-ba77-11ee-bbec-506b8d9879b5</v>
      </c>
      <c r="B453" s="5" t="str">
        <f>IFNA(VLOOKUP(F453,Driver!A:C,2,false),"")</f>
        <v>103090f4-37c8-11ed-9333-506b8dbc8dfb</v>
      </c>
      <c r="C453" s="5" t="str">
        <f>IFNA(VLOOKUP(E453,'Location Table'!A:C,2,false),"")</f>
        <v/>
      </c>
      <c r="D453" s="6" t="s">
        <v>501</v>
      </c>
      <c r="E453" s="6"/>
      <c r="F453" s="6" t="s">
        <v>130</v>
      </c>
      <c r="G453" s="7" t="str">
        <f>IFNA(VLOOKUP(F453,Driver!A:D,4,false),"")</f>
        <v>2160130926882687325:VSRHFZoYrhhtnecmAaOfmgvaKlfxBZEgxFxSbLPTAhfVwurTuJfQgOTrwyseeqJQ</v>
      </c>
      <c r="H453" s="8" t="str">
        <f>IFNA(VLOOKUP(F453,Driver!A:C,3,false),"")</f>
        <v>77085b30147bfd25a46a</v>
      </c>
      <c r="I453" s="9">
        <v>0.2916666666666667</v>
      </c>
      <c r="J453" s="9">
        <v>0.8541666666666666</v>
      </c>
      <c r="K453" s="9"/>
    </row>
    <row r="454" hidden="1">
      <c r="A454" s="5" t="str">
        <f>IFNA(VLOOKUP(D454,'Location Table'!A:C,2,false),"")</f>
        <v>12b8540a-a008-11f0-a6d4-506b8d982279</v>
      </c>
      <c r="B454" s="5" t="str">
        <f>IFNA(VLOOKUP(F454,Driver!A:C,2,false),"")</f>
        <v>f0937694-37c7-11ed-a013-506b8dbc8dfb</v>
      </c>
      <c r="C454" s="5" t="str">
        <f>IFNA(VLOOKUP(E454,'Location Table'!A:C,2,false),"")</f>
        <v/>
      </c>
      <c r="D454" s="6" t="s">
        <v>502</v>
      </c>
      <c r="E454" s="6"/>
      <c r="F454" s="6" t="s">
        <v>503</v>
      </c>
      <c r="G454" s="7" t="str">
        <f>IFNA(VLOOKUP(F454,Driver!A:D,4,false),"")</f>
        <v/>
      </c>
      <c r="H454" s="8" t="str">
        <f>IFNA(VLOOKUP(F454,Driver!A:C,3,false),"")</f>
        <v/>
      </c>
      <c r="I454" s="9">
        <v>0.2916666666666667</v>
      </c>
      <c r="J454" s="9">
        <v>0.5</v>
      </c>
      <c r="K454" s="9"/>
    </row>
    <row r="455" hidden="1">
      <c r="A455" s="5" t="str">
        <f>IFNA(VLOOKUP(D455,'Location Table'!A:C,2,false),"")</f>
        <v>6f11bae4-b894-11f0-954c-506b8d982279</v>
      </c>
      <c r="B455" s="5" t="str">
        <f>IFNA(VLOOKUP(F455,Driver!A:C,2,false),"")</f>
        <v>f0937694-37c7-11ed-a013-506b8dbc8dfb</v>
      </c>
      <c r="C455" s="5" t="str">
        <f>IFNA(VLOOKUP(E455,'Location Table'!A:C,2,false),"")</f>
        <v/>
      </c>
      <c r="D455" s="6" t="s">
        <v>504</v>
      </c>
      <c r="E455" s="6"/>
      <c r="F455" s="6" t="s">
        <v>503</v>
      </c>
      <c r="G455" s="7" t="str">
        <f>IFNA(VLOOKUP(F455,Driver!A:D,4,false),"")</f>
        <v/>
      </c>
      <c r="H455" s="8" t="str">
        <f>IFNA(VLOOKUP(F455,Driver!A:C,3,false),"")</f>
        <v/>
      </c>
      <c r="I455" s="9">
        <v>0.2916666666666667</v>
      </c>
      <c r="J455" s="9">
        <v>0.5</v>
      </c>
      <c r="K455" s="9"/>
    </row>
    <row r="456" hidden="1">
      <c r="A456" s="5" t="str">
        <f>IFNA(VLOOKUP(D456,'Location Table'!A:C,2,false),"")</f>
        <v>6c9c33de-8745-11ee-98f4-506b8d9879b5</v>
      </c>
      <c r="B456" s="5" t="str">
        <f>IFNA(VLOOKUP(F456,Driver!A:C,2,false),"")</f>
        <v>a9bf91b4-00e4-11f1-9378-fa163ee8d8ac</v>
      </c>
      <c r="C456" s="5" t="str">
        <f>IFNA(VLOOKUP(E456,'Location Table'!A:C,2,false),"")</f>
        <v/>
      </c>
      <c r="D456" s="6" t="s">
        <v>505</v>
      </c>
      <c r="E456" s="6"/>
      <c r="F456" s="6" t="s">
        <v>142</v>
      </c>
      <c r="G456" s="7" t="str">
        <f>IFNA(VLOOKUP(F456,Driver!A:D,4,false),"")</f>
        <v/>
      </c>
      <c r="H456" s="8" t="str">
        <f>IFNA(VLOOKUP(F456,Driver!A:C,3,false),"")</f>
        <v/>
      </c>
      <c r="I456" s="9">
        <v>0.2916666666666667</v>
      </c>
      <c r="J456" s="9">
        <v>0.5</v>
      </c>
      <c r="K456" s="9"/>
    </row>
    <row r="457" hidden="1">
      <c r="A457" s="5" t="str">
        <f>IFNA(VLOOKUP(D457,'Location Table'!A:C,2,false),"")</f>
        <v>b5eb7202-4542-11ed-b44a-506b8dbc8dfb</v>
      </c>
      <c r="B457" s="5" t="str">
        <f>IFNA(VLOOKUP(F457,Driver!A:C,2,false),"")</f>
        <v>f5993946-37cf-11ed-a3fc-506b8dbc8dfb</v>
      </c>
      <c r="C457" s="5" t="str">
        <f>IFNA(VLOOKUP(E457,'Location Table'!A:C,2,false),"")</f>
        <v/>
      </c>
      <c r="D457" s="6" t="s">
        <v>506</v>
      </c>
      <c r="E457" s="6"/>
      <c r="F457" s="6" t="s">
        <v>314</v>
      </c>
      <c r="G457" s="7" t="str">
        <f>IFNA(VLOOKUP(F457,Driver!A:D,4,false),"")</f>
        <v/>
      </c>
      <c r="H457" s="8" t="str">
        <f>IFNA(VLOOKUP(F457,Driver!A:C,3,false),"")</f>
        <v/>
      </c>
      <c r="I457" s="9">
        <v>0.2916666666666667</v>
      </c>
      <c r="J457" s="9">
        <v>0.6666666666666666</v>
      </c>
      <c r="K457" s="9"/>
    </row>
    <row r="458" hidden="1">
      <c r="A458" s="5" t="str">
        <f>IFNA(VLOOKUP(D458,'Location Table'!A:C,2,false),"")</f>
        <v>f70ce146-a9b5-11f0-b361-506b8d982279</v>
      </c>
      <c r="B458" s="5" t="str">
        <f>IFNA(VLOOKUP(F458,Driver!A:C,2,false),"")</f>
        <v>a72dc14a-3654-11ed-bef3-506b8dbc8dfb</v>
      </c>
      <c r="C458" s="5" t="str">
        <f>IFNA(VLOOKUP(E458,'Location Table'!A:C,2,false),"")</f>
        <v/>
      </c>
      <c r="D458" s="6" t="s">
        <v>507</v>
      </c>
      <c r="E458" s="6"/>
      <c r="F458" s="6" t="s">
        <v>246</v>
      </c>
      <c r="G458" s="7" t="str">
        <f>IFNA(VLOOKUP(F458,Driver!A:D,4,false),"")</f>
        <v>1980698793628880414:XXMGIAegigeHesHcPUQpIcnMCwhigvPUATFrPyRHiqIZqTwmvWiXbUzfDhivxPcl</v>
      </c>
      <c r="H458" s="8" t="str">
        <f>IFNA(VLOOKUP(F458,Driver!A:C,3,false),"")</f>
        <v>88199dcfa88541db1894</v>
      </c>
      <c r="I458" s="9">
        <v>0.25</v>
      </c>
      <c r="J458" s="9">
        <v>0.4583333333333333</v>
      </c>
      <c r="K458" s="9"/>
    </row>
    <row r="459" hidden="1">
      <c r="A459" s="5" t="str">
        <f>IFNA(VLOOKUP(D459,'Location Table'!A:C,2,false),"")</f>
        <v>ab7abd4e-8ec0-11f0-8996-506b8d982279</v>
      </c>
      <c r="B459" s="5" t="str">
        <f>IFNA(VLOOKUP(F459,Driver!A:C,2,false),"")</f>
        <v>e3970cec-503e-11f1-9378-fa163ee8d8ac</v>
      </c>
      <c r="C459" s="5" t="str">
        <f>IFNA(VLOOKUP(E459,'Location Table'!A:C,2,false),"")</f>
        <v/>
      </c>
      <c r="D459" s="6" t="s">
        <v>508</v>
      </c>
      <c r="E459" s="6"/>
      <c r="F459" s="10" t="s">
        <v>328</v>
      </c>
      <c r="G459" s="7" t="str">
        <f>IFNA(VLOOKUP(F459,Driver!A:D,4,false),"")</f>
        <v/>
      </c>
      <c r="H459" s="8" t="str">
        <f>IFNA(VLOOKUP(F459,Driver!A:C,3,false),"")</f>
        <v/>
      </c>
      <c r="I459" s="9">
        <v>0.2916666666666667</v>
      </c>
      <c r="J459" s="9">
        <v>0.5833333333333334</v>
      </c>
      <c r="K459" s="9"/>
    </row>
    <row r="460" hidden="1">
      <c r="A460" s="5" t="str">
        <f>IFNA(VLOOKUP(D460,'Location Table'!A:C,2,false),"")</f>
        <v>67c52c1c-f248-11ee-a75f-506b8d9879b5</v>
      </c>
      <c r="B460" s="5" t="str">
        <f>IFNA(VLOOKUP(F460,Driver!A:C,2,false),"")</f>
        <v>c1149922-ecea-11ef-a670-506b8d9879b5</v>
      </c>
      <c r="C460" s="5" t="str">
        <f>IFNA(VLOOKUP(E460,'Location Table'!A:C,2,false),"")</f>
        <v/>
      </c>
      <c r="D460" s="6" t="s">
        <v>201</v>
      </c>
      <c r="E460" s="6"/>
      <c r="F460" s="6" t="s">
        <v>509</v>
      </c>
      <c r="G460" s="7" t="str">
        <f>IFNA(VLOOKUP(F460,Driver!A:D,4,false),"")</f>
        <v/>
      </c>
      <c r="H460" s="8" t="str">
        <f>IFNA(VLOOKUP(F460,Driver!A:C,3,false),"")</f>
        <v/>
      </c>
      <c r="I460" s="9">
        <v>0.6666666666666666</v>
      </c>
      <c r="J460" s="9">
        <v>0.7916666666666666</v>
      </c>
      <c r="K460" s="9"/>
    </row>
    <row r="461" hidden="1">
      <c r="A461" s="5" t="str">
        <f>IFNA(VLOOKUP(D461,'Location Table'!A:C,2,false),"")</f>
        <v>08b826b6-938d-11ef-911f-506b8d9879b5</v>
      </c>
      <c r="B461" s="5" t="str">
        <f>IFNA(VLOOKUP(F461,Driver!A:C,2,false),"")</f>
        <v>f3cef536-7671-11f0-84d2-506b8d982279</v>
      </c>
      <c r="C461" s="5" t="str">
        <f>IFNA(VLOOKUP(E461,'Location Table'!A:C,2,false),"")</f>
        <v/>
      </c>
      <c r="D461" s="6" t="s">
        <v>245</v>
      </c>
      <c r="E461" s="6"/>
      <c r="F461" s="6" t="s">
        <v>112</v>
      </c>
      <c r="G461" s="7" t="str">
        <f>IFNA(VLOOKUP(F461,Driver!A:D,4,false),"")</f>
        <v/>
      </c>
      <c r="H461" s="8" t="str">
        <f>IFNA(VLOOKUP(F461,Driver!A:C,3,false),"")</f>
        <v/>
      </c>
      <c r="I461" s="9">
        <v>0.4583333333333333</v>
      </c>
      <c r="J461" s="9">
        <v>0.8333333333333334</v>
      </c>
      <c r="K461" s="9"/>
    </row>
    <row r="462" hidden="1">
      <c r="A462" s="5" t="str">
        <f>IFNA(VLOOKUP(D462,'Location Table'!A:C,2,false),"")</f>
        <v>d9e8fcd4-48f5-11ef-86ca-506b8d9879b5</v>
      </c>
      <c r="B462" s="5" t="str">
        <f>IFNA(VLOOKUP(F462,Driver!A:C,2,false),"")</f>
        <v>f3cef536-7671-11f0-84d2-506b8d982279</v>
      </c>
      <c r="C462" s="5" t="str">
        <f>IFNA(VLOOKUP(E462,'Location Table'!A:C,2,false),"")</f>
        <v/>
      </c>
      <c r="D462" s="6" t="s">
        <v>247</v>
      </c>
      <c r="E462" s="6"/>
      <c r="F462" s="6" t="s">
        <v>112</v>
      </c>
      <c r="G462" s="7" t="str">
        <f>IFNA(VLOOKUP(F462,Driver!A:D,4,false),"")</f>
        <v/>
      </c>
      <c r="H462" s="8" t="str">
        <f>IFNA(VLOOKUP(F462,Driver!A:C,3,false),"")</f>
        <v/>
      </c>
      <c r="I462" s="9">
        <v>0.4583333333333333</v>
      </c>
      <c r="J462" s="9">
        <v>0.8333333333333334</v>
      </c>
      <c r="K462" s="9"/>
    </row>
    <row r="463" hidden="1">
      <c r="A463" s="5" t="str">
        <f>IFNA(VLOOKUP(D463,'Location Table'!A:C,2,false),"")</f>
        <v>86fbb8bc-a919-11ee-abe3-506b8d9879b5</v>
      </c>
      <c r="B463" s="5" t="str">
        <f>IFNA(VLOOKUP(F463,Driver!A:C,2,false),"")</f>
        <v>f3cef536-7671-11f0-84d2-506b8d982279</v>
      </c>
      <c r="C463" s="5" t="str">
        <f>IFNA(VLOOKUP(E463,'Location Table'!A:C,2,false),"")</f>
        <v/>
      </c>
      <c r="D463" s="6" t="s">
        <v>248</v>
      </c>
      <c r="E463" s="6"/>
      <c r="F463" s="6" t="s">
        <v>112</v>
      </c>
      <c r="G463" s="7" t="str">
        <f>IFNA(VLOOKUP(F463,Driver!A:D,4,false),"")</f>
        <v/>
      </c>
      <c r="H463" s="8" t="str">
        <f>IFNA(VLOOKUP(F463,Driver!A:C,3,false),"")</f>
        <v/>
      </c>
      <c r="I463" s="9">
        <v>0.4583333333333333</v>
      </c>
      <c r="J463" s="9">
        <v>0.8333333333333334</v>
      </c>
      <c r="K463" s="9"/>
    </row>
    <row r="464" hidden="1">
      <c r="A464" s="5" t="str">
        <f>IFNA(VLOOKUP(D464,'Location Table'!A:C,2,false),"")</f>
        <v>ff38cebe-2c19-11ee-9481-506b8d9879b5</v>
      </c>
      <c r="B464" s="5" t="str">
        <f>IFNA(VLOOKUP(F464,Driver!A:C,2,false),"")</f>
        <v>f3cef536-7671-11f0-84d2-506b8d982279</v>
      </c>
      <c r="C464" s="5" t="str">
        <f>IFNA(VLOOKUP(E464,'Location Table'!A:C,2,false),"")</f>
        <v/>
      </c>
      <c r="D464" s="6" t="s">
        <v>249</v>
      </c>
      <c r="E464" s="6"/>
      <c r="F464" s="6" t="s">
        <v>112</v>
      </c>
      <c r="G464" s="7" t="str">
        <f>IFNA(VLOOKUP(F464,Driver!A:D,4,false),"")</f>
        <v/>
      </c>
      <c r="H464" s="8" t="str">
        <f>IFNA(VLOOKUP(F464,Driver!A:C,3,false),"")</f>
        <v/>
      </c>
      <c r="I464" s="9">
        <v>0.4583333333333333</v>
      </c>
      <c r="J464" s="9">
        <v>0.8333333333333334</v>
      </c>
      <c r="K464" s="9"/>
    </row>
    <row r="465" hidden="1">
      <c r="A465" s="5" t="str">
        <f>IFNA(VLOOKUP(D465,'Location Table'!A:C,2,false),"")</f>
        <v>7db8159c-8e53-11ee-8ddf-506b8d9879b5</v>
      </c>
      <c r="B465" s="5" t="str">
        <f>IFNA(VLOOKUP(F465,Driver!A:C,2,false),"")</f>
        <v>f3cef536-7671-11f0-84d2-506b8d982279</v>
      </c>
      <c r="C465" s="5" t="str">
        <f>IFNA(VLOOKUP(E465,'Location Table'!A:C,2,false),"")</f>
        <v/>
      </c>
      <c r="D465" s="6" t="s">
        <v>250</v>
      </c>
      <c r="E465" s="6"/>
      <c r="F465" s="6" t="s">
        <v>112</v>
      </c>
      <c r="G465" s="7" t="str">
        <f>IFNA(VLOOKUP(F465,Driver!A:D,4,false),"")</f>
        <v/>
      </c>
      <c r="H465" s="8" t="str">
        <f>IFNA(VLOOKUP(F465,Driver!A:C,3,false),"")</f>
        <v/>
      </c>
      <c r="I465" s="9">
        <v>0.4583333333333333</v>
      </c>
      <c r="J465" s="9">
        <v>0.8333333333333334</v>
      </c>
      <c r="K465" s="9"/>
    </row>
    <row r="466" hidden="1">
      <c r="A466" s="5" t="str">
        <f>IFNA(VLOOKUP(D466,'Location Table'!A:C,2,false),"")</f>
        <v>289fdcc2-7573-11ef-964f-506b8d9879b5</v>
      </c>
      <c r="B466" s="5" t="str">
        <f>IFNA(VLOOKUP(F466,Driver!A:C,2,false),"")</f>
        <v>f3cef536-7671-11f0-84d2-506b8d982279</v>
      </c>
      <c r="C466" s="5" t="str">
        <f>IFNA(VLOOKUP(E466,'Location Table'!A:C,2,false),"")</f>
        <v/>
      </c>
      <c r="D466" s="6" t="s">
        <v>251</v>
      </c>
      <c r="E466" s="6"/>
      <c r="F466" s="6" t="s">
        <v>112</v>
      </c>
      <c r="G466" s="7" t="str">
        <f>IFNA(VLOOKUP(F466,Driver!A:D,4,false),"")</f>
        <v/>
      </c>
      <c r="H466" s="8" t="str">
        <f>IFNA(VLOOKUP(F466,Driver!A:C,3,false),"")</f>
        <v/>
      </c>
      <c r="I466" s="9">
        <v>0.4583333333333333</v>
      </c>
      <c r="J466" s="9">
        <v>0.8333333333333334</v>
      </c>
      <c r="K466" s="9"/>
    </row>
    <row r="467" hidden="1">
      <c r="A467" s="5" t="str">
        <f>IFNA(VLOOKUP(D467,'Location Table'!A:C,2,false),"")</f>
        <v>7c7323ba-ec19-11ee-9b92-506b8d9879b5</v>
      </c>
      <c r="B467" s="5" t="str">
        <f>IFNA(VLOOKUP(F467,Driver!A:C,2,false),"")</f>
        <v>f3cef536-7671-11f0-84d2-506b8d982279</v>
      </c>
      <c r="C467" s="5" t="str">
        <f>IFNA(VLOOKUP(E467,'Location Table'!A:C,2,false),"")</f>
        <v/>
      </c>
      <c r="D467" s="6" t="s">
        <v>252</v>
      </c>
      <c r="E467" s="6"/>
      <c r="F467" s="6" t="s">
        <v>112</v>
      </c>
      <c r="G467" s="7" t="str">
        <f>IFNA(VLOOKUP(F467,Driver!A:D,4,false),"")</f>
        <v/>
      </c>
      <c r="H467" s="8" t="str">
        <f>IFNA(VLOOKUP(F467,Driver!A:C,3,false),"")</f>
        <v/>
      </c>
      <c r="I467" s="9">
        <v>0.4583333333333333</v>
      </c>
      <c r="J467" s="9">
        <v>0.8333333333333334</v>
      </c>
      <c r="K467" s="9"/>
    </row>
    <row r="468" hidden="1">
      <c r="A468" s="5" t="str">
        <f>IFNA(VLOOKUP(D468,'Location Table'!A:C,2,false),"")</f>
        <v>12435506-ed6d-11ed-babc-506b8dbc8dfb</v>
      </c>
      <c r="B468" s="5" t="str">
        <f>IFNA(VLOOKUP(F468,Driver!A:C,2,false),"")</f>
        <v>f3cef536-7671-11f0-84d2-506b8d982279</v>
      </c>
      <c r="C468" s="5" t="str">
        <f>IFNA(VLOOKUP(E468,'Location Table'!A:C,2,false),"")</f>
        <v/>
      </c>
      <c r="D468" s="6" t="s">
        <v>253</v>
      </c>
      <c r="E468" s="6"/>
      <c r="F468" s="6" t="s">
        <v>112</v>
      </c>
      <c r="G468" s="7" t="str">
        <f>IFNA(VLOOKUP(F468,Driver!A:D,4,false),"")</f>
        <v/>
      </c>
      <c r="H468" s="8" t="str">
        <f>IFNA(VLOOKUP(F468,Driver!A:C,3,false),"")</f>
        <v/>
      </c>
      <c r="I468" s="9">
        <v>0.4583333333333333</v>
      </c>
      <c r="J468" s="9">
        <v>0.8333333333333334</v>
      </c>
      <c r="K468" s="9"/>
    </row>
    <row r="469" hidden="1">
      <c r="A469" s="5" t="str">
        <f>IFNA(VLOOKUP(D469,'Location Table'!A:C,2,false),"")</f>
        <v>8cdac450-1498-11ee-af35-506b8dbc8dfb</v>
      </c>
      <c r="B469" s="5" t="str">
        <f>IFNA(VLOOKUP(F469,Driver!A:C,2,false),"")</f>
        <v>f3cef536-7671-11f0-84d2-506b8d982279</v>
      </c>
      <c r="C469" s="5" t="str">
        <f>IFNA(VLOOKUP(E469,'Location Table'!A:C,2,false),"")</f>
        <v/>
      </c>
      <c r="D469" s="6" t="s">
        <v>254</v>
      </c>
      <c r="E469" s="6"/>
      <c r="F469" s="6" t="s">
        <v>112</v>
      </c>
      <c r="G469" s="7" t="str">
        <f>IFNA(VLOOKUP(F469,Driver!A:D,4,false),"")</f>
        <v/>
      </c>
      <c r="H469" s="8" t="str">
        <f>IFNA(VLOOKUP(F469,Driver!A:C,3,false),"")</f>
        <v/>
      </c>
      <c r="I469" s="9">
        <v>0.4583333333333333</v>
      </c>
      <c r="J469" s="9">
        <v>0.8333333333333334</v>
      </c>
      <c r="K469" s="9"/>
    </row>
    <row r="470" hidden="1">
      <c r="A470" s="5" t="str">
        <f>IFNA(VLOOKUP(D470,'Location Table'!A:C,2,false),"")</f>
        <v>39e63c4e-010f-11ee-ba33-506b8dbc8dfb</v>
      </c>
      <c r="B470" s="5" t="str">
        <f>IFNA(VLOOKUP(F470,Driver!A:C,2,false),"")</f>
        <v>f3cef536-7671-11f0-84d2-506b8d982279</v>
      </c>
      <c r="C470" s="5" t="str">
        <f>IFNA(VLOOKUP(E470,'Location Table'!A:C,2,false),"")</f>
        <v/>
      </c>
      <c r="D470" s="6" t="s">
        <v>255</v>
      </c>
      <c r="E470" s="6"/>
      <c r="F470" s="6" t="s">
        <v>112</v>
      </c>
      <c r="G470" s="7" t="str">
        <f>IFNA(VLOOKUP(F470,Driver!A:D,4,false),"")</f>
        <v/>
      </c>
      <c r="H470" s="8" t="str">
        <f>IFNA(VLOOKUP(F470,Driver!A:C,3,false),"")</f>
        <v/>
      </c>
      <c r="I470" s="9">
        <v>0.4583333333333333</v>
      </c>
      <c r="J470" s="9">
        <v>0.8333333333333334</v>
      </c>
      <c r="K470" s="9"/>
    </row>
    <row r="471" hidden="1">
      <c r="A471" s="5" t="str">
        <f>IFNA(VLOOKUP(D471,'Location Table'!A:C,2,false),"")</f>
        <v>fa87ff92-4ac0-11ed-b0dd-506b8dbc8dfb</v>
      </c>
      <c r="B471" s="5" t="str">
        <f>IFNA(VLOOKUP(F471,Driver!A:C,2,false),"")</f>
        <v>f3cef536-7671-11f0-84d2-506b8d982279</v>
      </c>
      <c r="C471" s="5" t="str">
        <f>IFNA(VLOOKUP(E471,'Location Table'!A:C,2,false),"")</f>
        <v/>
      </c>
      <c r="D471" s="6" t="s">
        <v>256</v>
      </c>
      <c r="E471" s="6"/>
      <c r="F471" s="6" t="s">
        <v>112</v>
      </c>
      <c r="G471" s="7" t="str">
        <f>IFNA(VLOOKUP(F471,Driver!A:D,4,false),"")</f>
        <v/>
      </c>
      <c r="H471" s="8" t="str">
        <f>IFNA(VLOOKUP(F471,Driver!A:C,3,false),"")</f>
        <v/>
      </c>
      <c r="I471" s="9">
        <v>0.4583333333333333</v>
      </c>
      <c r="J471" s="9">
        <v>0.8333333333333334</v>
      </c>
      <c r="K471" s="9"/>
    </row>
    <row r="472" hidden="1">
      <c r="A472" s="5" t="str">
        <f>IFNA(VLOOKUP(D472,'Location Table'!A:C,2,false),"")</f>
        <v>e92ad1f8-0112-11ee-80ef-506b8dbc8dfb</v>
      </c>
      <c r="B472" s="5" t="str">
        <f>IFNA(VLOOKUP(F472,Driver!A:C,2,false),"")</f>
        <v>f3cef536-7671-11f0-84d2-506b8d982279</v>
      </c>
      <c r="C472" s="5" t="str">
        <f>IFNA(VLOOKUP(E472,'Location Table'!A:C,2,false),"")</f>
        <v/>
      </c>
      <c r="D472" s="6" t="s">
        <v>257</v>
      </c>
      <c r="E472" s="6"/>
      <c r="F472" s="6" t="s">
        <v>112</v>
      </c>
      <c r="G472" s="7" t="str">
        <f>IFNA(VLOOKUP(F472,Driver!A:D,4,false),"")</f>
        <v/>
      </c>
      <c r="H472" s="8" t="str">
        <f>IFNA(VLOOKUP(F472,Driver!A:C,3,false),"")</f>
        <v/>
      </c>
      <c r="I472" s="9">
        <v>0.4583333333333333</v>
      </c>
      <c r="J472" s="9">
        <v>0.8333333333333334</v>
      </c>
      <c r="K472" s="9"/>
    </row>
    <row r="473" hidden="1">
      <c r="A473" s="5" t="str">
        <f>IFNA(VLOOKUP(D473,'Location Table'!A:C,2,false),"")</f>
        <v>0ff3fbda-0aa9-11ee-948b-506b8dbc8dfb</v>
      </c>
      <c r="B473" s="5" t="str">
        <f>IFNA(VLOOKUP(F473,Driver!A:C,2,false),"")</f>
        <v>f3cef536-7671-11f0-84d2-506b8d982279</v>
      </c>
      <c r="C473" s="5" t="str">
        <f>IFNA(VLOOKUP(E473,'Location Table'!A:C,2,false),"")</f>
        <v/>
      </c>
      <c r="D473" s="6" t="s">
        <v>258</v>
      </c>
      <c r="E473" s="6"/>
      <c r="F473" s="6" t="s">
        <v>112</v>
      </c>
      <c r="G473" s="7" t="str">
        <f>IFNA(VLOOKUP(F473,Driver!A:D,4,false),"")</f>
        <v/>
      </c>
      <c r="H473" s="8" t="str">
        <f>IFNA(VLOOKUP(F473,Driver!A:C,3,false),"")</f>
        <v/>
      </c>
      <c r="I473" s="9">
        <v>0.4583333333333333</v>
      </c>
      <c r="J473" s="9">
        <v>0.8333333333333334</v>
      </c>
      <c r="K473" s="9"/>
    </row>
    <row r="474" hidden="1">
      <c r="A474" s="5" t="str">
        <f>IFNA(VLOOKUP(D474,'Location Table'!A:C,2,false),"")</f>
        <v>085d5048-26a0-11ee-a5a4-506b8d9879b5</v>
      </c>
      <c r="B474" s="5" t="str">
        <f>IFNA(VLOOKUP(F474,Driver!A:C,2,false),"")</f>
        <v>f3cef536-7671-11f0-84d2-506b8d982279</v>
      </c>
      <c r="C474" s="5" t="str">
        <f>IFNA(VLOOKUP(E474,'Location Table'!A:C,2,false),"")</f>
        <v/>
      </c>
      <c r="D474" s="6" t="s">
        <v>259</v>
      </c>
      <c r="E474" s="6"/>
      <c r="F474" s="6" t="s">
        <v>112</v>
      </c>
      <c r="G474" s="7" t="str">
        <f>IFNA(VLOOKUP(F474,Driver!A:D,4,false),"")</f>
        <v/>
      </c>
      <c r="H474" s="8" t="str">
        <f>IFNA(VLOOKUP(F474,Driver!A:C,3,false),"")</f>
        <v/>
      </c>
      <c r="I474" s="9">
        <v>0.4583333333333333</v>
      </c>
      <c r="J474" s="9">
        <v>0.8333333333333334</v>
      </c>
      <c r="K474" s="9"/>
    </row>
    <row r="475" hidden="1">
      <c r="A475" s="5" t="str">
        <f>IFNA(VLOOKUP(D475,'Location Table'!A:C,2,false),"")</f>
        <v>8fca3d12-fec7-11ed-aba6-506b8dbc8dfb</v>
      </c>
      <c r="B475" s="5" t="str">
        <f>IFNA(VLOOKUP(F475,Driver!A:C,2,false),"")</f>
        <v>f3cef536-7671-11f0-84d2-506b8d982279</v>
      </c>
      <c r="C475" s="5" t="str">
        <f>IFNA(VLOOKUP(E475,'Location Table'!A:C,2,false),"")</f>
        <v/>
      </c>
      <c r="D475" s="6" t="s">
        <v>260</v>
      </c>
      <c r="E475" s="6"/>
      <c r="F475" s="6" t="s">
        <v>112</v>
      </c>
      <c r="G475" s="7" t="str">
        <f>IFNA(VLOOKUP(F475,Driver!A:D,4,false),"")</f>
        <v/>
      </c>
      <c r="H475" s="8" t="str">
        <f>IFNA(VLOOKUP(F475,Driver!A:C,3,false),"")</f>
        <v/>
      </c>
      <c r="I475" s="9">
        <v>0.4583333333333333</v>
      </c>
      <c r="J475" s="9">
        <v>0.8333333333333334</v>
      </c>
      <c r="K475" s="9"/>
    </row>
    <row r="476" hidden="1">
      <c r="A476" s="5" t="str">
        <f>IFNA(VLOOKUP(D476,'Location Table'!A:C,2,false),"")</f>
        <v>ae88c2bc-48b5-11ef-94b2-506b8d9879b5</v>
      </c>
      <c r="B476" s="5" t="str">
        <f>IFNA(VLOOKUP(F476,Driver!A:C,2,false),"")</f>
        <v>f3cef536-7671-11f0-84d2-506b8d982279</v>
      </c>
      <c r="C476" s="5" t="str">
        <f>IFNA(VLOOKUP(E476,'Location Table'!A:C,2,false),"")</f>
        <v/>
      </c>
      <c r="D476" s="6" t="s">
        <v>261</v>
      </c>
      <c r="E476" s="6"/>
      <c r="F476" s="6" t="s">
        <v>112</v>
      </c>
      <c r="G476" s="7" t="str">
        <f>IFNA(VLOOKUP(F476,Driver!A:D,4,false),"")</f>
        <v/>
      </c>
      <c r="H476" s="8" t="str">
        <f>IFNA(VLOOKUP(F476,Driver!A:C,3,false),"")</f>
        <v/>
      </c>
      <c r="I476" s="9">
        <v>0.4583333333333333</v>
      </c>
      <c r="J476" s="9">
        <v>0.8333333333333334</v>
      </c>
      <c r="K476" s="9"/>
    </row>
    <row r="477" hidden="1">
      <c r="A477" s="5" t="str">
        <f>IFNA(VLOOKUP(D477,'Location Table'!A:C,2,false),"")</f>
        <v>7566c8b0-f731-11ee-b3f8-506b8d9879b5</v>
      </c>
      <c r="B477" s="5" t="str">
        <f>IFNA(VLOOKUP(F477,Driver!A:C,2,false),"")</f>
        <v>f3cef536-7671-11f0-84d2-506b8d982279</v>
      </c>
      <c r="C477" s="5" t="str">
        <f>IFNA(VLOOKUP(E477,'Location Table'!A:C,2,false),"")</f>
        <v/>
      </c>
      <c r="D477" s="6" t="s">
        <v>262</v>
      </c>
      <c r="E477" s="6"/>
      <c r="F477" s="6" t="s">
        <v>112</v>
      </c>
      <c r="G477" s="7" t="str">
        <f>IFNA(VLOOKUP(F477,Driver!A:D,4,false),"")</f>
        <v/>
      </c>
      <c r="H477" s="8" t="str">
        <f>IFNA(VLOOKUP(F477,Driver!A:C,3,false),"")</f>
        <v/>
      </c>
      <c r="I477" s="9">
        <v>0.4583333333333333</v>
      </c>
      <c r="J477" s="9">
        <v>0.8333333333333334</v>
      </c>
      <c r="K477" s="9"/>
    </row>
    <row r="478" hidden="1">
      <c r="A478" s="5" t="str">
        <f>IFNA(VLOOKUP(D478,'Location Table'!A:C,2,false),"")</f>
        <v>ee4e8802-05bf-11ef-9a97-506b8d9879b5</v>
      </c>
      <c r="B478" s="5" t="str">
        <f>IFNA(VLOOKUP(F478,Driver!A:C,2,false),"")</f>
        <v>f3cef536-7671-11f0-84d2-506b8d982279</v>
      </c>
      <c r="C478" s="5" t="str">
        <f>IFNA(VLOOKUP(E478,'Location Table'!A:C,2,false),"")</f>
        <v/>
      </c>
      <c r="D478" s="6" t="s">
        <v>263</v>
      </c>
      <c r="E478" s="6"/>
      <c r="F478" s="6" t="s">
        <v>112</v>
      </c>
      <c r="G478" s="7" t="str">
        <f>IFNA(VLOOKUP(F478,Driver!A:D,4,false),"")</f>
        <v/>
      </c>
      <c r="H478" s="8" t="str">
        <f>IFNA(VLOOKUP(F478,Driver!A:C,3,false),"")</f>
        <v/>
      </c>
      <c r="I478" s="9">
        <v>0.4583333333333333</v>
      </c>
      <c r="J478" s="9">
        <v>0.8333333333333334</v>
      </c>
      <c r="K478" s="9"/>
    </row>
    <row r="479" hidden="1">
      <c r="A479" s="5" t="str">
        <f>IFNA(VLOOKUP(D479,'Location Table'!A:C,2,false),"")</f>
        <v>9e0e7402-492b-11ee-8dd8-506b8d9879b5</v>
      </c>
      <c r="B479" s="5" t="str">
        <f>IFNA(VLOOKUP(F479,Driver!A:C,2,false),"")</f>
        <v>f3cef536-7671-11f0-84d2-506b8d982279</v>
      </c>
      <c r="C479" s="5" t="str">
        <f>IFNA(VLOOKUP(E479,'Location Table'!A:C,2,false),"")</f>
        <v/>
      </c>
      <c r="D479" s="6" t="s">
        <v>264</v>
      </c>
      <c r="E479" s="6"/>
      <c r="F479" s="6" t="s">
        <v>112</v>
      </c>
      <c r="G479" s="7" t="str">
        <f>IFNA(VLOOKUP(F479,Driver!A:D,4,false),"")</f>
        <v/>
      </c>
      <c r="H479" s="8" t="str">
        <f>IFNA(VLOOKUP(F479,Driver!A:C,3,false),"")</f>
        <v/>
      </c>
      <c r="I479" s="9">
        <v>0.4583333333333333</v>
      </c>
      <c r="J479" s="9">
        <v>0.8333333333333334</v>
      </c>
      <c r="K479" s="9"/>
    </row>
    <row r="480" hidden="1">
      <c r="A480" s="5" t="str">
        <f>IFNA(VLOOKUP(D480,'Location Table'!A:C,2,false),"")</f>
        <v>bbf1a054-67ce-11ee-91d9-506b8d9879b5</v>
      </c>
      <c r="B480" s="5" t="str">
        <f>IFNA(VLOOKUP(F480,Driver!A:C,2,false),"")</f>
        <v>f3cef536-7671-11f0-84d2-506b8d982279</v>
      </c>
      <c r="C480" s="5" t="str">
        <f>IFNA(VLOOKUP(E480,'Location Table'!A:C,2,false),"")</f>
        <v/>
      </c>
      <c r="D480" s="6" t="s">
        <v>265</v>
      </c>
      <c r="E480" s="6"/>
      <c r="F480" s="6" t="s">
        <v>112</v>
      </c>
      <c r="G480" s="7" t="str">
        <f>IFNA(VLOOKUP(F480,Driver!A:D,4,false),"")</f>
        <v/>
      </c>
      <c r="H480" s="8" t="str">
        <f>IFNA(VLOOKUP(F480,Driver!A:C,3,false),"")</f>
        <v/>
      </c>
      <c r="I480" s="9">
        <v>0.4583333333333333</v>
      </c>
      <c r="J480" s="9">
        <v>0.8333333333333334</v>
      </c>
      <c r="K480" s="9"/>
    </row>
    <row r="481" hidden="1">
      <c r="A481" s="5" t="str">
        <f>IFNA(VLOOKUP(D481,'Location Table'!A:C,2,false),"")</f>
        <v>7e2d9ace-9ee3-11ee-8906-506b8d9879b5</v>
      </c>
      <c r="B481" s="5" t="str">
        <f>IFNA(VLOOKUP(F481,Driver!A:C,2,false),"")</f>
        <v>f3cef536-7671-11f0-84d2-506b8d982279</v>
      </c>
      <c r="C481" s="5" t="str">
        <f>IFNA(VLOOKUP(E481,'Location Table'!A:C,2,false),"")</f>
        <v/>
      </c>
      <c r="D481" s="6" t="s">
        <v>266</v>
      </c>
      <c r="E481" s="6"/>
      <c r="F481" s="6" t="s">
        <v>112</v>
      </c>
      <c r="G481" s="7" t="str">
        <f>IFNA(VLOOKUP(F481,Driver!A:D,4,false),"")</f>
        <v/>
      </c>
      <c r="H481" s="8" t="str">
        <f>IFNA(VLOOKUP(F481,Driver!A:C,3,false),"")</f>
        <v/>
      </c>
      <c r="I481" s="9">
        <v>0.4583333333333333</v>
      </c>
      <c r="J481" s="9">
        <v>0.8333333333333334</v>
      </c>
      <c r="K481" s="9"/>
    </row>
    <row r="482" hidden="1">
      <c r="A482" s="5" t="str">
        <f>IFNA(VLOOKUP(D482,'Location Table'!A:C,2,false),"")</f>
        <v>3b012e74-90aa-11ee-8f6f-506b8d9879b5</v>
      </c>
      <c r="B482" s="5" t="str">
        <f>IFNA(VLOOKUP(F482,Driver!A:C,2,false),"")</f>
        <v>f3cef536-7671-11f0-84d2-506b8d982279</v>
      </c>
      <c r="C482" s="5" t="str">
        <f>IFNA(VLOOKUP(E482,'Location Table'!A:C,2,false),"")</f>
        <v/>
      </c>
      <c r="D482" s="6" t="s">
        <v>267</v>
      </c>
      <c r="E482" s="6"/>
      <c r="F482" s="6" t="s">
        <v>112</v>
      </c>
      <c r="G482" s="7" t="str">
        <f>IFNA(VLOOKUP(F482,Driver!A:D,4,false),"")</f>
        <v/>
      </c>
      <c r="H482" s="8" t="str">
        <f>IFNA(VLOOKUP(F482,Driver!A:C,3,false),"")</f>
        <v/>
      </c>
      <c r="I482" s="9">
        <v>0.4583333333333333</v>
      </c>
      <c r="J482" s="9">
        <v>0.8333333333333334</v>
      </c>
      <c r="K482" s="9"/>
    </row>
    <row r="483" hidden="1">
      <c r="A483" s="5" t="str">
        <f>IFNA(VLOOKUP(D483,'Location Table'!A:C,2,false),"")</f>
        <v>a2f4ec9c-1561-11ee-a153-506b8dbc8dfb</v>
      </c>
      <c r="B483" s="5" t="str">
        <f>IFNA(VLOOKUP(F483,Driver!A:C,2,false),"")</f>
        <v>f3cef536-7671-11f0-84d2-506b8d982279</v>
      </c>
      <c r="C483" s="5" t="str">
        <f>IFNA(VLOOKUP(E483,'Location Table'!A:C,2,false),"")</f>
        <v/>
      </c>
      <c r="D483" s="6" t="s">
        <v>268</v>
      </c>
      <c r="E483" s="6"/>
      <c r="F483" s="6" t="s">
        <v>112</v>
      </c>
      <c r="G483" s="7" t="str">
        <f>IFNA(VLOOKUP(F483,Driver!A:D,4,false),"")</f>
        <v/>
      </c>
      <c r="H483" s="8" t="str">
        <f>IFNA(VLOOKUP(F483,Driver!A:C,3,false),"")</f>
        <v/>
      </c>
      <c r="I483" s="9">
        <v>0.4583333333333333</v>
      </c>
      <c r="J483" s="9">
        <v>0.8333333333333334</v>
      </c>
      <c r="K483" s="9"/>
    </row>
    <row r="484" hidden="1">
      <c r="A484" s="5" t="str">
        <f>IFNA(VLOOKUP(D484,'Location Table'!A:C,2,false),"")</f>
        <v>1af85000-6cc2-11ee-a53a-506b8d9879b5</v>
      </c>
      <c r="B484" s="5" t="str">
        <f>IFNA(VLOOKUP(F484,Driver!A:C,2,false),"")</f>
        <v>f3cef536-7671-11f0-84d2-506b8d982279</v>
      </c>
      <c r="C484" s="5" t="str">
        <f>IFNA(VLOOKUP(E484,'Location Table'!A:C,2,false),"")</f>
        <v/>
      </c>
      <c r="D484" s="6" t="s">
        <v>269</v>
      </c>
      <c r="E484" s="6"/>
      <c r="F484" s="6" t="s">
        <v>112</v>
      </c>
      <c r="G484" s="7" t="str">
        <f>IFNA(VLOOKUP(F484,Driver!A:D,4,false),"")</f>
        <v/>
      </c>
      <c r="H484" s="8" t="str">
        <f>IFNA(VLOOKUP(F484,Driver!A:C,3,false),"")</f>
        <v/>
      </c>
      <c r="I484" s="9">
        <v>0.4583333333333333</v>
      </c>
      <c r="J484" s="9">
        <v>0.8333333333333334</v>
      </c>
      <c r="K484" s="9"/>
    </row>
    <row r="485" hidden="1">
      <c r="A485" s="5" t="str">
        <f>IFNA(VLOOKUP(D485,'Location Table'!A:C,2,false),"")</f>
        <v>97d16b52-0110-11ee-b15c-506b8dbc8dfb</v>
      </c>
      <c r="B485" s="5" t="str">
        <f>IFNA(VLOOKUP(F485,Driver!A:C,2,false),"")</f>
        <v>f3cef536-7671-11f0-84d2-506b8d982279</v>
      </c>
      <c r="C485" s="5" t="str">
        <f>IFNA(VLOOKUP(E485,'Location Table'!A:C,2,false),"")</f>
        <v/>
      </c>
      <c r="D485" s="6" t="s">
        <v>270</v>
      </c>
      <c r="E485" s="6"/>
      <c r="F485" s="6" t="s">
        <v>112</v>
      </c>
      <c r="G485" s="7" t="str">
        <f>IFNA(VLOOKUP(F485,Driver!A:D,4,false),"")</f>
        <v/>
      </c>
      <c r="H485" s="8" t="str">
        <f>IFNA(VLOOKUP(F485,Driver!A:C,3,false),"")</f>
        <v/>
      </c>
      <c r="I485" s="9">
        <v>0.4583333333333333</v>
      </c>
      <c r="J485" s="9">
        <v>0.8333333333333334</v>
      </c>
      <c r="K485" s="9"/>
    </row>
    <row r="486" hidden="1">
      <c r="A486" s="5" t="str">
        <f>IFNA(VLOOKUP(D486,'Location Table'!A:C,2,false),"")</f>
        <v>f4fbe052-4088-11ee-a498-506b8d9879b5</v>
      </c>
      <c r="B486" s="5" t="str">
        <f>IFNA(VLOOKUP(F486,Driver!A:C,2,false),"")</f>
        <v>f3cef536-7671-11f0-84d2-506b8d982279</v>
      </c>
      <c r="C486" s="5" t="str">
        <f>IFNA(VLOOKUP(E486,'Location Table'!A:C,2,false),"")</f>
        <v/>
      </c>
      <c r="D486" s="6" t="s">
        <v>271</v>
      </c>
      <c r="E486" s="6"/>
      <c r="F486" s="6" t="s">
        <v>112</v>
      </c>
      <c r="G486" s="7" t="str">
        <f>IFNA(VLOOKUP(F486,Driver!A:D,4,false),"")</f>
        <v/>
      </c>
      <c r="H486" s="8" t="str">
        <f>IFNA(VLOOKUP(F486,Driver!A:C,3,false),"")</f>
        <v/>
      </c>
      <c r="I486" s="9">
        <v>0.4583333333333333</v>
      </c>
      <c r="J486" s="9">
        <v>0.8333333333333334</v>
      </c>
      <c r="K486" s="9"/>
    </row>
    <row r="487" hidden="1">
      <c r="A487" s="5" t="str">
        <f>IFNA(VLOOKUP(D487,'Location Table'!A:C,2,false),"")</f>
        <v>d53b00de-6a38-11ee-98e0-506b8d9879b5</v>
      </c>
      <c r="B487" s="5" t="str">
        <f>IFNA(VLOOKUP(F487,Driver!A:C,2,false),"")</f>
        <v>f3cef536-7671-11f0-84d2-506b8d982279</v>
      </c>
      <c r="C487" s="5" t="str">
        <f>IFNA(VLOOKUP(E487,'Location Table'!A:C,2,false),"")</f>
        <v/>
      </c>
      <c r="D487" s="6" t="s">
        <v>272</v>
      </c>
      <c r="E487" s="6"/>
      <c r="F487" s="6" t="s">
        <v>112</v>
      </c>
      <c r="G487" s="7" t="str">
        <f>IFNA(VLOOKUP(F487,Driver!A:D,4,false),"")</f>
        <v/>
      </c>
      <c r="H487" s="8" t="str">
        <f>IFNA(VLOOKUP(F487,Driver!A:C,3,false),"")</f>
        <v/>
      </c>
      <c r="I487" s="9">
        <v>0.4583333333333333</v>
      </c>
      <c r="J487" s="9">
        <v>0.8333333333333334</v>
      </c>
      <c r="K487" s="9"/>
    </row>
    <row r="488" hidden="1">
      <c r="A488" s="5" t="str">
        <f>IFNA(VLOOKUP(D488,'Location Table'!A:C,2,false),"")</f>
        <v>aebc13a0-0113-11ee-b1c8-506b8dbc8dfb</v>
      </c>
      <c r="B488" s="5" t="str">
        <f>IFNA(VLOOKUP(F488,Driver!A:C,2,false),"")</f>
        <v>f3cef536-7671-11f0-84d2-506b8d982279</v>
      </c>
      <c r="C488" s="5" t="str">
        <f>IFNA(VLOOKUP(E488,'Location Table'!A:C,2,false),"")</f>
        <v/>
      </c>
      <c r="D488" s="6" t="s">
        <v>273</v>
      </c>
      <c r="E488" s="6"/>
      <c r="F488" s="6" t="s">
        <v>112</v>
      </c>
      <c r="G488" s="7" t="str">
        <f>IFNA(VLOOKUP(F488,Driver!A:D,4,false),"")</f>
        <v/>
      </c>
      <c r="H488" s="8" t="str">
        <f>IFNA(VLOOKUP(F488,Driver!A:C,3,false),"")</f>
        <v/>
      </c>
      <c r="I488" s="9">
        <v>0.4583333333333333</v>
      </c>
      <c r="J488" s="9">
        <v>0.8333333333333334</v>
      </c>
      <c r="K488" s="9"/>
    </row>
    <row r="489" hidden="1">
      <c r="A489" s="5" t="str">
        <f>IFNA(VLOOKUP(D489,'Location Table'!A:C,2,false),"")</f>
        <v>4ca8a4a8-456f-11ee-af67-506b8d9879b5</v>
      </c>
      <c r="B489" s="5" t="str">
        <f>IFNA(VLOOKUP(F489,Driver!A:C,2,false),"")</f>
        <v>f3cef536-7671-11f0-84d2-506b8d982279</v>
      </c>
      <c r="C489" s="5" t="str">
        <f>IFNA(VLOOKUP(E489,'Location Table'!A:C,2,false),"")</f>
        <v/>
      </c>
      <c r="D489" s="6" t="s">
        <v>274</v>
      </c>
      <c r="E489" s="6"/>
      <c r="F489" s="6" t="s">
        <v>112</v>
      </c>
      <c r="G489" s="7" t="str">
        <f>IFNA(VLOOKUP(F489,Driver!A:D,4,false),"")</f>
        <v/>
      </c>
      <c r="H489" s="8" t="str">
        <f>IFNA(VLOOKUP(F489,Driver!A:C,3,false),"")</f>
        <v/>
      </c>
      <c r="I489" s="9">
        <v>0.4583333333333333</v>
      </c>
      <c r="J489" s="9">
        <v>0.8333333333333334</v>
      </c>
      <c r="K489" s="9"/>
    </row>
    <row r="490" hidden="1">
      <c r="A490" s="5" t="str">
        <f>IFNA(VLOOKUP(D490,'Location Table'!A:C,2,false),"")</f>
        <v>fafc59d2-3b41-11ef-a36a-506b8d9879b5</v>
      </c>
      <c r="B490" s="5" t="str">
        <f>IFNA(VLOOKUP(F490,Driver!A:C,2,false),"")</f>
        <v>f3cef536-7671-11f0-84d2-506b8d982279</v>
      </c>
      <c r="C490" s="5" t="str">
        <f>IFNA(VLOOKUP(E490,'Location Table'!A:C,2,false),"")</f>
        <v/>
      </c>
      <c r="D490" s="6" t="s">
        <v>275</v>
      </c>
      <c r="E490" s="6"/>
      <c r="F490" s="6" t="s">
        <v>112</v>
      </c>
      <c r="G490" s="7" t="str">
        <f>IFNA(VLOOKUP(F490,Driver!A:D,4,false),"")</f>
        <v/>
      </c>
      <c r="H490" s="8" t="str">
        <f>IFNA(VLOOKUP(F490,Driver!A:C,3,false),"")</f>
        <v/>
      </c>
      <c r="I490" s="9">
        <v>0.4583333333333333</v>
      </c>
      <c r="J490" s="9">
        <v>0.8333333333333334</v>
      </c>
      <c r="K490" s="9"/>
    </row>
    <row r="491" hidden="1">
      <c r="A491" s="5" t="str">
        <f>IFNA(VLOOKUP(D491,'Location Table'!A:C,2,false),"")</f>
        <v>7e1b0ed8-1c64-11ee-a44a-506b8d9879b5</v>
      </c>
      <c r="B491" s="5" t="str">
        <f>IFNA(VLOOKUP(F491,Driver!A:C,2,false),"")</f>
        <v>f3cef536-7671-11f0-84d2-506b8d982279</v>
      </c>
      <c r="C491" s="5" t="str">
        <f>IFNA(VLOOKUP(E491,'Location Table'!A:C,2,false),"")</f>
        <v/>
      </c>
      <c r="D491" s="6" t="s">
        <v>276</v>
      </c>
      <c r="E491" s="6"/>
      <c r="F491" s="6" t="s">
        <v>112</v>
      </c>
      <c r="G491" s="7" t="str">
        <f>IFNA(VLOOKUP(F491,Driver!A:D,4,false),"")</f>
        <v/>
      </c>
      <c r="H491" s="8" t="str">
        <f>IFNA(VLOOKUP(F491,Driver!A:C,3,false),"")</f>
        <v/>
      </c>
      <c r="I491" s="9">
        <v>0.4583333333333333</v>
      </c>
      <c r="J491" s="9">
        <v>0.8333333333333334</v>
      </c>
      <c r="K491" s="9"/>
    </row>
    <row r="492" hidden="1">
      <c r="A492" s="5" t="str">
        <f>IFNA(VLOOKUP(D492,'Location Table'!A:C,2,false),"")</f>
        <v>afcfc01c-bf57-11ef-9985-506b8d9879b5</v>
      </c>
      <c r="B492" s="5" t="str">
        <f>IFNA(VLOOKUP(F492,Driver!A:C,2,false),"")</f>
        <v>f3cef536-7671-11f0-84d2-506b8d982279</v>
      </c>
      <c r="C492" s="5" t="str">
        <f>IFNA(VLOOKUP(E492,'Location Table'!A:C,2,false),"")</f>
        <v/>
      </c>
      <c r="D492" s="6" t="s">
        <v>277</v>
      </c>
      <c r="E492" s="6"/>
      <c r="F492" s="6" t="s">
        <v>112</v>
      </c>
      <c r="G492" s="7" t="str">
        <f>IFNA(VLOOKUP(F492,Driver!A:D,4,false),"")</f>
        <v/>
      </c>
      <c r="H492" s="8" t="str">
        <f>IFNA(VLOOKUP(F492,Driver!A:C,3,false),"")</f>
        <v/>
      </c>
      <c r="I492" s="9">
        <v>0.4583333333333333</v>
      </c>
      <c r="J492" s="9">
        <v>0.8333333333333334</v>
      </c>
      <c r="K492" s="9"/>
    </row>
    <row r="493" hidden="1">
      <c r="A493" s="5" t="str">
        <f>IFNA(VLOOKUP(D493,'Location Table'!A:C,2,false),"")</f>
        <v>35a70e9e-50bc-11ef-bbb1-506b8d9879b5</v>
      </c>
      <c r="B493" s="5" t="str">
        <f>IFNA(VLOOKUP(F493,Driver!A:C,2,false),"")</f>
        <v>f3cef536-7671-11f0-84d2-506b8d982279</v>
      </c>
      <c r="C493" s="5" t="str">
        <f>IFNA(VLOOKUP(E493,'Location Table'!A:C,2,false),"")</f>
        <v/>
      </c>
      <c r="D493" s="6" t="s">
        <v>278</v>
      </c>
      <c r="E493" s="6"/>
      <c r="F493" s="6" t="s">
        <v>112</v>
      </c>
      <c r="G493" s="7" t="str">
        <f>IFNA(VLOOKUP(F493,Driver!A:D,4,false),"")</f>
        <v/>
      </c>
      <c r="H493" s="8" t="str">
        <f>IFNA(VLOOKUP(F493,Driver!A:C,3,false),"")</f>
        <v/>
      </c>
      <c r="I493" s="9">
        <v>0.4583333333333333</v>
      </c>
      <c r="J493" s="9">
        <v>0.8333333333333334</v>
      </c>
      <c r="K493" s="9"/>
    </row>
    <row r="494" hidden="1">
      <c r="A494" s="5" t="str">
        <f>IFNA(VLOOKUP(D494,'Location Table'!A:C,2,false),"")</f>
        <v>c78fdb82-6805-11ef-bf49-506b8d9879b5</v>
      </c>
      <c r="B494" s="5" t="str">
        <f>IFNA(VLOOKUP(F494,Driver!A:C,2,false),"")</f>
        <v>f3cef536-7671-11f0-84d2-506b8d982279</v>
      </c>
      <c r="C494" s="5" t="str">
        <f>IFNA(VLOOKUP(E494,'Location Table'!A:C,2,false),"")</f>
        <v/>
      </c>
      <c r="D494" s="6" t="s">
        <v>279</v>
      </c>
      <c r="E494" s="6"/>
      <c r="F494" s="6" t="s">
        <v>112</v>
      </c>
      <c r="G494" s="7" t="str">
        <f>IFNA(VLOOKUP(F494,Driver!A:D,4,false),"")</f>
        <v/>
      </c>
      <c r="H494" s="8" t="str">
        <f>IFNA(VLOOKUP(F494,Driver!A:C,3,false),"")</f>
        <v/>
      </c>
      <c r="I494" s="9">
        <v>0.4583333333333333</v>
      </c>
      <c r="J494" s="9">
        <v>0.8333333333333334</v>
      </c>
      <c r="K494" s="9"/>
    </row>
    <row r="495" hidden="1">
      <c r="A495" s="5" t="str">
        <f>IFNA(VLOOKUP(D495,'Location Table'!A:C,2,false),"")</f>
        <v>4f54e06a-77e0-11ee-91f6-506b8d9879b5</v>
      </c>
      <c r="B495" s="5" t="str">
        <f>IFNA(VLOOKUP(F495,Driver!A:C,2,false),"")</f>
        <v>f3cef536-7671-11f0-84d2-506b8d982279</v>
      </c>
      <c r="C495" s="5" t="str">
        <f>IFNA(VLOOKUP(E495,'Location Table'!A:C,2,false),"")</f>
        <v/>
      </c>
      <c r="D495" s="6" t="s">
        <v>280</v>
      </c>
      <c r="E495" s="6"/>
      <c r="F495" s="6" t="s">
        <v>112</v>
      </c>
      <c r="G495" s="7" t="str">
        <f>IFNA(VLOOKUP(F495,Driver!A:D,4,false),"")</f>
        <v/>
      </c>
      <c r="H495" s="8" t="str">
        <f>IFNA(VLOOKUP(F495,Driver!A:C,3,false),"")</f>
        <v/>
      </c>
      <c r="I495" s="9">
        <v>0.4583333333333333</v>
      </c>
      <c r="J495" s="9">
        <v>0.8333333333333334</v>
      </c>
      <c r="K495" s="9"/>
    </row>
    <row r="496" hidden="1">
      <c r="A496" s="5" t="str">
        <f>IFNA(VLOOKUP(D496,'Location Table'!A:C,2,false),"")</f>
        <v>ad47e07c-dae5-11f0-9e7c-506b8d982279</v>
      </c>
      <c r="B496" s="5" t="str">
        <f>IFNA(VLOOKUP(F496,Driver!A:C,2,false),"")</f>
        <v>f3cef536-7671-11f0-84d2-506b8d982279</v>
      </c>
      <c r="C496" s="5" t="str">
        <f>IFNA(VLOOKUP(E496,'Location Table'!A:C,2,false),"")</f>
        <v/>
      </c>
      <c r="D496" s="6" t="s">
        <v>281</v>
      </c>
      <c r="E496" s="6"/>
      <c r="F496" s="6" t="s">
        <v>112</v>
      </c>
      <c r="G496" s="7" t="str">
        <f>IFNA(VLOOKUP(F496,Driver!A:D,4,false),"")</f>
        <v/>
      </c>
      <c r="H496" s="8" t="str">
        <f>IFNA(VLOOKUP(F496,Driver!A:C,3,false),"")</f>
        <v/>
      </c>
      <c r="I496" s="9">
        <v>0.4583333333333333</v>
      </c>
      <c r="J496" s="9">
        <v>0.8333333333333334</v>
      </c>
      <c r="K496" s="9"/>
    </row>
    <row r="497" hidden="1">
      <c r="A497" s="5" t="str">
        <f>IFNA(VLOOKUP(D497,'Location Table'!A:C,2,false),"")</f>
        <v>fcd0a9f6-ad20-11ef-90e1-506b8d9879b5</v>
      </c>
      <c r="B497" s="5" t="str">
        <f>IFNA(VLOOKUP(F497,Driver!A:C,2,false),"")</f>
        <v>f3cef536-7671-11f0-84d2-506b8d982279</v>
      </c>
      <c r="C497" s="5" t="str">
        <f>IFNA(VLOOKUP(E497,'Location Table'!A:C,2,false),"")</f>
        <v/>
      </c>
      <c r="D497" s="6" t="s">
        <v>282</v>
      </c>
      <c r="E497" s="6"/>
      <c r="F497" s="6" t="s">
        <v>112</v>
      </c>
      <c r="G497" s="7" t="str">
        <f>IFNA(VLOOKUP(F497,Driver!A:D,4,false),"")</f>
        <v/>
      </c>
      <c r="H497" s="8" t="str">
        <f>IFNA(VLOOKUP(F497,Driver!A:C,3,false),"")</f>
        <v/>
      </c>
      <c r="I497" s="9">
        <v>0.4583333333333333</v>
      </c>
      <c r="J497" s="9">
        <v>0.8333333333333334</v>
      </c>
      <c r="K497" s="9"/>
    </row>
    <row r="498" hidden="1">
      <c r="A498" s="5" t="str">
        <f>IFNA(VLOOKUP(D498,'Location Table'!A:C,2,false),"")</f>
        <v>1e43d74c-8901-11ee-a635-506b8d9879b5</v>
      </c>
      <c r="B498" s="5" t="str">
        <f>IFNA(VLOOKUP(F498,Driver!A:C,2,false),"")</f>
        <v>f3cef536-7671-11f0-84d2-506b8d982279</v>
      </c>
      <c r="C498" s="5" t="str">
        <f>IFNA(VLOOKUP(E498,'Location Table'!A:C,2,false),"")</f>
        <v/>
      </c>
      <c r="D498" s="6" t="s">
        <v>283</v>
      </c>
      <c r="E498" s="6"/>
      <c r="F498" s="6" t="s">
        <v>112</v>
      </c>
      <c r="G498" s="7" t="str">
        <f>IFNA(VLOOKUP(F498,Driver!A:D,4,false),"")</f>
        <v/>
      </c>
      <c r="H498" s="8" t="str">
        <f>IFNA(VLOOKUP(F498,Driver!A:C,3,false),"")</f>
        <v/>
      </c>
      <c r="I498" s="9">
        <v>0.4583333333333333</v>
      </c>
      <c r="J498" s="9">
        <v>0.8333333333333334</v>
      </c>
      <c r="K498" s="9"/>
    </row>
    <row r="499" hidden="1">
      <c r="A499" s="5" t="str">
        <f>IFNA(VLOOKUP(D499,'Location Table'!A:C,2,false),"")</f>
        <v>0d699b42-97d3-11ee-9e8a-506b8d9879b5</v>
      </c>
      <c r="B499" s="5" t="str">
        <f>IFNA(VLOOKUP(F499,Driver!A:C,2,false),"")</f>
        <v>f3cef536-7671-11f0-84d2-506b8d982279</v>
      </c>
      <c r="C499" s="5" t="str">
        <f>IFNA(VLOOKUP(E499,'Location Table'!A:C,2,false),"")</f>
        <v/>
      </c>
      <c r="D499" s="6" t="s">
        <v>284</v>
      </c>
      <c r="E499" s="6"/>
      <c r="F499" s="6" t="s">
        <v>112</v>
      </c>
      <c r="G499" s="7" t="str">
        <f>IFNA(VLOOKUP(F499,Driver!A:D,4,false),"")</f>
        <v/>
      </c>
      <c r="H499" s="8" t="str">
        <f>IFNA(VLOOKUP(F499,Driver!A:C,3,false),"")</f>
        <v/>
      </c>
      <c r="I499" s="9">
        <v>0.4583333333333333</v>
      </c>
      <c r="J499" s="9">
        <v>0.8333333333333334</v>
      </c>
      <c r="K499" s="9"/>
    </row>
    <row r="500" hidden="1">
      <c r="A500" s="5" t="str">
        <f>IFNA(VLOOKUP(D500,'Location Table'!A:C,2,false),"")</f>
        <v>f94adc10-13de-11ef-8481-506b8d9879b5</v>
      </c>
      <c r="B500" s="5" t="str">
        <f>IFNA(VLOOKUP(F500,Driver!A:C,2,false),"")</f>
        <v>f3cef536-7671-11f0-84d2-506b8d982279</v>
      </c>
      <c r="C500" s="5" t="str">
        <f>IFNA(VLOOKUP(E500,'Location Table'!A:C,2,false),"")</f>
        <v/>
      </c>
      <c r="D500" s="6" t="s">
        <v>285</v>
      </c>
      <c r="E500" s="6"/>
      <c r="F500" s="6" t="s">
        <v>112</v>
      </c>
      <c r="G500" s="7" t="str">
        <f>IFNA(VLOOKUP(F500,Driver!A:D,4,false),"")</f>
        <v/>
      </c>
      <c r="H500" s="8" t="str">
        <f>IFNA(VLOOKUP(F500,Driver!A:C,3,false),"")</f>
        <v/>
      </c>
      <c r="I500" s="9">
        <v>0.4583333333333333</v>
      </c>
      <c r="J500" s="9">
        <v>0.8333333333333334</v>
      </c>
      <c r="K500" s="9"/>
    </row>
    <row r="501" hidden="1">
      <c r="A501" s="5" t="str">
        <f>IFNA(VLOOKUP(D501,'Location Table'!A:C,2,false),"")</f>
        <v>323b0f74-7d10-11ee-b82b-506b8d9879b5</v>
      </c>
      <c r="B501" s="5" t="str">
        <f>IFNA(VLOOKUP(F501,Driver!A:C,2,false),"")</f>
        <v>f3cef536-7671-11f0-84d2-506b8d982279</v>
      </c>
      <c r="C501" s="5" t="str">
        <f>IFNA(VLOOKUP(E501,'Location Table'!A:C,2,false),"")</f>
        <v/>
      </c>
      <c r="D501" s="6" t="s">
        <v>286</v>
      </c>
      <c r="E501" s="6"/>
      <c r="F501" s="6" t="s">
        <v>112</v>
      </c>
      <c r="G501" s="7" t="str">
        <f>IFNA(VLOOKUP(F501,Driver!A:D,4,false),"")</f>
        <v/>
      </c>
      <c r="H501" s="8" t="str">
        <f>IFNA(VLOOKUP(F501,Driver!A:C,3,false),"")</f>
        <v/>
      </c>
      <c r="I501" s="9">
        <v>0.4583333333333333</v>
      </c>
      <c r="J501" s="9">
        <v>0.8333333333333334</v>
      </c>
      <c r="K501" s="9"/>
    </row>
    <row r="502" hidden="1">
      <c r="A502" s="5" t="str">
        <f>IFNA(VLOOKUP(D502,'Location Table'!A:C,2,false),"")</f>
        <v>1b46fb96-02b9-11ef-8bdd-506b8d9879b5</v>
      </c>
      <c r="B502" s="5" t="str">
        <f>IFNA(VLOOKUP(F502,Driver!A:C,2,false),"")</f>
        <v>f3cef536-7671-11f0-84d2-506b8d982279</v>
      </c>
      <c r="C502" s="5" t="str">
        <f>IFNA(VLOOKUP(E502,'Location Table'!A:C,2,false),"")</f>
        <v/>
      </c>
      <c r="D502" s="6" t="s">
        <v>287</v>
      </c>
      <c r="E502" s="6"/>
      <c r="F502" s="6" t="s">
        <v>112</v>
      </c>
      <c r="G502" s="7" t="str">
        <f>IFNA(VLOOKUP(F502,Driver!A:D,4,false),"")</f>
        <v/>
      </c>
      <c r="H502" s="8" t="str">
        <f>IFNA(VLOOKUP(F502,Driver!A:C,3,false),"")</f>
        <v/>
      </c>
      <c r="I502" s="9">
        <v>0.4583333333333333</v>
      </c>
      <c r="J502" s="9">
        <v>0.8333333333333334</v>
      </c>
      <c r="K502" s="9"/>
    </row>
    <row r="503" hidden="1">
      <c r="A503" s="5" t="str">
        <f>IFNA(VLOOKUP(D503,'Location Table'!A:C,2,false),"")</f>
        <v>d8d6e692-4531-11f0-a968-506b8d982279</v>
      </c>
      <c r="B503" s="5" t="str">
        <f>IFNA(VLOOKUP(F503,Driver!A:C,2,false),"")</f>
        <v>f3cef536-7671-11f0-84d2-506b8d982279</v>
      </c>
      <c r="C503" s="5" t="str">
        <f>IFNA(VLOOKUP(E503,'Location Table'!A:C,2,false),"")</f>
        <v/>
      </c>
      <c r="D503" s="6" t="s">
        <v>288</v>
      </c>
      <c r="E503" s="6"/>
      <c r="F503" s="6" t="s">
        <v>112</v>
      </c>
      <c r="G503" s="7" t="str">
        <f>IFNA(VLOOKUP(F503,Driver!A:D,4,false),"")</f>
        <v/>
      </c>
      <c r="H503" s="8" t="str">
        <f>IFNA(VLOOKUP(F503,Driver!A:C,3,false),"")</f>
        <v/>
      </c>
      <c r="I503" s="9">
        <v>0.4583333333333333</v>
      </c>
      <c r="J503" s="9">
        <v>0.8333333333333334</v>
      </c>
      <c r="K503" s="9"/>
    </row>
    <row r="504" hidden="1">
      <c r="A504" s="5" t="str">
        <f>IFNA(VLOOKUP(D504,'Location Table'!A:C,2,false),"")</f>
        <v>8e7dd344-c9bc-11ef-ad21-506b8d9879b5</v>
      </c>
      <c r="B504" s="5" t="str">
        <f>IFNA(VLOOKUP(F504,Driver!A:C,2,false),"")</f>
        <v>f3cef536-7671-11f0-84d2-506b8d982279</v>
      </c>
      <c r="C504" s="5" t="str">
        <f>IFNA(VLOOKUP(E504,'Location Table'!A:C,2,false),"")</f>
        <v/>
      </c>
      <c r="D504" s="6" t="s">
        <v>289</v>
      </c>
      <c r="E504" s="6"/>
      <c r="F504" s="6" t="s">
        <v>112</v>
      </c>
      <c r="G504" s="7" t="str">
        <f>IFNA(VLOOKUP(F504,Driver!A:D,4,false),"")</f>
        <v/>
      </c>
      <c r="H504" s="8" t="str">
        <f>IFNA(VLOOKUP(F504,Driver!A:C,3,false),"")</f>
        <v/>
      </c>
      <c r="I504" s="9">
        <v>0.4583333333333333</v>
      </c>
      <c r="J504" s="9">
        <v>0.8333333333333334</v>
      </c>
      <c r="K504" s="9"/>
    </row>
    <row r="505" hidden="1">
      <c r="A505" s="5" t="str">
        <f>IFNA(VLOOKUP(D505,'Location Table'!A:C,2,false),"")</f>
        <v>051eba38-cf32-11f0-b412-506b8d982279</v>
      </c>
      <c r="B505" s="5" t="str">
        <f>IFNA(VLOOKUP(F505,Driver!A:C,2,false),"")</f>
        <v>f3cef536-7671-11f0-84d2-506b8d982279</v>
      </c>
      <c r="C505" s="5" t="str">
        <f>IFNA(VLOOKUP(E505,'Location Table'!A:C,2,false),"")</f>
        <v/>
      </c>
      <c r="D505" s="6" t="s">
        <v>290</v>
      </c>
      <c r="E505" s="6"/>
      <c r="F505" s="6" t="s">
        <v>112</v>
      </c>
      <c r="G505" s="7" t="str">
        <f>IFNA(VLOOKUP(F505,Driver!A:D,4,false),"")</f>
        <v/>
      </c>
      <c r="H505" s="8" t="str">
        <f>IFNA(VLOOKUP(F505,Driver!A:C,3,false),"")</f>
        <v/>
      </c>
      <c r="I505" s="9">
        <v>0.4583333333333333</v>
      </c>
      <c r="J505" s="9">
        <v>0.8333333333333334</v>
      </c>
      <c r="K505" s="9"/>
    </row>
    <row r="506" hidden="1">
      <c r="A506" s="5" t="str">
        <f>IFNA(VLOOKUP(D506,'Location Table'!A:C,2,false),"")</f>
        <v>35ffceee-7baf-11ef-916b-506b8d9879b5</v>
      </c>
      <c r="B506" s="5" t="str">
        <f>IFNA(VLOOKUP(F506,Driver!A:C,2,false),"")</f>
        <v>f3cef536-7671-11f0-84d2-506b8d982279</v>
      </c>
      <c r="C506" s="5" t="str">
        <f>IFNA(VLOOKUP(E506,'Location Table'!A:C,2,false),"")</f>
        <v/>
      </c>
      <c r="D506" s="6" t="s">
        <v>291</v>
      </c>
      <c r="E506" s="6"/>
      <c r="F506" s="6" t="s">
        <v>112</v>
      </c>
      <c r="G506" s="7" t="str">
        <f>IFNA(VLOOKUP(F506,Driver!A:D,4,false),"")</f>
        <v/>
      </c>
      <c r="H506" s="8" t="str">
        <f>IFNA(VLOOKUP(F506,Driver!A:C,3,false),"")</f>
        <v/>
      </c>
      <c r="I506" s="9">
        <v>0.4583333333333333</v>
      </c>
      <c r="J506" s="9">
        <v>0.8333333333333334</v>
      </c>
      <c r="K506" s="9"/>
    </row>
    <row r="507" hidden="1">
      <c r="A507" s="5" t="str">
        <f>IFNA(VLOOKUP(D507,'Location Table'!A:C,2,false),"")</f>
        <v>44225afc-0a96-11f0-b7f4-506b8d982279</v>
      </c>
      <c r="B507" s="5" t="str">
        <f>IFNA(VLOOKUP(F507,Driver!A:C,2,false),"")</f>
        <v>f3cef536-7671-11f0-84d2-506b8d982279</v>
      </c>
      <c r="C507" s="5" t="str">
        <f>IFNA(VLOOKUP(E507,'Location Table'!A:C,2,false),"")</f>
        <v/>
      </c>
      <c r="D507" s="6" t="s">
        <v>292</v>
      </c>
      <c r="E507" s="6"/>
      <c r="F507" s="6" t="s">
        <v>112</v>
      </c>
      <c r="G507" s="7" t="str">
        <f>IFNA(VLOOKUP(F507,Driver!A:D,4,false),"")</f>
        <v/>
      </c>
      <c r="H507" s="8" t="str">
        <f>IFNA(VLOOKUP(F507,Driver!A:C,3,false),"")</f>
        <v/>
      </c>
      <c r="I507" s="9">
        <v>0.4583333333333333</v>
      </c>
      <c r="J507" s="9">
        <v>0.8333333333333334</v>
      </c>
      <c r="K507" s="9"/>
    </row>
    <row r="508" hidden="1">
      <c r="A508" s="5" t="str">
        <f>IFNA(VLOOKUP(D508,'Location Table'!A:C,2,false),"")</f>
        <v>70d6804e-4b44-11ef-abeb-506b8d9879b5</v>
      </c>
      <c r="B508" s="5" t="str">
        <f>IFNA(VLOOKUP(F508,Driver!A:C,2,false),"")</f>
        <v>f3cef536-7671-11f0-84d2-506b8d982279</v>
      </c>
      <c r="C508" s="5" t="str">
        <f>IFNA(VLOOKUP(E508,'Location Table'!A:C,2,false),"")</f>
        <v/>
      </c>
      <c r="D508" s="6" t="s">
        <v>293</v>
      </c>
      <c r="E508" s="6"/>
      <c r="F508" s="6" t="s">
        <v>112</v>
      </c>
      <c r="G508" s="7" t="str">
        <f>IFNA(VLOOKUP(F508,Driver!A:D,4,false),"")</f>
        <v/>
      </c>
      <c r="H508" s="8" t="str">
        <f>IFNA(VLOOKUP(F508,Driver!A:C,3,false),"")</f>
        <v/>
      </c>
      <c r="I508" s="9">
        <v>0.4583333333333333</v>
      </c>
      <c r="J508" s="9">
        <v>0.8333333333333334</v>
      </c>
      <c r="K508" s="9"/>
    </row>
    <row r="509" hidden="1">
      <c r="A509" s="5" t="str">
        <f>IFNA(VLOOKUP(D509,'Location Table'!A:C,2,false),"")</f>
        <v>fa0f6060-4f9f-11ef-bb9f-506b8d9879b5</v>
      </c>
      <c r="B509" s="5" t="str">
        <f>IFNA(VLOOKUP(F509,Driver!A:C,2,false),"")</f>
        <v>f3cef536-7671-11f0-84d2-506b8d982279</v>
      </c>
      <c r="C509" s="5" t="str">
        <f>IFNA(VLOOKUP(E509,'Location Table'!A:C,2,false),"")</f>
        <v/>
      </c>
      <c r="D509" s="6" t="s">
        <v>294</v>
      </c>
      <c r="E509" s="6"/>
      <c r="F509" s="6" t="s">
        <v>112</v>
      </c>
      <c r="G509" s="7" t="str">
        <f>IFNA(VLOOKUP(F509,Driver!A:D,4,false),"")</f>
        <v/>
      </c>
      <c r="H509" s="8" t="str">
        <f>IFNA(VLOOKUP(F509,Driver!A:C,3,false),"")</f>
        <v/>
      </c>
      <c r="I509" s="9">
        <v>0.4583333333333333</v>
      </c>
      <c r="J509" s="9">
        <v>0.8333333333333334</v>
      </c>
      <c r="K509" s="9"/>
    </row>
    <row r="510" hidden="1">
      <c r="A510" s="5" t="str">
        <f>IFNA(VLOOKUP(D510,'Location Table'!A:C,2,false),"")</f>
        <v>22679c14-52e6-11ef-a589-506b8d9879b5</v>
      </c>
      <c r="B510" s="5" t="str">
        <f>IFNA(VLOOKUP(F510,Driver!A:C,2,false),"")</f>
        <v>f3cef536-7671-11f0-84d2-506b8d982279</v>
      </c>
      <c r="C510" s="5" t="str">
        <f>IFNA(VLOOKUP(E510,'Location Table'!A:C,2,false),"")</f>
        <v/>
      </c>
      <c r="D510" s="6" t="s">
        <v>295</v>
      </c>
      <c r="E510" s="6"/>
      <c r="F510" s="6" t="s">
        <v>112</v>
      </c>
      <c r="G510" s="7" t="str">
        <f>IFNA(VLOOKUP(F510,Driver!A:D,4,false),"")</f>
        <v/>
      </c>
      <c r="H510" s="8" t="str">
        <f>IFNA(VLOOKUP(F510,Driver!A:C,3,false),"")</f>
        <v/>
      </c>
      <c r="I510" s="9">
        <v>0.4583333333333333</v>
      </c>
      <c r="J510" s="9">
        <v>0.8333333333333334</v>
      </c>
      <c r="K510" s="9"/>
    </row>
    <row r="511" hidden="1">
      <c r="A511" s="5" t="str">
        <f>IFNA(VLOOKUP(D511,'Location Table'!A:C,2,false),"")</f>
        <v>d9fd5fe8-6f0c-11ef-a4aa-506b8d9879b5</v>
      </c>
      <c r="B511" s="5" t="str">
        <f>IFNA(VLOOKUP(F511,Driver!A:C,2,false),"")</f>
        <v>f3cef536-7671-11f0-84d2-506b8d982279</v>
      </c>
      <c r="C511" s="5" t="str">
        <f>IFNA(VLOOKUP(E511,'Location Table'!A:C,2,false),"")</f>
        <v/>
      </c>
      <c r="D511" s="6" t="s">
        <v>296</v>
      </c>
      <c r="E511" s="6"/>
      <c r="F511" s="6" t="s">
        <v>112</v>
      </c>
      <c r="G511" s="7" t="str">
        <f>IFNA(VLOOKUP(F511,Driver!A:D,4,false),"")</f>
        <v/>
      </c>
      <c r="H511" s="8" t="str">
        <f>IFNA(VLOOKUP(F511,Driver!A:C,3,false),"")</f>
        <v/>
      </c>
      <c r="I511" s="9">
        <v>0.4583333333333333</v>
      </c>
      <c r="J511" s="9">
        <v>0.8333333333333334</v>
      </c>
      <c r="K511" s="9"/>
    </row>
    <row r="512" hidden="1">
      <c r="A512" s="5" t="str">
        <f>IFNA(VLOOKUP(D512,'Location Table'!A:C,2,false),"")</f>
        <v>425ab5b8-765b-11ef-b8d8-506b8d9879b5</v>
      </c>
      <c r="B512" s="5" t="str">
        <f>IFNA(VLOOKUP(F512,Driver!A:C,2,false),"")</f>
        <v>f3cef536-7671-11f0-84d2-506b8d982279</v>
      </c>
      <c r="C512" s="5" t="str">
        <f>IFNA(VLOOKUP(E512,'Location Table'!A:C,2,false),"")</f>
        <v/>
      </c>
      <c r="D512" s="6" t="s">
        <v>297</v>
      </c>
      <c r="E512" s="6"/>
      <c r="F512" s="6" t="s">
        <v>112</v>
      </c>
      <c r="G512" s="7" t="str">
        <f>IFNA(VLOOKUP(F512,Driver!A:D,4,false),"")</f>
        <v/>
      </c>
      <c r="H512" s="8" t="str">
        <f>IFNA(VLOOKUP(F512,Driver!A:C,3,false),"")</f>
        <v/>
      </c>
      <c r="I512" s="9">
        <v>0.4583333333333333</v>
      </c>
      <c r="J512" s="9">
        <v>0.8333333333333334</v>
      </c>
      <c r="K512" s="9"/>
    </row>
    <row r="513" hidden="1">
      <c r="A513" s="5" t="str">
        <f>IFNA(VLOOKUP(D513,'Location Table'!A:C,2,false),"")</f>
        <v>d758c56e-a546-11ef-801d-506b8d9879b5</v>
      </c>
      <c r="B513" s="5" t="str">
        <f>IFNA(VLOOKUP(F513,Driver!A:C,2,false),"")</f>
        <v>f3cef536-7671-11f0-84d2-506b8d982279</v>
      </c>
      <c r="C513" s="5" t="str">
        <f>IFNA(VLOOKUP(E513,'Location Table'!A:C,2,false),"")</f>
        <v/>
      </c>
      <c r="D513" s="6" t="s">
        <v>298</v>
      </c>
      <c r="E513" s="6"/>
      <c r="F513" s="6" t="s">
        <v>112</v>
      </c>
      <c r="G513" s="7" t="str">
        <f>IFNA(VLOOKUP(F513,Driver!A:D,4,false),"")</f>
        <v/>
      </c>
      <c r="H513" s="8" t="str">
        <f>IFNA(VLOOKUP(F513,Driver!A:C,3,false),"")</f>
        <v/>
      </c>
      <c r="I513" s="9">
        <v>0.4583333333333333</v>
      </c>
      <c r="J513" s="9">
        <v>0.8333333333333334</v>
      </c>
      <c r="K513" s="9"/>
    </row>
    <row r="514" hidden="1">
      <c r="A514" s="5" t="str">
        <f>IFNA(VLOOKUP(D514,'Location Table'!A:C,2,false),"")</f>
        <v>799b3e00-b38a-11ef-b4d3-506b8d9879b5</v>
      </c>
      <c r="B514" s="5" t="str">
        <f>IFNA(VLOOKUP(F514,Driver!A:C,2,false),"")</f>
        <v>f3cef536-7671-11f0-84d2-506b8d982279</v>
      </c>
      <c r="C514" s="5" t="str">
        <f>IFNA(VLOOKUP(E514,'Location Table'!A:C,2,false),"")</f>
        <v/>
      </c>
      <c r="D514" s="6" t="s">
        <v>299</v>
      </c>
      <c r="E514" s="6"/>
      <c r="F514" s="6" t="s">
        <v>112</v>
      </c>
      <c r="G514" s="7" t="str">
        <f>IFNA(VLOOKUP(F514,Driver!A:D,4,false),"")</f>
        <v/>
      </c>
      <c r="H514" s="8" t="str">
        <f>IFNA(VLOOKUP(F514,Driver!A:C,3,false),"")</f>
        <v/>
      </c>
      <c r="I514" s="9">
        <v>0.4583333333333333</v>
      </c>
      <c r="J514" s="9">
        <v>0.8333333333333334</v>
      </c>
      <c r="K514" s="9"/>
    </row>
    <row r="515" hidden="1">
      <c r="A515" s="5" t="str">
        <f>IFNA(VLOOKUP(D515,'Location Table'!A:C,2,false),"")</f>
        <v>baf592d8-9dae-11f0-81c0-506b8d982279</v>
      </c>
      <c r="B515" s="5" t="str">
        <f>IFNA(VLOOKUP(F515,Driver!A:C,2,false),"")</f>
        <v>f3cef536-7671-11f0-84d2-506b8d982279</v>
      </c>
      <c r="C515" s="5" t="str">
        <f>IFNA(VLOOKUP(E515,'Location Table'!A:C,2,false),"")</f>
        <v/>
      </c>
      <c r="D515" s="6" t="s">
        <v>300</v>
      </c>
      <c r="E515" s="6"/>
      <c r="F515" s="6" t="s">
        <v>112</v>
      </c>
      <c r="G515" s="7" t="str">
        <f>IFNA(VLOOKUP(F515,Driver!A:D,4,false),"")</f>
        <v/>
      </c>
      <c r="H515" s="8" t="str">
        <f>IFNA(VLOOKUP(F515,Driver!A:C,3,false),"")</f>
        <v/>
      </c>
      <c r="I515" s="9">
        <v>0.4583333333333333</v>
      </c>
      <c r="J515" s="9">
        <v>0.8333333333333334</v>
      </c>
      <c r="K515" s="9"/>
    </row>
    <row r="516" hidden="1">
      <c r="A516" s="5" t="str">
        <f>IFNA(VLOOKUP(D516,'Location Table'!A:C,2,false),"")</f>
        <v>4061af16-d620-11f0-b121-506b8d982279</v>
      </c>
      <c r="B516" s="5" t="str">
        <f>IFNA(VLOOKUP(F516,Driver!A:C,2,false),"")</f>
        <v>f3cef536-7671-11f0-84d2-506b8d982279</v>
      </c>
      <c r="C516" s="5" t="str">
        <f>IFNA(VLOOKUP(E516,'Location Table'!A:C,2,false),"")</f>
        <v/>
      </c>
      <c r="D516" s="6" t="s">
        <v>301</v>
      </c>
      <c r="E516" s="6"/>
      <c r="F516" s="6" t="s">
        <v>112</v>
      </c>
      <c r="G516" s="7" t="str">
        <f>IFNA(VLOOKUP(F516,Driver!A:D,4,false),"")</f>
        <v/>
      </c>
      <c r="H516" s="8" t="str">
        <f>IFNA(VLOOKUP(F516,Driver!A:C,3,false),"")</f>
        <v/>
      </c>
      <c r="I516" s="9">
        <v>0.4583333333333333</v>
      </c>
      <c r="J516" s="9">
        <v>0.8333333333333334</v>
      </c>
      <c r="K516" s="9"/>
    </row>
    <row r="517" hidden="1">
      <c r="A517" s="5" t="str">
        <f>IFNA(VLOOKUP(D517,'Location Table'!A:C,2,false),"")</f>
        <v>3e36323e-a975-11f0-a790-506b8d982279</v>
      </c>
      <c r="B517" s="5" t="str">
        <f>IFNA(VLOOKUP(F517,Driver!A:C,2,false),"")</f>
        <v>f3cef536-7671-11f0-84d2-506b8d982279</v>
      </c>
      <c r="C517" s="5" t="str">
        <f>IFNA(VLOOKUP(E517,'Location Table'!A:C,2,false),"")</f>
        <v/>
      </c>
      <c r="D517" s="6" t="s">
        <v>302</v>
      </c>
      <c r="E517" s="6"/>
      <c r="F517" s="6" t="s">
        <v>112</v>
      </c>
      <c r="G517" s="7" t="str">
        <f>IFNA(VLOOKUP(F517,Driver!A:D,4,false),"")</f>
        <v/>
      </c>
      <c r="H517" s="8" t="str">
        <f>IFNA(VLOOKUP(F517,Driver!A:C,3,false),"")</f>
        <v/>
      </c>
      <c r="I517" s="9">
        <v>0.4583333333333333</v>
      </c>
      <c r="J517" s="9">
        <v>0.8333333333333334</v>
      </c>
      <c r="K517" s="9"/>
    </row>
    <row r="518" hidden="1">
      <c r="A518" s="5" t="str">
        <f>IFNA(VLOOKUP(D518,'Location Table'!A:C,2,false),"")</f>
        <v>d79450a8-ca70-11ef-a888-506b8d9879b5</v>
      </c>
      <c r="B518" s="5" t="str">
        <f>IFNA(VLOOKUP(F518,Driver!A:C,2,false),"")</f>
        <v>f3cef536-7671-11f0-84d2-506b8d982279</v>
      </c>
      <c r="C518" s="5" t="str">
        <f>IFNA(VLOOKUP(E518,'Location Table'!A:C,2,false),"")</f>
        <v/>
      </c>
      <c r="D518" s="6" t="s">
        <v>303</v>
      </c>
      <c r="E518" s="6"/>
      <c r="F518" s="6" t="s">
        <v>112</v>
      </c>
      <c r="G518" s="7" t="str">
        <f>IFNA(VLOOKUP(F518,Driver!A:D,4,false),"")</f>
        <v/>
      </c>
      <c r="H518" s="8" t="str">
        <f>IFNA(VLOOKUP(F518,Driver!A:C,3,false),"")</f>
        <v/>
      </c>
      <c r="I518" s="9">
        <v>0.4583333333333333</v>
      </c>
      <c r="J518" s="9">
        <v>0.8333333333333334</v>
      </c>
      <c r="K518" s="9"/>
    </row>
    <row r="519" hidden="1">
      <c r="A519" s="5" t="str">
        <f>IFNA(VLOOKUP(D519,'Location Table'!A:C,2,false),"")</f>
        <v>dd3d2fcc-0111-11ee-96ed-506b8dbc8dfb</v>
      </c>
      <c r="B519" s="5" t="str">
        <f>IFNA(VLOOKUP(F519,Driver!A:C,2,false),"")</f>
        <v>f3cef536-7671-11f0-84d2-506b8d982279</v>
      </c>
      <c r="C519" s="5" t="str">
        <f>IFNA(VLOOKUP(E519,'Location Table'!A:C,2,false),"")</f>
        <v/>
      </c>
      <c r="D519" s="6" t="s">
        <v>304</v>
      </c>
      <c r="E519" s="6"/>
      <c r="F519" s="6" t="s">
        <v>112</v>
      </c>
      <c r="G519" s="7" t="str">
        <f>IFNA(VLOOKUP(F519,Driver!A:D,4,false),"")</f>
        <v/>
      </c>
      <c r="H519" s="8" t="str">
        <f>IFNA(VLOOKUP(F519,Driver!A:C,3,false),"")</f>
        <v/>
      </c>
      <c r="I519" s="9">
        <v>0.4583333333333333</v>
      </c>
      <c r="J519" s="9">
        <v>0.8333333333333334</v>
      </c>
      <c r="K519" s="9"/>
    </row>
    <row r="520" hidden="1">
      <c r="A520" s="5" t="str">
        <f>IFNA(VLOOKUP(D520,'Location Table'!A:C,2,false),"")</f>
        <v>b4c275cc-8070-11ef-83a4-506b8d9879b5</v>
      </c>
      <c r="B520" s="5" t="str">
        <f>IFNA(VLOOKUP(F520,Driver!A:C,2,false),"")</f>
        <v>f3cef536-7671-11f0-84d2-506b8d982279</v>
      </c>
      <c r="C520" s="5" t="str">
        <f>IFNA(VLOOKUP(E520,'Location Table'!A:C,2,false),"")</f>
        <v/>
      </c>
      <c r="D520" s="6" t="s">
        <v>305</v>
      </c>
      <c r="E520" s="6"/>
      <c r="F520" s="6" t="s">
        <v>112</v>
      </c>
      <c r="G520" s="7" t="str">
        <f>IFNA(VLOOKUP(F520,Driver!A:D,4,false),"")</f>
        <v/>
      </c>
      <c r="H520" s="8" t="str">
        <f>IFNA(VLOOKUP(F520,Driver!A:C,3,false),"")</f>
        <v/>
      </c>
      <c r="I520" s="9">
        <v>0.4583333333333333</v>
      </c>
      <c r="J520" s="9">
        <v>0.8333333333333334</v>
      </c>
      <c r="K520" s="9"/>
    </row>
    <row r="521" hidden="1">
      <c r="A521" s="5" t="str">
        <f>IFNA(VLOOKUP(D521,'Location Table'!A:C,2,false),"")</f>
        <v>f6cf48fa-2a03-11ef-86e0-506b8d9879b5</v>
      </c>
      <c r="B521" s="5" t="str">
        <f>IFNA(VLOOKUP(F521,Driver!A:C,2,false),"")</f>
        <v>f3cef536-7671-11f0-84d2-506b8d982279</v>
      </c>
      <c r="C521" s="5" t="str">
        <f>IFNA(VLOOKUP(E521,'Location Table'!A:C,2,false),"")</f>
        <v/>
      </c>
      <c r="D521" s="6" t="s">
        <v>306</v>
      </c>
      <c r="E521" s="6"/>
      <c r="F521" s="6" t="s">
        <v>112</v>
      </c>
      <c r="G521" s="7" t="str">
        <f>IFNA(VLOOKUP(F521,Driver!A:D,4,false),"")</f>
        <v/>
      </c>
      <c r="H521" s="8" t="str">
        <f>IFNA(VLOOKUP(F521,Driver!A:C,3,false),"")</f>
        <v/>
      </c>
      <c r="I521" s="9">
        <v>0.4583333333333333</v>
      </c>
      <c r="J521" s="9">
        <v>0.8333333333333334</v>
      </c>
      <c r="K521" s="9"/>
    </row>
    <row r="522" hidden="1">
      <c r="A522" s="5" t="str">
        <f>IFNA(VLOOKUP(D522,'Location Table'!A:C,2,false),"")</f>
        <v>c0c4459e-010f-11ee-a6cd-506b8dbc8dfb</v>
      </c>
      <c r="B522" s="5" t="str">
        <f>IFNA(VLOOKUP(F522,Driver!A:C,2,false),"")</f>
        <v>f3cef536-7671-11f0-84d2-506b8d982279</v>
      </c>
      <c r="C522" s="5" t="str">
        <f>IFNA(VLOOKUP(E522,'Location Table'!A:C,2,false),"")</f>
        <v/>
      </c>
      <c r="D522" s="6" t="s">
        <v>307</v>
      </c>
      <c r="E522" s="6"/>
      <c r="F522" s="6" t="s">
        <v>112</v>
      </c>
      <c r="G522" s="7" t="str">
        <f>IFNA(VLOOKUP(F522,Driver!A:D,4,false),"")</f>
        <v/>
      </c>
      <c r="H522" s="8" t="str">
        <f>IFNA(VLOOKUP(F522,Driver!A:C,3,false),"")</f>
        <v/>
      </c>
      <c r="I522" s="9">
        <v>0.4583333333333333</v>
      </c>
      <c r="J522" s="9">
        <v>0.8333333333333334</v>
      </c>
      <c r="K522" s="9"/>
    </row>
    <row r="523" hidden="1">
      <c r="A523" s="5" t="str">
        <f>IFNA(VLOOKUP(D523,'Location Table'!A:C,2,false),"")</f>
        <v>407d272e-0110-11ee-b0a3-506b8dbc8dfb</v>
      </c>
      <c r="B523" s="5" t="str">
        <f>IFNA(VLOOKUP(F523,Driver!A:C,2,false),"")</f>
        <v>f3cef536-7671-11f0-84d2-506b8d982279</v>
      </c>
      <c r="C523" s="5" t="str">
        <f>IFNA(VLOOKUP(E523,'Location Table'!A:C,2,false),"")</f>
        <v/>
      </c>
      <c r="D523" s="6" t="s">
        <v>308</v>
      </c>
      <c r="E523" s="6"/>
      <c r="F523" s="6" t="s">
        <v>112</v>
      </c>
      <c r="G523" s="7" t="str">
        <f>IFNA(VLOOKUP(F523,Driver!A:D,4,false),"")</f>
        <v/>
      </c>
      <c r="H523" s="8" t="str">
        <f>IFNA(VLOOKUP(F523,Driver!A:C,3,false),"")</f>
        <v/>
      </c>
      <c r="I523" s="9">
        <v>0.4583333333333333</v>
      </c>
      <c r="J523" s="9">
        <v>0.8333333333333334</v>
      </c>
      <c r="K523" s="9"/>
    </row>
    <row r="524" hidden="1">
      <c r="A524" s="5" t="str">
        <f>IFNA(VLOOKUP(D524,'Location Table'!A:C,2,false),"")</f>
        <v>c320f744-4a06-11ed-adc5-506b8dbc8dfb</v>
      </c>
      <c r="B524" s="5" t="str">
        <f>IFNA(VLOOKUP(F524,Driver!A:C,2,false),"")</f>
        <v>f3cef536-7671-11f0-84d2-506b8d982279</v>
      </c>
      <c r="C524" s="5" t="str">
        <f>IFNA(VLOOKUP(E524,'Location Table'!A:C,2,false),"")</f>
        <v/>
      </c>
      <c r="D524" s="6" t="s">
        <v>309</v>
      </c>
      <c r="E524" s="6"/>
      <c r="F524" s="6" t="s">
        <v>112</v>
      </c>
      <c r="G524" s="7" t="str">
        <f>IFNA(VLOOKUP(F524,Driver!A:D,4,false),"")</f>
        <v/>
      </c>
      <c r="H524" s="8" t="str">
        <f>IFNA(VLOOKUP(F524,Driver!A:C,3,false),"")</f>
        <v/>
      </c>
      <c r="I524" s="9">
        <v>0.4583333333333333</v>
      </c>
      <c r="J524" s="9">
        <v>0.8333333333333334</v>
      </c>
      <c r="K524" s="9"/>
    </row>
    <row r="525" hidden="1">
      <c r="A525" s="5" t="str">
        <f>IFNA(VLOOKUP(D525,'Location Table'!A:C,2,false),"")</f>
        <v>29c1bb04-4a08-11ed-9d26-506b8dbc8dfb</v>
      </c>
      <c r="B525" s="5" t="str">
        <f>IFNA(VLOOKUP(F525,Driver!A:C,2,false),"")</f>
        <v>f3cef536-7671-11f0-84d2-506b8d982279</v>
      </c>
      <c r="C525" s="5" t="str">
        <f>IFNA(VLOOKUP(E525,'Location Table'!A:C,2,false),"")</f>
        <v/>
      </c>
      <c r="D525" s="6" t="s">
        <v>310</v>
      </c>
      <c r="E525" s="6"/>
      <c r="F525" s="6" t="s">
        <v>112</v>
      </c>
      <c r="G525" s="7" t="str">
        <f>IFNA(VLOOKUP(F525,Driver!A:D,4,false),"")</f>
        <v/>
      </c>
      <c r="H525" s="8" t="str">
        <f>IFNA(VLOOKUP(F525,Driver!A:C,3,false),"")</f>
        <v/>
      </c>
      <c r="I525" s="9">
        <v>0.4583333333333333</v>
      </c>
      <c r="J525" s="9">
        <v>0.8229166666666666</v>
      </c>
      <c r="K525" s="9"/>
    </row>
    <row r="526" hidden="1">
      <c r="A526" s="5" t="str">
        <f>IFNA(VLOOKUP(D526,'Location Table'!A:C,2,false),"")</f>
        <v>29c1bb04-4a08-11ed-9d26-506b8dbc8dfb</v>
      </c>
      <c r="B526" s="5" t="str">
        <f>IFNA(VLOOKUP(F526,Driver!A:C,2,false),"")</f>
        <v>f3cef536-7671-11f0-84d2-506b8d982279</v>
      </c>
      <c r="C526" s="5" t="str">
        <f>IFNA(VLOOKUP(E526,'Location Table'!A:C,2,false),"")</f>
        <v>debfa9a0-3d81-11ed-9ba7-506b8dbc8dfb</v>
      </c>
      <c r="D526" s="6" t="s">
        <v>310</v>
      </c>
      <c r="E526" s="10" t="s">
        <v>510</v>
      </c>
      <c r="F526" s="6" t="s">
        <v>112</v>
      </c>
      <c r="G526" s="7" t="str">
        <f>IFNA(VLOOKUP(F526,Driver!A:D,4,false),"")</f>
        <v/>
      </c>
      <c r="H526" s="8" t="str">
        <f>IFNA(VLOOKUP(F526,Driver!A:C,3,false),"")</f>
        <v/>
      </c>
      <c r="I526" s="9">
        <v>0.8229166666666666</v>
      </c>
      <c r="J526" s="9">
        <v>0.875</v>
      </c>
      <c r="K526" s="9"/>
    </row>
    <row r="527" hidden="1">
      <c r="A527" s="5" t="str">
        <f>IFNA(VLOOKUP(D527,'Location Table'!A:C,2,false),"")</f>
        <v>e9b61bae-005d-11f0-afd2-506b8d9879b5</v>
      </c>
      <c r="B527" s="5" t="str">
        <f>IFNA(VLOOKUP(F527,Driver!A:C,2,false),"")</f>
        <v>f3cef536-7671-11f0-84d2-506b8d982279</v>
      </c>
      <c r="C527" s="5" t="str">
        <f>IFNA(VLOOKUP(E527,'Location Table'!A:C,2,false),"")</f>
        <v/>
      </c>
      <c r="D527" s="6" t="s">
        <v>311</v>
      </c>
      <c r="E527" s="6"/>
      <c r="F527" s="6" t="s">
        <v>112</v>
      </c>
      <c r="G527" s="7" t="str">
        <f>IFNA(VLOOKUP(F527,Driver!A:D,4,false),"")</f>
        <v/>
      </c>
      <c r="H527" s="8" t="str">
        <f>IFNA(VLOOKUP(F527,Driver!A:C,3,false),"")</f>
        <v/>
      </c>
      <c r="I527" s="9">
        <v>0.4583333333333333</v>
      </c>
      <c r="J527" s="9">
        <v>0.8333333333333334</v>
      </c>
      <c r="K527" s="9"/>
    </row>
    <row r="528" hidden="1">
      <c r="A528" s="5" t="str">
        <f>IFNA(VLOOKUP(D528,'Location Table'!A:C,2,false),"")</f>
        <v>79fe49a8-0113-11ee-bb47-506b8dbc8dfb</v>
      </c>
      <c r="B528" s="5" t="str">
        <f>IFNA(VLOOKUP(F528,Driver!A:C,2,false),"")</f>
        <v>f3cef536-7671-11f0-84d2-506b8d982279</v>
      </c>
      <c r="C528" s="5" t="str">
        <f>IFNA(VLOOKUP(E528,'Location Table'!A:C,2,false),"")</f>
        <v/>
      </c>
      <c r="D528" s="6" t="s">
        <v>312</v>
      </c>
      <c r="E528" s="6"/>
      <c r="F528" s="6" t="s">
        <v>112</v>
      </c>
      <c r="G528" s="7" t="str">
        <f>IFNA(VLOOKUP(F528,Driver!A:D,4,false),"")</f>
        <v/>
      </c>
      <c r="H528" s="8" t="str">
        <f>IFNA(VLOOKUP(F528,Driver!A:C,3,false),"")</f>
        <v/>
      </c>
      <c r="I528" s="9">
        <v>0.4583333333333333</v>
      </c>
      <c r="J528" s="9">
        <v>0.8333333333333334</v>
      </c>
      <c r="K528" s="9"/>
    </row>
    <row r="529" hidden="1">
      <c r="A529" s="5" t="str">
        <f>IFNA(VLOOKUP(D529,'Location Table'!A:C,2,false),"")</f>
        <v>56eabc04-8eaf-11f0-a814-506b8d982279</v>
      </c>
      <c r="B529" s="5" t="str">
        <f>IFNA(VLOOKUP(F529,Driver!A:C,2,false),"")</f>
        <v>412f31be-2fc3-11f1-9378-fa163ee8d8ac</v>
      </c>
      <c r="C529" s="5" t="str">
        <f>IFNA(VLOOKUP(E529,'Location Table'!A:C,2,false),"")</f>
        <v/>
      </c>
      <c r="D529" s="6" t="s">
        <v>313</v>
      </c>
      <c r="E529" s="6"/>
      <c r="F529" s="10" t="s">
        <v>511</v>
      </c>
      <c r="G529" s="7" t="str">
        <f>IFNA(VLOOKUP(F529,Driver!A:D,4,false),"")</f>
        <v/>
      </c>
      <c r="H529" s="8" t="str">
        <f>IFNA(VLOOKUP(F529,Driver!A:C,3,false),"")</f>
        <v/>
      </c>
      <c r="I529" s="9">
        <v>0.6875</v>
      </c>
      <c r="J529" s="9">
        <v>0.7916666666666666</v>
      </c>
      <c r="K529" s="9"/>
    </row>
    <row r="530" hidden="1">
      <c r="A530" s="5" t="str">
        <f>IFNA(VLOOKUP(D530,'Location Table'!A:C,2,false),"")</f>
        <v>c0f4fa12-4626-11ed-8f3f-506b8dbc8dfb</v>
      </c>
      <c r="B530" s="5" t="str">
        <f>IFNA(VLOOKUP(F530,Driver!A:C,2,false),"")</f>
        <v>4e1ad614-6cdb-11ef-807b-506b8d9879b5</v>
      </c>
      <c r="C530" s="5" t="str">
        <f>IFNA(VLOOKUP(E530,'Location Table'!A:C,2,false),"")</f>
        <v/>
      </c>
      <c r="D530" s="6" t="s">
        <v>315</v>
      </c>
      <c r="E530" s="6"/>
      <c r="F530" s="6" t="s">
        <v>512</v>
      </c>
      <c r="G530" s="7" t="str">
        <f>IFNA(VLOOKUP(F530,Driver!A:D,4,false),"")</f>
        <v>2160130926882687325:VSRHFZoYrhhtnecmAaOfmgvaKlfxBZEgxFxSbLPTAhfVwurTuJfQgOTrwyseeqJQ</v>
      </c>
      <c r="H530" s="8" t="str">
        <f>IFNA(VLOOKUP(F530,Driver!A:C,3,false),"")</f>
        <v>65a6581b624a8b14d25b</v>
      </c>
      <c r="I530" s="9">
        <v>0.6875</v>
      </c>
      <c r="J530" s="9">
        <v>0.7708333333333334</v>
      </c>
      <c r="K530" s="9"/>
    </row>
    <row r="531" hidden="1">
      <c r="A531" s="5" t="str">
        <f>IFNA(VLOOKUP(D531,'Location Table'!A:C,2,false),"")</f>
        <v>ddd9ae3e-4626-11ed-bb97-506b8dbc8dfb</v>
      </c>
      <c r="B531" s="5" t="str">
        <f>IFNA(VLOOKUP(F531,Driver!A:C,2,false),"")</f>
        <v>4e1ad614-6cdb-11ef-807b-506b8d9879b5</v>
      </c>
      <c r="C531" s="5" t="str">
        <f>IFNA(VLOOKUP(E531,'Location Table'!A:C,2,false),"")</f>
        <v/>
      </c>
      <c r="D531" s="6" t="s">
        <v>316</v>
      </c>
      <c r="E531" s="6"/>
      <c r="F531" s="6" t="s">
        <v>512</v>
      </c>
      <c r="G531" s="7" t="str">
        <f>IFNA(VLOOKUP(F531,Driver!A:D,4,false),"")</f>
        <v>2160130926882687325:VSRHFZoYrhhtnecmAaOfmgvaKlfxBZEgxFxSbLPTAhfVwurTuJfQgOTrwyseeqJQ</v>
      </c>
      <c r="H531" s="8" t="str">
        <f>IFNA(VLOOKUP(F531,Driver!A:C,3,false),"")</f>
        <v>65a6581b624a8b14d25b</v>
      </c>
      <c r="I531" s="9">
        <v>0.6875</v>
      </c>
      <c r="J531" s="9">
        <v>0.7708333333333334</v>
      </c>
      <c r="K531" s="9"/>
    </row>
    <row r="532" hidden="1">
      <c r="A532" s="5" t="str">
        <f>IFNA(VLOOKUP(D532,'Location Table'!A:C,2,false),"")</f>
        <v>6ea5cc10-32b0-11ee-b2df-506b8d9879b5</v>
      </c>
      <c r="B532" s="5" t="str">
        <f>IFNA(VLOOKUP(#REF!,Driver!A:C,2,false),"")</f>
        <v>#REF!</v>
      </c>
      <c r="C532" s="5" t="str">
        <f>IFNA(VLOOKUP(E532,'Location Table'!A:C,2,false),"")</f>
        <v/>
      </c>
      <c r="D532" s="6" t="s">
        <v>317</v>
      </c>
      <c r="E532" s="6"/>
      <c r="F532" s="10" t="s">
        <v>511</v>
      </c>
      <c r="G532" s="7" t="str">
        <f>IFNA(VLOOKUP(#REF!,Driver!A:D,4,false),"")</f>
        <v>#REF!</v>
      </c>
      <c r="H532" s="8" t="str">
        <f>IFNA(VLOOKUP(#REF!,Driver!A:C,3,false),"")</f>
        <v>#REF!</v>
      </c>
      <c r="I532" s="9">
        <v>0.6875</v>
      </c>
      <c r="J532" s="9">
        <v>0.7916666666666666</v>
      </c>
      <c r="K532" s="9"/>
    </row>
    <row r="533" hidden="1">
      <c r="A533" s="5" t="str">
        <f>IFNA(VLOOKUP(D533,'Location Table'!A:C,2,false),"")</f>
        <v>f9134f28-14e0-11ee-9d74-506b8dbc8dfb</v>
      </c>
      <c r="B533" s="5" t="str">
        <f>IFNA(VLOOKUP(F533,Driver!A:C,2,false),"")</f>
        <v>412f31be-2fc3-11f1-9378-fa163ee8d8ac</v>
      </c>
      <c r="C533" s="5" t="str">
        <f>IFNA(VLOOKUP(E533,'Location Table'!A:C,2,false),"")</f>
        <v/>
      </c>
      <c r="D533" s="6" t="s">
        <v>318</v>
      </c>
      <c r="E533" s="6"/>
      <c r="F533" s="10" t="s">
        <v>511</v>
      </c>
      <c r="G533" s="7" t="str">
        <f>IFNA(VLOOKUP(F533,Driver!A:D,4,false),"")</f>
        <v/>
      </c>
      <c r="H533" s="8" t="str">
        <f>IFNA(VLOOKUP(F533,Driver!A:C,3,false),"")</f>
        <v/>
      </c>
      <c r="I533" s="9">
        <v>0.75</v>
      </c>
      <c r="J533" s="9">
        <v>0.7916666666666666</v>
      </c>
      <c r="K533" s="9"/>
    </row>
    <row r="534" hidden="1">
      <c r="A534" s="5" t="str">
        <f>IFNA(VLOOKUP(D534,'Location Table'!A:C,2,false),"")</f>
        <v>c3edb45e-3b9f-11f0-99d0-506b8d982279</v>
      </c>
      <c r="B534" s="5" t="str">
        <f>IFNA(VLOOKUP(F534,Driver!A:C,2,false),"")</f>
        <v>412f31be-2fc3-11f1-9378-fa163ee8d8ac</v>
      </c>
      <c r="C534" s="5" t="str">
        <f>IFNA(VLOOKUP(E534,'Location Table'!A:C,2,false),"")</f>
        <v/>
      </c>
      <c r="D534" s="6" t="s">
        <v>322</v>
      </c>
      <c r="E534" s="6"/>
      <c r="F534" s="10" t="s">
        <v>511</v>
      </c>
      <c r="G534" s="7" t="str">
        <f>IFNA(VLOOKUP(F534,Driver!A:D,4,false),"")</f>
        <v/>
      </c>
      <c r="H534" s="8" t="str">
        <f>IFNA(VLOOKUP(F534,Driver!A:C,3,false),"")</f>
        <v/>
      </c>
      <c r="I534" s="9">
        <v>0.6666666666666666</v>
      </c>
      <c r="J534" s="9">
        <v>0.7916666666666666</v>
      </c>
      <c r="K534" s="9"/>
    </row>
    <row r="535" hidden="1">
      <c r="A535" s="5" t="str">
        <f>IFNA(VLOOKUP(D535,'Location Table'!A:C,2,false),"")</f>
        <v>b0725974-ba9b-11ee-bffa-506b8d9879b5</v>
      </c>
      <c r="B535" s="5" t="str">
        <f>IFNA(VLOOKUP(F535,Driver!A:C,2,false),"")</f>
        <v>412f31be-2fc3-11f1-9378-fa163ee8d8ac</v>
      </c>
      <c r="C535" s="5" t="str">
        <f>IFNA(VLOOKUP(E535,'Location Table'!A:C,2,false),"")</f>
        <v/>
      </c>
      <c r="D535" s="6" t="s">
        <v>323</v>
      </c>
      <c r="E535" s="6"/>
      <c r="F535" s="10" t="s">
        <v>511</v>
      </c>
      <c r="G535" s="7" t="str">
        <f>IFNA(VLOOKUP(F535,Driver!A:D,4,false),"")</f>
        <v/>
      </c>
      <c r="H535" s="8" t="str">
        <f>IFNA(VLOOKUP(F535,Driver!A:C,3,false),"")</f>
        <v/>
      </c>
      <c r="I535" s="9">
        <v>0.6875</v>
      </c>
      <c r="J535" s="9">
        <v>0.7916666666666666</v>
      </c>
      <c r="K535" s="9"/>
    </row>
    <row r="536" hidden="1">
      <c r="A536" s="5" t="str">
        <f>IFNA(VLOOKUP(D536,'Location Table'!A:C,2,false),"")</f>
        <v>8d7c8f4c-4626-11ed-b4de-506b8dbc8dfb</v>
      </c>
      <c r="B536" s="5" t="str">
        <f>IFNA(VLOOKUP(F536,Driver!A:C,2,false),"")</f>
        <v>412f31be-2fc3-11f1-9378-fa163ee8d8ac</v>
      </c>
      <c r="C536" s="5" t="str">
        <f>IFNA(VLOOKUP(E536,'Location Table'!A:C,2,false),"")</f>
        <v/>
      </c>
      <c r="D536" s="6" t="s">
        <v>324</v>
      </c>
      <c r="E536" s="6"/>
      <c r="F536" s="10" t="s">
        <v>511</v>
      </c>
      <c r="G536" s="7" t="str">
        <f>IFNA(VLOOKUP(F536,Driver!A:D,4,false),"")</f>
        <v/>
      </c>
      <c r="H536" s="8" t="str">
        <f>IFNA(VLOOKUP(F536,Driver!A:C,3,false),"")</f>
        <v/>
      </c>
      <c r="I536" s="9">
        <v>0.6875</v>
      </c>
      <c r="J536" s="9">
        <v>0.7916666666666666</v>
      </c>
      <c r="K536" s="9"/>
    </row>
    <row r="537" hidden="1">
      <c r="A537" s="5" t="str">
        <f>IFNA(VLOOKUP(D537,'Location Table'!A:C,2,false),"")</f>
        <v>43ac08be-380d-11ee-800b-506b8d9879b5</v>
      </c>
      <c r="B537" s="5" t="str">
        <f>IFNA(VLOOKUP(F537,Driver!A:C,2,false),"")</f>
        <v>c1149922-ecea-11ef-a670-506b8d9879b5</v>
      </c>
      <c r="C537" s="5" t="str">
        <f>IFNA(VLOOKUP(E537,'Location Table'!A:C,2,false),"")</f>
        <v/>
      </c>
      <c r="D537" s="6" t="s">
        <v>325</v>
      </c>
      <c r="E537" s="6"/>
      <c r="F537" s="6" t="s">
        <v>509</v>
      </c>
      <c r="G537" s="7" t="str">
        <f>IFNA(VLOOKUP(F537,Driver!A:D,4,false),"")</f>
        <v/>
      </c>
      <c r="H537" s="8" t="str">
        <f>IFNA(VLOOKUP(F537,Driver!A:C,3,false),"")</f>
        <v/>
      </c>
      <c r="I537" s="9">
        <v>0.6666666666666666</v>
      </c>
      <c r="J537" s="9">
        <v>0.7916666666666666</v>
      </c>
      <c r="K537" s="9"/>
    </row>
    <row r="538" hidden="1">
      <c r="A538" s="5" t="str">
        <f>IFNA(VLOOKUP(D538,'Location Table'!A:C,2,false),"")</f>
        <v>e8cd6044-4b22-11ef-902f-506b8d9879b5</v>
      </c>
      <c r="B538" s="5" t="str">
        <f>IFNA(VLOOKUP(F538,Driver!A:C,2,false),"")</f>
        <v>443c5016-3017-11ee-a6b5-506b8d9879b5</v>
      </c>
      <c r="C538" s="5" t="str">
        <f>IFNA(VLOOKUP(E538,'Location Table'!A:C,2,false),"")</f>
        <v/>
      </c>
      <c r="D538" s="6" t="s">
        <v>337</v>
      </c>
      <c r="E538" s="6"/>
      <c r="F538" s="6" t="s">
        <v>513</v>
      </c>
      <c r="G538" s="7" t="str">
        <f>IFNA(VLOOKUP(F538,Driver!A:D,4,false),"")</f>
        <v>1980698793628880414:XXMGIAegigeHesHcPUQpIcnMCwhigvPUATFrPyRHiqIZqTwmvWiXbUzfDhivxPcl</v>
      </c>
      <c r="H538" s="8" t="str">
        <f>IFNA(VLOOKUP(F538,Driver!A:C,3,false),"")</f>
        <v>430767465e0cb752ee1d</v>
      </c>
      <c r="I538" s="9">
        <v>0.6875</v>
      </c>
      <c r="J538" s="9">
        <v>0.7916666666666666</v>
      </c>
      <c r="K538" s="9"/>
    </row>
    <row r="539" hidden="1">
      <c r="A539" s="5" t="str">
        <f>IFNA(VLOOKUP(D539,'Location Table'!A:C,2,false),"")</f>
        <v>702f6dc4-4626-11ed-88ba-506b8dbc8dfb</v>
      </c>
      <c r="B539" s="5" t="str">
        <f>IFNA(VLOOKUP(F539,Driver!A:C,2,false),"")</f>
        <v>443c5016-3017-11ee-a6b5-506b8d9879b5</v>
      </c>
      <c r="C539" s="5" t="str">
        <f>IFNA(VLOOKUP(E539,'Location Table'!A:C,2,false),"")</f>
        <v/>
      </c>
      <c r="D539" s="6" t="s">
        <v>339</v>
      </c>
      <c r="E539" s="6"/>
      <c r="F539" s="6" t="s">
        <v>513</v>
      </c>
      <c r="G539" s="7" t="str">
        <f>IFNA(VLOOKUP(F539,Driver!A:D,4,false),"")</f>
        <v>1980698793628880414:XXMGIAegigeHesHcPUQpIcnMCwhigvPUATFrPyRHiqIZqTwmvWiXbUzfDhivxPcl</v>
      </c>
      <c r="H539" s="8" t="str">
        <f>IFNA(VLOOKUP(F539,Driver!A:C,3,false),"")</f>
        <v>430767465e0cb752ee1d</v>
      </c>
      <c r="I539" s="9">
        <v>0.6875</v>
      </c>
      <c r="J539" s="9">
        <v>0.7916666666666666</v>
      </c>
      <c r="K539" s="9"/>
    </row>
    <row r="540" hidden="1">
      <c r="A540" s="5" t="str">
        <f>IFNA(VLOOKUP(D540,'Location Table'!A:C,2,false),"")</f>
        <v>542902da-21f8-11ee-bcde-506b8d9879b5</v>
      </c>
      <c r="B540" s="5" t="str">
        <f>IFNA(VLOOKUP(F540,Driver!A:C,2,false),"")</f>
        <v>443c5016-3017-11ee-a6b5-506b8d9879b5</v>
      </c>
      <c r="C540" s="5" t="str">
        <f>IFNA(VLOOKUP(E540,'Location Table'!A:C,2,false),"")</f>
        <v/>
      </c>
      <c r="D540" s="6" t="s">
        <v>340</v>
      </c>
      <c r="E540" s="6"/>
      <c r="F540" s="6" t="s">
        <v>513</v>
      </c>
      <c r="G540" s="7" t="str">
        <f>IFNA(VLOOKUP(F540,Driver!A:D,4,false),"")</f>
        <v>1980698793628880414:XXMGIAegigeHesHcPUQpIcnMCwhigvPUATFrPyRHiqIZqTwmvWiXbUzfDhivxPcl</v>
      </c>
      <c r="H540" s="8" t="str">
        <f>IFNA(VLOOKUP(F540,Driver!A:C,3,false),"")</f>
        <v>430767465e0cb752ee1d</v>
      </c>
      <c r="I540" s="9">
        <v>0.6875</v>
      </c>
      <c r="J540" s="9">
        <v>0.7916666666666666</v>
      </c>
      <c r="K540" s="9"/>
    </row>
    <row r="541" hidden="1">
      <c r="A541" s="5" t="str">
        <f>IFNA(VLOOKUP(D541,'Location Table'!A:C,2,false),"")</f>
        <v>7e60488c-9b1b-11ee-8ad8-506b8d9879b5</v>
      </c>
      <c r="B541" s="5" t="str">
        <f>IFNA(VLOOKUP(F541,Driver!A:C,2,false),"")</f>
        <v>443c5016-3017-11ee-a6b5-506b8d9879b5</v>
      </c>
      <c r="C541" s="5" t="str">
        <f>IFNA(VLOOKUP(E541,'Location Table'!A:C,2,false),"")</f>
        <v/>
      </c>
      <c r="D541" s="6" t="s">
        <v>341</v>
      </c>
      <c r="E541" s="6"/>
      <c r="F541" s="6" t="s">
        <v>513</v>
      </c>
      <c r="G541" s="7" t="str">
        <f>IFNA(VLOOKUP(F541,Driver!A:D,4,false),"")</f>
        <v>1980698793628880414:XXMGIAegigeHesHcPUQpIcnMCwhigvPUATFrPyRHiqIZqTwmvWiXbUzfDhivxPcl</v>
      </c>
      <c r="H541" s="8" t="str">
        <f>IFNA(VLOOKUP(F541,Driver!A:C,3,false),"")</f>
        <v>430767465e0cb752ee1d</v>
      </c>
      <c r="I541" s="9">
        <v>0.6875</v>
      </c>
      <c r="J541" s="9">
        <v>0.7916666666666666</v>
      </c>
      <c r="K541" s="9"/>
    </row>
    <row r="542" hidden="1">
      <c r="A542" s="5" t="str">
        <f>IFNA(VLOOKUP(D542,'Location Table'!A:C,2,false),"")</f>
        <v>de879fd6-4625-11ed-94a6-506b8dbc8dfb</v>
      </c>
      <c r="B542" s="5" t="str">
        <f>IFNA(VLOOKUP(F542,Driver!A:C,2,false),"")</f>
        <v>1f4f6cae-37cd-11ed-a84d-506b8dbc8dfb</v>
      </c>
      <c r="C542" s="5" t="str">
        <f>IFNA(VLOOKUP(E542,'Location Table'!A:C,2,false),"")</f>
        <v/>
      </c>
      <c r="D542" s="6" t="s">
        <v>344</v>
      </c>
      <c r="E542" s="6"/>
      <c r="F542" s="6" t="s">
        <v>514</v>
      </c>
      <c r="G542" s="7" t="str">
        <f>IFNA(VLOOKUP(F542,Driver!A:D,4,false),"")</f>
        <v>1980698793628880414:XXMGIAegigeHesHcPUQpIcnMCwhigvPUATFrPyRHiqIZqTwmvWiXbUzfDhivxPcl</v>
      </c>
      <c r="H542" s="8" t="str">
        <f>IFNA(VLOOKUP(F542,Driver!A:C,3,false),"")</f>
        <v>595aed435d09b457ed18</v>
      </c>
      <c r="I542" s="9">
        <v>0.6875</v>
      </c>
      <c r="J542" s="9">
        <v>0.7916666666666666</v>
      </c>
      <c r="K542" s="9"/>
    </row>
    <row r="543" hidden="1">
      <c r="A543" s="5" t="str">
        <f>IFNA(VLOOKUP(D543,'Location Table'!A:C,2,false),"")</f>
        <v>f80a7e92-4625-11ed-8ccf-506b8dbc8dfb</v>
      </c>
      <c r="B543" s="5" t="str">
        <f>IFNA(VLOOKUP(F543,Driver!A:C,2,false),"")</f>
        <v>412f31be-2fc3-11f1-9378-fa163ee8d8ac</v>
      </c>
      <c r="C543" s="5" t="str">
        <f>IFNA(VLOOKUP(E543,'Location Table'!A:C,2,false),"")</f>
        <v/>
      </c>
      <c r="D543" s="6" t="s">
        <v>345</v>
      </c>
      <c r="E543" s="6"/>
      <c r="F543" s="10" t="s">
        <v>511</v>
      </c>
      <c r="G543" s="7" t="str">
        <f>IFNA(VLOOKUP(F543,Driver!A:D,4,false),"")</f>
        <v/>
      </c>
      <c r="H543" s="8" t="str">
        <f>IFNA(VLOOKUP(F543,Driver!A:C,3,false),"")</f>
        <v/>
      </c>
      <c r="I543" s="9">
        <v>0.6666666666666666</v>
      </c>
      <c r="J543" s="9">
        <v>0.7916666666666666</v>
      </c>
      <c r="K543" s="9"/>
    </row>
    <row r="544" hidden="1">
      <c r="A544" s="5" t="str">
        <f>IFNA(VLOOKUP(D544,'Location Table'!A:C,2,false),"")</f>
        <v>c7fafdda-21f8-11ee-b604-506b8d9879b5</v>
      </c>
      <c r="B544" s="5" t="str">
        <f>IFNA(VLOOKUP(F544,Driver!A:C,2,false),"")</f>
        <v>af57dfcc-782d-11f0-b407-506b8d982279</v>
      </c>
      <c r="C544" s="5" t="str">
        <f>IFNA(VLOOKUP(E544,'Location Table'!A:C,2,false),"")</f>
        <v/>
      </c>
      <c r="D544" s="6" t="s">
        <v>351</v>
      </c>
      <c r="E544" s="6"/>
      <c r="F544" s="6" t="s">
        <v>515</v>
      </c>
      <c r="G544" s="7" t="str">
        <f>IFNA(VLOOKUP(F544,Driver!A:D,4,false),"")</f>
        <v>2160130926882687325:VSRHFZoYrhhtnecmAaOfmgvaKlfxBZEgxFxSbLPTAhfVwurTuJfQgOTrwyseeqJQ</v>
      </c>
      <c r="H544" s="8" t="str">
        <f>IFNA(VLOOKUP(F544,Driver!A:C,3,false),"")</f>
        <v>d9fc37dd4093a9cdf082</v>
      </c>
      <c r="I544" s="9">
        <v>0.6875</v>
      </c>
      <c r="J544" s="9">
        <v>0.8333333333333334</v>
      </c>
      <c r="K544" s="9"/>
    </row>
    <row r="545" hidden="1">
      <c r="A545" s="5" t="str">
        <f>IFNA(VLOOKUP(D545,'Location Table'!A:C,2,false),"")</f>
        <v>f1da5514-4626-11ed-b3bb-506b8dbc8dfb</v>
      </c>
      <c r="B545" s="5" t="str">
        <f>IFNA(VLOOKUP(F545,Driver!A:C,2,false),"")</f>
        <v>af57dfcc-782d-11f0-b407-506b8d982279</v>
      </c>
      <c r="C545" s="5" t="str">
        <f>IFNA(VLOOKUP(E545,'Location Table'!A:C,2,false),"")</f>
        <v/>
      </c>
      <c r="D545" s="6" t="s">
        <v>352</v>
      </c>
      <c r="E545" s="6"/>
      <c r="F545" s="6" t="s">
        <v>515</v>
      </c>
      <c r="G545" s="7" t="str">
        <f>IFNA(VLOOKUP(F545,Driver!A:D,4,false),"")</f>
        <v>2160130926882687325:VSRHFZoYrhhtnecmAaOfmgvaKlfxBZEgxFxSbLPTAhfVwurTuJfQgOTrwyseeqJQ</v>
      </c>
      <c r="H545" s="8" t="str">
        <f>IFNA(VLOOKUP(F545,Driver!A:C,3,false),"")</f>
        <v>d9fc37dd4093a9cdf082</v>
      </c>
      <c r="I545" s="9">
        <v>0.6875</v>
      </c>
      <c r="J545" s="9">
        <v>0.8333333333333334</v>
      </c>
      <c r="K545" s="9"/>
    </row>
    <row r="546" hidden="1">
      <c r="A546" s="5" t="str">
        <f>IFNA(VLOOKUP(D546,'Location Table'!A:C,2,false),"")</f>
        <v>806f01ba-5cab-11f0-9f9a-506b8d982279</v>
      </c>
      <c r="B546" s="5" t="str">
        <f>IFNA(VLOOKUP(F546,Driver!A:C,2,false),"")</f>
        <v>af57dfcc-782d-11f0-b407-506b8d982279</v>
      </c>
      <c r="C546" s="5" t="str">
        <f>IFNA(VLOOKUP(E546,'Location Table'!A:C,2,false),"")</f>
        <v/>
      </c>
      <c r="D546" s="6" t="s">
        <v>353</v>
      </c>
      <c r="E546" s="6"/>
      <c r="F546" s="6" t="s">
        <v>515</v>
      </c>
      <c r="G546" s="7" t="str">
        <f>IFNA(VLOOKUP(F546,Driver!A:D,4,false),"")</f>
        <v>2160130926882687325:VSRHFZoYrhhtnecmAaOfmgvaKlfxBZEgxFxSbLPTAhfVwurTuJfQgOTrwyseeqJQ</v>
      </c>
      <c r="H546" s="8" t="str">
        <f>IFNA(VLOOKUP(F546,Driver!A:C,3,false),"")</f>
        <v>d9fc37dd4093a9cdf082</v>
      </c>
      <c r="I546" s="9">
        <v>0.6875</v>
      </c>
      <c r="J546" s="9">
        <v>0.8333333333333334</v>
      </c>
      <c r="K546" s="9"/>
    </row>
    <row r="547" hidden="1">
      <c r="A547" s="5" t="str">
        <f>IFNA(VLOOKUP(D547,'Location Table'!A:C,2,false),"")</f>
        <v>7bd9c268-4627-11ed-9d8d-506b8dbc8dfb</v>
      </c>
      <c r="B547" s="5" t="str">
        <f>IFNA(VLOOKUP(F547,Driver!A:C,2,false),"")</f>
        <v>443c5016-3017-11ee-a6b5-506b8d9879b5</v>
      </c>
      <c r="C547" s="5" t="str">
        <f>IFNA(VLOOKUP(E547,'Location Table'!A:C,2,false),"")</f>
        <v/>
      </c>
      <c r="D547" s="6" t="s">
        <v>357</v>
      </c>
      <c r="E547" s="6"/>
      <c r="F547" s="6" t="s">
        <v>513</v>
      </c>
      <c r="G547" s="7" t="str">
        <f>IFNA(VLOOKUP(F547,Driver!A:D,4,false),"")</f>
        <v>1980698793628880414:XXMGIAegigeHesHcPUQpIcnMCwhigvPUATFrPyRHiqIZqTwmvWiXbUzfDhivxPcl</v>
      </c>
      <c r="H547" s="8" t="str">
        <f>IFNA(VLOOKUP(F547,Driver!A:C,3,false),"")</f>
        <v>430767465e0cb752ee1d</v>
      </c>
      <c r="I547" s="9">
        <v>0.6875</v>
      </c>
      <c r="J547" s="9">
        <v>0.7916666666666666</v>
      </c>
      <c r="K547" s="9"/>
    </row>
    <row r="548" hidden="1">
      <c r="A548" s="5" t="str">
        <f>IFNA(VLOOKUP(D548,'Location Table'!A:C,2,false),"")</f>
        <v>c828ca08-32b0-11ee-b9b6-506b8d9879b5</v>
      </c>
      <c r="B548" s="5" t="str">
        <f>IFNA(VLOOKUP(F548,Driver!A:C,2,false),"")</f>
        <v>443c5016-3017-11ee-a6b5-506b8d9879b5</v>
      </c>
      <c r="C548" s="5" t="str">
        <f>IFNA(VLOOKUP(E548,'Location Table'!A:C,2,false),"")</f>
        <v/>
      </c>
      <c r="D548" s="6" t="s">
        <v>359</v>
      </c>
      <c r="E548" s="6"/>
      <c r="F548" s="6" t="s">
        <v>513</v>
      </c>
      <c r="G548" s="7" t="str">
        <f>IFNA(VLOOKUP(F548,Driver!A:D,4,false),"")</f>
        <v>1980698793628880414:XXMGIAegigeHesHcPUQpIcnMCwhigvPUATFrPyRHiqIZqTwmvWiXbUzfDhivxPcl</v>
      </c>
      <c r="H548" s="8" t="str">
        <f>IFNA(VLOOKUP(F548,Driver!A:C,3,false),"")</f>
        <v>430767465e0cb752ee1d</v>
      </c>
      <c r="I548" s="9">
        <v>0.6875</v>
      </c>
      <c r="J548" s="9">
        <v>0.7916666666666666</v>
      </c>
      <c r="K548" s="9"/>
    </row>
    <row r="549" hidden="1">
      <c r="A549" s="5" t="str">
        <f>IFNA(VLOOKUP(D549,'Location Table'!A:C,2,false),"")</f>
        <v>4dba51fe-e91d-11ef-b1f0-506b8d9879b5</v>
      </c>
      <c r="B549" s="5" t="str">
        <f>IFNA(VLOOKUP(F549,Driver!A:C,2,false),"")</f>
        <v>02d08390-37cf-11ed-865f-506b8dbc8dfb</v>
      </c>
      <c r="C549" s="5" t="str">
        <f>IFNA(VLOOKUP(E549,'Location Table'!A:C,2,false),"")</f>
        <v/>
      </c>
      <c r="D549" s="6" t="s">
        <v>360</v>
      </c>
      <c r="E549" s="6"/>
      <c r="F549" s="6" t="s">
        <v>516</v>
      </c>
      <c r="G549" s="7" t="str">
        <f>IFNA(VLOOKUP(F549,Driver!A:D,4,false),"")</f>
        <v>2160130926882687325:VSRHFZoYrhhtnecmAaOfmgvaKlfxBZEgxFxSbLPTAhfVwurTuJfQgOTrwyseeqJQ</v>
      </c>
      <c r="H549" s="8" t="str">
        <f>IFNA(VLOOKUP(F549,Driver!A:C,3,false),"")</f>
        <v>7b7d76055846b118e857</v>
      </c>
      <c r="I549" s="9">
        <v>0.6875</v>
      </c>
      <c r="J549" s="9">
        <v>0.7916666666666666</v>
      </c>
      <c r="K549" s="9"/>
    </row>
    <row r="550" hidden="1">
      <c r="A550" s="5" t="str">
        <f>IFNA(VLOOKUP(D550,'Location Table'!A:C,2,false),"")</f>
        <v>d312de0c-4627-11ed-a9e7-506b8dbc8dfb</v>
      </c>
      <c r="B550" s="5" t="str">
        <f>IFNA(VLOOKUP(F550,Driver!A:C,2,false),"")</f>
        <v>02d08390-37cf-11ed-865f-506b8dbc8dfb</v>
      </c>
      <c r="C550" s="5" t="str">
        <f>IFNA(VLOOKUP(E550,'Location Table'!A:C,2,false),"")</f>
        <v/>
      </c>
      <c r="D550" s="6" t="s">
        <v>363</v>
      </c>
      <c r="E550" s="6"/>
      <c r="F550" s="6" t="s">
        <v>516</v>
      </c>
      <c r="G550" s="7" t="str">
        <f>IFNA(VLOOKUP(F550,Driver!A:D,4,false),"")</f>
        <v>2160130926882687325:VSRHFZoYrhhtnecmAaOfmgvaKlfxBZEgxFxSbLPTAhfVwurTuJfQgOTrwyseeqJQ</v>
      </c>
      <c r="H550" s="8" t="str">
        <f>IFNA(VLOOKUP(F550,Driver!A:C,3,false),"")</f>
        <v>7b7d76055846b118e857</v>
      </c>
      <c r="I550" s="9">
        <v>0.6875</v>
      </c>
      <c r="J550" s="9">
        <v>0.7916666666666666</v>
      </c>
      <c r="K550" s="9"/>
    </row>
    <row r="551" hidden="1">
      <c r="A551" s="5" t="str">
        <f>IFNA(VLOOKUP(D551,'Location Table'!A:C,2,false),"")</f>
        <v>ed4ce56e-d619-11ee-bf30-506b8d9879b5</v>
      </c>
      <c r="B551" s="5" t="str">
        <f>IFNA(VLOOKUP(F551,Driver!A:C,2,false),"")</f>
        <v>02d08390-37cf-11ed-865f-506b8dbc8dfb</v>
      </c>
      <c r="C551" s="5" t="str">
        <f>IFNA(VLOOKUP(E551,'Location Table'!A:C,2,false),"")</f>
        <v/>
      </c>
      <c r="D551" s="6" t="s">
        <v>364</v>
      </c>
      <c r="E551" s="6"/>
      <c r="F551" s="6" t="s">
        <v>516</v>
      </c>
      <c r="G551" s="7" t="str">
        <f>IFNA(VLOOKUP(F551,Driver!A:D,4,false),"")</f>
        <v>2160130926882687325:VSRHFZoYrhhtnecmAaOfmgvaKlfxBZEgxFxSbLPTAhfVwurTuJfQgOTrwyseeqJQ</v>
      </c>
      <c r="H551" s="8" t="str">
        <f>IFNA(VLOOKUP(F551,Driver!A:C,3,false),"")</f>
        <v>7b7d76055846b118e857</v>
      </c>
      <c r="I551" s="9">
        <v>0.6875</v>
      </c>
      <c r="J551" s="9">
        <v>0.7916666666666666</v>
      </c>
      <c r="K551" s="9"/>
    </row>
    <row r="552" hidden="1">
      <c r="A552" s="5" t="str">
        <f>IFNA(VLOOKUP(D552,'Location Table'!A:C,2,false),"")</f>
        <v>3bc054d0-4627-11ed-9e74-506b8dbc8dfb</v>
      </c>
      <c r="B552" s="5" t="str">
        <f>IFNA(VLOOKUP(F552,Driver!A:C,2,false),"")</f>
        <v>efbf243a-37c6-11ed-93fb-506b8dbc8dfb</v>
      </c>
      <c r="C552" s="5" t="str">
        <f>IFNA(VLOOKUP(E552,'Location Table'!A:C,2,false),"")</f>
        <v/>
      </c>
      <c r="D552" s="6" t="s">
        <v>367</v>
      </c>
      <c r="E552" s="6"/>
      <c r="F552" s="6" t="s">
        <v>517</v>
      </c>
      <c r="G552" s="7" t="str">
        <f>IFNA(VLOOKUP(F552,Driver!A:D,4,false),"")</f>
        <v>1980698793628880414:XXMGIAegigeHesHcPUQpIcnMCwhigvPUATFrPyRHiqIZqTwmvWiXbUzfDhivxPcl</v>
      </c>
      <c r="H552" s="8" t="str">
        <f>IFNA(VLOOKUP(F552,Driver!A:C,3,false),"")</f>
        <v>c73df7953cd9d5878cc8</v>
      </c>
      <c r="I552" s="9">
        <v>0.5833333333333334</v>
      </c>
      <c r="J552" s="9">
        <v>0.7916666666666666</v>
      </c>
      <c r="K552" s="9"/>
    </row>
    <row r="553" hidden="1">
      <c r="A553" s="5" t="str">
        <f>IFNA(VLOOKUP(D553,'Location Table'!A:C,2,false),"")</f>
        <v>a1be066c-21f8-11ee-b5fb-506b8d9879b5</v>
      </c>
      <c r="B553" s="5" t="str">
        <f>IFNA(VLOOKUP(F553,Driver!A:C,2,false),"")</f>
        <v>f5993946-37cf-11ed-a3fc-506b8dbc8dfb</v>
      </c>
      <c r="C553" s="5" t="str">
        <f>IFNA(VLOOKUP(E553,'Location Table'!A:C,2,false),"")</f>
        <v/>
      </c>
      <c r="D553" s="6" t="s">
        <v>368</v>
      </c>
      <c r="E553" s="6"/>
      <c r="F553" s="6" t="s">
        <v>314</v>
      </c>
      <c r="G553" s="7" t="str">
        <f>IFNA(VLOOKUP(F553,Driver!A:D,4,false),"")</f>
        <v/>
      </c>
      <c r="H553" s="8" t="str">
        <f>IFNA(VLOOKUP(F553,Driver!A:C,3,false),"")</f>
        <v/>
      </c>
      <c r="I553" s="9">
        <v>0.6875</v>
      </c>
      <c r="J553" s="9">
        <v>0.7916666666666666</v>
      </c>
      <c r="K553" s="9"/>
    </row>
    <row r="554" hidden="1">
      <c r="A554" s="5" t="str">
        <f>IFNA(VLOOKUP(D554,'Location Table'!A:C,2,false),"")</f>
        <v>1b89cbc6-4d4f-11ee-9f11-506b8d9879b5</v>
      </c>
      <c r="B554" s="5" t="str">
        <f>IFNA(VLOOKUP(F554,Driver!A:C,2,false),"")</f>
        <v>f5993946-37cf-11ed-a3fc-506b8dbc8dfb</v>
      </c>
      <c r="C554" s="5" t="str">
        <f>IFNA(VLOOKUP(E554,'Location Table'!A:C,2,false),"")</f>
        <v/>
      </c>
      <c r="D554" s="6" t="s">
        <v>369</v>
      </c>
      <c r="E554" s="6"/>
      <c r="F554" s="6" t="s">
        <v>314</v>
      </c>
      <c r="G554" s="7" t="str">
        <f>IFNA(VLOOKUP(F554,Driver!A:D,4,false),"")</f>
        <v/>
      </c>
      <c r="H554" s="8" t="str">
        <f>IFNA(VLOOKUP(F554,Driver!A:C,3,false),"")</f>
        <v/>
      </c>
      <c r="I554" s="9">
        <v>0.6875</v>
      </c>
      <c r="J554" s="9">
        <v>0.7916666666666666</v>
      </c>
      <c r="K554" s="9"/>
    </row>
    <row r="555" hidden="1">
      <c r="A555" s="5" t="str">
        <f>IFNA(VLOOKUP(D555,'Location Table'!A:C,2,false),"")</f>
        <v>d538c282-3761-11ef-92b6-506b8d9879b5</v>
      </c>
      <c r="B555" s="5" t="str">
        <f>IFNA(VLOOKUP(F555,Driver!A:C,2,false),"")</f>
        <v>f5993946-37cf-11ed-a3fc-506b8dbc8dfb</v>
      </c>
      <c r="C555" s="5" t="str">
        <f>IFNA(VLOOKUP(E555,'Location Table'!A:C,2,false),"")</f>
        <v/>
      </c>
      <c r="D555" s="6" t="s">
        <v>370</v>
      </c>
      <c r="E555" s="6"/>
      <c r="F555" s="6" t="s">
        <v>314</v>
      </c>
      <c r="G555" s="7" t="str">
        <f>IFNA(VLOOKUP(F555,Driver!A:D,4,false),"")</f>
        <v/>
      </c>
      <c r="H555" s="8" t="str">
        <f>IFNA(VLOOKUP(F555,Driver!A:C,3,false),"")</f>
        <v/>
      </c>
      <c r="I555" s="9">
        <v>0.6875</v>
      </c>
      <c r="J555" s="9">
        <v>0.7916666666666666</v>
      </c>
      <c r="K555" s="9"/>
    </row>
    <row r="556" hidden="1">
      <c r="A556" s="5" t="str">
        <f>IFNA(VLOOKUP(D556,'Location Table'!A:C,2,false),"")</f>
        <v>d04814d6-dc2f-11ee-96ca-506b8d9879b5</v>
      </c>
      <c r="B556" s="5" t="str">
        <f>IFNA(VLOOKUP(F556,Driver!A:C,2,false),"")</f>
        <v>f5993946-37cf-11ed-a3fc-506b8dbc8dfb</v>
      </c>
      <c r="C556" s="5" t="str">
        <f>IFNA(VLOOKUP(E556,'Location Table'!A:C,2,false),"")</f>
        <v/>
      </c>
      <c r="D556" s="6" t="s">
        <v>371</v>
      </c>
      <c r="E556" s="6"/>
      <c r="F556" s="6" t="s">
        <v>314</v>
      </c>
      <c r="G556" s="7" t="str">
        <f>IFNA(VLOOKUP(F556,Driver!A:D,4,false),"")</f>
        <v/>
      </c>
      <c r="H556" s="8" t="str">
        <f>IFNA(VLOOKUP(F556,Driver!A:C,3,false),"")</f>
        <v/>
      </c>
      <c r="I556" s="9">
        <v>0.6875</v>
      </c>
      <c r="J556" s="9">
        <v>0.7916666666666666</v>
      </c>
      <c r="K556" s="9"/>
    </row>
    <row r="557" hidden="1">
      <c r="A557" s="5" t="str">
        <f>IFNA(VLOOKUP(D557,'Location Table'!A:C,2,false),"")</f>
        <v>073c12b6-0f63-11ee-837c-506b8dbc8dfb</v>
      </c>
      <c r="B557" s="5" t="str">
        <f>IFNA(VLOOKUP(F557,Driver!A:C,2,false),"")</f>
        <v>f5993946-37cf-11ed-a3fc-506b8dbc8dfb</v>
      </c>
      <c r="C557" s="5" t="str">
        <f>IFNA(VLOOKUP(E557,'Location Table'!A:C,2,false),"")</f>
        <v/>
      </c>
      <c r="D557" s="6" t="s">
        <v>372</v>
      </c>
      <c r="E557" s="6"/>
      <c r="F557" s="6" t="s">
        <v>314</v>
      </c>
      <c r="G557" s="7" t="str">
        <f>IFNA(VLOOKUP(F557,Driver!A:D,4,false),"")</f>
        <v/>
      </c>
      <c r="H557" s="8" t="str">
        <f>IFNA(VLOOKUP(F557,Driver!A:C,3,false),"")</f>
        <v/>
      </c>
      <c r="I557" s="9">
        <v>0.6875</v>
      </c>
      <c r="J557" s="9">
        <v>0.7916666666666666</v>
      </c>
      <c r="K557" s="9"/>
    </row>
    <row r="558" hidden="1">
      <c r="A558" s="5" t="str">
        <f>IFNA(VLOOKUP(D558,'Location Table'!A:C,2,false),"")</f>
        <v>027cd410-2275-11ef-b4a3-506b8d9879b5</v>
      </c>
      <c r="B558" s="5" t="str">
        <f>IFNA(VLOOKUP(F558,Driver!A:C,2,false),"")</f>
        <v>af57dfcc-782d-11f0-b407-506b8d982279</v>
      </c>
      <c r="C558" s="5" t="str">
        <f>IFNA(VLOOKUP(E558,'Location Table'!A:C,2,false),"")</f>
        <v/>
      </c>
      <c r="D558" s="6" t="s">
        <v>373</v>
      </c>
      <c r="E558" s="6"/>
      <c r="F558" s="6" t="s">
        <v>515</v>
      </c>
      <c r="G558" s="7" t="str">
        <f>IFNA(VLOOKUP(F558,Driver!A:D,4,false),"")</f>
        <v>2160130926882687325:VSRHFZoYrhhtnecmAaOfmgvaKlfxBZEgxFxSbLPTAhfVwurTuJfQgOTrwyseeqJQ</v>
      </c>
      <c r="H558" s="8" t="str">
        <f>IFNA(VLOOKUP(F558,Driver!A:C,3,false),"")</f>
        <v>d9fc37dd4093a9cdf082</v>
      </c>
      <c r="I558" s="9">
        <v>0.6875</v>
      </c>
      <c r="J558" s="9">
        <v>0.8333333333333334</v>
      </c>
      <c r="K558" s="9"/>
    </row>
    <row r="559" hidden="1">
      <c r="A559" s="5" t="str">
        <f>IFNA(VLOOKUP(D559,'Location Table'!A:C,2,false),"")</f>
        <v>98465eea-93ea-11ee-9af5-506b8d9879b5</v>
      </c>
      <c r="B559" s="5" t="str">
        <f>IFNA(VLOOKUP(F559,Driver!A:C,2,false),"")</f>
        <v>af57dfcc-782d-11f0-b407-506b8d982279</v>
      </c>
      <c r="C559" s="5" t="str">
        <f>IFNA(VLOOKUP(E559,'Location Table'!A:C,2,false),"")</f>
        <v/>
      </c>
      <c r="D559" s="6" t="s">
        <v>374</v>
      </c>
      <c r="E559" s="6"/>
      <c r="F559" s="6" t="s">
        <v>515</v>
      </c>
      <c r="G559" s="7" t="str">
        <f>IFNA(VLOOKUP(F559,Driver!A:D,4,false),"")</f>
        <v>2160130926882687325:VSRHFZoYrhhtnecmAaOfmgvaKlfxBZEgxFxSbLPTAhfVwurTuJfQgOTrwyseeqJQ</v>
      </c>
      <c r="H559" s="8" t="str">
        <f>IFNA(VLOOKUP(F559,Driver!A:C,3,false),"")</f>
        <v>d9fc37dd4093a9cdf082</v>
      </c>
      <c r="I559" s="9">
        <v>0.6875</v>
      </c>
      <c r="J559" s="9">
        <v>0.8333333333333334</v>
      </c>
      <c r="K559" s="9"/>
    </row>
    <row r="560" hidden="1">
      <c r="A560" s="5" t="str">
        <f>IFNA(VLOOKUP(D560,'Location Table'!A:C,2,false),"")</f>
        <v>be36be84-3528-11f0-89ed-506b8d982279</v>
      </c>
      <c r="B560" s="5" t="str">
        <f>IFNA(VLOOKUP(F560,Driver!A:C,2,false),"")</f>
        <v>412f31be-2fc3-11f1-9378-fa163ee8d8ac</v>
      </c>
      <c r="C560" s="5" t="str">
        <f>IFNA(VLOOKUP(E560,'Location Table'!A:C,2,false),"")</f>
        <v/>
      </c>
      <c r="D560" s="6" t="s">
        <v>375</v>
      </c>
      <c r="E560" s="6"/>
      <c r="F560" s="10" t="s">
        <v>511</v>
      </c>
      <c r="G560" s="7" t="str">
        <f>IFNA(VLOOKUP(F560,Driver!A:D,4,false),"")</f>
        <v/>
      </c>
      <c r="H560" s="8" t="str">
        <f>IFNA(VLOOKUP(F560,Driver!A:C,3,false),"")</f>
        <v/>
      </c>
      <c r="I560" s="9">
        <v>0.6875</v>
      </c>
      <c r="J560" s="9">
        <v>0.7916666666666666</v>
      </c>
      <c r="K560" s="9"/>
    </row>
    <row r="561" hidden="1">
      <c r="A561" s="5" t="str">
        <f>IFNA(VLOOKUP(D561,'Location Table'!A:C,2,false),"")</f>
        <v>a4f0de66-8a3a-11f0-98af-506b8d982279</v>
      </c>
      <c r="B561" s="5" t="str">
        <f>IFNA(VLOOKUP(F561,Driver!A:C,2,false),"")</f>
        <v>412f31be-2fc3-11f1-9378-fa163ee8d8ac</v>
      </c>
      <c r="C561" s="5" t="str">
        <f>IFNA(VLOOKUP(E561,'Location Table'!A:C,2,false),"")</f>
        <v/>
      </c>
      <c r="D561" s="6" t="s">
        <v>376</v>
      </c>
      <c r="E561" s="6"/>
      <c r="F561" s="10" t="s">
        <v>511</v>
      </c>
      <c r="G561" s="7" t="str">
        <f>IFNA(VLOOKUP(F561,Driver!A:D,4,false),"")</f>
        <v/>
      </c>
      <c r="H561" s="8" t="str">
        <f>IFNA(VLOOKUP(F561,Driver!A:C,3,false),"")</f>
        <v/>
      </c>
      <c r="I561" s="9">
        <v>0.6875</v>
      </c>
      <c r="J561" s="9">
        <v>0.7916666666666666</v>
      </c>
      <c r="K561" s="9"/>
    </row>
    <row r="562" hidden="1">
      <c r="A562" s="5" t="str">
        <f>IFNA(VLOOKUP(D562,'Location Table'!A:C,2,false),"")</f>
        <v>5b63341e-4623-11ed-a460-506b8dbc8dfb</v>
      </c>
      <c r="B562" s="5" t="str">
        <f>IFNA(VLOOKUP(F562,Driver!A:C,2,false),"")</f>
        <v>4e1ad614-6cdb-11ef-807b-506b8d9879b5</v>
      </c>
      <c r="C562" s="5" t="str">
        <f>IFNA(VLOOKUP(E562,'Location Table'!A:C,2,false),"")</f>
        <v/>
      </c>
      <c r="D562" s="6" t="s">
        <v>377</v>
      </c>
      <c r="E562" s="6"/>
      <c r="F562" s="6" t="s">
        <v>512</v>
      </c>
      <c r="G562" s="7" t="str">
        <f>IFNA(VLOOKUP(F562,Driver!A:D,4,false),"")</f>
        <v>2160130926882687325:VSRHFZoYrhhtnecmAaOfmgvaKlfxBZEgxFxSbLPTAhfVwurTuJfQgOTrwyseeqJQ</v>
      </c>
      <c r="H562" s="8" t="str">
        <f>IFNA(VLOOKUP(F562,Driver!A:C,3,false),"")</f>
        <v>65a6581b624a8b14d25b</v>
      </c>
      <c r="I562" s="9">
        <v>0.6875</v>
      </c>
      <c r="J562" s="9">
        <v>0.7708333333333334</v>
      </c>
      <c r="K562" s="9"/>
    </row>
    <row r="563" hidden="1">
      <c r="A563" s="5" t="str">
        <f>IFNA(VLOOKUP(D563,'Location Table'!A:C,2,false),"")</f>
        <v>0cfb7cc4-4550-11ed-8c98-506b8dbc8dfb</v>
      </c>
      <c r="B563" s="5" t="str">
        <f>IFNA(VLOOKUP(F563,Driver!A:C,2,false),"")</f>
        <v>4e1ad614-6cdb-11ef-807b-506b8d9879b5</v>
      </c>
      <c r="C563" s="5" t="str">
        <f>IFNA(VLOOKUP(E563,'Location Table'!A:C,2,false),"")</f>
        <v/>
      </c>
      <c r="D563" s="6" t="s">
        <v>378</v>
      </c>
      <c r="E563" s="6"/>
      <c r="F563" s="6" t="s">
        <v>512</v>
      </c>
      <c r="G563" s="7" t="str">
        <f>IFNA(VLOOKUP(F563,Driver!A:D,4,false),"")</f>
        <v>2160130926882687325:VSRHFZoYrhhtnecmAaOfmgvaKlfxBZEgxFxSbLPTAhfVwurTuJfQgOTrwyseeqJQ</v>
      </c>
      <c r="H563" s="8" t="str">
        <f>IFNA(VLOOKUP(F563,Driver!A:C,3,false),"")</f>
        <v>65a6581b624a8b14d25b</v>
      </c>
      <c r="I563" s="9">
        <v>0.6875</v>
      </c>
      <c r="J563" s="9">
        <v>0.7708333333333334</v>
      </c>
      <c r="K563" s="9"/>
    </row>
    <row r="564" hidden="1">
      <c r="A564" s="5" t="str">
        <f>IFNA(VLOOKUP(D564,'Location Table'!A:C,2,false),"")</f>
        <v>d8610906-8140-11ee-abb7-506b8d9879b5</v>
      </c>
      <c r="B564" s="5" t="str">
        <f>IFNA(VLOOKUP(F564,Driver!A:C,2,false),"")</f>
        <v>412f31be-2fc3-11f1-9378-fa163ee8d8ac</v>
      </c>
      <c r="C564" s="5" t="str">
        <f>IFNA(VLOOKUP(E564,'Location Table'!A:C,2,false),"")</f>
        <v/>
      </c>
      <c r="D564" s="6" t="s">
        <v>379</v>
      </c>
      <c r="E564" s="6"/>
      <c r="F564" s="10" t="s">
        <v>511</v>
      </c>
      <c r="G564" s="7" t="str">
        <f>IFNA(VLOOKUP(F564,Driver!A:D,4,false),"")</f>
        <v/>
      </c>
      <c r="H564" s="8" t="str">
        <f>IFNA(VLOOKUP(F564,Driver!A:C,3,false),"")</f>
        <v/>
      </c>
      <c r="I564" s="9">
        <v>0.6875</v>
      </c>
      <c r="J564" s="9">
        <v>0.7916666666666666</v>
      </c>
      <c r="K564" s="9"/>
    </row>
    <row r="565" hidden="1">
      <c r="A565" s="5" t="str">
        <f>IFNA(VLOOKUP(D565,'Location Table'!A:C,2,false),"")</f>
        <v>0d517404-4621-11ed-8c7f-506b8dbc8dfb</v>
      </c>
      <c r="B565" s="5" t="str">
        <f>IFNA(VLOOKUP(F565,Driver!A:C,2,false),"")</f>
        <v>412f31be-2fc3-11f1-9378-fa163ee8d8ac</v>
      </c>
      <c r="C565" s="5" t="str">
        <f>IFNA(VLOOKUP(E565,'Location Table'!A:C,2,false),"")</f>
        <v>c4f51f56-1ba8-11f1-9378-fa163ee8d8ac</v>
      </c>
      <c r="D565" s="6" t="s">
        <v>380</v>
      </c>
      <c r="E565" s="10" t="s">
        <v>518</v>
      </c>
      <c r="F565" s="10" t="s">
        <v>511</v>
      </c>
      <c r="G565" s="7" t="str">
        <f>IFNA(VLOOKUP(F565,Driver!A:D,4,false),"")</f>
        <v/>
      </c>
      <c r="H565" s="8" t="str">
        <f>IFNA(VLOOKUP(F565,Driver!A:C,3,false),"")</f>
        <v/>
      </c>
      <c r="I565" s="9">
        <v>0.75</v>
      </c>
      <c r="J565" s="9">
        <v>0.7916666666666666</v>
      </c>
      <c r="K565" s="9"/>
    </row>
    <row r="566" hidden="1">
      <c r="A566" s="5" t="str">
        <f>IFNA(VLOOKUP(D566,'Location Table'!A:C,2,false),"")</f>
        <v>8a866508-0a7d-11ee-9b14-506b8dbc8dfb</v>
      </c>
      <c r="B566" s="5" t="str">
        <f>IFNA(VLOOKUP(F566,Driver!A:C,2,false),"")</f>
        <v>f5993946-37cf-11ed-a3fc-506b8dbc8dfb</v>
      </c>
      <c r="C566" s="5" t="str">
        <f>IFNA(VLOOKUP(E566,'Location Table'!A:C,2,false),"")</f>
        <v/>
      </c>
      <c r="D566" s="6" t="s">
        <v>381</v>
      </c>
      <c r="E566" s="6"/>
      <c r="F566" s="6" t="s">
        <v>314</v>
      </c>
      <c r="G566" s="7" t="str">
        <f>IFNA(VLOOKUP(F566,Driver!A:D,4,false),"")</f>
        <v/>
      </c>
      <c r="H566" s="8" t="str">
        <f>IFNA(VLOOKUP(F566,Driver!A:C,3,false),"")</f>
        <v/>
      </c>
      <c r="I566" s="9">
        <v>0.75</v>
      </c>
      <c r="J566" s="9">
        <v>0.7916666666666666</v>
      </c>
      <c r="K566" s="9"/>
    </row>
    <row r="567" hidden="1">
      <c r="A567" s="5" t="str">
        <f>IFNA(VLOOKUP(D567,'Location Table'!A:C,2,false),"")</f>
        <v>46bb67d6-4621-11ed-908d-506b8dbc8dfb</v>
      </c>
      <c r="B567" s="5" t="str">
        <f>IFNA(VLOOKUP(F567,Driver!A:C,2,false),"")</f>
        <v>412f31be-2fc3-11f1-9378-fa163ee8d8ac</v>
      </c>
      <c r="C567" s="5" t="str">
        <f>IFNA(VLOOKUP(E567,'Location Table'!A:C,2,false),"")</f>
        <v/>
      </c>
      <c r="D567" s="6" t="s">
        <v>382</v>
      </c>
      <c r="E567" s="6"/>
      <c r="F567" s="10" t="s">
        <v>511</v>
      </c>
      <c r="G567" s="7" t="str">
        <f>IFNA(VLOOKUP(F567,Driver!A:D,4,false),"")</f>
        <v/>
      </c>
      <c r="H567" s="8" t="str">
        <f>IFNA(VLOOKUP(F567,Driver!A:C,3,false),"")</f>
        <v/>
      </c>
      <c r="I567" s="9">
        <v>0.6875</v>
      </c>
      <c r="J567" s="9">
        <v>0.7916666666666666</v>
      </c>
      <c r="K567" s="9"/>
    </row>
    <row r="568" hidden="1">
      <c r="A568" s="5" t="str">
        <f>IFNA(VLOOKUP(D568,'Location Table'!A:C,2,false),"")</f>
        <v>9575b00e-ba9f-11ee-86c0-506b8d9879b5</v>
      </c>
      <c r="B568" s="5" t="str">
        <f>IFNA(VLOOKUP(F568,Driver!A:C,2,false),"")</f>
        <v>412f31be-2fc3-11f1-9378-fa163ee8d8ac</v>
      </c>
      <c r="C568" s="5" t="str">
        <f>IFNA(VLOOKUP(E568,'Location Table'!A:C,2,false),"")</f>
        <v/>
      </c>
      <c r="D568" s="6" t="s">
        <v>383</v>
      </c>
      <c r="E568" s="6"/>
      <c r="F568" s="10" t="s">
        <v>511</v>
      </c>
      <c r="G568" s="7" t="str">
        <f>IFNA(VLOOKUP(F568,Driver!A:D,4,false),"")</f>
        <v/>
      </c>
      <c r="H568" s="8" t="str">
        <f>IFNA(VLOOKUP(F568,Driver!A:C,3,false),"")</f>
        <v/>
      </c>
      <c r="I568" s="9">
        <v>0.6875</v>
      </c>
      <c r="J568" s="9">
        <v>0.7916666666666666</v>
      </c>
      <c r="K568" s="9"/>
    </row>
    <row r="569" hidden="1">
      <c r="A569" s="5" t="str">
        <f>IFNA(VLOOKUP(D569,'Location Table'!A:C,2,false),"")</f>
        <v>31d94d60-4621-11ed-a164-506b8dbc8dfb</v>
      </c>
      <c r="B569" s="5" t="str">
        <f>IFNA(VLOOKUP(F569,Driver!A:C,2,false),"")</f>
        <v>412f31be-2fc3-11f1-9378-fa163ee8d8ac</v>
      </c>
      <c r="C569" s="5" t="str">
        <f>IFNA(VLOOKUP(E569,'Location Table'!A:C,2,false),"")</f>
        <v/>
      </c>
      <c r="D569" s="6" t="s">
        <v>384</v>
      </c>
      <c r="E569" s="6"/>
      <c r="F569" s="10" t="s">
        <v>511</v>
      </c>
      <c r="G569" s="7" t="str">
        <f>IFNA(VLOOKUP(F569,Driver!A:D,4,false),"")</f>
        <v/>
      </c>
      <c r="H569" s="8" t="str">
        <f>IFNA(VLOOKUP(F569,Driver!A:C,3,false),"")</f>
        <v/>
      </c>
      <c r="I569" s="9">
        <v>0.6875</v>
      </c>
      <c r="J569" s="9">
        <v>0.7916666666666666</v>
      </c>
      <c r="K569" s="9"/>
    </row>
    <row r="570" hidden="1">
      <c r="A570" s="5" t="str">
        <f>IFNA(VLOOKUP(D570,'Location Table'!A:C,2,false),"")</f>
        <v>f9b7b020-4620-11ed-a3ea-506b8dbc8dfb</v>
      </c>
      <c r="B570" s="5" t="str">
        <f>IFNA(VLOOKUP(F570,Driver!A:C,2,false),"")</f>
        <v>412f31be-2fc3-11f1-9378-fa163ee8d8ac</v>
      </c>
      <c r="C570" s="5" t="str">
        <f>IFNA(VLOOKUP(E570,'Location Table'!A:C,2,false),"")</f>
        <v/>
      </c>
      <c r="D570" s="6" t="s">
        <v>385</v>
      </c>
      <c r="E570" s="6"/>
      <c r="F570" s="10" t="s">
        <v>511</v>
      </c>
      <c r="G570" s="7" t="str">
        <f>IFNA(VLOOKUP(F570,Driver!A:D,4,false),"")</f>
        <v/>
      </c>
      <c r="H570" s="8" t="str">
        <f>IFNA(VLOOKUP(F570,Driver!A:C,3,false),"")</f>
        <v/>
      </c>
      <c r="I570" s="9">
        <v>0.6875</v>
      </c>
      <c r="J570" s="9">
        <v>0.7916666666666666</v>
      </c>
      <c r="K570" s="9"/>
    </row>
    <row r="571" hidden="1">
      <c r="A571" s="5" t="str">
        <f>IFNA(VLOOKUP(D571,'Location Table'!A:C,2,false),"")</f>
        <v>b15b569a-447e-11ed-98ce-506b8dbc8dfb</v>
      </c>
      <c r="B571" s="5" t="str">
        <f>IFNA(VLOOKUP(F571,Driver!A:C,2,false),"")</f>
        <v>c1149922-ecea-11ef-a670-506b8d9879b5</v>
      </c>
      <c r="C571" s="5" t="str">
        <f>IFNA(VLOOKUP(E571,'Location Table'!A:C,2,false),"")</f>
        <v/>
      </c>
      <c r="D571" s="6" t="s">
        <v>386</v>
      </c>
      <c r="E571" s="6"/>
      <c r="F571" s="6" t="s">
        <v>509</v>
      </c>
      <c r="G571" s="7" t="str">
        <f>IFNA(VLOOKUP(F571,Driver!A:D,4,false),"")</f>
        <v/>
      </c>
      <c r="H571" s="8" t="str">
        <f>IFNA(VLOOKUP(F571,Driver!A:C,3,false),"")</f>
        <v/>
      </c>
      <c r="I571" s="9">
        <v>0.6666666666666666</v>
      </c>
      <c r="J571" s="9">
        <v>0.7916666666666666</v>
      </c>
      <c r="K571" s="9"/>
    </row>
    <row r="572" hidden="1">
      <c r="A572" s="5" t="str">
        <f>IFNA(VLOOKUP(D572,'Location Table'!A:C,2,false),"")</f>
        <v>38c9c1aa-4620-11ed-9196-506b8dbc8dfb</v>
      </c>
      <c r="B572" s="5" t="str">
        <f>IFNA(VLOOKUP(F572,Driver!A:C,2,false),"")</f>
        <v>f61678a4-3656-11ed-9310-506b8dbc8dfb</v>
      </c>
      <c r="C572" s="5" t="str">
        <f>IFNA(VLOOKUP(E572,'Location Table'!A:C,2,false),"")</f>
        <v/>
      </c>
      <c r="D572" s="6" t="s">
        <v>391</v>
      </c>
      <c r="E572" s="6"/>
      <c r="F572" s="6" t="s">
        <v>470</v>
      </c>
      <c r="G572" s="7" t="str">
        <f>IFNA(VLOOKUP(F572,Driver!A:D,4,false),"")</f>
        <v>2160130926882687325:VSRHFZoYrhhtnecmAaOfmgvaKlfxBZEgxFxSbLPTAhfVwurTuJfQgOTrwyseeqJQ</v>
      </c>
      <c r="H572" s="8" t="str">
        <f>IFNA(VLOOKUP(F572,Driver!A:C,3,false),"")</f>
        <v>551b71e8ffa616f84fb7</v>
      </c>
      <c r="I572" s="9">
        <v>0.5833333333333334</v>
      </c>
      <c r="J572" s="9">
        <v>0.7916666666666666</v>
      </c>
      <c r="K572" s="9"/>
    </row>
    <row r="573" hidden="1">
      <c r="A573" s="5" t="str">
        <f>IFNA(VLOOKUP(D573,'Location Table'!A:C,2,false),"")</f>
        <v>2e371346-21f8-11ee-a792-506b8d9879b5</v>
      </c>
      <c r="B573" s="5" t="str">
        <f>IFNA(VLOOKUP(F573,Driver!A:C,2,false),"")</f>
        <v>e3970cec-503e-11f1-9378-fa163ee8d8ac</v>
      </c>
      <c r="C573" s="5" t="str">
        <f>IFNA(VLOOKUP(E573,'Location Table'!A:C,2,false),"")</f>
        <v/>
      </c>
      <c r="D573" s="6" t="s">
        <v>392</v>
      </c>
      <c r="E573" s="6"/>
      <c r="F573" s="10" t="s">
        <v>328</v>
      </c>
      <c r="G573" s="7" t="str">
        <f>IFNA(VLOOKUP(F573,Driver!A:D,4,false),"")</f>
        <v/>
      </c>
      <c r="H573" s="8" t="str">
        <f>IFNA(VLOOKUP(F573,Driver!A:C,3,false),"")</f>
        <v/>
      </c>
      <c r="I573" s="9">
        <v>0.6666666666666666</v>
      </c>
      <c r="J573" s="9">
        <v>0.7916666666666666</v>
      </c>
      <c r="K573" s="9"/>
    </row>
    <row r="574" hidden="1">
      <c r="A574" s="5" t="str">
        <f>IFNA(VLOOKUP(D574,'Location Table'!A:C,2,false),"")</f>
        <v>6e28b82a-8c67-11f0-9f5d-506b8d982279</v>
      </c>
      <c r="B574" s="5" t="str">
        <f>IFNA(VLOOKUP(F574,Driver!A:C,2,false),"")</f>
        <v>443c5016-3017-11ee-a6b5-506b8d9879b5</v>
      </c>
      <c r="C574" s="5" t="str">
        <f>IFNA(VLOOKUP(E574,'Location Table'!A:C,2,false),"")</f>
        <v/>
      </c>
      <c r="D574" s="6" t="s">
        <v>393</v>
      </c>
      <c r="E574" s="6"/>
      <c r="F574" s="6" t="s">
        <v>513</v>
      </c>
      <c r="G574" s="7" t="str">
        <f>IFNA(VLOOKUP(F574,Driver!A:D,4,false),"")</f>
        <v>1980698793628880414:XXMGIAegigeHesHcPUQpIcnMCwhigvPUATFrPyRHiqIZqTwmvWiXbUzfDhivxPcl</v>
      </c>
      <c r="H574" s="8" t="str">
        <f>IFNA(VLOOKUP(F574,Driver!A:C,3,false),"")</f>
        <v>430767465e0cb752ee1d</v>
      </c>
      <c r="I574" s="9">
        <v>0.6666666666666666</v>
      </c>
      <c r="J574" s="9">
        <v>0.7916666666666666</v>
      </c>
      <c r="K574" s="9"/>
    </row>
    <row r="575" hidden="1">
      <c r="A575" s="5" t="str">
        <f>IFNA(VLOOKUP(D575,'Location Table'!A:C,2,false),"")</f>
        <v>08dc27ae-4d84-11ef-ba5f-506b8d9879b5</v>
      </c>
      <c r="B575" s="5" t="str">
        <f>IFNA(VLOOKUP(F575,Driver!A:C,2,false),"")</f>
        <v>443c5016-3017-11ee-a6b5-506b8d9879b5</v>
      </c>
      <c r="C575" s="5" t="str">
        <f>IFNA(VLOOKUP(E575,'Location Table'!A:C,2,false),"")</f>
        <v/>
      </c>
      <c r="D575" s="6" t="s">
        <v>394</v>
      </c>
      <c r="E575" s="6"/>
      <c r="F575" s="6" t="s">
        <v>513</v>
      </c>
      <c r="G575" s="7" t="str">
        <f>IFNA(VLOOKUP(F575,Driver!A:D,4,false),"")</f>
        <v>1980698793628880414:XXMGIAegigeHesHcPUQpIcnMCwhigvPUATFrPyRHiqIZqTwmvWiXbUzfDhivxPcl</v>
      </c>
      <c r="H575" s="8" t="str">
        <f>IFNA(VLOOKUP(F575,Driver!A:C,3,false),"")</f>
        <v>430767465e0cb752ee1d</v>
      </c>
      <c r="I575" s="9">
        <v>0.6666666666666666</v>
      </c>
      <c r="J575" s="9">
        <v>0.7916666666666666</v>
      </c>
      <c r="K575" s="9"/>
    </row>
    <row r="576" hidden="1">
      <c r="A576" s="5" t="str">
        <f>IFNA(VLOOKUP(D576,'Location Table'!A:C,2,false),"")</f>
        <v>c9c4cd62-4620-11ed-a198-506b8dbc8dfb</v>
      </c>
      <c r="B576" s="5" t="str">
        <f>IFNA(VLOOKUP(F576,Driver!A:C,2,false),"")</f>
        <v>443c5016-3017-11ee-a6b5-506b8d9879b5</v>
      </c>
      <c r="C576" s="5" t="str">
        <f>IFNA(VLOOKUP(E576,'Location Table'!A:C,2,false),"")</f>
        <v/>
      </c>
      <c r="D576" s="6" t="s">
        <v>395</v>
      </c>
      <c r="E576" s="6"/>
      <c r="F576" s="6" t="s">
        <v>513</v>
      </c>
      <c r="G576" s="7" t="str">
        <f>IFNA(VLOOKUP(F576,Driver!A:D,4,false),"")</f>
        <v>1980698793628880414:XXMGIAegigeHesHcPUQpIcnMCwhigvPUATFrPyRHiqIZqTwmvWiXbUzfDhivxPcl</v>
      </c>
      <c r="H576" s="8" t="str">
        <f>IFNA(VLOOKUP(F576,Driver!A:C,3,false),"")</f>
        <v>430767465e0cb752ee1d</v>
      </c>
      <c r="I576" s="9">
        <v>0.6666666666666666</v>
      </c>
      <c r="J576" s="9">
        <v>0.7916666666666666</v>
      </c>
      <c r="K576" s="9"/>
    </row>
    <row r="577" hidden="1">
      <c r="A577" s="5" t="str">
        <f>IFNA(VLOOKUP(D577,'Location Table'!A:C,2,false),"")</f>
        <v>acdc38c0-4620-11ed-88dd-506b8dbc8dfb</v>
      </c>
      <c r="B577" s="5" t="str">
        <f>IFNA(VLOOKUP(F577,Driver!A:C,2,false),"")</f>
        <v>443c5016-3017-11ee-a6b5-506b8d9879b5</v>
      </c>
      <c r="C577" s="5" t="str">
        <f>IFNA(VLOOKUP(E577,'Location Table'!A:C,2,false),"")</f>
        <v/>
      </c>
      <c r="D577" s="6" t="s">
        <v>396</v>
      </c>
      <c r="E577" s="6"/>
      <c r="F577" s="6" t="s">
        <v>513</v>
      </c>
      <c r="G577" s="7" t="str">
        <f>IFNA(VLOOKUP(F577,Driver!A:D,4,false),"")</f>
        <v>1980698793628880414:XXMGIAegigeHesHcPUQpIcnMCwhigvPUATFrPyRHiqIZqTwmvWiXbUzfDhivxPcl</v>
      </c>
      <c r="H577" s="8" t="str">
        <f>IFNA(VLOOKUP(F577,Driver!A:C,3,false),"")</f>
        <v>430767465e0cb752ee1d</v>
      </c>
      <c r="I577" s="9">
        <v>0.6666666666666666</v>
      </c>
      <c r="J577" s="9">
        <v>0.7916666666666666</v>
      </c>
      <c r="K577" s="9"/>
    </row>
    <row r="578" hidden="1">
      <c r="A578" s="5" t="str">
        <f>IFNA(VLOOKUP(D578,'Location Table'!A:C,2,false),"")</f>
        <v>7645c48a-4d84-11ef-ad7f-506b8d9879b5</v>
      </c>
      <c r="B578" s="5" t="str">
        <f>IFNA(VLOOKUP(F578,Driver!A:C,2,false),"")</f>
        <v>443c5016-3017-11ee-a6b5-506b8d9879b5</v>
      </c>
      <c r="C578" s="5" t="str">
        <f>IFNA(VLOOKUP(E578,'Location Table'!A:C,2,false),"")</f>
        <v/>
      </c>
      <c r="D578" s="6" t="s">
        <v>397</v>
      </c>
      <c r="E578" s="6"/>
      <c r="F578" s="6" t="s">
        <v>513</v>
      </c>
      <c r="G578" s="7" t="str">
        <f>IFNA(VLOOKUP(F578,Driver!A:D,4,false),"")</f>
        <v>1980698793628880414:XXMGIAegigeHesHcPUQpIcnMCwhigvPUATFrPyRHiqIZqTwmvWiXbUzfDhivxPcl</v>
      </c>
      <c r="H578" s="8" t="str">
        <f>IFNA(VLOOKUP(F578,Driver!A:C,3,false),"")</f>
        <v>430767465e0cb752ee1d</v>
      </c>
      <c r="I578" s="9">
        <v>0.6666666666666666</v>
      </c>
      <c r="J578" s="9">
        <v>0.7916666666666666</v>
      </c>
      <c r="K578" s="9"/>
    </row>
    <row r="579" hidden="1">
      <c r="A579" s="5" t="str">
        <f>IFNA(VLOOKUP(D579,'Location Table'!A:C,2,false),"")</f>
        <v>a283fb2c-93e2-11ee-958b-506b8d9879b5</v>
      </c>
      <c r="B579" s="5" t="str">
        <f>IFNA(VLOOKUP(F579,Driver!A:C,2,false),"")</f>
        <v>443c5016-3017-11ee-a6b5-506b8d9879b5</v>
      </c>
      <c r="C579" s="5" t="str">
        <f>IFNA(VLOOKUP(E579,'Location Table'!A:C,2,false),"")</f>
        <v/>
      </c>
      <c r="D579" s="6" t="s">
        <v>398</v>
      </c>
      <c r="E579" s="6"/>
      <c r="F579" s="6" t="s">
        <v>513</v>
      </c>
      <c r="G579" s="7" t="str">
        <f>IFNA(VLOOKUP(F579,Driver!A:D,4,false),"")</f>
        <v>1980698793628880414:XXMGIAegigeHesHcPUQpIcnMCwhigvPUATFrPyRHiqIZqTwmvWiXbUzfDhivxPcl</v>
      </c>
      <c r="H579" s="8" t="str">
        <f>IFNA(VLOOKUP(F579,Driver!A:C,3,false),"")</f>
        <v>430767465e0cb752ee1d</v>
      </c>
      <c r="I579" s="9">
        <v>0.6666666666666666</v>
      </c>
      <c r="J579" s="9">
        <v>0.7916666666666666</v>
      </c>
      <c r="K579" s="9"/>
    </row>
    <row r="580" hidden="1">
      <c r="A580" s="5" t="str">
        <f>IFNA(VLOOKUP(D580,'Location Table'!A:C,2,false),"")</f>
        <v>efaf92da-5588-11f0-88a4-506b8d982279</v>
      </c>
      <c r="B580" s="5" t="str">
        <f>IFNA(VLOOKUP(F580,Driver!A:C,2,false),"")</f>
        <v>443c5016-3017-11ee-a6b5-506b8d9879b5</v>
      </c>
      <c r="C580" s="5" t="str">
        <f>IFNA(VLOOKUP(E580,'Location Table'!A:C,2,false),"")</f>
        <v/>
      </c>
      <c r="D580" s="6" t="s">
        <v>399</v>
      </c>
      <c r="E580" s="6"/>
      <c r="F580" s="6" t="s">
        <v>513</v>
      </c>
      <c r="G580" s="7" t="str">
        <f>IFNA(VLOOKUP(F580,Driver!A:D,4,false),"")</f>
        <v>1980698793628880414:XXMGIAegigeHesHcPUQpIcnMCwhigvPUATFrPyRHiqIZqTwmvWiXbUzfDhivxPcl</v>
      </c>
      <c r="H580" s="8" t="str">
        <f>IFNA(VLOOKUP(F580,Driver!A:C,3,false),"")</f>
        <v>430767465e0cb752ee1d</v>
      </c>
      <c r="I580" s="9">
        <v>0.6666666666666666</v>
      </c>
      <c r="J580" s="9">
        <v>0.7916666666666666</v>
      </c>
      <c r="K580" s="9"/>
    </row>
    <row r="581" hidden="1">
      <c r="A581" s="5" t="str">
        <f>IFNA(VLOOKUP(D581,'Location Table'!A:C,2,false),"")</f>
        <v>f622b542-be20-11f0-95e7-506b8d982279</v>
      </c>
      <c r="B581" s="5" t="str">
        <f>IFNA(VLOOKUP(F581,Driver!A:C,2,false),"")</f>
        <v>443c5016-3017-11ee-a6b5-506b8d9879b5</v>
      </c>
      <c r="C581" s="5" t="str">
        <f>IFNA(VLOOKUP(E581,'Location Table'!A:C,2,false),"")</f>
        <v/>
      </c>
      <c r="D581" s="6" t="s">
        <v>400</v>
      </c>
      <c r="E581" s="6"/>
      <c r="F581" s="6" t="s">
        <v>513</v>
      </c>
      <c r="G581" s="7" t="str">
        <f>IFNA(VLOOKUP(F581,Driver!A:D,4,false),"")</f>
        <v>1980698793628880414:XXMGIAegigeHesHcPUQpIcnMCwhigvPUATFrPyRHiqIZqTwmvWiXbUzfDhivxPcl</v>
      </c>
      <c r="H581" s="8" t="str">
        <f>IFNA(VLOOKUP(F581,Driver!A:C,3,false),"")</f>
        <v>430767465e0cb752ee1d</v>
      </c>
      <c r="I581" s="9">
        <v>0.6666666666666666</v>
      </c>
      <c r="J581" s="9">
        <v>0.7916666666666666</v>
      </c>
      <c r="K581" s="9"/>
    </row>
    <row r="582" hidden="1">
      <c r="A582" s="5" t="str">
        <f>IFNA(VLOOKUP(D582,'Location Table'!A:C,2,false),"")</f>
        <v>f864d386-461d-11ed-a4b7-506b8dbc8dfb</v>
      </c>
      <c r="B582" s="5" t="str">
        <f>IFNA(VLOOKUP(F582,Driver!A:C,2,false),"")</f>
        <v>cf90a04a-ed64-11ed-8947-506b8dbc8dfb</v>
      </c>
      <c r="C582" s="5" t="str">
        <f>IFNA(VLOOKUP(E582,'Location Table'!A:C,2,false),"")</f>
        <v/>
      </c>
      <c r="D582" s="6" t="s">
        <v>401</v>
      </c>
      <c r="E582" s="6"/>
      <c r="F582" s="6" t="s">
        <v>519</v>
      </c>
      <c r="G582" s="7" t="str">
        <f>IFNA(VLOOKUP(F582,Driver!A:D,4,false),"")</f>
        <v>1980698793628880414:XXMGIAegigeHesHcPUQpIcnMCwhigvPUATFrPyRHiqIZqTwmvWiXbUzfDhivxPcl</v>
      </c>
      <c r="H582" s="8" t="str">
        <f>IFNA(VLOOKUP(F582,Driver!A:C,3,false),"")</f>
        <v>c68359c32e95c7cb9e84</v>
      </c>
      <c r="I582" s="9">
        <v>0.6666666666666666</v>
      </c>
      <c r="J582" s="9">
        <v>0.7916666666666666</v>
      </c>
      <c r="K582" s="9"/>
    </row>
    <row r="583" hidden="1">
      <c r="A583" s="5" t="str">
        <f>IFNA(VLOOKUP(D583,'Location Table'!A:C,2,false),"")</f>
        <v>66cbf49e-461e-11ed-8092-506b8dbc8dfb</v>
      </c>
      <c r="B583" s="5" t="str">
        <f>IFNA(VLOOKUP(F583,Driver!A:C,2,false),"")</f>
        <v>c1149922-ecea-11ef-a670-506b8d9879b5</v>
      </c>
      <c r="C583" s="5" t="str">
        <f>IFNA(VLOOKUP(E583,'Location Table'!A:C,2,false),"")</f>
        <v/>
      </c>
      <c r="D583" s="6" t="s">
        <v>402</v>
      </c>
      <c r="E583" s="6"/>
      <c r="F583" s="6" t="s">
        <v>509</v>
      </c>
      <c r="G583" s="7" t="str">
        <f>IFNA(VLOOKUP(F583,Driver!A:D,4,false),"")</f>
        <v/>
      </c>
      <c r="H583" s="8" t="str">
        <f>IFNA(VLOOKUP(F583,Driver!A:C,3,false),"")</f>
        <v/>
      </c>
      <c r="I583" s="9">
        <v>0.6666666666666666</v>
      </c>
      <c r="J583" s="9">
        <v>0.7916666666666666</v>
      </c>
      <c r="K583" s="9"/>
    </row>
    <row r="584" hidden="1">
      <c r="A584" s="5" t="str">
        <f>IFNA(VLOOKUP(D584,'Location Table'!A:C,2,false),"")</f>
        <v>81144800-461f-11ed-beba-506b8dbc8dfb</v>
      </c>
      <c r="B584" s="5" t="str">
        <f>IFNA(VLOOKUP(F584,Driver!A:C,2,false),"")</f>
        <v>1f4f6cae-37cd-11ed-a84d-506b8dbc8dfb</v>
      </c>
      <c r="C584" s="5" t="str">
        <f>IFNA(VLOOKUP(E584,'Location Table'!A:C,2,false),"")</f>
        <v/>
      </c>
      <c r="D584" s="6" t="s">
        <v>404</v>
      </c>
      <c r="E584" s="6"/>
      <c r="F584" s="6" t="s">
        <v>514</v>
      </c>
      <c r="G584" s="7" t="str">
        <f>IFNA(VLOOKUP(F584,Driver!A:D,4,false),"")</f>
        <v>1980698793628880414:XXMGIAegigeHesHcPUQpIcnMCwhigvPUATFrPyRHiqIZqTwmvWiXbUzfDhivxPcl</v>
      </c>
      <c r="H584" s="8" t="str">
        <f>IFNA(VLOOKUP(F584,Driver!A:C,3,false),"")</f>
        <v>595aed435d09b457ed18</v>
      </c>
      <c r="I584" s="9">
        <v>0.6875</v>
      </c>
      <c r="J584" s="9">
        <v>0.7916666666666666</v>
      </c>
      <c r="K584" s="9"/>
    </row>
    <row r="585" hidden="1">
      <c r="A585" s="5" t="str">
        <f>IFNA(VLOOKUP(D585,'Location Table'!A:C,2,false),"")</f>
        <v>b53f8874-461f-11ed-ac01-506b8dbc8dfb</v>
      </c>
      <c r="B585" s="5" t="str">
        <f>IFNA(VLOOKUP(F585,Driver!A:C,2,false),"")</f>
        <v>412f31be-2fc3-11f1-9378-fa163ee8d8ac</v>
      </c>
      <c r="C585" s="5" t="str">
        <f>IFNA(VLOOKUP(E585,'Location Table'!A:C,2,false),"")</f>
        <v/>
      </c>
      <c r="D585" s="6" t="s">
        <v>405</v>
      </c>
      <c r="E585" s="6"/>
      <c r="F585" s="10" t="s">
        <v>511</v>
      </c>
      <c r="G585" s="7" t="str">
        <f>IFNA(VLOOKUP(F585,Driver!A:D,4,false),"")</f>
        <v/>
      </c>
      <c r="H585" s="8" t="str">
        <f>IFNA(VLOOKUP(F585,Driver!A:C,3,false),"")</f>
        <v/>
      </c>
      <c r="I585" s="9">
        <v>0.6666666666666666</v>
      </c>
      <c r="J585" s="9">
        <v>0.7916666666666666</v>
      </c>
      <c r="K585" s="9"/>
    </row>
    <row r="586" hidden="1">
      <c r="A586" s="5" t="str">
        <f>IFNA(VLOOKUP(D586,'Location Table'!A:C,2,false),"")</f>
        <v>cc4cf010-461f-11ed-8f40-506b8dbc8dfb</v>
      </c>
      <c r="B586" s="5" t="str">
        <f>IFNA(VLOOKUP(F586,Driver!A:C,2,false),"")</f>
        <v>412f31be-2fc3-11f1-9378-fa163ee8d8ac</v>
      </c>
      <c r="C586" s="5" t="str">
        <f>IFNA(VLOOKUP(E586,'Location Table'!A:C,2,false),"")</f>
        <v/>
      </c>
      <c r="D586" s="6" t="s">
        <v>406</v>
      </c>
      <c r="E586" s="6"/>
      <c r="F586" s="10" t="s">
        <v>511</v>
      </c>
      <c r="G586" s="7" t="str">
        <f>IFNA(VLOOKUP(F586,Driver!A:D,4,false),"")</f>
        <v/>
      </c>
      <c r="H586" s="8" t="str">
        <f>IFNA(VLOOKUP(F586,Driver!A:C,3,false),"")</f>
        <v/>
      </c>
      <c r="I586" s="9">
        <v>0.6666666666666666</v>
      </c>
      <c r="J586" s="9">
        <v>0.7916666666666666</v>
      </c>
      <c r="K586" s="9"/>
    </row>
    <row r="587" hidden="1">
      <c r="A587" s="5" t="str">
        <f>IFNA(VLOOKUP(D587,'Location Table'!A:C,2,false),"")</f>
        <v>a4ca13c4-4624-11ed-a72e-506b8dbc8dfb</v>
      </c>
      <c r="B587" s="5" t="str">
        <f>IFNA(VLOOKUP(F587,Driver!A:C,2,false),"")</f>
        <v>af57dfcc-782d-11f0-b407-506b8d982279</v>
      </c>
      <c r="C587" s="5" t="str">
        <f>IFNA(VLOOKUP(E587,'Location Table'!A:C,2,false),"")</f>
        <v/>
      </c>
      <c r="D587" s="6" t="s">
        <v>411</v>
      </c>
      <c r="E587" s="6"/>
      <c r="F587" s="6" t="s">
        <v>515</v>
      </c>
      <c r="G587" s="7" t="str">
        <f>IFNA(VLOOKUP(F587,Driver!A:D,4,false),"")</f>
        <v>2160130926882687325:VSRHFZoYrhhtnecmAaOfmgvaKlfxBZEgxFxSbLPTAhfVwurTuJfQgOTrwyseeqJQ</v>
      </c>
      <c r="H587" s="8" t="str">
        <f>IFNA(VLOOKUP(F587,Driver!A:C,3,false),"")</f>
        <v>d9fc37dd4093a9cdf082</v>
      </c>
      <c r="I587" s="9">
        <v>0.6666666666666666</v>
      </c>
      <c r="J587" s="9">
        <v>0.8333333333333334</v>
      </c>
      <c r="K587" s="9"/>
    </row>
    <row r="588" hidden="1">
      <c r="A588" s="5" t="str">
        <f>IFNA(VLOOKUP(D588,'Location Table'!A:C,2,false),"")</f>
        <v>217168cc-bad6-11f0-b824-506b8d982279</v>
      </c>
      <c r="B588" s="5" t="str">
        <f>IFNA(VLOOKUP(F588,Driver!A:C,2,false),"")</f>
        <v>af57dfcc-782d-11f0-b407-506b8d982279</v>
      </c>
      <c r="C588" s="5" t="str">
        <f>IFNA(VLOOKUP(E588,'Location Table'!A:C,2,false),"")</f>
        <v/>
      </c>
      <c r="D588" s="6" t="s">
        <v>412</v>
      </c>
      <c r="E588" s="6"/>
      <c r="F588" s="6" t="s">
        <v>515</v>
      </c>
      <c r="G588" s="7" t="str">
        <f>IFNA(VLOOKUP(F588,Driver!A:D,4,false),"")</f>
        <v>2160130926882687325:VSRHFZoYrhhtnecmAaOfmgvaKlfxBZEgxFxSbLPTAhfVwurTuJfQgOTrwyseeqJQ</v>
      </c>
      <c r="H588" s="8" t="str">
        <f>IFNA(VLOOKUP(F588,Driver!A:C,3,false),"")</f>
        <v>d9fc37dd4093a9cdf082</v>
      </c>
      <c r="I588" s="9">
        <v>0.6666666666666666</v>
      </c>
      <c r="J588" s="9">
        <v>0.8333333333333334</v>
      </c>
      <c r="K588" s="9"/>
    </row>
    <row r="589" hidden="1">
      <c r="A589" s="5" t="str">
        <f>IFNA(VLOOKUP(D589,'Location Table'!A:C,2,false),"")</f>
        <v>b57674f6-4624-11ed-9100-506b8dbc8dfb</v>
      </c>
      <c r="B589" s="5" t="str">
        <f>IFNA(VLOOKUP(F589,Driver!A:C,2,false),"")</f>
        <v>af57dfcc-782d-11f0-b407-506b8d982279</v>
      </c>
      <c r="C589" s="5" t="str">
        <f>IFNA(VLOOKUP(E589,'Location Table'!A:C,2,false),"")</f>
        <v/>
      </c>
      <c r="D589" s="6" t="s">
        <v>413</v>
      </c>
      <c r="E589" s="6"/>
      <c r="F589" s="6" t="s">
        <v>515</v>
      </c>
      <c r="G589" s="7" t="str">
        <f>IFNA(VLOOKUP(F589,Driver!A:D,4,false),"")</f>
        <v>2160130926882687325:VSRHFZoYrhhtnecmAaOfmgvaKlfxBZEgxFxSbLPTAhfVwurTuJfQgOTrwyseeqJQ</v>
      </c>
      <c r="H589" s="8" t="str">
        <f>IFNA(VLOOKUP(F589,Driver!A:C,3,false),"")</f>
        <v>d9fc37dd4093a9cdf082</v>
      </c>
      <c r="I589" s="9">
        <v>0.6666666666666666</v>
      </c>
      <c r="J589" s="9">
        <v>0.8333333333333334</v>
      </c>
      <c r="K589" s="9"/>
    </row>
    <row r="590" hidden="1">
      <c r="A590" s="5" t="str">
        <f>IFNA(VLOOKUP(D590,'Location Table'!A:C,2,false),"")</f>
        <v>cb5e725a-4624-11ed-9796-506b8dbc8dfb</v>
      </c>
      <c r="B590" s="5" t="str">
        <f>IFNA(VLOOKUP(F590,Driver!A:C,2,false),"")</f>
        <v>443c5016-3017-11ee-a6b5-506b8d9879b5</v>
      </c>
      <c r="C590" s="5" t="str">
        <f>IFNA(VLOOKUP(E590,'Location Table'!A:C,2,false),"")</f>
        <v/>
      </c>
      <c r="D590" s="6" t="s">
        <v>416</v>
      </c>
      <c r="E590" s="6"/>
      <c r="F590" s="6" t="s">
        <v>513</v>
      </c>
      <c r="G590" s="7" t="str">
        <f>IFNA(VLOOKUP(F590,Driver!A:D,4,false),"")</f>
        <v>1980698793628880414:XXMGIAegigeHesHcPUQpIcnMCwhigvPUATFrPyRHiqIZqTwmvWiXbUzfDhivxPcl</v>
      </c>
      <c r="H590" s="8" t="str">
        <f>IFNA(VLOOKUP(F590,Driver!A:C,3,false),"")</f>
        <v>430767465e0cb752ee1d</v>
      </c>
      <c r="I590" s="9">
        <v>0.6666666666666666</v>
      </c>
      <c r="J590" s="9">
        <v>0.7916666666666666</v>
      </c>
      <c r="K590" s="9"/>
    </row>
    <row r="591" hidden="1">
      <c r="A591" s="5" t="str">
        <f>IFNA(VLOOKUP(D591,'Location Table'!A:C,2,false),"")</f>
        <v>a94ef2b0-32b0-11ee-9251-506b8d9879b5</v>
      </c>
      <c r="B591" s="5" t="str">
        <f>IFNA(VLOOKUP(F591,Driver!A:C,2,false),"")</f>
        <v>443c5016-3017-11ee-a6b5-506b8d9879b5</v>
      </c>
      <c r="C591" s="5" t="str">
        <f>IFNA(VLOOKUP(E591,'Location Table'!A:C,2,false),"")</f>
        <v/>
      </c>
      <c r="D591" s="6" t="s">
        <v>417</v>
      </c>
      <c r="E591" s="6"/>
      <c r="F591" s="6" t="s">
        <v>513</v>
      </c>
      <c r="G591" s="7" t="str">
        <f>IFNA(VLOOKUP(F591,Driver!A:D,4,false),"")</f>
        <v>1980698793628880414:XXMGIAegigeHesHcPUQpIcnMCwhigvPUATFrPyRHiqIZqTwmvWiXbUzfDhivxPcl</v>
      </c>
      <c r="H591" s="8" t="str">
        <f>IFNA(VLOOKUP(F591,Driver!A:C,3,false),"")</f>
        <v>430767465e0cb752ee1d</v>
      </c>
      <c r="I591" s="9">
        <v>0.6666666666666666</v>
      </c>
      <c r="J591" s="9">
        <v>0.7916666666666666</v>
      </c>
      <c r="K591" s="9"/>
    </row>
    <row r="592" hidden="1">
      <c r="A592" s="5" t="str">
        <f>IFNA(VLOOKUP(D592,'Location Table'!A:C,2,false),"")</f>
        <v>3a2b645e-32b0-11ee-b21d-506b8d9879b5</v>
      </c>
      <c r="B592" s="5" t="str">
        <f>IFNA(VLOOKUP(F592,Driver!A:C,2,false),"")</f>
        <v>443c5016-3017-11ee-a6b5-506b8d9879b5</v>
      </c>
      <c r="C592" s="5" t="str">
        <f>IFNA(VLOOKUP(E592,'Location Table'!A:C,2,false),"")</f>
        <v/>
      </c>
      <c r="D592" s="6" t="s">
        <v>418</v>
      </c>
      <c r="E592" s="6"/>
      <c r="F592" s="6" t="s">
        <v>513</v>
      </c>
      <c r="G592" s="7" t="str">
        <f>IFNA(VLOOKUP(F592,Driver!A:D,4,false),"")</f>
        <v>1980698793628880414:XXMGIAegigeHesHcPUQpIcnMCwhigvPUATFrPyRHiqIZqTwmvWiXbUzfDhivxPcl</v>
      </c>
      <c r="H592" s="8" t="str">
        <f>IFNA(VLOOKUP(F592,Driver!A:C,3,false),"")</f>
        <v>430767465e0cb752ee1d</v>
      </c>
      <c r="I592" s="9">
        <v>0.6666666666666666</v>
      </c>
      <c r="J592" s="9">
        <v>0.7916666666666666</v>
      </c>
      <c r="K592" s="9"/>
    </row>
    <row r="593" hidden="1">
      <c r="A593" s="5" t="str">
        <f>IFNA(VLOOKUP(D593,'Location Table'!A:C,2,false),"")</f>
        <v>16874f0a-c8c2-11ef-aced-506b8d9879b5</v>
      </c>
      <c r="B593" s="5" t="str">
        <f>IFNA(VLOOKUP(F593,Driver!A:C,2,false),"")</f>
        <v>02d08390-37cf-11ed-865f-506b8dbc8dfb</v>
      </c>
      <c r="C593" s="5" t="str">
        <f>IFNA(VLOOKUP(E593,'Location Table'!A:C,2,false),"")</f>
        <v/>
      </c>
      <c r="D593" s="6" t="s">
        <v>419</v>
      </c>
      <c r="E593" s="6"/>
      <c r="F593" s="6" t="s">
        <v>516</v>
      </c>
      <c r="G593" s="7" t="str">
        <f>IFNA(VLOOKUP(F593,Driver!A:D,4,false),"")</f>
        <v>2160130926882687325:VSRHFZoYrhhtnecmAaOfmgvaKlfxBZEgxFxSbLPTAhfVwurTuJfQgOTrwyseeqJQ</v>
      </c>
      <c r="H593" s="8" t="str">
        <f>IFNA(VLOOKUP(F593,Driver!A:C,3,false),"")</f>
        <v>7b7d76055846b118e857</v>
      </c>
      <c r="I593" s="9">
        <v>0.6875</v>
      </c>
      <c r="J593" s="9">
        <v>0.7916666666666666</v>
      </c>
      <c r="K593" s="9"/>
    </row>
    <row r="594" hidden="1">
      <c r="A594" s="5" t="str">
        <f>IFNA(VLOOKUP(D594,'Location Table'!A:C,2,false),"")</f>
        <v>1eb8a47a-4625-11ed-a856-506b8dbc8dfb</v>
      </c>
      <c r="B594" s="5" t="str">
        <f>IFNA(VLOOKUP(F594,Driver!A:C,2,false),"")</f>
        <v>02d08390-37cf-11ed-865f-506b8dbc8dfb</v>
      </c>
      <c r="C594" s="5" t="str">
        <f>IFNA(VLOOKUP(E594,'Location Table'!A:C,2,false),"")</f>
        <v/>
      </c>
      <c r="D594" s="6" t="s">
        <v>420</v>
      </c>
      <c r="E594" s="6"/>
      <c r="F594" s="6" t="s">
        <v>516</v>
      </c>
      <c r="G594" s="7" t="str">
        <f>IFNA(VLOOKUP(F594,Driver!A:D,4,false),"")</f>
        <v>2160130926882687325:VSRHFZoYrhhtnecmAaOfmgvaKlfxBZEgxFxSbLPTAhfVwurTuJfQgOTrwyseeqJQ</v>
      </c>
      <c r="H594" s="8" t="str">
        <f>IFNA(VLOOKUP(F594,Driver!A:C,3,false),"")</f>
        <v>7b7d76055846b118e857</v>
      </c>
      <c r="I594" s="9">
        <v>0.6875</v>
      </c>
      <c r="J594" s="9">
        <v>0.7916666666666666</v>
      </c>
      <c r="K594" s="9"/>
    </row>
    <row r="595" hidden="1">
      <c r="A595" s="5" t="str">
        <f>IFNA(VLOOKUP(D595,'Location Table'!A:C,2,false),"")</f>
        <v>0b8b3520-4625-11ed-aaa4-506b8dbc8dfb</v>
      </c>
      <c r="B595" s="5" t="str">
        <f>IFNA(VLOOKUP(F595,Driver!A:C,2,false),"")</f>
        <v>02d08390-37cf-11ed-865f-506b8dbc8dfb</v>
      </c>
      <c r="C595" s="5" t="str">
        <f>IFNA(VLOOKUP(E595,'Location Table'!A:C,2,false),"")</f>
        <v/>
      </c>
      <c r="D595" s="6" t="s">
        <v>421</v>
      </c>
      <c r="E595" s="6"/>
      <c r="F595" s="6" t="s">
        <v>516</v>
      </c>
      <c r="G595" s="7" t="str">
        <f>IFNA(VLOOKUP(F595,Driver!A:D,4,false),"")</f>
        <v>2160130926882687325:VSRHFZoYrhhtnecmAaOfmgvaKlfxBZEgxFxSbLPTAhfVwurTuJfQgOTrwyseeqJQ</v>
      </c>
      <c r="H595" s="8" t="str">
        <f>IFNA(VLOOKUP(F595,Driver!A:C,3,false),"")</f>
        <v>7b7d76055846b118e857</v>
      </c>
      <c r="I595" s="9">
        <v>0.6875</v>
      </c>
      <c r="J595" s="9">
        <v>0.7916666666666666</v>
      </c>
      <c r="K595" s="9"/>
    </row>
    <row r="596" hidden="1">
      <c r="A596" s="5" t="str">
        <f>IFNA(VLOOKUP(D596,'Location Table'!A:C,2,false),"")</f>
        <v>b7e27baa-37fe-11ee-8340-506b8d9879b5</v>
      </c>
      <c r="B596" s="5" t="str">
        <f>IFNA(VLOOKUP(F596,Driver!A:C,2,false),"")</f>
        <v>02d08390-37cf-11ed-865f-506b8dbc8dfb</v>
      </c>
      <c r="C596" s="5" t="str">
        <f>IFNA(VLOOKUP(E596,'Location Table'!A:C,2,false),"")</f>
        <v/>
      </c>
      <c r="D596" s="6" t="s">
        <v>422</v>
      </c>
      <c r="E596" s="6"/>
      <c r="F596" s="6" t="s">
        <v>516</v>
      </c>
      <c r="G596" s="7" t="str">
        <f>IFNA(VLOOKUP(F596,Driver!A:D,4,false),"")</f>
        <v>2160130926882687325:VSRHFZoYrhhtnecmAaOfmgvaKlfxBZEgxFxSbLPTAhfVwurTuJfQgOTrwyseeqJQ</v>
      </c>
      <c r="H596" s="8" t="str">
        <f>IFNA(VLOOKUP(F596,Driver!A:C,3,false),"")</f>
        <v>7b7d76055846b118e857</v>
      </c>
      <c r="I596" s="9">
        <v>0.6875</v>
      </c>
      <c r="J596" s="9">
        <v>0.7916666666666666</v>
      </c>
      <c r="K596" s="9"/>
    </row>
    <row r="597" hidden="1">
      <c r="A597" s="5" t="str">
        <f>IFNA(VLOOKUP(D597,'Location Table'!A:C,2,false),"")</f>
        <v>2da9c09a-4625-11ed-bd6e-506b8dbc8dfb</v>
      </c>
      <c r="B597" s="5" t="str">
        <f>IFNA(VLOOKUP(F597,Driver!A:C,2,false),"")</f>
        <v>02d08390-37cf-11ed-865f-506b8dbc8dfb</v>
      </c>
      <c r="C597" s="5" t="str">
        <f>IFNA(VLOOKUP(E597,'Location Table'!A:C,2,false),"")</f>
        <v/>
      </c>
      <c r="D597" s="6" t="s">
        <v>423</v>
      </c>
      <c r="E597" s="6"/>
      <c r="F597" s="6" t="s">
        <v>516</v>
      </c>
      <c r="G597" s="7" t="str">
        <f>IFNA(VLOOKUP(F597,Driver!A:D,4,false),"")</f>
        <v>2160130926882687325:VSRHFZoYrhhtnecmAaOfmgvaKlfxBZEgxFxSbLPTAhfVwurTuJfQgOTrwyseeqJQ</v>
      </c>
      <c r="H597" s="8" t="str">
        <f>IFNA(VLOOKUP(F597,Driver!A:C,3,false),"")</f>
        <v>7b7d76055846b118e857</v>
      </c>
      <c r="I597" s="9">
        <v>0.6875</v>
      </c>
      <c r="J597" s="9">
        <v>0.7916666666666666</v>
      </c>
      <c r="K597" s="9"/>
    </row>
    <row r="598" hidden="1">
      <c r="A598" s="5" t="str">
        <f>IFNA(VLOOKUP(D598,'Location Table'!A:C,2,false),"")</f>
        <v>13f99116-21f8-11ee-87d0-506b8d9879b5</v>
      </c>
      <c r="B598" s="5" t="str">
        <f>IFNA(VLOOKUP(F598,Driver!A:C,2,false),"")</f>
        <v>efbf243a-37c6-11ed-93fb-506b8dbc8dfb</v>
      </c>
      <c r="C598" s="5" t="str">
        <f>IFNA(VLOOKUP(E598,'Location Table'!A:C,2,false),"")</f>
        <v/>
      </c>
      <c r="D598" s="6" t="s">
        <v>426</v>
      </c>
      <c r="E598" s="6"/>
      <c r="F598" s="6" t="s">
        <v>517</v>
      </c>
      <c r="G598" s="7" t="str">
        <f>IFNA(VLOOKUP(F598,Driver!A:D,4,false),"")</f>
        <v>1980698793628880414:XXMGIAegigeHesHcPUQpIcnMCwhigvPUATFrPyRHiqIZqTwmvWiXbUzfDhivxPcl</v>
      </c>
      <c r="H598" s="8" t="str">
        <f>IFNA(VLOOKUP(F598,Driver!A:C,3,false),"")</f>
        <v>c73df7953cd9d5878cc8</v>
      </c>
      <c r="I598" s="9">
        <v>0.5833333333333334</v>
      </c>
      <c r="J598" s="9">
        <v>0.7916666666666666</v>
      </c>
      <c r="K598" s="9"/>
    </row>
    <row r="599" hidden="1">
      <c r="A599" s="5" t="str">
        <f>IFNA(VLOOKUP(D599,'Location Table'!A:C,2,false),"")</f>
        <v>eb0acfc0-47b0-11ee-9a76-506b8d9879b5</v>
      </c>
      <c r="B599" s="5" t="str">
        <f>IFNA(VLOOKUP(F599,Driver!A:C,2,false),"")</f>
        <v>efbf243a-37c6-11ed-93fb-506b8dbc8dfb</v>
      </c>
      <c r="C599" s="5" t="str">
        <f>IFNA(VLOOKUP(E599,'Location Table'!A:C,2,false),"")</f>
        <v/>
      </c>
      <c r="D599" s="6" t="s">
        <v>427</v>
      </c>
      <c r="E599" s="6"/>
      <c r="F599" s="6" t="s">
        <v>517</v>
      </c>
      <c r="G599" s="7" t="str">
        <f>IFNA(VLOOKUP(F599,Driver!A:D,4,false),"")</f>
        <v>1980698793628880414:XXMGIAegigeHesHcPUQpIcnMCwhigvPUATFrPyRHiqIZqTwmvWiXbUzfDhivxPcl</v>
      </c>
      <c r="H599" s="8" t="str">
        <f>IFNA(VLOOKUP(F599,Driver!A:C,3,false),"")</f>
        <v>c73df7953cd9d5878cc8</v>
      </c>
      <c r="I599" s="9">
        <v>0.5833333333333334</v>
      </c>
      <c r="J599" s="9">
        <v>0.7916666666666666</v>
      </c>
      <c r="K599" s="9"/>
    </row>
    <row r="600" hidden="1">
      <c r="A600" s="5" t="str">
        <f>IFNA(VLOOKUP(D600,'Location Table'!A:C,2,false),"")</f>
        <v>f936c402-4d4e-11ee-b7b9-506b8d9879b5</v>
      </c>
      <c r="B600" s="5" t="str">
        <f>IFNA(VLOOKUP(F600,Driver!A:C,2,false),"")</f>
        <v>f5993946-37cf-11ed-a3fc-506b8dbc8dfb</v>
      </c>
      <c r="C600" s="5" t="str">
        <f>IFNA(VLOOKUP(E600,'Location Table'!A:C,2,false),"")</f>
        <v/>
      </c>
      <c r="D600" s="6" t="s">
        <v>428</v>
      </c>
      <c r="E600" s="6"/>
      <c r="F600" s="6" t="s">
        <v>314</v>
      </c>
      <c r="G600" s="7" t="str">
        <f>IFNA(VLOOKUP(F600,Driver!A:D,4,false),"")</f>
        <v/>
      </c>
      <c r="H600" s="8" t="str">
        <f>IFNA(VLOOKUP(F600,Driver!A:C,3,false),"")</f>
        <v/>
      </c>
      <c r="I600" s="9">
        <v>0.6875</v>
      </c>
      <c r="J600" s="9">
        <v>0.7916666666666666</v>
      </c>
      <c r="K600" s="9"/>
    </row>
    <row r="601" hidden="1">
      <c r="A601" s="5" t="str">
        <f>IFNA(VLOOKUP(D601,'Location Table'!A:C,2,false),"")</f>
        <v>90798798-454c-11ed-b675-506b8dbc8dfb</v>
      </c>
      <c r="B601" s="5" t="str">
        <f>IFNA(VLOOKUP(F601,Driver!A:C,2,false),"")</f>
        <v>f5993946-37cf-11ed-a3fc-506b8dbc8dfb</v>
      </c>
      <c r="C601" s="5" t="str">
        <f>IFNA(VLOOKUP(E601,'Location Table'!A:C,2,false),"")</f>
        <v/>
      </c>
      <c r="D601" s="6" t="s">
        <v>429</v>
      </c>
      <c r="E601" s="6"/>
      <c r="F601" s="6" t="s">
        <v>314</v>
      </c>
      <c r="G601" s="7" t="str">
        <f>IFNA(VLOOKUP(F601,Driver!A:D,4,false),"")</f>
        <v/>
      </c>
      <c r="H601" s="8" t="str">
        <f>IFNA(VLOOKUP(F601,Driver!A:C,3,false),"")</f>
        <v/>
      </c>
      <c r="I601" s="9">
        <v>0.6875</v>
      </c>
      <c r="J601" s="9">
        <v>0.7916666666666666</v>
      </c>
      <c r="K601" s="9"/>
    </row>
    <row r="602" hidden="1">
      <c r="A602" s="5" t="str">
        <f>IFNA(VLOOKUP(D602,'Location Table'!A:C,2,false),"")</f>
        <v>87b6cc22-a916-11ee-9507-506b8d9879b5</v>
      </c>
      <c r="B602" s="5" t="str">
        <f>IFNA(VLOOKUP(F602,Driver!A:C,2,false),"")</f>
        <v>f5993946-37cf-11ed-a3fc-506b8dbc8dfb</v>
      </c>
      <c r="C602" s="5" t="str">
        <f>IFNA(VLOOKUP(E602,'Location Table'!A:C,2,false),"")</f>
        <v/>
      </c>
      <c r="D602" s="6" t="s">
        <v>430</v>
      </c>
      <c r="E602" s="6"/>
      <c r="F602" s="6" t="s">
        <v>314</v>
      </c>
      <c r="G602" s="7" t="str">
        <f>IFNA(VLOOKUP(F602,Driver!A:D,4,false),"")</f>
        <v/>
      </c>
      <c r="H602" s="8" t="str">
        <f>IFNA(VLOOKUP(F602,Driver!A:C,3,false),"")</f>
        <v/>
      </c>
      <c r="I602" s="9">
        <v>0.6875</v>
      </c>
      <c r="J602" s="9">
        <v>0.7916666666666666</v>
      </c>
      <c r="K602" s="9"/>
    </row>
    <row r="603" hidden="1">
      <c r="A603" s="5" t="str">
        <f>IFNA(VLOOKUP(D603,'Location Table'!A:C,2,false),"")</f>
        <v>543998ac-f753-11ef-ab07-506b8d9879b5</v>
      </c>
      <c r="B603" s="5" t="str">
        <f>IFNA(VLOOKUP(F603,Driver!A:C,2,false),"")</f>
        <v>443c5016-3017-11ee-a6b5-506b8d9879b5</v>
      </c>
      <c r="C603" s="5" t="str">
        <f>IFNA(VLOOKUP(E603,'Location Table'!A:C,2,false),"")</f>
        <v/>
      </c>
      <c r="D603" s="6" t="s">
        <v>432</v>
      </c>
      <c r="E603" s="6"/>
      <c r="F603" s="6" t="s">
        <v>513</v>
      </c>
      <c r="G603" s="7" t="str">
        <f>IFNA(VLOOKUP(F603,Driver!A:D,4,false),"")</f>
        <v>1980698793628880414:XXMGIAegigeHesHcPUQpIcnMCwhigvPUATFrPyRHiqIZqTwmvWiXbUzfDhivxPcl</v>
      </c>
      <c r="H603" s="8" t="str">
        <f>IFNA(VLOOKUP(F603,Driver!A:C,3,false),"")</f>
        <v>430767465e0cb752ee1d</v>
      </c>
      <c r="I603" s="9">
        <v>0.6666666666666666</v>
      </c>
      <c r="J603" s="9">
        <v>0.7916666666666666</v>
      </c>
      <c r="K603" s="9"/>
    </row>
    <row r="604" hidden="1">
      <c r="A604" s="5" t="str">
        <f>IFNA(VLOOKUP(D604,'Location Table'!A:C,2,false),"")</f>
        <v>ed7827b2-4621-11ed-9c75-506b8dbc8dfb</v>
      </c>
      <c r="B604" s="5" t="str">
        <f>IFNA(VLOOKUP(F604,Driver!A:C,2,false),"")</f>
        <v>f5993946-37cf-11ed-a3fc-506b8dbc8dfb</v>
      </c>
      <c r="C604" s="5" t="str">
        <f>IFNA(VLOOKUP(E604,'Location Table'!A:C,2,false),"")</f>
        <v/>
      </c>
      <c r="D604" s="6" t="s">
        <v>433</v>
      </c>
      <c r="E604" s="6"/>
      <c r="F604" s="6" t="s">
        <v>314</v>
      </c>
      <c r="G604" s="7" t="str">
        <f>IFNA(VLOOKUP(F604,Driver!A:D,4,false),"")</f>
        <v/>
      </c>
      <c r="H604" s="8" t="str">
        <f>IFNA(VLOOKUP(F604,Driver!A:C,3,false),"")</f>
        <v/>
      </c>
      <c r="I604" s="9">
        <v>0.6875</v>
      </c>
      <c r="J604" s="9">
        <v>0.7916666666666666</v>
      </c>
      <c r="K604" s="9"/>
    </row>
    <row r="605" hidden="1">
      <c r="A605" s="5" t="str">
        <f>IFNA(VLOOKUP(D605,'Location Table'!A:C,2,false),"")</f>
        <v>4f7acefe-4624-11ed-8c39-506b8dbc8dfb</v>
      </c>
      <c r="B605" s="5" t="str">
        <f>IFNA(VLOOKUP(F605,Driver!A:C,2,false),"")</f>
        <v>af57dfcc-782d-11f0-b407-506b8d982279</v>
      </c>
      <c r="C605" s="5" t="str">
        <f>IFNA(VLOOKUP(E605,'Location Table'!A:C,2,false),"")</f>
        <v/>
      </c>
      <c r="D605" s="6" t="s">
        <v>434</v>
      </c>
      <c r="E605" s="6"/>
      <c r="F605" s="6" t="s">
        <v>515</v>
      </c>
      <c r="G605" s="7" t="str">
        <f>IFNA(VLOOKUP(F605,Driver!A:D,4,false),"")</f>
        <v>2160130926882687325:VSRHFZoYrhhtnecmAaOfmgvaKlfxBZEgxFxSbLPTAhfVwurTuJfQgOTrwyseeqJQ</v>
      </c>
      <c r="H605" s="8" t="str">
        <f>IFNA(VLOOKUP(F605,Driver!A:C,3,false),"")</f>
        <v>d9fc37dd4093a9cdf082</v>
      </c>
      <c r="I605" s="9">
        <v>0.6666666666666666</v>
      </c>
      <c r="J605" s="9">
        <v>0.8333333333333334</v>
      </c>
      <c r="K605" s="9"/>
    </row>
    <row r="606" hidden="1">
      <c r="A606" s="5" t="str">
        <f>IFNA(VLOOKUP(D606,'Location Table'!A:C,2,false),"")</f>
        <v>6b207712-4624-11ed-ace2-506b8dbc8dfb</v>
      </c>
      <c r="B606" s="5" t="str">
        <f>IFNA(VLOOKUP(F606,Driver!A:C,2,false),"")</f>
        <v>af57dfcc-782d-11f0-b407-506b8d982279</v>
      </c>
      <c r="C606" s="5" t="str">
        <f>IFNA(VLOOKUP(E606,'Location Table'!A:C,2,false),"")</f>
        <v/>
      </c>
      <c r="D606" s="6" t="s">
        <v>435</v>
      </c>
      <c r="E606" s="6"/>
      <c r="F606" s="6" t="s">
        <v>515</v>
      </c>
      <c r="G606" s="7" t="str">
        <f>IFNA(VLOOKUP(F606,Driver!A:D,4,false),"")</f>
        <v>2160130926882687325:VSRHFZoYrhhtnecmAaOfmgvaKlfxBZEgxFxSbLPTAhfVwurTuJfQgOTrwyseeqJQ</v>
      </c>
      <c r="H606" s="8" t="str">
        <f>IFNA(VLOOKUP(F606,Driver!A:C,3,false),"")</f>
        <v>d9fc37dd4093a9cdf082</v>
      </c>
      <c r="I606" s="9">
        <v>0.6666666666666666</v>
      </c>
      <c r="J606" s="9">
        <v>0.8333333333333334</v>
      </c>
      <c r="K606" s="9"/>
    </row>
    <row r="607" hidden="1">
      <c r="A607" s="5" t="str">
        <f>IFNA(VLOOKUP(D607,'Location Table'!A:C,2,false),"")</f>
        <v>724b7d56-a0ab-11ee-bfe2-506b8d9879b5</v>
      </c>
      <c r="B607" s="5" t="str">
        <f>IFNA(VLOOKUP(F607,Driver!A:C,2,false),"")</f>
        <v>4e1ad614-6cdb-11ef-807b-506b8d9879b5</v>
      </c>
      <c r="C607" s="5" t="str">
        <f>IFNA(VLOOKUP(E607,'Location Table'!A:C,2,false),"")</f>
        <v/>
      </c>
      <c r="D607" s="6" t="s">
        <v>436</v>
      </c>
      <c r="E607" s="6"/>
      <c r="F607" s="6" t="s">
        <v>512</v>
      </c>
      <c r="G607" s="7" t="str">
        <f>IFNA(VLOOKUP(F607,Driver!A:D,4,false),"")</f>
        <v>2160130926882687325:VSRHFZoYrhhtnecmAaOfmgvaKlfxBZEgxFxSbLPTAhfVwurTuJfQgOTrwyseeqJQ</v>
      </c>
      <c r="H607" s="8" t="str">
        <f>IFNA(VLOOKUP(F607,Driver!A:C,3,false),"")</f>
        <v>65a6581b624a8b14d25b</v>
      </c>
      <c r="I607" s="9">
        <v>0.6666666666666666</v>
      </c>
      <c r="J607" s="9">
        <v>0.7708333333333334</v>
      </c>
      <c r="K607" s="9"/>
    </row>
    <row r="608" hidden="1">
      <c r="A608" s="5" t="str">
        <f>IFNA(VLOOKUP(D608,'Location Table'!A:C,2,false),"")</f>
        <v>b52b729a-2449-11ee-8a70-506b8d9879b5</v>
      </c>
      <c r="B608" s="5" t="str">
        <f>IFNA(VLOOKUP(F608,Driver!A:C,2,false),"")</f>
        <v>412f31be-2fc3-11f1-9378-fa163ee8d8ac</v>
      </c>
      <c r="C608" s="5" t="str">
        <f>IFNA(VLOOKUP(E608,'Location Table'!A:C,2,false),"")</f>
        <v>c4f51f56-1ba8-11f1-9378-fa163ee8d8ac</v>
      </c>
      <c r="D608" s="6" t="s">
        <v>437</v>
      </c>
      <c r="E608" s="10" t="s">
        <v>518</v>
      </c>
      <c r="F608" s="10" t="s">
        <v>511</v>
      </c>
      <c r="G608" s="7" t="str">
        <f>IFNA(VLOOKUP(F608,Driver!A:D,4,false),"")</f>
        <v/>
      </c>
      <c r="H608" s="8" t="str">
        <f>IFNA(VLOOKUP(F608,Driver!A:C,3,false),"")</f>
        <v/>
      </c>
      <c r="I608" s="9">
        <v>0.75</v>
      </c>
      <c r="J608" s="9">
        <v>0.7916666666666666</v>
      </c>
      <c r="K608" s="9"/>
    </row>
    <row r="609" hidden="1">
      <c r="A609" s="5" t="str">
        <f>IFNA(VLOOKUP(D609,'Location Table'!A:C,2,false),"")</f>
        <v>74ba6576-270f-11ef-ae03-506b8d9879b5</v>
      </c>
      <c r="B609" s="5" t="str">
        <f>IFNA(VLOOKUP(F609,Driver!A:C,2,false),"")</f>
        <v>f61678a4-3656-11ed-9310-506b8dbc8dfb</v>
      </c>
      <c r="C609" s="5" t="str">
        <f>IFNA(VLOOKUP(E609,'Location Table'!A:C,2,false),"")</f>
        <v/>
      </c>
      <c r="D609" s="6" t="s">
        <v>438</v>
      </c>
      <c r="E609" s="6"/>
      <c r="F609" s="6" t="s">
        <v>470</v>
      </c>
      <c r="G609" s="7" t="str">
        <f>IFNA(VLOOKUP(F609,Driver!A:D,4,false),"")</f>
        <v>2160130926882687325:VSRHFZoYrhhtnecmAaOfmgvaKlfxBZEgxFxSbLPTAhfVwurTuJfQgOTrwyseeqJQ</v>
      </c>
      <c r="H609" s="8" t="str">
        <f>IFNA(VLOOKUP(F609,Driver!A:C,3,false),"")</f>
        <v>551b71e8ffa616f84fb7</v>
      </c>
      <c r="I609" s="9">
        <v>0.5833333333333334</v>
      </c>
      <c r="J609" s="9">
        <v>0.7916666666666666</v>
      </c>
      <c r="K609" s="9"/>
    </row>
    <row r="610" hidden="1">
      <c r="A610" s="5" t="str">
        <f>IFNA(VLOOKUP(D610,'Location Table'!A:C,2,false),"")</f>
        <v>a1370236-312d-11ee-9841-506b8d9879b5</v>
      </c>
      <c r="B610" s="5" t="str">
        <f>IFNA(VLOOKUP(F610,Driver!A:C,2,false),"")</f>
        <v>443c5016-3017-11ee-a6b5-506b8d9879b5</v>
      </c>
      <c r="C610" s="5" t="str">
        <f>IFNA(VLOOKUP(E610,'Location Table'!A:C,2,false),"")</f>
        <v/>
      </c>
      <c r="D610" s="6" t="s">
        <v>439</v>
      </c>
      <c r="E610" s="6"/>
      <c r="F610" s="6" t="s">
        <v>513</v>
      </c>
      <c r="G610" s="7" t="str">
        <f>IFNA(VLOOKUP(F610,Driver!A:D,4,false),"")</f>
        <v>1980698793628880414:XXMGIAegigeHesHcPUQpIcnMCwhigvPUATFrPyRHiqIZqTwmvWiXbUzfDhivxPcl</v>
      </c>
      <c r="H610" s="8" t="str">
        <f>IFNA(VLOOKUP(F610,Driver!A:C,3,false),"")</f>
        <v>430767465e0cb752ee1d</v>
      </c>
      <c r="I610" s="9">
        <v>0.6666666666666666</v>
      </c>
      <c r="J610" s="9">
        <v>0.7916666666666666</v>
      </c>
      <c r="K610" s="9"/>
    </row>
    <row r="611" hidden="1">
      <c r="A611" s="5" t="str">
        <f>IFNA(VLOOKUP(D611,'Location Table'!A:C,2,false),"")</f>
        <v>3d99ca00-54a0-11ef-92b7-506b8d9879b5</v>
      </c>
      <c r="B611" s="5" t="str">
        <f>IFNA(VLOOKUP(F611,Driver!A:C,2,false),"")</f>
        <v>443c5016-3017-11ee-a6b5-506b8d9879b5</v>
      </c>
      <c r="C611" s="5" t="str">
        <f>IFNA(VLOOKUP(E611,'Location Table'!A:C,2,false),"")</f>
        <v/>
      </c>
      <c r="D611" s="6" t="s">
        <v>440</v>
      </c>
      <c r="E611" s="6"/>
      <c r="F611" s="6" t="s">
        <v>513</v>
      </c>
      <c r="G611" s="7" t="str">
        <f>IFNA(VLOOKUP(F611,Driver!A:D,4,false),"")</f>
        <v>1980698793628880414:XXMGIAegigeHesHcPUQpIcnMCwhigvPUATFrPyRHiqIZqTwmvWiXbUzfDhivxPcl</v>
      </c>
      <c r="H611" s="8" t="str">
        <f>IFNA(VLOOKUP(F611,Driver!A:C,3,false),"")</f>
        <v>430767465e0cb752ee1d</v>
      </c>
      <c r="I611" s="9">
        <v>0.6666666666666666</v>
      </c>
      <c r="J611" s="9">
        <v>0.7916666666666666</v>
      </c>
      <c r="K611" s="9"/>
    </row>
    <row r="612" hidden="1">
      <c r="A612" s="5" t="str">
        <f>IFNA(VLOOKUP(D612,'Location Table'!A:C,2,false),"")</f>
        <v>a44407ce-7bed-11ef-b6a7-506b8d9879b5</v>
      </c>
      <c r="B612" s="5" t="str">
        <f>IFNA(VLOOKUP(F612,Driver!A:C,2,false),"")</f>
        <v>af57dfcc-782d-11f0-b407-506b8d982279</v>
      </c>
      <c r="C612" s="5" t="str">
        <f>IFNA(VLOOKUP(E612,'Location Table'!A:C,2,false),"")</f>
        <v/>
      </c>
      <c r="D612" s="6" t="s">
        <v>442</v>
      </c>
      <c r="E612" s="6"/>
      <c r="F612" s="6" t="s">
        <v>515</v>
      </c>
      <c r="G612" s="7" t="str">
        <f>IFNA(VLOOKUP(F612,Driver!A:D,4,false),"")</f>
        <v>2160130926882687325:VSRHFZoYrhhtnecmAaOfmgvaKlfxBZEgxFxSbLPTAhfVwurTuJfQgOTrwyseeqJQ</v>
      </c>
      <c r="H612" s="8" t="str">
        <f>IFNA(VLOOKUP(F612,Driver!A:C,3,false),"")</f>
        <v>d9fc37dd4093a9cdf082</v>
      </c>
      <c r="I612" s="9">
        <v>0.6666666666666666</v>
      </c>
      <c r="J612" s="9">
        <v>0.8333333333333334</v>
      </c>
      <c r="K612" s="9"/>
    </row>
    <row r="613" hidden="1">
      <c r="A613" s="5" t="str">
        <f>IFNA(VLOOKUP(D613,'Location Table'!A:C,2,false),"")</f>
        <v>e4c438d6-27bb-11ef-b969-506b8d9879b5</v>
      </c>
      <c r="B613" s="5" t="str">
        <f>IFNA(VLOOKUP(F613,Driver!A:C,2,false),"")</f>
        <v>443c5016-3017-11ee-a6b5-506b8d9879b5</v>
      </c>
      <c r="C613" s="5" t="str">
        <f>IFNA(VLOOKUP(E613,'Location Table'!A:C,2,false),"")</f>
        <v/>
      </c>
      <c r="D613" s="6" t="s">
        <v>443</v>
      </c>
      <c r="E613" s="6"/>
      <c r="F613" s="6" t="s">
        <v>513</v>
      </c>
      <c r="G613" s="7" t="str">
        <f>IFNA(VLOOKUP(F613,Driver!A:D,4,false),"")</f>
        <v>1980698793628880414:XXMGIAegigeHesHcPUQpIcnMCwhigvPUATFrPyRHiqIZqTwmvWiXbUzfDhivxPcl</v>
      </c>
      <c r="H613" s="8" t="str">
        <f>IFNA(VLOOKUP(F613,Driver!A:C,3,false),"")</f>
        <v>430767465e0cb752ee1d</v>
      </c>
      <c r="I613" s="9">
        <v>0.6666666666666666</v>
      </c>
      <c r="J613" s="9">
        <v>0.7916666666666666</v>
      </c>
      <c r="K613" s="9"/>
    </row>
    <row r="614" hidden="1">
      <c r="A614" s="5" t="str">
        <f>IFNA(VLOOKUP(D614,'Location Table'!A:C,2,false),"")</f>
        <v>b615381e-a3c7-11ee-9343-506b8d9879b5</v>
      </c>
      <c r="B614" s="5" t="str">
        <f>IFNA(VLOOKUP(F614,Driver!A:C,2,false),"")</f>
        <v>02d08390-37cf-11ed-865f-506b8dbc8dfb</v>
      </c>
      <c r="C614" s="5" t="str">
        <f>IFNA(VLOOKUP(E614,'Location Table'!A:C,2,false),"")</f>
        <v/>
      </c>
      <c r="D614" s="6" t="s">
        <v>444</v>
      </c>
      <c r="E614" s="6"/>
      <c r="F614" s="6" t="s">
        <v>516</v>
      </c>
      <c r="G614" s="7" t="str">
        <f>IFNA(VLOOKUP(F614,Driver!A:D,4,false),"")</f>
        <v>2160130926882687325:VSRHFZoYrhhtnecmAaOfmgvaKlfxBZEgxFxSbLPTAhfVwurTuJfQgOTrwyseeqJQ</v>
      </c>
      <c r="H614" s="8" t="str">
        <f>IFNA(VLOOKUP(F614,Driver!A:C,3,false),"")</f>
        <v>7b7d76055846b118e857</v>
      </c>
      <c r="I614" s="9">
        <v>0.6875</v>
      </c>
      <c r="J614" s="9">
        <v>0.7916666666666666</v>
      </c>
      <c r="K614" s="9"/>
    </row>
    <row r="615" hidden="1">
      <c r="A615" s="5" t="str">
        <f>IFNA(VLOOKUP(D615,'Location Table'!A:C,2,false),"")</f>
        <v>f88dfab6-b522-11ee-bb52-506b8d9879b5</v>
      </c>
      <c r="B615" s="5" t="str">
        <f>IFNA(VLOOKUP(F615,Driver!A:C,2,false),"")</f>
        <v>f61678a4-3656-11ed-9310-506b8dbc8dfb</v>
      </c>
      <c r="C615" s="5" t="str">
        <f>IFNA(VLOOKUP(E615,'Location Table'!A:C,2,false),"")</f>
        <v/>
      </c>
      <c r="D615" s="6" t="s">
        <v>445</v>
      </c>
      <c r="E615" s="6"/>
      <c r="F615" s="6" t="s">
        <v>470</v>
      </c>
      <c r="G615" s="7" t="str">
        <f>IFNA(VLOOKUP(F615,Driver!A:D,4,false),"")</f>
        <v>2160130926882687325:VSRHFZoYrhhtnecmAaOfmgvaKlfxBZEgxFxSbLPTAhfVwurTuJfQgOTrwyseeqJQ</v>
      </c>
      <c r="H615" s="8" t="str">
        <f>IFNA(VLOOKUP(F615,Driver!A:C,3,false),"")</f>
        <v>551b71e8ffa616f84fb7</v>
      </c>
      <c r="I615" s="9">
        <v>0.5833333333333334</v>
      </c>
      <c r="J615" s="9">
        <v>0.7916666666666666</v>
      </c>
      <c r="K615" s="9"/>
    </row>
    <row r="616" hidden="1">
      <c r="A616" s="5" t="str">
        <f>IFNA(VLOOKUP(D616,'Location Table'!A:C,2,false),"")</f>
        <v>d98568e2-c9ad-11f0-8c1e-506b8d982279</v>
      </c>
      <c r="B616" s="5" t="str">
        <f>IFNA(VLOOKUP(F616,Driver!A:C,2,false),"")</f>
        <v>1f4f6cae-37cd-11ed-a84d-506b8dbc8dfb</v>
      </c>
      <c r="C616" s="5" t="str">
        <f>IFNA(VLOOKUP(E616,'Location Table'!A:C,2,false),"")</f>
        <v/>
      </c>
      <c r="D616" s="6" t="s">
        <v>457</v>
      </c>
      <c r="E616" s="6"/>
      <c r="F616" s="6" t="s">
        <v>514</v>
      </c>
      <c r="G616" s="7" t="str">
        <f>IFNA(VLOOKUP(F616,Driver!A:D,4,false),"")</f>
        <v>1980698793628880414:XXMGIAegigeHesHcPUQpIcnMCwhigvPUATFrPyRHiqIZqTwmvWiXbUzfDhivxPcl</v>
      </c>
      <c r="H616" s="8" t="str">
        <f>IFNA(VLOOKUP(F616,Driver!A:C,3,false),"")</f>
        <v>595aed435d09b457ed18</v>
      </c>
      <c r="I616" s="9">
        <v>0.6666666666666666</v>
      </c>
      <c r="J616" s="9">
        <v>0.7916666666666666</v>
      </c>
      <c r="K616" s="9"/>
    </row>
    <row r="617" hidden="1">
      <c r="A617" s="5" t="str">
        <f>IFNA(VLOOKUP(D617,'Location Table'!A:C,2,false),"")</f>
        <v>e05dd2f2-befa-11f0-a698-506b8d982279</v>
      </c>
      <c r="B617" s="5" t="str">
        <f>IFNA(VLOOKUP(F617,Driver!A:C,2,false),"")</f>
        <v>1f4f6cae-37cd-11ed-a84d-506b8dbc8dfb</v>
      </c>
      <c r="C617" s="5" t="str">
        <f>IFNA(VLOOKUP(E617,'Location Table'!A:C,2,false),"")</f>
        <v/>
      </c>
      <c r="D617" s="6" t="s">
        <v>458</v>
      </c>
      <c r="E617" s="6"/>
      <c r="F617" s="6" t="s">
        <v>514</v>
      </c>
      <c r="G617" s="7" t="str">
        <f>IFNA(VLOOKUP(F617,Driver!A:D,4,false),"")</f>
        <v>1980698793628880414:XXMGIAegigeHesHcPUQpIcnMCwhigvPUATFrPyRHiqIZqTwmvWiXbUzfDhivxPcl</v>
      </c>
      <c r="H617" s="8" t="str">
        <f>IFNA(VLOOKUP(F617,Driver!A:C,3,false),"")</f>
        <v>595aed435d09b457ed18</v>
      </c>
      <c r="I617" s="9">
        <v>0.6666666666666666</v>
      </c>
      <c r="J617" s="9">
        <v>0.7916666666666666</v>
      </c>
      <c r="K617" s="9"/>
    </row>
    <row r="618" hidden="1">
      <c r="A618" s="5" t="str">
        <f>IFNA(VLOOKUP(D618,'Location Table'!A:C,2,false),"")</f>
        <v>6a0525ea-669c-11ef-9bd6-506b8d9879b5</v>
      </c>
      <c r="B618" s="5" t="str">
        <f>IFNA(VLOOKUP(F618,Driver!A:C,2,false),"")</f>
        <v>412f31be-2fc3-11f1-9378-fa163ee8d8ac</v>
      </c>
      <c r="C618" s="5" t="str">
        <f>IFNA(VLOOKUP(E618,'Location Table'!A:C,2,false),"")</f>
        <v/>
      </c>
      <c r="D618" s="6" t="s">
        <v>461</v>
      </c>
      <c r="E618" s="6"/>
      <c r="F618" s="10" t="s">
        <v>511</v>
      </c>
      <c r="G618" s="7" t="str">
        <f>IFNA(VLOOKUP(F618,Driver!A:D,4,false),"")</f>
        <v/>
      </c>
      <c r="H618" s="8" t="str">
        <f>IFNA(VLOOKUP(F618,Driver!A:C,3,false),"")</f>
        <v/>
      </c>
      <c r="I618" s="9">
        <v>0.6666666666666666</v>
      </c>
      <c r="J618" s="9">
        <v>0.7916666666666666</v>
      </c>
      <c r="K618" s="9"/>
    </row>
    <row r="619" hidden="1">
      <c r="A619" s="5" t="str">
        <f>IFNA(VLOOKUP(D619,'Location Table'!A:C,2,false),"")</f>
        <v>544395bc-a191-11f0-8165-506b8d982279</v>
      </c>
      <c r="B619" s="5" t="str">
        <f>IFNA(VLOOKUP(F619,Driver!A:C,2,false),"")</f>
        <v>4e1ad614-6cdb-11ef-807b-506b8d9879b5</v>
      </c>
      <c r="C619" s="5" t="str">
        <f>IFNA(VLOOKUP(E619,'Location Table'!A:C,2,false),"")</f>
        <v/>
      </c>
      <c r="D619" s="6" t="s">
        <v>464</v>
      </c>
      <c r="E619" s="6"/>
      <c r="F619" s="6" t="s">
        <v>512</v>
      </c>
      <c r="G619" s="7" t="str">
        <f>IFNA(VLOOKUP(F619,Driver!A:D,4,false),"")</f>
        <v>2160130926882687325:VSRHFZoYrhhtnecmAaOfmgvaKlfxBZEgxFxSbLPTAhfVwurTuJfQgOTrwyseeqJQ</v>
      </c>
      <c r="H619" s="8" t="str">
        <f>IFNA(VLOOKUP(F619,Driver!A:C,3,false),"")</f>
        <v>65a6581b624a8b14d25b</v>
      </c>
      <c r="I619" s="9">
        <v>0.6666666666666666</v>
      </c>
      <c r="J619" s="9">
        <v>0.7708333333333334</v>
      </c>
      <c r="K619" s="9"/>
    </row>
    <row r="620" hidden="1">
      <c r="A620" s="5" t="str">
        <f>IFNA(VLOOKUP(D620,'Location Table'!A:C,2,false),"")</f>
        <v>0f249710-bc37-11ee-a241-506b8d9879b5</v>
      </c>
      <c r="B620" s="5" t="str">
        <f>IFNA(VLOOKUP(F620,Driver!A:C,2,false),"")</f>
        <v>412f31be-2fc3-11f1-9378-fa163ee8d8ac</v>
      </c>
      <c r="C620" s="5" t="str">
        <f>IFNA(VLOOKUP(E620,'Location Table'!A:C,2,false),"")</f>
        <v/>
      </c>
      <c r="D620" s="6" t="s">
        <v>465</v>
      </c>
      <c r="E620" s="6"/>
      <c r="F620" s="10" t="s">
        <v>511</v>
      </c>
      <c r="G620" s="7" t="str">
        <f>IFNA(VLOOKUP(F620,Driver!A:D,4,false),"")</f>
        <v/>
      </c>
      <c r="H620" s="8" t="str">
        <f>IFNA(VLOOKUP(F620,Driver!A:C,3,false),"")</f>
        <v/>
      </c>
      <c r="I620" s="9">
        <v>0.6666666666666666</v>
      </c>
      <c r="J620" s="9">
        <v>0.7916666666666666</v>
      </c>
      <c r="K620" s="9"/>
    </row>
    <row r="621" hidden="1">
      <c r="A621" s="5" t="str">
        <f>IFNA(VLOOKUP(D621,'Location Table'!A:C,2,false),"")</f>
        <v>1c2f6a70-14c1-11ee-aef1-506b8dbc8dfb</v>
      </c>
      <c r="B621" s="5" t="str">
        <f>IFNA(VLOOKUP(F621,Driver!A:C,2,false),"")</f>
        <v>f61678a4-3656-11ed-9310-506b8dbc8dfb</v>
      </c>
      <c r="C621" s="5" t="str">
        <f>IFNA(VLOOKUP(E621,'Location Table'!A:C,2,false),"")</f>
        <v/>
      </c>
      <c r="D621" s="6" t="s">
        <v>472</v>
      </c>
      <c r="E621" s="6"/>
      <c r="F621" s="6" t="s">
        <v>470</v>
      </c>
      <c r="G621" s="7" t="str">
        <f>IFNA(VLOOKUP(F621,Driver!A:D,4,false),"")</f>
        <v>2160130926882687325:VSRHFZoYrhhtnecmAaOfmgvaKlfxBZEgxFxSbLPTAhfVwurTuJfQgOTrwyseeqJQ</v>
      </c>
      <c r="H621" s="8" t="str">
        <f>IFNA(VLOOKUP(F621,Driver!A:C,3,false),"")</f>
        <v>551b71e8ffa616f84fb7</v>
      </c>
      <c r="I621" s="9">
        <v>0.5833333333333334</v>
      </c>
      <c r="J621" s="9">
        <v>0.7916666666666666</v>
      </c>
      <c r="K621" s="9"/>
    </row>
    <row r="622" hidden="1">
      <c r="A622" s="5" t="str">
        <f>IFNA(VLOOKUP(D622,'Location Table'!A:C,2,false),"")</f>
        <v>3c422a6c-2e3e-11f0-88f0-506b8d982279</v>
      </c>
      <c r="B622" s="5" t="str">
        <f>IFNA(VLOOKUP(F622,Driver!A:C,2,false),"")</f>
        <v>f61678a4-3656-11ed-9310-506b8dbc8dfb</v>
      </c>
      <c r="C622" s="5" t="str">
        <f>IFNA(VLOOKUP(E622,'Location Table'!A:C,2,false),"")</f>
        <v/>
      </c>
      <c r="D622" s="6" t="s">
        <v>473</v>
      </c>
      <c r="E622" s="6"/>
      <c r="F622" s="6" t="s">
        <v>470</v>
      </c>
      <c r="G622" s="7" t="str">
        <f>IFNA(VLOOKUP(F622,Driver!A:D,4,false),"")</f>
        <v>2160130926882687325:VSRHFZoYrhhtnecmAaOfmgvaKlfxBZEgxFxSbLPTAhfVwurTuJfQgOTrwyseeqJQ</v>
      </c>
      <c r="H622" s="8" t="str">
        <f>IFNA(VLOOKUP(F622,Driver!A:C,3,false),"")</f>
        <v>551b71e8ffa616f84fb7</v>
      </c>
      <c r="I622" s="9">
        <v>0.5833333333333334</v>
      </c>
      <c r="J622" s="9">
        <v>0.7916666666666666</v>
      </c>
      <c r="K622" s="9"/>
    </row>
    <row r="623" hidden="1">
      <c r="A623" s="5" t="str">
        <f>IFNA(VLOOKUP(D623,'Location Table'!A:C,2,false),"")</f>
        <v>c543ce02-051c-11ef-9692-506b8d9879b5</v>
      </c>
      <c r="B623" s="5" t="str">
        <f>IFNA(VLOOKUP(F623,Driver!A:C,2,false),"")</f>
        <v>f61678a4-3656-11ed-9310-506b8dbc8dfb</v>
      </c>
      <c r="C623" s="5" t="str">
        <f>IFNA(VLOOKUP(E623,'Location Table'!A:C,2,false),"")</f>
        <v/>
      </c>
      <c r="D623" s="6" t="s">
        <v>474</v>
      </c>
      <c r="E623" s="6"/>
      <c r="F623" s="6" t="s">
        <v>470</v>
      </c>
      <c r="G623" s="7" t="str">
        <f>IFNA(VLOOKUP(F623,Driver!A:D,4,false),"")</f>
        <v>2160130926882687325:VSRHFZoYrhhtnecmAaOfmgvaKlfxBZEgxFxSbLPTAhfVwurTuJfQgOTrwyseeqJQ</v>
      </c>
      <c r="H623" s="8" t="str">
        <f>IFNA(VLOOKUP(F623,Driver!A:C,3,false),"")</f>
        <v>551b71e8ffa616f84fb7</v>
      </c>
      <c r="I623" s="9">
        <v>0.5833333333333334</v>
      </c>
      <c r="J623" s="9">
        <v>0.7916666666666666</v>
      </c>
      <c r="K623" s="9"/>
    </row>
    <row r="624" hidden="1">
      <c r="A624" s="5" t="str">
        <f>IFNA(VLOOKUP(D624,'Location Table'!A:C,2,false),"")</f>
        <v>865f5ec8-a16f-11ef-9efd-506b8d9879b5</v>
      </c>
      <c r="B624" s="5" t="str">
        <f>IFNA(VLOOKUP(F624,Driver!A:C,2,false),"")</f>
        <v>f61678a4-3656-11ed-9310-506b8dbc8dfb</v>
      </c>
      <c r="C624" s="5" t="str">
        <f>IFNA(VLOOKUP(E624,'Location Table'!A:C,2,false),"")</f>
        <v/>
      </c>
      <c r="D624" s="6" t="s">
        <v>475</v>
      </c>
      <c r="E624" s="6"/>
      <c r="F624" s="6" t="s">
        <v>470</v>
      </c>
      <c r="G624" s="7" t="str">
        <f>IFNA(VLOOKUP(F624,Driver!A:D,4,false),"")</f>
        <v>2160130926882687325:VSRHFZoYrhhtnecmAaOfmgvaKlfxBZEgxFxSbLPTAhfVwurTuJfQgOTrwyseeqJQ</v>
      </c>
      <c r="H624" s="8" t="str">
        <f>IFNA(VLOOKUP(F624,Driver!A:C,3,false),"")</f>
        <v>551b71e8ffa616f84fb7</v>
      </c>
      <c r="I624" s="9">
        <v>0.5833333333333334</v>
      </c>
      <c r="J624" s="9">
        <v>0.7916666666666666</v>
      </c>
      <c r="K624" s="9"/>
    </row>
    <row r="625" hidden="1">
      <c r="A625" s="5" t="str">
        <f>IFNA(VLOOKUP(D625,'Location Table'!A:C,2,false),"")</f>
        <v>a152221e-1c74-11ee-a1ed-506b8d9879b5</v>
      </c>
      <c r="B625" s="5" t="str">
        <f>IFNA(VLOOKUP(F625,Driver!A:C,2,false),"")</f>
        <v>f61678a4-3656-11ed-9310-506b8dbc8dfb</v>
      </c>
      <c r="C625" s="5" t="str">
        <f>IFNA(VLOOKUP(E625,'Location Table'!A:C,2,false),"")</f>
        <v/>
      </c>
      <c r="D625" s="6" t="s">
        <v>476</v>
      </c>
      <c r="E625" s="6"/>
      <c r="F625" s="6" t="s">
        <v>470</v>
      </c>
      <c r="G625" s="7" t="str">
        <f>IFNA(VLOOKUP(F625,Driver!A:D,4,false),"")</f>
        <v>2160130926882687325:VSRHFZoYrhhtnecmAaOfmgvaKlfxBZEgxFxSbLPTAhfVwurTuJfQgOTrwyseeqJQ</v>
      </c>
      <c r="H625" s="8" t="str">
        <f>IFNA(VLOOKUP(F625,Driver!A:C,3,false),"")</f>
        <v>551b71e8ffa616f84fb7</v>
      </c>
      <c r="I625" s="9">
        <v>0.5833333333333334</v>
      </c>
      <c r="J625" s="9">
        <v>0.7916666666666666</v>
      </c>
      <c r="K625" s="9"/>
    </row>
    <row r="626" hidden="1">
      <c r="A626" s="5" t="str">
        <f>IFNA(VLOOKUP(D626,'Location Table'!A:C,2,false),"")</f>
        <v>348b9524-c034-11ef-9e8b-506b8d9879b5</v>
      </c>
      <c r="B626" s="5" t="str">
        <f>IFNA(VLOOKUP(F626,Driver!A:C,2,false),"")</f>
        <v>f61678a4-3656-11ed-9310-506b8dbc8dfb</v>
      </c>
      <c r="C626" s="5" t="str">
        <f>IFNA(VLOOKUP(E626,'Location Table'!A:C,2,false),"")</f>
        <v/>
      </c>
      <c r="D626" s="6" t="s">
        <v>477</v>
      </c>
      <c r="E626" s="6"/>
      <c r="F626" s="6" t="s">
        <v>470</v>
      </c>
      <c r="G626" s="7" t="str">
        <f>IFNA(VLOOKUP(F626,Driver!A:D,4,false),"")</f>
        <v>2160130926882687325:VSRHFZoYrhhtnecmAaOfmgvaKlfxBZEgxFxSbLPTAhfVwurTuJfQgOTrwyseeqJQ</v>
      </c>
      <c r="H626" s="8" t="str">
        <f>IFNA(VLOOKUP(F626,Driver!A:C,3,false),"")</f>
        <v>551b71e8ffa616f84fb7</v>
      </c>
      <c r="I626" s="9">
        <v>0.5833333333333334</v>
      </c>
      <c r="J626" s="9">
        <v>0.7916666666666666</v>
      </c>
      <c r="K626" s="9"/>
    </row>
    <row r="627" hidden="1">
      <c r="A627" s="5" t="str">
        <f>IFNA(VLOOKUP(D627,'Location Table'!A:C,2,false),"")</f>
        <v>25a3a9f6-5a22-11f0-8592-506b8d982279</v>
      </c>
      <c r="B627" s="5" t="str">
        <f>IFNA(VLOOKUP(F627,Driver!A:C,2,false),"")</f>
        <v>f61678a4-3656-11ed-9310-506b8dbc8dfb</v>
      </c>
      <c r="C627" s="5" t="str">
        <f>IFNA(VLOOKUP(E627,'Location Table'!A:C,2,false),"")</f>
        <v/>
      </c>
      <c r="D627" s="6" t="s">
        <v>478</v>
      </c>
      <c r="E627" s="6"/>
      <c r="F627" s="6" t="s">
        <v>470</v>
      </c>
      <c r="G627" s="7" t="str">
        <f>IFNA(VLOOKUP(F627,Driver!A:D,4,false),"")</f>
        <v>2160130926882687325:VSRHFZoYrhhtnecmAaOfmgvaKlfxBZEgxFxSbLPTAhfVwurTuJfQgOTrwyseeqJQ</v>
      </c>
      <c r="H627" s="8" t="str">
        <f>IFNA(VLOOKUP(F627,Driver!A:C,3,false),"")</f>
        <v>551b71e8ffa616f84fb7</v>
      </c>
      <c r="I627" s="9">
        <v>0.5833333333333334</v>
      </c>
      <c r="J627" s="9">
        <v>0.7916666666666666</v>
      </c>
      <c r="K627" s="9"/>
    </row>
    <row r="628" hidden="1">
      <c r="A628" s="5" t="str">
        <f>IFNA(VLOOKUP(D628,'Location Table'!A:C,2,false),"")</f>
        <v>9d84404a-766d-11f0-9777-506b8d982279</v>
      </c>
      <c r="B628" s="5" t="str">
        <f>IFNA(VLOOKUP(F628,Driver!A:C,2,false),"")</f>
        <v>af57dfcc-782d-11f0-b407-506b8d982279</v>
      </c>
      <c r="C628" s="5" t="str">
        <f>IFNA(VLOOKUP(E628,'Location Table'!A:C,2,false),"")</f>
        <v/>
      </c>
      <c r="D628" s="6" t="s">
        <v>479</v>
      </c>
      <c r="E628" s="6"/>
      <c r="F628" s="6" t="s">
        <v>515</v>
      </c>
      <c r="G628" s="7" t="str">
        <f>IFNA(VLOOKUP(F628,Driver!A:D,4,false),"")</f>
        <v>2160130926882687325:VSRHFZoYrhhtnecmAaOfmgvaKlfxBZEgxFxSbLPTAhfVwurTuJfQgOTrwyseeqJQ</v>
      </c>
      <c r="H628" s="8" t="str">
        <f>IFNA(VLOOKUP(F628,Driver!A:C,3,false),"")</f>
        <v>d9fc37dd4093a9cdf082</v>
      </c>
      <c r="I628" s="9">
        <v>0.6666666666666666</v>
      </c>
      <c r="J628" s="9">
        <v>0.8333333333333334</v>
      </c>
      <c r="K628" s="9"/>
    </row>
    <row r="629" hidden="1">
      <c r="A629" s="5" t="str">
        <f>IFNA(VLOOKUP(D629,'Location Table'!A:C,2,false),"")</f>
        <v>d220372a-71ed-11f0-a7df-506b8d982279</v>
      </c>
      <c r="B629" s="5" t="str">
        <f>IFNA(VLOOKUP(F629,Driver!A:C,2,false),"")</f>
        <v>af57dfcc-782d-11f0-b407-506b8d982279</v>
      </c>
      <c r="C629" s="5" t="str">
        <f>IFNA(VLOOKUP(E629,'Location Table'!A:C,2,false),"")</f>
        <v/>
      </c>
      <c r="D629" s="6" t="s">
        <v>480</v>
      </c>
      <c r="E629" s="6"/>
      <c r="F629" s="6" t="s">
        <v>515</v>
      </c>
      <c r="G629" s="7" t="str">
        <f>IFNA(VLOOKUP(F629,Driver!A:D,4,false),"")</f>
        <v>2160130926882687325:VSRHFZoYrhhtnecmAaOfmgvaKlfxBZEgxFxSbLPTAhfVwurTuJfQgOTrwyseeqJQ</v>
      </c>
      <c r="H629" s="8" t="str">
        <f>IFNA(VLOOKUP(F629,Driver!A:C,3,false),"")</f>
        <v>d9fc37dd4093a9cdf082</v>
      </c>
      <c r="I629" s="9">
        <v>0.6666666666666666</v>
      </c>
      <c r="J629" s="9">
        <v>0.8333333333333334</v>
      </c>
      <c r="K629" s="9"/>
    </row>
    <row r="630" hidden="1">
      <c r="A630" s="5" t="str">
        <f>IFNA(VLOOKUP(D630,'Location Table'!A:C,2,false),"")</f>
        <v>9e804122-4a03-11ed-a843-506b8dbc8dfb</v>
      </c>
      <c r="B630" s="5" t="str">
        <f>IFNA(VLOOKUP(F630,Driver!A:C,2,false),"")</f>
        <v>af57dfcc-782d-11f0-b407-506b8d982279</v>
      </c>
      <c r="C630" s="5" t="str">
        <f>IFNA(VLOOKUP(E630,'Location Table'!A:C,2,false),"")</f>
        <v/>
      </c>
      <c r="D630" s="6" t="s">
        <v>481</v>
      </c>
      <c r="E630" s="6"/>
      <c r="F630" s="6" t="s">
        <v>515</v>
      </c>
      <c r="G630" s="7" t="str">
        <f>IFNA(VLOOKUP(F630,Driver!A:D,4,false),"")</f>
        <v>2160130926882687325:VSRHFZoYrhhtnecmAaOfmgvaKlfxBZEgxFxSbLPTAhfVwurTuJfQgOTrwyseeqJQ</v>
      </c>
      <c r="H630" s="8" t="str">
        <f>IFNA(VLOOKUP(F630,Driver!A:C,3,false),"")</f>
        <v>d9fc37dd4093a9cdf082</v>
      </c>
      <c r="I630" s="9">
        <v>0.6666666666666666</v>
      </c>
      <c r="J630" s="9">
        <v>0.8333333333333334</v>
      </c>
      <c r="K630" s="9"/>
    </row>
    <row r="631" hidden="1">
      <c r="A631" s="5" t="str">
        <f>IFNA(VLOOKUP(D631,'Location Table'!A:C,2,false),"")</f>
        <v>b4d7bbf4-2d3f-11f0-9f74-506b8d982279</v>
      </c>
      <c r="B631" s="5" t="str">
        <f>IFNA(VLOOKUP(F631,Driver!A:C,2,false),"")</f>
        <v>af57dfcc-782d-11f0-b407-506b8d982279</v>
      </c>
      <c r="C631" s="5" t="str">
        <f>IFNA(VLOOKUP(E631,'Location Table'!A:C,2,false),"")</f>
        <v/>
      </c>
      <c r="D631" s="6" t="s">
        <v>482</v>
      </c>
      <c r="E631" s="6"/>
      <c r="F631" s="6" t="s">
        <v>515</v>
      </c>
      <c r="G631" s="7" t="str">
        <f>IFNA(VLOOKUP(F631,Driver!A:D,4,false),"")</f>
        <v>2160130926882687325:VSRHFZoYrhhtnecmAaOfmgvaKlfxBZEgxFxSbLPTAhfVwurTuJfQgOTrwyseeqJQ</v>
      </c>
      <c r="H631" s="8" t="str">
        <f>IFNA(VLOOKUP(F631,Driver!A:C,3,false),"")</f>
        <v>d9fc37dd4093a9cdf082</v>
      </c>
      <c r="I631" s="9">
        <v>0.6666666666666666</v>
      </c>
      <c r="J631" s="9">
        <v>0.8333333333333334</v>
      </c>
      <c r="K631" s="9"/>
    </row>
    <row r="632" hidden="1">
      <c r="A632" s="5" t="str">
        <f>IFNA(VLOOKUP(D632,'Location Table'!A:C,2,false),"")</f>
        <v>86916f9c-f378-11f0-9378-fa163ee8d8ac</v>
      </c>
      <c r="B632" s="5" t="str">
        <f>IFNA(VLOOKUP(F632,Driver!A:C,2,false),"")</f>
        <v>af57dfcc-782d-11f0-b407-506b8d982279</v>
      </c>
      <c r="C632" s="5" t="str">
        <f>IFNA(VLOOKUP(E632,'Location Table'!A:C,2,false),"")</f>
        <v/>
      </c>
      <c r="D632" s="6" t="s">
        <v>483</v>
      </c>
      <c r="E632" s="6"/>
      <c r="F632" s="6" t="s">
        <v>515</v>
      </c>
      <c r="G632" s="7" t="str">
        <f>IFNA(VLOOKUP(F632,Driver!A:D,4,false),"")</f>
        <v>2160130926882687325:VSRHFZoYrhhtnecmAaOfmgvaKlfxBZEgxFxSbLPTAhfVwurTuJfQgOTrwyseeqJQ</v>
      </c>
      <c r="H632" s="8" t="str">
        <f>IFNA(VLOOKUP(F632,Driver!A:C,3,false),"")</f>
        <v>d9fc37dd4093a9cdf082</v>
      </c>
      <c r="I632" s="9">
        <v>0.6666666666666666</v>
      </c>
      <c r="J632" s="9">
        <v>0.8333333333333334</v>
      </c>
      <c r="K632" s="9"/>
    </row>
    <row r="633" hidden="1">
      <c r="A633" s="5" t="str">
        <f>IFNA(VLOOKUP(D633,'Location Table'!A:C,2,false),"")</f>
        <v>3a86599e-127f-11f0-a16b-506b8d982279</v>
      </c>
      <c r="B633" s="5" t="str">
        <f>IFNA(VLOOKUP(F633,Driver!A:C,2,false),"")</f>
        <v>af57dfcc-782d-11f0-b407-506b8d982279</v>
      </c>
      <c r="C633" s="5" t="str">
        <f>IFNA(VLOOKUP(E633,'Location Table'!A:C,2,false),"")</f>
        <v/>
      </c>
      <c r="D633" s="6" t="s">
        <v>484</v>
      </c>
      <c r="E633" s="6"/>
      <c r="F633" s="6" t="s">
        <v>515</v>
      </c>
      <c r="G633" s="7" t="str">
        <f>IFNA(VLOOKUP(F633,Driver!A:D,4,false),"")</f>
        <v>2160130926882687325:VSRHFZoYrhhtnecmAaOfmgvaKlfxBZEgxFxSbLPTAhfVwurTuJfQgOTrwyseeqJQ</v>
      </c>
      <c r="H633" s="8" t="str">
        <f>IFNA(VLOOKUP(F633,Driver!A:C,3,false),"")</f>
        <v>d9fc37dd4093a9cdf082</v>
      </c>
      <c r="I633" s="9">
        <v>0.6666666666666666</v>
      </c>
      <c r="J633" s="9">
        <v>0.8333333333333334</v>
      </c>
      <c r="K633" s="9"/>
    </row>
    <row r="634" hidden="1">
      <c r="A634" s="5" t="str">
        <f>IFNA(VLOOKUP(D634,'Location Table'!A:C,2,false),"")</f>
        <v>5c78d8c6-887a-11f0-92fa-506b8d982279</v>
      </c>
      <c r="B634" s="5" t="str">
        <f>IFNA(VLOOKUP(F634,Driver!A:C,2,false),"")</f>
        <v>af57dfcc-782d-11f0-b407-506b8d982279</v>
      </c>
      <c r="C634" s="5" t="str">
        <f>IFNA(VLOOKUP(E634,'Location Table'!A:C,2,false),"")</f>
        <v/>
      </c>
      <c r="D634" s="6" t="s">
        <v>485</v>
      </c>
      <c r="E634" s="6"/>
      <c r="F634" s="6" t="s">
        <v>515</v>
      </c>
      <c r="G634" s="7" t="str">
        <f>IFNA(VLOOKUP(F634,Driver!A:D,4,false),"")</f>
        <v>2160130926882687325:VSRHFZoYrhhtnecmAaOfmgvaKlfxBZEgxFxSbLPTAhfVwurTuJfQgOTrwyseeqJQ</v>
      </c>
      <c r="H634" s="8" t="str">
        <f>IFNA(VLOOKUP(F634,Driver!A:C,3,false),"")</f>
        <v>d9fc37dd4093a9cdf082</v>
      </c>
      <c r="I634" s="9">
        <v>0.6666666666666666</v>
      </c>
      <c r="J634" s="9">
        <v>0.8333333333333334</v>
      </c>
      <c r="K634" s="9"/>
    </row>
    <row r="635" hidden="1">
      <c r="A635" s="5" t="str">
        <f>IFNA(VLOOKUP(D635,'Location Table'!A:C,2,false),"")</f>
        <v>b9c0d130-65e5-11f0-afb8-506b8d982279</v>
      </c>
      <c r="B635" s="5" t="str">
        <f>IFNA(VLOOKUP(F635,Driver!A:C,2,false),"")</f>
        <v>af57dfcc-782d-11f0-b407-506b8d982279</v>
      </c>
      <c r="C635" s="5" t="str">
        <f>IFNA(VLOOKUP(E635,'Location Table'!A:C,2,false),"")</f>
        <v/>
      </c>
      <c r="D635" s="6" t="s">
        <v>486</v>
      </c>
      <c r="E635" s="6"/>
      <c r="F635" s="6" t="s">
        <v>515</v>
      </c>
      <c r="G635" s="7" t="str">
        <f>IFNA(VLOOKUP(F635,Driver!A:D,4,false),"")</f>
        <v>2160130926882687325:VSRHFZoYrhhtnecmAaOfmgvaKlfxBZEgxFxSbLPTAhfVwurTuJfQgOTrwyseeqJQ</v>
      </c>
      <c r="H635" s="8" t="str">
        <f>IFNA(VLOOKUP(F635,Driver!A:C,3,false),"")</f>
        <v>d9fc37dd4093a9cdf082</v>
      </c>
      <c r="I635" s="9">
        <v>0.6666666666666666</v>
      </c>
      <c r="J635" s="9">
        <v>0.8333333333333334</v>
      </c>
      <c r="K635" s="9"/>
    </row>
    <row r="636" hidden="1">
      <c r="A636" s="5" t="str">
        <f>IFNA(VLOOKUP(D636,'Location Table'!A:C,2,false),"")</f>
        <v>8b214fbe-cb29-11ef-adf4-506b8d9879b5</v>
      </c>
      <c r="B636" s="5" t="str">
        <f>IFNA(VLOOKUP(F636,Driver!A:C,2,false),"")</f>
        <v>af57dfcc-782d-11f0-b407-506b8d982279</v>
      </c>
      <c r="C636" s="5" t="str">
        <f>IFNA(VLOOKUP(E636,'Location Table'!A:C,2,false),"")</f>
        <v/>
      </c>
      <c r="D636" s="6" t="s">
        <v>487</v>
      </c>
      <c r="E636" s="6"/>
      <c r="F636" s="6" t="s">
        <v>515</v>
      </c>
      <c r="G636" s="7" t="str">
        <f>IFNA(VLOOKUP(F636,Driver!A:D,4,false),"")</f>
        <v>2160130926882687325:VSRHFZoYrhhtnecmAaOfmgvaKlfxBZEgxFxSbLPTAhfVwurTuJfQgOTrwyseeqJQ</v>
      </c>
      <c r="H636" s="8" t="str">
        <f>IFNA(VLOOKUP(F636,Driver!A:C,3,false),"")</f>
        <v>d9fc37dd4093a9cdf082</v>
      </c>
      <c r="I636" s="9">
        <v>0.6666666666666666</v>
      </c>
      <c r="J636" s="9">
        <v>0.8333333333333334</v>
      </c>
      <c r="K636" s="9"/>
    </row>
    <row r="637" hidden="1">
      <c r="A637" s="5" t="str">
        <f>IFNA(VLOOKUP(D637,'Location Table'!A:C,2,false),"")</f>
        <v>043ae9d6-2be8-11f0-82f9-506b8d982279</v>
      </c>
      <c r="B637" s="5" t="str">
        <f>IFNA(VLOOKUP(F637,Driver!A:C,2,false),"")</f>
        <v>af57dfcc-782d-11f0-b407-506b8d982279</v>
      </c>
      <c r="C637" s="5" t="str">
        <f>IFNA(VLOOKUP(E637,'Location Table'!A:C,2,false),"")</f>
        <v/>
      </c>
      <c r="D637" s="6" t="s">
        <v>488</v>
      </c>
      <c r="E637" s="6"/>
      <c r="F637" s="6" t="s">
        <v>515</v>
      </c>
      <c r="G637" s="7" t="str">
        <f>IFNA(VLOOKUP(F637,Driver!A:D,4,false),"")</f>
        <v>2160130926882687325:VSRHFZoYrhhtnecmAaOfmgvaKlfxBZEgxFxSbLPTAhfVwurTuJfQgOTrwyseeqJQ</v>
      </c>
      <c r="H637" s="8" t="str">
        <f>IFNA(VLOOKUP(F637,Driver!A:C,3,false),"")</f>
        <v>d9fc37dd4093a9cdf082</v>
      </c>
      <c r="I637" s="9">
        <v>0.6666666666666666</v>
      </c>
      <c r="J637" s="9">
        <v>0.8333333333333334</v>
      </c>
      <c r="K637" s="9"/>
    </row>
    <row r="638" hidden="1">
      <c r="A638" s="5" t="str">
        <f>IFNA(VLOOKUP(D638,'Location Table'!A:C,2,false),"")</f>
        <v>d2229a02-c02f-11f0-951d-506b8d982279</v>
      </c>
      <c r="B638" s="5" t="str">
        <f>IFNA(VLOOKUP(F638,Driver!A:C,2,false),"")</f>
        <v>f61678a4-3656-11ed-9310-506b8dbc8dfb</v>
      </c>
      <c r="C638" s="5" t="str">
        <f>IFNA(VLOOKUP(E638,'Location Table'!A:C,2,false),"")</f>
        <v/>
      </c>
      <c r="D638" s="6" t="s">
        <v>489</v>
      </c>
      <c r="E638" s="6"/>
      <c r="F638" s="6" t="s">
        <v>470</v>
      </c>
      <c r="G638" s="7" t="str">
        <f>IFNA(VLOOKUP(F638,Driver!A:D,4,false),"")</f>
        <v>2160130926882687325:VSRHFZoYrhhtnecmAaOfmgvaKlfxBZEgxFxSbLPTAhfVwurTuJfQgOTrwyseeqJQ</v>
      </c>
      <c r="H638" s="8" t="str">
        <f>IFNA(VLOOKUP(F638,Driver!A:C,3,false),"")</f>
        <v>551b71e8ffa616f84fb7</v>
      </c>
      <c r="I638" s="9">
        <v>0.5833333333333334</v>
      </c>
      <c r="J638" s="9">
        <v>0.7916666666666666</v>
      </c>
      <c r="K638" s="9"/>
    </row>
    <row r="639" hidden="1">
      <c r="A639" s="5" t="str">
        <f>IFNA(VLOOKUP(D639,'Location Table'!A:C,2,false),"")</f>
        <v>c53f193c-f73e-11f0-9378-fa163ee8d8ac</v>
      </c>
      <c r="B639" s="5" t="str">
        <f>IFNA(VLOOKUP(F639,Driver!A:C,2,false),"")</f>
        <v>af57dfcc-782d-11f0-b407-506b8d982279</v>
      </c>
      <c r="C639" s="5" t="str">
        <f>IFNA(VLOOKUP(E639,'Location Table'!A:C,2,false),"")</f>
        <v/>
      </c>
      <c r="D639" s="6" t="s">
        <v>490</v>
      </c>
      <c r="E639" s="6"/>
      <c r="F639" s="6" t="s">
        <v>515</v>
      </c>
      <c r="G639" s="7" t="str">
        <f>IFNA(VLOOKUP(F639,Driver!A:D,4,false),"")</f>
        <v>2160130926882687325:VSRHFZoYrhhtnecmAaOfmgvaKlfxBZEgxFxSbLPTAhfVwurTuJfQgOTrwyseeqJQ</v>
      </c>
      <c r="H639" s="8" t="str">
        <f>IFNA(VLOOKUP(F639,Driver!A:C,3,false),"")</f>
        <v>d9fc37dd4093a9cdf082</v>
      </c>
      <c r="I639" s="9">
        <v>0.6666666666666666</v>
      </c>
      <c r="J639" s="9">
        <v>0.8333333333333334</v>
      </c>
      <c r="K639" s="9"/>
    </row>
    <row r="640" hidden="1">
      <c r="A640" s="5" t="str">
        <f>IFNA(VLOOKUP(D640,'Location Table'!A:C,2,false),"")</f>
        <v>4e6db408-85b7-11ee-8c15-506b8d9879b5</v>
      </c>
      <c r="B640" s="5" t="str">
        <f>IFNA(VLOOKUP(F640,Driver!A:C,2,false),"")</f>
        <v>af57dfcc-782d-11f0-b407-506b8d982279</v>
      </c>
      <c r="C640" s="5" t="str">
        <f>IFNA(VLOOKUP(E640,'Location Table'!A:C,2,false),"")</f>
        <v/>
      </c>
      <c r="D640" s="6" t="s">
        <v>491</v>
      </c>
      <c r="E640" s="6"/>
      <c r="F640" s="6" t="s">
        <v>515</v>
      </c>
      <c r="G640" s="7" t="str">
        <f>IFNA(VLOOKUP(F640,Driver!A:D,4,false),"")</f>
        <v>2160130926882687325:VSRHFZoYrhhtnecmAaOfmgvaKlfxBZEgxFxSbLPTAhfVwurTuJfQgOTrwyseeqJQ</v>
      </c>
      <c r="H640" s="8" t="str">
        <f>IFNA(VLOOKUP(F640,Driver!A:C,3,false),"")</f>
        <v>d9fc37dd4093a9cdf082</v>
      </c>
      <c r="I640" s="9">
        <v>0.6666666666666666</v>
      </c>
      <c r="J640" s="9">
        <v>0.8333333333333334</v>
      </c>
      <c r="K640" s="9"/>
    </row>
    <row r="641" hidden="1">
      <c r="A641" s="5" t="str">
        <f>IFNA(VLOOKUP(D641,'Location Table'!A:C,2,false),"")</f>
        <v>7137d374-94d4-11ef-bdaf-506b8d9879b5</v>
      </c>
      <c r="B641" s="5" t="str">
        <f>IFNA(VLOOKUP(F641,Driver!A:C,2,false),"")</f>
        <v>af57dfcc-782d-11f0-b407-506b8d982279</v>
      </c>
      <c r="C641" s="5" t="str">
        <f>IFNA(VLOOKUP(E641,'Location Table'!A:C,2,false),"")</f>
        <v/>
      </c>
      <c r="D641" s="6" t="s">
        <v>492</v>
      </c>
      <c r="E641" s="6"/>
      <c r="F641" s="6" t="s">
        <v>515</v>
      </c>
      <c r="G641" s="7" t="str">
        <f>IFNA(VLOOKUP(F641,Driver!A:D,4,false),"")</f>
        <v>2160130926882687325:VSRHFZoYrhhtnecmAaOfmgvaKlfxBZEgxFxSbLPTAhfVwurTuJfQgOTrwyseeqJQ</v>
      </c>
      <c r="H641" s="8" t="str">
        <f>IFNA(VLOOKUP(F641,Driver!A:C,3,false),"")</f>
        <v>d9fc37dd4093a9cdf082</v>
      </c>
      <c r="I641" s="9">
        <v>0.6666666666666666</v>
      </c>
      <c r="J641" s="9">
        <v>0.8333333333333334</v>
      </c>
      <c r="K641" s="9"/>
    </row>
    <row r="642" hidden="1">
      <c r="A642" s="5" t="str">
        <f>IFNA(VLOOKUP(D642,'Location Table'!A:C,2,false),"")</f>
        <v>c7059358-2b0c-11f0-967c-506b8d982279</v>
      </c>
      <c r="B642" s="5" t="str">
        <f>IFNA(VLOOKUP(F642,Driver!A:C,2,false),"")</f>
        <v>f61678a4-3656-11ed-9310-506b8dbc8dfb</v>
      </c>
      <c r="C642" s="5" t="str">
        <f>IFNA(VLOOKUP(E642,'Location Table'!A:C,2,false),"")</f>
        <v/>
      </c>
      <c r="D642" s="6" t="s">
        <v>495</v>
      </c>
      <c r="E642" s="6"/>
      <c r="F642" s="6" t="s">
        <v>470</v>
      </c>
      <c r="G642" s="7" t="str">
        <f>IFNA(VLOOKUP(F642,Driver!A:D,4,false),"")</f>
        <v>2160130926882687325:VSRHFZoYrhhtnecmAaOfmgvaKlfxBZEgxFxSbLPTAhfVwurTuJfQgOTrwyseeqJQ</v>
      </c>
      <c r="H642" s="8" t="str">
        <f>IFNA(VLOOKUP(F642,Driver!A:C,3,false),"")</f>
        <v>551b71e8ffa616f84fb7</v>
      </c>
      <c r="I642" s="9">
        <v>0.5833333333333334</v>
      </c>
      <c r="J642" s="9">
        <v>0.7916666666666666</v>
      </c>
      <c r="K642" s="9"/>
    </row>
    <row r="643" hidden="1">
      <c r="A643" s="5" t="str">
        <f>IFNA(VLOOKUP(D643,'Location Table'!A:C,2,false),"")</f>
        <v>51bfb168-446f-11ed-888f-506b8dbc8dfb</v>
      </c>
      <c r="B643" s="5" t="str">
        <f>IFNA(VLOOKUP(F643,Driver!A:C,2,false),"")</f>
        <v>a4e52324-215e-11ee-afc5-506b8d9879b5</v>
      </c>
      <c r="C643" s="5" t="str">
        <f>IFNA(VLOOKUP(E643,'Location Table'!A:C,2,false),"")</f>
        <v/>
      </c>
      <c r="D643" s="6" t="s">
        <v>496</v>
      </c>
      <c r="E643" s="6"/>
      <c r="F643" s="6" t="s">
        <v>228</v>
      </c>
      <c r="G643" s="7" t="str">
        <f>IFNA(VLOOKUP(F643,Driver!A:D,4,false),"")</f>
        <v>1980698793628880414:XXMGIAegigeHesHcPUQpIcnMCwhigvPUATFrPyRHiqIZqTwmvWiXbUzfDhivxPcl</v>
      </c>
      <c r="H643" s="8" t="str">
        <f>IFNA(VLOOKUP(F643,Driver!A:C,3,false),"")</f>
        <v>948d059b10d2f98ca0c3</v>
      </c>
      <c r="I643" s="9">
        <v>0.5</v>
      </c>
      <c r="J643" s="9">
        <v>0.7083333333333334</v>
      </c>
      <c r="K643" s="9"/>
    </row>
    <row r="644" hidden="1">
      <c r="A644" s="5" t="str">
        <f>IFNA(VLOOKUP(D644,'Location Table'!A:C,2,false),"")</f>
        <v>8fcd43b2-52dd-11ee-ac1e-506b8d9879b5</v>
      </c>
      <c r="B644" s="5" t="str">
        <f>IFNA(VLOOKUP(F644,Driver!A:C,2,false),"")</f>
        <v>f61678a4-3656-11ed-9310-506b8dbc8dfb</v>
      </c>
      <c r="C644" s="5" t="str">
        <f>IFNA(VLOOKUP(E644,'Location Table'!A:C,2,false),"")</f>
        <v/>
      </c>
      <c r="D644" s="6" t="s">
        <v>499</v>
      </c>
      <c r="E644" s="6"/>
      <c r="F644" s="6" t="s">
        <v>470</v>
      </c>
      <c r="G644" s="7" t="str">
        <f>IFNA(VLOOKUP(F644,Driver!A:D,4,false),"")</f>
        <v>2160130926882687325:VSRHFZoYrhhtnecmAaOfmgvaKlfxBZEgxFxSbLPTAhfVwurTuJfQgOTrwyseeqJQ</v>
      </c>
      <c r="H644" s="8" t="str">
        <f>IFNA(VLOOKUP(F644,Driver!A:C,3,false),"")</f>
        <v>551b71e8ffa616f84fb7</v>
      </c>
      <c r="I644" s="9">
        <v>0.5833333333333334</v>
      </c>
      <c r="J644" s="9">
        <v>0.7916666666666666</v>
      </c>
      <c r="K644" s="9"/>
    </row>
    <row r="645" hidden="1">
      <c r="A645" s="5" t="str">
        <f>IFNA(VLOOKUP(D645,'Location Table'!A:C,2,false),"")</f>
        <v>6aec0b28-c8f2-11ef-a575-506b8d9879b5</v>
      </c>
      <c r="B645" s="5" t="str">
        <f>IFNA(VLOOKUP(F645,Driver!A:C,2,false),"")</f>
        <v>f61678a4-3656-11ed-9310-506b8dbc8dfb</v>
      </c>
      <c r="C645" s="5" t="str">
        <f>IFNA(VLOOKUP(E645,'Location Table'!A:C,2,false),"")</f>
        <v/>
      </c>
      <c r="D645" s="6" t="s">
        <v>500</v>
      </c>
      <c r="E645" s="6"/>
      <c r="F645" s="6" t="s">
        <v>470</v>
      </c>
      <c r="G645" s="7" t="str">
        <f>IFNA(VLOOKUP(F645,Driver!A:D,4,false),"")</f>
        <v>2160130926882687325:VSRHFZoYrhhtnecmAaOfmgvaKlfxBZEgxFxSbLPTAhfVwurTuJfQgOTrwyseeqJQ</v>
      </c>
      <c r="H645" s="8" t="str">
        <f>IFNA(VLOOKUP(F645,Driver!A:C,3,false),"")</f>
        <v>551b71e8ffa616f84fb7</v>
      </c>
      <c r="I645" s="9">
        <v>0.5833333333333334</v>
      </c>
      <c r="J645" s="9">
        <v>0.7916666666666666</v>
      </c>
      <c r="K645" s="9"/>
    </row>
    <row r="646" hidden="1">
      <c r="A646" s="5" t="str">
        <f>IFNA(VLOOKUP(D646,'Location Table'!A:C,2,false),"")</f>
        <v>12b8540a-a008-11f0-a6d4-506b8d982279</v>
      </c>
      <c r="B646" s="5" t="str">
        <f>IFNA(VLOOKUP(F646,Driver!A:C,2,false),"")</f>
        <v>f61678a4-3656-11ed-9310-506b8dbc8dfb</v>
      </c>
      <c r="C646" s="5" t="str">
        <f>IFNA(VLOOKUP(E646,'Location Table'!A:C,2,false),"")</f>
        <v/>
      </c>
      <c r="D646" s="6" t="s">
        <v>502</v>
      </c>
      <c r="E646" s="6"/>
      <c r="F646" s="6" t="s">
        <v>470</v>
      </c>
      <c r="G646" s="7" t="str">
        <f>IFNA(VLOOKUP(F646,Driver!A:D,4,false),"")</f>
        <v>2160130926882687325:VSRHFZoYrhhtnecmAaOfmgvaKlfxBZEgxFxSbLPTAhfVwurTuJfQgOTrwyseeqJQ</v>
      </c>
      <c r="H646" s="8" t="str">
        <f>IFNA(VLOOKUP(F646,Driver!A:C,3,false),"")</f>
        <v>551b71e8ffa616f84fb7</v>
      </c>
      <c r="I646" s="9">
        <v>0.5833333333333334</v>
      </c>
      <c r="J646" s="9">
        <v>0.7916666666666666</v>
      </c>
      <c r="K646" s="9"/>
    </row>
    <row r="647" hidden="1">
      <c r="A647" s="5" t="str">
        <f>IFNA(VLOOKUP(D647,'Location Table'!A:C,2,false),"")</f>
        <v>6f11bae4-b894-11f0-954c-506b8d982279</v>
      </c>
      <c r="B647" s="5" t="str">
        <f>IFNA(VLOOKUP(F647,Driver!A:C,2,false),"")</f>
        <v>f61678a4-3656-11ed-9310-506b8dbc8dfb</v>
      </c>
      <c r="C647" s="5" t="str">
        <f>IFNA(VLOOKUP(E647,'Location Table'!A:C,2,false),"")</f>
        <v/>
      </c>
      <c r="D647" s="6" t="s">
        <v>504</v>
      </c>
      <c r="E647" s="6"/>
      <c r="F647" s="6" t="s">
        <v>470</v>
      </c>
      <c r="G647" s="7" t="str">
        <f>IFNA(VLOOKUP(F647,Driver!A:D,4,false),"")</f>
        <v>2160130926882687325:VSRHFZoYrhhtnecmAaOfmgvaKlfxBZEgxFxSbLPTAhfVwurTuJfQgOTrwyseeqJQ</v>
      </c>
      <c r="H647" s="8" t="str">
        <f>IFNA(VLOOKUP(F647,Driver!A:C,3,false),"")</f>
        <v>551b71e8ffa616f84fb7</v>
      </c>
      <c r="I647" s="9">
        <v>0.5833333333333334</v>
      </c>
      <c r="J647" s="9">
        <v>0.7916666666666666</v>
      </c>
      <c r="K647" s="9"/>
    </row>
    <row r="648" hidden="1">
      <c r="A648" s="5" t="str">
        <f>IFNA(VLOOKUP(D648,'Location Table'!A:C,2,false),"")</f>
        <v>6c9c33de-8745-11ee-98f4-506b8d9879b5</v>
      </c>
      <c r="B648" s="5" t="str">
        <f>IFNA(VLOOKUP(F648,Driver!A:C,2,false),"")</f>
        <v>f61678a4-3656-11ed-9310-506b8dbc8dfb</v>
      </c>
      <c r="C648" s="5" t="str">
        <f>IFNA(VLOOKUP(E648,'Location Table'!A:C,2,false),"")</f>
        <v/>
      </c>
      <c r="D648" s="6" t="s">
        <v>505</v>
      </c>
      <c r="E648" s="6"/>
      <c r="F648" s="6" t="s">
        <v>470</v>
      </c>
      <c r="G648" s="7" t="str">
        <f>IFNA(VLOOKUP(F648,Driver!A:D,4,false),"")</f>
        <v>2160130926882687325:VSRHFZoYrhhtnecmAaOfmgvaKlfxBZEgxFxSbLPTAhfVwurTuJfQgOTrwyseeqJQ</v>
      </c>
      <c r="H648" s="8" t="str">
        <f>IFNA(VLOOKUP(F648,Driver!A:C,3,false),"")</f>
        <v>551b71e8ffa616f84fb7</v>
      </c>
      <c r="I648" s="9">
        <v>0.5833333333333334</v>
      </c>
      <c r="J648" s="9">
        <v>0.7916666666666666</v>
      </c>
      <c r="K648" s="9"/>
    </row>
    <row r="649" hidden="1">
      <c r="A649" s="5" t="str">
        <f>IFNA(VLOOKUP(D649,'Location Table'!A:C,2,false),"")</f>
        <v>b5eb7202-4542-11ed-b44a-506b8dbc8dfb</v>
      </c>
      <c r="B649" s="5" t="str">
        <f>IFNA(VLOOKUP(F649,Driver!A:C,2,false),"")</f>
        <v>412f31be-2fc3-11f1-9378-fa163ee8d8ac</v>
      </c>
      <c r="C649" s="5" t="str">
        <f>IFNA(VLOOKUP(E649,'Location Table'!A:C,2,false),"")</f>
        <v/>
      </c>
      <c r="D649" s="6" t="s">
        <v>506</v>
      </c>
      <c r="E649" s="6"/>
      <c r="F649" s="10" t="s">
        <v>511</v>
      </c>
      <c r="G649" s="7" t="str">
        <f>IFNA(VLOOKUP(F649,Driver!A:D,4,false),"")</f>
        <v/>
      </c>
      <c r="H649" s="8" t="str">
        <f>IFNA(VLOOKUP(F649,Driver!A:C,3,false),"")</f>
        <v/>
      </c>
      <c r="I649" s="9">
        <v>0.6666666666666666</v>
      </c>
      <c r="J649" s="9">
        <v>0.7916666666666666</v>
      </c>
      <c r="K649" s="9"/>
    </row>
    <row r="650" hidden="1">
      <c r="A650" s="5" t="str">
        <f>IFNA(VLOOKUP(D650,'Location Table'!A:C,2,false),"")</f>
        <v>f70ce146-a9b5-11f0-b361-506b8d982279</v>
      </c>
      <c r="B650" s="5" t="str">
        <f>IFNA(VLOOKUP(F650,Driver!A:C,2,false),"")</f>
        <v>f3cef536-7671-11f0-84d2-506b8d982279</v>
      </c>
      <c r="C650" s="5" t="str">
        <f>IFNA(VLOOKUP(E650,'Location Table'!A:C,2,false),"")</f>
        <v/>
      </c>
      <c r="D650" s="6" t="s">
        <v>507</v>
      </c>
      <c r="E650" s="6"/>
      <c r="F650" s="6" t="s">
        <v>112</v>
      </c>
      <c r="G650" s="7" t="str">
        <f>IFNA(VLOOKUP(F650,Driver!A:D,4,false),"")</f>
        <v/>
      </c>
      <c r="H650" s="8" t="str">
        <f>IFNA(VLOOKUP(F650,Driver!A:C,3,false),"")</f>
        <v/>
      </c>
      <c r="I650" s="9">
        <v>0.4583333333333333</v>
      </c>
      <c r="J650" s="9">
        <v>0.8333333333333334</v>
      </c>
      <c r="K650" s="9"/>
    </row>
    <row r="651" hidden="1">
      <c r="A651" s="5" t="str">
        <f>IFNA(VLOOKUP(D651,'Location Table'!A:C,2,false),"")</f>
        <v>ab7abd4e-8ec0-11f0-8996-506b8d982279</v>
      </c>
      <c r="B651" s="5" t="str">
        <f>IFNA(VLOOKUP(F651,Driver!A:C,2,false),"")</f>
        <v>efbf243a-37c6-11ed-93fb-506b8dbc8dfb</v>
      </c>
      <c r="C651" s="5" t="str">
        <f>IFNA(VLOOKUP(E651,'Location Table'!A:C,2,false),"")</f>
        <v/>
      </c>
      <c r="D651" s="6" t="s">
        <v>508</v>
      </c>
      <c r="E651" s="6"/>
      <c r="F651" s="6" t="s">
        <v>517</v>
      </c>
      <c r="G651" s="7" t="str">
        <f>IFNA(VLOOKUP(F651,Driver!A:D,4,false),"")</f>
        <v>1980698793628880414:XXMGIAegigeHesHcPUQpIcnMCwhigvPUATFrPyRHiqIZqTwmvWiXbUzfDhivxPcl</v>
      </c>
      <c r="H651" s="8" t="str">
        <f>IFNA(VLOOKUP(F651,Driver!A:C,3,false),"")</f>
        <v>c73df7953cd9d5878cc8</v>
      </c>
      <c r="I651" s="9">
        <v>0.5833333333333334</v>
      </c>
      <c r="J651" s="9">
        <v>0.7916666666666666</v>
      </c>
      <c r="K651" s="9"/>
    </row>
    <row r="652" hidden="1">
      <c r="A652" s="5" t="str">
        <f>IFNA(VLOOKUP(D652,'Location Table'!A:C,2,false),"")</f>
        <v>387d2ed2-de5f-11f0-84a0-506b8d982279</v>
      </c>
      <c r="B652" s="5" t="str">
        <f>IFNA(VLOOKUP(F652,Driver!A:C,2,false),"")</f>
        <v>a9bf91b4-00e4-11f1-9378-fa163ee8d8ac</v>
      </c>
      <c r="C652" s="5" t="str">
        <f>IFNA(VLOOKUP(E652,'Location Table'!A:C,2,false),"")</f>
        <v/>
      </c>
      <c r="D652" s="6" t="s">
        <v>520</v>
      </c>
      <c r="E652" s="6"/>
      <c r="F652" s="6" t="s">
        <v>142</v>
      </c>
      <c r="G652" s="7" t="str">
        <f>IFNA(VLOOKUP(F652,Driver!A:D,4,false),"")</f>
        <v/>
      </c>
      <c r="H652" s="8" t="str">
        <f>IFNA(VLOOKUP(F652,Driver!A:C,3,false),"")</f>
        <v/>
      </c>
      <c r="I652" s="9">
        <v>0.2916666666666667</v>
      </c>
      <c r="J652" s="9">
        <v>0.5</v>
      </c>
      <c r="K652" s="9"/>
    </row>
    <row r="653" hidden="1">
      <c r="A653" s="5" t="str">
        <f>IFNA(VLOOKUP(D653,'Location Table'!A:C,2,false),"")</f>
        <v>5002514a-4470-11ed-92fa-506b8dbc8dfb</v>
      </c>
      <c r="B653" s="5" t="str">
        <f>IFNA(VLOOKUP(F653,Driver!A:C,2,false),"")</f>
        <v>a9bf91b4-00e4-11f1-9378-fa163ee8d8ac</v>
      </c>
      <c r="C653" s="5" t="str">
        <f>IFNA(VLOOKUP(E653,'Location Table'!A:C,2,false),"")</f>
        <v/>
      </c>
      <c r="D653" s="6" t="s">
        <v>521</v>
      </c>
      <c r="E653" s="6"/>
      <c r="F653" s="6" t="s">
        <v>142</v>
      </c>
      <c r="G653" s="7" t="str">
        <f>IFNA(VLOOKUP(F653,Driver!A:D,4,false),"")</f>
        <v/>
      </c>
      <c r="H653" s="8" t="str">
        <f>IFNA(VLOOKUP(F653,Driver!A:C,3,false),"")</f>
        <v/>
      </c>
      <c r="I653" s="9">
        <v>0.2916666666666667</v>
      </c>
      <c r="J653" s="9">
        <v>0.5</v>
      </c>
      <c r="K653" s="9"/>
    </row>
    <row r="654" hidden="1">
      <c r="A654" s="5" t="str">
        <f>IFNA(VLOOKUP(D654,'Location Table'!A:C,2,false),"")</f>
        <v>7c4334e8-73d7-11ef-9c0b-506b8d9879b5</v>
      </c>
      <c r="B654" s="5" t="str">
        <f>IFNA(VLOOKUP(F654,Driver!A:C,2,false),"")</f>
        <v>41ea8512-2e70-11f1-9378-fa163ee8d8ac</v>
      </c>
      <c r="C654" s="5" t="str">
        <f>IFNA(VLOOKUP(E654,'Location Table'!A:C,2,false),"")</f>
        <v/>
      </c>
      <c r="D654" s="6" t="s">
        <v>522</v>
      </c>
      <c r="E654" s="6"/>
      <c r="F654" s="10" t="s">
        <v>35</v>
      </c>
      <c r="G654" s="7" t="str">
        <f>IFNA(VLOOKUP(F654,Driver!A:D,4,false),"")</f>
        <v/>
      </c>
      <c r="H654" s="8" t="str">
        <f>IFNA(VLOOKUP(F654,Driver!A:C,3,false),"")</f>
        <v/>
      </c>
      <c r="I654" s="9">
        <v>0.2916666666666667</v>
      </c>
      <c r="J654" s="9">
        <v>0.75</v>
      </c>
      <c r="K654" s="9"/>
    </row>
    <row r="655" hidden="1">
      <c r="A655" s="5" t="str">
        <f>IFNA(VLOOKUP(D655,'Location Table'!A:C,2,false),"")</f>
        <v>89e7cb20-e72f-11ee-b9fb-506b8d9879b5</v>
      </c>
      <c r="B655" s="5" t="str">
        <f>IFNA(VLOOKUP(F655,Driver!A:C,2,false),"")</f>
        <v>41ea8512-2e70-11f1-9378-fa163ee8d8ac</v>
      </c>
      <c r="C655" s="5" t="str">
        <f>IFNA(VLOOKUP(E655,'Location Table'!A:C,2,false),"")</f>
        <v/>
      </c>
      <c r="D655" s="6" t="s">
        <v>523</v>
      </c>
      <c r="E655" s="6"/>
      <c r="F655" s="10" t="s">
        <v>35</v>
      </c>
      <c r="G655" s="7" t="str">
        <f>IFNA(VLOOKUP(F655,Driver!A:D,4,false),"")</f>
        <v/>
      </c>
      <c r="H655" s="8" t="str">
        <f>IFNA(VLOOKUP(F655,Driver!A:C,3,false),"")</f>
        <v/>
      </c>
      <c r="I655" s="9">
        <v>0.2916666666666667</v>
      </c>
      <c r="J655" s="9">
        <v>0.75</v>
      </c>
      <c r="K655" s="9"/>
    </row>
    <row r="656" hidden="1">
      <c r="A656" s="5" t="str">
        <f>IFNA(VLOOKUP(D656,'Location Table'!A:C,2,false),"")</f>
        <v>4a1e11b2-ed6a-11ed-b6af-506b8dbc8dfb</v>
      </c>
      <c r="B656" s="5" t="str">
        <f>IFNA(VLOOKUP(F656,Driver!A:C,2,false),"")</f>
        <v>717fa61c-3654-11ed-b103-506b8dbc8dfb</v>
      </c>
      <c r="C656" s="5" t="str">
        <f>IFNA(VLOOKUP(E656,'Location Table'!A:C,2,false),"")</f>
        <v/>
      </c>
      <c r="D656" s="6" t="s">
        <v>524</v>
      </c>
      <c r="E656" s="6"/>
      <c r="F656" s="6" t="s">
        <v>361</v>
      </c>
      <c r="G656" s="7" t="str">
        <f>IFNA(VLOOKUP(F656,Driver!A:D,4,false),"")</f>
        <v>1980698793628880414:XXMGIAegigeHesHcPUQpIcnMCwhigvPUATFrPyRHiqIZqTwmvWiXbUzfDhivxPcl</v>
      </c>
      <c r="H656" s="8" t="str">
        <f>IFNA(VLOOKUP(F656,Driver!A:C,3,false),"")</f>
        <v>fbc73b7bb6385f660629</v>
      </c>
      <c r="I656" s="9">
        <v>0.23958333333333334</v>
      </c>
      <c r="J656" s="9">
        <v>0.6041666666666666</v>
      </c>
      <c r="K656" s="5" t="s">
        <v>362</v>
      </c>
    </row>
    <row r="657" hidden="1">
      <c r="A657" s="5" t="str">
        <f>IFNA(VLOOKUP(D657,'Location Table'!A:C,2,false),"")</f>
        <v>ba9d31f0-6db2-11f0-9676-506b8d982279</v>
      </c>
      <c r="B657" s="5" t="str">
        <f>IFNA(VLOOKUP(F657,Driver!A:C,2,false),"")</f>
        <v>a9bf91b4-00e4-11f1-9378-fa163ee8d8ac</v>
      </c>
      <c r="C657" s="5" t="str">
        <f>IFNA(VLOOKUP(E657,'Location Table'!A:C,2,false),"")</f>
        <v/>
      </c>
      <c r="D657" s="6" t="s">
        <v>525</v>
      </c>
      <c r="E657" s="6"/>
      <c r="F657" s="6" t="s">
        <v>142</v>
      </c>
      <c r="G657" s="7" t="str">
        <f>IFNA(VLOOKUP(F657,Driver!A:D,4,false),"")</f>
        <v/>
      </c>
      <c r="H657" s="8" t="str">
        <f>IFNA(VLOOKUP(F657,Driver!A:C,3,false),"")</f>
        <v/>
      </c>
      <c r="I657" s="9">
        <v>0.2916666666666667</v>
      </c>
      <c r="J657" s="9">
        <v>0.5</v>
      </c>
      <c r="K657" s="9"/>
    </row>
    <row r="658" hidden="1">
      <c r="A658" s="5" t="str">
        <f>IFNA(VLOOKUP(D658,'Location Table'!A:C,2,false),"")</f>
        <v>36c095f4-d4bc-11f0-870d-506b8d982279</v>
      </c>
      <c r="B658" s="5" t="str">
        <f>IFNA(VLOOKUP(F658,Driver!A:C,2,false),"")</f>
        <v>a9bf91b4-00e4-11f1-9378-fa163ee8d8ac</v>
      </c>
      <c r="C658" s="5" t="str">
        <f>IFNA(VLOOKUP(E658,'Location Table'!A:C,2,false),"")</f>
        <v/>
      </c>
      <c r="D658" s="6" t="s">
        <v>526</v>
      </c>
      <c r="E658" s="6"/>
      <c r="F658" s="6" t="s">
        <v>142</v>
      </c>
      <c r="G658" s="7" t="str">
        <f>IFNA(VLOOKUP(F658,Driver!A:D,4,false),"")</f>
        <v/>
      </c>
      <c r="H658" s="8" t="str">
        <f>IFNA(VLOOKUP(F658,Driver!A:C,3,false),"")</f>
        <v/>
      </c>
      <c r="I658" s="9">
        <v>0.2916666666666667</v>
      </c>
      <c r="J658" s="9">
        <v>0.5</v>
      </c>
      <c r="K658" s="9"/>
    </row>
    <row r="659" hidden="1">
      <c r="A659" s="5" t="str">
        <f>IFNA(VLOOKUP(D659,'Location Table'!A:C,2,false),"")</f>
        <v>d16818aa-e428-11ef-b1fb-506b8d9879b5</v>
      </c>
      <c r="B659" s="5" t="str">
        <f>IFNA(VLOOKUP(F659,Driver!A:C,2,false),"")</f>
        <v>a2f538f8-37ce-11ed-a5cf-506b8dbc8dfb</v>
      </c>
      <c r="C659" s="5" t="str">
        <f>IFNA(VLOOKUP(E659,'Location Table'!A:C,2,false),"")</f>
        <v/>
      </c>
      <c r="D659" s="6" t="s">
        <v>527</v>
      </c>
      <c r="E659" s="6"/>
      <c r="F659" s="6" t="s">
        <v>338</v>
      </c>
      <c r="G659" s="7" t="str">
        <f>IFNA(VLOOKUP(F659,Driver!A:D,4,false),"")</f>
        <v>2160130926882687325:VSRHFZoYrhhtnecmAaOfmgvaKlfxBZEgxFxSbLPTAhfVwurTuJfQgOTrwyseeqJQ</v>
      </c>
      <c r="H659" s="8" t="str">
        <f>IFNA(VLOOKUP(F659,Driver!A:C,3,false),"")</f>
        <v>c0d10f02724a9b14c25b</v>
      </c>
      <c r="I659" s="9">
        <v>0.2916666666666667</v>
      </c>
      <c r="J659" s="9">
        <v>0.6666666666666666</v>
      </c>
      <c r="K659" s="9"/>
    </row>
    <row r="660" hidden="1">
      <c r="A660" s="5" t="str">
        <f>IFNA(VLOOKUP(D660,'Location Table'!A:C,2,false),"")</f>
        <v>317a6ace-0949-11ef-8625-506b8d9879b5</v>
      </c>
      <c r="B660" s="5" t="str">
        <f>IFNA(VLOOKUP(F660,Driver!A:C,2,false),"")</f>
        <v>51b847ba-37cd-11ed-a5f6-506b8dbc8dfb</v>
      </c>
      <c r="C660" s="5" t="str">
        <f>IFNA(VLOOKUP(E660,'Location Table'!A:C,2,false),"")</f>
        <v/>
      </c>
      <c r="D660" s="6" t="s">
        <v>528</v>
      </c>
      <c r="E660" s="6"/>
      <c r="F660" s="6" t="s">
        <v>94</v>
      </c>
      <c r="G660" s="7" t="str">
        <f>IFNA(VLOOKUP(F660,Driver!A:D,4,false),"")</f>
        <v>1980698793628880414:XXMGIAegigeHesHcPUQpIcnMCwhigvPUATFrPyRHiqIZqTwmvWiXbUzfDhivxPcl</v>
      </c>
      <c r="H660" s="8" t="str">
        <f>IFNA(VLOOKUP(F660,Driver!A:C,3,false),"")</f>
        <v>3d1fec9027dcce8297cd</v>
      </c>
      <c r="I660" s="9">
        <v>0.2916666666666667</v>
      </c>
      <c r="J660" s="9">
        <v>0.6666666666666666</v>
      </c>
      <c r="K660" s="9"/>
    </row>
    <row r="661" hidden="1">
      <c r="A661" s="5" t="str">
        <f>IFNA(VLOOKUP(D661,'Location Table'!A:C,2,false),"")</f>
        <v>6d5822f6-29da-11ee-bb13-506b8d9879b5</v>
      </c>
      <c r="B661" s="5" t="str">
        <f>IFNA(VLOOKUP(F661,Driver!A:C,2,false),"")</f>
        <v>51b847ba-37cd-11ed-a5f6-506b8dbc8dfb</v>
      </c>
      <c r="C661" s="5" t="str">
        <f>IFNA(VLOOKUP(E661,'Location Table'!A:C,2,false),"")</f>
        <v/>
      </c>
      <c r="D661" s="6" t="s">
        <v>529</v>
      </c>
      <c r="E661" s="6"/>
      <c r="F661" s="6" t="s">
        <v>94</v>
      </c>
      <c r="G661" s="7" t="str">
        <f>IFNA(VLOOKUP(F661,Driver!A:D,4,false),"")</f>
        <v>1980698793628880414:XXMGIAegigeHesHcPUQpIcnMCwhigvPUATFrPyRHiqIZqTwmvWiXbUzfDhivxPcl</v>
      </c>
      <c r="H661" s="8" t="str">
        <f>IFNA(VLOOKUP(F661,Driver!A:C,3,false),"")</f>
        <v>3d1fec9027dcce8297cd</v>
      </c>
      <c r="I661" s="9">
        <v>0.2916666666666667</v>
      </c>
      <c r="J661" s="9">
        <v>0.6666666666666666</v>
      </c>
      <c r="K661" s="9"/>
    </row>
    <row r="662" hidden="1">
      <c r="A662" s="5" t="str">
        <f>IFNA(VLOOKUP(D662,'Location Table'!A:C,2,false),"")</f>
        <v>a6ba7dee-38f4-11ef-99c0-506b8d9879b5</v>
      </c>
      <c r="B662" s="5" t="str">
        <f>IFNA(VLOOKUP(F662,Driver!A:C,2,false),"")</f>
        <v>f5993946-37cf-11ed-a3fc-506b8dbc8dfb</v>
      </c>
      <c r="C662" s="5" t="str">
        <f>IFNA(VLOOKUP(E662,'Location Table'!A:C,2,false),"")</f>
        <v/>
      </c>
      <c r="D662" s="6" t="s">
        <v>530</v>
      </c>
      <c r="E662" s="6"/>
      <c r="F662" s="6" t="s">
        <v>314</v>
      </c>
      <c r="G662" s="7" t="str">
        <f>IFNA(VLOOKUP(F662,Driver!A:D,4,false),"")</f>
        <v/>
      </c>
      <c r="H662" s="8" t="str">
        <f>IFNA(VLOOKUP(F662,Driver!A:C,3,false),"")</f>
        <v/>
      </c>
      <c r="I662" s="9">
        <v>0.2916666666666667</v>
      </c>
      <c r="J662" s="9">
        <v>0.6666666666666666</v>
      </c>
      <c r="K662" s="9"/>
    </row>
    <row r="663" hidden="1">
      <c r="A663" s="5" t="str">
        <f>IFNA(VLOOKUP(D663,'Location Table'!A:C,2,false),"")</f>
        <v>42197ace-1d88-11f0-904d-506b8d982279</v>
      </c>
      <c r="B663" s="5" t="str">
        <f>IFNA(VLOOKUP(F663,Driver!A:C,2,false),"")</f>
        <v>f5993946-37cf-11ed-a3fc-506b8dbc8dfb</v>
      </c>
      <c r="C663" s="5" t="str">
        <f>IFNA(VLOOKUP(E663,'Location Table'!A:C,2,false),"")</f>
        <v/>
      </c>
      <c r="D663" s="6" t="s">
        <v>531</v>
      </c>
      <c r="E663" s="6"/>
      <c r="F663" s="6" t="s">
        <v>314</v>
      </c>
      <c r="G663" s="7" t="str">
        <f>IFNA(VLOOKUP(F663,Driver!A:D,4,false),"")</f>
        <v/>
      </c>
      <c r="H663" s="8" t="str">
        <f>IFNA(VLOOKUP(F663,Driver!A:C,3,false),"")</f>
        <v/>
      </c>
      <c r="I663" s="9">
        <v>0.2916666666666667</v>
      </c>
      <c r="J663" s="9">
        <v>0.6666666666666666</v>
      </c>
      <c r="K663" s="9"/>
    </row>
    <row r="664" hidden="1">
      <c r="A664" s="5" t="str">
        <f>IFNA(VLOOKUP(D664,'Location Table'!A:C,2,false),"")</f>
        <v>9065c31a-49f3-11ed-af4a-506b8dbc8dfb</v>
      </c>
      <c r="B664" s="5" t="str">
        <f>IFNA(VLOOKUP(F664,Driver!A:C,2,false),"")</f>
        <v>f5993946-37cf-11ed-a3fc-506b8dbc8dfb</v>
      </c>
      <c r="C664" s="5" t="str">
        <f>IFNA(VLOOKUP(E664,'Location Table'!A:C,2,false),"")</f>
        <v/>
      </c>
      <c r="D664" s="6" t="s">
        <v>532</v>
      </c>
      <c r="E664" s="6"/>
      <c r="F664" s="6" t="s">
        <v>314</v>
      </c>
      <c r="G664" s="7" t="str">
        <f>IFNA(VLOOKUP(F664,Driver!A:D,4,false),"")</f>
        <v/>
      </c>
      <c r="H664" s="8" t="str">
        <f>IFNA(VLOOKUP(F664,Driver!A:C,3,false),"")</f>
        <v/>
      </c>
      <c r="I664" s="9">
        <v>0.2916666666666667</v>
      </c>
      <c r="J664" s="9">
        <v>0.6666666666666666</v>
      </c>
      <c r="K664" s="9"/>
    </row>
    <row r="665" hidden="1">
      <c r="A665" s="5" t="str">
        <f>IFNA(VLOOKUP(D665,'Location Table'!A:C,2,false),"")</f>
        <v>bf7aa49a-a013-11ef-9b5c-506b8d9879b5</v>
      </c>
      <c r="B665" s="5" t="str">
        <f>IFNA(VLOOKUP(F665,Driver!A:C,2,false),"")</f>
        <v>a9bf91b4-00e4-11f1-9378-fa163ee8d8ac</v>
      </c>
      <c r="C665" s="5" t="str">
        <f>IFNA(VLOOKUP(E665,'Location Table'!A:C,2,false),"")</f>
        <v/>
      </c>
      <c r="D665" s="6" t="s">
        <v>533</v>
      </c>
      <c r="E665" s="6"/>
      <c r="F665" s="6" t="s">
        <v>142</v>
      </c>
      <c r="G665" s="7" t="str">
        <f>IFNA(VLOOKUP(F665,Driver!A:D,4,false),"")</f>
        <v/>
      </c>
      <c r="H665" s="8" t="str">
        <f>IFNA(VLOOKUP(F665,Driver!A:C,3,false),"")</f>
        <v/>
      </c>
      <c r="I665" s="9">
        <v>0.2916666666666667</v>
      </c>
      <c r="J665" s="9">
        <v>0.5</v>
      </c>
      <c r="K665" s="9"/>
    </row>
    <row r="666" hidden="1">
      <c r="A666" s="5" t="str">
        <f>IFNA(VLOOKUP(D666,'Location Table'!A:C,2,false),"")</f>
        <v>921482ac-08b9-11ee-b7ca-506b8dbc8dfb</v>
      </c>
      <c r="B666" s="5" t="str">
        <f>IFNA(VLOOKUP(F666,Driver!A:C,2,false),"")</f>
        <v>41ea8512-2e70-11f1-9378-fa163ee8d8ac</v>
      </c>
      <c r="C666" s="5" t="str">
        <f>IFNA(VLOOKUP(E666,'Location Table'!A:C,2,false),"")</f>
        <v/>
      </c>
      <c r="D666" s="6" t="s">
        <v>534</v>
      </c>
      <c r="E666" s="6"/>
      <c r="F666" s="10" t="s">
        <v>35</v>
      </c>
      <c r="G666" s="7" t="str">
        <f>IFNA(VLOOKUP(F666,Driver!A:D,4,false),"")</f>
        <v/>
      </c>
      <c r="H666" s="8" t="str">
        <f>IFNA(VLOOKUP(F666,Driver!A:C,3,false),"")</f>
        <v/>
      </c>
      <c r="I666" s="9">
        <v>0.2916666666666667</v>
      </c>
      <c r="J666" s="9">
        <v>0.75</v>
      </c>
      <c r="K666" s="9"/>
    </row>
    <row r="667" hidden="1">
      <c r="A667" s="5" t="str">
        <f>IFNA(VLOOKUP(D667,'Location Table'!A:C,2,false),"")</f>
        <v>fd67f1ba-b985-11ee-a109-506b8d9879b5</v>
      </c>
      <c r="B667" s="5" t="str">
        <f>IFNA(VLOOKUP(F667,Driver!A:C,2,false),"")</f>
        <v>41ea8512-2e70-11f1-9378-fa163ee8d8ac</v>
      </c>
      <c r="C667" s="5" t="str">
        <f>IFNA(VLOOKUP(E667,'Location Table'!A:C,2,false),"")</f>
        <v/>
      </c>
      <c r="D667" s="6" t="s">
        <v>535</v>
      </c>
      <c r="E667" s="6"/>
      <c r="F667" s="10" t="s">
        <v>35</v>
      </c>
      <c r="G667" s="7" t="str">
        <f>IFNA(VLOOKUP(F667,Driver!A:D,4,false),"")</f>
        <v/>
      </c>
      <c r="H667" s="8" t="str">
        <f>IFNA(VLOOKUP(F667,Driver!A:C,3,false),"")</f>
        <v/>
      </c>
      <c r="I667" s="9">
        <v>0.2916666666666667</v>
      </c>
      <c r="J667" s="9">
        <v>0.75</v>
      </c>
      <c r="K667" s="9"/>
    </row>
    <row r="668" hidden="1">
      <c r="A668" s="5" t="str">
        <f>IFNA(VLOOKUP(D668,'Location Table'!A:C,2,false),"")</f>
        <v>bcc233d4-9002-11ee-a1bf-506b8d9879b5</v>
      </c>
      <c r="B668" s="5" t="str">
        <f>IFNA(VLOOKUP(F668,Driver!A:C,2,false),"")</f>
        <v>660cb676-e32e-11ed-9e6c-506b8dbc8dfb</v>
      </c>
      <c r="C668" s="5" t="str">
        <f>IFNA(VLOOKUP(E668,'Location Table'!A:C,2,false),"")</f>
        <v/>
      </c>
      <c r="D668" s="6" t="s">
        <v>536</v>
      </c>
      <c r="E668" s="6"/>
      <c r="F668" s="6" t="s">
        <v>494</v>
      </c>
      <c r="G668" s="7" t="str">
        <f>IFNA(VLOOKUP(F668,Driver!A:D,4,false),"")</f>
        <v>2160130926882687325:VSRHFZoYrhhtnecmAaOfmgvaKlfxBZEgxFxSbLPTAhfVwurTuJfQgOTrwyseeqJQ</v>
      </c>
      <c r="H668" s="8" t="str">
        <f>IFNA(VLOOKUP(F668,Driver!A:C,3,false),"")</f>
        <v>656e49d39f9a76c42f8b</v>
      </c>
      <c r="I668" s="9">
        <v>0.2916666666666667</v>
      </c>
      <c r="J668" s="9">
        <v>0.75</v>
      </c>
      <c r="K668" s="9"/>
    </row>
    <row r="669" hidden="1">
      <c r="A669" s="5" t="str">
        <f>IFNA(VLOOKUP(D669,'Location Table'!A:C,2,false),"")</f>
        <v>7f8c759c-85d0-11ee-bf16-506b8d9879b5</v>
      </c>
      <c r="B669" s="5" t="str">
        <f>IFNA(VLOOKUP(F669,Driver!A:C,2,false),"")</f>
        <v>660cb676-e32e-11ed-9e6c-506b8dbc8dfb</v>
      </c>
      <c r="C669" s="5" t="str">
        <f>IFNA(VLOOKUP(E669,'Location Table'!A:C,2,false),"")</f>
        <v/>
      </c>
      <c r="D669" s="6" t="s">
        <v>537</v>
      </c>
      <c r="E669" s="6"/>
      <c r="F669" s="6" t="s">
        <v>494</v>
      </c>
      <c r="G669" s="7" t="str">
        <f>IFNA(VLOOKUP(F669,Driver!A:D,4,false),"")</f>
        <v>2160130926882687325:VSRHFZoYrhhtnecmAaOfmgvaKlfxBZEgxFxSbLPTAhfVwurTuJfQgOTrwyseeqJQ</v>
      </c>
      <c r="H669" s="8" t="str">
        <f>IFNA(VLOOKUP(F669,Driver!A:C,3,false),"")</f>
        <v>656e49d39f9a76c42f8b</v>
      </c>
      <c r="I669" s="9">
        <v>0.2916666666666667</v>
      </c>
      <c r="J669" s="9">
        <v>0.75</v>
      </c>
      <c r="K669" s="9"/>
    </row>
    <row r="670" hidden="1">
      <c r="A670" s="5" t="str">
        <f>IFNA(VLOOKUP(D670,'Location Table'!A:C,2,false),"")</f>
        <v>2140d394-7411-11f0-a4f6-506b8d982279</v>
      </c>
      <c r="B670" s="5" t="str">
        <f>IFNA(VLOOKUP(F670,Driver!A:C,2,false),"")</f>
        <v>e3970cec-503e-11f1-9378-fa163ee8d8ac</v>
      </c>
      <c r="C670" s="5" t="str">
        <f>IFNA(VLOOKUP(E670,'Location Table'!A:C,2,false),"")</f>
        <v/>
      </c>
      <c r="D670" s="6" t="s">
        <v>538</v>
      </c>
      <c r="E670" s="6"/>
      <c r="F670" s="10" t="s">
        <v>328</v>
      </c>
      <c r="G670" s="7" t="str">
        <f>IFNA(VLOOKUP(F670,Driver!A:D,4,false),"")</f>
        <v/>
      </c>
      <c r="H670" s="8" t="str">
        <f>IFNA(VLOOKUP(F670,Driver!A:C,3,false),"")</f>
        <v/>
      </c>
      <c r="I670" s="9">
        <v>0.2916666666666667</v>
      </c>
      <c r="J670" s="9">
        <v>0.5833333333333334</v>
      </c>
      <c r="K670" s="9"/>
    </row>
    <row r="671" hidden="1">
      <c r="A671" s="5" t="str">
        <f>IFNA(VLOOKUP(D671,'Location Table'!A:C,2,false),"")</f>
        <v>5c7ab7e0-6414-11ee-a599-506b8d9879b5</v>
      </c>
      <c r="B671" s="5" t="str">
        <f>IFNA(VLOOKUP(F671,Driver!A:C,2,false),"")</f>
        <v>a2f538f8-37ce-11ed-a5cf-506b8dbc8dfb</v>
      </c>
      <c r="C671" s="5" t="str">
        <f>IFNA(VLOOKUP(E671,'Location Table'!A:C,2,false),"")</f>
        <v/>
      </c>
      <c r="D671" s="6" t="s">
        <v>539</v>
      </c>
      <c r="E671" s="6"/>
      <c r="F671" s="6" t="s">
        <v>338</v>
      </c>
      <c r="G671" s="7" t="str">
        <f>IFNA(VLOOKUP(F671,Driver!A:D,4,false),"")</f>
        <v>2160130926882687325:VSRHFZoYrhhtnecmAaOfmgvaKlfxBZEgxFxSbLPTAhfVwurTuJfQgOTrwyseeqJQ</v>
      </c>
      <c r="H671" s="8" t="str">
        <f>IFNA(VLOOKUP(F671,Driver!A:C,3,false),"")</f>
        <v>c0d10f02724a9b14c25b</v>
      </c>
      <c r="I671" s="9">
        <v>0.2916666666666667</v>
      </c>
      <c r="J671" s="9">
        <v>0.6666666666666666</v>
      </c>
      <c r="K671" s="9"/>
    </row>
    <row r="672" hidden="1">
      <c r="A672" s="5" t="str">
        <f>IFNA(VLOOKUP(D672,'Location Table'!A:C,2,false),"")</f>
        <v>a307b03e-49fb-11ed-84f1-506b8dbc8dfb</v>
      </c>
      <c r="B672" s="5" t="str">
        <f>IFNA(VLOOKUP(F672,Driver!A:C,2,false),"")</f>
        <v>103090f4-37c8-11ed-9333-506b8dbc8dfb</v>
      </c>
      <c r="C672" s="5" t="str">
        <f>IFNA(VLOOKUP(E672,'Location Table'!A:C,2,false),"")</f>
        <v/>
      </c>
      <c r="D672" s="6" t="s">
        <v>540</v>
      </c>
      <c r="E672" s="6"/>
      <c r="F672" s="6" t="s">
        <v>130</v>
      </c>
      <c r="G672" s="7" t="str">
        <f>IFNA(VLOOKUP(F672,Driver!A:D,4,false),"")</f>
        <v>2160130926882687325:VSRHFZoYrhhtnecmAaOfmgvaKlfxBZEgxFxSbLPTAhfVwurTuJfQgOTrwyseeqJQ</v>
      </c>
      <c r="H672" s="8" t="str">
        <f>IFNA(VLOOKUP(F672,Driver!A:C,3,false),"")</f>
        <v>77085b30147bfd25a46a</v>
      </c>
      <c r="I672" s="9">
        <v>0.2916666666666667</v>
      </c>
      <c r="J672" s="9">
        <v>0.8541666666666666</v>
      </c>
      <c r="K672" s="9"/>
    </row>
    <row r="673" hidden="1">
      <c r="A673" s="5" t="str">
        <f>IFNA(VLOOKUP(D673,'Location Table'!A:C,2,false),"")</f>
        <v>40f9f9c2-ed0b-11f0-ac9d-506b8d982279</v>
      </c>
      <c r="B673" s="5" t="str">
        <f>IFNA(VLOOKUP(F673,Driver!A:C,2,false),"")</f>
        <v>51b847ba-37cd-11ed-a5f6-506b8dbc8dfb</v>
      </c>
      <c r="C673" s="5" t="str">
        <f>IFNA(VLOOKUP(E673,'Location Table'!A:C,2,false),"")</f>
        <v/>
      </c>
      <c r="D673" s="6" t="s">
        <v>541</v>
      </c>
      <c r="E673" s="6"/>
      <c r="F673" s="6" t="s">
        <v>94</v>
      </c>
      <c r="G673" s="7" t="str">
        <f>IFNA(VLOOKUP(F673,Driver!A:D,4,false),"")</f>
        <v>1980698793628880414:XXMGIAegigeHesHcPUQpIcnMCwhigvPUATFrPyRHiqIZqTwmvWiXbUzfDhivxPcl</v>
      </c>
      <c r="H673" s="8" t="str">
        <f>IFNA(VLOOKUP(F673,Driver!A:C,3,false),"")</f>
        <v>3d1fec9027dcce8297cd</v>
      </c>
      <c r="I673" s="9">
        <v>0.2916666666666667</v>
      </c>
      <c r="J673" s="9">
        <v>0.6666666666666666</v>
      </c>
      <c r="K673" s="9"/>
    </row>
    <row r="674" hidden="1">
      <c r="A674" s="5" t="str">
        <f>IFNA(VLOOKUP(D674,'Location Table'!A:C,2,false),"")</f>
        <v>2289cb38-f734-11f0-9378-fa163ee8d8ac</v>
      </c>
      <c r="B674" s="5" t="str">
        <f>IFNA(VLOOKUP(F674,Driver!A:C,2,false),"")</f>
        <v>51b847ba-37cd-11ed-a5f6-506b8dbc8dfb</v>
      </c>
      <c r="C674" s="5" t="str">
        <f>IFNA(VLOOKUP(E674,'Location Table'!A:C,2,false),"")</f>
        <v/>
      </c>
      <c r="D674" s="6" t="s">
        <v>542</v>
      </c>
      <c r="E674" s="6"/>
      <c r="F674" s="6" t="s">
        <v>94</v>
      </c>
      <c r="G674" s="7" t="str">
        <f>IFNA(VLOOKUP(F674,Driver!A:D,4,false),"")</f>
        <v>1980698793628880414:XXMGIAegigeHesHcPUQpIcnMCwhigvPUATFrPyRHiqIZqTwmvWiXbUzfDhivxPcl</v>
      </c>
      <c r="H674" s="8" t="str">
        <f>IFNA(VLOOKUP(F674,Driver!A:C,3,false),"")</f>
        <v>3d1fec9027dcce8297cd</v>
      </c>
      <c r="I674" s="9">
        <v>0.2916666666666667</v>
      </c>
      <c r="J674" s="9">
        <v>0.6666666666666666</v>
      </c>
      <c r="K674" s="9"/>
    </row>
    <row r="675" hidden="1">
      <c r="A675" s="5" t="str">
        <f>IFNA(VLOOKUP(D675,'Location Table'!A:C,2,false),"")</f>
        <v>872a9ea6-4471-11ed-ba9b-506b8dbc8dfb</v>
      </c>
      <c r="B675" s="5" t="str">
        <f>IFNA(VLOOKUP(F675,Driver!A:C,2,false),"")</f>
        <v>51b847ba-37cd-11ed-a5f6-506b8dbc8dfb</v>
      </c>
      <c r="C675" s="5" t="str">
        <f>IFNA(VLOOKUP(E675,'Location Table'!A:C,2,false),"")</f>
        <v/>
      </c>
      <c r="D675" s="6" t="s">
        <v>543</v>
      </c>
      <c r="E675" s="6"/>
      <c r="F675" s="6" t="s">
        <v>94</v>
      </c>
      <c r="G675" s="7" t="str">
        <f>IFNA(VLOOKUP(F675,Driver!A:D,4,false),"")</f>
        <v>1980698793628880414:XXMGIAegigeHesHcPUQpIcnMCwhigvPUATFrPyRHiqIZqTwmvWiXbUzfDhivxPcl</v>
      </c>
      <c r="H675" s="8" t="str">
        <f>IFNA(VLOOKUP(F675,Driver!A:C,3,false),"")</f>
        <v>3d1fec9027dcce8297cd</v>
      </c>
      <c r="I675" s="9">
        <v>0.2916666666666667</v>
      </c>
      <c r="J675" s="9">
        <v>0.6666666666666666</v>
      </c>
      <c r="K675" s="9"/>
    </row>
    <row r="676" hidden="1">
      <c r="A676" s="5" t="str">
        <f>IFNA(VLOOKUP(D676,'Location Table'!A:C,2,false),"")</f>
        <v>ed754e2e-a0a8-11ee-8d61-506b8d9879b5</v>
      </c>
      <c r="B676" s="5" t="str">
        <f>IFNA(VLOOKUP(F676,Driver!A:C,2,false),"")</f>
        <v>51b847ba-37cd-11ed-a5f6-506b8dbc8dfb</v>
      </c>
      <c r="C676" s="5" t="str">
        <f>IFNA(VLOOKUP(E676,'Location Table'!A:C,2,false),"")</f>
        <v/>
      </c>
      <c r="D676" s="6" t="s">
        <v>544</v>
      </c>
      <c r="E676" s="6"/>
      <c r="F676" s="6" t="s">
        <v>94</v>
      </c>
      <c r="G676" s="7" t="str">
        <f>IFNA(VLOOKUP(F676,Driver!A:D,4,false),"")</f>
        <v>1980698793628880414:XXMGIAegigeHesHcPUQpIcnMCwhigvPUATFrPyRHiqIZqTwmvWiXbUzfDhivxPcl</v>
      </c>
      <c r="H676" s="8" t="str">
        <f>IFNA(VLOOKUP(F676,Driver!A:C,3,false),"")</f>
        <v>3d1fec9027dcce8297cd</v>
      </c>
      <c r="I676" s="9">
        <v>0.2916666666666667</v>
      </c>
      <c r="J676" s="9">
        <v>0.6666666666666666</v>
      </c>
      <c r="K676" s="9"/>
    </row>
    <row r="677" hidden="1">
      <c r="A677" s="5" t="str">
        <f>IFNA(VLOOKUP(D677,'Location Table'!A:C,2,false),"")</f>
        <v>693fa07a-fa8b-11f0-9378-fa163ee8d8ac</v>
      </c>
      <c r="B677" s="5" t="str">
        <f>IFNA(VLOOKUP(F677,Driver!A:C,2,false),"")</f>
        <v>51b847ba-37cd-11ed-a5f6-506b8dbc8dfb</v>
      </c>
      <c r="C677" s="5" t="str">
        <f>IFNA(VLOOKUP(E677,'Location Table'!A:C,2,false),"")</f>
        <v/>
      </c>
      <c r="D677" s="6" t="s">
        <v>545</v>
      </c>
      <c r="E677" s="6"/>
      <c r="F677" s="6" t="s">
        <v>94</v>
      </c>
      <c r="G677" s="7" t="str">
        <f>IFNA(VLOOKUP(F677,Driver!A:D,4,false),"")</f>
        <v>1980698793628880414:XXMGIAegigeHesHcPUQpIcnMCwhigvPUATFrPyRHiqIZqTwmvWiXbUzfDhivxPcl</v>
      </c>
      <c r="H677" s="8" t="str">
        <f>IFNA(VLOOKUP(F677,Driver!A:C,3,false),"")</f>
        <v>3d1fec9027dcce8297cd</v>
      </c>
      <c r="I677" s="9">
        <v>0.2916666666666667</v>
      </c>
      <c r="J677" s="9">
        <v>0.6666666666666666</v>
      </c>
      <c r="K677" s="9"/>
    </row>
    <row r="678" hidden="1">
      <c r="A678" s="5" t="str">
        <f>IFNA(VLOOKUP(D678,'Location Table'!A:C,2,false),"")</f>
        <v>afed19e2-771c-11ef-8b57-506b8d9879b5</v>
      </c>
      <c r="B678" s="5" t="str">
        <f>IFNA(VLOOKUP(F678,Driver!A:C,2,false),"")</f>
        <v>061bd7aa-35a6-11ed-9426-506b8dbc8dfb</v>
      </c>
      <c r="C678" s="5" t="str">
        <f>IFNA(VLOOKUP(E678,'Location Table'!A:C,2,false),"")</f>
        <v/>
      </c>
      <c r="D678" s="6" t="s">
        <v>546</v>
      </c>
      <c r="E678" s="6"/>
      <c r="F678" s="6" t="s">
        <v>346</v>
      </c>
      <c r="G678" s="7" t="str">
        <f>IFNA(VLOOKUP(F678,Driver!A:D,4,false),"")</f>
        <v>2160130926882687325:VSRHFZoYrhhtnecmAaOfmgvaKlfxBZEgxFxSbLPTAhfVwurTuJfQgOTrwyseeqJQ</v>
      </c>
      <c r="H678" s="8" t="str">
        <f>IFNA(VLOOKUP(F678,Driver!A:C,3,false),"")</f>
        <v>a6d70e0cd7463e186757</v>
      </c>
      <c r="I678" s="9">
        <v>0.2916666666666667</v>
      </c>
      <c r="J678" s="9">
        <v>0.6666666666666666</v>
      </c>
      <c r="K678" s="9"/>
    </row>
    <row r="679" hidden="1">
      <c r="A679" s="5" t="str">
        <f>IFNA(VLOOKUP(D679,'Location Table'!A:C,2,false),"")</f>
        <v>1f390568-aad6-11ee-97ff-506b8d9879b5</v>
      </c>
      <c r="B679" s="5" t="str">
        <f>IFNA(VLOOKUP(F679,Driver!A:C,2,false),"")</f>
        <v>f5993946-37cf-11ed-a3fc-506b8dbc8dfb</v>
      </c>
      <c r="C679" s="5" t="str">
        <f>IFNA(VLOOKUP(E679,'Location Table'!A:C,2,false),"")</f>
        <v/>
      </c>
      <c r="D679" s="6" t="s">
        <v>547</v>
      </c>
      <c r="E679" s="6"/>
      <c r="F679" s="6" t="s">
        <v>314</v>
      </c>
      <c r="G679" s="7" t="str">
        <f>IFNA(VLOOKUP(F679,Driver!A:D,4,false),"")</f>
        <v/>
      </c>
      <c r="H679" s="8" t="str">
        <f>IFNA(VLOOKUP(F679,Driver!A:C,3,false),"")</f>
        <v/>
      </c>
      <c r="I679" s="9">
        <v>0.2916666666666667</v>
      </c>
      <c r="J679" s="9">
        <v>0.6666666666666666</v>
      </c>
      <c r="K679" s="9"/>
    </row>
    <row r="680" hidden="1">
      <c r="A680" s="5" t="str">
        <f>IFNA(VLOOKUP(D680,'Location Table'!A:C,2,false),"")</f>
        <v>49941436-593e-11ee-9e3a-506b8d9879b5</v>
      </c>
      <c r="B680" s="5" t="str">
        <f>IFNA(VLOOKUP(F680,Driver!A:C,2,false),"")</f>
        <v>f5993946-37cf-11ed-a3fc-506b8dbc8dfb</v>
      </c>
      <c r="C680" s="5" t="str">
        <f>IFNA(VLOOKUP(E680,'Location Table'!A:C,2,false),"")</f>
        <v/>
      </c>
      <c r="D680" s="6" t="s">
        <v>548</v>
      </c>
      <c r="E680" s="6"/>
      <c r="F680" s="6" t="s">
        <v>314</v>
      </c>
      <c r="G680" s="7" t="str">
        <f>IFNA(VLOOKUP(F680,Driver!A:D,4,false),"")</f>
        <v/>
      </c>
      <c r="H680" s="8" t="str">
        <f>IFNA(VLOOKUP(F680,Driver!A:C,3,false),"")</f>
        <v/>
      </c>
      <c r="I680" s="9">
        <v>0.2916666666666667</v>
      </c>
      <c r="J680" s="9">
        <v>0.6666666666666666</v>
      </c>
      <c r="K680" s="9"/>
    </row>
    <row r="681" hidden="1">
      <c r="A681" s="5" t="str">
        <f>IFNA(VLOOKUP(D681,'Location Table'!A:C,2,false),"")</f>
        <v>243a81ea-4f44-11f0-88b2-506b8d982279</v>
      </c>
      <c r="B681" s="5" t="str">
        <f>IFNA(VLOOKUP(F681,Driver!A:C,2,false),"")</f>
        <v>b74e3178-7caf-11f0-a9c3-506b8d982279</v>
      </c>
      <c r="C681" s="5" t="str">
        <f>IFNA(VLOOKUP(E681,'Location Table'!A:C,2,false),"")</f>
        <v/>
      </c>
      <c r="D681" s="6" t="s">
        <v>549</v>
      </c>
      <c r="E681" s="6"/>
      <c r="F681" s="6" t="s">
        <v>326</v>
      </c>
      <c r="G681" s="7" t="str">
        <f>IFNA(VLOOKUP(F681,Driver!A:D,4,false),"")</f>
        <v>2160130926882687325:VSRHFZoYrhhtnecmAaOfmgvaKlfxBZEgxFxSbLPTAhfVwurTuJfQgOTrwyseeqJQ</v>
      </c>
      <c r="H681" s="8" t="str">
        <f>IFNA(VLOOKUP(F681,Driver!A:C,3,false),"")</f>
        <v>473ef1d8329bdbc5828a</v>
      </c>
      <c r="I681" s="9">
        <v>0.2916666666666667</v>
      </c>
      <c r="J681" s="9">
        <v>0.6666666666666666</v>
      </c>
      <c r="K681" s="9"/>
    </row>
    <row r="682" hidden="1">
      <c r="A682" s="5" t="str">
        <f>IFNA(VLOOKUP(D682,'Location Table'!A:C,2,false),"")</f>
        <v>ef3fc3ce-6b23-11ef-baed-506b8d9879b5</v>
      </c>
      <c r="B682" s="5" t="str">
        <f>IFNA(VLOOKUP(F682,Driver!A:C,2,false),"")</f>
        <v>b74e3178-7caf-11f0-a9c3-506b8d982279</v>
      </c>
      <c r="C682" s="5" t="str">
        <f>IFNA(VLOOKUP(E682,'Location Table'!A:C,2,false),"")</f>
        <v/>
      </c>
      <c r="D682" s="6" t="s">
        <v>550</v>
      </c>
      <c r="E682" s="6"/>
      <c r="F682" s="6" t="s">
        <v>326</v>
      </c>
      <c r="G682" s="7" t="str">
        <f>IFNA(VLOOKUP(F682,Driver!A:D,4,false),"")</f>
        <v>2160130926882687325:VSRHFZoYrhhtnecmAaOfmgvaKlfxBZEgxFxSbLPTAhfVwurTuJfQgOTrwyseeqJQ</v>
      </c>
      <c r="H682" s="8" t="str">
        <f>IFNA(VLOOKUP(F682,Driver!A:C,3,false),"")</f>
        <v>473ef1d8329bdbc5828a</v>
      </c>
      <c r="I682" s="9">
        <v>0.2916666666666667</v>
      </c>
      <c r="J682" s="9">
        <v>0.6666666666666666</v>
      </c>
      <c r="K682" s="9"/>
    </row>
    <row r="683" hidden="1">
      <c r="A683" s="5" t="str">
        <f>IFNA(VLOOKUP(D683,'Location Table'!A:C,2,false),"")</f>
        <v>83bf589c-1559-11ee-b4c1-506b8dbc8dfb</v>
      </c>
      <c r="B683" s="5" t="str">
        <f>IFNA(VLOOKUP(F683,Driver!A:C,2,false),"")</f>
        <v>8909168a-37c4-11ed-9647-506b8dbc8dfb</v>
      </c>
      <c r="C683" s="5" t="str">
        <f>IFNA(VLOOKUP(E683,'Location Table'!A:C,2,false),"")</f>
        <v/>
      </c>
      <c r="D683" s="6" t="s">
        <v>551</v>
      </c>
      <c r="E683" s="6"/>
      <c r="F683" s="6" t="s">
        <v>552</v>
      </c>
      <c r="G683" s="7" t="str">
        <f>IFNA(VLOOKUP(F683,Driver!A:D,4,false),"")</f>
        <v>1980698793628880414:XXMGIAegigeHesHcPUQpIcnMCwhigvPUATFrPyRHiqIZqTwmvWiXbUzfDhivxPcl</v>
      </c>
      <c r="H683" s="8" t="str">
        <f>IFNA(VLOOKUP(F683,Driver!A:C,3,false),"")</f>
        <v>6f0424c9ec8505db5c94</v>
      </c>
      <c r="I683" s="9">
        <v>0.2916666666666667</v>
      </c>
      <c r="J683" s="9">
        <v>0.75</v>
      </c>
      <c r="K683" s="9"/>
    </row>
    <row r="684" hidden="1">
      <c r="A684" s="5" t="str">
        <f>IFNA(VLOOKUP(D684,'Location Table'!A:C,2,false),"")</f>
        <v>4936ea3c-452f-11ed-84fc-506b8dbc8dfb</v>
      </c>
      <c r="B684" s="5" t="str">
        <f>IFNA(VLOOKUP(F684,Driver!A:C,2,false),"")</f>
        <v>ee94ca62-729f-11f0-8cd5-506b8d982279</v>
      </c>
      <c r="C684" s="5" t="str">
        <f>IFNA(VLOOKUP(E684,'Location Table'!A:C,2,false),"")</f>
        <v/>
      </c>
      <c r="D684" s="6" t="s">
        <v>553</v>
      </c>
      <c r="E684" s="6"/>
      <c r="F684" s="6" t="s">
        <v>104</v>
      </c>
      <c r="G684" s="7" t="str">
        <f>IFNA(VLOOKUP(F684,Driver!A:D,4,false),"")</f>
        <v>1980698793628880414:XXMGIAegigeHesHcPUQpIcnMCwhigvPUATFrPyRHiqIZqTwmvWiXbUzfDhivxPcl</v>
      </c>
      <c r="H684" s="8" t="str">
        <f>IFNA(VLOOKUP(F684,Driver!A:C,3,false),"")</f>
        <v>f4d2e910814c6812315d</v>
      </c>
      <c r="I684" s="9">
        <v>0.2916666666666667</v>
      </c>
      <c r="J684" s="9">
        <v>0.75</v>
      </c>
      <c r="K684" s="9"/>
    </row>
    <row r="685" hidden="1">
      <c r="A685" s="5" t="str">
        <f>IFNA(VLOOKUP(D685,'Location Table'!A:C,2,false),"")</f>
        <v>c9ec5262-10a8-11ee-a642-506b8dbc8dfb</v>
      </c>
      <c r="B685" s="5" t="str">
        <f>IFNA(VLOOKUP(F685,Driver!A:C,2,false),"")</f>
        <v>717fa61c-3654-11ed-b103-506b8dbc8dfb</v>
      </c>
      <c r="C685" s="5" t="str">
        <f>IFNA(VLOOKUP(E685,'Location Table'!A:C,2,false),"")</f>
        <v/>
      </c>
      <c r="D685" s="6" t="s">
        <v>554</v>
      </c>
      <c r="E685" s="6"/>
      <c r="F685" s="6" t="s">
        <v>361</v>
      </c>
      <c r="G685" s="7" t="str">
        <f>IFNA(VLOOKUP(F685,Driver!A:D,4,false),"")</f>
        <v>1980698793628880414:XXMGIAegigeHesHcPUQpIcnMCwhigvPUATFrPyRHiqIZqTwmvWiXbUzfDhivxPcl</v>
      </c>
      <c r="H685" s="8" t="str">
        <f>IFNA(VLOOKUP(F685,Driver!A:C,3,false),"")</f>
        <v>fbc73b7bb6385f660629</v>
      </c>
      <c r="I685" s="9">
        <v>0.23958333333333334</v>
      </c>
      <c r="J685" s="9">
        <v>0.6041666666666666</v>
      </c>
      <c r="K685" s="5" t="s">
        <v>362</v>
      </c>
    </row>
    <row r="686" hidden="1">
      <c r="A686" s="5" t="str">
        <f>IFNA(VLOOKUP(D686,'Location Table'!A:C,2,false),"")</f>
        <v>11b1ecfc-4538-11ed-ad57-506b8dbc8dfb</v>
      </c>
      <c r="B686" s="5" t="str">
        <f>IFNA(VLOOKUP(F686,Driver!A:C,2,false),"")</f>
        <v>ee94ca62-729f-11f0-8cd5-506b8d982279</v>
      </c>
      <c r="C686" s="5" t="str">
        <f>IFNA(VLOOKUP(E686,'Location Table'!A:C,2,false),"")</f>
        <v/>
      </c>
      <c r="D686" s="6" t="s">
        <v>555</v>
      </c>
      <c r="E686" s="6"/>
      <c r="F686" s="6" t="s">
        <v>104</v>
      </c>
      <c r="G686" s="7" t="str">
        <f>IFNA(VLOOKUP(F686,Driver!A:D,4,false),"")</f>
        <v>1980698793628880414:XXMGIAegigeHesHcPUQpIcnMCwhigvPUATFrPyRHiqIZqTwmvWiXbUzfDhivxPcl</v>
      </c>
      <c r="H686" s="8" t="str">
        <f>IFNA(VLOOKUP(F686,Driver!A:C,3,false),"")</f>
        <v>f4d2e910814c6812315d</v>
      </c>
      <c r="I686" s="9">
        <v>0.2916666666666667</v>
      </c>
      <c r="J686" s="9">
        <v>0.75</v>
      </c>
      <c r="K686" s="9"/>
    </row>
    <row r="687" hidden="1">
      <c r="A687" s="5" t="str">
        <f>IFNA(VLOOKUP(D687,'Location Table'!A:C,2,false),"")</f>
        <v>783885e0-dc62-11ee-ac1b-506b8d9879b5</v>
      </c>
      <c r="B687" s="5" t="str">
        <f>IFNA(VLOOKUP(F687,Driver!A:C,2,false),"")</f>
        <v>a2f538f8-37ce-11ed-a5cf-506b8dbc8dfb</v>
      </c>
      <c r="C687" s="5" t="str">
        <f>IFNA(VLOOKUP(E687,'Location Table'!A:C,2,false),"")</f>
        <v/>
      </c>
      <c r="D687" s="6" t="s">
        <v>556</v>
      </c>
      <c r="E687" s="6"/>
      <c r="F687" s="6" t="s">
        <v>338</v>
      </c>
      <c r="G687" s="7" t="str">
        <f>IFNA(VLOOKUP(F687,Driver!A:D,4,false),"")</f>
        <v>2160130926882687325:VSRHFZoYrhhtnecmAaOfmgvaKlfxBZEgxFxSbLPTAhfVwurTuJfQgOTrwyseeqJQ</v>
      </c>
      <c r="H687" s="8" t="str">
        <f>IFNA(VLOOKUP(F687,Driver!A:C,3,false),"")</f>
        <v>c0d10f02724a9b14c25b</v>
      </c>
      <c r="I687" s="9">
        <v>0.2916666666666667</v>
      </c>
      <c r="J687" s="9">
        <v>0.6666666666666666</v>
      </c>
      <c r="K687" s="9"/>
    </row>
    <row r="688" hidden="1">
      <c r="A688" s="5" t="str">
        <f>IFNA(VLOOKUP(D688,'Location Table'!A:C,2,false),"")</f>
        <v>50f77282-2c1f-11ee-8c5e-506b8d9879b5</v>
      </c>
      <c r="B688" s="5" t="str">
        <f>IFNA(VLOOKUP(F688,Driver!A:C,2,false),"")</f>
        <v>232be490-35a4-11ed-88b7-506b8dbc8dfb</v>
      </c>
      <c r="C688" s="5" t="str">
        <f>IFNA(VLOOKUP(E688,'Location Table'!A:C,2,false),"")</f>
        <v/>
      </c>
      <c r="D688" s="6" t="s">
        <v>557</v>
      </c>
      <c r="E688" s="6"/>
      <c r="F688" s="6" t="s">
        <v>110</v>
      </c>
      <c r="G688" s="7" t="str">
        <f>IFNA(VLOOKUP(F688,Driver!A:D,4,false),"")</f>
        <v>2160130926882687325:VSRHFZoYrhhtnecmAaOfmgvaKlfxBZEgxFxSbLPTAhfVwurTuJfQgOTrwyseeqJQ</v>
      </c>
      <c r="H688" s="8" t="str">
        <f>IFNA(VLOOKUP(F688,Driver!A:C,3,false),"")</f>
        <v>d9fc37dd4093a9cdf082</v>
      </c>
      <c r="I688" s="9">
        <v>0.2916666666666667</v>
      </c>
      <c r="J688" s="9">
        <v>0.6666666666666666</v>
      </c>
      <c r="K688" s="9"/>
    </row>
    <row r="689" hidden="1">
      <c r="A689" s="5" t="str">
        <f>IFNA(VLOOKUP(D689,'Location Table'!A:C,2,false),"")</f>
        <v>735c08ac-890b-11ef-b923-506b8d9879b5</v>
      </c>
      <c r="B689" s="5" t="str">
        <f>IFNA(VLOOKUP(F689,Driver!A:C,2,false),"")</f>
        <v>c34fdbc2-ea4c-11ed-a5e2-506b8dbc8dfb</v>
      </c>
      <c r="C689" s="5" t="str">
        <f>IFNA(VLOOKUP(E689,'Location Table'!A:C,2,false),"")</f>
        <v/>
      </c>
      <c r="D689" s="6" t="s">
        <v>558</v>
      </c>
      <c r="E689" s="6"/>
      <c r="F689" s="10" t="s">
        <v>335</v>
      </c>
      <c r="G689" s="7" t="str">
        <f>IFNA(VLOOKUP(F689,Driver!A:D,4,false),"")</f>
        <v>1980698793628880414:XXMGIAegigeHesHcPUQpIcnMCwhigvPUATFrPyRHiqIZqTwmvWiXbUzfDhivxPcl</v>
      </c>
      <c r="H689" s="8" t="str">
        <f>IFNA(VLOOKUP(F689,Driver!A:C,3,false),"")</f>
        <v>671c6e0f3741de1f8750</v>
      </c>
      <c r="I689" s="9">
        <v>0.2916666666666667</v>
      </c>
      <c r="J689" s="9">
        <v>0.6666666666666666</v>
      </c>
      <c r="K689" s="9"/>
    </row>
    <row r="690" hidden="1">
      <c r="A690" s="5" t="str">
        <f>IFNA(VLOOKUP(D690,'Location Table'!A:C,2,false),"")</f>
        <v>111e2f12-e523-11ee-bde5-506b8d9879b5</v>
      </c>
      <c r="B690" s="5" t="str">
        <f>IFNA(VLOOKUP(F690,Driver!A:C,2,false),"")</f>
        <v>d2c2d39e-11e4-11f1-9378-fa163ee8d8ac</v>
      </c>
      <c r="C690" s="5" t="str">
        <f>IFNA(VLOOKUP(E690,'Location Table'!A:C,2,false),"")</f>
        <v/>
      </c>
      <c r="D690" s="6" t="s">
        <v>559</v>
      </c>
      <c r="E690" s="6"/>
      <c r="F690" s="6" t="s">
        <v>88</v>
      </c>
      <c r="G690" s="7" t="str">
        <f>IFNA(VLOOKUP(F690,Driver!A:D,4,false),"")</f>
        <v>1980698793628880414:XXMGIAegigeHesHcPUQpIcnMCwhigvPUATFrPyRHiqIZqTwmvWiXbUzfDhivxPcl</v>
      </c>
      <c r="H690" s="8" t="str">
        <f>IFNA(VLOOKUP(F690,Driver!A:C,3,false),"")</f>
        <v>59a2bfce5a81b3dfea90</v>
      </c>
      <c r="I690" s="9">
        <v>0.2916666666666667</v>
      </c>
      <c r="J690" s="9">
        <v>0.6666666666666666</v>
      </c>
      <c r="K690" s="9"/>
    </row>
    <row r="691" hidden="1">
      <c r="A691" s="5" t="str">
        <f>IFNA(VLOOKUP(D691,'Location Table'!A:C,2,false),"")</f>
        <v>08821918-737a-11f0-aae5-506b8d982279</v>
      </c>
      <c r="B691" s="5" t="str">
        <f>IFNA(VLOOKUP(F691,Driver!A:C,2,false),"")</f>
        <v>d2c2d39e-11e4-11f1-9378-fa163ee8d8ac</v>
      </c>
      <c r="C691" s="5" t="str">
        <f>IFNA(VLOOKUP(E691,'Location Table'!A:C,2,false),"")</f>
        <v/>
      </c>
      <c r="D691" s="6" t="s">
        <v>560</v>
      </c>
      <c r="E691" s="6"/>
      <c r="F691" s="6" t="s">
        <v>88</v>
      </c>
      <c r="G691" s="7" t="str">
        <f>IFNA(VLOOKUP(F691,Driver!A:D,4,false),"")</f>
        <v>1980698793628880414:XXMGIAegigeHesHcPUQpIcnMCwhigvPUATFrPyRHiqIZqTwmvWiXbUzfDhivxPcl</v>
      </c>
      <c r="H691" s="8" t="str">
        <f>IFNA(VLOOKUP(F691,Driver!A:C,3,false),"")</f>
        <v>59a2bfce5a81b3dfea90</v>
      </c>
      <c r="I691" s="9">
        <v>0.2916666666666667</v>
      </c>
      <c r="J691" s="9">
        <v>0.6666666666666666</v>
      </c>
      <c r="K691" s="9"/>
    </row>
    <row r="692" hidden="1">
      <c r="A692" s="5" t="str">
        <f>IFNA(VLOOKUP(D692,'Location Table'!A:C,2,false),"")</f>
        <v>f19e239a-d53b-11ef-9dff-506b8d9879b5</v>
      </c>
      <c r="B692" s="5" t="str">
        <f>IFNA(VLOOKUP(F692,Driver!A:C,2,false),"")</f>
        <v>232be490-35a4-11ed-88b7-506b8dbc8dfb</v>
      </c>
      <c r="C692" s="5" t="str">
        <f>IFNA(VLOOKUP(E692,'Location Table'!A:C,2,false),"")</f>
        <v/>
      </c>
      <c r="D692" s="6" t="s">
        <v>561</v>
      </c>
      <c r="E692" s="6"/>
      <c r="F692" s="6" t="s">
        <v>110</v>
      </c>
      <c r="G692" s="7" t="str">
        <f>IFNA(VLOOKUP(F692,Driver!A:D,4,false),"")</f>
        <v>2160130926882687325:VSRHFZoYrhhtnecmAaOfmgvaKlfxBZEgxFxSbLPTAhfVwurTuJfQgOTrwyseeqJQ</v>
      </c>
      <c r="H692" s="8" t="str">
        <f>IFNA(VLOOKUP(F692,Driver!A:C,3,false),"")</f>
        <v>d9fc37dd4093a9cdf082</v>
      </c>
      <c r="I692" s="9">
        <v>0.2916666666666667</v>
      </c>
      <c r="J692" s="9">
        <v>0.6666666666666666</v>
      </c>
      <c r="K692" s="9"/>
    </row>
    <row r="693" hidden="1">
      <c r="A693" s="5" t="str">
        <f>IFNA(VLOOKUP(D693,'Location Table'!A:C,2,false),"")</f>
        <v>5af08076-381c-11ef-81c3-506b8d9879b5</v>
      </c>
      <c r="B693" s="5" t="str">
        <f>IFNA(VLOOKUP(F693,Driver!A:C,2,false),"")</f>
        <v>103090f4-37c8-11ed-9333-506b8dbc8dfb</v>
      </c>
      <c r="C693" s="5" t="str">
        <f>IFNA(VLOOKUP(E693,'Location Table'!A:C,2,false),"")</f>
        <v/>
      </c>
      <c r="D693" s="6" t="s">
        <v>562</v>
      </c>
      <c r="E693" s="6"/>
      <c r="F693" s="6" t="s">
        <v>130</v>
      </c>
      <c r="G693" s="7" t="str">
        <f>IFNA(VLOOKUP(F693,Driver!A:D,4,false),"")</f>
        <v>2160130926882687325:VSRHFZoYrhhtnecmAaOfmgvaKlfxBZEgxFxSbLPTAhfVwurTuJfQgOTrwyseeqJQ</v>
      </c>
      <c r="H693" s="8" t="str">
        <f>IFNA(VLOOKUP(F693,Driver!A:C,3,false),"")</f>
        <v>77085b30147bfd25a46a</v>
      </c>
      <c r="I693" s="9">
        <v>0.2916666666666667</v>
      </c>
      <c r="J693" s="9">
        <v>0.8541666666666666</v>
      </c>
      <c r="K693" s="9"/>
    </row>
    <row r="694" hidden="1">
      <c r="A694" s="5" t="str">
        <f>IFNA(VLOOKUP(D694,'Location Table'!A:C,2,false),"")</f>
        <v>a0aecc9e-0a5a-11ee-89e4-506b8dbc8dfb</v>
      </c>
      <c r="B694" s="5" t="str">
        <f>IFNA(VLOOKUP(F694,Driver!A:C,2,false),"")</f>
        <v>103090f4-37c8-11ed-9333-506b8dbc8dfb</v>
      </c>
      <c r="C694" s="5" t="str">
        <f>IFNA(VLOOKUP(E694,'Location Table'!A:C,2,false),"")</f>
        <v/>
      </c>
      <c r="D694" s="6" t="s">
        <v>563</v>
      </c>
      <c r="E694" s="6"/>
      <c r="F694" s="6" t="s">
        <v>130</v>
      </c>
      <c r="G694" s="7" t="str">
        <f>IFNA(VLOOKUP(F694,Driver!A:D,4,false),"")</f>
        <v>2160130926882687325:VSRHFZoYrhhtnecmAaOfmgvaKlfxBZEgxFxSbLPTAhfVwurTuJfQgOTrwyseeqJQ</v>
      </c>
      <c r="H694" s="8" t="str">
        <f>IFNA(VLOOKUP(F694,Driver!A:C,3,false),"")</f>
        <v>77085b30147bfd25a46a</v>
      </c>
      <c r="I694" s="9">
        <v>0.2916666666666667</v>
      </c>
      <c r="J694" s="9">
        <v>0.8541666666666666</v>
      </c>
      <c r="K694" s="9"/>
    </row>
    <row r="695" hidden="1">
      <c r="A695" s="5" t="str">
        <f>IFNA(VLOOKUP(D695,'Location Table'!A:C,2,false),"")</f>
        <v>318a136a-da36-11f0-ac97-506b8d982279</v>
      </c>
      <c r="B695" s="5" t="str">
        <f>IFNA(VLOOKUP(F695,Driver!A:C,2,false),"")</f>
        <v>103090f4-37c8-11ed-9333-506b8dbc8dfb</v>
      </c>
      <c r="C695" s="5" t="str">
        <f>IFNA(VLOOKUP(E695,'Location Table'!A:C,2,false),"")</f>
        <v/>
      </c>
      <c r="D695" s="6" t="s">
        <v>564</v>
      </c>
      <c r="E695" s="6"/>
      <c r="F695" s="6" t="s">
        <v>130</v>
      </c>
      <c r="G695" s="7" t="str">
        <f>IFNA(VLOOKUP(F695,Driver!A:D,4,false),"")</f>
        <v>2160130926882687325:VSRHFZoYrhhtnecmAaOfmgvaKlfxBZEgxFxSbLPTAhfVwurTuJfQgOTrwyseeqJQ</v>
      </c>
      <c r="H695" s="8" t="str">
        <f>IFNA(VLOOKUP(F695,Driver!A:C,3,false),"")</f>
        <v>77085b30147bfd25a46a</v>
      </c>
      <c r="I695" s="9">
        <v>0.2916666666666667</v>
      </c>
      <c r="J695" s="9">
        <v>0.8541666666666666</v>
      </c>
      <c r="K695" s="9"/>
    </row>
    <row r="696" hidden="1">
      <c r="A696" s="5" t="str">
        <f>IFNA(VLOOKUP(D696,'Location Table'!A:C,2,false),"")</f>
        <v>74eac478-6a6d-11ee-a53f-506b8d9879b5</v>
      </c>
      <c r="B696" s="5" t="str">
        <f>IFNA(VLOOKUP(F696,Driver!A:C,2,false),"")</f>
        <v>51b847ba-37cd-11ed-a5f6-506b8dbc8dfb</v>
      </c>
      <c r="C696" s="5" t="str">
        <f>IFNA(VLOOKUP(E696,'Location Table'!A:C,2,false),"")</f>
        <v/>
      </c>
      <c r="D696" s="6" t="s">
        <v>565</v>
      </c>
      <c r="E696" s="6"/>
      <c r="F696" s="6" t="s">
        <v>94</v>
      </c>
      <c r="G696" s="7" t="str">
        <f>IFNA(VLOOKUP(F696,Driver!A:D,4,false),"")</f>
        <v>1980698793628880414:XXMGIAegigeHesHcPUQpIcnMCwhigvPUATFrPyRHiqIZqTwmvWiXbUzfDhivxPcl</v>
      </c>
      <c r="H696" s="8" t="str">
        <f>IFNA(VLOOKUP(F696,Driver!A:C,3,false),"")</f>
        <v>3d1fec9027dcce8297cd</v>
      </c>
      <c r="I696" s="9">
        <v>0.2916666666666667</v>
      </c>
      <c r="J696" s="9">
        <v>0.6666666666666666</v>
      </c>
      <c r="K696" s="9"/>
    </row>
    <row r="697" hidden="1">
      <c r="A697" s="5" t="str">
        <f>IFNA(VLOOKUP(D697,'Location Table'!A:C,2,false),"")</f>
        <v>ea114924-37e7-11ee-b57b-506b8d9879b5</v>
      </c>
      <c r="B697" s="5" t="str">
        <f>IFNA(VLOOKUP(F697,Driver!A:C,2,false),"")</f>
        <v>51b847ba-37cd-11ed-a5f6-506b8dbc8dfb</v>
      </c>
      <c r="C697" s="5" t="str">
        <f>IFNA(VLOOKUP(E697,'Location Table'!A:C,2,false),"")</f>
        <v/>
      </c>
      <c r="D697" s="6" t="s">
        <v>566</v>
      </c>
      <c r="E697" s="6"/>
      <c r="F697" s="6" t="s">
        <v>94</v>
      </c>
      <c r="G697" s="7" t="str">
        <f>IFNA(VLOOKUP(F697,Driver!A:D,4,false),"")</f>
        <v>1980698793628880414:XXMGIAegigeHesHcPUQpIcnMCwhigvPUATFrPyRHiqIZqTwmvWiXbUzfDhivxPcl</v>
      </c>
      <c r="H697" s="8" t="str">
        <f>IFNA(VLOOKUP(F697,Driver!A:C,3,false),"")</f>
        <v>3d1fec9027dcce8297cd</v>
      </c>
      <c r="I697" s="9">
        <v>0.2916666666666667</v>
      </c>
      <c r="J697" s="9">
        <v>0.6666666666666666</v>
      </c>
      <c r="K697" s="9"/>
    </row>
    <row r="698" hidden="1">
      <c r="A698" s="5" t="str">
        <f>IFNA(VLOOKUP(D698,'Location Table'!A:C,2,false),"")</f>
        <v>ba79d6a2-d550-11ee-858c-506b8d9879b5</v>
      </c>
      <c r="B698" s="5" t="str">
        <f>IFNA(VLOOKUP(F698,Driver!A:C,2,false),"")</f>
        <v>51b847ba-37cd-11ed-a5f6-506b8dbc8dfb</v>
      </c>
      <c r="C698" s="5" t="str">
        <f>IFNA(VLOOKUP(E698,'Location Table'!A:C,2,false),"")</f>
        <v/>
      </c>
      <c r="D698" s="6" t="s">
        <v>567</v>
      </c>
      <c r="E698" s="6"/>
      <c r="F698" s="6" t="s">
        <v>94</v>
      </c>
      <c r="G698" s="7" t="str">
        <f>IFNA(VLOOKUP(F698,Driver!A:D,4,false),"")</f>
        <v>1980698793628880414:XXMGIAegigeHesHcPUQpIcnMCwhigvPUATFrPyRHiqIZqTwmvWiXbUzfDhivxPcl</v>
      </c>
      <c r="H698" s="8" t="str">
        <f>IFNA(VLOOKUP(F698,Driver!A:C,3,false),"")</f>
        <v>3d1fec9027dcce8297cd</v>
      </c>
      <c r="I698" s="9">
        <v>0.2916666666666667</v>
      </c>
      <c r="J698" s="9">
        <v>0.6666666666666666</v>
      </c>
      <c r="K698" s="9"/>
    </row>
    <row r="699" hidden="1">
      <c r="A699" s="5" t="str">
        <f>IFNA(VLOOKUP(D699,'Location Table'!A:C,2,false),"")</f>
        <v>6449120a-7407-11f0-9e36-506b8d982279</v>
      </c>
      <c r="B699" s="5" t="str">
        <f>IFNA(VLOOKUP(F699,Driver!A:C,2,false),"")</f>
        <v>51b847ba-37cd-11ed-a5f6-506b8dbc8dfb</v>
      </c>
      <c r="C699" s="5" t="str">
        <f>IFNA(VLOOKUP(E699,'Location Table'!A:C,2,false),"")</f>
        <v/>
      </c>
      <c r="D699" s="6" t="s">
        <v>568</v>
      </c>
      <c r="E699" s="6"/>
      <c r="F699" s="6" t="s">
        <v>94</v>
      </c>
      <c r="G699" s="7" t="str">
        <f>IFNA(VLOOKUP(F699,Driver!A:D,4,false),"")</f>
        <v>1980698793628880414:XXMGIAegigeHesHcPUQpIcnMCwhigvPUATFrPyRHiqIZqTwmvWiXbUzfDhivxPcl</v>
      </c>
      <c r="H699" s="8" t="str">
        <f>IFNA(VLOOKUP(F699,Driver!A:C,3,false),"")</f>
        <v>3d1fec9027dcce8297cd</v>
      </c>
      <c r="I699" s="9">
        <v>0.2916666666666667</v>
      </c>
      <c r="J699" s="9">
        <v>0.6666666666666666</v>
      </c>
      <c r="K699" s="9"/>
    </row>
    <row r="700" hidden="1">
      <c r="A700" s="5" t="str">
        <f>IFNA(VLOOKUP(D700,'Location Table'!A:C,2,false),"")</f>
        <v>b2a4e78c-a1c3-11f0-932c-506b8d982279</v>
      </c>
      <c r="B700" s="5" t="str">
        <f>IFNA(VLOOKUP(F700,Driver!A:C,2,false),"")</f>
        <v>51b847ba-37cd-11ed-a5f6-506b8dbc8dfb</v>
      </c>
      <c r="C700" s="5" t="str">
        <f>IFNA(VLOOKUP(E700,'Location Table'!A:C,2,false),"")</f>
        <v/>
      </c>
      <c r="D700" s="6" t="s">
        <v>569</v>
      </c>
      <c r="E700" s="6"/>
      <c r="F700" s="6" t="s">
        <v>94</v>
      </c>
      <c r="G700" s="7" t="str">
        <f>IFNA(VLOOKUP(F700,Driver!A:D,4,false),"")</f>
        <v>1980698793628880414:XXMGIAegigeHesHcPUQpIcnMCwhigvPUATFrPyRHiqIZqTwmvWiXbUzfDhivxPcl</v>
      </c>
      <c r="H700" s="8" t="str">
        <f>IFNA(VLOOKUP(F700,Driver!A:C,3,false),"")</f>
        <v>3d1fec9027dcce8297cd</v>
      </c>
      <c r="I700" s="9">
        <v>0.2916666666666667</v>
      </c>
      <c r="J700" s="9">
        <v>0.6666666666666666</v>
      </c>
      <c r="K700" s="9"/>
    </row>
    <row r="701" hidden="1">
      <c r="A701" s="5" t="str">
        <f>IFNA(VLOOKUP(D701,'Location Table'!A:C,2,false),"")</f>
        <v>d0ff53de-c8ac-11ef-ae8e-506b8d9879b5</v>
      </c>
      <c r="B701" s="5" t="str">
        <f>IFNA(VLOOKUP(F701,Driver!A:C,2,false),"")</f>
        <v>51b847ba-37cd-11ed-a5f6-506b8dbc8dfb</v>
      </c>
      <c r="C701" s="5" t="str">
        <f>IFNA(VLOOKUP(E701,'Location Table'!A:C,2,false),"")</f>
        <v/>
      </c>
      <c r="D701" s="6" t="s">
        <v>570</v>
      </c>
      <c r="E701" s="6"/>
      <c r="F701" s="6" t="s">
        <v>94</v>
      </c>
      <c r="G701" s="7" t="str">
        <f>IFNA(VLOOKUP(F701,Driver!A:D,4,false),"")</f>
        <v>1980698793628880414:XXMGIAegigeHesHcPUQpIcnMCwhigvPUATFrPyRHiqIZqTwmvWiXbUzfDhivxPcl</v>
      </c>
      <c r="H701" s="8" t="str">
        <f>IFNA(VLOOKUP(F701,Driver!A:C,3,false),"")</f>
        <v>3d1fec9027dcce8297cd</v>
      </c>
      <c r="I701" s="9">
        <v>0.2916666666666667</v>
      </c>
      <c r="J701" s="9">
        <v>0.6666666666666666</v>
      </c>
      <c r="K701" s="9"/>
    </row>
    <row r="702" hidden="1">
      <c r="A702" s="5" t="str">
        <f>IFNA(VLOOKUP(D702,'Location Table'!A:C,2,false),"")</f>
        <v>ffa6f530-165a-11ee-97c4-506b8dbc8dfb</v>
      </c>
      <c r="B702" s="5" t="str">
        <f>IFNA(VLOOKUP(F702,Driver!A:C,2,false),"")</f>
        <v>51b847ba-37cd-11ed-a5f6-506b8dbc8dfb</v>
      </c>
      <c r="C702" s="5" t="str">
        <f>IFNA(VLOOKUP(E702,'Location Table'!A:C,2,false),"")</f>
        <v/>
      </c>
      <c r="D702" s="6" t="s">
        <v>571</v>
      </c>
      <c r="E702" s="6"/>
      <c r="F702" s="6" t="s">
        <v>94</v>
      </c>
      <c r="G702" s="7" t="str">
        <f>IFNA(VLOOKUP(F702,Driver!A:D,4,false),"")</f>
        <v>1980698793628880414:XXMGIAegigeHesHcPUQpIcnMCwhigvPUATFrPyRHiqIZqTwmvWiXbUzfDhivxPcl</v>
      </c>
      <c r="H702" s="8" t="str">
        <f>IFNA(VLOOKUP(F702,Driver!A:C,3,false),"")</f>
        <v>3d1fec9027dcce8297cd</v>
      </c>
      <c r="I702" s="9">
        <v>0.2916666666666667</v>
      </c>
      <c r="J702" s="9">
        <v>0.6666666666666666</v>
      </c>
      <c r="K702" s="9"/>
    </row>
    <row r="703" hidden="1">
      <c r="A703" s="5" t="str">
        <f>IFNA(VLOOKUP(D703,'Location Table'!A:C,2,false),"")</f>
        <v>982ee11e-771c-11ef-bda9-506b8d9879b5</v>
      </c>
      <c r="B703" s="5" t="str">
        <f>IFNA(VLOOKUP(F703,Driver!A:C,2,false),"")</f>
        <v>061bd7aa-35a6-11ed-9426-506b8dbc8dfb</v>
      </c>
      <c r="C703" s="5" t="str">
        <f>IFNA(VLOOKUP(E703,'Location Table'!A:C,2,false),"")</f>
        <v/>
      </c>
      <c r="D703" s="6" t="s">
        <v>572</v>
      </c>
      <c r="E703" s="6"/>
      <c r="F703" s="6" t="s">
        <v>346</v>
      </c>
      <c r="G703" s="7" t="str">
        <f>IFNA(VLOOKUP(F703,Driver!A:D,4,false),"")</f>
        <v>2160130926882687325:VSRHFZoYrhhtnecmAaOfmgvaKlfxBZEgxFxSbLPTAhfVwurTuJfQgOTrwyseeqJQ</v>
      </c>
      <c r="H703" s="8" t="str">
        <f>IFNA(VLOOKUP(F703,Driver!A:C,3,false),"")</f>
        <v>a6d70e0cd7463e186757</v>
      </c>
      <c r="I703" s="9">
        <v>0.2916666666666667</v>
      </c>
      <c r="J703" s="9">
        <v>0.6666666666666666</v>
      </c>
      <c r="K703" s="9"/>
    </row>
    <row r="704" hidden="1">
      <c r="A704" s="5" t="str">
        <f>IFNA(VLOOKUP(D704,'Location Table'!A:C,2,false),"")</f>
        <v>f0b29d74-f1ca-11f0-9378-fa163ee8d8ac</v>
      </c>
      <c r="B704" s="5" t="str">
        <f>IFNA(VLOOKUP(F704,Driver!A:C,2,false),"")</f>
        <v>061bd7aa-35a6-11ed-9426-506b8dbc8dfb</v>
      </c>
      <c r="C704" s="5" t="str">
        <f>IFNA(VLOOKUP(E704,'Location Table'!A:C,2,false),"")</f>
        <v/>
      </c>
      <c r="D704" s="6" t="s">
        <v>573</v>
      </c>
      <c r="E704" s="6"/>
      <c r="F704" s="6" t="s">
        <v>346</v>
      </c>
      <c r="G704" s="7" t="str">
        <f>IFNA(VLOOKUP(F704,Driver!A:D,4,false),"")</f>
        <v>2160130926882687325:VSRHFZoYrhhtnecmAaOfmgvaKlfxBZEgxFxSbLPTAhfVwurTuJfQgOTrwyseeqJQ</v>
      </c>
      <c r="H704" s="8" t="str">
        <f>IFNA(VLOOKUP(F704,Driver!A:C,3,false),"")</f>
        <v>a6d70e0cd7463e186757</v>
      </c>
      <c r="I704" s="9">
        <v>0.2916666666666667</v>
      </c>
      <c r="J704" s="9">
        <v>0.6666666666666666</v>
      </c>
      <c r="K704" s="9"/>
    </row>
    <row r="705" hidden="1">
      <c r="A705" s="5" t="str">
        <f>IFNA(VLOOKUP(D705,'Location Table'!A:C,2,false),"")</f>
        <v>fe533c14-8358-11ee-a39c-506b8d9879b5</v>
      </c>
      <c r="B705" s="5" t="str">
        <f>IFNA(VLOOKUP(F705,Driver!A:C,2,false),"")</f>
        <v>660cb676-e32e-11ed-9e6c-506b8dbc8dfb</v>
      </c>
      <c r="C705" s="5" t="str">
        <f>IFNA(VLOOKUP(E705,'Location Table'!A:C,2,false),"")</f>
        <v/>
      </c>
      <c r="D705" s="11" t="s">
        <v>574</v>
      </c>
      <c r="E705" s="6"/>
      <c r="F705" s="6" t="s">
        <v>494</v>
      </c>
      <c r="G705" s="7" t="str">
        <f>IFNA(VLOOKUP(F705,Driver!A:D,4,false),"")</f>
        <v>2160130926882687325:VSRHFZoYrhhtnecmAaOfmgvaKlfxBZEgxFxSbLPTAhfVwurTuJfQgOTrwyseeqJQ</v>
      </c>
      <c r="H705" s="8" t="str">
        <f>IFNA(VLOOKUP(F705,Driver!A:C,3,false),"")</f>
        <v>656e49d39f9a76c42f8b</v>
      </c>
      <c r="I705" s="9">
        <v>0.2916666666666667</v>
      </c>
      <c r="J705" s="9">
        <v>0.75</v>
      </c>
      <c r="K705" s="9"/>
    </row>
    <row r="706" hidden="1">
      <c r="A706" s="5" t="str">
        <f>IFNA(VLOOKUP(D706,'Location Table'!A:C,2,false),"")</f>
        <v>f0773008-0f51-11ee-951b-506b8dbc8dfb</v>
      </c>
      <c r="B706" s="5" t="str">
        <f>IFNA(VLOOKUP(F706,Driver!A:C,2,false),"")</f>
        <v>e3970cec-503e-11f1-9378-fa163ee8d8ac</v>
      </c>
      <c r="C706" s="5" t="str">
        <f>IFNA(VLOOKUP(E706,'Location Table'!A:C,2,false),"")</f>
        <v/>
      </c>
      <c r="D706" s="6" t="s">
        <v>575</v>
      </c>
      <c r="E706" s="6"/>
      <c r="F706" s="10" t="s">
        <v>328</v>
      </c>
      <c r="G706" s="7" t="str">
        <f>IFNA(VLOOKUP(F706,Driver!A:D,4,false),"")</f>
        <v/>
      </c>
      <c r="H706" s="8" t="str">
        <f>IFNA(VLOOKUP(F706,Driver!A:C,3,false),"")</f>
        <v/>
      </c>
      <c r="I706" s="9">
        <v>0.2916666666666667</v>
      </c>
      <c r="J706" s="9">
        <v>0.5833333333333334</v>
      </c>
      <c r="K706" s="9"/>
    </row>
    <row r="707" hidden="1">
      <c r="A707" s="5" t="str">
        <f>IFNA(VLOOKUP(D707,'Location Table'!A:C,2,false),"")</f>
        <v>81999026-4170-11ee-abe4-506b8d9879b5</v>
      </c>
      <c r="B707" s="5" t="str">
        <f>IFNA(VLOOKUP(F707,Driver!A:C,2,false),"")</f>
        <v>a9bf91b4-00e4-11f1-9378-fa163ee8d8ac</v>
      </c>
      <c r="C707" s="5" t="str">
        <f>IFNA(VLOOKUP(E707,'Location Table'!A:C,2,false),"")</f>
        <v/>
      </c>
      <c r="D707" s="6" t="s">
        <v>576</v>
      </c>
      <c r="E707" s="6"/>
      <c r="F707" s="6" t="s">
        <v>142</v>
      </c>
      <c r="G707" s="7" t="str">
        <f>IFNA(VLOOKUP(F707,Driver!A:D,4,false),"")</f>
        <v/>
      </c>
      <c r="H707" s="8" t="str">
        <f>IFNA(VLOOKUP(F707,Driver!A:C,3,false),"")</f>
        <v/>
      </c>
      <c r="I707" s="9">
        <v>0.2916666666666667</v>
      </c>
      <c r="J707" s="9">
        <v>0.5</v>
      </c>
      <c r="K707" s="9"/>
    </row>
    <row r="708" hidden="1">
      <c r="A708" s="5" t="str">
        <f>IFNA(VLOOKUP(D708,'Location Table'!A:C,2,false),"")</f>
        <v>8e21ab30-e107-11ee-9e56-506b8d9879b5</v>
      </c>
      <c r="B708" s="5" t="str">
        <f>IFNA(VLOOKUP(F708,Driver!A:C,2,false),"")</f>
        <v>a9bf91b4-00e4-11f1-9378-fa163ee8d8ac</v>
      </c>
      <c r="C708" s="5" t="str">
        <f>IFNA(VLOOKUP(E708,'Location Table'!A:C,2,false),"")</f>
        <v/>
      </c>
      <c r="D708" s="6" t="s">
        <v>577</v>
      </c>
      <c r="E708" s="6"/>
      <c r="F708" s="6" t="s">
        <v>142</v>
      </c>
      <c r="G708" s="7" t="str">
        <f>IFNA(VLOOKUP(F708,Driver!A:D,4,false),"")</f>
        <v/>
      </c>
      <c r="H708" s="8" t="str">
        <f>IFNA(VLOOKUP(F708,Driver!A:C,3,false),"")</f>
        <v/>
      </c>
      <c r="I708" s="9">
        <v>0.2916666666666667</v>
      </c>
      <c r="J708" s="9">
        <v>0.5</v>
      </c>
      <c r="K708" s="9"/>
    </row>
    <row r="709" hidden="1">
      <c r="A709" s="5" t="str">
        <f>IFNA(VLOOKUP(D709,'Location Table'!A:C,2,false),"")</f>
        <v>8cee2ee0-7636-11ef-9feb-506b8d9879b5</v>
      </c>
      <c r="B709" s="5" t="str">
        <f>IFNA(VLOOKUP(F709,Driver!A:C,2,false),"")</f>
        <v>a9bf91b4-00e4-11f1-9378-fa163ee8d8ac</v>
      </c>
      <c r="C709" s="5" t="str">
        <f>IFNA(VLOOKUP(E709,'Location Table'!A:C,2,false),"")</f>
        <v/>
      </c>
      <c r="D709" s="6" t="s">
        <v>578</v>
      </c>
      <c r="E709" s="6"/>
      <c r="F709" s="6" t="s">
        <v>142</v>
      </c>
      <c r="G709" s="7" t="str">
        <f>IFNA(VLOOKUP(F709,Driver!A:D,4,false),"")</f>
        <v/>
      </c>
      <c r="H709" s="8" t="str">
        <f>IFNA(VLOOKUP(F709,Driver!A:C,3,false),"")</f>
        <v/>
      </c>
      <c r="I709" s="9">
        <v>0.2916666666666667</v>
      </c>
      <c r="J709" s="9">
        <v>0.5</v>
      </c>
      <c r="K709" s="9"/>
    </row>
    <row r="710" hidden="1">
      <c r="A710" s="5" t="str">
        <f>IFNA(VLOOKUP(D710,'Location Table'!A:C,2,false),"")</f>
        <v>560d5274-edd8-11ef-872f-506b8d9879b5</v>
      </c>
      <c r="B710" s="5" t="str">
        <f>IFNA(VLOOKUP(F710,Driver!A:C,2,false),"")</f>
        <v>8909168a-37c4-11ed-9647-506b8dbc8dfb</v>
      </c>
      <c r="C710" s="5" t="str">
        <f>IFNA(VLOOKUP(E710,'Location Table'!A:C,2,false),"")</f>
        <v/>
      </c>
      <c r="D710" s="6" t="s">
        <v>579</v>
      </c>
      <c r="E710" s="6"/>
      <c r="F710" s="6" t="s">
        <v>552</v>
      </c>
      <c r="G710" s="7" t="str">
        <f>IFNA(VLOOKUP(F710,Driver!A:D,4,false),"")</f>
        <v>1980698793628880414:XXMGIAegigeHesHcPUQpIcnMCwhigvPUATFrPyRHiqIZqTwmvWiXbUzfDhivxPcl</v>
      </c>
      <c r="H710" s="8" t="str">
        <f>IFNA(VLOOKUP(F710,Driver!A:C,3,false),"")</f>
        <v>6f0424c9ec8505db5c94</v>
      </c>
      <c r="I710" s="9">
        <v>0.2916666666666667</v>
      </c>
      <c r="J710" s="9">
        <v>0.75</v>
      </c>
      <c r="K710" s="9"/>
    </row>
    <row r="711" hidden="1">
      <c r="A711" s="5" t="str">
        <f>IFNA(VLOOKUP(D711,'Location Table'!A:C,2,false),"")</f>
        <v>31b408c0-5bcc-11f0-b8b7-506b8d982279</v>
      </c>
      <c r="B711" s="5" t="str">
        <f>IFNA(VLOOKUP(F711,Driver!A:C,2,false),"")</f>
        <v>586fa64a-37d0-11ed-b5ef-506b8dbc8dfb</v>
      </c>
      <c r="C711" s="5" t="str">
        <f>IFNA(VLOOKUP(E711,'Location Table'!A:C,2,false),"")</f>
        <v/>
      </c>
      <c r="D711" s="6" t="s">
        <v>580</v>
      </c>
      <c r="E711" s="6"/>
      <c r="F711" s="6" t="s">
        <v>355</v>
      </c>
      <c r="G711" s="7" t="str">
        <f>IFNA(VLOOKUP(F711,Driver!A:D,4,false),"")</f>
        <v>2160130926882687325:VSRHFZoYrhhtnecmAaOfmgvaKlfxBZEgxFxSbLPTAhfVwurTuJfQgOTrwyseeqJQ</v>
      </c>
      <c r="H711" s="8" t="str">
        <f>IFNA(VLOOKUP(F711,Driver!A:C,3,false),"")</f>
        <v>cb12ddfaeea707f95eb6</v>
      </c>
      <c r="I711" s="9">
        <v>0.2916666666666667</v>
      </c>
      <c r="J711" s="9">
        <v>0.6666666666666666</v>
      </c>
      <c r="K711" s="9"/>
    </row>
    <row r="712" hidden="1">
      <c r="A712" s="5" t="str">
        <f>IFNA(VLOOKUP(D712,'Location Table'!A:C,2,false),"")</f>
        <v>66fc6026-1efc-11ef-a481-506b8d9879b5</v>
      </c>
      <c r="B712" s="5" t="str">
        <f>IFNA(VLOOKUP(F712,Driver!A:C,2,false),"")</f>
        <v>d63f18ac-7342-11f0-be1a-506b8d982279</v>
      </c>
      <c r="C712" s="5" t="str">
        <f>IFNA(VLOOKUP(E712,'Location Table'!A:C,2,false),"")</f>
        <v/>
      </c>
      <c r="D712" s="6" t="s">
        <v>581</v>
      </c>
      <c r="E712" s="6"/>
      <c r="F712" s="6" t="s">
        <v>582</v>
      </c>
      <c r="G712" s="7" t="str">
        <f>IFNA(VLOOKUP(F712,Driver!A:D,4,false),"")</f>
        <v/>
      </c>
      <c r="H712" s="8" t="str">
        <f>IFNA(VLOOKUP(F712,Driver!A:C,3,false),"")</f>
        <v/>
      </c>
      <c r="I712" s="9">
        <v>0.2916666666666667</v>
      </c>
      <c r="J712" s="9">
        <v>0.5833333333333334</v>
      </c>
      <c r="K712" s="9"/>
    </row>
    <row r="713" hidden="1">
      <c r="A713" s="5" t="str">
        <f>IFNA(VLOOKUP(D713,'Location Table'!A:C,2,false),"")</f>
        <v>21883ffa-a8b3-11f0-8ee6-506b8d982279</v>
      </c>
      <c r="B713" s="5" t="str">
        <f>IFNA(VLOOKUP(F713,Driver!A:C,2,false),"")</f>
        <v>d63f18ac-7342-11f0-be1a-506b8d982279</v>
      </c>
      <c r="C713" s="5" t="str">
        <f>IFNA(VLOOKUP(E713,'Location Table'!A:C,2,false),"")</f>
        <v/>
      </c>
      <c r="D713" s="6" t="s">
        <v>583</v>
      </c>
      <c r="E713" s="6"/>
      <c r="F713" s="6" t="s">
        <v>582</v>
      </c>
      <c r="G713" s="7" t="str">
        <f>IFNA(VLOOKUP(F713,Driver!A:D,4,false),"")</f>
        <v/>
      </c>
      <c r="H713" s="8" t="str">
        <f>IFNA(VLOOKUP(F713,Driver!A:C,3,false),"")</f>
        <v/>
      </c>
      <c r="I713" s="9">
        <v>0.2916666666666667</v>
      </c>
      <c r="J713" s="9">
        <v>0.5833333333333334</v>
      </c>
      <c r="K713" s="9"/>
    </row>
    <row r="714" hidden="1">
      <c r="A714" s="5" t="str">
        <f>IFNA(VLOOKUP(D714,'Location Table'!A:C,2,false),"")</f>
        <v>b63279a2-e776-11f0-9ae2-506b8d982279</v>
      </c>
      <c r="B714" s="5" t="str">
        <f>IFNA(VLOOKUP(F714,Driver!A:C,2,false),"")</f>
        <v>717fa61c-3654-11ed-b103-506b8dbc8dfb</v>
      </c>
      <c r="C714" s="5" t="str">
        <f>IFNA(VLOOKUP(E714,'Location Table'!A:C,2,false),"")</f>
        <v/>
      </c>
      <c r="D714" s="6" t="s">
        <v>584</v>
      </c>
      <c r="E714" s="6"/>
      <c r="F714" s="6" t="s">
        <v>361</v>
      </c>
      <c r="G714" s="7" t="str">
        <f>IFNA(VLOOKUP(F714,Driver!A:D,4,false),"")</f>
        <v>1980698793628880414:XXMGIAegigeHesHcPUQpIcnMCwhigvPUATFrPyRHiqIZqTwmvWiXbUzfDhivxPcl</v>
      </c>
      <c r="H714" s="8" t="str">
        <f>IFNA(VLOOKUP(F714,Driver!A:C,3,false),"")</f>
        <v>fbc73b7bb6385f660629</v>
      </c>
      <c r="I714" s="9">
        <v>0.23958333333333334</v>
      </c>
      <c r="J714" s="9">
        <v>0.6041666666666666</v>
      </c>
      <c r="K714" s="5" t="s">
        <v>362</v>
      </c>
    </row>
    <row r="715" hidden="1">
      <c r="A715" s="5" t="str">
        <f>IFNA(VLOOKUP(D715,'Location Table'!A:C,2,false),"")</f>
        <v>b54510ca-aafb-11f0-bf33-506b8d982279</v>
      </c>
      <c r="B715" s="5" t="str">
        <f>IFNA(VLOOKUP(F715,Driver!A:C,2,false),"")</f>
        <v>222b5bca-37cf-11ed-bee5-506b8dbc8dfb</v>
      </c>
      <c r="C715" s="5" t="str">
        <f>IFNA(VLOOKUP(E715,'Location Table'!A:C,2,false),"")</f>
        <v/>
      </c>
      <c r="D715" s="6" t="s">
        <v>585</v>
      </c>
      <c r="E715" s="6"/>
      <c r="F715" s="6" t="s">
        <v>446</v>
      </c>
      <c r="G715" s="7" t="str">
        <f>IFNA(VLOOKUP(F715,Driver!A:D,4,false),"")</f>
        <v>1980698793628880414:XXMGIAegigeHesHcPUQpIcnMCwhigvPUATFrPyRHiqIZqTwmvWiXbUzfDhivxPcl</v>
      </c>
      <c r="H715" s="8" t="str">
        <f>IFNA(VLOOKUP(F715,Driver!A:C,3,false),"")</f>
        <v>a258dbc5a48f4dd1149e</v>
      </c>
      <c r="I715" s="9">
        <v>0.2916666666666667</v>
      </c>
      <c r="J715" s="9">
        <v>0.4583333333333333</v>
      </c>
      <c r="K715" s="9"/>
    </row>
    <row r="716" hidden="1">
      <c r="A716" s="5" t="str">
        <f>IFNA(VLOOKUP(D716,'Location Table'!A:C,2,false),"")</f>
        <v>3cad63da-385f-11ee-a050-506b8d9879b5</v>
      </c>
      <c r="B716" s="5" t="str">
        <f>IFNA(VLOOKUP(F716,Driver!A:C,2,false),"")</f>
        <v>41ea8512-2e70-11f1-9378-fa163ee8d8ac</v>
      </c>
      <c r="C716" s="5" t="str">
        <f>IFNA(VLOOKUP(E716,'Location Table'!A:C,2,false),"")</f>
        <v/>
      </c>
      <c r="D716" s="6" t="s">
        <v>586</v>
      </c>
      <c r="E716" s="6"/>
      <c r="F716" s="10" t="s">
        <v>35</v>
      </c>
      <c r="G716" s="7" t="str">
        <f>IFNA(VLOOKUP(F716,Driver!A:D,4,false),"")</f>
        <v/>
      </c>
      <c r="H716" s="8" t="str">
        <f>IFNA(VLOOKUP(F716,Driver!A:C,3,false),"")</f>
        <v/>
      </c>
      <c r="I716" s="9">
        <v>0.2916666666666667</v>
      </c>
      <c r="J716" s="9">
        <v>0.75</v>
      </c>
      <c r="K716" s="9"/>
    </row>
    <row r="717" hidden="1">
      <c r="A717" s="5" t="str">
        <f>IFNA(VLOOKUP(D717,'Location Table'!A:C,2,false),"")</f>
        <v>c6db25aa-458d-11f0-b3ac-506b8d982279</v>
      </c>
      <c r="B717" s="5" t="str">
        <f>IFNA(VLOOKUP(F717,Driver!A:C,2,false),"")</f>
        <v>353f3686-dcc8-11f0-82b8-506b8d982279</v>
      </c>
      <c r="C717" s="5" t="str">
        <f>IFNA(VLOOKUP(E717,'Location Table'!A:C,2,false),"")</f>
        <v/>
      </c>
      <c r="D717" s="6" t="s">
        <v>587</v>
      </c>
      <c r="E717" s="6"/>
      <c r="F717" s="6" t="s">
        <v>96</v>
      </c>
      <c r="G717" s="7" t="str">
        <f>IFNA(VLOOKUP(F717,Driver!A:D,4,false),"")</f>
        <v>2160130926882687325:VSRHFZoYrhhtnecmAaOfmgvaKlfxBZEgxFxSbLPTAhfVwurTuJfQgOTrwyseeqJQ</v>
      </c>
      <c r="H717" s="8" t="str">
        <f>IFNA(VLOOKUP(F717,Driver!A:C,3,false),"")</f>
        <v>e7ce6d37cc7f25217c6e</v>
      </c>
      <c r="I717" s="9">
        <v>0.2916666666666667</v>
      </c>
      <c r="J717" s="9">
        <v>0.5</v>
      </c>
      <c r="K717" s="9"/>
    </row>
    <row r="718" hidden="1">
      <c r="A718" s="5" t="str">
        <f>IFNA(VLOOKUP(D718,'Location Table'!A:C,2,false),"")</f>
        <v>9c275ec6-d7c7-11ee-a881-506b8d9879b5</v>
      </c>
      <c r="B718" s="5" t="str">
        <f>IFNA(VLOOKUP(F718,Driver!A:C,2,false),"")</f>
        <v>e3970cec-503e-11f1-9378-fa163ee8d8ac</v>
      </c>
      <c r="C718" s="5" t="str">
        <f>IFNA(VLOOKUP(E718,'Location Table'!A:C,2,false),"")</f>
        <v/>
      </c>
      <c r="D718" s="6" t="s">
        <v>588</v>
      </c>
      <c r="E718" s="6"/>
      <c r="F718" s="10" t="s">
        <v>328</v>
      </c>
      <c r="G718" s="7" t="str">
        <f>IFNA(VLOOKUP(F718,Driver!A:D,4,false),"")</f>
        <v/>
      </c>
      <c r="H718" s="8" t="str">
        <f>IFNA(VLOOKUP(F718,Driver!A:C,3,false),"")</f>
        <v/>
      </c>
      <c r="I718" s="9">
        <v>0.2916666666666667</v>
      </c>
      <c r="J718" s="9">
        <v>0.5833333333333334</v>
      </c>
      <c r="K718" s="9"/>
    </row>
    <row r="719" hidden="1">
      <c r="A719" s="5" t="str">
        <f>IFNA(VLOOKUP(D719,'Location Table'!A:C,2,false),"")</f>
        <v>d43bffd8-b6a1-11ef-905e-506b8d9879b5</v>
      </c>
      <c r="B719" s="5" t="str">
        <f>IFNA(VLOOKUP(F719,Driver!A:C,2,false),"")</f>
        <v>e3970cec-503e-11f1-9378-fa163ee8d8ac</v>
      </c>
      <c r="C719" s="5" t="str">
        <f>IFNA(VLOOKUP(E719,'Location Table'!A:C,2,false),"")</f>
        <v/>
      </c>
      <c r="D719" s="6" t="s">
        <v>589</v>
      </c>
      <c r="E719" s="6"/>
      <c r="F719" s="10" t="s">
        <v>328</v>
      </c>
      <c r="G719" s="7" t="str">
        <f>IFNA(VLOOKUP(F719,Driver!A:D,4,false),"")</f>
        <v/>
      </c>
      <c r="H719" s="8" t="str">
        <f>IFNA(VLOOKUP(F719,Driver!A:C,3,false),"")</f>
        <v/>
      </c>
      <c r="I719" s="9">
        <v>0.2916666666666667</v>
      </c>
      <c r="J719" s="9">
        <v>0.5833333333333334</v>
      </c>
      <c r="K719" s="9"/>
    </row>
    <row r="720" hidden="1">
      <c r="A720" s="5" t="str">
        <f>IFNA(VLOOKUP(D720,'Location Table'!A:C,2,false),"")</f>
        <v>04dfccf8-28c4-11ef-b0d0-506b8d9879b5</v>
      </c>
      <c r="B720" s="5" t="str">
        <f>IFNA(VLOOKUP(F720,Driver!A:C,2,false),"")</f>
        <v>a9bf91b4-00e4-11f1-9378-fa163ee8d8ac</v>
      </c>
      <c r="C720" s="5" t="str">
        <f>IFNA(VLOOKUP(E720,'Location Table'!A:C,2,false),"")</f>
        <v/>
      </c>
      <c r="D720" s="6" t="s">
        <v>590</v>
      </c>
      <c r="E720" s="6"/>
      <c r="F720" s="6" t="s">
        <v>142</v>
      </c>
      <c r="G720" s="7" t="str">
        <f>IFNA(VLOOKUP(F720,Driver!A:D,4,false),"")</f>
        <v/>
      </c>
      <c r="H720" s="8" t="str">
        <f>IFNA(VLOOKUP(F720,Driver!A:C,3,false),"")</f>
        <v/>
      </c>
      <c r="I720" s="9">
        <v>0.2916666666666667</v>
      </c>
      <c r="J720" s="9">
        <v>0.5</v>
      </c>
      <c r="K720" s="9"/>
    </row>
    <row r="721" hidden="1">
      <c r="A721" s="5" t="str">
        <f>IFNA(VLOOKUP(D721,'Location Table'!A:C,2,false),"")</f>
        <v>734a3e3e-295b-11ef-a667-506b8d9879b5</v>
      </c>
      <c r="B721" s="5" t="str">
        <f>IFNA(VLOOKUP(F721,Driver!A:C,2,false),"")</f>
        <v>d2c2d39e-11e4-11f1-9378-fa163ee8d8ac</v>
      </c>
      <c r="C721" s="5" t="str">
        <f>IFNA(VLOOKUP(E721,'Location Table'!A:C,2,false),"")</f>
        <v/>
      </c>
      <c r="D721" s="6" t="s">
        <v>591</v>
      </c>
      <c r="E721" s="6"/>
      <c r="F721" s="6" t="s">
        <v>88</v>
      </c>
      <c r="G721" s="7" t="str">
        <f>IFNA(VLOOKUP(F721,Driver!A:D,4,false),"")</f>
        <v>1980698793628880414:XXMGIAegigeHesHcPUQpIcnMCwhigvPUATFrPyRHiqIZqTwmvWiXbUzfDhivxPcl</v>
      </c>
      <c r="H721" s="8" t="str">
        <f>IFNA(VLOOKUP(F721,Driver!A:C,3,false),"")</f>
        <v>59a2bfce5a81b3dfea90</v>
      </c>
      <c r="I721" s="9">
        <v>0.2916666666666667</v>
      </c>
      <c r="J721" s="9">
        <v>0.6666666666666666</v>
      </c>
      <c r="K721" s="9"/>
    </row>
    <row r="722" hidden="1">
      <c r="A722" s="5" t="str">
        <f>IFNA(VLOOKUP(D722,'Location Table'!A:C,2,false),"")</f>
        <v>aa19e50a-f872-11ee-8961-506b8d9879b5</v>
      </c>
      <c r="B722" s="5" t="str">
        <f>IFNA(VLOOKUP(F722,Driver!A:C,2,false),"")</f>
        <v>a9bf91b4-00e4-11f1-9378-fa163ee8d8ac</v>
      </c>
      <c r="C722" s="5" t="str">
        <f>IFNA(VLOOKUP(E722,'Location Table'!A:C,2,false),"")</f>
        <v/>
      </c>
      <c r="D722" s="6" t="s">
        <v>592</v>
      </c>
      <c r="E722" s="6"/>
      <c r="F722" s="6" t="s">
        <v>142</v>
      </c>
      <c r="G722" s="7" t="str">
        <f>IFNA(VLOOKUP(F722,Driver!A:D,4,false),"")</f>
        <v/>
      </c>
      <c r="H722" s="8" t="str">
        <f>IFNA(VLOOKUP(F722,Driver!A:C,3,false),"")</f>
        <v/>
      </c>
      <c r="I722" s="9">
        <v>0.2916666666666667</v>
      </c>
      <c r="J722" s="9">
        <v>0.5</v>
      </c>
      <c r="K722" s="9"/>
    </row>
    <row r="723" hidden="1">
      <c r="A723" s="5" t="str">
        <f>IFNA(VLOOKUP(D723,'Location Table'!A:C,2,false),"")</f>
        <v>34fb2846-6719-11ee-a2cd-506b8d9879b5</v>
      </c>
      <c r="B723" s="5" t="str">
        <f>IFNA(VLOOKUP(F723,Driver!A:C,2,false),"")</f>
        <v>f5993946-37cf-11ed-a3fc-506b8dbc8dfb</v>
      </c>
      <c r="C723" s="5" t="str">
        <f>IFNA(VLOOKUP(E723,'Location Table'!A:C,2,false),"")</f>
        <v/>
      </c>
      <c r="D723" s="6" t="s">
        <v>593</v>
      </c>
      <c r="E723" s="6"/>
      <c r="F723" s="6" t="s">
        <v>314</v>
      </c>
      <c r="G723" s="7" t="str">
        <f>IFNA(VLOOKUP(F723,Driver!A:D,4,false),"")</f>
        <v/>
      </c>
      <c r="H723" s="8" t="str">
        <f>IFNA(VLOOKUP(F723,Driver!A:C,3,false),"")</f>
        <v/>
      </c>
      <c r="I723" s="9">
        <v>0.2916666666666667</v>
      </c>
      <c r="J723" s="9">
        <v>0.625</v>
      </c>
      <c r="K723" s="9"/>
    </row>
    <row r="724" hidden="1">
      <c r="A724" s="5" t="str">
        <f>IFNA(VLOOKUP(D724,'Location Table'!A:C,2,false),"")</f>
        <v>27f15d46-5a6c-11ee-b0f8-506b8d9879b5</v>
      </c>
      <c r="B724" s="5" t="str">
        <f>IFNA(VLOOKUP(F724,Driver!A:C,2,false),"")</f>
        <v>232be490-35a4-11ed-88b7-506b8dbc8dfb</v>
      </c>
      <c r="C724" s="5" t="str">
        <f>IFNA(VLOOKUP(E724,'Location Table'!A:C,2,false),"")</f>
        <v/>
      </c>
      <c r="D724" s="6" t="s">
        <v>594</v>
      </c>
      <c r="E724" s="6"/>
      <c r="F724" s="6" t="s">
        <v>110</v>
      </c>
      <c r="G724" s="7" t="str">
        <f>IFNA(VLOOKUP(F724,Driver!A:D,4,false),"")</f>
        <v>2160130926882687325:VSRHFZoYrhhtnecmAaOfmgvaKlfxBZEgxFxSbLPTAhfVwurTuJfQgOTrwyseeqJQ</v>
      </c>
      <c r="H724" s="8" t="str">
        <f>IFNA(VLOOKUP(F724,Driver!A:C,3,false),"")</f>
        <v>d9fc37dd4093a9cdf082</v>
      </c>
      <c r="I724" s="9">
        <v>0.2916666666666667</v>
      </c>
      <c r="J724" s="9">
        <v>0.6666666666666666</v>
      </c>
      <c r="K724" s="9"/>
    </row>
    <row r="725" hidden="1">
      <c r="A725" s="5" t="str">
        <f>IFNA(VLOOKUP(D725,'Location Table'!A:C,2,false),"")</f>
        <v>36d79306-d8bb-11ef-bddf-506b8d9879b5</v>
      </c>
      <c r="B725" s="5" t="str">
        <f>IFNA(VLOOKUP(F725,Driver!A:C,2,false),"")</f>
        <v>232be490-35a4-11ed-88b7-506b8dbc8dfb</v>
      </c>
      <c r="C725" s="5" t="str">
        <f>IFNA(VLOOKUP(E725,'Location Table'!A:C,2,false),"")</f>
        <v/>
      </c>
      <c r="D725" s="6" t="s">
        <v>595</v>
      </c>
      <c r="E725" s="6"/>
      <c r="F725" s="6" t="s">
        <v>110</v>
      </c>
      <c r="G725" s="7" t="str">
        <f>IFNA(VLOOKUP(F725,Driver!A:D,4,false),"")</f>
        <v>2160130926882687325:VSRHFZoYrhhtnecmAaOfmgvaKlfxBZEgxFxSbLPTAhfVwurTuJfQgOTrwyseeqJQ</v>
      </c>
      <c r="H725" s="8" t="str">
        <f>IFNA(VLOOKUP(F725,Driver!A:C,3,false),"")</f>
        <v>d9fc37dd4093a9cdf082</v>
      </c>
      <c r="I725" s="9">
        <v>0.2916666666666667</v>
      </c>
      <c r="J725" s="9">
        <v>0.6666666666666666</v>
      </c>
      <c r="K725" s="9"/>
    </row>
    <row r="726" hidden="1">
      <c r="A726" s="5" t="str">
        <f>IFNA(VLOOKUP(D726,'Location Table'!A:C,2,false),"")</f>
        <v>459f3456-6644-11ee-b1dc-506b8d9879b5</v>
      </c>
      <c r="B726" s="5" t="str">
        <f>IFNA(VLOOKUP(F726,Driver!A:C,2,false),"")</f>
        <v>103090f4-37c8-11ed-9333-506b8dbc8dfb</v>
      </c>
      <c r="C726" s="5" t="str">
        <f>IFNA(VLOOKUP(E726,'Location Table'!A:C,2,false),"")</f>
        <v/>
      </c>
      <c r="D726" s="6" t="s">
        <v>596</v>
      </c>
      <c r="E726" s="6"/>
      <c r="F726" s="6" t="s">
        <v>130</v>
      </c>
      <c r="G726" s="7" t="str">
        <f>IFNA(VLOOKUP(F726,Driver!A:D,4,false),"")</f>
        <v>2160130926882687325:VSRHFZoYrhhtnecmAaOfmgvaKlfxBZEgxFxSbLPTAhfVwurTuJfQgOTrwyseeqJQ</v>
      </c>
      <c r="H726" s="8" t="str">
        <f>IFNA(VLOOKUP(F726,Driver!A:C,3,false),"")</f>
        <v>77085b30147bfd25a46a</v>
      </c>
      <c r="I726" s="9">
        <v>0.2916666666666667</v>
      </c>
      <c r="J726" s="9">
        <v>0.8541666666666666</v>
      </c>
      <c r="K726" s="9"/>
    </row>
    <row r="727" hidden="1">
      <c r="A727" s="5" t="str">
        <f>IFNA(VLOOKUP(D727,'Location Table'!A:C,2,false),"")</f>
        <v>3b2cdf98-8217-11ee-baca-506b8d9879b5</v>
      </c>
      <c r="B727" s="5" t="str">
        <f>IFNA(VLOOKUP(F727,Driver!A:C,2,false),"")</f>
        <v>103090f4-37c8-11ed-9333-506b8dbc8dfb</v>
      </c>
      <c r="C727" s="5" t="str">
        <f>IFNA(VLOOKUP(E727,'Location Table'!A:C,2,false),"")</f>
        <v/>
      </c>
      <c r="D727" s="6" t="s">
        <v>597</v>
      </c>
      <c r="E727" s="6"/>
      <c r="F727" s="6" t="s">
        <v>130</v>
      </c>
      <c r="G727" s="7" t="str">
        <f>IFNA(VLOOKUP(F727,Driver!A:D,4,false),"")</f>
        <v>2160130926882687325:VSRHFZoYrhhtnecmAaOfmgvaKlfxBZEgxFxSbLPTAhfVwurTuJfQgOTrwyseeqJQ</v>
      </c>
      <c r="H727" s="8" t="str">
        <f>IFNA(VLOOKUP(F727,Driver!A:C,3,false),"")</f>
        <v>77085b30147bfd25a46a</v>
      </c>
      <c r="I727" s="9">
        <v>0.2916666666666667</v>
      </c>
      <c r="J727" s="9">
        <v>0.8541666666666666</v>
      </c>
      <c r="K727" s="9"/>
    </row>
    <row r="728" hidden="1">
      <c r="A728" s="5" t="str">
        <f>IFNA(VLOOKUP(D728,'Location Table'!A:C,2,false),"")</f>
        <v>ddcde310-a26d-11ef-9bc5-506b8d9879b5</v>
      </c>
      <c r="B728" s="5" t="str">
        <f>IFNA(VLOOKUP(F728,Driver!A:C,2,false),"")</f>
        <v>103090f4-37c8-11ed-9333-506b8dbc8dfb</v>
      </c>
      <c r="C728" s="5" t="str">
        <f>IFNA(VLOOKUP(E728,'Location Table'!A:C,2,false),"")</f>
        <v/>
      </c>
      <c r="D728" s="6" t="s">
        <v>598</v>
      </c>
      <c r="E728" s="6"/>
      <c r="F728" s="6" t="s">
        <v>130</v>
      </c>
      <c r="G728" s="7" t="str">
        <f>IFNA(VLOOKUP(F728,Driver!A:D,4,false),"")</f>
        <v>2160130926882687325:VSRHFZoYrhhtnecmAaOfmgvaKlfxBZEgxFxSbLPTAhfVwurTuJfQgOTrwyseeqJQ</v>
      </c>
      <c r="H728" s="8" t="str">
        <f>IFNA(VLOOKUP(F728,Driver!A:C,3,false),"")</f>
        <v>77085b30147bfd25a46a</v>
      </c>
      <c r="I728" s="9">
        <v>0.2916666666666667</v>
      </c>
      <c r="J728" s="9">
        <v>0.8541666666666666</v>
      </c>
      <c r="K728" s="9"/>
    </row>
    <row r="729" hidden="1">
      <c r="A729" s="5" t="str">
        <f>IFNA(VLOOKUP(D729,'Location Table'!A:C,2,false),"")</f>
        <v>c5e01d1e-94fb-11f0-81fe-506b8d982279</v>
      </c>
      <c r="B729" s="5" t="str">
        <f>IFNA(VLOOKUP(F729,Driver!A:C,2,false),"")</f>
        <v>103090f4-37c8-11ed-9333-506b8dbc8dfb</v>
      </c>
      <c r="C729" s="5" t="str">
        <f>IFNA(VLOOKUP(E729,'Location Table'!A:C,2,false),"")</f>
        <v/>
      </c>
      <c r="D729" s="6" t="s">
        <v>599</v>
      </c>
      <c r="E729" s="6"/>
      <c r="F729" s="6" t="s">
        <v>130</v>
      </c>
      <c r="G729" s="7" t="str">
        <f>IFNA(VLOOKUP(F729,Driver!A:D,4,false),"")</f>
        <v>2160130926882687325:VSRHFZoYrhhtnecmAaOfmgvaKlfxBZEgxFxSbLPTAhfVwurTuJfQgOTrwyseeqJQ</v>
      </c>
      <c r="H729" s="8" t="str">
        <f>IFNA(VLOOKUP(F729,Driver!A:C,3,false),"")</f>
        <v>77085b30147bfd25a46a</v>
      </c>
      <c r="I729" s="9">
        <v>0.2916666666666667</v>
      </c>
      <c r="J729" s="9">
        <v>0.8541666666666666</v>
      </c>
      <c r="K729" s="9"/>
    </row>
    <row r="730" hidden="1">
      <c r="A730" s="5" t="str">
        <f>IFNA(VLOOKUP(D730,'Location Table'!A:C,2,false),"")</f>
        <v>776b9818-5953-11f0-a360-506b8d982279</v>
      </c>
      <c r="B730" s="5" t="str">
        <f>IFNA(VLOOKUP(F730,Driver!A:C,2,false),"")</f>
        <v>a2f538f8-37ce-11ed-a5cf-506b8dbc8dfb</v>
      </c>
      <c r="C730" s="5" t="str">
        <f>IFNA(VLOOKUP(E730,'Location Table'!A:C,2,false),"")</f>
        <v/>
      </c>
      <c r="D730" s="6" t="s">
        <v>600</v>
      </c>
      <c r="E730" s="6"/>
      <c r="F730" s="6" t="s">
        <v>338</v>
      </c>
      <c r="G730" s="7" t="str">
        <f>IFNA(VLOOKUP(F730,Driver!A:D,4,false),"")</f>
        <v>2160130926882687325:VSRHFZoYrhhtnecmAaOfmgvaKlfxBZEgxFxSbLPTAhfVwurTuJfQgOTrwyseeqJQ</v>
      </c>
      <c r="H730" s="8" t="str">
        <f>IFNA(VLOOKUP(F730,Driver!A:C,3,false),"")</f>
        <v>c0d10f02724a9b14c25b</v>
      </c>
      <c r="I730" s="9">
        <v>0.2916666666666667</v>
      </c>
      <c r="J730" s="9">
        <v>0.6666666666666666</v>
      </c>
      <c r="K730" s="9"/>
    </row>
    <row r="731" hidden="1">
      <c r="A731" s="5" t="str">
        <f>IFNA(VLOOKUP(D731,'Location Table'!A:C,2,false),"")</f>
        <v>2bbe2df6-19f5-11f0-9f8d-506b8d982279</v>
      </c>
      <c r="B731" s="5" t="str">
        <f>IFNA(VLOOKUP(F731,Driver!A:C,2,false),"")</f>
        <v>a2f538f8-37ce-11ed-a5cf-506b8dbc8dfb</v>
      </c>
      <c r="C731" s="5" t="str">
        <f>IFNA(VLOOKUP(E731,'Location Table'!A:C,2,false),"")</f>
        <v/>
      </c>
      <c r="D731" s="6" t="s">
        <v>601</v>
      </c>
      <c r="E731" s="6"/>
      <c r="F731" s="6" t="s">
        <v>338</v>
      </c>
      <c r="G731" s="7" t="str">
        <f>IFNA(VLOOKUP(F731,Driver!A:D,4,false),"")</f>
        <v>2160130926882687325:VSRHFZoYrhhtnecmAaOfmgvaKlfxBZEgxFxSbLPTAhfVwurTuJfQgOTrwyseeqJQ</v>
      </c>
      <c r="H731" s="8" t="str">
        <f>IFNA(VLOOKUP(F731,Driver!A:C,3,false),"")</f>
        <v>c0d10f02724a9b14c25b</v>
      </c>
      <c r="I731" s="9">
        <v>0.2916666666666667</v>
      </c>
      <c r="J731" s="9">
        <v>0.6666666666666666</v>
      </c>
      <c r="K731" s="9"/>
    </row>
    <row r="732" hidden="1">
      <c r="A732" s="5" t="str">
        <f>IFNA(VLOOKUP(D732,'Location Table'!A:C,2,false),"")</f>
        <v>e8a5c316-4e57-11f0-9e90-506b8d982279</v>
      </c>
      <c r="B732" s="5" t="str">
        <f>IFNA(VLOOKUP(F732,Driver!A:C,2,false),"")</f>
        <v>d2c2d39e-11e4-11f1-9378-fa163ee8d8ac</v>
      </c>
      <c r="C732" s="5" t="str">
        <f>IFNA(VLOOKUP(E732,'Location Table'!A:C,2,false),"")</f>
        <v/>
      </c>
      <c r="D732" s="6" t="s">
        <v>602</v>
      </c>
      <c r="E732" s="6"/>
      <c r="F732" s="6" t="s">
        <v>88</v>
      </c>
      <c r="G732" s="7" t="str">
        <f>IFNA(VLOOKUP(F732,Driver!A:D,4,false),"")</f>
        <v>1980698793628880414:XXMGIAegigeHesHcPUQpIcnMCwhigvPUATFrPyRHiqIZqTwmvWiXbUzfDhivxPcl</v>
      </c>
      <c r="H732" s="8" t="str">
        <f>IFNA(VLOOKUP(F732,Driver!A:C,3,false),"")</f>
        <v>59a2bfce5a81b3dfea90</v>
      </c>
      <c r="I732" s="9">
        <v>0.2916666666666667</v>
      </c>
      <c r="J732" s="9">
        <v>0.6666666666666666</v>
      </c>
      <c r="K732" s="9"/>
    </row>
    <row r="733" hidden="1">
      <c r="A733" s="5" t="str">
        <f>IFNA(VLOOKUP(D733,'Location Table'!A:C,2,false),"")</f>
        <v>d5fc1bda-f5a9-11f0-9378-fa163ee8d8ac</v>
      </c>
      <c r="B733" s="5" t="str">
        <f>IFNA(VLOOKUP(F733,Driver!A:C,2,false),"")</f>
        <v>51b847ba-37cd-11ed-a5f6-506b8dbc8dfb</v>
      </c>
      <c r="C733" s="5" t="str">
        <f>IFNA(VLOOKUP(E733,'Location Table'!A:C,2,false),"")</f>
        <v/>
      </c>
      <c r="D733" s="6" t="s">
        <v>603</v>
      </c>
      <c r="E733" s="6"/>
      <c r="F733" s="6" t="s">
        <v>94</v>
      </c>
      <c r="G733" s="7" t="str">
        <f>IFNA(VLOOKUP(F733,Driver!A:D,4,false),"")</f>
        <v>1980698793628880414:XXMGIAegigeHesHcPUQpIcnMCwhigvPUATFrPyRHiqIZqTwmvWiXbUzfDhivxPcl</v>
      </c>
      <c r="H733" s="8" t="str">
        <f>IFNA(VLOOKUP(F733,Driver!A:C,3,false),"")</f>
        <v>3d1fec9027dcce8297cd</v>
      </c>
      <c r="I733" s="9">
        <v>0.2916666666666667</v>
      </c>
      <c r="J733" s="9">
        <v>0.6666666666666666</v>
      </c>
      <c r="K733" s="9"/>
    </row>
    <row r="734" hidden="1">
      <c r="A734" s="5" t="str">
        <f>IFNA(VLOOKUP(D734,'Location Table'!A:C,2,false),"")</f>
        <v>0a0741b0-0670-11ee-8e90-506b8dbc8dfb</v>
      </c>
      <c r="B734" s="5" t="str">
        <f>IFNA(VLOOKUP(F734,Driver!A:C,2,false),"")</f>
        <v>51b847ba-37cd-11ed-a5f6-506b8dbc8dfb</v>
      </c>
      <c r="C734" s="5" t="str">
        <f>IFNA(VLOOKUP(E734,'Location Table'!A:C,2,false),"")</f>
        <v/>
      </c>
      <c r="D734" s="6" t="s">
        <v>604</v>
      </c>
      <c r="E734" s="6"/>
      <c r="F734" s="6" t="s">
        <v>94</v>
      </c>
      <c r="G734" s="7" t="str">
        <f>IFNA(VLOOKUP(F734,Driver!A:D,4,false),"")</f>
        <v>1980698793628880414:XXMGIAegigeHesHcPUQpIcnMCwhigvPUATFrPyRHiqIZqTwmvWiXbUzfDhivxPcl</v>
      </c>
      <c r="H734" s="8" t="str">
        <f>IFNA(VLOOKUP(F734,Driver!A:C,3,false),"")</f>
        <v>3d1fec9027dcce8297cd</v>
      </c>
      <c r="I734" s="9">
        <v>0.2916666666666667</v>
      </c>
      <c r="J734" s="9">
        <v>0.6666666666666666</v>
      </c>
      <c r="K734" s="9"/>
    </row>
    <row r="735" hidden="1">
      <c r="A735" s="5" t="str">
        <f>IFNA(VLOOKUP(D735,'Location Table'!A:C,2,false),"")</f>
        <v>fc318f48-9fc9-11ee-9804-506b8d9879b5</v>
      </c>
      <c r="B735" s="5" t="str">
        <f>IFNA(VLOOKUP(F735,Driver!A:C,2,false),"")</f>
        <v>51b847ba-37cd-11ed-a5f6-506b8dbc8dfb</v>
      </c>
      <c r="C735" s="5" t="str">
        <f>IFNA(VLOOKUP(E735,'Location Table'!A:C,2,false),"")</f>
        <v/>
      </c>
      <c r="D735" s="6" t="s">
        <v>605</v>
      </c>
      <c r="E735" s="6"/>
      <c r="F735" s="6" t="s">
        <v>94</v>
      </c>
      <c r="G735" s="7" t="str">
        <f>IFNA(VLOOKUP(F735,Driver!A:D,4,false),"")</f>
        <v>1980698793628880414:XXMGIAegigeHesHcPUQpIcnMCwhigvPUATFrPyRHiqIZqTwmvWiXbUzfDhivxPcl</v>
      </c>
      <c r="H735" s="8" t="str">
        <f>IFNA(VLOOKUP(F735,Driver!A:C,3,false),"")</f>
        <v>3d1fec9027dcce8297cd</v>
      </c>
      <c r="I735" s="9">
        <v>0.2916666666666667</v>
      </c>
      <c r="J735" s="9">
        <v>0.6666666666666666</v>
      </c>
      <c r="K735" s="9"/>
    </row>
    <row r="736" hidden="1">
      <c r="A736" s="5" t="str">
        <f>IFNA(VLOOKUP(D736,'Location Table'!A:C,2,false),"")</f>
        <v>e3952d4c-3b85-11f0-9180-506b8d982279</v>
      </c>
      <c r="B736" s="5" t="str">
        <f>IFNA(VLOOKUP(F736,Driver!A:C,2,false),"")</f>
        <v>51b847ba-37cd-11ed-a5f6-506b8dbc8dfb</v>
      </c>
      <c r="C736" s="5" t="str">
        <f>IFNA(VLOOKUP(E736,'Location Table'!A:C,2,false),"")</f>
        <v/>
      </c>
      <c r="D736" s="6" t="s">
        <v>606</v>
      </c>
      <c r="E736" s="6"/>
      <c r="F736" s="6" t="s">
        <v>94</v>
      </c>
      <c r="G736" s="7" t="str">
        <f>IFNA(VLOOKUP(F736,Driver!A:D,4,false),"")</f>
        <v>1980698793628880414:XXMGIAegigeHesHcPUQpIcnMCwhigvPUATFrPyRHiqIZqTwmvWiXbUzfDhivxPcl</v>
      </c>
      <c r="H736" s="8" t="str">
        <f>IFNA(VLOOKUP(F736,Driver!A:C,3,false),"")</f>
        <v>3d1fec9027dcce8297cd</v>
      </c>
      <c r="I736" s="9">
        <v>0.2916666666666667</v>
      </c>
      <c r="J736" s="9">
        <v>0.6666666666666666</v>
      </c>
      <c r="K736" s="9"/>
    </row>
    <row r="737" hidden="1">
      <c r="A737" s="5" t="str">
        <f>IFNA(VLOOKUP(D737,'Location Table'!A:C,2,false),"")</f>
        <v>7c6eff46-9ee0-11ee-b1fd-506b8d9879b5</v>
      </c>
      <c r="B737" s="5" t="str">
        <f>IFNA(VLOOKUP(F737,Driver!A:C,2,false),"")</f>
        <v>e3970cec-503e-11f1-9378-fa163ee8d8ac</v>
      </c>
      <c r="C737" s="5" t="str">
        <f>IFNA(VLOOKUP(E737,'Location Table'!A:C,2,false),"")</f>
        <v/>
      </c>
      <c r="D737" s="6" t="s">
        <v>607</v>
      </c>
      <c r="E737" s="6"/>
      <c r="F737" s="10" t="s">
        <v>328</v>
      </c>
      <c r="G737" s="7" t="str">
        <f>IFNA(VLOOKUP(F737,Driver!A:D,4,false),"")</f>
        <v/>
      </c>
      <c r="H737" s="8" t="str">
        <f>IFNA(VLOOKUP(F737,Driver!A:C,3,false),"")</f>
        <v/>
      </c>
      <c r="I737" s="9">
        <v>0.2916666666666667</v>
      </c>
      <c r="J737" s="9">
        <v>0.75</v>
      </c>
      <c r="K737" s="9"/>
    </row>
    <row r="738" hidden="1">
      <c r="A738" s="5" t="str">
        <f>IFNA(VLOOKUP(D738,'Location Table'!A:C,2,false),"")</f>
        <v>24543b34-4471-11ed-b215-506b8dbc8dfb</v>
      </c>
      <c r="B738" s="5" t="str">
        <f>IFNA(VLOOKUP(F738,Driver!A:C,2,false),"")</f>
        <v>1163ad80-d96e-11f0-b637-506b8d982279</v>
      </c>
      <c r="C738" s="5" t="str">
        <f>IFNA(VLOOKUP(E738,'Location Table'!A:C,2,false),"")</f>
        <v/>
      </c>
      <c r="D738" s="6" t="s">
        <v>608</v>
      </c>
      <c r="E738" s="6"/>
      <c r="F738" s="6" t="s">
        <v>498</v>
      </c>
      <c r="G738" s="7" t="str">
        <f>IFNA(VLOOKUP(F738,Driver!A:D,4,false),"")</f>
        <v>2160130926882687325:VSRHFZoYrhhtnecmAaOfmgvaKlfxBZEgxFxSbLPTAhfVwurTuJfQgOTrwyseeqJQ</v>
      </c>
      <c r="H738" s="8" t="str">
        <f>IFNA(VLOOKUP(F738,Driver!A:C,3,false),"")</f>
        <v>76599ccdde8e37d06e9f</v>
      </c>
      <c r="I738" s="9">
        <v>0.2916666666666667</v>
      </c>
      <c r="J738" s="9">
        <v>0.75</v>
      </c>
      <c r="K738" s="9"/>
    </row>
    <row r="739" hidden="1">
      <c r="A739" s="5" t="str">
        <f>IFNA(VLOOKUP(D739,'Location Table'!A:C,2,false),"")</f>
        <v>fa79c97e-cccb-11ef-abf9-506b8d9879b5</v>
      </c>
      <c r="B739" s="5" t="str">
        <f>IFNA(VLOOKUP(F739,Driver!A:C,2,false),"")</f>
        <v>a9bf91b4-00e4-11f1-9378-fa163ee8d8ac</v>
      </c>
      <c r="C739" s="5" t="str">
        <f>IFNA(VLOOKUP(E739,'Location Table'!A:C,2,false),"")</f>
        <v/>
      </c>
      <c r="D739" s="6" t="s">
        <v>609</v>
      </c>
      <c r="E739" s="6"/>
      <c r="F739" s="6" t="s">
        <v>142</v>
      </c>
      <c r="G739" s="7" t="str">
        <f>IFNA(VLOOKUP(F739,Driver!A:D,4,false),"")</f>
        <v/>
      </c>
      <c r="H739" s="8" t="str">
        <f>IFNA(VLOOKUP(F739,Driver!A:C,3,false),"")</f>
        <v/>
      </c>
      <c r="I739" s="9">
        <v>0.2916666666666667</v>
      </c>
      <c r="J739" s="9">
        <v>0.5</v>
      </c>
      <c r="K739" s="9"/>
    </row>
    <row r="740" hidden="1">
      <c r="A740" s="5" t="str">
        <f>IFNA(VLOOKUP(D740,'Location Table'!A:C,2,false),"")</f>
        <v>b6d02ed8-9fb4-11ee-837e-506b8d9879b5</v>
      </c>
      <c r="B740" s="5" t="str">
        <f>IFNA(VLOOKUP(F740,Driver!A:C,2,false),"")</f>
        <v>8909168a-37c4-11ed-9647-506b8dbc8dfb</v>
      </c>
      <c r="C740" s="5" t="str">
        <f>IFNA(VLOOKUP(E740,'Location Table'!A:C,2,false),"")</f>
        <v/>
      </c>
      <c r="D740" s="6" t="s">
        <v>610</v>
      </c>
      <c r="E740" s="6"/>
      <c r="F740" s="6" t="s">
        <v>552</v>
      </c>
      <c r="G740" s="7" t="str">
        <f>IFNA(VLOOKUP(F740,Driver!A:D,4,false),"")</f>
        <v>1980698793628880414:XXMGIAegigeHesHcPUQpIcnMCwhigvPUATFrPyRHiqIZqTwmvWiXbUzfDhivxPcl</v>
      </c>
      <c r="H740" s="8" t="str">
        <f>IFNA(VLOOKUP(F740,Driver!A:C,3,false),"")</f>
        <v>6f0424c9ec8505db5c94</v>
      </c>
      <c r="I740" s="9">
        <v>0.2916666666666667</v>
      </c>
      <c r="J740" s="9">
        <v>0.75</v>
      </c>
      <c r="K740" s="9"/>
    </row>
    <row r="741" hidden="1">
      <c r="A741" s="5" t="str">
        <f>IFNA(VLOOKUP(D741,'Location Table'!A:C,2,false),"")</f>
        <v>ec89062a-5dd4-11ee-a44b-506b8d9879b5</v>
      </c>
      <c r="B741" s="5" t="str">
        <f>IFNA(VLOOKUP(F741,Driver!A:C,2,false),"")</f>
        <v>8909168a-37c4-11ed-9647-506b8dbc8dfb</v>
      </c>
      <c r="C741" s="5" t="str">
        <f>IFNA(VLOOKUP(E741,'Location Table'!A:C,2,false),"")</f>
        <v/>
      </c>
      <c r="D741" s="6" t="s">
        <v>611</v>
      </c>
      <c r="E741" s="6"/>
      <c r="F741" s="6" t="s">
        <v>552</v>
      </c>
      <c r="G741" s="7" t="str">
        <f>IFNA(VLOOKUP(F741,Driver!A:D,4,false),"")</f>
        <v>1980698793628880414:XXMGIAegigeHesHcPUQpIcnMCwhigvPUATFrPyRHiqIZqTwmvWiXbUzfDhivxPcl</v>
      </c>
      <c r="H741" s="8" t="str">
        <f>IFNA(VLOOKUP(F741,Driver!A:C,3,false),"")</f>
        <v>6f0424c9ec8505db5c94</v>
      </c>
      <c r="I741" s="9">
        <v>0.2916666666666667</v>
      </c>
      <c r="J741" s="9">
        <v>0.75</v>
      </c>
      <c r="K741" s="9"/>
    </row>
    <row r="742" hidden="1">
      <c r="A742" s="5" t="str">
        <f>IFNA(VLOOKUP(D742,'Location Table'!A:C,2,false),"")</f>
        <v>a4f42f2c-078f-11f0-9ba4-506b8d982279</v>
      </c>
      <c r="B742" s="5" t="str">
        <f>IFNA(VLOOKUP(F742,Driver!A:C,2,false),"")</f>
        <v>41ea8512-2e70-11f1-9378-fa163ee8d8ac</v>
      </c>
      <c r="C742" s="5" t="str">
        <f>IFNA(VLOOKUP(E742,'Location Table'!A:C,2,false),"")</f>
        <v/>
      </c>
      <c r="D742" s="6" t="s">
        <v>612</v>
      </c>
      <c r="E742" s="6"/>
      <c r="F742" s="10" t="s">
        <v>35</v>
      </c>
      <c r="G742" s="7" t="str">
        <f>IFNA(VLOOKUP(F742,Driver!A:D,4,false),"")</f>
        <v/>
      </c>
      <c r="H742" s="8" t="str">
        <f>IFNA(VLOOKUP(F742,Driver!A:C,3,false),"")</f>
        <v/>
      </c>
      <c r="I742" s="9">
        <v>0.2916666666666667</v>
      </c>
      <c r="J742" s="9">
        <v>0.75</v>
      </c>
      <c r="K742" s="9"/>
    </row>
    <row r="743" hidden="1">
      <c r="A743" s="5" t="str">
        <f>IFNA(VLOOKUP(D743,'Location Table'!A:C,2,false),"")</f>
        <v>383ca10c-3e12-11f0-a958-506b8d982279</v>
      </c>
      <c r="B743" s="5" t="str">
        <f>IFNA(VLOOKUP(F743,Driver!A:C,2,false),"")</f>
        <v>41ea8512-2e70-11f1-9378-fa163ee8d8ac</v>
      </c>
      <c r="C743" s="5" t="str">
        <f>IFNA(VLOOKUP(E743,'Location Table'!A:C,2,false),"")</f>
        <v/>
      </c>
      <c r="D743" s="6" t="s">
        <v>613</v>
      </c>
      <c r="E743" s="6"/>
      <c r="F743" s="10" t="s">
        <v>35</v>
      </c>
      <c r="G743" s="7" t="str">
        <f>IFNA(VLOOKUP(F743,Driver!A:D,4,false),"")</f>
        <v/>
      </c>
      <c r="H743" s="8" t="str">
        <f>IFNA(VLOOKUP(F743,Driver!A:C,3,false),"")</f>
        <v/>
      </c>
      <c r="I743" s="9">
        <v>0.2916666666666667</v>
      </c>
      <c r="J743" s="9">
        <v>0.75</v>
      </c>
      <c r="K743" s="9"/>
    </row>
    <row r="744" hidden="1">
      <c r="A744" s="5" t="str">
        <f>IFNA(VLOOKUP(D744,'Location Table'!A:C,2,false),"")</f>
        <v>dd6095f4-4bc3-11ef-9e92-506b8d9879b5</v>
      </c>
      <c r="B744" s="5" t="str">
        <f>IFNA(VLOOKUP(F744,Driver!A:C,2,false),"")</f>
        <v>ee94ca62-729f-11f0-8cd5-506b8d982279</v>
      </c>
      <c r="C744" s="5" t="str">
        <f>IFNA(VLOOKUP(E744,'Location Table'!A:C,2,false),"")</f>
        <v/>
      </c>
      <c r="D744" s="6" t="s">
        <v>614</v>
      </c>
      <c r="E744" s="6"/>
      <c r="F744" s="6" t="s">
        <v>104</v>
      </c>
      <c r="G744" s="7" t="str">
        <f>IFNA(VLOOKUP(F744,Driver!A:D,4,false),"")</f>
        <v>1980698793628880414:XXMGIAegigeHesHcPUQpIcnMCwhigvPUATFrPyRHiqIZqTwmvWiXbUzfDhivxPcl</v>
      </c>
      <c r="H744" s="8" t="str">
        <f>IFNA(VLOOKUP(F744,Driver!A:C,3,false),"")</f>
        <v>f4d2e910814c6812315d</v>
      </c>
      <c r="I744" s="9">
        <v>0.2916666666666667</v>
      </c>
      <c r="J744" s="9">
        <v>0.75</v>
      </c>
      <c r="K744" s="9"/>
    </row>
    <row r="745" hidden="1">
      <c r="A745" s="5" t="str">
        <f>IFNA(VLOOKUP(D745,'Location Table'!A:C,2,false),"")</f>
        <v>3e89ccc0-86c9-11ef-8b7a-506b8d9879b5</v>
      </c>
      <c r="B745" s="5" t="str">
        <f>IFNA(VLOOKUP(F745,Driver!A:C,2,false),"")</f>
        <v>d63f18ac-7342-11f0-be1a-506b8d982279</v>
      </c>
      <c r="C745" s="5" t="str">
        <f>IFNA(VLOOKUP(E745,'Location Table'!A:C,2,false),"")</f>
        <v/>
      </c>
      <c r="D745" s="6" t="s">
        <v>615</v>
      </c>
      <c r="E745" s="6"/>
      <c r="F745" s="6" t="s">
        <v>582</v>
      </c>
      <c r="G745" s="7" t="str">
        <f>IFNA(VLOOKUP(F745,Driver!A:D,4,false),"")</f>
        <v/>
      </c>
      <c r="H745" s="8" t="str">
        <f>IFNA(VLOOKUP(F745,Driver!A:C,3,false),"")</f>
        <v/>
      </c>
      <c r="I745" s="9">
        <v>0.2916666666666667</v>
      </c>
      <c r="J745" s="9">
        <v>0.5833333333333334</v>
      </c>
      <c r="K745" s="9"/>
    </row>
    <row r="746" hidden="1">
      <c r="A746" s="5" t="str">
        <f>IFNA(VLOOKUP(D746,'Location Table'!A:C,2,false),"")</f>
        <v>d89fd6da-2d13-11ee-a036-506b8d9879b5</v>
      </c>
      <c r="B746" s="5" t="str">
        <f>IFNA(VLOOKUP(F746,Driver!A:C,2,false),"")</f>
        <v>660cb676-e32e-11ed-9e6c-506b8dbc8dfb</v>
      </c>
      <c r="C746" s="5" t="str">
        <f>IFNA(VLOOKUP(E746,'Location Table'!A:C,2,false),"")</f>
        <v/>
      </c>
      <c r="D746" s="6" t="s">
        <v>616</v>
      </c>
      <c r="E746" s="6"/>
      <c r="F746" s="6" t="s">
        <v>494</v>
      </c>
      <c r="G746" s="7" t="str">
        <f>IFNA(VLOOKUP(F746,Driver!A:D,4,false),"")</f>
        <v>2160130926882687325:VSRHFZoYrhhtnecmAaOfmgvaKlfxBZEgxFxSbLPTAhfVwurTuJfQgOTrwyseeqJQ</v>
      </c>
      <c r="H746" s="8" t="str">
        <f>IFNA(VLOOKUP(F746,Driver!A:C,3,false),"")</f>
        <v>656e49d39f9a76c42f8b</v>
      </c>
      <c r="I746" s="9">
        <v>0.2916666666666667</v>
      </c>
      <c r="J746" s="9">
        <v>0.75</v>
      </c>
      <c r="K746" s="9"/>
    </row>
    <row r="747" hidden="1">
      <c r="A747" s="5" t="str">
        <f>IFNA(VLOOKUP(D747,'Location Table'!A:C,2,false),"")</f>
        <v>3982905c-544a-11ee-be4d-506b8d9879b5</v>
      </c>
      <c r="B747" s="5" t="str">
        <f>IFNA(VLOOKUP(F747,Driver!A:C,2,false),"")</f>
        <v>717fa61c-3654-11ed-b103-506b8dbc8dfb</v>
      </c>
      <c r="C747" s="5" t="str">
        <f>IFNA(VLOOKUP(E747,'Location Table'!A:C,2,false),"")</f>
        <v/>
      </c>
      <c r="D747" s="6" t="s">
        <v>617</v>
      </c>
      <c r="E747" s="6"/>
      <c r="F747" s="6" t="s">
        <v>361</v>
      </c>
      <c r="G747" s="7" t="str">
        <f>IFNA(VLOOKUP(F747,Driver!A:D,4,false),"")</f>
        <v>1980698793628880414:XXMGIAegigeHesHcPUQpIcnMCwhigvPUATFrPyRHiqIZqTwmvWiXbUzfDhivxPcl</v>
      </c>
      <c r="H747" s="8" t="str">
        <f>IFNA(VLOOKUP(F747,Driver!A:C,3,false),"")</f>
        <v>fbc73b7bb6385f660629</v>
      </c>
      <c r="I747" s="9">
        <v>0.23958333333333334</v>
      </c>
      <c r="J747" s="9">
        <v>0.6041666666666666</v>
      </c>
      <c r="K747" s="5" t="s">
        <v>362</v>
      </c>
    </row>
    <row r="748" hidden="1">
      <c r="A748" s="5" t="str">
        <f>IFNA(VLOOKUP(D748,'Location Table'!A:C,2,false),"")</f>
        <v>59fa8f78-8b9e-11f0-8002-506b8d982279</v>
      </c>
      <c r="B748" s="5" t="str">
        <f>IFNA(VLOOKUP(F748,Driver!A:C,2,false),"")</f>
        <v>8909168a-37c4-11ed-9647-506b8dbc8dfb</v>
      </c>
      <c r="C748" s="5" t="str">
        <f>IFNA(VLOOKUP(E748,'Location Table'!A:C,2,false),"")</f>
        <v/>
      </c>
      <c r="D748" s="6" t="s">
        <v>618</v>
      </c>
      <c r="E748" s="6"/>
      <c r="F748" s="6" t="s">
        <v>552</v>
      </c>
      <c r="G748" s="7" t="str">
        <f>IFNA(VLOOKUP(F748,Driver!A:D,4,false),"")</f>
        <v>1980698793628880414:XXMGIAegigeHesHcPUQpIcnMCwhigvPUATFrPyRHiqIZqTwmvWiXbUzfDhivxPcl</v>
      </c>
      <c r="H748" s="8" t="str">
        <f>IFNA(VLOOKUP(F748,Driver!A:C,3,false),"")</f>
        <v>6f0424c9ec8505db5c94</v>
      </c>
      <c r="I748" s="9">
        <v>0.2916666666666667</v>
      </c>
      <c r="J748" s="9">
        <v>0.75</v>
      </c>
      <c r="K748" s="9"/>
    </row>
    <row r="749" hidden="1">
      <c r="A749" s="5" t="str">
        <f>IFNA(VLOOKUP(D749,'Location Table'!A:C,2,false),"")</f>
        <v>92b334f4-d9a1-11f0-a228-506b8d982279</v>
      </c>
      <c r="B749" s="5" t="str">
        <f>IFNA(VLOOKUP(F749,Driver!A:C,2,false),"")</f>
        <v>103090f4-37c8-11ed-9333-506b8dbc8dfb</v>
      </c>
      <c r="C749" s="5" t="str">
        <f>IFNA(VLOOKUP(E749,'Location Table'!A:C,2,false),"")</f>
        <v/>
      </c>
      <c r="D749" s="6" t="s">
        <v>619</v>
      </c>
      <c r="E749" s="6"/>
      <c r="F749" s="6" t="s">
        <v>130</v>
      </c>
      <c r="G749" s="7" t="str">
        <f>IFNA(VLOOKUP(F749,Driver!A:D,4,false),"")</f>
        <v>2160130926882687325:VSRHFZoYrhhtnecmAaOfmgvaKlfxBZEgxFxSbLPTAhfVwurTuJfQgOTrwyseeqJQ</v>
      </c>
      <c r="H749" s="8" t="str">
        <f>IFNA(VLOOKUP(F749,Driver!A:C,3,false),"")</f>
        <v>77085b30147bfd25a46a</v>
      </c>
      <c r="I749" s="9">
        <v>0.2916666666666667</v>
      </c>
      <c r="J749" s="9">
        <v>0.8541666666666666</v>
      </c>
      <c r="K749" s="9"/>
    </row>
    <row r="750" hidden="1">
      <c r="A750" s="5" t="str">
        <f>IFNA(VLOOKUP(D750,'Location Table'!A:C,2,false),"")</f>
        <v>5298af74-d7e0-11f0-adc3-506b8d982279</v>
      </c>
      <c r="B750" s="5" t="str">
        <f>IFNA(VLOOKUP(F750,Driver!A:C,2,false),"")</f>
        <v>103090f4-37c8-11ed-9333-506b8dbc8dfb</v>
      </c>
      <c r="C750" s="5" t="str">
        <f>IFNA(VLOOKUP(E750,'Location Table'!A:C,2,false),"")</f>
        <v/>
      </c>
      <c r="D750" s="6" t="s">
        <v>620</v>
      </c>
      <c r="E750" s="6"/>
      <c r="F750" s="6" t="s">
        <v>130</v>
      </c>
      <c r="G750" s="7" t="str">
        <f>IFNA(VLOOKUP(F750,Driver!A:D,4,false),"")</f>
        <v>2160130926882687325:VSRHFZoYrhhtnecmAaOfmgvaKlfxBZEgxFxSbLPTAhfVwurTuJfQgOTrwyseeqJQ</v>
      </c>
      <c r="H750" s="8" t="str">
        <f>IFNA(VLOOKUP(F750,Driver!A:C,3,false),"")</f>
        <v>77085b30147bfd25a46a</v>
      </c>
      <c r="I750" s="9">
        <v>0.2916666666666667</v>
      </c>
      <c r="J750" s="9">
        <v>0.8541666666666666</v>
      </c>
      <c r="K750" s="9"/>
    </row>
    <row r="751" hidden="1">
      <c r="A751" s="5" t="str">
        <f>IFNA(VLOOKUP(D751,'Location Table'!A:C,2,false),"")</f>
        <v>8f48bac0-630c-11f0-b1ca-506b8d982279</v>
      </c>
      <c r="B751" s="5" t="str">
        <f>IFNA(VLOOKUP(F751,Driver!A:C,2,false),"")</f>
        <v>353f3686-dcc8-11f0-82b8-506b8d982279</v>
      </c>
      <c r="C751" s="5" t="str">
        <f>IFNA(VLOOKUP(E751,'Location Table'!A:C,2,false),"")</f>
        <v/>
      </c>
      <c r="D751" s="6" t="s">
        <v>621</v>
      </c>
      <c r="E751" s="6"/>
      <c r="F751" s="6" t="s">
        <v>96</v>
      </c>
      <c r="G751" s="7" t="str">
        <f>IFNA(VLOOKUP(F751,Driver!A:D,4,false),"")</f>
        <v>2160130926882687325:VSRHFZoYrhhtnecmAaOfmgvaKlfxBZEgxFxSbLPTAhfVwurTuJfQgOTrwyseeqJQ</v>
      </c>
      <c r="H751" s="8" t="str">
        <f>IFNA(VLOOKUP(F751,Driver!A:C,3,false),"")</f>
        <v>e7ce6d37cc7f25217c6e</v>
      </c>
      <c r="I751" s="9">
        <v>0.2916666666666667</v>
      </c>
      <c r="J751" s="9">
        <v>0.75</v>
      </c>
      <c r="K751" s="9"/>
    </row>
    <row r="752" hidden="1">
      <c r="A752" s="5" t="str">
        <f>IFNA(VLOOKUP(D752,'Location Table'!A:C,2,false),"")</f>
        <v>2df160d4-39da-11f0-a2f8-506b8d982279</v>
      </c>
      <c r="B752" s="5" t="str">
        <f>IFNA(VLOOKUP(F752,Driver!A:C,2,false),"")</f>
        <v>d2c2d39e-11e4-11f1-9378-fa163ee8d8ac</v>
      </c>
      <c r="C752" s="5" t="str">
        <f>IFNA(VLOOKUP(E752,'Location Table'!A:C,2,false),"")</f>
        <v/>
      </c>
      <c r="D752" s="6" t="s">
        <v>622</v>
      </c>
      <c r="E752" s="6"/>
      <c r="F752" s="6" t="s">
        <v>88</v>
      </c>
      <c r="G752" s="7" t="str">
        <f>IFNA(VLOOKUP(F752,Driver!A:D,4,false),"")</f>
        <v>1980698793628880414:XXMGIAegigeHesHcPUQpIcnMCwhigvPUATFrPyRHiqIZqTwmvWiXbUzfDhivxPcl</v>
      </c>
      <c r="H752" s="8" t="str">
        <f>IFNA(VLOOKUP(F752,Driver!A:C,3,false),"")</f>
        <v>59a2bfce5a81b3dfea90</v>
      </c>
      <c r="I752" s="9">
        <v>0.2916666666666667</v>
      </c>
      <c r="J752" s="9">
        <v>0.6666666666666666</v>
      </c>
      <c r="K752" s="9"/>
    </row>
    <row r="753" hidden="1">
      <c r="A753" s="5" t="str">
        <f>IFNA(VLOOKUP(D753,'Location Table'!A:C,2,false),"")</f>
        <v>c7166e00-1e0f-11ee-a97a-506b8d9879b5</v>
      </c>
      <c r="B753" s="5" t="str">
        <f>IFNA(VLOOKUP(F753,Driver!A:C,2,false),"")</f>
        <v>f5993946-37cf-11ed-a3fc-506b8dbc8dfb</v>
      </c>
      <c r="C753" s="5" t="str">
        <f>IFNA(VLOOKUP(E753,'Location Table'!A:C,2,false),"")</f>
        <v/>
      </c>
      <c r="D753" s="6" t="s">
        <v>623</v>
      </c>
      <c r="E753" s="6"/>
      <c r="F753" s="6" t="s">
        <v>314</v>
      </c>
      <c r="G753" s="7" t="str">
        <f>IFNA(VLOOKUP(F753,Driver!A:D,4,false),"")</f>
        <v/>
      </c>
      <c r="H753" s="8" t="str">
        <f>IFNA(VLOOKUP(F753,Driver!A:C,3,false),"")</f>
        <v/>
      </c>
      <c r="I753" s="9">
        <v>0.2916666666666667</v>
      </c>
      <c r="J753" s="9">
        <v>0.6666666666666666</v>
      </c>
      <c r="K753" s="9"/>
    </row>
    <row r="754" hidden="1">
      <c r="A754" s="5" t="str">
        <f>IFNA(VLOOKUP(D754,'Location Table'!A:C,2,false),"")</f>
        <v>5a1f764a-613c-11ef-b8cb-506b8d9879b5</v>
      </c>
      <c r="B754" s="5" t="str">
        <f>IFNA(VLOOKUP(F754,Driver!A:C,2,false),"")</f>
        <v>a01fefe6-3653-11ed-8128-506b8dbc8dfb</v>
      </c>
      <c r="C754" s="5" t="str">
        <f>IFNA(VLOOKUP(E754,'Location Table'!A:C,2,false),"")</f>
        <v/>
      </c>
      <c r="D754" s="6" t="s">
        <v>624</v>
      </c>
      <c r="E754" s="6"/>
      <c r="F754" s="6" t="s">
        <v>128</v>
      </c>
      <c r="G754" s="7" t="str">
        <f>IFNA(VLOOKUP(F754,Driver!A:D,4,false),"")</f>
        <v/>
      </c>
      <c r="H754" s="8" t="str">
        <f>IFNA(VLOOKUP(F754,Driver!A:C,3,false),"")</f>
        <v/>
      </c>
      <c r="I754" s="9">
        <v>0.2916666666666667</v>
      </c>
      <c r="J754" s="9">
        <v>0.5</v>
      </c>
      <c r="K754" s="9"/>
    </row>
    <row r="755" hidden="1">
      <c r="A755" s="5" t="str">
        <f>IFNA(VLOOKUP(D755,'Location Table'!A:C,2,false),"")</f>
        <v>054ab756-d689-11f0-8329-506b8d982279</v>
      </c>
      <c r="B755" s="5" t="str">
        <f>IFNA(VLOOKUP(F755,Driver!A:C,2,false),"")</f>
        <v>103090f4-37c8-11ed-9333-506b8dbc8dfb</v>
      </c>
      <c r="C755" s="5" t="str">
        <f>IFNA(VLOOKUP(E755,'Location Table'!A:C,2,false),"")</f>
        <v/>
      </c>
      <c r="D755" s="6" t="s">
        <v>625</v>
      </c>
      <c r="E755" s="6"/>
      <c r="F755" s="6" t="s">
        <v>130</v>
      </c>
      <c r="G755" s="7" t="str">
        <f>IFNA(VLOOKUP(F755,Driver!A:D,4,false),"")</f>
        <v>2160130926882687325:VSRHFZoYrhhtnecmAaOfmgvaKlfxBZEgxFxSbLPTAhfVwurTuJfQgOTrwyseeqJQ</v>
      </c>
      <c r="H755" s="8" t="str">
        <f>IFNA(VLOOKUP(F755,Driver!A:C,3,false),"")</f>
        <v>77085b30147bfd25a46a</v>
      </c>
      <c r="I755" s="9">
        <v>0.2916666666666667</v>
      </c>
      <c r="J755" s="9">
        <v>0.8541666666666666</v>
      </c>
      <c r="K755" s="9"/>
    </row>
    <row r="756" hidden="1">
      <c r="A756" s="5" t="str">
        <f>IFNA(VLOOKUP(D756,'Location Table'!A:C,2,false),"")</f>
        <v>57cf4696-c885-11ed-a324-506b8dbc8dfb</v>
      </c>
      <c r="B756" s="5" t="str">
        <f>IFNA(VLOOKUP(F756,Driver!A:C,2,false),"")</f>
        <v>f5993946-37cf-11ed-a3fc-506b8dbc8dfb</v>
      </c>
      <c r="C756" s="5" t="str">
        <f>IFNA(VLOOKUP(E756,'Location Table'!A:C,2,false),"")</f>
        <v/>
      </c>
      <c r="D756" s="6" t="s">
        <v>626</v>
      </c>
      <c r="E756" s="6"/>
      <c r="F756" s="6" t="s">
        <v>314</v>
      </c>
      <c r="G756" s="7" t="str">
        <f>IFNA(VLOOKUP(F756,Driver!A:D,4,false),"")</f>
        <v/>
      </c>
      <c r="H756" s="8" t="str">
        <f>IFNA(VLOOKUP(F756,Driver!A:C,3,false),"")</f>
        <v/>
      </c>
      <c r="I756" s="9">
        <v>0.2916666666666667</v>
      </c>
      <c r="J756" s="9">
        <v>0.6666666666666666</v>
      </c>
      <c r="K756" s="9"/>
    </row>
    <row r="757" hidden="1">
      <c r="A757" s="5" t="str">
        <f>IFNA(VLOOKUP(D757,'Location Table'!A:C,2,false),"")</f>
        <v>30bd8f0c-c082-11f0-bfba-506b8d982279</v>
      </c>
      <c r="B757" s="5" t="str">
        <f>IFNA(VLOOKUP(F757,Driver!A:C,2,false),"")</f>
        <v>c34fdbc2-ea4c-11ed-a5e2-506b8dbc8dfb</v>
      </c>
      <c r="C757" s="5" t="str">
        <f>IFNA(VLOOKUP(E757,'Location Table'!A:C,2,false),"")</f>
        <v/>
      </c>
      <c r="D757" s="6" t="s">
        <v>627</v>
      </c>
      <c r="E757" s="6"/>
      <c r="F757" s="6" t="s">
        <v>335</v>
      </c>
      <c r="G757" s="7" t="str">
        <f>IFNA(VLOOKUP(F757,Driver!A:D,4,false),"")</f>
        <v>1980698793628880414:XXMGIAegigeHesHcPUQpIcnMCwhigvPUATFrPyRHiqIZqTwmvWiXbUzfDhivxPcl</v>
      </c>
      <c r="H757" s="8" t="str">
        <f>IFNA(VLOOKUP(F757,Driver!A:C,3,false),"")</f>
        <v>671c6e0f3741de1f8750</v>
      </c>
      <c r="I757" s="9">
        <v>0.2916666666666667</v>
      </c>
      <c r="J757" s="9">
        <v>0.75</v>
      </c>
      <c r="K757" s="9"/>
    </row>
    <row r="758" hidden="1">
      <c r="A758" s="5" t="str">
        <f>IFNA(VLOOKUP(D758,'Location Table'!A:C,2,false),"")</f>
        <v>67aba92e-586d-11ee-95a5-506b8d9879b5</v>
      </c>
      <c r="B758" s="5" t="str">
        <f>IFNA(VLOOKUP(F758,Driver!A:C,2,false),"")</f>
        <v>e3970cec-503e-11f1-9378-fa163ee8d8ac</v>
      </c>
      <c r="C758" s="5" t="str">
        <f>IFNA(VLOOKUP(E758,'Location Table'!A:C,2,false),"")</f>
        <v/>
      </c>
      <c r="D758" s="6" t="s">
        <v>628</v>
      </c>
      <c r="E758" s="6"/>
      <c r="F758" s="10" t="s">
        <v>328</v>
      </c>
      <c r="G758" s="7" t="str">
        <f>IFNA(VLOOKUP(F758,Driver!A:D,4,false),"")</f>
        <v/>
      </c>
      <c r="H758" s="8" t="str">
        <f>IFNA(VLOOKUP(F758,Driver!A:C,3,false),"")</f>
        <v/>
      </c>
      <c r="I758" s="9">
        <v>0.2916666666666667</v>
      </c>
      <c r="J758" s="9">
        <v>0.6666666666666666</v>
      </c>
      <c r="K758" s="9"/>
    </row>
    <row r="759" hidden="1">
      <c r="A759" s="5" t="str">
        <f>IFNA(VLOOKUP(D759,'Location Table'!A:C,2,false),"")</f>
        <v>94e0007e-2b95-11ef-9d65-506b8d9879b5</v>
      </c>
      <c r="B759" s="5" t="str">
        <f>IFNA(VLOOKUP(F759,Driver!A:C,2,false),"")</f>
        <v>b74e3178-7caf-11f0-a9c3-506b8d982279</v>
      </c>
      <c r="C759" s="5" t="str">
        <f>IFNA(VLOOKUP(E759,'Location Table'!A:C,2,false),"")</f>
        <v/>
      </c>
      <c r="D759" s="6" t="s">
        <v>629</v>
      </c>
      <c r="E759" s="6"/>
      <c r="F759" s="6" t="s">
        <v>326</v>
      </c>
      <c r="G759" s="7" t="str">
        <f>IFNA(VLOOKUP(F759,Driver!A:D,4,false),"")</f>
        <v>2160130926882687325:VSRHFZoYrhhtnecmAaOfmgvaKlfxBZEgxFxSbLPTAhfVwurTuJfQgOTrwyseeqJQ</v>
      </c>
      <c r="H759" s="8" t="str">
        <f>IFNA(VLOOKUP(F759,Driver!A:C,3,false),"")</f>
        <v>473ef1d8329bdbc5828a</v>
      </c>
      <c r="I759" s="9">
        <v>0.2916666666666667</v>
      </c>
      <c r="J759" s="9">
        <v>0.6666666666666666</v>
      </c>
      <c r="K759" s="9"/>
    </row>
    <row r="760" hidden="1">
      <c r="A760" s="5" t="str">
        <f>IFNA(VLOOKUP(D760,'Location Table'!A:C,2,false),"")</f>
        <v>3cb28f2a-49fb-11ed-abaa-506b8dbc8dfb</v>
      </c>
      <c r="B760" s="5" t="str">
        <f>IFNA(VLOOKUP(F760,Driver!A:C,2,false),"")</f>
        <v>e3970cec-503e-11f1-9378-fa163ee8d8ac</v>
      </c>
      <c r="C760" s="5" t="str">
        <f>IFNA(VLOOKUP(E760,'Location Table'!A:C,2,false),"")</f>
        <v/>
      </c>
      <c r="D760" s="6" t="s">
        <v>630</v>
      </c>
      <c r="E760" s="6"/>
      <c r="F760" s="10" t="s">
        <v>328</v>
      </c>
      <c r="G760" s="7" t="str">
        <f>IFNA(VLOOKUP(F760,Driver!A:D,4,false),"")</f>
        <v/>
      </c>
      <c r="H760" s="8" t="str">
        <f>IFNA(VLOOKUP(F760,Driver!A:C,3,false),"")</f>
        <v/>
      </c>
      <c r="I760" s="9">
        <v>0.2916666666666667</v>
      </c>
      <c r="J760" s="9">
        <v>0.5833333333333334</v>
      </c>
      <c r="K760" s="9"/>
    </row>
    <row r="761" hidden="1">
      <c r="A761" s="5" t="str">
        <f>IFNA(VLOOKUP(D761,'Location Table'!A:C,2,false),"")</f>
        <v>43e28d22-c9af-11f0-8609-506b8d982279</v>
      </c>
      <c r="B761" s="5" t="str">
        <f>IFNA(VLOOKUP(F761,Driver!A:C,2,false),"")</f>
        <v>1163ad80-d96e-11f0-b637-506b8d982279</v>
      </c>
      <c r="C761" s="5" t="str">
        <f>IFNA(VLOOKUP(E761,'Location Table'!A:C,2,false),"")</f>
        <v/>
      </c>
      <c r="D761" s="6" t="s">
        <v>631</v>
      </c>
      <c r="E761" s="6"/>
      <c r="F761" s="6" t="s">
        <v>498</v>
      </c>
      <c r="G761" s="7" t="str">
        <f>IFNA(VLOOKUP(F761,Driver!A:D,4,false),"")</f>
        <v>2160130926882687325:VSRHFZoYrhhtnecmAaOfmgvaKlfxBZEgxFxSbLPTAhfVwurTuJfQgOTrwyseeqJQ</v>
      </c>
      <c r="H761" s="8" t="str">
        <f>IFNA(VLOOKUP(F761,Driver!A:C,3,false),"")</f>
        <v>76599ccdde8e37d06e9f</v>
      </c>
      <c r="I761" s="9">
        <v>0.2916666666666667</v>
      </c>
      <c r="J761" s="9">
        <v>0.75</v>
      </c>
      <c r="K761" s="9"/>
    </row>
    <row r="762" hidden="1">
      <c r="A762" s="5" t="str">
        <f>IFNA(VLOOKUP(D762,'Location Table'!A:C,2,false),"")</f>
        <v>779334d6-1d87-11ee-8c8a-506b8d9879b5</v>
      </c>
      <c r="B762" s="5" t="str">
        <f>IFNA(VLOOKUP(F762,Driver!A:C,2,false),"")</f>
        <v>061bd7aa-35a6-11ed-9426-506b8dbc8dfb</v>
      </c>
      <c r="C762" s="5" t="str">
        <f>IFNA(VLOOKUP(E762,'Location Table'!A:C,2,false),"")</f>
        <v/>
      </c>
      <c r="D762" s="6" t="s">
        <v>632</v>
      </c>
      <c r="E762" s="6"/>
      <c r="F762" s="6" t="s">
        <v>346</v>
      </c>
      <c r="G762" s="7" t="str">
        <f>IFNA(VLOOKUP(F762,Driver!A:D,4,false),"")</f>
        <v>2160130926882687325:VSRHFZoYrhhtnecmAaOfmgvaKlfxBZEgxFxSbLPTAhfVwurTuJfQgOTrwyseeqJQ</v>
      </c>
      <c r="H762" s="8" t="str">
        <f>IFNA(VLOOKUP(F762,Driver!A:C,3,false),"")</f>
        <v>a6d70e0cd7463e186757</v>
      </c>
      <c r="I762" s="9">
        <v>0.2916666666666667</v>
      </c>
      <c r="J762" s="9">
        <v>0.6666666666666666</v>
      </c>
      <c r="K762" s="9"/>
    </row>
    <row r="763" hidden="1">
      <c r="A763" s="5" t="str">
        <f>IFNA(VLOOKUP(D763,'Location Table'!A:C,2,false),"")</f>
        <v>8dab5ef4-f3e8-11ef-aee5-506b8d9879b5</v>
      </c>
      <c r="B763" s="5" t="str">
        <f>IFNA(VLOOKUP(F763,Driver!A:C,2,false),"")</f>
        <v>8909168a-37c4-11ed-9647-506b8dbc8dfb</v>
      </c>
      <c r="C763" s="5" t="str">
        <f>IFNA(VLOOKUP(E763,'Location Table'!A:C,2,false),"")</f>
        <v/>
      </c>
      <c r="D763" s="6" t="s">
        <v>633</v>
      </c>
      <c r="E763" s="6"/>
      <c r="F763" s="6" t="s">
        <v>552</v>
      </c>
      <c r="G763" s="7" t="str">
        <f>IFNA(VLOOKUP(F763,Driver!A:D,4,false),"")</f>
        <v>1980698793628880414:XXMGIAegigeHesHcPUQpIcnMCwhigvPUATFrPyRHiqIZqTwmvWiXbUzfDhivxPcl</v>
      </c>
      <c r="H763" s="8" t="str">
        <f>IFNA(VLOOKUP(F763,Driver!A:C,3,false),"")</f>
        <v>6f0424c9ec8505db5c94</v>
      </c>
      <c r="I763" s="9">
        <v>0.2916666666666667</v>
      </c>
      <c r="J763" s="9">
        <v>0.75</v>
      </c>
      <c r="K763" s="9"/>
    </row>
    <row r="764" hidden="1">
      <c r="A764" s="5" t="str">
        <f>IFNA(VLOOKUP(D764,'Location Table'!A:C,2,false),"")</f>
        <v>d9627430-7b1b-11f0-857d-506b8d982279</v>
      </c>
      <c r="B764" s="5" t="str">
        <f>IFNA(VLOOKUP(F764,Driver!A:C,2,false),"")</f>
        <v>586fa64a-37d0-11ed-b5ef-506b8dbc8dfb</v>
      </c>
      <c r="C764" s="5" t="str">
        <f>IFNA(VLOOKUP(E764,'Location Table'!A:C,2,false),"")</f>
        <v/>
      </c>
      <c r="D764" s="6" t="s">
        <v>634</v>
      </c>
      <c r="E764" s="6"/>
      <c r="F764" s="6" t="s">
        <v>355</v>
      </c>
      <c r="G764" s="7" t="str">
        <f>IFNA(VLOOKUP(F764,Driver!A:D,4,false),"")</f>
        <v>2160130926882687325:VSRHFZoYrhhtnecmAaOfmgvaKlfxBZEgxFxSbLPTAhfVwurTuJfQgOTrwyseeqJQ</v>
      </c>
      <c r="H764" s="8" t="str">
        <f>IFNA(VLOOKUP(F764,Driver!A:C,3,false),"")</f>
        <v>cb12ddfaeea707f95eb6</v>
      </c>
      <c r="I764" s="9">
        <v>0.2916666666666667</v>
      </c>
      <c r="J764" s="9">
        <v>0.6666666666666666</v>
      </c>
      <c r="K764" s="9"/>
    </row>
    <row r="765" hidden="1">
      <c r="A765" s="5" t="str">
        <f>IFNA(VLOOKUP(D765,'Location Table'!A:C,2,false),"")</f>
        <v>e899e64e-31f8-11ef-870d-506b8d9879b5</v>
      </c>
      <c r="B765" s="5" t="str">
        <f>IFNA(VLOOKUP(F765,Driver!A:C,2,false),"")</f>
        <v>9ba6de4c-37d0-11ed-90bb-506b8dbc8dfb</v>
      </c>
      <c r="C765" s="5" t="str">
        <f>IFNA(VLOOKUP(E765,'Location Table'!A:C,2,false),"")</f>
        <v/>
      </c>
      <c r="D765" s="6" t="s">
        <v>635</v>
      </c>
      <c r="E765" s="6"/>
      <c r="F765" s="6" t="s">
        <v>330</v>
      </c>
      <c r="G765" s="7" t="str">
        <f>IFNA(VLOOKUP(F765,Driver!A:D,4,false),"")</f>
        <v>1980698793628880414:XXMGIAegigeHesHcPUQpIcnMCwhigvPUATFrPyRHiqIZqTwmvWiXbUzfDhivxPcl</v>
      </c>
      <c r="H765" s="8" t="str">
        <f>IFNA(VLOOKUP(F765,Driver!A:C,3,false),"")</f>
        <v>d0ce770b76499f17c658</v>
      </c>
      <c r="I765" s="9">
        <v>0.25</v>
      </c>
      <c r="J765" s="9">
        <v>0.6458333333333334</v>
      </c>
      <c r="K765" s="5" t="s">
        <v>331</v>
      </c>
    </row>
    <row r="766" hidden="1">
      <c r="A766" s="5" t="str">
        <f>IFNA(VLOOKUP(D766,'Location Table'!A:C,2,false),"")</f>
        <v>2eaf1aca-4478-11ed-b980-506b8dbc8dfb</v>
      </c>
      <c r="B766" s="5" t="str">
        <f>IFNA(VLOOKUP(F766,Driver!A:C,2,false),"")</f>
        <v>103090f4-37c8-11ed-9333-506b8dbc8dfb</v>
      </c>
      <c r="C766" s="5" t="str">
        <f>IFNA(VLOOKUP(E766,'Location Table'!A:C,2,false),"")</f>
        <v/>
      </c>
      <c r="D766" s="6" t="s">
        <v>636</v>
      </c>
      <c r="E766" s="6"/>
      <c r="F766" s="6" t="s">
        <v>130</v>
      </c>
      <c r="G766" s="7" t="str">
        <f>IFNA(VLOOKUP(F766,Driver!A:D,4,false),"")</f>
        <v>2160130926882687325:VSRHFZoYrhhtnecmAaOfmgvaKlfxBZEgxFxSbLPTAhfVwurTuJfQgOTrwyseeqJQ</v>
      </c>
      <c r="H766" s="8" t="str">
        <f>IFNA(VLOOKUP(F766,Driver!A:C,3,false),"")</f>
        <v>77085b30147bfd25a46a</v>
      </c>
      <c r="I766" s="9">
        <v>0.2916666666666667</v>
      </c>
      <c r="J766" s="9">
        <v>0.8541666666666666</v>
      </c>
      <c r="K766" s="9"/>
    </row>
    <row r="767" hidden="1">
      <c r="A767" s="5" t="str">
        <f>IFNA(VLOOKUP(D767,'Location Table'!A:C,2,false),"")</f>
        <v>0f920f28-f41d-11f0-9378-fa163ee8d8ac</v>
      </c>
      <c r="B767" s="5" t="str">
        <f>IFNA(VLOOKUP(F767,Driver!A:C,2,false),"")</f>
        <v>717fa61c-3654-11ed-b103-506b8dbc8dfb</v>
      </c>
      <c r="C767" s="5" t="str">
        <f>IFNA(VLOOKUP(E767,'Location Table'!A:C,2,false),"")</f>
        <v/>
      </c>
      <c r="D767" s="6" t="s">
        <v>637</v>
      </c>
      <c r="E767" s="6"/>
      <c r="F767" s="6" t="s">
        <v>361</v>
      </c>
      <c r="G767" s="7" t="str">
        <f>IFNA(VLOOKUP(F767,Driver!A:D,4,false),"")</f>
        <v>1980698793628880414:XXMGIAegigeHesHcPUQpIcnMCwhigvPUATFrPyRHiqIZqTwmvWiXbUzfDhivxPcl</v>
      </c>
      <c r="H767" s="8" t="str">
        <f>IFNA(VLOOKUP(F767,Driver!A:C,3,false),"")</f>
        <v>fbc73b7bb6385f660629</v>
      </c>
      <c r="I767" s="9">
        <v>0.23958333333333334</v>
      </c>
      <c r="J767" s="9">
        <v>0.6041666666666666</v>
      </c>
      <c r="K767" s="5" t="s">
        <v>362</v>
      </c>
    </row>
    <row r="768" hidden="1">
      <c r="A768" s="5" t="str">
        <f>IFNA(VLOOKUP(D768,'Location Table'!A:C,2,false),"")</f>
        <v>34e16eca-9003-11ee-8227-506b8d9879b5</v>
      </c>
      <c r="B768" s="5" t="str">
        <f>IFNA(VLOOKUP(F768,Driver!A:C,2,false),"")</f>
        <v>a01fefe6-3653-11ed-8128-506b8dbc8dfb</v>
      </c>
      <c r="C768" s="5" t="str">
        <f>IFNA(VLOOKUP(E768,'Location Table'!A:C,2,false),"")</f>
        <v/>
      </c>
      <c r="D768" s="6" t="s">
        <v>638</v>
      </c>
      <c r="E768" s="6"/>
      <c r="F768" s="6" t="s">
        <v>128</v>
      </c>
      <c r="G768" s="7" t="str">
        <f>IFNA(VLOOKUP(F768,Driver!A:D,4,false),"")</f>
        <v/>
      </c>
      <c r="H768" s="8" t="str">
        <f>IFNA(VLOOKUP(F768,Driver!A:C,3,false),"")</f>
        <v/>
      </c>
      <c r="I768" s="9">
        <v>0.2916666666666667</v>
      </c>
      <c r="J768" s="9">
        <v>0.5</v>
      </c>
      <c r="K768" s="9"/>
    </row>
    <row r="769" hidden="1">
      <c r="A769" s="5" t="str">
        <f>IFNA(VLOOKUP(D769,'Location Table'!A:C,2,false),"")</f>
        <v>f9f328b8-1af4-11ee-843d-506b8d9879b5</v>
      </c>
      <c r="B769" s="5" t="str">
        <f>IFNA(VLOOKUP(F769,Driver!A:C,2,false),"")</f>
        <v>a9bf91b4-00e4-11f1-9378-fa163ee8d8ac</v>
      </c>
      <c r="C769" s="5" t="str">
        <f>IFNA(VLOOKUP(E769,'Location Table'!A:C,2,false),"")</f>
        <v/>
      </c>
      <c r="D769" s="6" t="s">
        <v>639</v>
      </c>
      <c r="E769" s="6"/>
      <c r="F769" s="6" t="s">
        <v>142</v>
      </c>
      <c r="G769" s="7" t="str">
        <f>IFNA(VLOOKUP(F769,Driver!A:D,4,false),"")</f>
        <v/>
      </c>
      <c r="H769" s="8" t="str">
        <f>IFNA(VLOOKUP(F769,Driver!A:C,3,false),"")</f>
        <v/>
      </c>
      <c r="I769" s="9">
        <v>0.2916666666666667</v>
      </c>
      <c r="J769" s="9">
        <v>0.5</v>
      </c>
      <c r="K769" s="9"/>
    </row>
    <row r="770" hidden="1">
      <c r="A770" s="5" t="str">
        <f>IFNA(VLOOKUP(D770,'Location Table'!A:C,2,false),"")</f>
        <v>8639bd3e-1b34-11ee-923c-506b8d9879b5</v>
      </c>
      <c r="B770" s="5" t="str">
        <f>IFNA(VLOOKUP(F770,Driver!A:C,2,false),"")</f>
        <v>b74e3178-7caf-11f0-a9c3-506b8d982279</v>
      </c>
      <c r="C770" s="5" t="str">
        <f>IFNA(VLOOKUP(E770,'Location Table'!A:C,2,false),"")</f>
        <v/>
      </c>
      <c r="D770" s="6" t="s">
        <v>640</v>
      </c>
      <c r="E770" s="6"/>
      <c r="F770" s="6" t="s">
        <v>326</v>
      </c>
      <c r="G770" s="7" t="str">
        <f>IFNA(VLOOKUP(F770,Driver!A:D,4,false),"")</f>
        <v>2160130926882687325:VSRHFZoYrhhtnecmAaOfmgvaKlfxBZEgxFxSbLPTAhfVwurTuJfQgOTrwyseeqJQ</v>
      </c>
      <c r="H770" s="8" t="str">
        <f>IFNA(VLOOKUP(F770,Driver!A:C,3,false),"")</f>
        <v>473ef1d8329bdbc5828a</v>
      </c>
      <c r="I770" s="9">
        <v>0.2916666666666667</v>
      </c>
      <c r="J770" s="9">
        <v>0.6666666666666666</v>
      </c>
      <c r="K770" s="9"/>
    </row>
    <row r="771" hidden="1">
      <c r="A771" s="5" t="str">
        <f>IFNA(VLOOKUP(D771,'Location Table'!A:C,2,false),"")</f>
        <v>359425d8-19e6-11f0-a03a-506b8d982279</v>
      </c>
      <c r="B771" s="5" t="str">
        <f>IFNA(VLOOKUP(F771,Driver!A:C,2,false),"")</f>
        <v>51b847ba-37cd-11ed-a5f6-506b8dbc8dfb</v>
      </c>
      <c r="C771" s="5" t="str">
        <f>IFNA(VLOOKUP(E771,'Location Table'!A:C,2,false),"")</f>
        <v/>
      </c>
      <c r="D771" s="6" t="s">
        <v>641</v>
      </c>
      <c r="E771" s="6"/>
      <c r="F771" s="6" t="s">
        <v>94</v>
      </c>
      <c r="G771" s="7" t="str">
        <f>IFNA(VLOOKUP(F771,Driver!A:D,4,false),"")</f>
        <v>1980698793628880414:XXMGIAegigeHesHcPUQpIcnMCwhigvPUATFrPyRHiqIZqTwmvWiXbUzfDhivxPcl</v>
      </c>
      <c r="H771" s="8" t="str">
        <f>IFNA(VLOOKUP(F771,Driver!A:C,3,false),"")</f>
        <v>3d1fec9027dcce8297cd</v>
      </c>
      <c r="I771" s="9">
        <v>0.2916666666666667</v>
      </c>
      <c r="J771" s="9">
        <v>0.6666666666666666</v>
      </c>
      <c r="K771" s="9"/>
    </row>
    <row r="772" hidden="1">
      <c r="A772" s="5" t="str">
        <f>IFNA(VLOOKUP(D772,'Location Table'!A:C,2,false),"")</f>
        <v>c57ab038-fff9-11ef-b55f-506b8d9879b5</v>
      </c>
      <c r="B772" s="5" t="str">
        <f>IFNA(VLOOKUP(F772,Driver!A:C,2,false),"")</f>
        <v>232be490-35a4-11ed-88b7-506b8dbc8dfb</v>
      </c>
      <c r="C772" s="5" t="str">
        <f>IFNA(VLOOKUP(E772,'Location Table'!A:C,2,false),"")</f>
        <v/>
      </c>
      <c r="D772" s="6" t="s">
        <v>642</v>
      </c>
      <c r="E772" s="6"/>
      <c r="F772" s="6" t="s">
        <v>110</v>
      </c>
      <c r="G772" s="7" t="str">
        <f>IFNA(VLOOKUP(F772,Driver!A:D,4,false),"")</f>
        <v>2160130926882687325:VSRHFZoYrhhtnecmAaOfmgvaKlfxBZEgxFxSbLPTAhfVwurTuJfQgOTrwyseeqJQ</v>
      </c>
      <c r="H772" s="8" t="str">
        <f>IFNA(VLOOKUP(F772,Driver!A:C,3,false),"")</f>
        <v>d9fc37dd4093a9cdf082</v>
      </c>
      <c r="I772" s="9">
        <v>0.2916666666666667</v>
      </c>
      <c r="J772" s="9">
        <v>0.6666666666666666</v>
      </c>
      <c r="K772" s="9"/>
    </row>
    <row r="773" hidden="1">
      <c r="A773" s="5" t="str">
        <f>IFNA(VLOOKUP(D773,'Location Table'!A:C,2,false),"")</f>
        <v>9eda254c-1d71-11ee-b55a-506b8d9879b5</v>
      </c>
      <c r="B773" s="5" t="str">
        <f>IFNA(VLOOKUP(F773,Driver!A:C,2,false),"")</f>
        <v>a9bf91b4-00e4-11f1-9378-fa163ee8d8ac</v>
      </c>
      <c r="C773" s="5" t="str">
        <f>IFNA(VLOOKUP(E773,'Location Table'!A:C,2,false),"")</f>
        <v/>
      </c>
      <c r="D773" s="6" t="s">
        <v>643</v>
      </c>
      <c r="E773" s="6"/>
      <c r="F773" s="6" t="s">
        <v>142</v>
      </c>
      <c r="G773" s="7" t="str">
        <f>IFNA(VLOOKUP(F773,Driver!A:D,4,false),"")</f>
        <v/>
      </c>
      <c r="H773" s="8" t="str">
        <f>IFNA(VLOOKUP(F773,Driver!A:C,3,false),"")</f>
        <v/>
      </c>
      <c r="I773" s="9">
        <v>0.2916666666666667</v>
      </c>
      <c r="J773" s="9">
        <v>0.5</v>
      </c>
      <c r="K773" s="9"/>
    </row>
    <row r="774" hidden="1">
      <c r="A774" s="5" t="str">
        <f>IFNA(VLOOKUP(D774,'Location Table'!A:C,2,false),"")</f>
        <v>a0d370aa-452d-11ed-a75b-506b8dbc8dfb</v>
      </c>
      <c r="B774" s="5" t="str">
        <f>IFNA(VLOOKUP(F774,Driver!A:C,2,false),"")</f>
        <v>d2c2d39e-11e4-11f1-9378-fa163ee8d8ac</v>
      </c>
      <c r="C774" s="5" t="str">
        <f>IFNA(VLOOKUP(E774,'Location Table'!A:C,2,false),"")</f>
        <v/>
      </c>
      <c r="D774" s="6" t="s">
        <v>644</v>
      </c>
      <c r="E774" s="6"/>
      <c r="F774" s="6" t="s">
        <v>88</v>
      </c>
      <c r="G774" s="7" t="str">
        <f>IFNA(VLOOKUP(F774,Driver!A:D,4,false),"")</f>
        <v>1980698793628880414:XXMGIAegigeHesHcPUQpIcnMCwhigvPUATFrPyRHiqIZqTwmvWiXbUzfDhivxPcl</v>
      </c>
      <c r="H774" s="8" t="str">
        <f>IFNA(VLOOKUP(F774,Driver!A:C,3,false),"")</f>
        <v>59a2bfce5a81b3dfea90</v>
      </c>
      <c r="I774" s="9">
        <v>0.2916666666666667</v>
      </c>
      <c r="J774" s="9">
        <v>0.6666666666666666</v>
      </c>
      <c r="K774" s="9"/>
    </row>
    <row r="775" hidden="1">
      <c r="A775" s="5" t="str">
        <f>IFNA(VLOOKUP(D775,'Location Table'!A:C,2,false),"")</f>
        <v>63e8c524-1519-11ef-af48-506b8d9879b5</v>
      </c>
      <c r="B775" s="5" t="str">
        <f>IFNA(VLOOKUP(F775,Driver!A:C,2,false),"")</f>
        <v>a9bf91b4-00e4-11f1-9378-fa163ee8d8ac</v>
      </c>
      <c r="C775" s="5" t="str">
        <f>IFNA(VLOOKUP(E775,'Location Table'!A:C,2,false),"")</f>
        <v/>
      </c>
      <c r="D775" s="6" t="s">
        <v>645</v>
      </c>
      <c r="E775" s="6"/>
      <c r="F775" s="6" t="s">
        <v>142</v>
      </c>
      <c r="G775" s="7" t="str">
        <f>IFNA(VLOOKUP(F775,Driver!A:D,4,false),"")</f>
        <v/>
      </c>
      <c r="H775" s="8" t="str">
        <f>IFNA(VLOOKUP(F775,Driver!A:C,3,false),"")</f>
        <v/>
      </c>
      <c r="I775" s="9">
        <v>0.2916666666666667</v>
      </c>
      <c r="J775" s="9">
        <v>0.6666666666666666</v>
      </c>
      <c r="K775" s="9"/>
    </row>
    <row r="776" hidden="1">
      <c r="A776" s="5" t="str">
        <f>IFNA(VLOOKUP(D776,'Location Table'!A:C,2,false),"")</f>
        <v>636fa48a-ada9-11f0-8f64-506b8d982279</v>
      </c>
      <c r="B776" s="5" t="str">
        <f>IFNA(VLOOKUP(F776,Driver!A:C,2,false),"")</f>
        <v>a01fefe6-3653-11ed-8128-506b8dbc8dfb</v>
      </c>
      <c r="C776" s="5" t="str">
        <f>IFNA(VLOOKUP(E776,'Location Table'!A:C,2,false),"")</f>
        <v/>
      </c>
      <c r="D776" s="6" t="s">
        <v>646</v>
      </c>
      <c r="E776" s="6"/>
      <c r="F776" s="6" t="s">
        <v>128</v>
      </c>
      <c r="G776" s="7" t="str">
        <f>IFNA(VLOOKUP(F776,Driver!A:D,4,false),"")</f>
        <v/>
      </c>
      <c r="H776" s="8" t="str">
        <f>IFNA(VLOOKUP(F776,Driver!A:C,3,false),"")</f>
        <v/>
      </c>
      <c r="I776" s="9">
        <v>0.2916666666666667</v>
      </c>
      <c r="J776" s="9">
        <v>0.5</v>
      </c>
      <c r="K776" s="9"/>
    </row>
    <row r="777" hidden="1">
      <c r="A777" s="5" t="str">
        <f>IFNA(VLOOKUP(D777,'Location Table'!A:C,2,false),"")</f>
        <v>a13f2c3c-62f3-11f0-835a-506b8d982279</v>
      </c>
      <c r="B777" s="5" t="str">
        <f>IFNA(VLOOKUP(F777,Driver!A:C,2,false),"")</f>
        <v>232be490-35a4-11ed-88b7-506b8dbc8dfb</v>
      </c>
      <c r="C777" s="5" t="str">
        <f>IFNA(VLOOKUP(E777,'Location Table'!A:C,2,false),"")</f>
        <v/>
      </c>
      <c r="D777" s="6" t="s">
        <v>647</v>
      </c>
      <c r="E777" s="6"/>
      <c r="F777" s="6" t="s">
        <v>110</v>
      </c>
      <c r="G777" s="7" t="str">
        <f>IFNA(VLOOKUP(F777,Driver!A:D,4,false),"")</f>
        <v>2160130926882687325:VSRHFZoYrhhtnecmAaOfmgvaKlfxBZEgxFxSbLPTAhfVwurTuJfQgOTrwyseeqJQ</v>
      </c>
      <c r="H777" s="8" t="str">
        <f>IFNA(VLOOKUP(F777,Driver!A:C,3,false),"")</f>
        <v>d9fc37dd4093a9cdf082</v>
      </c>
      <c r="I777" s="9">
        <v>0.2916666666666667</v>
      </c>
      <c r="J777" s="9">
        <v>0.6666666666666666</v>
      </c>
      <c r="K777" s="9"/>
    </row>
    <row r="778" hidden="1">
      <c r="A778" s="5" t="str">
        <f>IFNA(VLOOKUP(D778,'Location Table'!A:C,2,false),"")</f>
        <v>377e68f6-0e4c-11ee-9f66-506b8dbc8dfb</v>
      </c>
      <c r="B778" s="5" t="str">
        <f>IFNA(VLOOKUP(F778,Driver!A:C,2,false),"")</f>
        <v>103090f4-37c8-11ed-9333-506b8dbc8dfb</v>
      </c>
      <c r="C778" s="5" t="str">
        <f>IFNA(VLOOKUP(E778,'Location Table'!A:C,2,false),"")</f>
        <v/>
      </c>
      <c r="D778" s="6" t="s">
        <v>648</v>
      </c>
      <c r="E778" s="6"/>
      <c r="F778" s="6" t="s">
        <v>130</v>
      </c>
      <c r="G778" s="7" t="str">
        <f>IFNA(VLOOKUP(F778,Driver!A:D,4,false),"")</f>
        <v>2160130926882687325:VSRHFZoYrhhtnecmAaOfmgvaKlfxBZEgxFxSbLPTAhfVwurTuJfQgOTrwyseeqJQ</v>
      </c>
      <c r="H778" s="8" t="str">
        <f>IFNA(VLOOKUP(F778,Driver!A:C,3,false),"")</f>
        <v>77085b30147bfd25a46a</v>
      </c>
      <c r="I778" s="9">
        <v>0.2916666666666667</v>
      </c>
      <c r="J778" s="9">
        <v>0.8541666666666666</v>
      </c>
      <c r="K778" s="9"/>
    </row>
    <row r="779" hidden="1">
      <c r="A779" s="5" t="str">
        <f>IFNA(VLOOKUP(D779,'Location Table'!A:C,2,false),"")</f>
        <v>f6c35df8-0b49-11ee-b660-506b8dbc8dfb</v>
      </c>
      <c r="B779" s="5" t="str">
        <f>IFNA(VLOOKUP(F779,Driver!A:C,2,false),"")</f>
        <v>103090f4-37c8-11ed-9333-506b8dbc8dfb</v>
      </c>
      <c r="C779" s="5" t="str">
        <f>IFNA(VLOOKUP(E779,'Location Table'!A:C,2,false),"")</f>
        <v/>
      </c>
      <c r="D779" s="6" t="s">
        <v>649</v>
      </c>
      <c r="E779" s="6"/>
      <c r="F779" s="6" t="s">
        <v>130</v>
      </c>
      <c r="G779" s="7" t="str">
        <f>IFNA(VLOOKUP(F779,Driver!A:D,4,false),"")</f>
        <v>2160130926882687325:VSRHFZoYrhhtnecmAaOfmgvaKlfxBZEgxFxSbLPTAhfVwurTuJfQgOTrwyseeqJQ</v>
      </c>
      <c r="H779" s="8" t="str">
        <f>IFNA(VLOOKUP(F779,Driver!A:C,3,false),"")</f>
        <v>77085b30147bfd25a46a</v>
      </c>
      <c r="I779" s="9">
        <v>0.2916666666666667</v>
      </c>
      <c r="J779" s="9">
        <v>0.8541666666666666</v>
      </c>
      <c r="K779" s="9"/>
    </row>
    <row r="780" hidden="1">
      <c r="A780" s="5" t="str">
        <f>IFNA(VLOOKUP(D780,'Location Table'!A:C,2,false),"")</f>
        <v>e51d7fba-0dbb-11ee-9759-506b8dbc8dfb</v>
      </c>
      <c r="B780" s="5" t="str">
        <f>IFNA(VLOOKUP(F780,Driver!A:C,2,false),"")</f>
        <v>103090f4-37c8-11ed-9333-506b8dbc8dfb</v>
      </c>
      <c r="C780" s="5" t="str">
        <f>IFNA(VLOOKUP(E780,'Location Table'!A:C,2,false),"")</f>
        <v/>
      </c>
      <c r="D780" s="6" t="s">
        <v>650</v>
      </c>
      <c r="E780" s="6"/>
      <c r="F780" s="6" t="s">
        <v>130</v>
      </c>
      <c r="G780" s="7" t="str">
        <f>IFNA(VLOOKUP(F780,Driver!A:D,4,false),"")</f>
        <v>2160130926882687325:VSRHFZoYrhhtnecmAaOfmgvaKlfxBZEgxFxSbLPTAhfVwurTuJfQgOTrwyseeqJQ</v>
      </c>
      <c r="H780" s="8" t="str">
        <f>IFNA(VLOOKUP(F780,Driver!A:C,3,false),"")</f>
        <v>77085b30147bfd25a46a</v>
      </c>
      <c r="I780" s="9">
        <v>0.2916666666666667</v>
      </c>
      <c r="J780" s="9">
        <v>0.8541666666666666</v>
      </c>
      <c r="K780" s="9"/>
    </row>
    <row r="781" hidden="1">
      <c r="A781" s="5" t="str">
        <f>IFNA(VLOOKUP(D781,'Location Table'!A:C,2,false),"")</f>
        <v>751246b2-808f-11f0-86eb-506b8d982279</v>
      </c>
      <c r="B781" s="5" t="str">
        <f>IFNA(VLOOKUP(F781,Driver!A:C,2,false),"")</f>
        <v>65871f10-7671-11f0-9d16-506b8d982279</v>
      </c>
      <c r="C781" s="5" t="str">
        <f>IFNA(VLOOKUP(E781,'Location Table'!A:C,2,false),"")</f>
        <v/>
      </c>
      <c r="D781" s="6" t="s">
        <v>651</v>
      </c>
      <c r="E781" s="6"/>
      <c r="F781" s="6" t="s">
        <v>348</v>
      </c>
      <c r="G781" s="7" t="str">
        <f>IFNA(VLOOKUP(F781,Driver!A:D,4,false),"")</f>
        <v>2160130926882687325:VSRHFZoYrhhtnecmAaOfmgvaKlfxBZEgxFxSbLPTAhfVwurTuJfQgOTrwyseeqJQ</v>
      </c>
      <c r="H781" s="8" t="str">
        <f>IFNA(VLOOKUP(F781,Driver!A:C,3,false),"")</f>
        <v>03bb8b129d5c74022d4d</v>
      </c>
      <c r="I781" s="9">
        <v>0.2916666666666667</v>
      </c>
      <c r="J781" s="9">
        <v>0.75</v>
      </c>
      <c r="K781" s="9"/>
    </row>
    <row r="782" hidden="1">
      <c r="A782" s="5" t="str">
        <f>IFNA(VLOOKUP(D782,'Location Table'!A:C,2,false),"")</f>
        <v>801291b6-0a99-11ee-8649-506b8dbc8dfb</v>
      </c>
      <c r="B782" s="5" t="str">
        <f>IFNA(VLOOKUP(F782,Driver!A:C,2,false),"")</f>
        <v>103090f4-37c8-11ed-9333-506b8dbc8dfb</v>
      </c>
      <c r="C782" s="5" t="str">
        <f>IFNA(VLOOKUP(E782,'Location Table'!A:C,2,false),"")</f>
        <v/>
      </c>
      <c r="D782" s="6" t="s">
        <v>652</v>
      </c>
      <c r="E782" s="6"/>
      <c r="F782" s="6" t="s">
        <v>130</v>
      </c>
      <c r="G782" s="7" t="str">
        <f>IFNA(VLOOKUP(F782,Driver!A:D,4,false),"")</f>
        <v>2160130926882687325:VSRHFZoYrhhtnecmAaOfmgvaKlfxBZEgxFxSbLPTAhfVwurTuJfQgOTrwyseeqJQ</v>
      </c>
      <c r="H782" s="8" t="str">
        <f>IFNA(VLOOKUP(F782,Driver!A:C,3,false),"")</f>
        <v>77085b30147bfd25a46a</v>
      </c>
      <c r="I782" s="9">
        <v>0.2916666666666667</v>
      </c>
      <c r="J782" s="9">
        <v>0.8541666666666666</v>
      </c>
      <c r="K782" s="9"/>
    </row>
    <row r="783" hidden="1">
      <c r="A783" s="5" t="str">
        <f>IFNA(VLOOKUP(D783,'Location Table'!A:C,2,false),"")</f>
        <v>123b4de4-d1e1-11ee-8c0f-506b8d9879b5</v>
      </c>
      <c r="B783" s="5" t="str">
        <f>IFNA(VLOOKUP(F783,Driver!A:C,2,false),"")</f>
        <v>51b847ba-37cd-11ed-a5f6-506b8dbc8dfb</v>
      </c>
      <c r="C783" s="5" t="str">
        <f>IFNA(VLOOKUP(E783,'Location Table'!A:C,2,false),"")</f>
        <v/>
      </c>
      <c r="D783" s="6" t="s">
        <v>653</v>
      </c>
      <c r="E783" s="6"/>
      <c r="F783" s="6" t="s">
        <v>94</v>
      </c>
      <c r="G783" s="7" t="str">
        <f>IFNA(VLOOKUP(F783,Driver!A:D,4,false),"")</f>
        <v>1980698793628880414:XXMGIAegigeHesHcPUQpIcnMCwhigvPUATFrPyRHiqIZqTwmvWiXbUzfDhivxPcl</v>
      </c>
      <c r="H783" s="8" t="str">
        <f>IFNA(VLOOKUP(F783,Driver!A:C,3,false),"")</f>
        <v>3d1fec9027dcce8297cd</v>
      </c>
      <c r="I783" s="9">
        <v>0.2916666666666667</v>
      </c>
      <c r="J783" s="9">
        <v>0.6666666666666666</v>
      </c>
      <c r="K783" s="9"/>
    </row>
    <row r="784" hidden="1">
      <c r="A784" s="5" t="str">
        <f>IFNA(VLOOKUP(D784,'Location Table'!A:C,2,false),"")</f>
        <v>b3b2c722-7c32-11f0-bfd2-506b8d982279</v>
      </c>
      <c r="B784" s="5" t="str">
        <f>IFNA(VLOOKUP(F784,Driver!A:C,2,false),"")</f>
        <v>f5993946-37cf-11ed-a3fc-506b8dbc8dfb</v>
      </c>
      <c r="C784" s="5" t="str">
        <f>IFNA(VLOOKUP(E784,'Location Table'!A:C,2,false),"")</f>
        <v/>
      </c>
      <c r="D784" s="6" t="s">
        <v>654</v>
      </c>
      <c r="E784" s="6"/>
      <c r="F784" s="6" t="s">
        <v>314</v>
      </c>
      <c r="G784" s="7" t="str">
        <f>IFNA(VLOOKUP(F784,Driver!A:D,4,false),"")</f>
        <v/>
      </c>
      <c r="H784" s="8" t="str">
        <f>IFNA(VLOOKUP(F784,Driver!A:C,3,false),"")</f>
        <v/>
      </c>
      <c r="I784" s="9">
        <v>0.2916666666666667</v>
      </c>
      <c r="J784" s="9">
        <v>0.6666666666666666</v>
      </c>
      <c r="K784" s="9"/>
    </row>
    <row r="785" hidden="1">
      <c r="A785" s="5" t="str">
        <f>IFNA(VLOOKUP(D785,'Location Table'!A:C,2,false),"")</f>
        <v>3f9846b8-1cbd-11ee-b58a-506b8d9879b5</v>
      </c>
      <c r="B785" s="5" t="str">
        <f>IFNA(VLOOKUP(F785,Driver!A:C,2,false),"")</f>
        <v>d2c2d39e-11e4-11f1-9378-fa163ee8d8ac</v>
      </c>
      <c r="C785" s="5" t="str">
        <f>IFNA(VLOOKUP(E785,'Location Table'!A:C,2,false),"")</f>
        <v/>
      </c>
      <c r="D785" s="6" t="s">
        <v>655</v>
      </c>
      <c r="E785" s="6"/>
      <c r="F785" s="6" t="s">
        <v>88</v>
      </c>
      <c r="G785" s="7" t="str">
        <f>IFNA(VLOOKUP(F785,Driver!A:D,4,false),"")</f>
        <v>1980698793628880414:XXMGIAegigeHesHcPUQpIcnMCwhigvPUATFrPyRHiqIZqTwmvWiXbUzfDhivxPcl</v>
      </c>
      <c r="H785" s="8" t="str">
        <f>IFNA(VLOOKUP(F785,Driver!A:C,3,false),"")</f>
        <v>59a2bfce5a81b3dfea90</v>
      </c>
      <c r="I785" s="9">
        <v>0.2916666666666667</v>
      </c>
      <c r="J785" s="9">
        <v>0.6666666666666666</v>
      </c>
      <c r="K785" s="9"/>
    </row>
    <row r="786" hidden="1">
      <c r="A786" s="5" t="str">
        <f>IFNA(VLOOKUP(D786,'Location Table'!A:C,2,false),"")</f>
        <v>6502e506-8fa9-11ef-9316-506b8d9879b5</v>
      </c>
      <c r="B786" s="5" t="str">
        <f>IFNA(VLOOKUP(F786,Driver!A:C,2,false),"")</f>
        <v>f5993946-37cf-11ed-a3fc-506b8dbc8dfb</v>
      </c>
      <c r="C786" s="5" t="str">
        <f>IFNA(VLOOKUP(E786,'Location Table'!A:C,2,false),"")</f>
        <v/>
      </c>
      <c r="D786" s="6" t="s">
        <v>656</v>
      </c>
      <c r="E786" s="6"/>
      <c r="F786" s="6" t="s">
        <v>314</v>
      </c>
      <c r="G786" s="7" t="str">
        <f>IFNA(VLOOKUP(F786,Driver!A:D,4,false),"")</f>
        <v/>
      </c>
      <c r="H786" s="8" t="str">
        <f>IFNA(VLOOKUP(F786,Driver!A:C,3,false),"")</f>
        <v/>
      </c>
      <c r="I786" s="9">
        <v>0.2916666666666667</v>
      </c>
      <c r="J786" s="9">
        <v>0.6666666666666666</v>
      </c>
      <c r="K786" s="9"/>
    </row>
    <row r="787" hidden="1">
      <c r="A787" s="5" t="str">
        <f>IFNA(VLOOKUP(D787,'Location Table'!A:C,2,false),"")</f>
        <v>b60352d0-c47b-11f0-8297-506b8d982279</v>
      </c>
      <c r="B787" s="5" t="str">
        <f>IFNA(VLOOKUP(F787,Driver!A:C,2,false),"")</f>
        <v>e3970cec-503e-11f1-9378-fa163ee8d8ac</v>
      </c>
      <c r="C787" s="5" t="str">
        <f>IFNA(VLOOKUP(E787,'Location Table'!A:C,2,false),"")</f>
        <v/>
      </c>
      <c r="D787" s="6" t="s">
        <v>657</v>
      </c>
      <c r="E787" s="6"/>
      <c r="F787" s="10" t="s">
        <v>328</v>
      </c>
      <c r="G787" s="7" t="str">
        <f>IFNA(VLOOKUP(F787,Driver!A:D,4,false),"")</f>
        <v/>
      </c>
      <c r="H787" s="8" t="str">
        <f>IFNA(VLOOKUP(F787,Driver!A:C,3,false),"")</f>
        <v/>
      </c>
      <c r="I787" s="9">
        <v>0.2916666666666667</v>
      </c>
      <c r="J787" s="9">
        <v>0.5833333333333334</v>
      </c>
      <c r="K787" s="9"/>
    </row>
    <row r="788" hidden="1">
      <c r="A788" s="5" t="str">
        <f>IFNA(VLOOKUP(D788,'Location Table'!A:C,2,false),"")</f>
        <v>db94b1d6-7c11-11f0-b055-506b8d982279</v>
      </c>
      <c r="B788" s="5" t="str">
        <f>IFNA(VLOOKUP(F788,Driver!A:C,2,false),"")</f>
        <v>b74e3178-7caf-11f0-a9c3-506b8d982279</v>
      </c>
      <c r="C788" s="5" t="str">
        <f>IFNA(VLOOKUP(E788,'Location Table'!A:C,2,false),"")</f>
        <v/>
      </c>
      <c r="D788" s="6" t="s">
        <v>658</v>
      </c>
      <c r="E788" s="6"/>
      <c r="F788" s="6" t="s">
        <v>326</v>
      </c>
      <c r="G788" s="7" t="str">
        <f>IFNA(VLOOKUP(F788,Driver!A:D,4,false),"")</f>
        <v>2160130926882687325:VSRHFZoYrhhtnecmAaOfmgvaKlfxBZEgxFxSbLPTAhfVwurTuJfQgOTrwyseeqJQ</v>
      </c>
      <c r="H788" s="8" t="str">
        <f>IFNA(VLOOKUP(F788,Driver!A:C,3,false),"")</f>
        <v>473ef1d8329bdbc5828a</v>
      </c>
      <c r="I788" s="9">
        <v>0.2916666666666667</v>
      </c>
      <c r="J788" s="9">
        <v>0.6666666666666666</v>
      </c>
      <c r="K788" s="9"/>
    </row>
    <row r="789" hidden="1">
      <c r="A789" s="5" t="str">
        <f>IFNA(VLOOKUP(D789,'Location Table'!A:C,2,false),"")</f>
        <v>68ad2866-48e9-11f0-95b9-506b8d982279</v>
      </c>
      <c r="B789" s="5" t="str">
        <f>IFNA(VLOOKUP(F789,Driver!A:C,2,false),"")</f>
        <v>ce2e0bd2-35a6-11ed-9c4e-506b8dbc8dfb</v>
      </c>
      <c r="C789" s="5" t="str">
        <f>IFNA(VLOOKUP(E789,'Location Table'!A:C,2,false),"")</f>
        <v>b959ed68-446d-11ed-b04f-506b8dbc8dfb</v>
      </c>
      <c r="D789" s="6" t="s">
        <v>659</v>
      </c>
      <c r="E789" s="10" t="s">
        <v>660</v>
      </c>
      <c r="F789" s="6" t="s">
        <v>661</v>
      </c>
      <c r="G789" s="7" t="str">
        <f>IFNA(VLOOKUP(F789,Driver!A:D,4,false),"")</f>
        <v/>
      </c>
      <c r="H789" s="8" t="str">
        <f>IFNA(VLOOKUP(F789,Driver!A:C,3,false),"")</f>
        <v/>
      </c>
      <c r="I789" s="9">
        <v>0.2916666666666667</v>
      </c>
      <c r="J789" s="9">
        <v>0.75</v>
      </c>
      <c r="K789" s="9"/>
    </row>
    <row r="790" hidden="1">
      <c r="A790" s="5" t="str">
        <f>IFNA(VLOOKUP(D790,'Location Table'!A:C,2,false),"")</f>
        <v>2bd48960-edcc-11f0-b942-506b8d982279</v>
      </c>
      <c r="B790" s="5" t="str">
        <f>IFNA(VLOOKUP(F790,Driver!A:C,2,false),"")</f>
        <v>1d4786cc-12f7-11f1-9378-fa163ee8d8ac</v>
      </c>
      <c r="C790" s="5" t="str">
        <f>IFNA(VLOOKUP(E790,'Location Table'!A:C,2,false),"")</f>
        <v/>
      </c>
      <c r="D790" s="6" t="s">
        <v>662</v>
      </c>
      <c r="E790" s="6"/>
      <c r="F790" s="6" t="s">
        <v>343</v>
      </c>
      <c r="G790" s="7" t="str">
        <f>IFNA(VLOOKUP(F790,Driver!A:D,4,false),"")</f>
        <v>1980698793628880414:XXMGIAegigeHesHcPUQpIcnMCwhigvPUATFrPyRHiqIZqTwmvWiXbUzfDhivxPcl</v>
      </c>
      <c r="H790" s="8" t="str">
        <f>IFNA(VLOOKUP(F790,Driver!A:C,3,false),"")</f>
        <v>85d2de46a91b4045190a</v>
      </c>
      <c r="I790" s="9">
        <v>0.2916666666666667</v>
      </c>
      <c r="J790" s="9">
        <v>0.75</v>
      </c>
      <c r="K790" s="9"/>
    </row>
    <row r="791" hidden="1">
      <c r="A791" s="5" t="str">
        <f>IFNA(VLOOKUP(D791,'Location Table'!A:C,2,false),"")</f>
        <v>0fc8fc7c-edcf-11ef-a5e6-506b8d9879b5</v>
      </c>
      <c r="B791" s="5" t="str">
        <f>IFNA(VLOOKUP(F791,Driver!A:C,2,false),"")</f>
        <v>1d4786cc-12f7-11f1-9378-fa163ee8d8ac</v>
      </c>
      <c r="C791" s="5" t="str">
        <f>IFNA(VLOOKUP(E791,'Location Table'!A:C,2,false),"")</f>
        <v/>
      </c>
      <c r="D791" s="6" t="s">
        <v>663</v>
      </c>
      <c r="E791" s="6"/>
      <c r="F791" s="6" t="s">
        <v>343</v>
      </c>
      <c r="G791" s="7" t="str">
        <f>IFNA(VLOOKUP(F791,Driver!A:D,4,false),"")</f>
        <v>1980698793628880414:XXMGIAegigeHesHcPUQpIcnMCwhigvPUATFrPyRHiqIZqTwmvWiXbUzfDhivxPcl</v>
      </c>
      <c r="H791" s="8" t="str">
        <f>IFNA(VLOOKUP(F791,Driver!A:C,3,false),"")</f>
        <v>85d2de46a91b4045190a</v>
      </c>
      <c r="I791" s="9">
        <v>0.2916666666666667</v>
      </c>
      <c r="J791" s="9">
        <v>0.75</v>
      </c>
      <c r="K791" s="9"/>
    </row>
    <row r="792" hidden="1">
      <c r="A792" s="5" t="str">
        <f>IFNA(VLOOKUP(D792,'Location Table'!A:C,2,false),"")</f>
        <v>5bb87e4c-c83e-11f0-9e3b-506b8d982279</v>
      </c>
      <c r="B792" s="5" t="str">
        <f>IFNA(VLOOKUP(F792,Driver!A:C,2,false),"")</f>
        <v>41ea8512-2e70-11f1-9378-fa163ee8d8ac</v>
      </c>
      <c r="C792" s="5" t="str">
        <f>IFNA(VLOOKUP(E792,'Location Table'!A:C,2,false),"")</f>
        <v/>
      </c>
      <c r="D792" s="6" t="s">
        <v>664</v>
      </c>
      <c r="E792" s="6"/>
      <c r="F792" s="10" t="s">
        <v>35</v>
      </c>
      <c r="G792" s="7" t="str">
        <f>IFNA(VLOOKUP(F792,Driver!A:D,4,false),"")</f>
        <v/>
      </c>
      <c r="H792" s="8" t="str">
        <f>IFNA(VLOOKUP(F792,Driver!A:C,3,false),"")</f>
        <v/>
      </c>
      <c r="I792" s="9">
        <v>0.2916666666666667</v>
      </c>
      <c r="J792" s="9">
        <v>0.75</v>
      </c>
      <c r="K792" s="9"/>
    </row>
    <row r="793" hidden="1">
      <c r="A793" s="5" t="str">
        <f>IFNA(VLOOKUP(D793,'Location Table'!A:C,2,false),"")</f>
        <v>2901130e-0270-11f0-a92e-506b8d9879b5</v>
      </c>
      <c r="B793" s="5" t="str">
        <f>IFNA(VLOOKUP(F793,Driver!A:C,2,false),"")</f>
        <v>660cb676-e32e-11ed-9e6c-506b8dbc8dfb</v>
      </c>
      <c r="C793" s="5" t="str">
        <f>IFNA(VLOOKUP(E793,'Location Table'!A:C,2,false),"")</f>
        <v/>
      </c>
      <c r="D793" s="6" t="s">
        <v>665</v>
      </c>
      <c r="E793" s="6"/>
      <c r="F793" s="6" t="s">
        <v>494</v>
      </c>
      <c r="G793" s="7" t="str">
        <f>IFNA(VLOOKUP(F793,Driver!A:D,4,false),"")</f>
        <v>2160130926882687325:VSRHFZoYrhhtnecmAaOfmgvaKlfxBZEgxFxSbLPTAhfVwurTuJfQgOTrwyseeqJQ</v>
      </c>
      <c r="H793" s="8" t="str">
        <f>IFNA(VLOOKUP(F793,Driver!A:C,3,false),"")</f>
        <v>656e49d39f9a76c42f8b</v>
      </c>
      <c r="I793" s="9">
        <v>0.2916666666666667</v>
      </c>
      <c r="J793" s="9">
        <v>0.5</v>
      </c>
      <c r="K793" s="9"/>
    </row>
    <row r="794" hidden="1">
      <c r="A794" s="5" t="str">
        <f>IFNA(VLOOKUP(D794,'Location Table'!A:C,2,false),"")</f>
        <v>9eb567be-e201-11f0-8ca4-506b8d982279</v>
      </c>
      <c r="B794" s="5" t="str">
        <f>IFNA(VLOOKUP(F794,Driver!A:C,2,false),"")</f>
        <v>51b847ba-37cd-11ed-a5f6-506b8dbc8dfb</v>
      </c>
      <c r="C794" s="5" t="str">
        <f>IFNA(VLOOKUP(E794,'Location Table'!A:C,2,false),"")</f>
        <v/>
      </c>
      <c r="D794" s="6" t="s">
        <v>666</v>
      </c>
      <c r="E794" s="6"/>
      <c r="F794" s="6" t="s">
        <v>94</v>
      </c>
      <c r="G794" s="7" t="str">
        <f>IFNA(VLOOKUP(F794,Driver!A:D,4,false),"")</f>
        <v>1980698793628880414:XXMGIAegigeHesHcPUQpIcnMCwhigvPUATFrPyRHiqIZqTwmvWiXbUzfDhivxPcl</v>
      </c>
      <c r="H794" s="8" t="str">
        <f>IFNA(VLOOKUP(F794,Driver!A:C,3,false),"")</f>
        <v>3d1fec9027dcce8297cd</v>
      </c>
      <c r="I794" s="9">
        <v>0.2916666666666667</v>
      </c>
      <c r="J794" s="9">
        <v>0.6666666666666666</v>
      </c>
      <c r="K794" s="9"/>
    </row>
    <row r="795" hidden="1">
      <c r="A795" s="5" t="str">
        <f>IFNA(VLOOKUP(D795,'Location Table'!A:C,2,false),"")</f>
        <v>0b6b4dde-ee13-11f0-9829-506b8d982279</v>
      </c>
      <c r="B795" s="5" t="str">
        <f>IFNA(VLOOKUP(F795,Driver!A:C,2,false),"")</f>
        <v>a2f538f8-37ce-11ed-a5cf-506b8dbc8dfb</v>
      </c>
      <c r="C795" s="5" t="str">
        <f>IFNA(VLOOKUP(E795,'Location Table'!A:C,2,false),"")</f>
        <v/>
      </c>
      <c r="D795" s="6" t="s">
        <v>667</v>
      </c>
      <c r="E795" s="6"/>
      <c r="F795" s="6" t="s">
        <v>338</v>
      </c>
      <c r="G795" s="7" t="str">
        <f>IFNA(VLOOKUP(F795,Driver!A:D,4,false),"")</f>
        <v>2160130926882687325:VSRHFZoYrhhtnecmAaOfmgvaKlfxBZEgxFxSbLPTAhfVwurTuJfQgOTrwyseeqJQ</v>
      </c>
      <c r="H795" s="8" t="str">
        <f>IFNA(VLOOKUP(F795,Driver!A:C,3,false),"")</f>
        <v>c0d10f02724a9b14c25b</v>
      </c>
      <c r="I795" s="9">
        <v>0.2916666666666667</v>
      </c>
      <c r="J795" s="9">
        <v>0.6666666666666666</v>
      </c>
      <c r="K795" s="9"/>
    </row>
    <row r="796" hidden="1">
      <c r="A796" s="5" t="str">
        <f>IFNA(VLOOKUP(D796,'Location Table'!A:C,2,false),"")</f>
        <v>984aab2c-1a5e-11ee-a4a5-506b8d9879b5</v>
      </c>
      <c r="B796" s="5" t="str">
        <f>IFNA(VLOOKUP(F796,Driver!A:C,2,false),"")</f>
        <v>717fa61c-3654-11ed-b103-506b8dbc8dfb</v>
      </c>
      <c r="C796" s="5" t="str">
        <f>IFNA(VLOOKUP(E796,'Location Table'!A:C,2,false),"")</f>
        <v/>
      </c>
      <c r="D796" s="6" t="s">
        <v>668</v>
      </c>
      <c r="E796" s="6"/>
      <c r="F796" s="6" t="s">
        <v>361</v>
      </c>
      <c r="G796" s="7" t="str">
        <f>IFNA(VLOOKUP(F796,Driver!A:D,4,false),"")</f>
        <v>1980698793628880414:XXMGIAegigeHesHcPUQpIcnMCwhigvPUATFrPyRHiqIZqTwmvWiXbUzfDhivxPcl</v>
      </c>
      <c r="H796" s="8" t="str">
        <f>IFNA(VLOOKUP(F796,Driver!A:C,3,false),"")</f>
        <v>fbc73b7bb6385f660629</v>
      </c>
      <c r="I796" s="9">
        <v>0.23958333333333334</v>
      </c>
      <c r="J796" s="9">
        <v>0.6041666666666666</v>
      </c>
      <c r="K796" s="5" t="s">
        <v>362</v>
      </c>
    </row>
    <row r="797" hidden="1">
      <c r="A797" s="5" t="str">
        <f>IFNA(VLOOKUP(D797,'Location Table'!A:C,2,false),"")</f>
        <v>6834ac9e-4476-11ed-9f24-506b8dbc8dfb</v>
      </c>
      <c r="B797" s="5" t="str">
        <f>IFNA(VLOOKUP(F797,Driver!A:C,2,false),"")</f>
        <v>103090f4-37c8-11ed-9333-506b8dbc8dfb</v>
      </c>
      <c r="C797" s="5" t="str">
        <f>IFNA(VLOOKUP(E797,'Location Table'!A:C,2,false),"")</f>
        <v/>
      </c>
      <c r="D797" s="6" t="s">
        <v>669</v>
      </c>
      <c r="E797" s="6"/>
      <c r="F797" s="6" t="s">
        <v>130</v>
      </c>
      <c r="G797" s="7" t="str">
        <f>IFNA(VLOOKUP(F797,Driver!A:D,4,false),"")</f>
        <v>2160130926882687325:VSRHFZoYrhhtnecmAaOfmgvaKlfxBZEgxFxSbLPTAhfVwurTuJfQgOTrwyseeqJQ</v>
      </c>
      <c r="H797" s="8" t="str">
        <f>IFNA(VLOOKUP(F797,Driver!A:C,3,false),"")</f>
        <v>77085b30147bfd25a46a</v>
      </c>
      <c r="I797" s="9">
        <v>0.2916666666666667</v>
      </c>
      <c r="J797" s="9">
        <v>0.8541666666666666</v>
      </c>
      <c r="K797" s="9"/>
    </row>
    <row r="798" hidden="1">
      <c r="A798" s="5" t="str">
        <f>IFNA(VLOOKUP(D798,'Location Table'!A:C,2,false),"")</f>
        <v>026f0d4c-512f-11ef-aa70-506b8d9879b5</v>
      </c>
      <c r="B798" s="5" t="str">
        <f>IFNA(VLOOKUP(F798,Driver!A:C,2,false),"")</f>
        <v>51b847ba-37cd-11ed-a5f6-506b8dbc8dfb</v>
      </c>
      <c r="C798" s="5" t="str">
        <f>IFNA(VLOOKUP(E798,'Location Table'!A:C,2,false),"")</f>
        <v/>
      </c>
      <c r="D798" s="6" t="s">
        <v>670</v>
      </c>
      <c r="E798" s="6"/>
      <c r="F798" s="6" t="s">
        <v>94</v>
      </c>
      <c r="G798" s="7" t="str">
        <f>IFNA(VLOOKUP(F798,Driver!A:D,4,false),"")</f>
        <v>1980698793628880414:XXMGIAegigeHesHcPUQpIcnMCwhigvPUATFrPyRHiqIZqTwmvWiXbUzfDhivxPcl</v>
      </c>
      <c r="H798" s="8" t="str">
        <f>IFNA(VLOOKUP(F798,Driver!A:C,3,false),"")</f>
        <v>3d1fec9027dcce8297cd</v>
      </c>
      <c r="I798" s="9">
        <v>0.2916666666666667</v>
      </c>
      <c r="J798" s="9">
        <v>0.6666666666666666</v>
      </c>
      <c r="K798" s="9"/>
    </row>
    <row r="799" hidden="1">
      <c r="A799" s="5" t="str">
        <f>IFNA(VLOOKUP(D799,'Location Table'!A:C,2,false),"")</f>
        <v>98b082dc-47e8-11ee-acd0-506b8d9879b5</v>
      </c>
      <c r="B799" s="5" t="str">
        <f>IFNA(VLOOKUP(F799,Driver!A:C,2,false),"")</f>
        <v>232be490-35a4-11ed-88b7-506b8dbc8dfb</v>
      </c>
      <c r="C799" s="5" t="str">
        <f>IFNA(VLOOKUP(E799,'Location Table'!A:C,2,false),"")</f>
        <v/>
      </c>
      <c r="D799" s="6" t="s">
        <v>671</v>
      </c>
      <c r="E799" s="6"/>
      <c r="F799" s="6" t="s">
        <v>110</v>
      </c>
      <c r="G799" s="7" t="str">
        <f>IFNA(VLOOKUP(F799,Driver!A:D,4,false),"")</f>
        <v>2160130926882687325:VSRHFZoYrhhtnecmAaOfmgvaKlfxBZEgxFxSbLPTAhfVwurTuJfQgOTrwyseeqJQ</v>
      </c>
      <c r="H799" s="8" t="str">
        <f>IFNA(VLOOKUP(F799,Driver!A:C,3,false),"")</f>
        <v>d9fc37dd4093a9cdf082</v>
      </c>
      <c r="I799" s="9">
        <v>0.2916666666666667</v>
      </c>
      <c r="J799" s="9">
        <v>0.6666666666666666</v>
      </c>
      <c r="K799" s="9"/>
    </row>
    <row r="800" hidden="1">
      <c r="A800" s="5" t="str">
        <f>IFNA(VLOOKUP(D800,'Location Table'!A:C,2,false),"")</f>
        <v>fe3bff0a-77da-11ef-9d23-506b8d9879b5</v>
      </c>
      <c r="B800" s="5" t="str">
        <f>IFNA(VLOOKUP(F800,Driver!A:C,2,false),"")</f>
        <v>103090f4-37c8-11ed-9333-506b8dbc8dfb</v>
      </c>
      <c r="C800" s="5" t="str">
        <f>IFNA(VLOOKUP(E800,'Location Table'!A:C,2,false),"")</f>
        <v/>
      </c>
      <c r="D800" s="6" t="s">
        <v>672</v>
      </c>
      <c r="E800" s="6"/>
      <c r="F800" s="6" t="s">
        <v>130</v>
      </c>
      <c r="G800" s="7" t="str">
        <f>IFNA(VLOOKUP(F800,Driver!A:D,4,false),"")</f>
        <v>2160130926882687325:VSRHFZoYrhhtnecmAaOfmgvaKlfxBZEgxFxSbLPTAhfVwurTuJfQgOTrwyseeqJQ</v>
      </c>
      <c r="H800" s="8" t="str">
        <f>IFNA(VLOOKUP(F800,Driver!A:C,3,false),"")</f>
        <v>77085b30147bfd25a46a</v>
      </c>
      <c r="I800" s="9">
        <v>0.2916666666666667</v>
      </c>
      <c r="J800" s="9">
        <v>0.8541666666666666</v>
      </c>
      <c r="K800" s="9"/>
    </row>
    <row r="801" hidden="1">
      <c r="A801" s="5" t="str">
        <f>IFNA(VLOOKUP(D801,'Location Table'!A:C,2,false),"")</f>
        <v>d6c34328-a35a-11f0-a2e4-506b8d982279</v>
      </c>
      <c r="B801" s="5" t="str">
        <f>IFNA(VLOOKUP(F801,Driver!A:C,2,false),"")</f>
        <v>a2f538f8-37ce-11ed-a5cf-506b8dbc8dfb</v>
      </c>
      <c r="C801" s="5" t="str">
        <f>IFNA(VLOOKUP(E801,'Location Table'!A:C,2,false),"")</f>
        <v/>
      </c>
      <c r="D801" s="6" t="s">
        <v>673</v>
      </c>
      <c r="E801" s="6"/>
      <c r="F801" s="6" t="s">
        <v>338</v>
      </c>
      <c r="G801" s="7" t="str">
        <f>IFNA(VLOOKUP(F801,Driver!A:D,4,false),"")</f>
        <v>2160130926882687325:VSRHFZoYrhhtnecmAaOfmgvaKlfxBZEgxFxSbLPTAhfVwurTuJfQgOTrwyseeqJQ</v>
      </c>
      <c r="H801" s="8" t="str">
        <f>IFNA(VLOOKUP(F801,Driver!A:C,3,false),"")</f>
        <v>c0d10f02724a9b14c25b</v>
      </c>
      <c r="I801" s="9">
        <v>0.2916666666666667</v>
      </c>
      <c r="J801" s="9">
        <v>0.6666666666666666</v>
      </c>
      <c r="K801" s="9"/>
    </row>
    <row r="802" hidden="1">
      <c r="A802" s="5" t="str">
        <f>IFNA(VLOOKUP(D802,'Location Table'!A:C,2,false),"")</f>
        <v>799b3e00-b38a-11ef-b4d3-506b8d9879b5</v>
      </c>
      <c r="B802" s="5" t="str">
        <f>IFNA(VLOOKUP(F802,Driver!A:C,2,false),"")</f>
        <v>a72dc14a-3654-11ed-bef3-506b8dbc8dfb</v>
      </c>
      <c r="C802" s="5" t="str">
        <f>IFNA(VLOOKUP(E802,'Location Table'!A:C,2,false),"")</f>
        <v/>
      </c>
      <c r="D802" s="6" t="s">
        <v>299</v>
      </c>
      <c r="E802" s="6"/>
      <c r="F802" s="6" t="s">
        <v>246</v>
      </c>
      <c r="G802" s="7" t="str">
        <f>IFNA(VLOOKUP(F802,Driver!A:D,4,false),"")</f>
        <v>1980698793628880414:XXMGIAegigeHesHcPUQpIcnMCwhigvPUATFrPyRHiqIZqTwmvWiXbUzfDhivxPcl</v>
      </c>
      <c r="H802" s="8" t="str">
        <f>IFNA(VLOOKUP(F802,Driver!A:C,3,false),"")</f>
        <v>88199dcfa88541db1894</v>
      </c>
      <c r="I802" s="9">
        <v>0.2916666666666667</v>
      </c>
      <c r="J802" s="9">
        <v>0.5</v>
      </c>
      <c r="K802" s="9"/>
    </row>
    <row r="803" hidden="1">
      <c r="A803" s="5" t="str">
        <f>IFNA(VLOOKUP(D803,'Location Table'!A:C,2,false),"")</f>
        <v>b8d60b5a-8868-11f0-a078-506b8d982279</v>
      </c>
      <c r="B803" s="5" t="str">
        <f>IFNA(VLOOKUP(F803,Driver!A:C,2,false),"")</f>
        <v>b74e3178-7caf-11f0-a9c3-506b8d982279</v>
      </c>
      <c r="C803" s="5" t="str">
        <f>IFNA(VLOOKUP(E803,'Location Table'!A:C,2,false),"")</f>
        <v/>
      </c>
      <c r="D803" s="6" t="s">
        <v>674</v>
      </c>
      <c r="E803" s="6"/>
      <c r="F803" s="6" t="s">
        <v>326</v>
      </c>
      <c r="G803" s="7" t="str">
        <f>IFNA(VLOOKUP(F803,Driver!A:D,4,false),"")</f>
        <v>2160130926882687325:VSRHFZoYrhhtnecmAaOfmgvaKlfxBZEgxFxSbLPTAhfVwurTuJfQgOTrwyseeqJQ</v>
      </c>
      <c r="H803" s="8" t="str">
        <f>IFNA(VLOOKUP(F803,Driver!A:C,3,false),"")</f>
        <v>473ef1d8329bdbc5828a</v>
      </c>
      <c r="I803" s="9">
        <v>0.2916666666666667</v>
      </c>
      <c r="J803" s="9">
        <v>0.6666666666666666</v>
      </c>
      <c r="K803" s="9"/>
    </row>
    <row r="804" hidden="1">
      <c r="A804" s="5" t="str">
        <f>IFNA(VLOOKUP(D804,'Location Table'!A:C,2,false),"")</f>
        <v>8e75a7c6-4962-11ef-a4dd-506b8d9879b5</v>
      </c>
      <c r="B804" s="5" t="str">
        <f>IFNA(VLOOKUP(F804,Driver!A:C,2,false),"")</f>
        <v>1163ad80-d96e-11f0-b637-506b8d982279</v>
      </c>
      <c r="C804" s="5" t="str">
        <f>IFNA(VLOOKUP(E804,'Location Table'!A:C,2,false),"")</f>
        <v/>
      </c>
      <c r="D804" s="6" t="s">
        <v>675</v>
      </c>
      <c r="E804" s="6"/>
      <c r="F804" s="6" t="s">
        <v>498</v>
      </c>
      <c r="G804" s="7" t="str">
        <f>IFNA(VLOOKUP(F804,Driver!A:D,4,false),"")</f>
        <v>2160130926882687325:VSRHFZoYrhhtnecmAaOfmgvaKlfxBZEgxFxSbLPTAhfVwurTuJfQgOTrwyseeqJQ</v>
      </c>
      <c r="H804" s="8" t="str">
        <f>IFNA(VLOOKUP(F804,Driver!A:C,3,false),"")</f>
        <v>76599ccdde8e37d06e9f</v>
      </c>
      <c r="I804" s="9">
        <v>0.2916666666666667</v>
      </c>
      <c r="J804" s="9">
        <v>0.75</v>
      </c>
      <c r="K804" s="9"/>
    </row>
    <row r="805" hidden="1">
      <c r="A805" s="5" t="str">
        <f>IFNA(VLOOKUP(D805,'Location Table'!A:C,2,false),"")</f>
        <v>e75fe7f2-4ab3-11ed-bb79-506b8dbc8dfb</v>
      </c>
      <c r="B805" s="5" t="str">
        <f>IFNA(VLOOKUP(F805,Driver!A:C,2,false),"")</f>
        <v>a9bf91b4-00e4-11f1-9378-fa163ee8d8ac</v>
      </c>
      <c r="C805" s="5" t="str">
        <f>IFNA(VLOOKUP(E805,'Location Table'!A:C,2,false),"")</f>
        <v/>
      </c>
      <c r="D805" s="6" t="s">
        <v>676</v>
      </c>
      <c r="E805" s="6"/>
      <c r="F805" s="6" t="s">
        <v>142</v>
      </c>
      <c r="G805" s="7" t="str">
        <f>IFNA(VLOOKUP(F805,Driver!A:D,4,false),"")</f>
        <v/>
      </c>
      <c r="H805" s="8" t="str">
        <f>IFNA(VLOOKUP(F805,Driver!A:C,3,false),"")</f>
        <v/>
      </c>
      <c r="I805" s="9">
        <v>0.2916666666666667</v>
      </c>
      <c r="J805" s="9">
        <v>0.5</v>
      </c>
      <c r="K805" s="9"/>
    </row>
    <row r="806" hidden="1">
      <c r="A806" s="5" t="str">
        <f>IFNA(VLOOKUP(D806,'Location Table'!A:C,2,false),"")</f>
        <v>95815b38-3849-11f0-8ddc-506b8d982279</v>
      </c>
      <c r="B806" s="5" t="str">
        <f>IFNA(VLOOKUP(F806,Driver!A:C,2,false),"")</f>
        <v>8909168a-37c4-11ed-9647-506b8dbc8dfb</v>
      </c>
      <c r="C806" s="5" t="str">
        <f>IFNA(VLOOKUP(E806,'Location Table'!A:C,2,false),"")</f>
        <v/>
      </c>
      <c r="D806" s="6" t="s">
        <v>677</v>
      </c>
      <c r="E806" s="6"/>
      <c r="F806" s="6" t="s">
        <v>552</v>
      </c>
      <c r="G806" s="7" t="str">
        <f>IFNA(VLOOKUP(F806,Driver!A:D,4,false),"")</f>
        <v>1980698793628880414:XXMGIAegigeHesHcPUQpIcnMCwhigvPUATFrPyRHiqIZqTwmvWiXbUzfDhivxPcl</v>
      </c>
      <c r="H806" s="8" t="str">
        <f>IFNA(VLOOKUP(F806,Driver!A:C,3,false),"")</f>
        <v>6f0424c9ec8505db5c94</v>
      </c>
      <c r="I806" s="9">
        <v>0.2916666666666667</v>
      </c>
      <c r="J806" s="9">
        <v>0.75</v>
      </c>
      <c r="K806" s="9"/>
    </row>
    <row r="807" hidden="1">
      <c r="A807" s="5" t="str">
        <f>IFNA(VLOOKUP(D807,'Location Table'!A:C,2,false),"")</f>
        <v>429fda3a-36a1-11ee-af8d-506b8d9879b5</v>
      </c>
      <c r="B807" s="5" t="str">
        <f>IFNA(VLOOKUP(F807,Driver!A:C,2,false),"")</f>
        <v>717fa61c-3654-11ed-b103-506b8dbc8dfb</v>
      </c>
      <c r="C807" s="5" t="str">
        <f>IFNA(VLOOKUP(E807,'Location Table'!A:C,2,false),"")</f>
        <v/>
      </c>
      <c r="D807" s="6" t="s">
        <v>678</v>
      </c>
      <c r="E807" s="6"/>
      <c r="F807" s="6" t="s">
        <v>361</v>
      </c>
      <c r="G807" s="7" t="str">
        <f>IFNA(VLOOKUP(F807,Driver!A:D,4,false),"")</f>
        <v>1980698793628880414:XXMGIAegigeHesHcPUQpIcnMCwhigvPUATFrPyRHiqIZqTwmvWiXbUzfDhivxPcl</v>
      </c>
      <c r="H807" s="8" t="str">
        <f>IFNA(VLOOKUP(F807,Driver!A:C,3,false),"")</f>
        <v>fbc73b7bb6385f660629</v>
      </c>
      <c r="I807" s="9">
        <v>0.23958333333333334</v>
      </c>
      <c r="J807" s="9">
        <v>0.6041666666666666</v>
      </c>
      <c r="K807" s="5" t="s">
        <v>362</v>
      </c>
    </row>
    <row r="808" hidden="1">
      <c r="A808" s="5" t="str">
        <f>IFNA(VLOOKUP(D808,'Location Table'!A:C,2,false),"")</f>
        <v>f13f6b80-ed74-11ed-8c68-506b8dbc8dfb</v>
      </c>
      <c r="B808" s="5" t="str">
        <f>IFNA(VLOOKUP(F808,Driver!A:C,2,false),"")</f>
        <v>41ea8512-2e70-11f1-9378-fa163ee8d8ac</v>
      </c>
      <c r="C808" s="5" t="str">
        <f>IFNA(VLOOKUP(E808,'Location Table'!A:C,2,false),"")</f>
        <v/>
      </c>
      <c r="D808" s="6" t="s">
        <v>679</v>
      </c>
      <c r="E808" s="6"/>
      <c r="F808" s="10" t="s">
        <v>35</v>
      </c>
      <c r="G808" s="7" t="str">
        <f>IFNA(VLOOKUP(F808,Driver!A:D,4,false),"")</f>
        <v/>
      </c>
      <c r="H808" s="8" t="str">
        <f>IFNA(VLOOKUP(F808,Driver!A:C,3,false),"")</f>
        <v/>
      </c>
      <c r="I808" s="9">
        <v>0.2916666666666667</v>
      </c>
      <c r="J808" s="9">
        <v>0.75</v>
      </c>
      <c r="K808" s="9"/>
    </row>
    <row r="809" hidden="1">
      <c r="A809" s="5" t="str">
        <f>IFNA(VLOOKUP(D809,'Location Table'!A:C,2,false),"")</f>
        <v>10e3489a-2604-11ee-855d-506b8d9879b5</v>
      </c>
      <c r="B809" s="5" t="str">
        <f>IFNA(VLOOKUP(F809,Driver!A:C,2,false),"")</f>
        <v>e3970cec-503e-11f1-9378-fa163ee8d8ac</v>
      </c>
      <c r="C809" s="5" t="str">
        <f>IFNA(VLOOKUP(E809,'Location Table'!A:C,2,false),"")</f>
        <v/>
      </c>
      <c r="D809" s="6" t="s">
        <v>680</v>
      </c>
      <c r="E809" s="6"/>
      <c r="F809" s="10" t="s">
        <v>328</v>
      </c>
      <c r="G809" s="7" t="str">
        <f>IFNA(VLOOKUP(F809,Driver!A:D,4,false),"")</f>
        <v/>
      </c>
      <c r="H809" s="8" t="str">
        <f>IFNA(VLOOKUP(F809,Driver!A:C,3,false),"")</f>
        <v/>
      </c>
      <c r="I809" s="9">
        <v>0.2916666666666667</v>
      </c>
      <c r="J809" s="9">
        <v>0.5833333333333334</v>
      </c>
      <c r="K809" s="9"/>
    </row>
    <row r="810" hidden="1">
      <c r="A810" s="5" t="str">
        <f>IFNA(VLOOKUP(D810,'Location Table'!A:C,2,false),"")</f>
        <v>c2e5e130-fb3f-11ef-bc58-506b8d9879b5</v>
      </c>
      <c r="B810" s="5" t="str">
        <f>IFNA(VLOOKUP(F810,Driver!A:C,2,false),"")</f>
        <v>51b847ba-37cd-11ed-a5f6-506b8dbc8dfb</v>
      </c>
      <c r="C810" s="5" t="str">
        <f>IFNA(VLOOKUP(E810,'Location Table'!A:C,2,false),"")</f>
        <v/>
      </c>
      <c r="D810" s="6" t="s">
        <v>681</v>
      </c>
      <c r="E810" s="6"/>
      <c r="F810" s="6" t="s">
        <v>94</v>
      </c>
      <c r="G810" s="7" t="str">
        <f>IFNA(VLOOKUP(F810,Driver!A:D,4,false),"")</f>
        <v>1980698793628880414:XXMGIAegigeHesHcPUQpIcnMCwhigvPUATFrPyRHiqIZqTwmvWiXbUzfDhivxPcl</v>
      </c>
      <c r="H810" s="8" t="str">
        <f>IFNA(VLOOKUP(F810,Driver!A:C,3,false),"")</f>
        <v>3d1fec9027dcce8297cd</v>
      </c>
      <c r="I810" s="9">
        <v>0.2916666666666667</v>
      </c>
      <c r="J810" s="9">
        <v>0.6666666666666666</v>
      </c>
      <c r="K810" s="9"/>
    </row>
    <row r="811" hidden="1">
      <c r="A811" s="5" t="str">
        <f>IFNA(VLOOKUP(D811,'Location Table'!A:C,2,false),"")</f>
        <v>b25974b4-d3ff-11f0-be69-506b8d982279</v>
      </c>
      <c r="B811" s="5" t="str">
        <f>IFNA(VLOOKUP(F811,Driver!A:C,2,false),"")</f>
        <v>b74e3178-7caf-11f0-a9c3-506b8d982279</v>
      </c>
      <c r="C811" s="5" t="str">
        <f>IFNA(VLOOKUP(E811,'Location Table'!A:C,2,false),"")</f>
        <v/>
      </c>
      <c r="D811" s="6" t="s">
        <v>682</v>
      </c>
      <c r="E811" s="6"/>
      <c r="F811" s="6" t="s">
        <v>326</v>
      </c>
      <c r="G811" s="7" t="str">
        <f>IFNA(VLOOKUP(F811,Driver!A:D,4,false),"")</f>
        <v>2160130926882687325:VSRHFZoYrhhtnecmAaOfmgvaKlfxBZEgxFxSbLPTAhfVwurTuJfQgOTrwyseeqJQ</v>
      </c>
      <c r="H811" s="8" t="str">
        <f>IFNA(VLOOKUP(F811,Driver!A:C,3,false),"")</f>
        <v>473ef1d8329bdbc5828a</v>
      </c>
      <c r="I811" s="9">
        <v>0.2916666666666667</v>
      </c>
      <c r="J811" s="9">
        <v>0.6666666666666666</v>
      </c>
      <c r="K811" s="9"/>
    </row>
    <row r="812" hidden="1">
      <c r="A812" s="5" t="str">
        <f>IFNA(VLOOKUP(D812,'Location Table'!A:C,2,false),"")</f>
        <v>9c4baa50-4476-11ed-9fc8-506b8dbc8dfb</v>
      </c>
      <c r="B812" s="5" t="str">
        <f>IFNA(VLOOKUP(F812,Driver!A:C,2,false),"")</f>
        <v>103090f4-37c8-11ed-9333-506b8dbc8dfb</v>
      </c>
      <c r="C812" s="5" t="str">
        <f>IFNA(VLOOKUP(E812,'Location Table'!A:C,2,false),"")</f>
        <v/>
      </c>
      <c r="D812" s="6" t="s">
        <v>683</v>
      </c>
      <c r="E812" s="6"/>
      <c r="F812" s="6" t="s">
        <v>130</v>
      </c>
      <c r="G812" s="7" t="str">
        <f>IFNA(VLOOKUP(F812,Driver!A:D,4,false),"")</f>
        <v>2160130926882687325:VSRHFZoYrhhtnecmAaOfmgvaKlfxBZEgxFxSbLPTAhfVwurTuJfQgOTrwyseeqJQ</v>
      </c>
      <c r="H812" s="8" t="str">
        <f>IFNA(VLOOKUP(F812,Driver!A:C,3,false),"")</f>
        <v>77085b30147bfd25a46a</v>
      </c>
      <c r="I812" s="9">
        <v>0.2916666666666667</v>
      </c>
      <c r="J812" s="9">
        <v>0.8541666666666666</v>
      </c>
      <c r="K812" s="9"/>
    </row>
    <row r="813" hidden="1">
      <c r="A813" s="5" t="str">
        <f>IFNA(VLOOKUP(D813,'Location Table'!A:C,2,false),"")</f>
        <v>72f84188-e49e-11f0-abc5-506b8d982279</v>
      </c>
      <c r="B813" s="5" t="str">
        <f>IFNA(VLOOKUP(F813,Driver!A:C,2,false),"")</f>
        <v>51b847ba-37cd-11ed-a5f6-506b8dbc8dfb</v>
      </c>
      <c r="C813" s="5" t="str">
        <f>IFNA(VLOOKUP(E813,'Location Table'!A:C,2,false),"")</f>
        <v/>
      </c>
      <c r="D813" s="6" t="s">
        <v>684</v>
      </c>
      <c r="E813" s="6"/>
      <c r="F813" s="6" t="s">
        <v>94</v>
      </c>
      <c r="G813" s="7" t="str">
        <f>IFNA(VLOOKUP(F813,Driver!A:D,4,false),"")</f>
        <v>1980698793628880414:XXMGIAegigeHesHcPUQpIcnMCwhigvPUATFrPyRHiqIZqTwmvWiXbUzfDhivxPcl</v>
      </c>
      <c r="H813" s="8" t="str">
        <f>IFNA(VLOOKUP(F813,Driver!A:C,3,false),"")</f>
        <v>3d1fec9027dcce8297cd</v>
      </c>
      <c r="I813" s="9">
        <v>0.2916666666666667</v>
      </c>
      <c r="J813" s="9">
        <v>0.6666666666666666</v>
      </c>
      <c r="K813" s="9"/>
    </row>
    <row r="814" hidden="1">
      <c r="A814" s="5" t="str">
        <f>IFNA(VLOOKUP(D814,'Location Table'!A:C,2,false),"")</f>
        <v>b72c94ac-e4b3-11f0-95cc-506b8d982279</v>
      </c>
      <c r="B814" s="5" t="str">
        <f>IFNA(VLOOKUP(F814,Driver!A:C,2,false),"")</f>
        <v>103090f4-37c8-11ed-9333-506b8dbc8dfb</v>
      </c>
      <c r="C814" s="5" t="str">
        <f>IFNA(VLOOKUP(E814,'Location Table'!A:C,2,false),"")</f>
        <v/>
      </c>
      <c r="D814" s="6" t="s">
        <v>685</v>
      </c>
      <c r="E814" s="6"/>
      <c r="F814" s="6" t="s">
        <v>130</v>
      </c>
      <c r="G814" s="7" t="str">
        <f>IFNA(VLOOKUP(F814,Driver!A:D,4,false),"")</f>
        <v>2160130926882687325:VSRHFZoYrhhtnecmAaOfmgvaKlfxBZEgxFxSbLPTAhfVwurTuJfQgOTrwyseeqJQ</v>
      </c>
      <c r="H814" s="8" t="str">
        <f>IFNA(VLOOKUP(F814,Driver!A:C,3,false),"")</f>
        <v>77085b30147bfd25a46a</v>
      </c>
      <c r="I814" s="9">
        <v>0.2916666666666667</v>
      </c>
      <c r="J814" s="9">
        <v>0.8541666666666666</v>
      </c>
      <c r="K814" s="9"/>
    </row>
    <row r="815" hidden="1">
      <c r="A815" s="5" t="str">
        <f>IFNA(VLOOKUP(D815,'Location Table'!A:C,2,false),"")</f>
        <v>cb26963e-0b2a-11ee-ade6-506b8dbc8dfb</v>
      </c>
      <c r="B815" s="5" t="str">
        <f>IFNA(VLOOKUP(F815,Driver!A:C,2,false),"")</f>
        <v>103090f4-37c8-11ed-9333-506b8dbc8dfb</v>
      </c>
      <c r="C815" s="5" t="str">
        <f>IFNA(VLOOKUP(E815,'Location Table'!A:C,2,false),"")</f>
        <v/>
      </c>
      <c r="D815" s="6" t="s">
        <v>686</v>
      </c>
      <c r="E815" s="6"/>
      <c r="F815" s="6" t="s">
        <v>130</v>
      </c>
      <c r="G815" s="7" t="str">
        <f>IFNA(VLOOKUP(F815,Driver!A:D,4,false),"")</f>
        <v>2160130926882687325:VSRHFZoYrhhtnecmAaOfmgvaKlfxBZEgxFxSbLPTAhfVwurTuJfQgOTrwyseeqJQ</v>
      </c>
      <c r="H815" s="8" t="str">
        <f>IFNA(VLOOKUP(F815,Driver!A:C,3,false),"")</f>
        <v>77085b30147bfd25a46a</v>
      </c>
      <c r="I815" s="9">
        <v>0.2916666666666667</v>
      </c>
      <c r="J815" s="9">
        <v>0.8541666666666666</v>
      </c>
      <c r="K815" s="9"/>
    </row>
    <row r="816" hidden="1">
      <c r="A816" s="5" t="str">
        <f>IFNA(VLOOKUP(D816,'Location Table'!A:C,2,false),"")</f>
        <v>1c48d9e8-f839-11f0-9378-fa163ee8d8ac</v>
      </c>
      <c r="B816" s="5" t="str">
        <f>IFNA(VLOOKUP(F816,Driver!A:C,2,false),"")</f>
        <v>a2f538f8-37ce-11ed-a5cf-506b8dbc8dfb</v>
      </c>
      <c r="C816" s="5" t="str">
        <f>IFNA(VLOOKUP(E816,'Location Table'!A:C,2,false),"")</f>
        <v/>
      </c>
      <c r="D816" s="6" t="s">
        <v>687</v>
      </c>
      <c r="E816" s="6"/>
      <c r="F816" s="6" t="s">
        <v>338</v>
      </c>
      <c r="G816" s="7" t="str">
        <f>IFNA(VLOOKUP(F816,Driver!A:D,4,false),"")</f>
        <v>2160130926882687325:VSRHFZoYrhhtnecmAaOfmgvaKlfxBZEgxFxSbLPTAhfVwurTuJfQgOTrwyseeqJQ</v>
      </c>
      <c r="H816" s="8" t="str">
        <f>IFNA(VLOOKUP(F816,Driver!A:C,3,false),"")</f>
        <v>c0d10f02724a9b14c25b</v>
      </c>
      <c r="I816" s="9">
        <v>0.2916666666666667</v>
      </c>
      <c r="J816" s="9">
        <v>0.6666666666666666</v>
      </c>
      <c r="K816" s="9"/>
    </row>
    <row r="817" hidden="1">
      <c r="A817" s="5" t="str">
        <f>IFNA(VLOOKUP(D817,'Location Table'!A:C,2,false),"")</f>
        <v>b3e5c2f4-9ce8-11f0-926c-506b8d982279</v>
      </c>
      <c r="B817" s="5" t="str">
        <f>IFNA(VLOOKUP(F817,Driver!A:C,2,false),"")</f>
        <v>51b847ba-37cd-11ed-a5f6-506b8dbc8dfb</v>
      </c>
      <c r="C817" s="5" t="str">
        <f>IFNA(VLOOKUP(E817,'Location Table'!A:C,2,false),"")</f>
        <v/>
      </c>
      <c r="D817" s="6" t="s">
        <v>688</v>
      </c>
      <c r="E817" s="6"/>
      <c r="F817" s="6" t="s">
        <v>94</v>
      </c>
      <c r="G817" s="7" t="str">
        <f>IFNA(VLOOKUP(F817,Driver!A:D,4,false),"")</f>
        <v>1980698793628880414:XXMGIAegigeHesHcPUQpIcnMCwhigvPUATFrPyRHiqIZqTwmvWiXbUzfDhivxPcl</v>
      </c>
      <c r="H817" s="8" t="str">
        <f>IFNA(VLOOKUP(F817,Driver!A:C,3,false),"")</f>
        <v>3d1fec9027dcce8297cd</v>
      </c>
      <c r="I817" s="9">
        <v>0.2916666666666667</v>
      </c>
      <c r="J817" s="9">
        <v>0.6666666666666666</v>
      </c>
      <c r="K817" s="9"/>
    </row>
    <row r="818" hidden="1">
      <c r="A818" s="5" t="str">
        <f>IFNA(VLOOKUP(D818,'Location Table'!A:C,2,false),"")</f>
        <v>be74d176-452d-11ed-a31e-506b8dbc8dfb</v>
      </c>
      <c r="B818" s="5" t="str">
        <f>IFNA(VLOOKUP(F818,Driver!A:C,2,false),"")</f>
        <v>1163ad80-d96e-11f0-b637-506b8d982279</v>
      </c>
      <c r="C818" s="5" t="str">
        <f>IFNA(VLOOKUP(E818,'Location Table'!A:C,2,false),"")</f>
        <v/>
      </c>
      <c r="D818" s="6" t="s">
        <v>689</v>
      </c>
      <c r="E818" s="6"/>
      <c r="F818" s="6" t="s">
        <v>498</v>
      </c>
      <c r="G818" s="7" t="str">
        <f>IFNA(VLOOKUP(F818,Driver!A:D,4,false),"")</f>
        <v>2160130926882687325:VSRHFZoYrhhtnecmAaOfmgvaKlfxBZEgxFxSbLPTAhfVwurTuJfQgOTrwyseeqJQ</v>
      </c>
      <c r="H818" s="8" t="str">
        <f>IFNA(VLOOKUP(F818,Driver!A:C,3,false),"")</f>
        <v>76599ccdde8e37d06e9f</v>
      </c>
      <c r="I818" s="9">
        <v>0.2916666666666667</v>
      </c>
      <c r="J818" s="9">
        <v>0.75</v>
      </c>
      <c r="K818" s="9"/>
    </row>
    <row r="819" hidden="1">
      <c r="A819" s="5" t="str">
        <f>IFNA(VLOOKUP(D819,'Location Table'!A:C,2,false),"")</f>
        <v>156618d8-4879-11ee-a0e0-506b8d9879b5</v>
      </c>
      <c r="B819" s="5" t="str">
        <f>IFNA(VLOOKUP(F819,Driver!A:C,2,false),"")</f>
        <v>8909168a-37c4-11ed-9647-506b8dbc8dfb</v>
      </c>
      <c r="C819" s="5" t="str">
        <f>IFNA(VLOOKUP(E819,'Location Table'!A:C,2,false),"")</f>
        <v/>
      </c>
      <c r="D819" s="6" t="s">
        <v>690</v>
      </c>
      <c r="E819" s="6"/>
      <c r="F819" s="6" t="s">
        <v>552</v>
      </c>
      <c r="G819" s="7" t="str">
        <f>IFNA(VLOOKUP(F819,Driver!A:D,4,false),"")</f>
        <v>1980698793628880414:XXMGIAegigeHesHcPUQpIcnMCwhigvPUATFrPyRHiqIZqTwmvWiXbUzfDhivxPcl</v>
      </c>
      <c r="H819" s="8" t="str">
        <f>IFNA(VLOOKUP(F819,Driver!A:C,3,false),"")</f>
        <v>6f0424c9ec8505db5c94</v>
      </c>
      <c r="I819" s="9">
        <v>0.2916666666666667</v>
      </c>
      <c r="J819" s="9">
        <v>0.75</v>
      </c>
      <c r="K819" s="9"/>
    </row>
    <row r="820" hidden="1">
      <c r="A820" s="5" t="str">
        <f>IFNA(VLOOKUP(D820,'Location Table'!A:C,2,false),"")</f>
        <v>7b511a7a-b48e-11f0-a8ff-506b8d982279</v>
      </c>
      <c r="B820" s="5" t="str">
        <f>IFNA(VLOOKUP(F820,Driver!A:C,2,false),"")</f>
        <v>41ea8512-2e70-11f1-9378-fa163ee8d8ac</v>
      </c>
      <c r="C820" s="5" t="str">
        <f>IFNA(VLOOKUP(E820,'Location Table'!A:C,2,false),"")</f>
        <v/>
      </c>
      <c r="D820" s="6" t="s">
        <v>691</v>
      </c>
      <c r="E820" s="6"/>
      <c r="F820" s="10" t="s">
        <v>35</v>
      </c>
      <c r="G820" s="7" t="str">
        <f>IFNA(VLOOKUP(F820,Driver!A:D,4,false),"")</f>
        <v/>
      </c>
      <c r="H820" s="8" t="str">
        <f>IFNA(VLOOKUP(F820,Driver!A:C,3,false),"")</f>
        <v/>
      </c>
      <c r="I820" s="9">
        <v>0.2916666666666667</v>
      </c>
      <c r="J820" s="9">
        <v>0.75</v>
      </c>
      <c r="K820" s="9"/>
    </row>
    <row r="821" hidden="1">
      <c r="A821" s="5" t="str">
        <f>IFNA(VLOOKUP(D821,'Location Table'!A:C,2,false),"")</f>
        <v>c56d29e8-5fe6-11f0-b560-506b8d982279</v>
      </c>
      <c r="B821" s="5" t="str">
        <f>IFNA(VLOOKUP(F821,Driver!A:C,2,false),"")</f>
        <v>41ea8512-2e70-11f1-9378-fa163ee8d8ac</v>
      </c>
      <c r="C821" s="5" t="str">
        <f>IFNA(VLOOKUP(E821,'Location Table'!A:C,2,false),"")</f>
        <v/>
      </c>
      <c r="D821" s="6" t="s">
        <v>692</v>
      </c>
      <c r="E821" s="6"/>
      <c r="F821" s="10" t="s">
        <v>35</v>
      </c>
      <c r="G821" s="7" t="str">
        <f>IFNA(VLOOKUP(F821,Driver!A:D,4,false),"")</f>
        <v/>
      </c>
      <c r="H821" s="8" t="str">
        <f>IFNA(VLOOKUP(F821,Driver!A:C,3,false),"")</f>
        <v/>
      </c>
      <c r="I821" s="9">
        <v>0.2916666666666667</v>
      </c>
      <c r="J821" s="9">
        <v>0.75</v>
      </c>
      <c r="K821" s="9"/>
    </row>
    <row r="822" hidden="1">
      <c r="A822" s="5" t="str">
        <f>IFNA(VLOOKUP(D822,'Location Table'!A:C,2,false),"")</f>
        <v>524fd8d8-fb7b-11ed-9da7-506b8dbc8dfb</v>
      </c>
      <c r="B822" s="5" t="str">
        <f>IFNA(VLOOKUP(F822,Driver!A:C,2,false),"")</f>
        <v>7d150c4e-e4a5-11f0-8fa0-506b8d982279</v>
      </c>
      <c r="C822" s="5" t="str">
        <f>IFNA(VLOOKUP(E822,'Location Table'!A:C,2,false),"")</f>
        <v/>
      </c>
      <c r="D822" s="6" t="s">
        <v>693</v>
      </c>
      <c r="E822" s="6"/>
      <c r="F822" s="6" t="s">
        <v>694</v>
      </c>
      <c r="G822" s="7" t="str">
        <f>IFNA(VLOOKUP(F822,Driver!A:D,4,false),"")</f>
        <v/>
      </c>
      <c r="H822" s="8" t="str">
        <f>IFNA(VLOOKUP(F822,Driver!A:C,3,false),"")</f>
        <v/>
      </c>
      <c r="I822" s="9">
        <v>0.2916666666666667</v>
      </c>
      <c r="J822" s="9">
        <v>0.6666666666666666</v>
      </c>
      <c r="K822" s="9"/>
    </row>
    <row r="823" hidden="1">
      <c r="A823" s="5" t="str">
        <f>IFNA(VLOOKUP(D823,'Location Table'!A:C,2,false),"")</f>
        <v>8eef787e-9a5e-11ef-8665-506b8d9879b5</v>
      </c>
      <c r="B823" s="5" t="str">
        <f>IFNA(VLOOKUP(F823,Driver!A:C,2,false),"")</f>
        <v>51b847ba-37cd-11ed-a5f6-506b8dbc8dfb</v>
      </c>
      <c r="C823" s="5" t="str">
        <f>IFNA(VLOOKUP(E823,'Location Table'!A:C,2,false),"")</f>
        <v/>
      </c>
      <c r="D823" s="6" t="s">
        <v>695</v>
      </c>
      <c r="E823" s="6"/>
      <c r="F823" s="6" t="s">
        <v>94</v>
      </c>
      <c r="G823" s="7" t="str">
        <f>IFNA(VLOOKUP(F823,Driver!A:D,4,false),"")</f>
        <v>1980698793628880414:XXMGIAegigeHesHcPUQpIcnMCwhigvPUATFrPyRHiqIZqTwmvWiXbUzfDhivxPcl</v>
      </c>
      <c r="H823" s="8" t="str">
        <f>IFNA(VLOOKUP(F823,Driver!A:C,3,false),"")</f>
        <v>3d1fec9027dcce8297cd</v>
      </c>
      <c r="I823" s="9">
        <v>0.2916666666666667</v>
      </c>
      <c r="J823" s="9">
        <v>0.6666666666666666</v>
      </c>
      <c r="K823" s="9"/>
    </row>
    <row r="824" hidden="1">
      <c r="A824" s="5" t="str">
        <f>IFNA(VLOOKUP(D824,'Location Table'!A:C,2,false),"")</f>
        <v>9dffee66-579d-11ee-b74c-506b8d9879b5</v>
      </c>
      <c r="B824" s="5" t="str">
        <f>IFNA(VLOOKUP(F824,Driver!A:C,2,false),"")</f>
        <v>717fa61c-3654-11ed-b103-506b8dbc8dfb</v>
      </c>
      <c r="C824" s="5" t="str">
        <f>IFNA(VLOOKUP(E824,'Location Table'!A:C,2,false),"")</f>
        <v/>
      </c>
      <c r="D824" s="6" t="s">
        <v>696</v>
      </c>
      <c r="E824" s="6"/>
      <c r="F824" s="6" t="s">
        <v>361</v>
      </c>
      <c r="G824" s="7" t="str">
        <f>IFNA(VLOOKUP(F824,Driver!A:D,4,false),"")</f>
        <v>1980698793628880414:XXMGIAegigeHesHcPUQpIcnMCwhigvPUATFrPyRHiqIZqTwmvWiXbUzfDhivxPcl</v>
      </c>
      <c r="H824" s="8" t="str">
        <f>IFNA(VLOOKUP(F824,Driver!A:C,3,false),"")</f>
        <v>fbc73b7bb6385f660629</v>
      </c>
      <c r="I824" s="9">
        <v>0.23958333333333334</v>
      </c>
      <c r="J824" s="9">
        <v>0.6041666666666666</v>
      </c>
      <c r="K824" s="5" t="s">
        <v>362</v>
      </c>
    </row>
    <row r="825" hidden="1">
      <c r="A825" s="5" t="str">
        <f>IFNA(VLOOKUP(D825,'Location Table'!A:C,2,false),"")</f>
        <v>44bdbe46-3023-11ef-89d0-506b8d9879b5</v>
      </c>
      <c r="B825" s="5" t="str">
        <f>IFNA(VLOOKUP(F825,Driver!A:C,2,false),"")</f>
        <v>a01fefe6-3653-11ed-8128-506b8dbc8dfb</v>
      </c>
      <c r="C825" s="5" t="str">
        <f>IFNA(VLOOKUP(E825,'Location Table'!A:C,2,false),"")</f>
        <v/>
      </c>
      <c r="D825" s="6" t="s">
        <v>697</v>
      </c>
      <c r="E825" s="6"/>
      <c r="F825" s="6" t="s">
        <v>128</v>
      </c>
      <c r="G825" s="7" t="str">
        <f>IFNA(VLOOKUP(F825,Driver!A:D,4,false),"")</f>
        <v/>
      </c>
      <c r="H825" s="8" t="str">
        <f>IFNA(VLOOKUP(F825,Driver!A:C,3,false),"")</f>
        <v/>
      </c>
      <c r="I825" s="9">
        <v>0.2916666666666667</v>
      </c>
      <c r="J825" s="9">
        <v>0.5</v>
      </c>
      <c r="K825" s="9"/>
    </row>
    <row r="826" hidden="1">
      <c r="A826" s="5" t="str">
        <f>IFNA(VLOOKUP(D826,'Location Table'!A:C,2,false),"")</f>
        <v>93f42a58-5c84-11ef-8902-506b8d9879b5</v>
      </c>
      <c r="B826" s="5" t="str">
        <f>IFNA(VLOOKUP(F826,Driver!A:C,2,false),"")</f>
        <v>d2c2d39e-11e4-11f1-9378-fa163ee8d8ac</v>
      </c>
      <c r="C826" s="5" t="str">
        <f>IFNA(VLOOKUP(E826,'Location Table'!A:C,2,false),"")</f>
        <v/>
      </c>
      <c r="D826" s="6" t="s">
        <v>698</v>
      </c>
      <c r="E826" s="6"/>
      <c r="F826" s="6" t="s">
        <v>88</v>
      </c>
      <c r="G826" s="7" t="str">
        <f>IFNA(VLOOKUP(F826,Driver!A:D,4,false),"")</f>
        <v>1980698793628880414:XXMGIAegigeHesHcPUQpIcnMCwhigvPUATFrPyRHiqIZqTwmvWiXbUzfDhivxPcl</v>
      </c>
      <c r="H826" s="8" t="str">
        <f>IFNA(VLOOKUP(F826,Driver!A:C,3,false),"")</f>
        <v>59a2bfce5a81b3dfea90</v>
      </c>
      <c r="I826" s="9">
        <v>0.2916666666666667</v>
      </c>
      <c r="J826" s="9">
        <v>0.6666666666666666</v>
      </c>
      <c r="K826" s="9"/>
    </row>
    <row r="827" hidden="1">
      <c r="A827" s="5" t="str">
        <f>IFNA(VLOOKUP(D827,'Location Table'!A:C,2,false),"")</f>
        <v>0813b2f8-af1b-11ef-a1c6-506b8d9879b5</v>
      </c>
      <c r="B827" s="5" t="str">
        <f>IFNA(VLOOKUP(F827,Driver!A:C,2,false),"")</f>
        <v>cdb1dc1a-3655-11ed-a124-506b8dbc8dfb</v>
      </c>
      <c r="C827" s="5" t="str">
        <f>IFNA(VLOOKUP(E827,'Location Table'!A:C,2,false),"")</f>
        <v/>
      </c>
      <c r="D827" s="6" t="s">
        <v>699</v>
      </c>
      <c r="E827" s="6"/>
      <c r="F827" s="6" t="s">
        <v>319</v>
      </c>
      <c r="G827" s="7" t="str">
        <f>IFNA(VLOOKUP(F827,Driver!A:D,4,false),"")</f>
        <v>1980698793628880414:XXMGIAegigeHesHcPUQpIcnMCwhigvPUATFrPyRHiqIZqTwmvWiXbUzfDhivxPcl</v>
      </c>
      <c r="H827" s="8" t="str">
        <f>IFNA(VLOOKUP(F827,Driver!A:C,3,false),"")</f>
        <v>b57751bd28f2c1ac98e3</v>
      </c>
      <c r="I827" s="9">
        <v>0.2916666666666667</v>
      </c>
      <c r="J827" s="9">
        <v>0.75</v>
      </c>
      <c r="K827" s="9"/>
    </row>
    <row r="828" hidden="1">
      <c r="A828" s="5" t="str">
        <f>IFNA(VLOOKUP(D828,'Location Table'!A:C,2,false),"")</f>
        <v>2e8f16ae-8fd3-11f0-852a-506b8d982279</v>
      </c>
      <c r="B828" s="5" t="str">
        <f>IFNA(VLOOKUP(F828,Driver!A:C,2,false),"")</f>
        <v>232be490-35a4-11ed-88b7-506b8dbc8dfb</v>
      </c>
      <c r="C828" s="5" t="str">
        <f>IFNA(VLOOKUP(E828,'Location Table'!A:C,2,false),"")</f>
        <v/>
      </c>
      <c r="D828" s="6" t="s">
        <v>700</v>
      </c>
      <c r="E828" s="6"/>
      <c r="F828" s="6" t="s">
        <v>110</v>
      </c>
      <c r="G828" s="7" t="str">
        <f>IFNA(VLOOKUP(F828,Driver!A:D,4,false),"")</f>
        <v>2160130926882687325:VSRHFZoYrhhtnecmAaOfmgvaKlfxBZEgxFxSbLPTAhfVwurTuJfQgOTrwyseeqJQ</v>
      </c>
      <c r="H828" s="8" t="str">
        <f>IFNA(VLOOKUP(F828,Driver!A:C,3,false),"")</f>
        <v>d9fc37dd4093a9cdf082</v>
      </c>
      <c r="I828" s="9">
        <v>0.2916666666666667</v>
      </c>
      <c r="J828" s="9">
        <v>0.6666666666666666</v>
      </c>
      <c r="K828" s="9"/>
    </row>
    <row r="829" hidden="1">
      <c r="A829" s="5" t="str">
        <f>IFNA(VLOOKUP(D829,'Location Table'!A:C,2,false),"")</f>
        <v>2d52e58e-13ea-11ee-9e33-506b8dbc8dfb</v>
      </c>
      <c r="B829" s="5" t="str">
        <f>IFNA(VLOOKUP(F829,Driver!A:C,2,false),"")</f>
        <v>232be490-35a4-11ed-88b7-506b8dbc8dfb</v>
      </c>
      <c r="C829" s="5" t="str">
        <f>IFNA(VLOOKUP(E829,'Location Table'!A:C,2,false),"")</f>
        <v/>
      </c>
      <c r="D829" s="6" t="s">
        <v>701</v>
      </c>
      <c r="E829" s="6"/>
      <c r="F829" s="6" t="s">
        <v>110</v>
      </c>
      <c r="G829" s="7" t="str">
        <f>IFNA(VLOOKUP(F829,Driver!A:D,4,false),"")</f>
        <v>2160130926882687325:VSRHFZoYrhhtnecmAaOfmgvaKlfxBZEgxFxSbLPTAhfVwurTuJfQgOTrwyseeqJQ</v>
      </c>
      <c r="H829" s="8" t="str">
        <f>IFNA(VLOOKUP(F829,Driver!A:C,3,false),"")</f>
        <v>d9fc37dd4093a9cdf082</v>
      </c>
      <c r="I829" s="9">
        <v>0.2916666666666667</v>
      </c>
      <c r="J829" s="9">
        <v>0.6666666666666666</v>
      </c>
      <c r="K829" s="9"/>
    </row>
    <row r="830" hidden="1">
      <c r="A830" s="5" t="str">
        <f>IFNA(VLOOKUP(D830,'Location Table'!A:C,2,false),"")</f>
        <v>375b5352-fc1b-11ef-b754-506b8d9879b5</v>
      </c>
      <c r="B830" s="5" t="str">
        <f>IFNA(VLOOKUP(F830,Driver!A:C,2,false),"")</f>
        <v>103090f4-37c8-11ed-9333-506b8dbc8dfb</v>
      </c>
      <c r="C830" s="5" t="str">
        <f>IFNA(VLOOKUP(E830,'Location Table'!A:C,2,false),"")</f>
        <v/>
      </c>
      <c r="D830" s="6" t="s">
        <v>702</v>
      </c>
      <c r="E830" s="6"/>
      <c r="F830" s="6" t="s">
        <v>130</v>
      </c>
      <c r="G830" s="7" t="str">
        <f>IFNA(VLOOKUP(F830,Driver!A:D,4,false),"")</f>
        <v>2160130926882687325:VSRHFZoYrhhtnecmAaOfmgvaKlfxBZEgxFxSbLPTAhfVwurTuJfQgOTrwyseeqJQ</v>
      </c>
      <c r="H830" s="8" t="str">
        <f>IFNA(VLOOKUP(F830,Driver!A:C,3,false),"")</f>
        <v>77085b30147bfd25a46a</v>
      </c>
      <c r="I830" s="9">
        <v>0.2916666666666667</v>
      </c>
      <c r="J830" s="9">
        <v>0.8541666666666666</v>
      </c>
      <c r="K830" s="9"/>
    </row>
    <row r="831" hidden="1">
      <c r="A831" s="5" t="str">
        <f>IFNA(VLOOKUP(D831,'Location Table'!A:C,2,false),"")</f>
        <v>ca915726-197c-11ee-bb7f-506b8d9879b5</v>
      </c>
      <c r="B831" s="5" t="str">
        <f>IFNA(VLOOKUP(F831,Driver!A:C,2,false),"")</f>
        <v>103090f4-37c8-11ed-9333-506b8dbc8dfb</v>
      </c>
      <c r="C831" s="5" t="str">
        <f>IFNA(VLOOKUP(E831,'Location Table'!A:C,2,false),"")</f>
        <v/>
      </c>
      <c r="D831" s="6" t="s">
        <v>703</v>
      </c>
      <c r="E831" s="6"/>
      <c r="F831" s="6" t="s">
        <v>130</v>
      </c>
      <c r="G831" s="7" t="str">
        <f>IFNA(VLOOKUP(F831,Driver!A:D,4,false),"")</f>
        <v>2160130926882687325:VSRHFZoYrhhtnecmAaOfmgvaKlfxBZEgxFxSbLPTAhfVwurTuJfQgOTrwyseeqJQ</v>
      </c>
      <c r="H831" s="8" t="str">
        <f>IFNA(VLOOKUP(F831,Driver!A:C,3,false),"")</f>
        <v>77085b30147bfd25a46a</v>
      </c>
      <c r="I831" s="9">
        <v>0.2916666666666667</v>
      </c>
      <c r="J831" s="9">
        <v>0.8541666666666666</v>
      </c>
      <c r="K831" s="9"/>
    </row>
    <row r="832" hidden="1">
      <c r="A832" s="5" t="str">
        <f>IFNA(VLOOKUP(D832,'Location Table'!A:C,2,false),"")</f>
        <v>30cc7046-c67b-11ef-80bd-506b8d9879b5</v>
      </c>
      <c r="B832" s="5" t="str">
        <f>IFNA(VLOOKUP(F832,Driver!A:C,2,false),"")</f>
        <v>a2f538f8-37ce-11ed-a5cf-506b8dbc8dfb</v>
      </c>
      <c r="C832" s="5" t="str">
        <f>IFNA(VLOOKUP(E832,'Location Table'!A:C,2,false),"")</f>
        <v/>
      </c>
      <c r="D832" s="6" t="s">
        <v>704</v>
      </c>
      <c r="E832" s="6"/>
      <c r="F832" s="6" t="s">
        <v>338</v>
      </c>
      <c r="G832" s="7" t="str">
        <f>IFNA(VLOOKUP(F832,Driver!A:D,4,false),"")</f>
        <v>2160130926882687325:VSRHFZoYrhhtnecmAaOfmgvaKlfxBZEgxFxSbLPTAhfVwurTuJfQgOTrwyseeqJQ</v>
      </c>
      <c r="H832" s="8" t="str">
        <f>IFNA(VLOOKUP(F832,Driver!A:C,3,false),"")</f>
        <v>c0d10f02724a9b14c25b</v>
      </c>
      <c r="I832" s="9">
        <v>0.2916666666666667</v>
      </c>
      <c r="J832" s="9">
        <v>0.6666666666666666</v>
      </c>
      <c r="K832" s="9"/>
    </row>
    <row r="833" hidden="1">
      <c r="A833" s="5" t="str">
        <f>IFNA(VLOOKUP(D833,'Location Table'!A:C,2,false),"")</f>
        <v>e7be97f4-28ff-11ee-9310-506b8d9879b5</v>
      </c>
      <c r="B833" s="5" t="str">
        <f>IFNA(VLOOKUP(F833,Driver!A:C,2,false),"")</f>
        <v>a2f538f8-37ce-11ed-a5cf-506b8dbc8dfb</v>
      </c>
      <c r="C833" s="5" t="str">
        <f>IFNA(VLOOKUP(E833,'Location Table'!A:C,2,false),"")</f>
        <v/>
      </c>
      <c r="D833" s="6" t="s">
        <v>705</v>
      </c>
      <c r="E833" s="6"/>
      <c r="F833" s="6" t="s">
        <v>338</v>
      </c>
      <c r="G833" s="7" t="str">
        <f>IFNA(VLOOKUP(F833,Driver!A:D,4,false),"")</f>
        <v>2160130926882687325:VSRHFZoYrhhtnecmAaOfmgvaKlfxBZEgxFxSbLPTAhfVwurTuJfQgOTrwyseeqJQ</v>
      </c>
      <c r="H833" s="8" t="str">
        <f>IFNA(VLOOKUP(F833,Driver!A:C,3,false),"")</f>
        <v>c0d10f02724a9b14c25b</v>
      </c>
      <c r="I833" s="9">
        <v>0.2916666666666667</v>
      </c>
      <c r="J833" s="9">
        <v>0.6666666666666666</v>
      </c>
      <c r="K833" s="9"/>
    </row>
    <row r="834" hidden="1">
      <c r="A834" s="5" t="str">
        <f>IFNA(VLOOKUP(D834,'Location Table'!A:C,2,false),"")</f>
        <v>b0eae254-d574-11f0-a854-506b8d982279</v>
      </c>
      <c r="B834" s="5" t="str">
        <f>IFNA(VLOOKUP(F834,Driver!A:C,2,false),"")</f>
        <v>51b847ba-37cd-11ed-a5f6-506b8dbc8dfb</v>
      </c>
      <c r="C834" s="5" t="str">
        <f>IFNA(VLOOKUP(E834,'Location Table'!A:C,2,false),"")</f>
        <v/>
      </c>
      <c r="D834" s="6" t="s">
        <v>706</v>
      </c>
      <c r="E834" s="6"/>
      <c r="F834" s="6" t="s">
        <v>94</v>
      </c>
      <c r="G834" s="7" t="str">
        <f>IFNA(VLOOKUP(F834,Driver!A:D,4,false),"")</f>
        <v>1980698793628880414:XXMGIAegigeHesHcPUQpIcnMCwhigvPUATFrPyRHiqIZqTwmvWiXbUzfDhivxPcl</v>
      </c>
      <c r="H834" s="8" t="str">
        <f>IFNA(VLOOKUP(F834,Driver!A:C,3,false),"")</f>
        <v>3d1fec9027dcce8297cd</v>
      </c>
      <c r="I834" s="9">
        <v>0.2916666666666667</v>
      </c>
      <c r="J834" s="9">
        <v>0.6666666666666666</v>
      </c>
      <c r="K834" s="9"/>
    </row>
    <row r="835" hidden="1">
      <c r="A835" s="5" t="str">
        <f>IFNA(VLOOKUP(D835,'Location Table'!A:C,2,false),"")</f>
        <v>674968e6-71ce-11f0-8ee8-506b8d982279</v>
      </c>
      <c r="B835" s="5" t="str">
        <f>IFNA(VLOOKUP(F835,Driver!A:C,2,false),"")</f>
        <v>8909168a-37c4-11ed-9647-506b8dbc8dfb</v>
      </c>
      <c r="C835" s="5" t="str">
        <f>IFNA(VLOOKUP(E835,'Location Table'!A:C,2,false),"")</f>
        <v/>
      </c>
      <c r="D835" s="10" t="s">
        <v>707</v>
      </c>
      <c r="E835" s="6"/>
      <c r="F835" s="6" t="s">
        <v>552</v>
      </c>
      <c r="G835" s="7" t="str">
        <f>IFNA(VLOOKUP(F835,Driver!A:D,4,false),"")</f>
        <v>1980698793628880414:XXMGIAegigeHesHcPUQpIcnMCwhigvPUATFrPyRHiqIZqTwmvWiXbUzfDhivxPcl</v>
      </c>
      <c r="H835" s="8" t="str">
        <f>IFNA(VLOOKUP(F835,Driver!A:C,3,false),"")</f>
        <v>6f0424c9ec8505db5c94</v>
      </c>
      <c r="I835" s="9">
        <v>0.2916666666666667</v>
      </c>
      <c r="J835" s="9">
        <v>0.75</v>
      </c>
      <c r="K835" s="9"/>
    </row>
    <row r="836" hidden="1">
      <c r="A836" s="5" t="str">
        <f>IFNA(VLOOKUP(D836,'Location Table'!A:C,2,false),"")</f>
        <v>08f83f06-be42-11ee-9557-506b8d9879b5</v>
      </c>
      <c r="B836" s="5" t="str">
        <f>IFNA(VLOOKUP(F836,Driver!A:C,2,false),"")</f>
        <v>a2f538f8-37ce-11ed-a5cf-506b8dbc8dfb</v>
      </c>
      <c r="C836" s="5" t="str">
        <f>IFNA(VLOOKUP(E836,'Location Table'!A:C,2,false),"")</f>
        <v/>
      </c>
      <c r="D836" s="6" t="s">
        <v>708</v>
      </c>
      <c r="E836" s="6"/>
      <c r="F836" s="6" t="s">
        <v>338</v>
      </c>
      <c r="G836" s="7" t="str">
        <f>IFNA(VLOOKUP(F836,Driver!A:D,4,false),"")</f>
        <v>2160130926882687325:VSRHFZoYrhhtnecmAaOfmgvaKlfxBZEgxFxSbLPTAhfVwurTuJfQgOTrwyseeqJQ</v>
      </c>
      <c r="H836" s="8" t="str">
        <f>IFNA(VLOOKUP(F836,Driver!A:C,3,false),"")</f>
        <v>c0d10f02724a9b14c25b</v>
      </c>
      <c r="I836" s="9">
        <v>0.2916666666666667</v>
      </c>
      <c r="J836" s="9">
        <v>0.6666666666666666</v>
      </c>
      <c r="K836" s="9"/>
    </row>
    <row r="837" hidden="1">
      <c r="A837" s="5" t="str">
        <f>IFNA(VLOOKUP(D837,'Location Table'!A:C,2,false),"")</f>
        <v>fe73e7ae-396e-11ee-b842-506b8d9879b5</v>
      </c>
      <c r="B837" s="5" t="str">
        <f>IFNA(VLOOKUP(F837,Driver!A:C,2,false),"")</f>
        <v>ee94ca62-729f-11f0-8cd5-506b8d982279</v>
      </c>
      <c r="C837" s="5" t="str">
        <f>IFNA(VLOOKUP(E837,'Location Table'!A:C,2,false),"")</f>
        <v/>
      </c>
      <c r="D837" s="6" t="s">
        <v>709</v>
      </c>
      <c r="E837" s="6"/>
      <c r="F837" s="6" t="s">
        <v>104</v>
      </c>
      <c r="G837" s="7" t="str">
        <f>IFNA(VLOOKUP(F837,Driver!A:D,4,false),"")</f>
        <v>1980698793628880414:XXMGIAegigeHesHcPUQpIcnMCwhigvPUATFrPyRHiqIZqTwmvWiXbUzfDhivxPcl</v>
      </c>
      <c r="H837" s="8" t="str">
        <f>IFNA(VLOOKUP(F837,Driver!A:C,3,false),"")</f>
        <v>f4d2e910814c6812315d</v>
      </c>
      <c r="I837" s="9">
        <v>0.2916666666666667</v>
      </c>
      <c r="J837" s="9">
        <v>0.75</v>
      </c>
      <c r="K837" s="9"/>
    </row>
    <row r="838" hidden="1">
      <c r="A838" s="5" t="str">
        <f>IFNA(VLOOKUP(D838,'Location Table'!A:C,2,false),"")</f>
        <v>a2e8d88c-fbf8-11f0-9378-fa163ee8d8ac</v>
      </c>
      <c r="B838" s="5" t="str">
        <f>IFNA(VLOOKUP(F838,Driver!A:C,2,false),"")</f>
        <v>b74e3178-7caf-11f0-a9c3-506b8d982279</v>
      </c>
      <c r="C838" s="5" t="str">
        <f>IFNA(VLOOKUP(E838,'Location Table'!A:C,2,false),"")</f>
        <v/>
      </c>
      <c r="D838" s="6" t="s">
        <v>710</v>
      </c>
      <c r="E838" s="6"/>
      <c r="F838" s="6" t="s">
        <v>326</v>
      </c>
      <c r="G838" s="7" t="str">
        <f>IFNA(VLOOKUP(F838,Driver!A:D,4,false),"")</f>
        <v>2160130926882687325:VSRHFZoYrhhtnecmAaOfmgvaKlfxBZEgxFxSbLPTAhfVwurTuJfQgOTrwyseeqJQ</v>
      </c>
      <c r="H838" s="8" t="str">
        <f>IFNA(VLOOKUP(F838,Driver!A:C,3,false),"")</f>
        <v>473ef1d8329bdbc5828a</v>
      </c>
      <c r="I838" s="9">
        <v>0.2916666666666667</v>
      </c>
      <c r="J838" s="9">
        <v>0.6666666666666666</v>
      </c>
      <c r="K838" s="9"/>
    </row>
    <row r="839" hidden="1">
      <c r="A839" s="5" t="str">
        <f>IFNA(VLOOKUP(D839,'Location Table'!A:C,2,false),"")</f>
        <v>f5a54568-49f1-11ed-856f-506b8dbc8dfb</v>
      </c>
      <c r="B839" s="5" t="str">
        <f>IFNA(VLOOKUP(F839,Driver!A:C,2,false),"")</f>
        <v>1163ad80-d96e-11f0-b637-506b8d982279</v>
      </c>
      <c r="C839" s="5" t="str">
        <f>IFNA(VLOOKUP(E839,'Location Table'!A:C,2,false),"")</f>
        <v/>
      </c>
      <c r="D839" s="6" t="s">
        <v>711</v>
      </c>
      <c r="E839" s="6"/>
      <c r="F839" s="6" t="s">
        <v>498</v>
      </c>
      <c r="G839" s="7" t="str">
        <f>IFNA(VLOOKUP(F839,Driver!A:D,4,false),"")</f>
        <v>2160130926882687325:VSRHFZoYrhhtnecmAaOfmgvaKlfxBZEgxFxSbLPTAhfVwurTuJfQgOTrwyseeqJQ</v>
      </c>
      <c r="H839" s="8" t="str">
        <f>IFNA(VLOOKUP(F839,Driver!A:C,3,false),"")</f>
        <v>76599ccdde8e37d06e9f</v>
      </c>
      <c r="I839" s="9">
        <v>0.2916666666666667</v>
      </c>
      <c r="J839" s="9">
        <v>0.75</v>
      </c>
      <c r="K839" s="9"/>
    </row>
    <row r="840" hidden="1">
      <c r="A840" s="5" t="str">
        <f>IFNA(VLOOKUP(D840,'Location Table'!A:C,2,false),"")</f>
        <v>4db1886c-1589-11ee-8e99-506b8dbc8dfb</v>
      </c>
      <c r="B840" s="5" t="str">
        <f>IFNA(VLOOKUP(F840,Driver!A:C,2,false),"")</f>
        <v>ce2e0bd2-35a6-11ed-9c4e-506b8dbc8dfb</v>
      </c>
      <c r="C840" s="5" t="str">
        <f>IFNA(VLOOKUP(E840,'Location Table'!A:C,2,false),"")</f>
        <v>b959ed68-446d-11ed-b04f-506b8dbc8dfb</v>
      </c>
      <c r="D840" s="6" t="s">
        <v>712</v>
      </c>
      <c r="E840" s="10" t="s">
        <v>660</v>
      </c>
      <c r="F840" s="6" t="s">
        <v>661</v>
      </c>
      <c r="G840" s="7" t="str">
        <f>IFNA(VLOOKUP(F840,Driver!A:D,4,false),"")</f>
        <v/>
      </c>
      <c r="H840" s="8" t="str">
        <f>IFNA(VLOOKUP(F840,Driver!A:C,3,false),"")</f>
        <v/>
      </c>
      <c r="I840" s="9">
        <v>0.2916666666666667</v>
      </c>
      <c r="J840" s="9">
        <v>0.75</v>
      </c>
      <c r="K840" s="9"/>
    </row>
    <row r="841" hidden="1">
      <c r="A841" s="5" t="str">
        <f>IFNA(VLOOKUP(D841,'Location Table'!A:C,2,false),"")</f>
        <v>e95894d4-ed77-11ed-941b-506b8dbc8dfb</v>
      </c>
      <c r="B841" s="5" t="str">
        <f>IFNA(VLOOKUP(F841,Driver!A:C,2,false),"")</f>
        <v>222b5bca-37cf-11ed-bee5-506b8dbc8dfb</v>
      </c>
      <c r="C841" s="5" t="str">
        <f>IFNA(VLOOKUP(E841,'Location Table'!A:C,2,false),"")</f>
        <v/>
      </c>
      <c r="D841" s="6" t="s">
        <v>713</v>
      </c>
      <c r="E841" s="6"/>
      <c r="F841" s="6" t="s">
        <v>446</v>
      </c>
      <c r="G841" s="7" t="str">
        <f>IFNA(VLOOKUP(F841,Driver!A:D,4,false),"")</f>
        <v>1980698793628880414:XXMGIAegigeHesHcPUQpIcnMCwhigvPUATFrPyRHiqIZqTwmvWiXbUzfDhivxPcl</v>
      </c>
      <c r="H841" s="8" t="str">
        <f>IFNA(VLOOKUP(F841,Driver!A:C,3,false),"")</f>
        <v>a258dbc5a48f4dd1149e</v>
      </c>
      <c r="I841" s="9">
        <v>0.2916666666666667</v>
      </c>
      <c r="J841" s="9">
        <v>0.5</v>
      </c>
      <c r="K841" s="9"/>
    </row>
    <row r="842" hidden="1">
      <c r="A842" s="5" t="str">
        <f>IFNA(VLOOKUP(D842,'Location Table'!A:C,2,false),"")</f>
        <v>6537d2d8-447f-11ed-ae22-506b8dbc8dfb</v>
      </c>
      <c r="B842" s="5" t="str">
        <f>IFNA(VLOOKUP(F842,Driver!A:C,2,false),"")</f>
        <v>222b5bca-37cf-11ed-bee5-506b8dbc8dfb</v>
      </c>
      <c r="C842" s="5" t="str">
        <f>IFNA(VLOOKUP(E842,'Location Table'!A:C,2,false),"")</f>
        <v/>
      </c>
      <c r="D842" s="6" t="s">
        <v>714</v>
      </c>
      <c r="E842" s="6"/>
      <c r="F842" s="6" t="s">
        <v>446</v>
      </c>
      <c r="G842" s="7" t="str">
        <f>IFNA(VLOOKUP(F842,Driver!A:D,4,false),"")</f>
        <v>1980698793628880414:XXMGIAegigeHesHcPUQpIcnMCwhigvPUATFrPyRHiqIZqTwmvWiXbUzfDhivxPcl</v>
      </c>
      <c r="H842" s="8" t="str">
        <f>IFNA(VLOOKUP(F842,Driver!A:C,3,false),"")</f>
        <v>a258dbc5a48f4dd1149e</v>
      </c>
      <c r="I842" s="9">
        <v>0.2916666666666667</v>
      </c>
      <c r="J842" s="9">
        <v>0.5</v>
      </c>
      <c r="K842" s="9"/>
    </row>
    <row r="843" hidden="1">
      <c r="A843" s="5" t="str">
        <f>IFNA(VLOOKUP(D843,'Location Table'!A:C,2,false),"")</f>
        <v>fb7642e6-cf39-11f0-ada4-506b8d982279</v>
      </c>
      <c r="B843" s="5" t="str">
        <f>IFNA(VLOOKUP(F843,Driver!A:C,2,false),"")</f>
        <v>1d4786cc-12f7-11f1-9378-fa163ee8d8ac</v>
      </c>
      <c r="C843" s="5" t="str">
        <f>IFNA(VLOOKUP(E843,'Location Table'!A:C,2,false),"")</f>
        <v/>
      </c>
      <c r="D843" s="6" t="s">
        <v>715</v>
      </c>
      <c r="E843" s="6"/>
      <c r="F843" s="6" t="s">
        <v>343</v>
      </c>
      <c r="G843" s="7" t="str">
        <f>IFNA(VLOOKUP(F843,Driver!A:D,4,false),"")</f>
        <v>1980698793628880414:XXMGIAegigeHesHcPUQpIcnMCwhigvPUATFrPyRHiqIZqTwmvWiXbUzfDhivxPcl</v>
      </c>
      <c r="H843" s="8" t="str">
        <f>IFNA(VLOOKUP(F843,Driver!A:C,3,false),"")</f>
        <v>85d2de46a91b4045190a</v>
      </c>
      <c r="I843" s="9">
        <v>0.2916666666666667</v>
      </c>
      <c r="J843" s="9">
        <v>0.75</v>
      </c>
      <c r="K843" s="9"/>
    </row>
    <row r="844" hidden="1">
      <c r="A844" s="5" t="str">
        <f>IFNA(VLOOKUP(D844,'Location Table'!A:C,2,false),"")</f>
        <v>6b1587c6-a6ee-11ef-bf11-506b8d9879b5</v>
      </c>
      <c r="B844" s="5" t="str">
        <f>IFNA(VLOOKUP(F844,Driver!A:C,2,false),"")</f>
        <v>41ea8512-2e70-11f1-9378-fa163ee8d8ac</v>
      </c>
      <c r="C844" s="5" t="str">
        <f>IFNA(VLOOKUP(E844,'Location Table'!A:C,2,false),"")</f>
        <v/>
      </c>
      <c r="D844" s="6" t="s">
        <v>716</v>
      </c>
      <c r="E844" s="6"/>
      <c r="F844" s="10" t="s">
        <v>35</v>
      </c>
      <c r="G844" s="7" t="str">
        <f>IFNA(VLOOKUP(F844,Driver!A:D,4,false),"")</f>
        <v/>
      </c>
      <c r="H844" s="8" t="str">
        <f>IFNA(VLOOKUP(F844,Driver!A:C,3,false),"")</f>
        <v/>
      </c>
      <c r="I844" s="9">
        <v>0.2916666666666667</v>
      </c>
      <c r="J844" s="9">
        <v>0.75</v>
      </c>
      <c r="K844" s="9"/>
    </row>
    <row r="845" hidden="1">
      <c r="A845" s="5" t="str">
        <f>IFNA(VLOOKUP(D845,'Location Table'!A:C,2,false),"")</f>
        <v>30db756a-c368-11f0-bcda-506b8d982279</v>
      </c>
      <c r="B845" s="5" t="str">
        <f>IFNA(VLOOKUP(F845,Driver!A:C,2,false),"")</f>
        <v>103090f4-37c8-11ed-9333-506b8dbc8dfb</v>
      </c>
      <c r="C845" s="5" t="str">
        <f>IFNA(VLOOKUP(E845,'Location Table'!A:C,2,false),"")</f>
        <v/>
      </c>
      <c r="D845" s="6" t="s">
        <v>717</v>
      </c>
      <c r="E845" s="6"/>
      <c r="F845" s="6" t="s">
        <v>130</v>
      </c>
      <c r="G845" s="7" t="str">
        <f>IFNA(VLOOKUP(F845,Driver!A:D,4,false),"")</f>
        <v>2160130926882687325:VSRHFZoYrhhtnecmAaOfmgvaKlfxBZEgxFxSbLPTAhfVwurTuJfQgOTrwyseeqJQ</v>
      </c>
      <c r="H845" s="8" t="str">
        <f>IFNA(VLOOKUP(F845,Driver!A:C,3,false),"")</f>
        <v>77085b30147bfd25a46a</v>
      </c>
      <c r="I845" s="9">
        <v>0.2916666666666667</v>
      </c>
      <c r="J845" s="9">
        <v>0.8541666666666666</v>
      </c>
      <c r="K845" s="9"/>
    </row>
    <row r="846" hidden="1">
      <c r="A846" s="5" t="str">
        <f>IFNA(VLOOKUP(D846,'Location Table'!A:C,2,false),"")</f>
        <v>70dd05b8-1977-11ee-95d0-506b8d9879b5</v>
      </c>
      <c r="B846" s="5" t="str">
        <f>IFNA(VLOOKUP(F846,Driver!A:C,2,false),"")</f>
        <v>41ea8512-2e70-11f1-9378-fa163ee8d8ac</v>
      </c>
      <c r="C846" s="5" t="str">
        <f>IFNA(VLOOKUP(E846,'Location Table'!A:C,2,false),"")</f>
        <v/>
      </c>
      <c r="D846" s="6" t="s">
        <v>718</v>
      </c>
      <c r="E846" s="6"/>
      <c r="F846" s="10" t="s">
        <v>35</v>
      </c>
      <c r="G846" s="7" t="str">
        <f>IFNA(VLOOKUP(F846,Driver!A:D,4,false),"")</f>
        <v/>
      </c>
      <c r="H846" s="8" t="str">
        <f>IFNA(VLOOKUP(F846,Driver!A:C,3,false),"")</f>
        <v/>
      </c>
      <c r="I846" s="9">
        <v>0.2916666666666667</v>
      </c>
      <c r="J846" s="9">
        <v>0.75</v>
      </c>
      <c r="K846" s="9"/>
    </row>
    <row r="847" hidden="1">
      <c r="A847" s="5" t="str">
        <f>IFNA(VLOOKUP(D847,'Location Table'!A:C,2,false),"")</f>
        <v>495caf86-49fa-11ed-8e62-506b8dbc8dfb</v>
      </c>
      <c r="B847" s="5" t="str">
        <f>IFNA(VLOOKUP(F847,Driver!A:C,2,false),"")</f>
        <v>717fa61c-3654-11ed-b103-506b8dbc8dfb</v>
      </c>
      <c r="C847" s="5" t="str">
        <f>IFNA(VLOOKUP(E847,'Location Table'!A:C,2,false),"")</f>
        <v/>
      </c>
      <c r="D847" s="6" t="s">
        <v>719</v>
      </c>
      <c r="E847" s="6"/>
      <c r="F847" s="6" t="s">
        <v>361</v>
      </c>
      <c r="G847" s="7" t="str">
        <f>IFNA(VLOOKUP(F847,Driver!A:D,4,false),"")</f>
        <v>1980698793628880414:XXMGIAegigeHesHcPUQpIcnMCwhigvPUATFrPyRHiqIZqTwmvWiXbUzfDhivxPcl</v>
      </c>
      <c r="H847" s="8" t="str">
        <f>IFNA(VLOOKUP(F847,Driver!A:C,3,false),"")</f>
        <v>fbc73b7bb6385f660629</v>
      </c>
      <c r="I847" s="9">
        <v>0.23958333333333334</v>
      </c>
      <c r="J847" s="9">
        <v>0.6041666666666666</v>
      </c>
      <c r="K847" s="5" t="s">
        <v>362</v>
      </c>
    </row>
    <row r="848" hidden="1">
      <c r="A848" s="5" t="str">
        <f>IFNA(VLOOKUP(D848,'Location Table'!A:C,2,false),"")</f>
        <v>3056d87a-1745-11f0-aae1-506b8d982279</v>
      </c>
      <c r="B848" s="5" t="str">
        <f>IFNA(VLOOKUP(F848,Driver!A:C,2,false),"")</f>
        <v>a51713c2-37c4-11ed-a4e6-506b8dbc8dfb</v>
      </c>
      <c r="C848" s="5" t="str">
        <f>IFNA(VLOOKUP(E848,'Location Table'!A:C,2,false),"")</f>
        <v/>
      </c>
      <c r="D848" s="6" t="s">
        <v>720</v>
      </c>
      <c r="E848" s="6"/>
      <c r="F848" s="10" t="s">
        <v>132</v>
      </c>
      <c r="G848" s="7" t="str">
        <f>IFNA(VLOOKUP(F848,Driver!A:D,4,false),"")</f>
        <v>1980698793628880414:XXMGIAegigeHesHcPUQpIcnMCwhigvPUATFrPyRHiqIZqTwmvWiXbUzfDhivxPcl</v>
      </c>
      <c r="H848" s="8" t="str">
        <f>IFNA(VLOOKUP(F848,Driver!A:C,3,false),"")</f>
        <v>e24e6f345362ba3ce373</v>
      </c>
      <c r="I848" s="9">
        <v>0.2916666666666667</v>
      </c>
      <c r="J848" s="9">
        <v>0.6875</v>
      </c>
      <c r="K848" s="9"/>
    </row>
    <row r="849" hidden="1">
      <c r="A849" s="5" t="str">
        <f>IFNA(VLOOKUP(D849,'Location Table'!A:C,2,false),"")</f>
        <v>a5a22756-4ab0-11ed-a93a-506b8dbc8dfb</v>
      </c>
      <c r="B849" s="5" t="str">
        <f>IFNA(VLOOKUP(F849,Driver!A:C,2,false),"")</f>
        <v>d2c2d39e-11e4-11f1-9378-fa163ee8d8ac</v>
      </c>
      <c r="C849" s="5" t="str">
        <f>IFNA(VLOOKUP(E849,'Location Table'!A:C,2,false),"")</f>
        <v/>
      </c>
      <c r="D849" s="6" t="s">
        <v>721</v>
      </c>
      <c r="E849" s="6"/>
      <c r="F849" s="6" t="s">
        <v>88</v>
      </c>
      <c r="G849" s="7" t="str">
        <f>IFNA(VLOOKUP(F849,Driver!A:D,4,false),"")</f>
        <v>1980698793628880414:XXMGIAegigeHesHcPUQpIcnMCwhigvPUATFrPyRHiqIZqTwmvWiXbUzfDhivxPcl</v>
      </c>
      <c r="H849" s="8" t="str">
        <f>IFNA(VLOOKUP(F849,Driver!A:C,3,false),"")</f>
        <v>59a2bfce5a81b3dfea90</v>
      </c>
      <c r="I849" s="9">
        <v>0.2916666666666667</v>
      </c>
      <c r="J849" s="9">
        <v>0.6666666666666666</v>
      </c>
      <c r="K849" s="9"/>
    </row>
    <row r="850" hidden="1">
      <c r="A850" s="5" t="str">
        <f>IFNA(VLOOKUP(D850,'Location Table'!A:C,2,false),"")</f>
        <v>a3f4193a-8bf7-11ee-9060-506b8d9879b5</v>
      </c>
      <c r="B850" s="5" t="str">
        <f>IFNA(VLOOKUP(F850,Driver!A:C,2,false),"")</f>
        <v>7898dd6c-816d-11f0-9f34-506b8d982279</v>
      </c>
      <c r="C850" s="5" t="str">
        <f>IFNA(VLOOKUP(E850,'Location Table'!A:C,2,false),"")</f>
        <v/>
      </c>
      <c r="D850" s="6" t="s">
        <v>722</v>
      </c>
      <c r="E850" s="6"/>
      <c r="F850" s="6" t="s">
        <v>15</v>
      </c>
      <c r="G850" s="7" t="str">
        <f>IFNA(VLOOKUP(F850,Driver!A:D,4,false),"")</f>
        <v>1980698793628880414:XXMGIAegigeHesHcPUQpIcnMCwhigvPUATFrPyRHiqIZqTwmvWiXbUzfDhivxPcl</v>
      </c>
      <c r="H850" s="8" t="str">
        <f>IFNA(VLOOKUP(F850,Driver!A:C,3,false),"")</f>
        <v>011b70c8f4801dde4491</v>
      </c>
      <c r="I850" s="9">
        <v>0.2916666666666667</v>
      </c>
      <c r="J850" s="9">
        <v>0.6875</v>
      </c>
      <c r="K850" s="9"/>
    </row>
    <row r="851" hidden="1">
      <c r="A851" s="5" t="str">
        <f>IFNA(VLOOKUP(D851,'Location Table'!A:C,2,false),"")</f>
        <v>b14729ee-0512-11ef-934f-506b8d9879b5</v>
      </c>
      <c r="B851" s="5" t="str">
        <f>IFNA(VLOOKUP(F851,Driver!A:C,2,false),"")</f>
        <v>232be490-35a4-11ed-88b7-506b8dbc8dfb</v>
      </c>
      <c r="C851" s="5" t="str">
        <f>IFNA(VLOOKUP(E851,'Location Table'!A:C,2,false),"")</f>
        <v/>
      </c>
      <c r="D851" s="6" t="s">
        <v>723</v>
      </c>
      <c r="E851" s="6"/>
      <c r="F851" s="6" t="s">
        <v>110</v>
      </c>
      <c r="G851" s="7" t="str">
        <f>IFNA(VLOOKUP(F851,Driver!A:D,4,false),"")</f>
        <v>2160130926882687325:VSRHFZoYrhhtnecmAaOfmgvaKlfxBZEgxFxSbLPTAhfVwurTuJfQgOTrwyseeqJQ</v>
      </c>
      <c r="H851" s="8" t="str">
        <f>IFNA(VLOOKUP(F851,Driver!A:C,3,false),"")</f>
        <v>d9fc37dd4093a9cdf082</v>
      </c>
      <c r="I851" s="9">
        <v>0.2916666666666667</v>
      </c>
      <c r="J851" s="9">
        <v>0.6666666666666666</v>
      </c>
      <c r="K851" s="9"/>
    </row>
    <row r="852" hidden="1">
      <c r="A852" s="5" t="str">
        <f>IFNA(VLOOKUP(D852,'Location Table'!A:C,2,false),"")</f>
        <v>0e6db6ea-badb-11f0-88b8-506b8d982279</v>
      </c>
      <c r="B852" s="5" t="str">
        <f>IFNA(VLOOKUP(F852,Driver!A:C,2,false),"")</f>
        <v>a01fefe6-3653-11ed-8128-506b8dbc8dfb</v>
      </c>
      <c r="C852" s="5" t="str">
        <f>IFNA(VLOOKUP(E852,'Location Table'!A:C,2,false),"")</f>
        <v/>
      </c>
      <c r="D852" s="6" t="s">
        <v>724</v>
      </c>
      <c r="E852" s="6"/>
      <c r="F852" s="6" t="s">
        <v>128</v>
      </c>
      <c r="G852" s="7" t="str">
        <f>IFNA(VLOOKUP(F852,Driver!A:D,4,false),"")</f>
        <v/>
      </c>
      <c r="H852" s="8" t="str">
        <f>IFNA(VLOOKUP(F852,Driver!A:C,3,false),"")</f>
        <v/>
      </c>
      <c r="I852" s="9">
        <v>0.2916666666666667</v>
      </c>
      <c r="J852" s="9">
        <v>0.5</v>
      </c>
      <c r="K852" s="9"/>
    </row>
    <row r="853" hidden="1">
      <c r="A853" s="5" t="str">
        <f>IFNA(VLOOKUP(D853,'Location Table'!A:C,2,false),"")</f>
        <v>b65ae69e-1b9f-11ee-a56b-506b8d9879b5</v>
      </c>
      <c r="B853" s="5" t="str">
        <f>IFNA(VLOOKUP(F853,Driver!A:C,2,false),"")</f>
        <v>232be490-35a4-11ed-88b7-506b8dbc8dfb</v>
      </c>
      <c r="C853" s="5" t="str">
        <f>IFNA(VLOOKUP(E853,'Location Table'!A:C,2,false),"")</f>
        <v/>
      </c>
      <c r="D853" s="6" t="s">
        <v>725</v>
      </c>
      <c r="E853" s="6"/>
      <c r="F853" s="6" t="s">
        <v>110</v>
      </c>
      <c r="G853" s="7" t="str">
        <f>IFNA(VLOOKUP(F853,Driver!A:D,4,false),"")</f>
        <v>2160130926882687325:VSRHFZoYrhhtnecmAaOfmgvaKlfxBZEgxFxSbLPTAhfVwurTuJfQgOTrwyseeqJQ</v>
      </c>
      <c r="H853" s="8" t="str">
        <f>IFNA(VLOOKUP(F853,Driver!A:C,3,false),"")</f>
        <v>d9fc37dd4093a9cdf082</v>
      </c>
      <c r="I853" s="9">
        <v>0.2916666666666667</v>
      </c>
      <c r="J853" s="9">
        <v>0.6666666666666666</v>
      </c>
      <c r="K853" s="9"/>
    </row>
    <row r="854" hidden="1">
      <c r="A854" s="5" t="str">
        <f>IFNA(VLOOKUP(D854,'Location Table'!A:C,2,false),"")</f>
        <v>9aca001a-611b-11ee-8e60-506b8d9879b5</v>
      </c>
      <c r="B854" s="5" t="str">
        <f>IFNA(VLOOKUP(F854,Driver!A:C,2,false),"")</f>
        <v>a2f538f8-37ce-11ed-a5cf-506b8dbc8dfb</v>
      </c>
      <c r="C854" s="5" t="str">
        <f>IFNA(VLOOKUP(E854,'Location Table'!A:C,2,false),"")</f>
        <v/>
      </c>
      <c r="D854" s="6" t="s">
        <v>726</v>
      </c>
      <c r="E854" s="6"/>
      <c r="F854" s="6" t="s">
        <v>338</v>
      </c>
      <c r="G854" s="7" t="str">
        <f>IFNA(VLOOKUP(F854,Driver!A:D,4,false),"")</f>
        <v>2160130926882687325:VSRHFZoYrhhtnecmAaOfmgvaKlfxBZEgxFxSbLPTAhfVwurTuJfQgOTrwyseeqJQ</v>
      </c>
      <c r="H854" s="8" t="str">
        <f>IFNA(VLOOKUP(F854,Driver!A:C,3,false),"")</f>
        <v>c0d10f02724a9b14c25b</v>
      </c>
      <c r="I854" s="9">
        <v>0.2916666666666667</v>
      </c>
      <c r="J854" s="9">
        <v>0.6666666666666666</v>
      </c>
      <c r="K854" s="9"/>
    </row>
    <row r="855" hidden="1">
      <c r="A855" s="5" t="str">
        <f>IFNA(VLOOKUP(D855,'Location Table'!A:C,2,false),"")</f>
        <v>49fcd3e0-4481-11ed-9fb5-506b8dbc8dfb</v>
      </c>
      <c r="B855" s="5" t="str">
        <f>IFNA(VLOOKUP(F855,Driver!A:C,2,false),"")</f>
        <v>41ea8512-2e70-11f1-9378-fa163ee8d8ac</v>
      </c>
      <c r="C855" s="5" t="str">
        <f>IFNA(VLOOKUP(E855,'Location Table'!A:C,2,false),"")</f>
        <v/>
      </c>
      <c r="D855" s="10" t="s">
        <v>727</v>
      </c>
      <c r="E855" s="6"/>
      <c r="F855" s="10" t="s">
        <v>35</v>
      </c>
      <c r="G855" s="7" t="str">
        <f>IFNA(VLOOKUP(F855,Driver!A:D,4,false),"")</f>
        <v/>
      </c>
      <c r="H855" s="8" t="str">
        <f>IFNA(VLOOKUP(F855,Driver!A:C,3,false),"")</f>
        <v/>
      </c>
      <c r="I855" s="9">
        <v>0.2916666666666667</v>
      </c>
      <c r="J855" s="9">
        <v>0.75</v>
      </c>
      <c r="K855" s="9"/>
    </row>
    <row r="856" hidden="1">
      <c r="A856" s="5" t="str">
        <f>IFNA(VLOOKUP(D856,'Location Table'!A:C,2,false),"")</f>
        <v>dc596d98-9817-11ef-92ed-506b8d9879b5</v>
      </c>
      <c r="B856" s="5" t="str">
        <f>IFNA(VLOOKUP(F856,Driver!A:C,2,false),"")</f>
        <v>a2f538f8-37ce-11ed-a5cf-506b8dbc8dfb</v>
      </c>
      <c r="C856" s="5" t="str">
        <f>IFNA(VLOOKUP(E856,'Location Table'!A:C,2,false),"")</f>
        <v/>
      </c>
      <c r="D856" s="6" t="s">
        <v>728</v>
      </c>
      <c r="E856" s="6"/>
      <c r="F856" s="6" t="s">
        <v>338</v>
      </c>
      <c r="G856" s="7" t="str">
        <f>IFNA(VLOOKUP(F856,Driver!A:D,4,false),"")</f>
        <v>2160130926882687325:VSRHFZoYrhhtnecmAaOfmgvaKlfxBZEgxFxSbLPTAhfVwurTuJfQgOTrwyseeqJQ</v>
      </c>
      <c r="H856" s="8" t="str">
        <f>IFNA(VLOOKUP(F856,Driver!A:C,3,false),"")</f>
        <v>c0d10f02724a9b14c25b</v>
      </c>
      <c r="I856" s="9">
        <v>0.2916666666666667</v>
      </c>
      <c r="J856" s="9">
        <v>0.6666666666666666</v>
      </c>
      <c r="K856" s="9"/>
    </row>
    <row r="857" hidden="1">
      <c r="A857" s="5" t="str">
        <f>IFNA(VLOOKUP(D857,'Location Table'!A:C,2,false),"")</f>
        <v>d40afa28-ed76-11ed-8a87-506b8dbc8dfb</v>
      </c>
      <c r="B857" s="5" t="str">
        <f>IFNA(VLOOKUP(F857,Driver!A:C,2,false),"")</f>
        <v>a9bf91b4-00e4-11f1-9378-fa163ee8d8ac</v>
      </c>
      <c r="C857" s="5" t="str">
        <f>IFNA(VLOOKUP(E857,'Location Table'!A:C,2,false),"")</f>
        <v/>
      </c>
      <c r="D857" s="6" t="s">
        <v>729</v>
      </c>
      <c r="E857" s="6"/>
      <c r="F857" s="6" t="s">
        <v>142</v>
      </c>
      <c r="G857" s="7" t="str">
        <f>IFNA(VLOOKUP(F857,Driver!A:D,4,false),"")</f>
        <v/>
      </c>
      <c r="H857" s="8" t="str">
        <f>IFNA(VLOOKUP(F857,Driver!A:C,3,false),"")</f>
        <v/>
      </c>
      <c r="I857" s="9">
        <v>0.2916666666666667</v>
      </c>
      <c r="J857" s="9">
        <v>0.5</v>
      </c>
      <c r="K857" s="9"/>
    </row>
    <row r="858" hidden="1">
      <c r="A858" s="5" t="str">
        <f>IFNA(VLOOKUP(D858,'Location Table'!A:C,2,false),"")</f>
        <v>8bcb2b9a-cce3-11ef-9c4f-506b8d9879b5</v>
      </c>
      <c r="B858" s="5" t="str">
        <f>IFNA(VLOOKUP(F858,Driver!A:C,2,false),"")</f>
        <v>a2f538f8-37ce-11ed-a5cf-506b8dbc8dfb</v>
      </c>
      <c r="C858" s="5" t="str">
        <f>IFNA(VLOOKUP(E858,'Location Table'!A:C,2,false),"")</f>
        <v/>
      </c>
      <c r="D858" s="6" t="s">
        <v>730</v>
      </c>
      <c r="E858" s="6"/>
      <c r="F858" s="6" t="s">
        <v>338</v>
      </c>
      <c r="G858" s="7" t="str">
        <f>IFNA(VLOOKUP(F858,Driver!A:D,4,false),"")</f>
        <v>2160130926882687325:VSRHFZoYrhhtnecmAaOfmgvaKlfxBZEgxFxSbLPTAhfVwurTuJfQgOTrwyseeqJQ</v>
      </c>
      <c r="H858" s="8" t="str">
        <f>IFNA(VLOOKUP(F858,Driver!A:C,3,false),"")</f>
        <v>c0d10f02724a9b14c25b</v>
      </c>
      <c r="I858" s="9">
        <v>0.2916666666666667</v>
      </c>
      <c r="J858" s="9">
        <v>0.6666666666666666</v>
      </c>
      <c r="K858" s="9"/>
    </row>
    <row r="859" hidden="1">
      <c r="A859" s="5" t="str">
        <f>IFNA(VLOOKUP(D859,'Location Table'!A:C,2,false),"")</f>
        <v>660575e4-ebf9-11ee-83f4-506b8d9879b5</v>
      </c>
      <c r="B859" s="5" t="str">
        <f>IFNA(VLOOKUP(F859,Driver!A:C,2,false),"")</f>
        <v>103090f4-37c8-11ed-9333-506b8dbc8dfb</v>
      </c>
      <c r="C859" s="5" t="str">
        <f>IFNA(VLOOKUP(E859,'Location Table'!A:C,2,false),"")</f>
        <v/>
      </c>
      <c r="D859" s="6" t="s">
        <v>731</v>
      </c>
      <c r="E859" s="6"/>
      <c r="F859" s="6" t="s">
        <v>130</v>
      </c>
      <c r="G859" s="7" t="str">
        <f>IFNA(VLOOKUP(F859,Driver!A:D,4,false),"")</f>
        <v>2160130926882687325:VSRHFZoYrhhtnecmAaOfmgvaKlfxBZEgxFxSbLPTAhfVwurTuJfQgOTrwyseeqJQ</v>
      </c>
      <c r="H859" s="8" t="str">
        <f>IFNA(VLOOKUP(F859,Driver!A:C,3,false),"")</f>
        <v>77085b30147bfd25a46a</v>
      </c>
      <c r="I859" s="9">
        <v>0.2916666666666667</v>
      </c>
      <c r="J859" s="9">
        <v>0.8541666666666666</v>
      </c>
      <c r="K859" s="9"/>
    </row>
    <row r="860" hidden="1">
      <c r="A860" s="5" t="str">
        <f>IFNA(VLOOKUP(D860,'Location Table'!A:C,2,false),"")</f>
        <v>bb0ccbc0-0fe8-11ee-8d50-506b8dbc8dfb</v>
      </c>
      <c r="B860" s="5" t="str">
        <f>IFNA(VLOOKUP(F860,Driver!A:C,2,false),"")</f>
        <v>103090f4-37c8-11ed-9333-506b8dbc8dfb</v>
      </c>
      <c r="C860" s="5" t="str">
        <f>IFNA(VLOOKUP(E860,'Location Table'!A:C,2,false),"")</f>
        <v/>
      </c>
      <c r="D860" s="6" t="s">
        <v>732</v>
      </c>
      <c r="E860" s="6"/>
      <c r="F860" s="6" t="s">
        <v>130</v>
      </c>
      <c r="G860" s="7" t="str">
        <f>IFNA(VLOOKUP(F860,Driver!A:D,4,false),"")</f>
        <v>2160130926882687325:VSRHFZoYrhhtnecmAaOfmgvaKlfxBZEgxFxSbLPTAhfVwurTuJfQgOTrwyseeqJQ</v>
      </c>
      <c r="H860" s="8" t="str">
        <f>IFNA(VLOOKUP(F860,Driver!A:C,3,false),"")</f>
        <v>77085b30147bfd25a46a</v>
      </c>
      <c r="I860" s="9">
        <v>0.2916666666666667</v>
      </c>
      <c r="J860" s="9">
        <v>0.75</v>
      </c>
      <c r="K860" s="9"/>
    </row>
    <row r="861" hidden="1">
      <c r="A861" s="5" t="str">
        <f>IFNA(VLOOKUP(D861,'Location Table'!A:C,2,false),"")</f>
        <v>3f5a161c-04c7-11ee-b3e1-506b8dbc8dfb</v>
      </c>
      <c r="B861" s="5" t="str">
        <f>IFNA(VLOOKUP(F861,Driver!A:C,2,false),"")</f>
        <v>65871f10-7671-11f0-9d16-506b8d982279</v>
      </c>
      <c r="C861" s="5" t="str">
        <f>IFNA(VLOOKUP(E861,'Location Table'!A:C,2,false),"")</f>
        <v/>
      </c>
      <c r="D861" s="6" t="s">
        <v>733</v>
      </c>
      <c r="E861" s="6"/>
      <c r="F861" s="6" t="s">
        <v>348</v>
      </c>
      <c r="G861" s="7" t="str">
        <f>IFNA(VLOOKUP(F861,Driver!A:D,4,false),"")</f>
        <v>2160130926882687325:VSRHFZoYrhhtnecmAaOfmgvaKlfxBZEgxFxSbLPTAhfVwurTuJfQgOTrwyseeqJQ</v>
      </c>
      <c r="H861" s="8" t="str">
        <f>IFNA(VLOOKUP(F861,Driver!A:C,3,false),"")</f>
        <v>03bb8b129d5c74022d4d</v>
      </c>
      <c r="I861" s="9">
        <v>0.2916666666666667</v>
      </c>
      <c r="J861" s="9">
        <v>0.75</v>
      </c>
      <c r="K861" s="9"/>
    </row>
    <row r="862" hidden="1">
      <c r="A862" s="5" t="str">
        <f>IFNA(VLOOKUP(D862,'Location Table'!A:C,2,false),"")</f>
        <v>5112a0a0-71fe-11ee-9403-506b8d9879b5</v>
      </c>
      <c r="B862" s="5" t="str">
        <f>IFNA(VLOOKUP(F862,Driver!A:C,2,false),"")</f>
        <v>a2f538f8-37ce-11ed-a5cf-506b8dbc8dfb</v>
      </c>
      <c r="C862" s="5" t="str">
        <f>IFNA(VLOOKUP(E862,'Location Table'!A:C,2,false),"")</f>
        <v/>
      </c>
      <c r="D862" s="6" t="s">
        <v>734</v>
      </c>
      <c r="E862" s="6"/>
      <c r="F862" s="6" t="s">
        <v>338</v>
      </c>
      <c r="G862" s="7" t="str">
        <f>IFNA(VLOOKUP(F862,Driver!A:D,4,false),"")</f>
        <v>2160130926882687325:VSRHFZoYrhhtnecmAaOfmgvaKlfxBZEgxFxSbLPTAhfVwurTuJfQgOTrwyseeqJQ</v>
      </c>
      <c r="H862" s="8" t="str">
        <f>IFNA(VLOOKUP(F862,Driver!A:C,3,false),"")</f>
        <v>c0d10f02724a9b14c25b</v>
      </c>
      <c r="I862" s="9">
        <v>0.2916666666666667</v>
      </c>
      <c r="J862" s="9">
        <v>0.6666666666666666</v>
      </c>
      <c r="K862" s="9"/>
    </row>
    <row r="863" hidden="1">
      <c r="A863" s="5" t="str">
        <f>IFNA(VLOOKUP(D863,'Location Table'!A:C,2,false),"")</f>
        <v>60ca531c-142d-11f0-8bf6-506b8d982279</v>
      </c>
      <c r="B863" s="5" t="str">
        <f>IFNA(VLOOKUP(F863,Driver!A:C,2,false),"")</f>
        <v>f5993946-37cf-11ed-a3fc-506b8dbc8dfb</v>
      </c>
      <c r="C863" s="5" t="str">
        <f>IFNA(VLOOKUP(E863,'Location Table'!A:C,2,false),"")</f>
        <v/>
      </c>
      <c r="D863" s="6" t="s">
        <v>735</v>
      </c>
      <c r="E863" s="6"/>
      <c r="F863" s="6" t="s">
        <v>314</v>
      </c>
      <c r="G863" s="7" t="str">
        <f>IFNA(VLOOKUP(F863,Driver!A:D,4,false),"")</f>
        <v/>
      </c>
      <c r="H863" s="8" t="str">
        <f>IFNA(VLOOKUP(F863,Driver!A:C,3,false),"")</f>
        <v/>
      </c>
      <c r="I863" s="9">
        <v>0.2916666666666667</v>
      </c>
      <c r="J863" s="9">
        <v>0.6666666666666666</v>
      </c>
      <c r="K863" s="9"/>
    </row>
    <row r="864" hidden="1">
      <c r="A864" s="5" t="str">
        <f>IFNA(VLOOKUP(D864,'Location Table'!A:C,2,false),"")</f>
        <v>fed50c9a-8c4e-11ee-9b83-506b8d9879b5</v>
      </c>
      <c r="B864" s="5" t="str">
        <f>IFNA(VLOOKUP(F864,Driver!A:C,2,false),"")</f>
        <v>717fa61c-3654-11ed-b103-506b8dbc8dfb</v>
      </c>
      <c r="C864" s="5" t="str">
        <f>IFNA(VLOOKUP(E864,'Location Table'!A:C,2,false),"")</f>
        <v/>
      </c>
      <c r="D864" s="6" t="s">
        <v>736</v>
      </c>
      <c r="E864" s="6"/>
      <c r="F864" s="6" t="s">
        <v>361</v>
      </c>
      <c r="G864" s="7" t="str">
        <f>IFNA(VLOOKUP(F864,Driver!A:D,4,false),"")</f>
        <v>1980698793628880414:XXMGIAegigeHesHcPUQpIcnMCwhigvPUATFrPyRHiqIZqTwmvWiXbUzfDhivxPcl</v>
      </c>
      <c r="H864" s="8" t="str">
        <f>IFNA(VLOOKUP(F864,Driver!A:C,3,false),"")</f>
        <v>fbc73b7bb6385f660629</v>
      </c>
      <c r="I864" s="9">
        <v>0.23958333333333334</v>
      </c>
      <c r="J864" s="9">
        <v>0.6041666666666666</v>
      </c>
      <c r="K864" s="5" t="s">
        <v>362</v>
      </c>
    </row>
    <row r="865" hidden="1">
      <c r="A865" s="5" t="str">
        <f>IFNA(VLOOKUP(D865,'Location Table'!A:C,2,false),"")</f>
        <v>29308384-18ae-11ef-8ca9-506b8d9879b5</v>
      </c>
      <c r="B865" s="5" t="str">
        <f>IFNA(VLOOKUP(F865,Driver!A:C,2,false),"")</f>
        <v>41ea8512-2e70-11f1-9378-fa163ee8d8ac</v>
      </c>
      <c r="C865" s="5" t="str">
        <f>IFNA(VLOOKUP(E865,'Location Table'!A:C,2,false),"")</f>
        <v/>
      </c>
      <c r="D865" s="6" t="s">
        <v>737</v>
      </c>
      <c r="E865" s="6"/>
      <c r="F865" s="10" t="s">
        <v>35</v>
      </c>
      <c r="G865" s="7" t="str">
        <f>IFNA(VLOOKUP(F865,Driver!A:D,4,false),"")</f>
        <v/>
      </c>
      <c r="H865" s="8" t="str">
        <f>IFNA(VLOOKUP(F865,Driver!A:C,3,false),"")</f>
        <v/>
      </c>
      <c r="I865" s="9">
        <v>0.2916666666666667</v>
      </c>
      <c r="J865" s="9">
        <v>0.75</v>
      </c>
      <c r="K865" s="9"/>
    </row>
    <row r="866" hidden="1">
      <c r="A866" s="5" t="str">
        <f>IFNA(VLOOKUP(D866,'Location Table'!A:C,2,false),"")</f>
        <v>cf9e4b00-7233-11ef-a706-506b8d9879b5</v>
      </c>
      <c r="B866" s="5" t="str">
        <f>IFNA(VLOOKUP(F866,Driver!A:C,2,false),"")</f>
        <v>41ea8512-2e70-11f1-9378-fa163ee8d8ac</v>
      </c>
      <c r="C866" s="5" t="str">
        <f>IFNA(VLOOKUP(E866,'Location Table'!A:C,2,false),"")</f>
        <v/>
      </c>
      <c r="D866" s="6" t="s">
        <v>738</v>
      </c>
      <c r="E866" s="6"/>
      <c r="F866" s="10" t="s">
        <v>35</v>
      </c>
      <c r="G866" s="7" t="str">
        <f>IFNA(VLOOKUP(F866,Driver!A:D,4,false),"")</f>
        <v/>
      </c>
      <c r="H866" s="8" t="str">
        <f>IFNA(VLOOKUP(F866,Driver!A:C,3,false),"")</f>
        <v/>
      </c>
      <c r="I866" s="9">
        <v>0.2916666666666667</v>
      </c>
      <c r="J866" s="9">
        <v>0.75</v>
      </c>
      <c r="K866" s="9"/>
    </row>
    <row r="867" hidden="1">
      <c r="A867" s="5" t="str">
        <f>IFNA(VLOOKUP(D867,'Location Table'!A:C,2,false),"")</f>
        <v>be63422e-4013-11f0-87de-506b8d982279</v>
      </c>
      <c r="B867" s="5" t="str">
        <f>IFNA(VLOOKUP(F867,Driver!A:C,2,false),"")</f>
        <v>a5947f58-7342-11f0-a217-506b8d982279</v>
      </c>
      <c r="C867" s="5" t="str">
        <f>IFNA(VLOOKUP(E867,'Location Table'!A:C,2,false),"")</f>
        <v/>
      </c>
      <c r="D867" s="6" t="s">
        <v>739</v>
      </c>
      <c r="E867" s="6"/>
      <c r="F867" s="6" t="s">
        <v>454</v>
      </c>
      <c r="G867" s="7" t="str">
        <f>IFNA(VLOOKUP(F867,Driver!A:D,4,false),"")</f>
        <v>1980698793628880414:XXMGIAegigeHesHcPUQpIcnMCwhigvPUATFrPyRHiqIZqTwmvWiXbUzfDhivxPcl</v>
      </c>
      <c r="H867" s="8" t="str">
        <f>IFNA(VLOOKUP(F867,Driver!A:C,3,false),"")</f>
        <v>92652419354ddc13855c</v>
      </c>
      <c r="I867" s="9">
        <v>0.2916666666666667</v>
      </c>
      <c r="J867" s="9">
        <v>0.5833333333333334</v>
      </c>
      <c r="K867" s="9"/>
    </row>
    <row r="868" hidden="1">
      <c r="A868" s="5" t="str">
        <f>IFNA(VLOOKUP(D868,'Location Table'!A:C,2,false),"")</f>
        <v>dabee4fe-b023-11ee-baaf-506b8d9879b5</v>
      </c>
      <c r="B868" s="5" t="str">
        <f>IFNA(VLOOKUP(F868,Driver!A:C,2,false),"")</f>
        <v>ee94ca62-729f-11f0-8cd5-506b8d982279</v>
      </c>
      <c r="C868" s="5" t="str">
        <f>IFNA(VLOOKUP(E868,'Location Table'!A:C,2,false),"")</f>
        <v/>
      </c>
      <c r="D868" s="6" t="s">
        <v>740</v>
      </c>
      <c r="E868" s="6"/>
      <c r="F868" s="6" t="s">
        <v>104</v>
      </c>
      <c r="G868" s="7" t="str">
        <f>IFNA(VLOOKUP(F868,Driver!A:D,4,false),"")</f>
        <v>1980698793628880414:XXMGIAegigeHesHcPUQpIcnMCwhigvPUATFrPyRHiqIZqTwmvWiXbUzfDhivxPcl</v>
      </c>
      <c r="H868" s="8" t="str">
        <f>IFNA(VLOOKUP(F868,Driver!A:C,3,false),"")</f>
        <v>f4d2e910814c6812315d</v>
      </c>
      <c r="I868" s="9">
        <v>0.2916666666666667</v>
      </c>
      <c r="J868" s="9">
        <v>0.75</v>
      </c>
      <c r="K868" s="9"/>
    </row>
    <row r="869" hidden="1">
      <c r="A869" s="5" t="str">
        <f>IFNA(VLOOKUP(D869,'Location Table'!A:C,2,false),"")</f>
        <v>1605c970-b744-11ee-be42-506b8d9879b5</v>
      </c>
      <c r="B869" s="5" t="str">
        <f>IFNA(VLOOKUP(F869,Driver!A:C,2,false),"")</f>
        <v>a2f538f8-37ce-11ed-a5cf-506b8dbc8dfb</v>
      </c>
      <c r="C869" s="5" t="str">
        <f>IFNA(VLOOKUP(E869,'Location Table'!A:C,2,false),"")</f>
        <v/>
      </c>
      <c r="D869" s="6" t="s">
        <v>741</v>
      </c>
      <c r="E869" s="6"/>
      <c r="F869" s="6" t="s">
        <v>338</v>
      </c>
      <c r="G869" s="7" t="str">
        <f>IFNA(VLOOKUP(F869,Driver!A:D,4,false),"")</f>
        <v>2160130926882687325:VSRHFZoYrhhtnecmAaOfmgvaKlfxBZEgxFxSbLPTAhfVwurTuJfQgOTrwyseeqJQ</v>
      </c>
      <c r="H869" s="8" t="str">
        <f>IFNA(VLOOKUP(F869,Driver!A:C,3,false),"")</f>
        <v>c0d10f02724a9b14c25b</v>
      </c>
      <c r="I869" s="9">
        <v>0.2916666666666667</v>
      </c>
      <c r="J869" s="9">
        <v>0.6666666666666666</v>
      </c>
      <c r="K869" s="9"/>
    </row>
    <row r="870" hidden="1">
      <c r="A870" s="5" t="str">
        <f>IFNA(VLOOKUP(D870,'Location Table'!A:C,2,false),"")</f>
        <v>775ca306-508d-11ee-8fce-506b8d9879b5</v>
      </c>
      <c r="B870" s="5" t="str">
        <f>IFNA(VLOOKUP(F870,Driver!A:C,2,false),"")</f>
        <v>232be490-35a4-11ed-88b7-506b8dbc8dfb</v>
      </c>
      <c r="C870" s="5" t="str">
        <f>IFNA(VLOOKUP(E870,'Location Table'!A:C,2,false),"")</f>
        <v/>
      </c>
      <c r="D870" s="6" t="s">
        <v>742</v>
      </c>
      <c r="E870" s="6"/>
      <c r="F870" s="6" t="s">
        <v>110</v>
      </c>
      <c r="G870" s="7" t="str">
        <f>IFNA(VLOOKUP(F870,Driver!A:D,4,false),"")</f>
        <v>2160130926882687325:VSRHFZoYrhhtnecmAaOfmgvaKlfxBZEgxFxSbLPTAhfVwurTuJfQgOTrwyseeqJQ</v>
      </c>
      <c r="H870" s="8" t="str">
        <f>IFNA(VLOOKUP(F870,Driver!A:C,3,false),"")</f>
        <v>d9fc37dd4093a9cdf082</v>
      </c>
      <c r="I870" s="9">
        <v>0.2916666666666667</v>
      </c>
      <c r="J870" s="9">
        <v>0.6666666666666666</v>
      </c>
      <c r="K870" s="9"/>
    </row>
    <row r="871" hidden="1">
      <c r="A871" s="5" t="str">
        <f>IFNA(VLOOKUP(D871,'Location Table'!A:C,2,false),"")</f>
        <v>f65a6b90-c4fb-11f0-88d5-506b8d982279</v>
      </c>
      <c r="B871" s="5" t="str">
        <f>IFNA(VLOOKUP(F871,Driver!A:C,2,false),"")</f>
        <v>232be490-35a4-11ed-88b7-506b8dbc8dfb</v>
      </c>
      <c r="C871" s="5" t="str">
        <f>IFNA(VLOOKUP(E871,'Location Table'!A:C,2,false),"")</f>
        <v/>
      </c>
      <c r="D871" s="6" t="s">
        <v>743</v>
      </c>
      <c r="E871" s="6"/>
      <c r="F871" s="6" t="s">
        <v>110</v>
      </c>
      <c r="G871" s="7" t="str">
        <f>IFNA(VLOOKUP(F871,Driver!A:D,4,false),"")</f>
        <v>2160130926882687325:VSRHFZoYrhhtnecmAaOfmgvaKlfxBZEgxFxSbLPTAhfVwurTuJfQgOTrwyseeqJQ</v>
      </c>
      <c r="H871" s="8" t="str">
        <f>IFNA(VLOOKUP(F871,Driver!A:C,3,false),"")</f>
        <v>d9fc37dd4093a9cdf082</v>
      </c>
      <c r="I871" s="9">
        <v>0.2916666666666667</v>
      </c>
      <c r="J871" s="9">
        <v>0.6666666666666666</v>
      </c>
      <c r="K871" s="9"/>
    </row>
    <row r="872" hidden="1">
      <c r="A872" s="5" t="str">
        <f>IFNA(VLOOKUP(D872,'Location Table'!A:C,2,false),"")</f>
        <v>84895166-5615-11f0-8300-506b8d982279</v>
      </c>
      <c r="B872" s="5" t="str">
        <f>IFNA(VLOOKUP(F872,Driver!A:C,2,false),"")</f>
        <v>ce2e0bd2-35a6-11ed-9c4e-506b8dbc8dfb</v>
      </c>
      <c r="C872" s="5" t="str">
        <f>IFNA(VLOOKUP(E872,'Location Table'!A:C,2,false),"")</f>
        <v>b959ed68-446d-11ed-b04f-506b8dbc8dfb</v>
      </c>
      <c r="D872" s="6" t="s">
        <v>744</v>
      </c>
      <c r="E872" s="10" t="s">
        <v>660</v>
      </c>
      <c r="F872" s="6" t="s">
        <v>661</v>
      </c>
      <c r="G872" s="7" t="str">
        <f>IFNA(VLOOKUP(F872,Driver!A:D,4,false),"")</f>
        <v/>
      </c>
      <c r="H872" s="8" t="str">
        <f>IFNA(VLOOKUP(F872,Driver!A:C,3,false),"")</f>
        <v/>
      </c>
      <c r="I872" s="9">
        <v>0.2916666666666667</v>
      </c>
      <c r="J872" s="9">
        <v>0.75</v>
      </c>
      <c r="K872" s="9"/>
    </row>
    <row r="873" hidden="1">
      <c r="A873" s="5" t="str">
        <f>IFNA(VLOOKUP(D873,'Location Table'!A:C,2,false),"")</f>
        <v>3736a85c-4592-11f0-a3d1-506b8d982279</v>
      </c>
      <c r="B873" s="5" t="str">
        <f>IFNA(VLOOKUP(F873,Driver!A:C,2,false),"")</f>
        <v>41ea8512-2e70-11f1-9378-fa163ee8d8ac</v>
      </c>
      <c r="C873" s="5" t="str">
        <f>IFNA(VLOOKUP(E873,'Location Table'!A:C,2,false),"")</f>
        <v/>
      </c>
      <c r="D873" s="6" t="s">
        <v>745</v>
      </c>
      <c r="E873" s="6"/>
      <c r="F873" s="10" t="s">
        <v>35</v>
      </c>
      <c r="G873" s="7" t="str">
        <f>IFNA(VLOOKUP(F873,Driver!A:D,4,false),"")</f>
        <v/>
      </c>
      <c r="H873" s="8" t="str">
        <f>IFNA(VLOOKUP(F873,Driver!A:C,3,false),"")</f>
        <v/>
      </c>
      <c r="I873" s="9">
        <v>0.2916666666666667</v>
      </c>
      <c r="J873" s="9">
        <v>0.75</v>
      </c>
      <c r="K873" s="9"/>
    </row>
    <row r="874" hidden="1">
      <c r="A874" s="5" t="str">
        <f>IFNA(VLOOKUP(D874,'Location Table'!A:C,2,false),"")</f>
        <v>89a82644-ee8c-11f0-9378-fa163ee8d8ac</v>
      </c>
      <c r="B874" s="5" t="str">
        <f>IFNA(VLOOKUP(F874,Driver!A:C,2,false),"")</f>
        <v>41ea8512-2e70-11f1-9378-fa163ee8d8ac</v>
      </c>
      <c r="C874" s="5" t="str">
        <f>IFNA(VLOOKUP(E874,'Location Table'!A:C,2,false),"")</f>
        <v/>
      </c>
      <c r="D874" s="6" t="s">
        <v>746</v>
      </c>
      <c r="E874" s="6"/>
      <c r="F874" s="10" t="s">
        <v>35</v>
      </c>
      <c r="G874" s="7" t="str">
        <f>IFNA(VLOOKUP(F874,Driver!A:D,4,false),"")</f>
        <v/>
      </c>
      <c r="H874" s="8" t="str">
        <f>IFNA(VLOOKUP(F874,Driver!A:C,3,false),"")</f>
        <v/>
      </c>
      <c r="I874" s="9">
        <v>0.2916666666666667</v>
      </c>
      <c r="J874" s="9">
        <v>0.75</v>
      </c>
      <c r="K874" s="9"/>
    </row>
    <row r="875" hidden="1">
      <c r="A875" s="5" t="str">
        <f>IFNA(VLOOKUP(D875,'Location Table'!A:C,2,false),"")</f>
        <v>eead9412-98ba-11ef-8074-506b8d9879b5</v>
      </c>
      <c r="B875" s="5" t="str">
        <f>IFNA(VLOOKUP(F875,Driver!A:C,2,false),"")</f>
        <v>a5947f58-7342-11f0-a217-506b8d982279</v>
      </c>
      <c r="C875" s="5" t="str">
        <f>IFNA(VLOOKUP(E875,'Location Table'!A:C,2,false),"")</f>
        <v/>
      </c>
      <c r="D875" s="6" t="s">
        <v>747</v>
      </c>
      <c r="E875" s="6"/>
      <c r="F875" s="6" t="s">
        <v>454</v>
      </c>
      <c r="G875" s="7" t="str">
        <f>IFNA(VLOOKUP(F875,Driver!A:D,4,false),"")</f>
        <v>1980698793628880414:XXMGIAegigeHesHcPUQpIcnMCwhigvPUATFrPyRHiqIZqTwmvWiXbUzfDhivxPcl</v>
      </c>
      <c r="H875" s="8" t="str">
        <f>IFNA(VLOOKUP(F875,Driver!A:C,3,false),"")</f>
        <v>92652419354ddc13855c</v>
      </c>
      <c r="I875" s="9">
        <v>0.2916666666666667</v>
      </c>
      <c r="J875" s="9">
        <v>0.5833333333333334</v>
      </c>
      <c r="K875" s="9"/>
    </row>
    <row r="876" hidden="1">
      <c r="A876" s="5" t="str">
        <f>IFNA(VLOOKUP(D876,'Location Table'!A:C,2,false),"")</f>
        <v>dbdc81ea-c664-11ef-9fda-506b8d9879b5</v>
      </c>
      <c r="B876" s="5" t="str">
        <f>IFNA(VLOOKUP(F876,Driver!A:C,2,false),"")</f>
        <v>a9bf91b4-00e4-11f1-9378-fa163ee8d8ac</v>
      </c>
      <c r="C876" s="5" t="str">
        <f>IFNA(VLOOKUP(E876,'Location Table'!A:C,2,false),"")</f>
        <v/>
      </c>
      <c r="D876" s="6" t="s">
        <v>748</v>
      </c>
      <c r="E876" s="6"/>
      <c r="F876" s="6" t="s">
        <v>142</v>
      </c>
      <c r="G876" s="7" t="str">
        <f>IFNA(VLOOKUP(F876,Driver!A:D,4,false),"")</f>
        <v/>
      </c>
      <c r="H876" s="8" t="str">
        <f>IFNA(VLOOKUP(F876,Driver!A:C,3,false),"")</f>
        <v/>
      </c>
      <c r="I876" s="9">
        <v>0.2916666666666667</v>
      </c>
      <c r="J876" s="9">
        <v>0.5</v>
      </c>
      <c r="K876" s="9"/>
    </row>
    <row r="877" hidden="1">
      <c r="A877" s="5" t="str">
        <f>IFNA(VLOOKUP(D877,'Location Table'!A:C,2,false),"")</f>
        <v>a31825ce-cd8b-11f0-9201-506b8d982279</v>
      </c>
      <c r="B877" s="5" t="str">
        <f>IFNA(VLOOKUP(F877,Driver!A:C,2,false),"")</f>
        <v>232be490-35a4-11ed-88b7-506b8dbc8dfb</v>
      </c>
      <c r="C877" s="5" t="str">
        <f>IFNA(VLOOKUP(E877,'Location Table'!A:C,2,false),"")</f>
        <v/>
      </c>
      <c r="D877" s="6" t="s">
        <v>749</v>
      </c>
      <c r="E877" s="6"/>
      <c r="F877" s="6" t="s">
        <v>110</v>
      </c>
      <c r="G877" s="7" t="str">
        <f>IFNA(VLOOKUP(F877,Driver!A:D,4,false),"")</f>
        <v>2160130926882687325:VSRHFZoYrhhtnecmAaOfmgvaKlfxBZEgxFxSbLPTAhfVwurTuJfQgOTrwyseeqJQ</v>
      </c>
      <c r="H877" s="8" t="str">
        <f>IFNA(VLOOKUP(F877,Driver!A:C,3,false),"")</f>
        <v>d9fc37dd4093a9cdf082</v>
      </c>
      <c r="I877" s="9">
        <v>0.2916666666666667</v>
      </c>
      <c r="J877" s="9">
        <v>0.6666666666666666</v>
      </c>
      <c r="K877" s="9"/>
    </row>
    <row r="878" hidden="1">
      <c r="A878" s="5" t="str">
        <f>IFNA(VLOOKUP(D878,'Location Table'!A:C,2,false),"")</f>
        <v>69fba796-9237-11f0-8bc1-506b8d982279</v>
      </c>
      <c r="B878" s="5" t="str">
        <f>IFNA(VLOOKUP(F878,Driver!A:C,2,false),"")</f>
        <v>717fa61c-3654-11ed-b103-506b8dbc8dfb</v>
      </c>
      <c r="C878" s="5" t="str">
        <f>IFNA(VLOOKUP(E878,'Location Table'!A:C,2,false),"")</f>
        <v/>
      </c>
      <c r="D878" s="6" t="s">
        <v>750</v>
      </c>
      <c r="E878" s="6"/>
      <c r="F878" s="6" t="s">
        <v>361</v>
      </c>
      <c r="G878" s="7" t="str">
        <f>IFNA(VLOOKUP(F878,Driver!A:D,4,false),"")</f>
        <v>1980698793628880414:XXMGIAegigeHesHcPUQpIcnMCwhigvPUATFrPyRHiqIZqTwmvWiXbUzfDhivxPcl</v>
      </c>
      <c r="H878" s="8" t="str">
        <f>IFNA(VLOOKUP(F878,Driver!A:C,3,false),"")</f>
        <v>fbc73b7bb6385f660629</v>
      </c>
      <c r="I878" s="9">
        <v>0.23958333333333334</v>
      </c>
      <c r="J878" s="9">
        <v>0.6041666666666666</v>
      </c>
      <c r="K878" s="5" t="s">
        <v>362</v>
      </c>
    </row>
    <row r="879" hidden="1">
      <c r="A879" s="5" t="str">
        <f>IFNA(VLOOKUP(D879,'Location Table'!A:C,2,false),"")</f>
        <v>46f585c6-a5b2-11f0-8e60-506b8d982279</v>
      </c>
      <c r="B879" s="5" t="str">
        <f>IFNA(VLOOKUP(F879,Driver!A:C,2,false),"")</f>
        <v>a9bf91b4-00e4-11f1-9378-fa163ee8d8ac</v>
      </c>
      <c r="C879" s="5" t="str">
        <f>IFNA(VLOOKUP(E879,'Location Table'!A:C,2,false),"")</f>
        <v/>
      </c>
      <c r="D879" s="6" t="s">
        <v>751</v>
      </c>
      <c r="E879" s="6"/>
      <c r="F879" s="6" t="s">
        <v>142</v>
      </c>
      <c r="G879" s="7" t="str">
        <f>IFNA(VLOOKUP(F879,Driver!A:D,4,false),"")</f>
        <v/>
      </c>
      <c r="H879" s="8" t="str">
        <f>IFNA(VLOOKUP(F879,Driver!A:C,3,false),"")</f>
        <v/>
      </c>
      <c r="I879" s="9">
        <v>0.2916666666666667</v>
      </c>
      <c r="J879" s="9">
        <v>0.5</v>
      </c>
      <c r="K879" s="9"/>
    </row>
    <row r="880" hidden="1">
      <c r="A880" s="5" t="str">
        <f>IFNA(VLOOKUP(D880,'Location Table'!A:C,2,false),"")</f>
        <v>37e43e94-c9eb-11f0-a5a0-506b8d982279</v>
      </c>
      <c r="B880" s="5" t="str">
        <f>IFNA(VLOOKUP(F880,Driver!A:C,2,false),"")</f>
        <v>41ea8512-2e70-11f1-9378-fa163ee8d8ac</v>
      </c>
      <c r="C880" s="5" t="str">
        <f>IFNA(VLOOKUP(E880,'Location Table'!A:C,2,false),"")</f>
        <v/>
      </c>
      <c r="D880" s="6" t="s">
        <v>752</v>
      </c>
      <c r="E880" s="6"/>
      <c r="F880" s="10" t="s">
        <v>35</v>
      </c>
      <c r="G880" s="7" t="str">
        <f>IFNA(VLOOKUP(F880,Driver!A:D,4,false),"")</f>
        <v/>
      </c>
      <c r="H880" s="8" t="str">
        <f>IFNA(VLOOKUP(F880,Driver!A:C,3,false),"")</f>
        <v/>
      </c>
      <c r="I880" s="9">
        <v>0.2916666666666667</v>
      </c>
      <c r="J880" s="9">
        <v>0.75</v>
      </c>
      <c r="K880" s="9"/>
    </row>
    <row r="881" hidden="1">
      <c r="A881" s="5" t="str">
        <f>IFNA(VLOOKUP(D881,'Location Table'!A:C,2,false),"")</f>
        <v>0e28662a-a327-11ef-b7ef-506b8d9879b5</v>
      </c>
      <c r="B881" s="5" t="str">
        <f>IFNA(VLOOKUP(F881,Driver!A:C,2,false),"")</f>
        <v>717fa61c-3654-11ed-b103-506b8dbc8dfb</v>
      </c>
      <c r="C881" s="5" t="str">
        <f>IFNA(VLOOKUP(E881,'Location Table'!A:C,2,false),"")</f>
        <v/>
      </c>
      <c r="D881" s="6" t="s">
        <v>753</v>
      </c>
      <c r="E881" s="6"/>
      <c r="F881" s="6" t="s">
        <v>361</v>
      </c>
      <c r="G881" s="7" t="str">
        <f>IFNA(VLOOKUP(F881,Driver!A:D,4,false),"")</f>
        <v>1980698793628880414:XXMGIAegigeHesHcPUQpIcnMCwhigvPUATFrPyRHiqIZqTwmvWiXbUzfDhivxPcl</v>
      </c>
      <c r="H881" s="8" t="str">
        <f>IFNA(VLOOKUP(F881,Driver!A:C,3,false),"")</f>
        <v>fbc73b7bb6385f660629</v>
      </c>
      <c r="I881" s="9">
        <v>0.23958333333333334</v>
      </c>
      <c r="J881" s="9">
        <v>0.6041666666666666</v>
      </c>
      <c r="K881" s="5" t="s">
        <v>362</v>
      </c>
    </row>
    <row r="882" hidden="1">
      <c r="A882" s="5" t="str">
        <f>IFNA(VLOOKUP(D882,'Location Table'!A:C,2,false),"")</f>
        <v>5a8e5668-deac-11ee-91a6-506b8d9879b5</v>
      </c>
      <c r="B882" s="5" t="str">
        <f>IFNA(VLOOKUP(F882,Driver!A:C,2,false),"")</f>
        <v>232be490-35a4-11ed-88b7-506b8dbc8dfb</v>
      </c>
      <c r="C882" s="5" t="str">
        <f>IFNA(VLOOKUP(E882,'Location Table'!A:C,2,false),"")</f>
        <v/>
      </c>
      <c r="D882" s="6" t="s">
        <v>754</v>
      </c>
      <c r="E882" s="6"/>
      <c r="F882" s="6" t="s">
        <v>110</v>
      </c>
      <c r="G882" s="7" t="str">
        <f>IFNA(VLOOKUP(F882,Driver!A:D,4,false),"")</f>
        <v>2160130926882687325:VSRHFZoYrhhtnecmAaOfmgvaKlfxBZEgxFxSbLPTAhfVwurTuJfQgOTrwyseeqJQ</v>
      </c>
      <c r="H882" s="8" t="str">
        <f>IFNA(VLOOKUP(F882,Driver!A:C,3,false),"")</f>
        <v>d9fc37dd4093a9cdf082</v>
      </c>
      <c r="I882" s="9">
        <v>0.2916666666666667</v>
      </c>
      <c r="J882" s="9">
        <v>0.6666666666666666</v>
      </c>
      <c r="K882" s="9"/>
    </row>
    <row r="883" hidden="1">
      <c r="A883" s="5" t="str">
        <f>IFNA(VLOOKUP(D883,'Location Table'!A:C,2,false),"")</f>
        <v>2431f23e-1f31-11f0-ab1e-506b8d982279</v>
      </c>
      <c r="B883" s="5" t="str">
        <f>IFNA(VLOOKUP(F883,Driver!A:C,2,false),"")</f>
        <v>7898dd6c-816d-11f0-9f34-506b8d982279</v>
      </c>
      <c r="C883" s="5" t="str">
        <f>IFNA(VLOOKUP(E883,'Location Table'!A:C,2,false),"")</f>
        <v/>
      </c>
      <c r="D883" s="6" t="s">
        <v>755</v>
      </c>
      <c r="E883" s="6"/>
      <c r="F883" s="6" t="s">
        <v>15</v>
      </c>
      <c r="G883" s="7" t="str">
        <f>IFNA(VLOOKUP(F883,Driver!A:D,4,false),"")</f>
        <v>1980698793628880414:XXMGIAegigeHesHcPUQpIcnMCwhigvPUATFrPyRHiqIZqTwmvWiXbUzfDhivxPcl</v>
      </c>
      <c r="H883" s="8" t="str">
        <f>IFNA(VLOOKUP(F883,Driver!A:C,3,false),"")</f>
        <v>011b70c8f4801dde4491</v>
      </c>
      <c r="I883" s="9">
        <v>0.2916666666666667</v>
      </c>
      <c r="J883" s="9">
        <v>0.625</v>
      </c>
      <c r="K883" s="9"/>
    </row>
    <row r="884" hidden="1">
      <c r="A884" s="5" t="str">
        <f>IFNA(VLOOKUP(D884,'Location Table'!A:C,2,false),"")</f>
        <v>ba240c02-468b-11ef-8f83-506b8d9879b5</v>
      </c>
      <c r="B884" s="5" t="str">
        <f>IFNA(VLOOKUP(F884,Driver!A:C,2,false),"")</f>
        <v>103090f4-37c8-11ed-9333-506b8dbc8dfb</v>
      </c>
      <c r="C884" s="5" t="str">
        <f>IFNA(VLOOKUP(E884,'Location Table'!A:C,2,false),"")</f>
        <v/>
      </c>
      <c r="D884" s="6" t="s">
        <v>756</v>
      </c>
      <c r="E884" s="6"/>
      <c r="F884" s="6" t="s">
        <v>130</v>
      </c>
      <c r="G884" s="7" t="str">
        <f>IFNA(VLOOKUP(F884,Driver!A:D,4,false),"")</f>
        <v>2160130926882687325:VSRHFZoYrhhtnecmAaOfmgvaKlfxBZEgxFxSbLPTAhfVwurTuJfQgOTrwyseeqJQ</v>
      </c>
      <c r="H884" s="8" t="str">
        <f>IFNA(VLOOKUP(F884,Driver!A:C,3,false),"")</f>
        <v>77085b30147bfd25a46a</v>
      </c>
      <c r="I884" s="9">
        <v>0.2916666666666667</v>
      </c>
      <c r="J884" s="9">
        <v>0.8541666666666666</v>
      </c>
      <c r="K884" s="9"/>
    </row>
    <row r="885" hidden="1">
      <c r="A885" s="5" t="str">
        <f>IFNA(VLOOKUP(D885,'Location Table'!A:C,2,false),"")</f>
        <v>55238e6a-8de6-11f0-a64e-506b8d982279</v>
      </c>
      <c r="B885" s="5" t="str">
        <f>IFNA(VLOOKUP(F885,Driver!A:C,2,false),"")</f>
        <v>aa436cae-e9f3-11ef-bd94-506b8d9879b5</v>
      </c>
      <c r="C885" s="5" t="str">
        <f>IFNA(VLOOKUP(E885,'Location Table'!A:C,2,false),"")</f>
        <v/>
      </c>
      <c r="D885" s="6" t="s">
        <v>757</v>
      </c>
      <c r="E885" s="6"/>
      <c r="F885" s="6" t="s">
        <v>452</v>
      </c>
      <c r="G885" s="7" t="str">
        <f>IFNA(VLOOKUP(F885,Driver!A:D,4,false),"")</f>
        <v>1980698793628880414:XXMGIAegigeHesHcPUQpIcnMCwhigvPUATFrPyRHiqIZqTwmvWiXbUzfDhivxPcl</v>
      </c>
      <c r="H885" s="8" t="str">
        <f>IFNA(VLOOKUP(F885,Driver!A:C,3,false),"")</f>
        <v>f07b253084796d273468</v>
      </c>
      <c r="I885" s="9">
        <v>0.2916666666666667</v>
      </c>
      <c r="J885" s="9">
        <v>0.5</v>
      </c>
      <c r="K885" s="9"/>
    </row>
    <row r="886" hidden="1">
      <c r="A886" s="5" t="str">
        <f>IFNA(VLOOKUP(D886,'Location Table'!A:C,2,false),"")</f>
        <v>8379d2b4-0886-11f0-bf88-506b8d982279</v>
      </c>
      <c r="B886" s="5" t="str">
        <f>IFNA(VLOOKUP(F886,Driver!A:C,2,false),"")</f>
        <v>232be490-35a4-11ed-88b7-506b8dbc8dfb</v>
      </c>
      <c r="C886" s="5" t="str">
        <f>IFNA(VLOOKUP(E886,'Location Table'!A:C,2,false),"")</f>
        <v/>
      </c>
      <c r="D886" s="6" t="s">
        <v>758</v>
      </c>
      <c r="E886" s="6"/>
      <c r="F886" s="6" t="s">
        <v>110</v>
      </c>
      <c r="G886" s="7" t="str">
        <f>IFNA(VLOOKUP(F886,Driver!A:D,4,false),"")</f>
        <v>2160130926882687325:VSRHFZoYrhhtnecmAaOfmgvaKlfxBZEgxFxSbLPTAhfVwurTuJfQgOTrwyseeqJQ</v>
      </c>
      <c r="H886" s="8" t="str">
        <f>IFNA(VLOOKUP(F886,Driver!A:C,3,false),"")</f>
        <v>d9fc37dd4093a9cdf082</v>
      </c>
      <c r="I886" s="9">
        <v>0.2916666666666667</v>
      </c>
      <c r="J886" s="9">
        <v>0.6666666666666666</v>
      </c>
      <c r="K886" s="9"/>
    </row>
    <row r="887" hidden="1">
      <c r="A887" s="5" t="str">
        <f>IFNA(VLOOKUP(D887,'Location Table'!A:C,2,false),"")</f>
        <v>eb63f7d6-4481-11ed-a3ad-506b8dbc8dfb</v>
      </c>
      <c r="B887" s="5" t="str">
        <f>IFNA(VLOOKUP(F887,Driver!A:C,2,false),"")</f>
        <v>ce2e0bd2-35a6-11ed-9c4e-506b8dbc8dfb</v>
      </c>
      <c r="C887" s="5" t="str">
        <f>IFNA(VLOOKUP(E887,'Location Table'!A:C,2,false),"")</f>
        <v>b959ed68-446d-11ed-b04f-506b8dbc8dfb</v>
      </c>
      <c r="D887" s="6" t="s">
        <v>759</v>
      </c>
      <c r="E887" s="10" t="s">
        <v>660</v>
      </c>
      <c r="F887" s="6" t="s">
        <v>661</v>
      </c>
      <c r="G887" s="7" t="str">
        <f>IFNA(VLOOKUP(F887,Driver!A:D,4,false),"")</f>
        <v/>
      </c>
      <c r="H887" s="8" t="str">
        <f>IFNA(VLOOKUP(F887,Driver!A:C,3,false),"")</f>
        <v/>
      </c>
      <c r="I887" s="9">
        <v>0.2916666666666667</v>
      </c>
      <c r="J887" s="9">
        <v>0.75</v>
      </c>
      <c r="K887" s="9"/>
    </row>
    <row r="888" hidden="1">
      <c r="A888" s="5" t="str">
        <f>IFNA(VLOOKUP(D888,'Location Table'!A:C,2,false),"")</f>
        <v>02cb35f0-eade-11f0-97d5-506b8d982279</v>
      </c>
      <c r="B888" s="5" t="str">
        <f>IFNA(VLOOKUP(F888,Driver!A:C,2,false),"")</f>
        <v>a2f538f8-37ce-11ed-a5cf-506b8dbc8dfb</v>
      </c>
      <c r="C888" s="5" t="str">
        <f>IFNA(VLOOKUP(E888,'Location Table'!A:C,2,false),"")</f>
        <v/>
      </c>
      <c r="D888" s="6" t="s">
        <v>760</v>
      </c>
      <c r="E888" s="6"/>
      <c r="F888" s="6" t="s">
        <v>338</v>
      </c>
      <c r="G888" s="7" t="str">
        <f>IFNA(VLOOKUP(F888,Driver!A:D,4,false),"")</f>
        <v>2160130926882687325:VSRHFZoYrhhtnecmAaOfmgvaKlfxBZEgxFxSbLPTAhfVwurTuJfQgOTrwyseeqJQ</v>
      </c>
      <c r="H888" s="8" t="str">
        <f>IFNA(VLOOKUP(F888,Driver!A:C,3,false),"")</f>
        <v>c0d10f02724a9b14c25b</v>
      </c>
      <c r="I888" s="9">
        <v>0.2916666666666667</v>
      </c>
      <c r="J888" s="9">
        <v>0.6666666666666666</v>
      </c>
      <c r="K888" s="9"/>
    </row>
    <row r="889" hidden="1">
      <c r="A889" s="5" t="str">
        <f>IFNA(VLOOKUP(D889,'Location Table'!A:C,2,false),"")</f>
        <v>a107b52e-b48b-11f0-94b5-506b8d982279</v>
      </c>
      <c r="B889" s="5" t="str">
        <f>IFNA(VLOOKUP(F889,Driver!A:C,2,false),"")</f>
        <v>ce2e0bd2-35a6-11ed-9c4e-506b8dbc8dfb</v>
      </c>
      <c r="C889" s="5" t="str">
        <f>IFNA(VLOOKUP(E889,'Location Table'!A:C,2,false),"")</f>
        <v>b959ed68-446d-11ed-b04f-506b8dbc8dfb</v>
      </c>
      <c r="D889" s="6" t="s">
        <v>761</v>
      </c>
      <c r="E889" s="10" t="s">
        <v>660</v>
      </c>
      <c r="F889" s="6" t="s">
        <v>661</v>
      </c>
      <c r="G889" s="7" t="str">
        <f>IFNA(VLOOKUP(F889,Driver!A:D,4,false),"")</f>
        <v/>
      </c>
      <c r="H889" s="8" t="str">
        <f>IFNA(VLOOKUP(F889,Driver!A:C,3,false),"")</f>
        <v/>
      </c>
      <c r="I889" s="9">
        <v>0.2916666666666667</v>
      </c>
      <c r="J889" s="9">
        <v>0.75</v>
      </c>
      <c r="K889" s="9"/>
    </row>
    <row r="890" hidden="1">
      <c r="A890" s="5" t="str">
        <f>IFNA(VLOOKUP(D890,'Location Table'!A:C,2,false),"")</f>
        <v>f59d8ce4-9a7e-11ef-94b3-506b8d9879b5</v>
      </c>
      <c r="B890" s="5" t="str">
        <f>IFNA(VLOOKUP(F890,Driver!A:C,2,false),"")</f>
        <v>8909168a-37c4-11ed-9647-506b8dbc8dfb</v>
      </c>
      <c r="C890" s="5" t="str">
        <f>IFNA(VLOOKUP(E890,'Location Table'!A:C,2,false),"")</f>
        <v/>
      </c>
      <c r="D890" s="6" t="s">
        <v>762</v>
      </c>
      <c r="E890" s="6"/>
      <c r="F890" s="6" t="s">
        <v>552</v>
      </c>
      <c r="G890" s="7" t="str">
        <f>IFNA(VLOOKUP(F890,Driver!A:D,4,false),"")</f>
        <v>1980698793628880414:XXMGIAegigeHesHcPUQpIcnMCwhigvPUATFrPyRHiqIZqTwmvWiXbUzfDhivxPcl</v>
      </c>
      <c r="H890" s="8" t="str">
        <f>IFNA(VLOOKUP(F890,Driver!A:C,3,false),"")</f>
        <v>6f0424c9ec8505db5c94</v>
      </c>
      <c r="I890" s="9">
        <v>0.2916666666666667</v>
      </c>
      <c r="J890" s="9">
        <v>0.75</v>
      </c>
      <c r="K890" s="9"/>
    </row>
    <row r="891" hidden="1">
      <c r="A891" s="5" t="str">
        <f>IFNA(VLOOKUP(D891,'Location Table'!A:C,2,false),"")</f>
        <v>a5daa8ea-0ab5-11ee-b70d-506b8dbc8dfb</v>
      </c>
      <c r="B891" s="5" t="str">
        <f>IFNA(VLOOKUP(F891,Driver!A:C,2,false),"")</f>
        <v>a9bf91b4-00e4-11f1-9378-fa163ee8d8ac</v>
      </c>
      <c r="C891" s="5" t="str">
        <f>IFNA(VLOOKUP(E891,'Location Table'!A:C,2,false),"")</f>
        <v/>
      </c>
      <c r="D891" s="6" t="s">
        <v>763</v>
      </c>
      <c r="E891" s="6"/>
      <c r="F891" s="6" t="s">
        <v>142</v>
      </c>
      <c r="G891" s="7" t="str">
        <f>IFNA(VLOOKUP(F891,Driver!A:D,4,false),"")</f>
        <v/>
      </c>
      <c r="H891" s="8" t="str">
        <f>IFNA(VLOOKUP(F891,Driver!A:C,3,false),"")</f>
        <v/>
      </c>
      <c r="I891" s="9">
        <v>0.2916666666666667</v>
      </c>
      <c r="J891" s="9">
        <v>0.5</v>
      </c>
      <c r="K891" s="9"/>
    </row>
    <row r="892" hidden="1">
      <c r="A892" s="5" t="str">
        <f>IFNA(VLOOKUP(D892,'Location Table'!A:C,2,false),"")</f>
        <v>fbfe42a0-4d57-11ef-b0f3-506b8d9879b5</v>
      </c>
      <c r="B892" s="5" t="str">
        <f>IFNA(VLOOKUP(F892,Driver!A:C,2,false),"")</f>
        <v>9ba6de4c-37d0-11ed-90bb-506b8dbc8dfb</v>
      </c>
      <c r="C892" s="5" t="str">
        <f>IFNA(VLOOKUP(E892,'Location Table'!A:C,2,false),"")</f>
        <v/>
      </c>
      <c r="D892" s="6" t="s">
        <v>764</v>
      </c>
      <c r="E892" s="6"/>
      <c r="F892" s="6" t="s">
        <v>330</v>
      </c>
      <c r="G892" s="7" t="str">
        <f>IFNA(VLOOKUP(F892,Driver!A:D,4,false),"")</f>
        <v>1980698793628880414:XXMGIAegigeHesHcPUQpIcnMCwhigvPUATFrPyRHiqIZqTwmvWiXbUzfDhivxPcl</v>
      </c>
      <c r="H892" s="8" t="str">
        <f>IFNA(VLOOKUP(F892,Driver!A:C,3,false),"")</f>
        <v>d0ce770b76499f17c658</v>
      </c>
      <c r="I892" s="9">
        <v>0.25</v>
      </c>
      <c r="J892" s="9">
        <v>0.6458333333333334</v>
      </c>
      <c r="K892" s="5" t="s">
        <v>331</v>
      </c>
    </row>
    <row r="893" hidden="1">
      <c r="A893" s="5" t="str">
        <f>IFNA(VLOOKUP(D893,'Location Table'!A:C,2,false),"")</f>
        <v>adf1e9a6-8b27-11ee-a96f-506b8d9879b5</v>
      </c>
      <c r="B893" s="5" t="str">
        <f>IFNA(VLOOKUP(F893,Driver!A:C,2,false),"")</f>
        <v>a2f538f8-37ce-11ed-a5cf-506b8dbc8dfb</v>
      </c>
      <c r="C893" s="5" t="str">
        <f>IFNA(VLOOKUP(E893,'Location Table'!A:C,2,false),"")</f>
        <v/>
      </c>
      <c r="D893" s="6" t="s">
        <v>765</v>
      </c>
      <c r="E893" s="6"/>
      <c r="F893" s="6" t="s">
        <v>338</v>
      </c>
      <c r="G893" s="7" t="str">
        <f>IFNA(VLOOKUP(F893,Driver!A:D,4,false),"")</f>
        <v>2160130926882687325:VSRHFZoYrhhtnecmAaOfmgvaKlfxBZEgxFxSbLPTAhfVwurTuJfQgOTrwyseeqJQ</v>
      </c>
      <c r="H893" s="8" t="str">
        <f>IFNA(VLOOKUP(F893,Driver!A:C,3,false),"")</f>
        <v>c0d10f02724a9b14c25b</v>
      </c>
      <c r="I893" s="9">
        <v>0.2916666666666667</v>
      </c>
      <c r="J893" s="9">
        <v>0.6666666666666666</v>
      </c>
      <c r="K893" s="9"/>
    </row>
    <row r="894" hidden="1">
      <c r="A894" s="5" t="str">
        <f>IFNA(VLOOKUP(D894,'Location Table'!A:C,2,false),"")</f>
        <v>13041bc8-ed73-11ed-b9c2-506b8dbc8dfb</v>
      </c>
      <c r="B894" s="5" t="str">
        <f>IFNA(VLOOKUP(F894,Driver!A:C,2,false),"")</f>
        <v>ce2e0bd2-35a6-11ed-9c4e-506b8dbc8dfb</v>
      </c>
      <c r="C894" s="5" t="str">
        <f>IFNA(VLOOKUP(E894,'Location Table'!A:C,2,false),"")</f>
        <v>b959ed68-446d-11ed-b04f-506b8dbc8dfb</v>
      </c>
      <c r="D894" s="6" t="s">
        <v>766</v>
      </c>
      <c r="E894" s="10" t="s">
        <v>660</v>
      </c>
      <c r="F894" s="6" t="s">
        <v>661</v>
      </c>
      <c r="G894" s="7" t="str">
        <f>IFNA(VLOOKUP(F894,Driver!A:D,4,false),"")</f>
        <v/>
      </c>
      <c r="H894" s="8" t="str">
        <f>IFNA(VLOOKUP(F894,Driver!A:C,3,false),"")</f>
        <v/>
      </c>
      <c r="I894" s="9">
        <v>0.2916666666666667</v>
      </c>
      <c r="J894" s="9">
        <v>0.75</v>
      </c>
      <c r="K894" s="9"/>
    </row>
    <row r="895" hidden="1">
      <c r="A895" s="5" t="str">
        <f>IFNA(VLOOKUP(D895,'Location Table'!A:C,2,false),"")</f>
        <v>1dc5cb76-8f86-11f0-8662-506b8d982279</v>
      </c>
      <c r="B895" s="5" t="str">
        <f>IFNA(VLOOKUP(F895,Driver!A:C,2,false),"")</f>
        <v>1d4786cc-12f7-11f1-9378-fa163ee8d8ac</v>
      </c>
      <c r="C895" s="5" t="str">
        <f>IFNA(VLOOKUP(E895,'Location Table'!A:C,2,false),"")</f>
        <v/>
      </c>
      <c r="D895" s="6" t="s">
        <v>767</v>
      </c>
      <c r="E895" s="6"/>
      <c r="F895" s="6" t="s">
        <v>343</v>
      </c>
      <c r="G895" s="7" t="str">
        <f>IFNA(VLOOKUP(F895,Driver!A:D,4,false),"")</f>
        <v>1980698793628880414:XXMGIAegigeHesHcPUQpIcnMCwhigvPUATFrPyRHiqIZqTwmvWiXbUzfDhivxPcl</v>
      </c>
      <c r="H895" s="8" t="str">
        <f>IFNA(VLOOKUP(F895,Driver!A:C,3,false),"")</f>
        <v>85d2de46a91b4045190a</v>
      </c>
      <c r="I895" s="9">
        <v>0.2916666666666667</v>
      </c>
      <c r="J895" s="9">
        <v>0.75</v>
      </c>
      <c r="K895" s="9"/>
    </row>
    <row r="896" hidden="1">
      <c r="A896" s="5" t="str">
        <f>IFNA(VLOOKUP(D896,'Location Table'!A:C,2,false),"")</f>
        <v>074046c4-c30e-11ee-8f54-506b8d9879b5</v>
      </c>
      <c r="B896" s="5" t="str">
        <f>IFNA(VLOOKUP(F896,Driver!A:C,2,false),"")</f>
        <v>9ba6de4c-37d0-11ed-90bb-506b8dbc8dfb</v>
      </c>
      <c r="C896" s="5" t="str">
        <f>IFNA(VLOOKUP(E896,'Location Table'!A:C,2,false),"")</f>
        <v/>
      </c>
      <c r="D896" s="6" t="s">
        <v>768</v>
      </c>
      <c r="E896" s="6"/>
      <c r="F896" s="6" t="s">
        <v>330</v>
      </c>
      <c r="G896" s="7" t="str">
        <f>IFNA(VLOOKUP(F896,Driver!A:D,4,false),"")</f>
        <v>1980698793628880414:XXMGIAegigeHesHcPUQpIcnMCwhigvPUATFrPyRHiqIZqTwmvWiXbUzfDhivxPcl</v>
      </c>
      <c r="H896" s="8" t="str">
        <f>IFNA(VLOOKUP(F896,Driver!A:C,3,false),"")</f>
        <v>d0ce770b76499f17c658</v>
      </c>
      <c r="I896" s="9">
        <v>0.25</v>
      </c>
      <c r="J896" s="9">
        <v>0.6458333333333334</v>
      </c>
      <c r="K896" s="5" t="s">
        <v>331</v>
      </c>
    </row>
    <row r="897" hidden="1">
      <c r="A897" s="5" t="str">
        <f>IFNA(VLOOKUP(D897,'Location Table'!A:C,2,false),"")</f>
        <v>da75a96c-5cf6-11ef-b8c6-506b8d9879b5</v>
      </c>
      <c r="B897" s="5" t="str">
        <f>IFNA(VLOOKUP(F897,Driver!A:C,2,false),"")</f>
        <v>aa436cae-e9f3-11ef-bd94-506b8d9879b5</v>
      </c>
      <c r="C897" s="5" t="str">
        <f>IFNA(VLOOKUP(E897,'Location Table'!A:C,2,false),"")</f>
        <v/>
      </c>
      <c r="D897" s="6" t="s">
        <v>769</v>
      </c>
      <c r="E897" s="6"/>
      <c r="F897" s="6" t="s">
        <v>452</v>
      </c>
      <c r="G897" s="7" t="str">
        <f>IFNA(VLOOKUP(F897,Driver!A:D,4,false),"")</f>
        <v>1980698793628880414:XXMGIAegigeHesHcPUQpIcnMCwhigvPUATFrPyRHiqIZqTwmvWiXbUzfDhivxPcl</v>
      </c>
      <c r="H897" s="8" t="str">
        <f>IFNA(VLOOKUP(F897,Driver!A:C,3,false),"")</f>
        <v>f07b253084796d273468</v>
      </c>
      <c r="I897" s="9">
        <v>0.2916666666666667</v>
      </c>
      <c r="J897" s="9">
        <v>0.5</v>
      </c>
      <c r="K897" s="9"/>
    </row>
    <row r="898" hidden="1">
      <c r="A898" s="5" t="str">
        <f>IFNA(VLOOKUP(D898,'Location Table'!A:C,2,false),"")</f>
        <v>3360c04c-8f79-11f0-a33c-506b8d982279</v>
      </c>
      <c r="B898" s="5" t="str">
        <f>IFNA(VLOOKUP(F898,Driver!A:C,2,false),"")</f>
        <v>aa436cae-e9f3-11ef-bd94-506b8d9879b5</v>
      </c>
      <c r="C898" s="5" t="str">
        <f>IFNA(VLOOKUP(E898,'Location Table'!A:C,2,false),"")</f>
        <v/>
      </c>
      <c r="D898" s="6" t="s">
        <v>770</v>
      </c>
      <c r="E898" s="6"/>
      <c r="F898" s="6" t="s">
        <v>452</v>
      </c>
      <c r="G898" s="7" t="str">
        <f>IFNA(VLOOKUP(F898,Driver!A:D,4,false),"")</f>
        <v>1980698793628880414:XXMGIAegigeHesHcPUQpIcnMCwhigvPUATFrPyRHiqIZqTwmvWiXbUzfDhivxPcl</v>
      </c>
      <c r="H898" s="8" t="str">
        <f>IFNA(VLOOKUP(F898,Driver!A:C,3,false),"")</f>
        <v>f07b253084796d273468</v>
      </c>
      <c r="I898" s="9">
        <v>0.2916666666666667</v>
      </c>
      <c r="J898" s="9">
        <v>0.5</v>
      </c>
      <c r="K898" s="9"/>
    </row>
    <row r="899" hidden="1">
      <c r="A899" s="5" t="str">
        <f>IFNA(VLOOKUP(D899,'Location Table'!A:C,2,false),"")</f>
        <v>7939705c-900e-11ef-a057-506b8d9879b5</v>
      </c>
      <c r="B899" s="5" t="str">
        <f>IFNA(VLOOKUP(F899,Driver!A:C,2,false),"")</f>
        <v>a5947f58-7342-11f0-a217-506b8d982279</v>
      </c>
      <c r="C899" s="5" t="str">
        <f>IFNA(VLOOKUP(E899,'Location Table'!A:C,2,false),"")</f>
        <v/>
      </c>
      <c r="D899" s="6" t="s">
        <v>771</v>
      </c>
      <c r="E899" s="6"/>
      <c r="F899" s="6" t="s">
        <v>454</v>
      </c>
      <c r="G899" s="7" t="str">
        <f>IFNA(VLOOKUP(F899,Driver!A:D,4,false),"")</f>
        <v>1980698793628880414:XXMGIAegigeHesHcPUQpIcnMCwhigvPUATFrPyRHiqIZqTwmvWiXbUzfDhivxPcl</v>
      </c>
      <c r="H899" s="8" t="str">
        <f>IFNA(VLOOKUP(F899,Driver!A:C,3,false),"")</f>
        <v>92652419354ddc13855c</v>
      </c>
      <c r="I899" s="9">
        <v>0.2916666666666667</v>
      </c>
      <c r="J899" s="9">
        <v>0.5833333333333334</v>
      </c>
      <c r="K899" s="9"/>
    </row>
    <row r="900" hidden="1">
      <c r="A900" s="5" t="str">
        <f>IFNA(VLOOKUP(D900,'Location Table'!A:C,2,false),"")</f>
        <v>1a0d1c1a-f535-11ee-be48-506b8d9879b5</v>
      </c>
      <c r="B900" s="5" t="str">
        <f>IFNA(VLOOKUP(F900,Driver!A:C,2,false),"")</f>
        <v>9ba6de4c-37d0-11ed-90bb-506b8dbc8dfb</v>
      </c>
      <c r="C900" s="5" t="str">
        <f>IFNA(VLOOKUP(E900,'Location Table'!A:C,2,false),"")</f>
        <v/>
      </c>
      <c r="D900" s="6" t="s">
        <v>772</v>
      </c>
      <c r="E900" s="6"/>
      <c r="F900" s="6" t="s">
        <v>330</v>
      </c>
      <c r="G900" s="7" t="str">
        <f>IFNA(VLOOKUP(F900,Driver!A:D,4,false),"")</f>
        <v>1980698793628880414:XXMGIAegigeHesHcPUQpIcnMCwhigvPUATFrPyRHiqIZqTwmvWiXbUzfDhivxPcl</v>
      </c>
      <c r="H900" s="8" t="str">
        <f>IFNA(VLOOKUP(F900,Driver!A:C,3,false),"")</f>
        <v>d0ce770b76499f17c658</v>
      </c>
      <c r="I900" s="9">
        <v>0.25</v>
      </c>
      <c r="J900" s="9">
        <v>0.6458333333333334</v>
      </c>
      <c r="K900" s="5" t="s">
        <v>331</v>
      </c>
    </row>
    <row r="901" hidden="1">
      <c r="A901" s="5" t="str">
        <f>IFNA(VLOOKUP(D901,'Location Table'!A:C,2,false),"")</f>
        <v>e2124b02-2cec-11ee-b541-506b8d9879b5</v>
      </c>
      <c r="B901" s="5" t="str">
        <f>IFNA(VLOOKUP(F901,Driver!A:C,2,false),"")</f>
        <v>a9bf91b4-00e4-11f1-9378-fa163ee8d8ac</v>
      </c>
      <c r="C901" s="5" t="str">
        <f>IFNA(VLOOKUP(E901,'Location Table'!A:C,2,false),"")</f>
        <v/>
      </c>
      <c r="D901" s="6" t="s">
        <v>773</v>
      </c>
      <c r="E901" s="6"/>
      <c r="F901" s="6" t="s">
        <v>142</v>
      </c>
      <c r="G901" s="7" t="str">
        <f>IFNA(VLOOKUP(F901,Driver!A:D,4,false),"")</f>
        <v/>
      </c>
      <c r="H901" s="8" t="str">
        <f>IFNA(VLOOKUP(F901,Driver!A:C,3,false),"")</f>
        <v/>
      </c>
      <c r="I901" s="9">
        <v>0.2916666666666667</v>
      </c>
      <c r="J901" s="9">
        <v>0.5</v>
      </c>
      <c r="K901" s="9"/>
    </row>
    <row r="902" hidden="1">
      <c r="A902" s="5" t="str">
        <f>IFNA(VLOOKUP(D902,'Location Table'!A:C,2,false),"")</f>
        <v>5686c49a-8ada-11ee-bde1-506b8d9879b5</v>
      </c>
      <c r="B902" s="5" t="str">
        <f>IFNA(VLOOKUP(F902,Driver!A:C,2,false),"")</f>
        <v>a72dc14a-3654-11ed-bef3-506b8dbc8dfb</v>
      </c>
      <c r="C902" s="5" t="str">
        <f>IFNA(VLOOKUP(E902,'Location Table'!A:C,2,false),"")</f>
        <v/>
      </c>
      <c r="D902" s="6" t="s">
        <v>774</v>
      </c>
      <c r="E902" s="6"/>
      <c r="F902" s="6" t="s">
        <v>246</v>
      </c>
      <c r="G902" s="7" t="str">
        <f>IFNA(VLOOKUP(F902,Driver!A:D,4,false),"")</f>
        <v>1980698793628880414:XXMGIAegigeHesHcPUQpIcnMCwhigvPUATFrPyRHiqIZqTwmvWiXbUzfDhivxPcl</v>
      </c>
      <c r="H902" s="8" t="str">
        <f>IFNA(VLOOKUP(F902,Driver!A:C,3,false),"")</f>
        <v>88199dcfa88541db1894</v>
      </c>
      <c r="I902" s="9">
        <v>0.25</v>
      </c>
      <c r="J902" s="9">
        <v>0.4583333333333333</v>
      </c>
      <c r="K902" s="9"/>
    </row>
    <row r="903" hidden="1">
      <c r="A903" s="5" t="str">
        <f>IFNA(VLOOKUP(D903,'Location Table'!A:C,2,false),"")</f>
        <v>a4c531b8-daf2-11f0-b991-506b8d982279</v>
      </c>
      <c r="B903" s="5" t="str">
        <f>IFNA(VLOOKUP(F903,Driver!A:C,2,false),"")</f>
        <v>a2f538f8-37ce-11ed-a5cf-506b8dbc8dfb</v>
      </c>
      <c r="C903" s="5" t="str">
        <f>IFNA(VLOOKUP(E903,'Location Table'!A:C,2,false),"")</f>
        <v/>
      </c>
      <c r="D903" s="6" t="s">
        <v>775</v>
      </c>
      <c r="E903" s="6"/>
      <c r="F903" s="6" t="s">
        <v>338</v>
      </c>
      <c r="G903" s="7" t="str">
        <f>IFNA(VLOOKUP(F903,Driver!A:D,4,false),"")</f>
        <v>2160130926882687325:VSRHFZoYrhhtnecmAaOfmgvaKlfxBZEgxFxSbLPTAhfVwurTuJfQgOTrwyseeqJQ</v>
      </c>
      <c r="H903" s="8" t="str">
        <f>IFNA(VLOOKUP(F903,Driver!A:C,3,false),"")</f>
        <v>c0d10f02724a9b14c25b</v>
      </c>
      <c r="I903" s="9">
        <v>0.2916666666666667</v>
      </c>
      <c r="J903" s="9">
        <v>0.6666666666666666</v>
      </c>
      <c r="K903" s="9"/>
    </row>
    <row r="904" hidden="1">
      <c r="A904" s="5" t="str">
        <f>IFNA(VLOOKUP(D904,'Location Table'!A:C,2,false),"")</f>
        <v>646f83e2-0a9e-11ee-b30e-506b8dbc8dfb</v>
      </c>
      <c r="B904" s="5" t="str">
        <f>IFNA(VLOOKUP(F904,Driver!A:C,2,false),"")</f>
        <v>1163ad80-d96e-11f0-b637-506b8d982279</v>
      </c>
      <c r="C904" s="5" t="str">
        <f>IFNA(VLOOKUP(E904,'Location Table'!A:C,2,false),"")</f>
        <v/>
      </c>
      <c r="D904" s="6" t="s">
        <v>776</v>
      </c>
      <c r="E904" s="6"/>
      <c r="F904" s="6" t="s">
        <v>498</v>
      </c>
      <c r="G904" s="7" t="str">
        <f>IFNA(VLOOKUP(F904,Driver!A:D,4,false),"")</f>
        <v>2160130926882687325:VSRHFZoYrhhtnecmAaOfmgvaKlfxBZEgxFxSbLPTAhfVwurTuJfQgOTrwyseeqJQ</v>
      </c>
      <c r="H904" s="8" t="str">
        <f>IFNA(VLOOKUP(F904,Driver!A:C,3,false),"")</f>
        <v>76599ccdde8e37d06e9f</v>
      </c>
      <c r="I904" s="9">
        <v>0.2916666666666667</v>
      </c>
      <c r="J904" s="9">
        <v>0.75</v>
      </c>
      <c r="K904" s="9"/>
    </row>
    <row r="905" hidden="1">
      <c r="A905" s="5" t="str">
        <f>IFNA(VLOOKUP(D905,'Location Table'!A:C,2,false),"")</f>
        <v>b0151ce0-49ff-11ed-b1f4-506b8dbc8dfb</v>
      </c>
      <c r="B905" s="5" t="str">
        <f>IFNA(VLOOKUP(F905,Driver!A:C,2,false),"")</f>
        <v>a9bf91b4-00e4-11f1-9378-fa163ee8d8ac</v>
      </c>
      <c r="C905" s="5" t="str">
        <f>IFNA(VLOOKUP(E905,'Location Table'!A:C,2,false),"")</f>
        <v/>
      </c>
      <c r="D905" s="6" t="s">
        <v>777</v>
      </c>
      <c r="E905" s="6"/>
      <c r="F905" s="6" t="s">
        <v>142</v>
      </c>
      <c r="G905" s="7" t="str">
        <f>IFNA(VLOOKUP(F905,Driver!A:D,4,false),"")</f>
        <v/>
      </c>
      <c r="H905" s="8" t="str">
        <f>IFNA(VLOOKUP(F905,Driver!A:C,3,false),"")</f>
        <v/>
      </c>
      <c r="I905" s="9">
        <v>0.2916666666666667</v>
      </c>
      <c r="J905" s="9">
        <v>0.5</v>
      </c>
      <c r="K905" s="9"/>
    </row>
    <row r="906" hidden="1">
      <c r="A906" s="5" t="str">
        <f>IFNA(VLOOKUP(D906,'Location Table'!A:C,2,false),"")</f>
        <v>70b138ba-b224-11ef-9689-506b8d9879b5</v>
      </c>
      <c r="B906" s="5" t="str">
        <f>IFNA(VLOOKUP(F906,Driver!A:C,2,false),"")</f>
        <v>a2f538f8-37ce-11ed-a5cf-506b8dbc8dfb</v>
      </c>
      <c r="C906" s="5" t="str">
        <f>IFNA(VLOOKUP(E906,'Location Table'!A:C,2,false),"")</f>
        <v/>
      </c>
      <c r="D906" s="6" t="s">
        <v>778</v>
      </c>
      <c r="E906" s="6"/>
      <c r="F906" s="6" t="s">
        <v>338</v>
      </c>
      <c r="G906" s="7" t="str">
        <f>IFNA(VLOOKUP(F906,Driver!A:D,4,false),"")</f>
        <v>2160130926882687325:VSRHFZoYrhhtnecmAaOfmgvaKlfxBZEgxFxSbLPTAhfVwurTuJfQgOTrwyseeqJQ</v>
      </c>
      <c r="H906" s="8" t="str">
        <f>IFNA(VLOOKUP(F906,Driver!A:C,3,false),"")</f>
        <v>c0d10f02724a9b14c25b</v>
      </c>
      <c r="I906" s="9">
        <v>0.2916666666666667</v>
      </c>
      <c r="J906" s="9">
        <v>0.6666666666666666</v>
      </c>
      <c r="K906" s="9"/>
    </row>
    <row r="907" hidden="1">
      <c r="A907" s="5" t="str">
        <f>IFNA(VLOOKUP(D907,'Location Table'!A:C,2,false),"")</f>
        <v>863fb28a-fec3-11ed-a6fe-506b8dbc8dfb</v>
      </c>
      <c r="B907" s="5" t="str">
        <f>IFNA(VLOOKUP(F907,Driver!A:C,2,false),"")</f>
        <v>41ea8512-2e70-11f1-9378-fa163ee8d8ac</v>
      </c>
      <c r="C907" s="5" t="str">
        <f>IFNA(VLOOKUP(E907,'Location Table'!A:C,2,false),"")</f>
        <v/>
      </c>
      <c r="D907" s="6" t="s">
        <v>779</v>
      </c>
      <c r="E907" s="6"/>
      <c r="F907" s="10" t="s">
        <v>35</v>
      </c>
      <c r="G907" s="7" t="str">
        <f>IFNA(VLOOKUP(F907,Driver!A:D,4,false),"")</f>
        <v/>
      </c>
      <c r="H907" s="8" t="str">
        <f>IFNA(VLOOKUP(F907,Driver!A:C,3,false),"")</f>
        <v/>
      </c>
      <c r="I907" s="9">
        <v>0.2916666666666667</v>
      </c>
      <c r="J907" s="9">
        <v>0.75</v>
      </c>
      <c r="K907" s="9"/>
    </row>
    <row r="908" hidden="1">
      <c r="A908" s="5" t="str">
        <f>IFNA(VLOOKUP(D908,'Location Table'!A:C,2,false),"")</f>
        <v>c10e75c2-446f-11ed-9108-506b8dbc8dfb</v>
      </c>
      <c r="B908" s="5" t="str">
        <f>IFNA(VLOOKUP(F908,Driver!A:C,2,false),"")</f>
        <v>a4e52324-215e-11ee-afc5-506b8d9879b5</v>
      </c>
      <c r="C908" s="5" t="str">
        <f>IFNA(VLOOKUP(E908,'Location Table'!A:C,2,false),"")</f>
        <v/>
      </c>
      <c r="D908" s="6" t="s">
        <v>780</v>
      </c>
      <c r="E908" s="6"/>
      <c r="F908" s="10" t="s">
        <v>228</v>
      </c>
      <c r="G908" s="7" t="str">
        <f>IFNA(VLOOKUP(F908,Driver!A:D,4,false),"")</f>
        <v>1980698793628880414:XXMGIAegigeHesHcPUQpIcnMCwhigvPUATFrPyRHiqIZqTwmvWiXbUzfDhivxPcl</v>
      </c>
      <c r="H908" s="8" t="str">
        <f>IFNA(VLOOKUP(F908,Driver!A:C,3,false),"")</f>
        <v>948d059b10d2f98ca0c3</v>
      </c>
      <c r="I908" s="9">
        <v>0.2916666666666667</v>
      </c>
      <c r="J908" s="9">
        <v>0.6666666666666666</v>
      </c>
      <c r="K908" s="9"/>
    </row>
    <row r="909" hidden="1">
      <c r="A909" s="5" t="str">
        <f>IFNA(VLOOKUP(D909,'Location Table'!A:C,2,false),"")</f>
        <v>0bd708d6-cd9c-11f0-b888-506b8d982279</v>
      </c>
      <c r="B909" s="5" t="str">
        <f>IFNA(VLOOKUP(F909,Driver!A:C,2,false),"")</f>
        <v>41ea8512-2e70-11f1-9378-fa163ee8d8ac</v>
      </c>
      <c r="C909" s="5" t="str">
        <f>IFNA(VLOOKUP(E909,'Location Table'!A:C,2,false),"")</f>
        <v/>
      </c>
      <c r="D909" s="6" t="s">
        <v>781</v>
      </c>
      <c r="E909" s="6"/>
      <c r="F909" s="10" t="s">
        <v>35</v>
      </c>
      <c r="G909" s="7" t="str">
        <f>IFNA(VLOOKUP(F909,Driver!A:D,4,false),"")</f>
        <v/>
      </c>
      <c r="H909" s="8" t="str">
        <f>IFNA(VLOOKUP(F909,Driver!A:C,3,false),"")</f>
        <v/>
      </c>
      <c r="I909" s="9">
        <v>0.2916666666666667</v>
      </c>
      <c r="J909" s="9">
        <v>0.75</v>
      </c>
      <c r="K909" s="9"/>
    </row>
    <row r="910" hidden="1">
      <c r="A910" s="5" t="str">
        <f>IFNA(VLOOKUP(D910,'Location Table'!A:C,2,false),"")</f>
        <v>b4430112-b887-11ef-a0ce-506b8d9879b5</v>
      </c>
      <c r="B910" s="5" t="str">
        <f>IFNA(VLOOKUP(F910,Driver!A:C,2,false),"")</f>
        <v>f5993946-37cf-11ed-a3fc-506b8dbc8dfb</v>
      </c>
      <c r="C910" s="5" t="str">
        <f>IFNA(VLOOKUP(E910,'Location Table'!A:C,2,false),"")</f>
        <v/>
      </c>
      <c r="D910" s="6" t="s">
        <v>782</v>
      </c>
      <c r="E910" s="6"/>
      <c r="F910" s="6" t="s">
        <v>314</v>
      </c>
      <c r="G910" s="7" t="str">
        <f>IFNA(VLOOKUP(F910,Driver!A:D,4,false),"")</f>
        <v/>
      </c>
      <c r="H910" s="8" t="str">
        <f>IFNA(VLOOKUP(F910,Driver!A:C,3,false),"")</f>
        <v/>
      </c>
      <c r="I910" s="9">
        <v>0.2916666666666667</v>
      </c>
      <c r="J910" s="9">
        <v>0.6666666666666666</v>
      </c>
      <c r="K910" s="9"/>
    </row>
    <row r="911" hidden="1">
      <c r="A911" s="5" t="str">
        <f>IFNA(VLOOKUP(D911,'Location Table'!A:C,2,false),"")</f>
        <v>28e7eef2-a58a-11f0-8e49-506b8d982279</v>
      </c>
      <c r="B911" s="5" t="str">
        <f>IFNA(VLOOKUP(F911,Driver!A:C,2,false),"")</f>
        <v>a9bf91b4-00e4-11f1-9378-fa163ee8d8ac</v>
      </c>
      <c r="C911" s="5" t="str">
        <f>IFNA(VLOOKUP(E911,'Location Table'!A:C,2,false),"")</f>
        <v/>
      </c>
      <c r="D911" s="6" t="s">
        <v>783</v>
      </c>
      <c r="E911" s="6"/>
      <c r="F911" s="6" t="s">
        <v>142</v>
      </c>
      <c r="G911" s="7" t="str">
        <f>IFNA(VLOOKUP(F911,Driver!A:D,4,false),"")</f>
        <v/>
      </c>
      <c r="H911" s="8" t="str">
        <f>IFNA(VLOOKUP(F911,Driver!A:C,3,false),"")</f>
        <v/>
      </c>
      <c r="I911" s="9">
        <v>0.2916666666666667</v>
      </c>
      <c r="J911" s="9">
        <v>0.5</v>
      </c>
      <c r="K911" s="9"/>
    </row>
    <row r="912" hidden="1">
      <c r="A912" s="5" t="str">
        <f>IFNA(VLOOKUP(D912,'Location Table'!A:C,2,false),"")</f>
        <v>d0004080-2ac6-11ef-af6a-506b8d9879b5</v>
      </c>
      <c r="B912" s="5" t="str">
        <f>IFNA(VLOOKUP(F912,Driver!A:C,2,false),"")</f>
        <v>ce2e0bd2-35a6-11ed-9c4e-506b8dbc8dfb</v>
      </c>
      <c r="C912" s="5" t="str">
        <f>IFNA(VLOOKUP(E912,'Location Table'!A:C,2,false),"")</f>
        <v>b959ed68-446d-11ed-b04f-506b8dbc8dfb</v>
      </c>
      <c r="D912" s="6" t="s">
        <v>784</v>
      </c>
      <c r="E912" s="10" t="s">
        <v>660</v>
      </c>
      <c r="F912" s="6" t="s">
        <v>661</v>
      </c>
      <c r="G912" s="7" t="str">
        <f>IFNA(VLOOKUP(F912,Driver!A:D,4,false),"")</f>
        <v/>
      </c>
      <c r="H912" s="8" t="str">
        <f>IFNA(VLOOKUP(F912,Driver!A:C,3,false),"")</f>
        <v/>
      </c>
      <c r="I912" s="9">
        <v>0.2916666666666667</v>
      </c>
      <c r="J912" s="9">
        <v>0.75</v>
      </c>
      <c r="K912" s="9"/>
    </row>
    <row r="913" hidden="1">
      <c r="A913" s="5" t="str">
        <f>IFNA(VLOOKUP(D913,'Location Table'!A:C,2,false),"")</f>
        <v>4a119952-f276-11ee-90a2-506b8d9879b5</v>
      </c>
      <c r="B913" s="5" t="str">
        <f>IFNA(VLOOKUP(F913,Driver!A:C,2,false),"")</f>
        <v>c1149922-ecea-11ef-a670-506b8d9879b5</v>
      </c>
      <c r="C913" s="5" t="str">
        <f>IFNA(VLOOKUP(E913,'Location Table'!A:C,2,false),"")</f>
        <v/>
      </c>
      <c r="D913" s="6" t="s">
        <v>785</v>
      </c>
      <c r="E913" s="6"/>
      <c r="F913" s="6" t="s">
        <v>509</v>
      </c>
      <c r="G913" s="7" t="str">
        <f>IFNA(VLOOKUP(F913,Driver!A:D,4,false),"")</f>
        <v/>
      </c>
      <c r="H913" s="8" t="str">
        <f>IFNA(VLOOKUP(F913,Driver!A:C,3,false),"")</f>
        <v/>
      </c>
      <c r="I913" s="9">
        <v>0.2916666666666667</v>
      </c>
      <c r="J913" s="9">
        <v>0.6666666666666666</v>
      </c>
      <c r="K913" s="9"/>
    </row>
    <row r="914" hidden="1">
      <c r="A914" s="5" t="str">
        <f>IFNA(VLOOKUP(D914,'Location Table'!A:C,2,false),"")</f>
        <v>2b2dc0f6-c06a-11f0-950c-506b8d982279</v>
      </c>
      <c r="B914" s="5" t="str">
        <f>IFNA(VLOOKUP(F914,Driver!A:C,2,false),"")</f>
        <v>7898dd6c-816d-11f0-9f34-506b8d982279</v>
      </c>
      <c r="C914" s="5" t="str">
        <f>IFNA(VLOOKUP(E914,'Location Table'!A:C,2,false),"")</f>
        <v/>
      </c>
      <c r="D914" s="6" t="s">
        <v>61</v>
      </c>
      <c r="E914" s="6"/>
      <c r="F914" s="6" t="s">
        <v>15</v>
      </c>
      <c r="G914" s="7" t="str">
        <f>IFNA(VLOOKUP(F914,Driver!A:D,4,false),"")</f>
        <v>1980698793628880414:XXMGIAegigeHesHcPUQpIcnMCwhigvPUATFrPyRHiqIZqTwmvWiXbUzfDhivxPcl</v>
      </c>
      <c r="H914" s="8" t="str">
        <f>IFNA(VLOOKUP(F914,Driver!A:C,3,false),"")</f>
        <v>011b70c8f4801dde4491</v>
      </c>
      <c r="I914" s="9">
        <v>0.2916666666666667</v>
      </c>
      <c r="J914" s="9">
        <v>0.6875</v>
      </c>
      <c r="K914" s="9"/>
    </row>
    <row r="915" hidden="1">
      <c r="A915" s="5" t="str">
        <f>IFNA(VLOOKUP(D915,'Location Table'!A:C,2,false),"")</f>
        <v>efcbdd7e-ede0-11ef-951f-506b8d9879b5</v>
      </c>
      <c r="B915" s="5" t="str">
        <f>IFNA(VLOOKUP(F915,Driver!A:C,2,false),"")</f>
        <v>9e9376b6-37c5-11ed-a1d5-506b8dbc8dfb</v>
      </c>
      <c r="C915" s="5" t="str">
        <f>IFNA(VLOOKUP(E915,'Location Table'!A:C,2,false),"")</f>
        <v/>
      </c>
      <c r="D915" s="6" t="s">
        <v>786</v>
      </c>
      <c r="E915" s="6"/>
      <c r="F915" s="6" t="s">
        <v>350</v>
      </c>
      <c r="G915" s="7" t="str">
        <f>IFNA(VLOOKUP(F915,Driver!A:D,4,false),"")</f>
        <v>2160130926882687325:VSRHFZoYrhhtnecmAaOfmgvaKlfxBZEgxFxSbLPTAhfVwurTuJfQgOTrwyseeqJQ</v>
      </c>
      <c r="H915" s="8" t="str">
        <f>IFNA(VLOOKUP(F915,Driver!A:C,3,false),"")</f>
        <v>26f3924da71c4e42170d</v>
      </c>
      <c r="I915" s="9">
        <v>0.2916666666666667</v>
      </c>
      <c r="J915" s="9">
        <v>0.75</v>
      </c>
      <c r="K915" s="9"/>
    </row>
    <row r="916" hidden="1">
      <c r="A916" s="5" t="str">
        <f>IFNA(VLOOKUP(D916,'Location Table'!A:C,2,false),"")</f>
        <v>a9d40ba4-e257-11f0-adbb-506b8d982279</v>
      </c>
      <c r="B916" s="5" t="str">
        <f>IFNA(VLOOKUP(F916,Driver!A:C,2,false),"")</f>
        <v>1d4786cc-12f7-11f1-9378-fa163ee8d8ac</v>
      </c>
      <c r="C916" s="5" t="str">
        <f>IFNA(VLOOKUP(E916,'Location Table'!A:C,2,false),"")</f>
        <v/>
      </c>
      <c r="D916" s="6" t="s">
        <v>787</v>
      </c>
      <c r="E916" s="6"/>
      <c r="F916" s="6" t="s">
        <v>343</v>
      </c>
      <c r="G916" s="7" t="str">
        <f>IFNA(VLOOKUP(F916,Driver!A:D,4,false),"")</f>
        <v>1980698793628880414:XXMGIAegigeHesHcPUQpIcnMCwhigvPUATFrPyRHiqIZqTwmvWiXbUzfDhivxPcl</v>
      </c>
      <c r="H916" s="8" t="str">
        <f>IFNA(VLOOKUP(F916,Driver!A:C,3,false),"")</f>
        <v>85d2de46a91b4045190a</v>
      </c>
      <c r="I916" s="9">
        <v>0.2916666666666667</v>
      </c>
      <c r="J916" s="9">
        <v>0.75</v>
      </c>
      <c r="K916" s="9"/>
    </row>
    <row r="917" hidden="1">
      <c r="A917" s="5" t="str">
        <f>IFNA(VLOOKUP(D917,'Location Table'!A:C,2,false),"")</f>
        <v>197d8912-f531-11f0-9378-fa163ee8d8ac</v>
      </c>
      <c r="B917" s="5" t="str">
        <f>IFNA(VLOOKUP(F917,Driver!A:C,2,false),"")</f>
        <v>f5993946-37cf-11ed-a3fc-506b8dbc8dfb</v>
      </c>
      <c r="C917" s="5" t="str">
        <f>IFNA(VLOOKUP(E917,'Location Table'!A:C,2,false),"")</f>
        <v>9a15e7a4-3d83-11ed-be4e-506b8dbc8dfb</v>
      </c>
      <c r="D917" s="6" t="s">
        <v>788</v>
      </c>
      <c r="E917" s="10" t="s">
        <v>789</v>
      </c>
      <c r="F917" s="6" t="s">
        <v>314</v>
      </c>
      <c r="G917" s="7" t="str">
        <f>IFNA(VLOOKUP(F917,Driver!A:D,4,false),"")</f>
        <v/>
      </c>
      <c r="H917" s="8" t="str">
        <f>IFNA(VLOOKUP(F917,Driver!A:C,3,false),"")</f>
        <v/>
      </c>
      <c r="I917" s="9">
        <v>0.2916666666666667</v>
      </c>
      <c r="J917" s="9">
        <v>0.75</v>
      </c>
      <c r="K917" s="9"/>
    </row>
    <row r="918" hidden="1">
      <c r="A918" s="5" t="str">
        <f>IFNA(VLOOKUP(D918,'Location Table'!A:C,2,false),"")</f>
        <v>f15947f2-aef2-11f0-8b18-506b8d982279</v>
      </c>
      <c r="B918" s="5" t="str">
        <f>IFNA(VLOOKUP(F918,Driver!A:C,2,false),"")</f>
        <v>41ea8512-2e70-11f1-9378-fa163ee8d8ac</v>
      </c>
      <c r="C918" s="5" t="str">
        <f>IFNA(VLOOKUP(E918,'Location Table'!A:C,2,false),"")</f>
        <v/>
      </c>
      <c r="D918" s="6" t="s">
        <v>790</v>
      </c>
      <c r="E918" s="6"/>
      <c r="F918" s="10" t="s">
        <v>35</v>
      </c>
      <c r="G918" s="7" t="str">
        <f>IFNA(VLOOKUP(F918,Driver!A:D,4,false),"")</f>
        <v/>
      </c>
      <c r="H918" s="8" t="str">
        <f>IFNA(VLOOKUP(F918,Driver!A:C,3,false),"")</f>
        <v/>
      </c>
      <c r="I918" s="9">
        <v>0.2916666666666667</v>
      </c>
      <c r="J918" s="9">
        <v>0.75</v>
      </c>
      <c r="K918" s="9"/>
    </row>
    <row r="919" hidden="1">
      <c r="A919" s="5" t="str">
        <f>IFNA(VLOOKUP(D919,'Location Table'!A:C,2,false),"")</f>
        <v>719b368a-0ec9-11ef-9928-506b8d9879b5</v>
      </c>
      <c r="B919" s="5" t="str">
        <f>IFNA(VLOOKUP(F919,Driver!A:C,2,false),"")</f>
        <v>f5993946-37cf-11ed-a3fc-506b8dbc8dfb</v>
      </c>
      <c r="C919" s="5" t="str">
        <f>IFNA(VLOOKUP(E919,'Location Table'!A:C,2,false),"")</f>
        <v/>
      </c>
      <c r="D919" s="6" t="s">
        <v>791</v>
      </c>
      <c r="E919" s="6"/>
      <c r="F919" s="6" t="s">
        <v>314</v>
      </c>
      <c r="G919" s="7" t="str">
        <f>IFNA(VLOOKUP(F919,Driver!A:D,4,false),"")</f>
        <v/>
      </c>
      <c r="H919" s="8" t="str">
        <f>IFNA(VLOOKUP(F919,Driver!A:C,3,false),"")</f>
        <v/>
      </c>
      <c r="I919" s="9">
        <v>0.2916666666666667</v>
      </c>
      <c r="J919" s="9">
        <v>0.6666666666666666</v>
      </c>
      <c r="K919" s="9"/>
    </row>
    <row r="920" hidden="1">
      <c r="A920" s="5" t="str">
        <f>IFNA(VLOOKUP(D920,'Location Table'!A:C,2,false),"")</f>
        <v>44c2b344-df9d-11f0-988f-506b8d982279</v>
      </c>
      <c r="B920" s="5" t="str">
        <f>IFNA(VLOOKUP(F920,Driver!A:C,2,false),"")</f>
        <v>a72dc14a-3654-11ed-bef3-506b8dbc8dfb</v>
      </c>
      <c r="C920" s="5" t="str">
        <f>IFNA(VLOOKUP(E920,'Location Table'!A:C,2,false),"")</f>
        <v/>
      </c>
      <c r="D920" s="6" t="s">
        <v>792</v>
      </c>
      <c r="E920" s="6"/>
      <c r="F920" s="6" t="s">
        <v>246</v>
      </c>
      <c r="G920" s="7" t="str">
        <f>IFNA(VLOOKUP(F920,Driver!A:D,4,false),"")</f>
        <v>1980698793628880414:XXMGIAegigeHesHcPUQpIcnMCwhigvPUATFrPyRHiqIZqTwmvWiXbUzfDhivxPcl</v>
      </c>
      <c r="H920" s="8" t="str">
        <f>IFNA(VLOOKUP(F920,Driver!A:C,3,false),"")</f>
        <v>88199dcfa88541db1894</v>
      </c>
      <c r="I920" s="9">
        <v>0.25</v>
      </c>
      <c r="J920" s="9">
        <v>0.4583333333333333</v>
      </c>
      <c r="K920" s="9"/>
    </row>
    <row r="921" hidden="1">
      <c r="A921" s="5" t="str">
        <f>IFNA(VLOOKUP(D921,'Location Table'!A:C,2,false),"")</f>
        <v>4ade2dbe-47ea-11ee-aa84-506b8d9879b5</v>
      </c>
      <c r="B921" s="5" t="str">
        <f>IFNA(VLOOKUP(F921,Driver!A:C,2,false),"")</f>
        <v>f5993946-37cf-11ed-a3fc-506b8dbc8dfb</v>
      </c>
      <c r="C921" s="5" t="str">
        <f>IFNA(VLOOKUP(E921,'Location Table'!A:C,2,false),"")</f>
        <v/>
      </c>
      <c r="D921" s="6" t="s">
        <v>793</v>
      </c>
      <c r="E921" s="6"/>
      <c r="F921" s="6" t="s">
        <v>314</v>
      </c>
      <c r="G921" s="7" t="str">
        <f>IFNA(VLOOKUP(F921,Driver!A:D,4,false),"")</f>
        <v/>
      </c>
      <c r="H921" s="8" t="str">
        <f>IFNA(VLOOKUP(F921,Driver!A:C,3,false),"")</f>
        <v/>
      </c>
      <c r="I921" s="9">
        <v>0.2916666666666667</v>
      </c>
      <c r="J921" s="9">
        <v>0.6666666666666666</v>
      </c>
      <c r="K921" s="9"/>
    </row>
    <row r="922" hidden="1">
      <c r="A922" s="5" t="str">
        <f>IFNA(VLOOKUP(D922,'Location Table'!A:C,2,false),"")</f>
        <v>c3c48080-ffad-11ef-9864-506b8d9879b5</v>
      </c>
      <c r="B922" s="5" t="str">
        <f>IFNA(VLOOKUP(F922,Driver!A:C,2,false),"")</f>
        <v>a72dc14a-3654-11ed-bef3-506b8dbc8dfb</v>
      </c>
      <c r="C922" s="5" t="str">
        <f>IFNA(VLOOKUP(E922,'Location Table'!A:C,2,false),"")</f>
        <v/>
      </c>
      <c r="D922" s="6" t="s">
        <v>794</v>
      </c>
      <c r="E922" s="6"/>
      <c r="F922" s="6" t="s">
        <v>246</v>
      </c>
      <c r="G922" s="7" t="str">
        <f>IFNA(VLOOKUP(F922,Driver!A:D,4,false),"")</f>
        <v>1980698793628880414:XXMGIAegigeHesHcPUQpIcnMCwhigvPUATFrPyRHiqIZqTwmvWiXbUzfDhivxPcl</v>
      </c>
      <c r="H922" s="8" t="str">
        <f>IFNA(VLOOKUP(F922,Driver!A:C,3,false),"")</f>
        <v>88199dcfa88541db1894</v>
      </c>
      <c r="I922" s="9">
        <v>0.25</v>
      </c>
      <c r="J922" s="9">
        <v>0.4583333333333333</v>
      </c>
      <c r="K922" s="9"/>
    </row>
    <row r="923" hidden="1">
      <c r="A923" s="5" t="str">
        <f>IFNA(VLOOKUP(D923,'Location Table'!A:C,2,false),"")</f>
        <v>5da41f4c-1f31-11f0-8bae-506b8d982279</v>
      </c>
      <c r="B923" s="5" t="str">
        <f>IFNA(VLOOKUP(F923,Driver!A:C,2,false),"")</f>
        <v>a51713c2-37c4-11ed-a4e6-506b8dbc8dfb</v>
      </c>
      <c r="C923" s="5" t="str">
        <f>IFNA(VLOOKUP(E923,'Location Table'!A:C,2,false),"")</f>
        <v/>
      </c>
      <c r="D923" s="6" t="s">
        <v>795</v>
      </c>
      <c r="E923" s="6"/>
      <c r="F923" s="6" t="s">
        <v>132</v>
      </c>
      <c r="G923" s="7" t="str">
        <f>IFNA(VLOOKUP(F923,Driver!A:D,4,false),"")</f>
        <v>1980698793628880414:XXMGIAegigeHesHcPUQpIcnMCwhigvPUATFrPyRHiqIZqTwmvWiXbUzfDhivxPcl</v>
      </c>
      <c r="H923" s="8" t="str">
        <f>IFNA(VLOOKUP(F923,Driver!A:C,3,false),"")</f>
        <v>e24e6f345362ba3ce373</v>
      </c>
      <c r="I923" s="9">
        <v>0.2916666666666667</v>
      </c>
      <c r="J923" s="9">
        <v>0.5</v>
      </c>
      <c r="K923" s="9"/>
    </row>
    <row r="924" hidden="1">
      <c r="A924" s="5" t="str">
        <f>IFNA(VLOOKUP(D924,'Location Table'!A:C,2,false),"")</f>
        <v>9b0992e6-7216-11ee-b54d-506b8d9879b5</v>
      </c>
      <c r="B924" s="5" t="str">
        <f>IFNA(VLOOKUP(F924,Driver!A:C,2,false),"")</f>
        <v>717fa61c-3654-11ed-b103-506b8dbc8dfb</v>
      </c>
      <c r="C924" s="5" t="str">
        <f>IFNA(VLOOKUP(E924,'Location Table'!A:C,2,false),"")</f>
        <v/>
      </c>
      <c r="D924" s="6" t="s">
        <v>796</v>
      </c>
      <c r="E924" s="6"/>
      <c r="F924" s="6" t="s">
        <v>361</v>
      </c>
      <c r="G924" s="7" t="str">
        <f>IFNA(VLOOKUP(F924,Driver!A:D,4,false),"")</f>
        <v>1980698793628880414:XXMGIAegigeHesHcPUQpIcnMCwhigvPUATFrPyRHiqIZqTwmvWiXbUzfDhivxPcl</v>
      </c>
      <c r="H924" s="8" t="str">
        <f>IFNA(VLOOKUP(F924,Driver!A:C,3,false),"")</f>
        <v>fbc73b7bb6385f660629</v>
      </c>
      <c r="I924" s="9">
        <v>0.23958333333333334</v>
      </c>
      <c r="J924" s="9">
        <v>0.6041666666666666</v>
      </c>
      <c r="K924" s="5" t="s">
        <v>362</v>
      </c>
    </row>
    <row r="925">
      <c r="A925" s="5" t="str">
        <f>IFNA(VLOOKUP(D925,'Location Table'!A:C,2,false),"")</f>
        <v>24b9b3d6-3d9d-11ed-b9a1-506b8dbc8dfb</v>
      </c>
      <c r="B925" s="5" t="str">
        <f>IFNA(VLOOKUP(F925,Driver!A:C,2,false),"")</f>
        <v>717fa61c-3654-11ed-b103-506b8dbc8dfb</v>
      </c>
      <c r="C925" s="5" t="str">
        <f>IFNA(VLOOKUP(E925,'Location Table'!A:C,2,false),"")</f>
        <v/>
      </c>
      <c r="D925" s="10" t="s">
        <v>797</v>
      </c>
      <c r="E925" s="6"/>
      <c r="F925" s="10" t="s">
        <v>361</v>
      </c>
      <c r="G925" s="7" t="str">
        <f>IFNA(VLOOKUP(F925,Driver!A:D,4,false),"")</f>
        <v>1980698793628880414:XXMGIAegigeHesHcPUQpIcnMCwhigvPUATFrPyRHiqIZqTwmvWiXbUzfDhivxPcl</v>
      </c>
      <c r="H925" s="8" t="str">
        <f>IFNA(VLOOKUP(F925,Driver!A:C,3,false),"")</f>
        <v>fbc73b7bb6385f660629</v>
      </c>
      <c r="I925" s="9">
        <v>0.23958333333333334</v>
      </c>
      <c r="J925" s="9">
        <v>0.2916666666666667</v>
      </c>
      <c r="K925" s="5"/>
    </row>
    <row r="926">
      <c r="A926" s="5" t="str">
        <f>IFNA(VLOOKUP(D926,'Location Table'!A:C,2,false),"")</f>
        <v>24b9b3d6-3d9d-11ed-b9a1-506b8dbc8dfb</v>
      </c>
      <c r="B926" s="5" t="str">
        <f>IFNA(VLOOKUP(F926,Driver!A:C,2,false),"")</f>
        <v>dff693c2-0371-11ee-90bc-506b8dbc8dfb</v>
      </c>
      <c r="C926" s="5" t="str">
        <f>IFNA(VLOOKUP(E926,'Location Table'!A:C,2,false),"")</f>
        <v/>
      </c>
      <c r="D926" s="10" t="s">
        <v>797</v>
      </c>
      <c r="E926" s="6"/>
      <c r="F926" s="10" t="s">
        <v>365</v>
      </c>
      <c r="G926" s="7" t="str">
        <f>IFNA(VLOOKUP(F926,Driver!A:D,4,false),"")</f>
        <v>2160130926882687325:VSRHFZoYrhhtnecmAaOfmgvaKlfxBZEgxFxSbLPTAhfVwurTuJfQgOTrwyseeqJQ</v>
      </c>
      <c r="H926" s="8" t="str">
        <f>IFNA(VLOOKUP(F926,Driver!A:C,3,false),"")</f>
        <v>402ca9dc1194f8caa185</v>
      </c>
      <c r="I926" s="9">
        <v>0.6041666666666666</v>
      </c>
      <c r="J926" s="9">
        <v>0.7916666666666666</v>
      </c>
      <c r="K926" s="5"/>
    </row>
    <row r="927">
      <c r="A927" s="5" t="str">
        <f>IFNA(VLOOKUP(D927,'Location Table'!A:C,2,false),"")</f>
        <v>24b9b3d6-3d9d-11ed-b9a1-506b8dbc8dfb</v>
      </c>
      <c r="B927" s="5" t="str">
        <f>IFNA(VLOOKUP(F927,Driver!A:C,2,false),"")</f>
        <v>717fa61c-3654-11ed-b103-506b8dbc8dfb</v>
      </c>
      <c r="C927" s="5" t="str">
        <f>IFNA(VLOOKUP(E927,'Location Table'!A:C,2,false),"")</f>
        <v/>
      </c>
      <c r="D927" s="10" t="s">
        <v>797</v>
      </c>
      <c r="E927" s="6"/>
      <c r="F927" s="10" t="s">
        <v>361</v>
      </c>
      <c r="G927" s="7" t="str">
        <f>IFNA(VLOOKUP(F927,Driver!A:D,4,false),"")</f>
        <v>1980698793628880414:XXMGIAegigeHesHcPUQpIcnMCwhigvPUATFrPyRHiqIZqTwmvWiXbUzfDhivxPcl</v>
      </c>
      <c r="H927" s="8" t="str">
        <f>IFNA(VLOOKUP(F927,Driver!A:C,3,false),"")</f>
        <v>fbc73b7bb6385f660629</v>
      </c>
      <c r="I927" s="9">
        <v>0.2916666666666667</v>
      </c>
      <c r="J927" s="9">
        <v>0.6041666666666666</v>
      </c>
      <c r="K927" s="5" t="s">
        <v>362</v>
      </c>
    </row>
    <row r="928" hidden="1">
      <c r="A928" s="5" t="str">
        <f>IFNA(VLOOKUP(D928,'Location Table'!A:C,2,false),"")</f>
        <v>2178a272-f39d-11f0-9378-fa163ee8d8ac</v>
      </c>
      <c r="B928" s="5" t="str">
        <f>IFNA(VLOOKUP(F928,Driver!A:C,2,false),"")</f>
        <v>232be490-35a4-11ed-88b7-506b8dbc8dfb</v>
      </c>
      <c r="C928" s="5" t="str">
        <f>IFNA(VLOOKUP(E928,'Location Table'!A:C,2,false),"")</f>
        <v/>
      </c>
      <c r="D928" s="6" t="s">
        <v>798</v>
      </c>
      <c r="E928" s="6"/>
      <c r="F928" s="6" t="s">
        <v>110</v>
      </c>
      <c r="G928" s="7" t="str">
        <f>IFNA(VLOOKUP(F928,Driver!A:D,4,false),"")</f>
        <v>2160130926882687325:VSRHFZoYrhhtnecmAaOfmgvaKlfxBZEgxFxSbLPTAhfVwurTuJfQgOTrwyseeqJQ</v>
      </c>
      <c r="H928" s="8" t="str">
        <f>IFNA(VLOOKUP(F928,Driver!A:C,3,false),"")</f>
        <v>d9fc37dd4093a9cdf082</v>
      </c>
      <c r="I928" s="9">
        <v>0.2916666666666667</v>
      </c>
      <c r="J928" s="9">
        <v>0.6666666666666666</v>
      </c>
      <c r="K928" s="9"/>
    </row>
    <row r="929" hidden="1">
      <c r="A929" s="5" t="str">
        <f>IFNA(VLOOKUP(D929,'Location Table'!A:C,2,false),"")</f>
        <v>5c9ec158-f645-11ee-bc2a-506b8d9879b5</v>
      </c>
      <c r="B929" s="5" t="str">
        <f>IFNA(VLOOKUP(F929,Driver!A:C,2,false),"")</f>
        <v>a72dc14a-3654-11ed-bef3-506b8dbc8dfb</v>
      </c>
      <c r="C929" s="5" t="str">
        <f>IFNA(VLOOKUP(E929,'Location Table'!A:C,2,false),"")</f>
        <v/>
      </c>
      <c r="D929" s="6" t="s">
        <v>799</v>
      </c>
      <c r="E929" s="6"/>
      <c r="F929" s="6" t="s">
        <v>246</v>
      </c>
      <c r="G929" s="7" t="str">
        <f>IFNA(VLOOKUP(F929,Driver!A:D,4,false),"")</f>
        <v>1980698793628880414:XXMGIAegigeHesHcPUQpIcnMCwhigvPUATFrPyRHiqIZqTwmvWiXbUzfDhivxPcl</v>
      </c>
      <c r="H929" s="8" t="str">
        <f>IFNA(VLOOKUP(F929,Driver!A:C,3,false),"")</f>
        <v>88199dcfa88541db1894</v>
      </c>
      <c r="I929" s="9">
        <v>0.25</v>
      </c>
      <c r="J929" s="9">
        <v>0.4583333333333333</v>
      </c>
      <c r="K929" s="9"/>
    </row>
    <row r="930" hidden="1">
      <c r="A930" s="5" t="str">
        <f>IFNA(VLOOKUP(D930,'Location Table'!A:C,2,false),"")</f>
        <v>a1706c3a-1f31-11f0-ae2d-506b8d982279</v>
      </c>
      <c r="B930" s="5" t="str">
        <f>IFNA(VLOOKUP(F930,Driver!A:C,2,false),"")</f>
        <v>a51713c2-37c4-11ed-a4e6-506b8dbc8dfb</v>
      </c>
      <c r="C930" s="5" t="str">
        <f>IFNA(VLOOKUP(E930,'Location Table'!A:C,2,false),"")</f>
        <v/>
      </c>
      <c r="D930" s="6" t="s">
        <v>800</v>
      </c>
      <c r="E930" s="6"/>
      <c r="F930" s="6" t="s">
        <v>132</v>
      </c>
      <c r="G930" s="7" t="str">
        <f>IFNA(VLOOKUP(F930,Driver!A:D,4,false),"")</f>
        <v>1980698793628880414:XXMGIAegigeHesHcPUQpIcnMCwhigvPUATFrPyRHiqIZqTwmvWiXbUzfDhivxPcl</v>
      </c>
      <c r="H930" s="8" t="str">
        <f>IFNA(VLOOKUP(F930,Driver!A:C,3,false),"")</f>
        <v>e24e6f345362ba3ce373</v>
      </c>
      <c r="I930" s="9">
        <v>0.2916666666666667</v>
      </c>
      <c r="J930" s="9">
        <v>0.5</v>
      </c>
      <c r="K930" s="9"/>
    </row>
    <row r="931" hidden="1">
      <c r="A931" s="5" t="str">
        <f>IFNA(VLOOKUP(D931,'Location Table'!A:C,2,false),"")</f>
        <v>d4e006c0-42a9-11f0-af1e-506b8d982279</v>
      </c>
      <c r="B931" s="5" t="str">
        <f>IFNA(VLOOKUP(F931,Driver!A:C,2,false),"")</f>
        <v>a72dc14a-3654-11ed-bef3-506b8dbc8dfb</v>
      </c>
      <c r="C931" s="5" t="str">
        <f>IFNA(VLOOKUP(E931,'Location Table'!A:C,2,false),"")</f>
        <v/>
      </c>
      <c r="D931" s="6" t="s">
        <v>801</v>
      </c>
      <c r="E931" s="6"/>
      <c r="F931" s="6" t="s">
        <v>246</v>
      </c>
      <c r="G931" s="7" t="str">
        <f>IFNA(VLOOKUP(F931,Driver!A:D,4,false),"")</f>
        <v>1980698793628880414:XXMGIAegigeHesHcPUQpIcnMCwhigvPUATFrPyRHiqIZqTwmvWiXbUzfDhivxPcl</v>
      </c>
      <c r="H931" s="8" t="str">
        <f>IFNA(VLOOKUP(F931,Driver!A:C,3,false),"")</f>
        <v>88199dcfa88541db1894</v>
      </c>
      <c r="I931" s="9">
        <v>0.25</v>
      </c>
      <c r="J931" s="9">
        <v>0.4583333333333333</v>
      </c>
      <c r="K931" s="9"/>
    </row>
    <row r="932" hidden="1">
      <c r="A932" s="5" t="str">
        <f>IFNA(VLOOKUP(D932,'Location Table'!A:C,2,false),"")</f>
        <v>387d2ed2-de5f-11f0-84a0-506b8d982279</v>
      </c>
      <c r="B932" s="5" t="str">
        <f>IFNA(VLOOKUP(F932,Driver!A:C,2,false),"")</f>
        <v>f61678a4-3656-11ed-9310-506b8dbc8dfb</v>
      </c>
      <c r="C932" s="5" t="str">
        <f>IFNA(VLOOKUP(E932,'Location Table'!A:C,2,false),"")</f>
        <v/>
      </c>
      <c r="D932" s="6" t="s">
        <v>520</v>
      </c>
      <c r="E932" s="6"/>
      <c r="F932" s="6" t="s">
        <v>470</v>
      </c>
      <c r="G932" s="7" t="str">
        <f>IFNA(VLOOKUP(F932,Driver!A:D,4,false),"")</f>
        <v>2160130926882687325:VSRHFZoYrhhtnecmAaOfmgvaKlfxBZEgxFxSbLPTAhfVwurTuJfQgOTrwyseeqJQ</v>
      </c>
      <c r="H932" s="8" t="str">
        <f>IFNA(VLOOKUP(F932,Driver!A:C,3,false),"")</f>
        <v>551b71e8ffa616f84fb7</v>
      </c>
      <c r="I932" s="9">
        <v>0.5833333333333334</v>
      </c>
      <c r="J932" s="9">
        <v>0.7916666666666666</v>
      </c>
      <c r="K932" s="9"/>
    </row>
    <row r="933" hidden="1">
      <c r="A933" s="5" t="str">
        <f>IFNA(VLOOKUP(D933,'Location Table'!A:C,2,false),"")</f>
        <v>5002514a-4470-11ed-92fa-506b8dbc8dfb</v>
      </c>
      <c r="B933" s="5" t="str">
        <f>IFNA(VLOOKUP(F933,Driver!A:C,2,false),"")</f>
        <v>f61678a4-3656-11ed-9310-506b8dbc8dfb</v>
      </c>
      <c r="C933" s="5" t="str">
        <f>IFNA(VLOOKUP(E933,'Location Table'!A:C,2,false),"")</f>
        <v/>
      </c>
      <c r="D933" s="6" t="s">
        <v>521</v>
      </c>
      <c r="E933" s="6"/>
      <c r="F933" s="6" t="s">
        <v>470</v>
      </c>
      <c r="G933" s="7" t="str">
        <f>IFNA(VLOOKUP(F933,Driver!A:D,4,false),"")</f>
        <v>2160130926882687325:VSRHFZoYrhhtnecmAaOfmgvaKlfxBZEgxFxSbLPTAhfVwurTuJfQgOTrwyseeqJQ</v>
      </c>
      <c r="H933" s="8" t="str">
        <f>IFNA(VLOOKUP(F933,Driver!A:C,3,false),"")</f>
        <v>551b71e8ffa616f84fb7</v>
      </c>
      <c r="I933" s="9">
        <v>0.5833333333333334</v>
      </c>
      <c r="J933" s="9">
        <v>0.7916666666666666</v>
      </c>
      <c r="K933" s="9"/>
    </row>
    <row r="934" hidden="1">
      <c r="A934" s="5" t="str">
        <f>IFNA(VLOOKUP(D934,'Location Table'!A:C,2,false),"")</f>
        <v>4a1e11b2-ed6a-11ed-b6af-506b8dbc8dfb</v>
      </c>
      <c r="B934" s="5" t="str">
        <f>IFNA(VLOOKUP(F934,Driver!A:C,2,false),"")</f>
        <v>02d08390-37cf-11ed-865f-506b8dbc8dfb</v>
      </c>
      <c r="C934" s="5" t="str">
        <f>IFNA(VLOOKUP(E934,'Location Table'!A:C,2,false),"")</f>
        <v/>
      </c>
      <c r="D934" s="6" t="s">
        <v>524</v>
      </c>
      <c r="E934" s="6"/>
      <c r="F934" s="6" t="s">
        <v>516</v>
      </c>
      <c r="G934" s="7" t="str">
        <f>IFNA(VLOOKUP(F934,Driver!A:D,4,false),"")</f>
        <v>2160130926882687325:VSRHFZoYrhhtnecmAaOfmgvaKlfxBZEgxFxSbLPTAhfVwurTuJfQgOTrwyseeqJQ</v>
      </c>
      <c r="H934" s="8" t="str">
        <f>IFNA(VLOOKUP(F934,Driver!A:C,3,false),"")</f>
        <v>7b7d76055846b118e857</v>
      </c>
      <c r="I934" s="9">
        <v>0.6875</v>
      </c>
      <c r="J934" s="9">
        <v>0.7916666666666666</v>
      </c>
      <c r="K934" s="9"/>
    </row>
    <row r="935" hidden="1">
      <c r="A935" s="5" t="str">
        <f>IFNA(VLOOKUP(D935,'Location Table'!A:C,2,false),"")</f>
        <v>ba9d31f0-6db2-11f0-9676-506b8d982279</v>
      </c>
      <c r="B935" s="5" t="str">
        <f>IFNA(VLOOKUP(F935,Driver!A:C,2,false),"")</f>
        <v>f61678a4-3656-11ed-9310-506b8dbc8dfb</v>
      </c>
      <c r="C935" s="5" t="str">
        <f>IFNA(VLOOKUP(E935,'Location Table'!A:C,2,false),"")</f>
        <v/>
      </c>
      <c r="D935" s="6" t="s">
        <v>525</v>
      </c>
      <c r="E935" s="6"/>
      <c r="F935" s="6" t="s">
        <v>470</v>
      </c>
      <c r="G935" s="7" t="str">
        <f>IFNA(VLOOKUP(F935,Driver!A:D,4,false),"")</f>
        <v>2160130926882687325:VSRHFZoYrhhtnecmAaOfmgvaKlfxBZEgxFxSbLPTAhfVwurTuJfQgOTrwyseeqJQ</v>
      </c>
      <c r="H935" s="8" t="str">
        <f>IFNA(VLOOKUP(F935,Driver!A:C,3,false),"")</f>
        <v>551b71e8ffa616f84fb7</v>
      </c>
      <c r="I935" s="9">
        <v>0.5833333333333334</v>
      </c>
      <c r="J935" s="9">
        <v>0.7916666666666666</v>
      </c>
      <c r="K935" s="9"/>
    </row>
    <row r="936" hidden="1">
      <c r="A936" s="5" t="str">
        <f>IFNA(VLOOKUP(D936,'Location Table'!A:C,2,false),"")</f>
        <v>36c095f4-d4bc-11f0-870d-506b8d982279</v>
      </c>
      <c r="B936" s="5" t="str">
        <f>IFNA(VLOOKUP(F936,Driver!A:C,2,false),"")</f>
        <v>f61678a4-3656-11ed-9310-506b8dbc8dfb</v>
      </c>
      <c r="C936" s="5" t="str">
        <f>IFNA(VLOOKUP(E936,'Location Table'!A:C,2,false),"")</f>
        <v/>
      </c>
      <c r="D936" s="6" t="s">
        <v>526</v>
      </c>
      <c r="E936" s="6"/>
      <c r="F936" s="6" t="s">
        <v>470</v>
      </c>
      <c r="G936" s="7" t="str">
        <f>IFNA(VLOOKUP(F936,Driver!A:D,4,false),"")</f>
        <v>2160130926882687325:VSRHFZoYrhhtnecmAaOfmgvaKlfxBZEgxFxSbLPTAhfVwurTuJfQgOTrwyseeqJQ</v>
      </c>
      <c r="H936" s="8" t="str">
        <f>IFNA(VLOOKUP(F936,Driver!A:C,3,false),"")</f>
        <v>551b71e8ffa616f84fb7</v>
      </c>
      <c r="I936" s="9">
        <v>0.5833333333333334</v>
      </c>
      <c r="J936" s="9">
        <v>0.7916666666666666</v>
      </c>
      <c r="K936" s="9"/>
    </row>
    <row r="937" hidden="1">
      <c r="A937" s="5" t="str">
        <f>IFNA(VLOOKUP(D937,'Location Table'!A:C,2,false),"")</f>
        <v>d16818aa-e428-11ef-b1fb-506b8d9879b5</v>
      </c>
      <c r="B937" s="5" t="str">
        <f>IFNA(VLOOKUP(F937,Driver!A:C,2,false),"")</f>
        <v>443c5016-3017-11ee-a6b5-506b8d9879b5</v>
      </c>
      <c r="C937" s="5" t="str">
        <f>IFNA(VLOOKUP(E937,'Location Table'!A:C,2,false),"")</f>
        <v/>
      </c>
      <c r="D937" s="6" t="s">
        <v>527</v>
      </c>
      <c r="E937" s="6"/>
      <c r="F937" s="6" t="s">
        <v>513</v>
      </c>
      <c r="G937" s="7" t="str">
        <f>IFNA(VLOOKUP(F937,Driver!A:D,4,false),"")</f>
        <v>1980698793628880414:XXMGIAegigeHesHcPUQpIcnMCwhigvPUATFrPyRHiqIZqTwmvWiXbUzfDhivxPcl</v>
      </c>
      <c r="H937" s="8" t="str">
        <f>IFNA(VLOOKUP(F937,Driver!A:C,3,false),"")</f>
        <v>430767465e0cb752ee1d</v>
      </c>
      <c r="I937" s="9">
        <v>0.6666666666666666</v>
      </c>
      <c r="J937" s="9">
        <v>0.7916666666666666</v>
      </c>
      <c r="K937" s="9"/>
    </row>
    <row r="938" hidden="1">
      <c r="A938" s="5" t="str">
        <f>IFNA(VLOOKUP(D938,'Location Table'!A:C,2,false),"")</f>
        <v>317a6ace-0949-11ef-8625-506b8d9879b5</v>
      </c>
      <c r="B938" s="5" t="str">
        <f>IFNA(VLOOKUP(F938,Driver!A:C,2,false),"")</f>
        <v>4e1ad614-6cdb-11ef-807b-506b8d9879b5</v>
      </c>
      <c r="C938" s="5" t="str">
        <f>IFNA(VLOOKUP(E938,'Location Table'!A:C,2,false),"")</f>
        <v/>
      </c>
      <c r="D938" s="6" t="s">
        <v>528</v>
      </c>
      <c r="E938" s="6"/>
      <c r="F938" s="6" t="s">
        <v>512</v>
      </c>
      <c r="G938" s="7" t="str">
        <f>IFNA(VLOOKUP(F938,Driver!A:D,4,false),"")</f>
        <v>2160130926882687325:VSRHFZoYrhhtnecmAaOfmgvaKlfxBZEgxFxSbLPTAhfVwurTuJfQgOTrwyseeqJQ</v>
      </c>
      <c r="H938" s="8" t="str">
        <f>IFNA(VLOOKUP(F938,Driver!A:C,3,false),"")</f>
        <v>65a6581b624a8b14d25b</v>
      </c>
      <c r="I938" s="9">
        <v>0.7083333333333334</v>
      </c>
      <c r="J938" s="9">
        <v>0.7708333333333334</v>
      </c>
      <c r="K938" s="9"/>
    </row>
    <row r="939" hidden="1">
      <c r="A939" s="5" t="str">
        <f>IFNA(VLOOKUP(D939,'Location Table'!A:C,2,false),"")</f>
        <v>6d5822f6-29da-11ee-bb13-506b8d9879b5</v>
      </c>
      <c r="B939" s="5" t="str">
        <f>IFNA(VLOOKUP(F939,Driver!A:C,2,false),"")</f>
        <v>1f4f6cae-37cd-11ed-a84d-506b8dbc8dfb</v>
      </c>
      <c r="C939" s="5" t="str">
        <f>IFNA(VLOOKUP(E939,'Location Table'!A:C,2,false),"")</f>
        <v/>
      </c>
      <c r="D939" s="6" t="s">
        <v>529</v>
      </c>
      <c r="E939" s="6"/>
      <c r="F939" s="6" t="s">
        <v>514</v>
      </c>
      <c r="G939" s="7" t="str">
        <f>IFNA(VLOOKUP(F939,Driver!A:D,4,false),"")</f>
        <v>1980698793628880414:XXMGIAegigeHesHcPUQpIcnMCwhigvPUATFrPyRHiqIZqTwmvWiXbUzfDhivxPcl</v>
      </c>
      <c r="H939" s="8" t="str">
        <f>IFNA(VLOOKUP(F939,Driver!A:C,3,false),"")</f>
        <v>595aed435d09b457ed18</v>
      </c>
      <c r="I939" s="9">
        <v>0.6666666666666666</v>
      </c>
      <c r="J939" s="9">
        <v>0.7916666666666666</v>
      </c>
      <c r="K939" s="9"/>
    </row>
    <row r="940" hidden="1">
      <c r="A940" s="5" t="str">
        <f>IFNA(VLOOKUP(D940,'Location Table'!A:C,2,false),"")</f>
        <v>a6ba7dee-38f4-11ef-99c0-506b8d9879b5</v>
      </c>
      <c r="B940" s="5" t="str">
        <f>IFNA(VLOOKUP(F940,Driver!A:C,2,false),"")</f>
        <v>412f31be-2fc3-11f1-9378-fa163ee8d8ac</v>
      </c>
      <c r="C940" s="5" t="str">
        <f>IFNA(VLOOKUP(E940,'Location Table'!A:C,2,false),"")</f>
        <v/>
      </c>
      <c r="D940" s="6" t="s">
        <v>530</v>
      </c>
      <c r="E940" s="6"/>
      <c r="F940" s="10" t="s">
        <v>511</v>
      </c>
      <c r="G940" s="7" t="str">
        <f>IFNA(VLOOKUP(F940,Driver!A:D,4,false),"")</f>
        <v/>
      </c>
      <c r="H940" s="8" t="str">
        <f>IFNA(VLOOKUP(F940,Driver!A:C,3,false),"")</f>
        <v/>
      </c>
      <c r="I940" s="9">
        <v>0.6666666666666666</v>
      </c>
      <c r="J940" s="9">
        <v>0.7916666666666666</v>
      </c>
      <c r="K940" s="9"/>
    </row>
    <row r="941" hidden="1">
      <c r="A941" s="5" t="str">
        <f>IFNA(VLOOKUP(D941,'Location Table'!A:C,2,false),"")</f>
        <v>42197ace-1d88-11f0-904d-506b8d982279</v>
      </c>
      <c r="B941" s="5" t="str">
        <f>IFNA(VLOOKUP(F941,Driver!A:C,2,false),"")</f>
        <v>412f31be-2fc3-11f1-9378-fa163ee8d8ac</v>
      </c>
      <c r="C941" s="5" t="str">
        <f>IFNA(VLOOKUP(E941,'Location Table'!A:C,2,false),"")</f>
        <v/>
      </c>
      <c r="D941" s="6" t="s">
        <v>531</v>
      </c>
      <c r="E941" s="6"/>
      <c r="F941" s="10" t="s">
        <v>511</v>
      </c>
      <c r="G941" s="7" t="str">
        <f>IFNA(VLOOKUP(F941,Driver!A:D,4,false),"")</f>
        <v/>
      </c>
      <c r="H941" s="8" t="str">
        <f>IFNA(VLOOKUP(F941,Driver!A:C,3,false),"")</f>
        <v/>
      </c>
      <c r="I941" s="9">
        <v>0.6666666666666666</v>
      </c>
      <c r="J941" s="9">
        <v>0.7916666666666666</v>
      </c>
      <c r="K941" s="9"/>
    </row>
    <row r="942" hidden="1">
      <c r="A942" s="5" t="str">
        <f>IFNA(VLOOKUP(D942,'Location Table'!A:C,2,false),"")</f>
        <v>9065c31a-49f3-11ed-af4a-506b8dbc8dfb</v>
      </c>
      <c r="B942" s="5" t="str">
        <f>IFNA(VLOOKUP(F942,Driver!A:C,2,false),"")</f>
        <v>412f31be-2fc3-11f1-9378-fa163ee8d8ac</v>
      </c>
      <c r="C942" s="5" t="str">
        <f>IFNA(VLOOKUP(E942,'Location Table'!A:C,2,false),"")</f>
        <v/>
      </c>
      <c r="D942" s="6" t="s">
        <v>532</v>
      </c>
      <c r="E942" s="6"/>
      <c r="F942" s="10" t="s">
        <v>511</v>
      </c>
      <c r="G942" s="7" t="str">
        <f>IFNA(VLOOKUP(F942,Driver!A:D,4,false),"")</f>
        <v/>
      </c>
      <c r="H942" s="8" t="str">
        <f>IFNA(VLOOKUP(F942,Driver!A:C,3,false),"")</f>
        <v/>
      </c>
      <c r="I942" s="9">
        <v>0.6666666666666666</v>
      </c>
      <c r="J942" s="9">
        <v>0.7916666666666666</v>
      </c>
      <c r="K942" s="9"/>
    </row>
    <row r="943" hidden="1">
      <c r="A943" s="5" t="str">
        <f>IFNA(VLOOKUP(D943,'Location Table'!A:C,2,false),"")</f>
        <v>bf7aa49a-a013-11ef-9b5c-506b8d9879b5</v>
      </c>
      <c r="B943" s="5" t="str">
        <f>IFNA(VLOOKUP(F943,Driver!A:C,2,false),"")</f>
        <v>f61678a4-3656-11ed-9310-506b8dbc8dfb</v>
      </c>
      <c r="C943" s="5" t="str">
        <f>IFNA(VLOOKUP(E943,'Location Table'!A:C,2,false),"")</f>
        <v/>
      </c>
      <c r="D943" s="6" t="s">
        <v>533</v>
      </c>
      <c r="E943" s="6"/>
      <c r="F943" s="6" t="s">
        <v>470</v>
      </c>
      <c r="G943" s="7" t="str">
        <f>IFNA(VLOOKUP(F943,Driver!A:D,4,false),"")</f>
        <v>2160130926882687325:VSRHFZoYrhhtnecmAaOfmgvaKlfxBZEgxFxSbLPTAhfVwurTuJfQgOTrwyseeqJQ</v>
      </c>
      <c r="H943" s="8" t="str">
        <f>IFNA(VLOOKUP(F943,Driver!A:C,3,false),"")</f>
        <v>551b71e8ffa616f84fb7</v>
      </c>
      <c r="I943" s="9">
        <v>0.5833333333333334</v>
      </c>
      <c r="J943" s="9">
        <v>0.7916666666666666</v>
      </c>
      <c r="K943" s="9"/>
    </row>
    <row r="944" hidden="1">
      <c r="A944" s="5" t="str">
        <f>IFNA(VLOOKUP(D944,'Location Table'!A:C,2,false),"")</f>
        <v>2140d394-7411-11f0-a4f6-506b8d982279</v>
      </c>
      <c r="B944" s="5" t="str">
        <f>IFNA(VLOOKUP(F944,Driver!A:C,2,false),"")</f>
        <v>660cb676-e32e-11ed-9e6c-506b8dbc8dfb</v>
      </c>
      <c r="C944" s="5" t="str">
        <f>IFNA(VLOOKUP(E944,'Location Table'!A:C,2,false),"")</f>
        <v/>
      </c>
      <c r="D944" s="6" t="s">
        <v>538</v>
      </c>
      <c r="E944" s="6"/>
      <c r="F944" s="6" t="s">
        <v>494</v>
      </c>
      <c r="G944" s="7" t="str">
        <f>IFNA(VLOOKUP(F944,Driver!A:D,4,false),"")</f>
        <v>2160130926882687325:VSRHFZoYrhhtnecmAaOfmgvaKlfxBZEgxFxSbLPTAhfVwurTuJfQgOTrwyseeqJQ</v>
      </c>
      <c r="H944" s="8" t="str">
        <f>IFNA(VLOOKUP(F944,Driver!A:C,3,false),"")</f>
        <v>656e49d39f9a76c42f8b</v>
      </c>
      <c r="I944" s="9">
        <v>0.5833333333333334</v>
      </c>
      <c r="J944" s="9">
        <v>0.7916666666666666</v>
      </c>
      <c r="K944" s="9"/>
    </row>
    <row r="945" hidden="1">
      <c r="A945" s="5" t="str">
        <f>IFNA(VLOOKUP(D945,'Location Table'!A:C,2,false),"")</f>
        <v>5c7ab7e0-6414-11ee-a599-506b8d9879b5</v>
      </c>
      <c r="B945" s="5" t="str">
        <f>IFNA(VLOOKUP(F945,Driver!A:C,2,false),"")</f>
        <v>443c5016-3017-11ee-a6b5-506b8d9879b5</v>
      </c>
      <c r="C945" s="5" t="str">
        <f>IFNA(VLOOKUP(E945,'Location Table'!A:C,2,false),"")</f>
        <v/>
      </c>
      <c r="D945" s="6" t="s">
        <v>539</v>
      </c>
      <c r="E945" s="6"/>
      <c r="F945" s="6" t="s">
        <v>513</v>
      </c>
      <c r="G945" s="7" t="str">
        <f>IFNA(VLOOKUP(F945,Driver!A:D,4,false),"")</f>
        <v>1980698793628880414:XXMGIAegigeHesHcPUQpIcnMCwhigvPUATFrPyRHiqIZqTwmvWiXbUzfDhivxPcl</v>
      </c>
      <c r="H945" s="8" t="str">
        <f>IFNA(VLOOKUP(F945,Driver!A:C,3,false),"")</f>
        <v>430767465e0cb752ee1d</v>
      </c>
      <c r="I945" s="9">
        <v>0.6666666666666666</v>
      </c>
      <c r="J945" s="9">
        <v>0.7916666666666666</v>
      </c>
      <c r="K945" s="9"/>
    </row>
    <row r="946" hidden="1">
      <c r="A946" s="5" t="str">
        <f>IFNA(VLOOKUP(D946,'Location Table'!A:C,2,false),"")</f>
        <v>40f9f9c2-ed0b-11f0-ac9d-506b8d982279</v>
      </c>
      <c r="B946" s="5" t="str">
        <f>IFNA(VLOOKUP(F946,Driver!A:C,2,false),"")</f>
        <v>1f4f6cae-37cd-11ed-a84d-506b8dbc8dfb</v>
      </c>
      <c r="C946" s="5" t="str">
        <f>IFNA(VLOOKUP(E946,'Location Table'!A:C,2,false),"")</f>
        <v/>
      </c>
      <c r="D946" s="6" t="s">
        <v>541</v>
      </c>
      <c r="E946" s="6"/>
      <c r="F946" s="6" t="s">
        <v>514</v>
      </c>
      <c r="G946" s="7" t="str">
        <f>IFNA(VLOOKUP(F946,Driver!A:D,4,false),"")</f>
        <v>1980698793628880414:XXMGIAegigeHesHcPUQpIcnMCwhigvPUATFrPyRHiqIZqTwmvWiXbUzfDhivxPcl</v>
      </c>
      <c r="H946" s="8" t="str">
        <f>IFNA(VLOOKUP(F946,Driver!A:C,3,false),"")</f>
        <v>595aed435d09b457ed18</v>
      </c>
      <c r="I946" s="9">
        <v>0.6666666666666666</v>
      </c>
      <c r="J946" s="9">
        <v>0.7916666666666666</v>
      </c>
      <c r="K946" s="9"/>
    </row>
    <row r="947" hidden="1">
      <c r="A947" s="5" t="str">
        <f>IFNA(VLOOKUP(D947,'Location Table'!A:C,2,false),"")</f>
        <v>2289cb38-f734-11f0-9378-fa163ee8d8ac</v>
      </c>
      <c r="B947" s="5" t="str">
        <f>IFNA(VLOOKUP(F947,Driver!A:C,2,false),"")</f>
        <v>1f4f6cae-37cd-11ed-a84d-506b8dbc8dfb</v>
      </c>
      <c r="C947" s="5" t="str">
        <f>IFNA(VLOOKUP(E947,'Location Table'!A:C,2,false),"")</f>
        <v/>
      </c>
      <c r="D947" s="6" t="s">
        <v>542</v>
      </c>
      <c r="E947" s="6"/>
      <c r="F947" s="6" t="s">
        <v>514</v>
      </c>
      <c r="G947" s="7" t="str">
        <f>IFNA(VLOOKUP(F947,Driver!A:D,4,false),"")</f>
        <v>1980698793628880414:XXMGIAegigeHesHcPUQpIcnMCwhigvPUATFrPyRHiqIZqTwmvWiXbUzfDhivxPcl</v>
      </c>
      <c r="H947" s="8" t="str">
        <f>IFNA(VLOOKUP(F947,Driver!A:C,3,false),"")</f>
        <v>595aed435d09b457ed18</v>
      </c>
      <c r="I947" s="9">
        <v>0.6666666666666666</v>
      </c>
      <c r="J947" s="9">
        <v>0.7916666666666666</v>
      </c>
      <c r="K947" s="9"/>
    </row>
    <row r="948" hidden="1">
      <c r="A948" s="5" t="str">
        <f>IFNA(VLOOKUP(D948,'Location Table'!A:C,2,false),"")</f>
        <v>872a9ea6-4471-11ed-ba9b-506b8dbc8dfb</v>
      </c>
      <c r="B948" s="5" t="str">
        <f>IFNA(VLOOKUP(F948,Driver!A:C,2,false),"")</f>
        <v>1f4f6cae-37cd-11ed-a84d-506b8dbc8dfb</v>
      </c>
      <c r="C948" s="5" t="str">
        <f>IFNA(VLOOKUP(E948,'Location Table'!A:C,2,false),"")</f>
        <v/>
      </c>
      <c r="D948" s="6" t="s">
        <v>543</v>
      </c>
      <c r="E948" s="6"/>
      <c r="F948" s="6" t="s">
        <v>514</v>
      </c>
      <c r="G948" s="7" t="str">
        <f>IFNA(VLOOKUP(F948,Driver!A:D,4,false),"")</f>
        <v>1980698793628880414:XXMGIAegigeHesHcPUQpIcnMCwhigvPUATFrPyRHiqIZqTwmvWiXbUzfDhivxPcl</v>
      </c>
      <c r="H948" s="8" t="str">
        <f>IFNA(VLOOKUP(F948,Driver!A:C,3,false),"")</f>
        <v>595aed435d09b457ed18</v>
      </c>
      <c r="I948" s="9">
        <v>0.6666666666666666</v>
      </c>
      <c r="J948" s="9">
        <v>0.7916666666666666</v>
      </c>
      <c r="K948" s="9"/>
    </row>
    <row r="949" hidden="1">
      <c r="A949" s="5" t="str">
        <f>IFNA(VLOOKUP(D949,'Location Table'!A:C,2,false),"")</f>
        <v>ed754e2e-a0a8-11ee-8d61-506b8d9879b5</v>
      </c>
      <c r="B949" s="5" t="str">
        <f>IFNA(VLOOKUP(F949,Driver!A:C,2,false),"")</f>
        <v>4e1ad614-6cdb-11ef-807b-506b8d9879b5</v>
      </c>
      <c r="C949" s="5" t="str">
        <f>IFNA(VLOOKUP(E949,'Location Table'!A:C,2,false),"")</f>
        <v/>
      </c>
      <c r="D949" s="6" t="s">
        <v>544</v>
      </c>
      <c r="E949" s="6"/>
      <c r="F949" s="6" t="s">
        <v>512</v>
      </c>
      <c r="G949" s="7" t="str">
        <f>IFNA(VLOOKUP(F949,Driver!A:D,4,false),"")</f>
        <v>2160130926882687325:VSRHFZoYrhhtnecmAaOfmgvaKlfxBZEgxFxSbLPTAhfVwurTuJfQgOTrwyseeqJQ</v>
      </c>
      <c r="H949" s="8" t="str">
        <f>IFNA(VLOOKUP(F949,Driver!A:C,3,false),"")</f>
        <v>65a6581b624a8b14d25b</v>
      </c>
      <c r="I949" s="9">
        <v>0.7083333333333334</v>
      </c>
      <c r="J949" s="9">
        <v>0.7708333333333334</v>
      </c>
      <c r="K949" s="9"/>
    </row>
    <row r="950" hidden="1">
      <c r="A950" s="5" t="str">
        <f>IFNA(VLOOKUP(D950,'Location Table'!A:C,2,false),"")</f>
        <v>693fa07a-fa8b-11f0-9378-fa163ee8d8ac</v>
      </c>
      <c r="B950" s="5" t="str">
        <f>IFNA(VLOOKUP(F950,Driver!A:C,2,false),"")</f>
        <v>1f4f6cae-37cd-11ed-a84d-506b8dbc8dfb</v>
      </c>
      <c r="C950" s="5" t="str">
        <f>IFNA(VLOOKUP(E950,'Location Table'!A:C,2,false),"")</f>
        <v/>
      </c>
      <c r="D950" s="6" t="s">
        <v>545</v>
      </c>
      <c r="E950" s="6"/>
      <c r="F950" s="6" t="s">
        <v>514</v>
      </c>
      <c r="G950" s="7" t="str">
        <f>IFNA(VLOOKUP(F950,Driver!A:D,4,false),"")</f>
        <v>1980698793628880414:XXMGIAegigeHesHcPUQpIcnMCwhigvPUATFrPyRHiqIZqTwmvWiXbUzfDhivxPcl</v>
      </c>
      <c r="H950" s="8" t="str">
        <f>IFNA(VLOOKUP(F950,Driver!A:C,3,false),"")</f>
        <v>595aed435d09b457ed18</v>
      </c>
      <c r="I950" s="9">
        <v>0.6666666666666666</v>
      </c>
      <c r="J950" s="9">
        <v>0.7916666666666666</v>
      </c>
      <c r="K950" s="9"/>
    </row>
    <row r="951" hidden="1">
      <c r="A951" s="5" t="str">
        <f>IFNA(VLOOKUP(D951,'Location Table'!A:C,2,false),"")</f>
        <v>afed19e2-771c-11ef-8b57-506b8d9879b5</v>
      </c>
      <c r="B951" s="5" t="str">
        <f>IFNA(VLOOKUP(F951,Driver!A:C,2,false),"")</f>
        <v>412f31be-2fc3-11f1-9378-fa163ee8d8ac</v>
      </c>
      <c r="C951" s="5" t="str">
        <f>IFNA(VLOOKUP(E951,'Location Table'!A:C,2,false),"")</f>
        <v/>
      </c>
      <c r="D951" s="6" t="s">
        <v>546</v>
      </c>
      <c r="E951" s="6"/>
      <c r="F951" s="10" t="s">
        <v>511</v>
      </c>
      <c r="G951" s="7" t="str">
        <f>IFNA(VLOOKUP(F951,Driver!A:D,4,false),"")</f>
        <v/>
      </c>
      <c r="H951" s="8" t="str">
        <f>IFNA(VLOOKUP(F951,Driver!A:C,3,false),"")</f>
        <v/>
      </c>
      <c r="I951" s="9">
        <v>0.6666666666666666</v>
      </c>
      <c r="J951" s="9">
        <v>0.7916666666666666</v>
      </c>
      <c r="K951" s="9"/>
    </row>
    <row r="952" hidden="1">
      <c r="A952" s="5" t="str">
        <f>IFNA(VLOOKUP(D952,'Location Table'!A:C,2,false),"")</f>
        <v>1f390568-aad6-11ee-97ff-506b8d9879b5</v>
      </c>
      <c r="B952" s="5" t="str">
        <f>IFNA(VLOOKUP(F952,Driver!A:C,2,false),"")</f>
        <v>412f31be-2fc3-11f1-9378-fa163ee8d8ac</v>
      </c>
      <c r="C952" s="5" t="str">
        <f>IFNA(VLOOKUP(E952,'Location Table'!A:C,2,false),"")</f>
        <v/>
      </c>
      <c r="D952" s="6" t="s">
        <v>547</v>
      </c>
      <c r="E952" s="6"/>
      <c r="F952" s="10" t="s">
        <v>511</v>
      </c>
      <c r="G952" s="7" t="str">
        <f>IFNA(VLOOKUP(F952,Driver!A:D,4,false),"")</f>
        <v/>
      </c>
      <c r="H952" s="8" t="str">
        <f>IFNA(VLOOKUP(F952,Driver!A:C,3,false),"")</f>
        <v/>
      </c>
      <c r="I952" s="9">
        <v>0.6666666666666666</v>
      </c>
      <c r="J952" s="9">
        <v>0.7916666666666666</v>
      </c>
      <c r="K952" s="9"/>
    </row>
    <row r="953" hidden="1">
      <c r="A953" s="5" t="str">
        <f>IFNA(VLOOKUP(D953,'Location Table'!A:C,2,false),"")</f>
        <v>49941436-593e-11ee-9e3a-506b8d9879b5</v>
      </c>
      <c r="B953" s="5" t="str">
        <f>IFNA(VLOOKUP(F953,Driver!A:C,2,false),"")</f>
        <v>412f31be-2fc3-11f1-9378-fa163ee8d8ac</v>
      </c>
      <c r="C953" s="5" t="str">
        <f>IFNA(VLOOKUP(E953,'Location Table'!A:C,2,false),"")</f>
        <v/>
      </c>
      <c r="D953" s="6" t="s">
        <v>548</v>
      </c>
      <c r="E953" s="6"/>
      <c r="F953" s="10" t="s">
        <v>511</v>
      </c>
      <c r="G953" s="7" t="str">
        <f>IFNA(VLOOKUP(F953,Driver!A:D,4,false),"")</f>
        <v/>
      </c>
      <c r="H953" s="8" t="str">
        <f>IFNA(VLOOKUP(F953,Driver!A:C,3,false),"")</f>
        <v/>
      </c>
      <c r="I953" s="9">
        <v>0.6666666666666666</v>
      </c>
      <c r="J953" s="9">
        <v>0.7916666666666666</v>
      </c>
      <c r="K953" s="9"/>
    </row>
    <row r="954" hidden="1">
      <c r="A954" s="5" t="str">
        <f>IFNA(VLOOKUP(D954,'Location Table'!A:C,2,false),"")</f>
        <v>243a81ea-4f44-11f0-88b2-506b8d982279</v>
      </c>
      <c r="B954" s="5" t="str">
        <f>IFNA(VLOOKUP(F954,Driver!A:C,2,false),"")</f>
        <v>cf90a04a-ed64-11ed-8947-506b8dbc8dfb</v>
      </c>
      <c r="C954" s="5" t="str">
        <f>IFNA(VLOOKUP(E954,'Location Table'!A:C,2,false),"")</f>
        <v/>
      </c>
      <c r="D954" s="6" t="s">
        <v>549</v>
      </c>
      <c r="E954" s="6"/>
      <c r="F954" s="6" t="s">
        <v>519</v>
      </c>
      <c r="G954" s="7" t="str">
        <f>IFNA(VLOOKUP(F954,Driver!A:D,4,false),"")</f>
        <v>1980698793628880414:XXMGIAegigeHesHcPUQpIcnMCwhigvPUATFrPyRHiqIZqTwmvWiXbUzfDhivxPcl</v>
      </c>
      <c r="H954" s="8" t="str">
        <f>IFNA(VLOOKUP(F954,Driver!A:C,3,false),"")</f>
        <v>c68359c32e95c7cb9e84</v>
      </c>
      <c r="I954" s="9">
        <v>0.6666666666666666</v>
      </c>
      <c r="J954" s="9">
        <v>0.7916666666666666</v>
      </c>
      <c r="K954" s="9"/>
    </row>
    <row r="955" hidden="1">
      <c r="A955" s="5" t="str">
        <f>IFNA(VLOOKUP(D955,'Location Table'!A:C,2,false),"")</f>
        <v>ef3fc3ce-6b23-11ef-baed-506b8d9879b5</v>
      </c>
      <c r="B955" s="5" t="str">
        <f>IFNA(VLOOKUP(F955,Driver!A:C,2,false),"")</f>
        <v>cf90a04a-ed64-11ed-8947-506b8dbc8dfb</v>
      </c>
      <c r="C955" s="5" t="str">
        <f>IFNA(VLOOKUP(E955,'Location Table'!A:C,2,false),"")</f>
        <v/>
      </c>
      <c r="D955" s="6" t="s">
        <v>550</v>
      </c>
      <c r="E955" s="6"/>
      <c r="F955" s="6" t="s">
        <v>519</v>
      </c>
      <c r="G955" s="7" t="str">
        <f>IFNA(VLOOKUP(F955,Driver!A:D,4,false),"")</f>
        <v>1980698793628880414:XXMGIAegigeHesHcPUQpIcnMCwhigvPUATFrPyRHiqIZqTwmvWiXbUzfDhivxPcl</v>
      </c>
      <c r="H955" s="8" t="str">
        <f>IFNA(VLOOKUP(F955,Driver!A:C,3,false),"")</f>
        <v>c68359c32e95c7cb9e84</v>
      </c>
      <c r="I955" s="9">
        <v>0.6666666666666666</v>
      </c>
      <c r="J955" s="9">
        <v>0.7916666666666666</v>
      </c>
      <c r="K955" s="9"/>
    </row>
    <row r="956" hidden="1">
      <c r="A956" s="5" t="str">
        <f>IFNA(VLOOKUP(D956,'Location Table'!A:C,2,false),"")</f>
        <v>c9ec5262-10a8-11ee-a642-506b8dbc8dfb</v>
      </c>
      <c r="B956" s="5" t="str">
        <f>IFNA(VLOOKUP(F956,Driver!A:C,2,false),"")</f>
        <v>02d08390-37cf-11ed-865f-506b8dbc8dfb</v>
      </c>
      <c r="C956" s="5" t="str">
        <f>IFNA(VLOOKUP(E956,'Location Table'!A:C,2,false),"")</f>
        <v/>
      </c>
      <c r="D956" s="6" t="s">
        <v>554</v>
      </c>
      <c r="E956" s="6"/>
      <c r="F956" s="6" t="s">
        <v>516</v>
      </c>
      <c r="G956" s="7" t="str">
        <f>IFNA(VLOOKUP(F956,Driver!A:D,4,false),"")</f>
        <v>2160130926882687325:VSRHFZoYrhhtnecmAaOfmgvaKlfxBZEgxFxSbLPTAhfVwurTuJfQgOTrwyseeqJQ</v>
      </c>
      <c r="H956" s="8" t="str">
        <f>IFNA(VLOOKUP(F956,Driver!A:C,3,false),"")</f>
        <v>7b7d76055846b118e857</v>
      </c>
      <c r="I956" s="9">
        <v>0.6875</v>
      </c>
      <c r="J956" s="9">
        <v>0.7916666666666666</v>
      </c>
      <c r="K956" s="9"/>
    </row>
    <row r="957" hidden="1">
      <c r="A957" s="5" t="str">
        <f>IFNA(VLOOKUP(D957,'Location Table'!A:C,2,false),"")</f>
        <v>783885e0-dc62-11ee-ac1b-506b8d9879b5</v>
      </c>
      <c r="B957" s="5" t="str">
        <f>IFNA(VLOOKUP(F957,Driver!A:C,2,false),"")</f>
        <v>443c5016-3017-11ee-a6b5-506b8d9879b5</v>
      </c>
      <c r="C957" s="5" t="str">
        <f>IFNA(VLOOKUP(E957,'Location Table'!A:C,2,false),"")</f>
        <v/>
      </c>
      <c r="D957" s="6" t="s">
        <v>556</v>
      </c>
      <c r="E957" s="6"/>
      <c r="F957" s="6" t="s">
        <v>513</v>
      </c>
      <c r="G957" s="7" t="str">
        <f>IFNA(VLOOKUP(F957,Driver!A:D,4,false),"")</f>
        <v>1980698793628880414:XXMGIAegigeHesHcPUQpIcnMCwhigvPUATFrPyRHiqIZqTwmvWiXbUzfDhivxPcl</v>
      </c>
      <c r="H957" s="8" t="str">
        <f>IFNA(VLOOKUP(F957,Driver!A:C,3,false),"")</f>
        <v>430767465e0cb752ee1d</v>
      </c>
      <c r="I957" s="9">
        <v>0.6666666666666666</v>
      </c>
      <c r="J957" s="9">
        <v>0.7916666666666666</v>
      </c>
      <c r="K957" s="9"/>
    </row>
    <row r="958" hidden="1">
      <c r="A958" s="5" t="str">
        <f>IFNA(VLOOKUP(D958,'Location Table'!A:C,2,false),"")</f>
        <v>50f77282-2c1f-11ee-8c5e-506b8d9879b5</v>
      </c>
      <c r="B958" s="5" t="str">
        <f>IFNA(VLOOKUP(F958,Driver!A:C,2,false),"")</f>
        <v>af57dfcc-782d-11f0-b407-506b8d982279</v>
      </c>
      <c r="C958" s="5" t="str">
        <f>IFNA(VLOOKUP(E958,'Location Table'!A:C,2,false),"")</f>
        <v/>
      </c>
      <c r="D958" s="6" t="s">
        <v>557</v>
      </c>
      <c r="E958" s="6"/>
      <c r="F958" s="6" t="s">
        <v>515</v>
      </c>
      <c r="G958" s="7" t="str">
        <f>IFNA(VLOOKUP(F958,Driver!A:D,4,false),"")</f>
        <v>2160130926882687325:VSRHFZoYrhhtnecmAaOfmgvaKlfxBZEgxFxSbLPTAhfVwurTuJfQgOTrwyseeqJQ</v>
      </c>
      <c r="H958" s="8" t="str">
        <f>IFNA(VLOOKUP(F958,Driver!A:C,3,false),"")</f>
        <v>d9fc37dd4093a9cdf082</v>
      </c>
      <c r="I958" s="9">
        <v>0.6666666666666666</v>
      </c>
      <c r="J958" s="9">
        <v>0.8333333333333334</v>
      </c>
      <c r="K958" s="9"/>
    </row>
    <row r="959" hidden="1">
      <c r="A959" s="5" t="str">
        <f>IFNA(VLOOKUP(D959,'Location Table'!A:C,2,false),"")</f>
        <v>111e2f12-e523-11ee-bde5-506b8d9879b5</v>
      </c>
      <c r="B959" s="5" t="str">
        <f>IFNA(VLOOKUP(F959,Driver!A:C,2,false),"")</f>
        <v>f5993946-37cf-11ed-a3fc-506b8dbc8dfb</v>
      </c>
      <c r="C959" s="5" t="str">
        <f>IFNA(VLOOKUP(E959,'Location Table'!A:C,2,false),"")</f>
        <v/>
      </c>
      <c r="D959" s="6" t="s">
        <v>559</v>
      </c>
      <c r="E959" s="6"/>
      <c r="F959" s="6" t="s">
        <v>314</v>
      </c>
      <c r="G959" s="7" t="str">
        <f>IFNA(VLOOKUP(F959,Driver!A:D,4,false),"")</f>
        <v/>
      </c>
      <c r="H959" s="8" t="str">
        <f>IFNA(VLOOKUP(F959,Driver!A:C,3,false),"")</f>
        <v/>
      </c>
      <c r="I959" s="9">
        <v>0.6875</v>
      </c>
      <c r="J959" s="9">
        <v>0.7916666666666666</v>
      </c>
      <c r="K959" s="9"/>
    </row>
    <row r="960" hidden="1">
      <c r="A960" s="5" t="str">
        <f>IFNA(VLOOKUP(D960,'Location Table'!A:C,2,false),"")</f>
        <v>08821918-737a-11f0-aae5-506b8d982279</v>
      </c>
      <c r="B960" s="5" t="str">
        <f>IFNA(VLOOKUP(F960,Driver!A:C,2,false),"")</f>
        <v>f5993946-37cf-11ed-a3fc-506b8dbc8dfb</v>
      </c>
      <c r="C960" s="5" t="str">
        <f>IFNA(VLOOKUP(E960,'Location Table'!A:C,2,false),"")</f>
        <v/>
      </c>
      <c r="D960" s="6" t="s">
        <v>560</v>
      </c>
      <c r="E960" s="6"/>
      <c r="F960" s="6" t="s">
        <v>314</v>
      </c>
      <c r="G960" s="7" t="str">
        <f>IFNA(VLOOKUP(F960,Driver!A:D,4,false),"")</f>
        <v/>
      </c>
      <c r="H960" s="8" t="str">
        <f>IFNA(VLOOKUP(F960,Driver!A:C,3,false),"")</f>
        <v/>
      </c>
      <c r="I960" s="9">
        <v>0.6875</v>
      </c>
      <c r="J960" s="9">
        <v>0.7916666666666666</v>
      </c>
      <c r="K960" s="9"/>
    </row>
    <row r="961" hidden="1">
      <c r="A961" s="5" t="str">
        <f>IFNA(VLOOKUP(D961,'Location Table'!A:C,2,false),"")</f>
        <v>f19e239a-d53b-11ef-9dff-506b8d9879b5</v>
      </c>
      <c r="B961" s="5" t="str">
        <f>IFNA(VLOOKUP(F961,Driver!A:C,2,false),"")</f>
        <v>af57dfcc-782d-11f0-b407-506b8d982279</v>
      </c>
      <c r="C961" s="5" t="str">
        <f>IFNA(VLOOKUP(E961,'Location Table'!A:C,2,false),"")</f>
        <v/>
      </c>
      <c r="D961" s="6" t="s">
        <v>561</v>
      </c>
      <c r="E961" s="6"/>
      <c r="F961" s="6" t="s">
        <v>515</v>
      </c>
      <c r="G961" s="7" t="str">
        <f>IFNA(VLOOKUP(F961,Driver!A:D,4,false),"")</f>
        <v>2160130926882687325:VSRHFZoYrhhtnecmAaOfmgvaKlfxBZEgxFxSbLPTAhfVwurTuJfQgOTrwyseeqJQ</v>
      </c>
      <c r="H961" s="8" t="str">
        <f>IFNA(VLOOKUP(F961,Driver!A:C,3,false),"")</f>
        <v>d9fc37dd4093a9cdf082</v>
      </c>
      <c r="I961" s="9">
        <v>0.6666666666666666</v>
      </c>
      <c r="J961" s="9">
        <v>0.8333333333333334</v>
      </c>
      <c r="K961" s="9"/>
    </row>
    <row r="962" hidden="1">
      <c r="A962" s="5" t="str">
        <f>IFNA(VLOOKUP(D962,'Location Table'!A:C,2,false),"")</f>
        <v>74eac478-6a6d-11ee-a53f-506b8d9879b5</v>
      </c>
      <c r="B962" s="5" t="str">
        <f>IFNA(VLOOKUP(F962,Driver!A:C,2,false),"")</f>
        <v>1f4f6cae-37cd-11ed-a84d-506b8dbc8dfb</v>
      </c>
      <c r="C962" s="5" t="str">
        <f>IFNA(VLOOKUP(E962,'Location Table'!A:C,2,false),"")</f>
        <v/>
      </c>
      <c r="D962" s="6" t="s">
        <v>565</v>
      </c>
      <c r="E962" s="6"/>
      <c r="F962" s="6" t="s">
        <v>514</v>
      </c>
      <c r="G962" s="7" t="str">
        <f>IFNA(VLOOKUP(F962,Driver!A:D,4,false),"")</f>
        <v>1980698793628880414:XXMGIAegigeHesHcPUQpIcnMCwhigvPUATFrPyRHiqIZqTwmvWiXbUzfDhivxPcl</v>
      </c>
      <c r="H962" s="8" t="str">
        <f>IFNA(VLOOKUP(F962,Driver!A:C,3,false),"")</f>
        <v>595aed435d09b457ed18</v>
      </c>
      <c r="I962" s="9">
        <v>0.6666666666666666</v>
      </c>
      <c r="J962" s="9">
        <v>0.7916666666666666</v>
      </c>
      <c r="K962" s="9"/>
    </row>
    <row r="963" hidden="1">
      <c r="A963" s="5" t="str">
        <f>IFNA(VLOOKUP(D963,'Location Table'!A:C,2,false),"")</f>
        <v>ea114924-37e7-11ee-b57b-506b8d9879b5</v>
      </c>
      <c r="B963" s="5" t="str">
        <f>IFNA(VLOOKUP(F963,Driver!A:C,2,false),"")</f>
        <v>1f4f6cae-37cd-11ed-a84d-506b8dbc8dfb</v>
      </c>
      <c r="C963" s="5" t="str">
        <f>IFNA(VLOOKUP(E963,'Location Table'!A:C,2,false),"")</f>
        <v/>
      </c>
      <c r="D963" s="6" t="s">
        <v>566</v>
      </c>
      <c r="E963" s="6"/>
      <c r="F963" s="6" t="s">
        <v>514</v>
      </c>
      <c r="G963" s="7" t="str">
        <f>IFNA(VLOOKUP(F963,Driver!A:D,4,false),"")</f>
        <v>1980698793628880414:XXMGIAegigeHesHcPUQpIcnMCwhigvPUATFrPyRHiqIZqTwmvWiXbUzfDhivxPcl</v>
      </c>
      <c r="H963" s="8" t="str">
        <f>IFNA(VLOOKUP(F963,Driver!A:C,3,false),"")</f>
        <v>595aed435d09b457ed18</v>
      </c>
      <c r="I963" s="9">
        <v>0.6666666666666666</v>
      </c>
      <c r="J963" s="9">
        <v>0.7916666666666666</v>
      </c>
      <c r="K963" s="9"/>
    </row>
    <row r="964" hidden="1">
      <c r="A964" s="5" t="str">
        <f>IFNA(VLOOKUP(D964,'Location Table'!A:C,2,false),"")</f>
        <v>ba79d6a2-d550-11ee-858c-506b8d9879b5</v>
      </c>
      <c r="B964" s="5" t="str">
        <f>IFNA(VLOOKUP(F964,Driver!A:C,2,false),"")</f>
        <v>1f4f6cae-37cd-11ed-a84d-506b8dbc8dfb</v>
      </c>
      <c r="C964" s="5" t="str">
        <f>IFNA(VLOOKUP(E964,'Location Table'!A:C,2,false),"")</f>
        <v/>
      </c>
      <c r="D964" s="6" t="s">
        <v>567</v>
      </c>
      <c r="E964" s="6"/>
      <c r="F964" s="6" t="s">
        <v>514</v>
      </c>
      <c r="G964" s="7" t="str">
        <f>IFNA(VLOOKUP(F964,Driver!A:D,4,false),"")</f>
        <v>1980698793628880414:XXMGIAegigeHesHcPUQpIcnMCwhigvPUATFrPyRHiqIZqTwmvWiXbUzfDhivxPcl</v>
      </c>
      <c r="H964" s="8" t="str">
        <f>IFNA(VLOOKUP(F964,Driver!A:C,3,false),"")</f>
        <v>595aed435d09b457ed18</v>
      </c>
      <c r="I964" s="9">
        <v>0.6666666666666666</v>
      </c>
      <c r="J964" s="9">
        <v>0.7916666666666666</v>
      </c>
      <c r="K964" s="9"/>
    </row>
    <row r="965" hidden="1">
      <c r="A965" s="5" t="str">
        <f>IFNA(VLOOKUP(D965,'Location Table'!A:C,2,false),"")</f>
        <v>6449120a-7407-11f0-9e36-506b8d982279</v>
      </c>
      <c r="B965" s="5" t="str">
        <f>IFNA(VLOOKUP(F965,Driver!A:C,2,false),"")</f>
        <v>1f4f6cae-37cd-11ed-a84d-506b8dbc8dfb</v>
      </c>
      <c r="C965" s="5" t="str">
        <f>IFNA(VLOOKUP(E965,'Location Table'!A:C,2,false),"")</f>
        <v/>
      </c>
      <c r="D965" s="6" t="s">
        <v>568</v>
      </c>
      <c r="E965" s="6"/>
      <c r="F965" s="6" t="s">
        <v>514</v>
      </c>
      <c r="G965" s="7" t="str">
        <f>IFNA(VLOOKUP(F965,Driver!A:D,4,false),"")</f>
        <v>1980698793628880414:XXMGIAegigeHesHcPUQpIcnMCwhigvPUATFrPyRHiqIZqTwmvWiXbUzfDhivxPcl</v>
      </c>
      <c r="H965" s="8" t="str">
        <f>IFNA(VLOOKUP(F965,Driver!A:C,3,false),"")</f>
        <v>595aed435d09b457ed18</v>
      </c>
      <c r="I965" s="9">
        <v>0.6666666666666666</v>
      </c>
      <c r="J965" s="9">
        <v>0.7916666666666666</v>
      </c>
      <c r="K965" s="9"/>
    </row>
    <row r="966" hidden="1">
      <c r="A966" s="5" t="str">
        <f>IFNA(VLOOKUP(D966,'Location Table'!A:C,2,false),"")</f>
        <v>b2a4e78c-a1c3-11f0-932c-506b8d982279</v>
      </c>
      <c r="B966" s="5" t="str">
        <f>IFNA(VLOOKUP(F966,Driver!A:C,2,false),"")</f>
        <v>4e1ad614-6cdb-11ef-807b-506b8d9879b5</v>
      </c>
      <c r="C966" s="5" t="str">
        <f>IFNA(VLOOKUP(E966,'Location Table'!A:C,2,false),"")</f>
        <v/>
      </c>
      <c r="D966" s="6" t="s">
        <v>569</v>
      </c>
      <c r="E966" s="6"/>
      <c r="F966" s="6" t="s">
        <v>512</v>
      </c>
      <c r="G966" s="7" t="str">
        <f>IFNA(VLOOKUP(F966,Driver!A:D,4,false),"")</f>
        <v>2160130926882687325:VSRHFZoYrhhtnecmAaOfmgvaKlfxBZEgxFxSbLPTAhfVwurTuJfQgOTrwyseeqJQ</v>
      </c>
      <c r="H966" s="8" t="str">
        <f>IFNA(VLOOKUP(F966,Driver!A:C,3,false),"")</f>
        <v>65a6581b624a8b14d25b</v>
      </c>
      <c r="I966" s="9">
        <v>0.7083333333333334</v>
      </c>
      <c r="J966" s="9">
        <v>0.7708333333333334</v>
      </c>
      <c r="K966" s="9"/>
    </row>
    <row r="967" hidden="1">
      <c r="A967" s="5" t="str">
        <f>IFNA(VLOOKUP(D967,'Location Table'!A:C,2,false),"")</f>
        <v>d0ff53de-c8ac-11ef-ae8e-506b8d9879b5</v>
      </c>
      <c r="B967" s="5" t="str">
        <f>IFNA(VLOOKUP(F967,Driver!A:C,2,false),"")</f>
        <v>1f4f6cae-37cd-11ed-a84d-506b8dbc8dfb</v>
      </c>
      <c r="C967" s="5" t="str">
        <f>IFNA(VLOOKUP(E967,'Location Table'!A:C,2,false),"")</f>
        <v/>
      </c>
      <c r="D967" s="6" t="s">
        <v>570</v>
      </c>
      <c r="E967" s="6"/>
      <c r="F967" s="6" t="s">
        <v>514</v>
      </c>
      <c r="G967" s="7" t="str">
        <f>IFNA(VLOOKUP(F967,Driver!A:D,4,false),"")</f>
        <v>1980698793628880414:XXMGIAegigeHesHcPUQpIcnMCwhigvPUATFrPyRHiqIZqTwmvWiXbUzfDhivxPcl</v>
      </c>
      <c r="H967" s="8" t="str">
        <f>IFNA(VLOOKUP(F967,Driver!A:C,3,false),"")</f>
        <v>595aed435d09b457ed18</v>
      </c>
      <c r="I967" s="9">
        <v>0.6666666666666666</v>
      </c>
      <c r="J967" s="9">
        <v>0.7916666666666666</v>
      </c>
      <c r="K967" s="9"/>
    </row>
    <row r="968" hidden="1">
      <c r="A968" s="5" t="str">
        <f>IFNA(VLOOKUP(D968,'Location Table'!A:C,2,false),"")</f>
        <v>ffa6f530-165a-11ee-97c4-506b8dbc8dfb</v>
      </c>
      <c r="B968" s="5" t="str">
        <f>IFNA(VLOOKUP(F968,Driver!A:C,2,false),"")</f>
        <v>4e1ad614-6cdb-11ef-807b-506b8d9879b5</v>
      </c>
      <c r="C968" s="5" t="str">
        <f>IFNA(VLOOKUP(E968,'Location Table'!A:C,2,false),"")</f>
        <v/>
      </c>
      <c r="D968" s="6" t="s">
        <v>571</v>
      </c>
      <c r="E968" s="6"/>
      <c r="F968" s="6" t="s">
        <v>512</v>
      </c>
      <c r="G968" s="7" t="str">
        <f>IFNA(VLOOKUP(F968,Driver!A:D,4,false),"")</f>
        <v>2160130926882687325:VSRHFZoYrhhtnecmAaOfmgvaKlfxBZEgxFxSbLPTAhfVwurTuJfQgOTrwyseeqJQ</v>
      </c>
      <c r="H968" s="8" t="str">
        <f>IFNA(VLOOKUP(F968,Driver!A:C,3,false),"")</f>
        <v>65a6581b624a8b14d25b</v>
      </c>
      <c r="I968" s="9">
        <v>0.7083333333333334</v>
      </c>
      <c r="J968" s="9">
        <v>0.7708333333333334</v>
      </c>
      <c r="K968" s="9"/>
    </row>
    <row r="969" hidden="1">
      <c r="A969" s="5" t="str">
        <f>IFNA(VLOOKUP(D969,'Location Table'!A:C,2,false),"")</f>
        <v>982ee11e-771c-11ef-bda9-506b8d9879b5</v>
      </c>
      <c r="B969" s="5" t="str">
        <f>IFNA(VLOOKUP(F969,Driver!A:C,2,false),"")</f>
        <v>412f31be-2fc3-11f1-9378-fa163ee8d8ac</v>
      </c>
      <c r="C969" s="5" t="str">
        <f>IFNA(VLOOKUP(E969,'Location Table'!A:C,2,false),"")</f>
        <v/>
      </c>
      <c r="D969" s="6" t="s">
        <v>572</v>
      </c>
      <c r="E969" s="6"/>
      <c r="F969" s="10" t="s">
        <v>511</v>
      </c>
      <c r="G969" s="7" t="str">
        <f>IFNA(VLOOKUP(F969,Driver!A:D,4,false),"")</f>
        <v/>
      </c>
      <c r="H969" s="8" t="str">
        <f>IFNA(VLOOKUP(F969,Driver!A:C,3,false),"")</f>
        <v/>
      </c>
      <c r="I969" s="9">
        <v>0.6666666666666666</v>
      </c>
      <c r="J969" s="9">
        <v>0.7916666666666666</v>
      </c>
      <c r="K969" s="9"/>
    </row>
    <row r="970" hidden="1">
      <c r="A970" s="5" t="str">
        <f>IFNA(VLOOKUP(D970,'Location Table'!A:C,2,false),"")</f>
        <v>f0b29d74-f1ca-11f0-9378-fa163ee8d8ac</v>
      </c>
      <c r="B970" s="5" t="str">
        <f>IFNA(VLOOKUP(F970,Driver!A:C,2,false),"")</f>
        <v>412f31be-2fc3-11f1-9378-fa163ee8d8ac</v>
      </c>
      <c r="C970" s="5" t="str">
        <f>IFNA(VLOOKUP(E970,'Location Table'!A:C,2,false),"")</f>
        <v/>
      </c>
      <c r="D970" s="6" t="s">
        <v>573</v>
      </c>
      <c r="E970" s="6"/>
      <c r="F970" s="10" t="s">
        <v>511</v>
      </c>
      <c r="G970" s="7" t="str">
        <f>IFNA(VLOOKUP(F970,Driver!A:D,4,false),"")</f>
        <v/>
      </c>
      <c r="H970" s="8" t="str">
        <f>IFNA(VLOOKUP(F970,Driver!A:C,3,false),"")</f>
        <v/>
      </c>
      <c r="I970" s="9">
        <v>0.6666666666666666</v>
      </c>
      <c r="J970" s="9">
        <v>0.7916666666666666</v>
      </c>
      <c r="K970" s="9"/>
    </row>
    <row r="971" hidden="1">
      <c r="A971" s="5" t="str">
        <f>IFNA(VLOOKUP(D971,'Location Table'!A:C,2,false),"")</f>
        <v>81999026-4170-11ee-abe4-506b8d9879b5</v>
      </c>
      <c r="B971" s="5" t="str">
        <f>IFNA(VLOOKUP(F971,Driver!A:C,2,false),"")</f>
        <v>f61678a4-3656-11ed-9310-506b8dbc8dfb</v>
      </c>
      <c r="C971" s="5" t="str">
        <f>IFNA(VLOOKUP(E971,'Location Table'!A:C,2,false),"")</f>
        <v/>
      </c>
      <c r="D971" s="6" t="s">
        <v>576</v>
      </c>
      <c r="E971" s="6"/>
      <c r="F971" s="6" t="s">
        <v>470</v>
      </c>
      <c r="G971" s="7" t="str">
        <f>IFNA(VLOOKUP(F971,Driver!A:D,4,false),"")</f>
        <v>2160130926882687325:VSRHFZoYrhhtnecmAaOfmgvaKlfxBZEgxFxSbLPTAhfVwurTuJfQgOTrwyseeqJQ</v>
      </c>
      <c r="H971" s="8" t="str">
        <f>IFNA(VLOOKUP(F971,Driver!A:C,3,false),"")</f>
        <v>551b71e8ffa616f84fb7</v>
      </c>
      <c r="I971" s="9">
        <v>0.5833333333333334</v>
      </c>
      <c r="J971" s="9">
        <v>0.7916666666666666</v>
      </c>
      <c r="K971" s="9"/>
    </row>
    <row r="972" hidden="1">
      <c r="A972" s="5" t="str">
        <f>IFNA(VLOOKUP(D972,'Location Table'!A:C,2,false),"")</f>
        <v>8e21ab30-e107-11ee-9e56-506b8d9879b5</v>
      </c>
      <c r="B972" s="5" t="str">
        <f>IFNA(VLOOKUP(F972,Driver!A:C,2,false),"")</f>
        <v>f61678a4-3656-11ed-9310-506b8dbc8dfb</v>
      </c>
      <c r="C972" s="5" t="str">
        <f>IFNA(VLOOKUP(E972,'Location Table'!A:C,2,false),"")</f>
        <v/>
      </c>
      <c r="D972" s="6" t="s">
        <v>577</v>
      </c>
      <c r="E972" s="6"/>
      <c r="F972" s="6" t="s">
        <v>470</v>
      </c>
      <c r="G972" s="7" t="str">
        <f>IFNA(VLOOKUP(F972,Driver!A:D,4,false),"")</f>
        <v>2160130926882687325:VSRHFZoYrhhtnecmAaOfmgvaKlfxBZEgxFxSbLPTAhfVwurTuJfQgOTrwyseeqJQ</v>
      </c>
      <c r="H972" s="8" t="str">
        <f>IFNA(VLOOKUP(F972,Driver!A:C,3,false),"")</f>
        <v>551b71e8ffa616f84fb7</v>
      </c>
      <c r="I972" s="9">
        <v>0.5833333333333334</v>
      </c>
      <c r="J972" s="9">
        <v>0.7916666666666666</v>
      </c>
      <c r="K972" s="9"/>
    </row>
    <row r="973" hidden="1">
      <c r="A973" s="5" t="str">
        <f>IFNA(VLOOKUP(D973,'Location Table'!A:C,2,false),"")</f>
        <v>8cee2ee0-7636-11ef-9feb-506b8d9879b5</v>
      </c>
      <c r="B973" s="5" t="str">
        <f>IFNA(VLOOKUP(F973,Driver!A:C,2,false),"")</f>
        <v>f61678a4-3656-11ed-9310-506b8dbc8dfb</v>
      </c>
      <c r="C973" s="5" t="str">
        <f>IFNA(VLOOKUP(E973,'Location Table'!A:C,2,false),"")</f>
        <v/>
      </c>
      <c r="D973" s="6" t="s">
        <v>578</v>
      </c>
      <c r="E973" s="6"/>
      <c r="F973" s="6" t="s">
        <v>470</v>
      </c>
      <c r="G973" s="7" t="str">
        <f>IFNA(VLOOKUP(F973,Driver!A:D,4,false),"")</f>
        <v>2160130926882687325:VSRHFZoYrhhtnecmAaOfmgvaKlfxBZEgxFxSbLPTAhfVwurTuJfQgOTrwyseeqJQ</v>
      </c>
      <c r="H973" s="8" t="str">
        <f>IFNA(VLOOKUP(F973,Driver!A:C,3,false),"")</f>
        <v>551b71e8ffa616f84fb7</v>
      </c>
      <c r="I973" s="9">
        <v>0.5833333333333334</v>
      </c>
      <c r="J973" s="9">
        <v>0.7916666666666666</v>
      </c>
      <c r="K973" s="9"/>
    </row>
    <row r="974" hidden="1">
      <c r="A974" s="5" t="str">
        <f>IFNA(VLOOKUP(D974,'Location Table'!A:C,2,false),"")</f>
        <v>31b408c0-5bcc-11f0-b8b7-506b8d982279</v>
      </c>
      <c r="B974" s="5" t="str">
        <f>IFNA(VLOOKUP(F974,Driver!A:C,2,false),"")</f>
        <v>443c5016-3017-11ee-a6b5-506b8d9879b5</v>
      </c>
      <c r="C974" s="5" t="str">
        <f>IFNA(VLOOKUP(E974,'Location Table'!A:C,2,false),"")</f>
        <v/>
      </c>
      <c r="D974" s="6" t="s">
        <v>580</v>
      </c>
      <c r="E974" s="6"/>
      <c r="F974" s="6" t="s">
        <v>513</v>
      </c>
      <c r="G974" s="7" t="str">
        <f>IFNA(VLOOKUP(F974,Driver!A:D,4,false),"")</f>
        <v>1980698793628880414:XXMGIAegigeHesHcPUQpIcnMCwhigvPUATFrPyRHiqIZqTwmvWiXbUzfDhivxPcl</v>
      </c>
      <c r="H974" s="8" t="str">
        <f>IFNA(VLOOKUP(F974,Driver!A:C,3,false),"")</f>
        <v>430767465e0cb752ee1d</v>
      </c>
      <c r="I974" s="9">
        <v>0.6666666666666666</v>
      </c>
      <c r="J974" s="9">
        <v>0.7916666666666666</v>
      </c>
      <c r="K974" s="9"/>
    </row>
    <row r="975" hidden="1">
      <c r="A975" s="5" t="str">
        <f>IFNA(VLOOKUP(D975,'Location Table'!A:C,2,false),"")</f>
        <v>b63279a2-e776-11f0-9ae2-506b8d982279</v>
      </c>
      <c r="B975" s="5" t="str">
        <f>IFNA(VLOOKUP(F975,Driver!A:C,2,false),"")</f>
        <v>02d08390-37cf-11ed-865f-506b8dbc8dfb</v>
      </c>
      <c r="C975" s="5" t="str">
        <f>IFNA(VLOOKUP(E975,'Location Table'!A:C,2,false),"")</f>
        <v/>
      </c>
      <c r="D975" s="6" t="s">
        <v>584</v>
      </c>
      <c r="E975" s="6"/>
      <c r="F975" s="6" t="s">
        <v>516</v>
      </c>
      <c r="G975" s="7" t="str">
        <f>IFNA(VLOOKUP(F975,Driver!A:D,4,false),"")</f>
        <v>2160130926882687325:VSRHFZoYrhhtnecmAaOfmgvaKlfxBZEgxFxSbLPTAhfVwurTuJfQgOTrwyseeqJQ</v>
      </c>
      <c r="H975" s="8" t="str">
        <f>IFNA(VLOOKUP(F975,Driver!A:C,3,false),"")</f>
        <v>7b7d76055846b118e857</v>
      </c>
      <c r="I975" s="9">
        <v>0.6875</v>
      </c>
      <c r="J975" s="9">
        <v>0.7916666666666666</v>
      </c>
      <c r="K975" s="9"/>
    </row>
    <row r="976" hidden="1">
      <c r="A976" s="5" t="str">
        <f>IFNA(VLOOKUP(D976,'Location Table'!A:C,2,false),"")</f>
        <v>c6db25aa-458d-11f0-b3ac-506b8d982279</v>
      </c>
      <c r="B976" s="5" t="str">
        <f>IFNA(VLOOKUP(F976,Driver!A:C,2,false),"")</f>
        <v>353f3686-dcc8-11f0-82b8-506b8d982279</v>
      </c>
      <c r="C976" s="5" t="str">
        <f>IFNA(VLOOKUP(E976,'Location Table'!A:C,2,false),"")</f>
        <v/>
      </c>
      <c r="D976" s="6" t="s">
        <v>587</v>
      </c>
      <c r="E976" s="6"/>
      <c r="F976" s="6" t="s">
        <v>96</v>
      </c>
      <c r="G976" s="7" t="str">
        <f>IFNA(VLOOKUP(F976,Driver!A:D,4,false),"")</f>
        <v>2160130926882687325:VSRHFZoYrhhtnecmAaOfmgvaKlfxBZEgxFxSbLPTAhfVwurTuJfQgOTrwyseeqJQ</v>
      </c>
      <c r="H976" s="8" t="str">
        <f>IFNA(VLOOKUP(F976,Driver!A:C,3,false),"")</f>
        <v>e7ce6d37cc7f25217c6e</v>
      </c>
      <c r="I976" s="9">
        <v>0.5</v>
      </c>
      <c r="J976" s="9">
        <v>0.7916666666666666</v>
      </c>
      <c r="K976" s="9"/>
    </row>
    <row r="977" hidden="1">
      <c r="A977" s="5" t="str">
        <f>IFNA(VLOOKUP(D977,'Location Table'!A:C,2,false),"")</f>
        <v>9c275ec6-d7c7-11ee-a881-506b8d9879b5</v>
      </c>
      <c r="B977" s="5" t="str">
        <f>IFNA(VLOOKUP(F977,Driver!A:C,2,false),"")</f>
        <v>efbf243a-37c6-11ed-93fb-506b8dbc8dfb</v>
      </c>
      <c r="C977" s="5" t="str">
        <f>IFNA(VLOOKUP(E977,'Location Table'!A:C,2,false),"")</f>
        <v/>
      </c>
      <c r="D977" s="6" t="s">
        <v>588</v>
      </c>
      <c r="E977" s="6"/>
      <c r="F977" s="6" t="s">
        <v>517</v>
      </c>
      <c r="G977" s="7" t="str">
        <f>IFNA(VLOOKUP(F977,Driver!A:D,4,false),"")</f>
        <v>1980698793628880414:XXMGIAegigeHesHcPUQpIcnMCwhigvPUATFrPyRHiqIZqTwmvWiXbUzfDhivxPcl</v>
      </c>
      <c r="H977" s="8" t="str">
        <f>IFNA(VLOOKUP(F977,Driver!A:C,3,false),"")</f>
        <v>c73df7953cd9d5878cc8</v>
      </c>
      <c r="I977" s="9">
        <v>0.5833333333333334</v>
      </c>
      <c r="J977" s="9">
        <v>0.7916666666666666</v>
      </c>
      <c r="K977" s="9"/>
    </row>
    <row r="978" hidden="1">
      <c r="A978" s="5" t="str">
        <f>IFNA(VLOOKUP(D978,'Location Table'!A:C,2,false),"")</f>
        <v>d43bffd8-b6a1-11ef-905e-506b8d9879b5</v>
      </c>
      <c r="B978" s="5" t="str">
        <f>IFNA(VLOOKUP(F978,Driver!A:C,2,false),"")</f>
        <v>efbf243a-37c6-11ed-93fb-506b8dbc8dfb</v>
      </c>
      <c r="C978" s="5" t="str">
        <f>IFNA(VLOOKUP(E978,'Location Table'!A:C,2,false),"")</f>
        <v/>
      </c>
      <c r="D978" s="6" t="s">
        <v>589</v>
      </c>
      <c r="E978" s="6"/>
      <c r="F978" s="6" t="s">
        <v>517</v>
      </c>
      <c r="G978" s="7" t="str">
        <f>IFNA(VLOOKUP(F978,Driver!A:D,4,false),"")</f>
        <v>1980698793628880414:XXMGIAegigeHesHcPUQpIcnMCwhigvPUATFrPyRHiqIZqTwmvWiXbUzfDhivxPcl</v>
      </c>
      <c r="H978" s="8" t="str">
        <f>IFNA(VLOOKUP(F978,Driver!A:C,3,false),"")</f>
        <v>c73df7953cd9d5878cc8</v>
      </c>
      <c r="I978" s="9">
        <v>0.5833333333333334</v>
      </c>
      <c r="J978" s="9">
        <v>0.7916666666666666</v>
      </c>
      <c r="K978" s="9"/>
    </row>
    <row r="979" hidden="1">
      <c r="A979" s="5" t="str">
        <f>IFNA(VLOOKUP(D979,'Location Table'!A:C,2,false),"")</f>
        <v>04dfccf8-28c4-11ef-b0d0-506b8d9879b5</v>
      </c>
      <c r="B979" s="5" t="str">
        <f>IFNA(VLOOKUP(F979,Driver!A:C,2,false),"")</f>
        <v>f61678a4-3656-11ed-9310-506b8dbc8dfb</v>
      </c>
      <c r="C979" s="5" t="str">
        <f>IFNA(VLOOKUP(E979,'Location Table'!A:C,2,false),"")</f>
        <v/>
      </c>
      <c r="D979" s="6" t="s">
        <v>590</v>
      </c>
      <c r="E979" s="6"/>
      <c r="F979" s="6" t="s">
        <v>470</v>
      </c>
      <c r="G979" s="7" t="str">
        <f>IFNA(VLOOKUP(F979,Driver!A:D,4,false),"")</f>
        <v>2160130926882687325:VSRHFZoYrhhtnecmAaOfmgvaKlfxBZEgxFxSbLPTAhfVwurTuJfQgOTrwyseeqJQ</v>
      </c>
      <c r="H979" s="8" t="str">
        <f>IFNA(VLOOKUP(F979,Driver!A:C,3,false),"")</f>
        <v>551b71e8ffa616f84fb7</v>
      </c>
      <c r="I979" s="9">
        <v>0.5833333333333334</v>
      </c>
      <c r="J979" s="9">
        <v>0.7916666666666666</v>
      </c>
      <c r="K979" s="9"/>
    </row>
    <row r="980" hidden="1">
      <c r="A980" s="5" t="str">
        <f>IFNA(VLOOKUP(D980,'Location Table'!A:C,2,false),"")</f>
        <v>734a3e3e-295b-11ef-a667-506b8d9879b5</v>
      </c>
      <c r="B980" s="5" t="str">
        <f>IFNA(VLOOKUP(F980,Driver!A:C,2,false),"")</f>
        <v>f5993946-37cf-11ed-a3fc-506b8dbc8dfb</v>
      </c>
      <c r="C980" s="5" t="str">
        <f>IFNA(VLOOKUP(E980,'Location Table'!A:C,2,false),"")</f>
        <v/>
      </c>
      <c r="D980" s="6" t="s">
        <v>591</v>
      </c>
      <c r="E980" s="6"/>
      <c r="F980" s="6" t="s">
        <v>314</v>
      </c>
      <c r="G980" s="7" t="str">
        <f>IFNA(VLOOKUP(F980,Driver!A:D,4,false),"")</f>
        <v/>
      </c>
      <c r="H980" s="8" t="str">
        <f>IFNA(VLOOKUP(F980,Driver!A:C,3,false),"")</f>
        <v/>
      </c>
      <c r="I980" s="9">
        <v>0.6875</v>
      </c>
      <c r="J980" s="9">
        <v>0.7916666666666666</v>
      </c>
      <c r="K980" s="9"/>
    </row>
    <row r="981" hidden="1">
      <c r="A981" s="5" t="str">
        <f>IFNA(VLOOKUP(D981,'Location Table'!A:C,2,false),"")</f>
        <v>aa19e50a-f872-11ee-8961-506b8d9879b5</v>
      </c>
      <c r="B981" s="5" t="str">
        <f>IFNA(VLOOKUP(F981,Driver!A:C,2,false),"")</f>
        <v>f61678a4-3656-11ed-9310-506b8dbc8dfb</v>
      </c>
      <c r="C981" s="5" t="str">
        <f>IFNA(VLOOKUP(E981,'Location Table'!A:C,2,false),"")</f>
        <v/>
      </c>
      <c r="D981" s="6" t="s">
        <v>592</v>
      </c>
      <c r="E981" s="6"/>
      <c r="F981" s="6" t="s">
        <v>470</v>
      </c>
      <c r="G981" s="7" t="str">
        <f>IFNA(VLOOKUP(F981,Driver!A:D,4,false),"")</f>
        <v>2160130926882687325:VSRHFZoYrhhtnecmAaOfmgvaKlfxBZEgxFxSbLPTAhfVwurTuJfQgOTrwyseeqJQ</v>
      </c>
      <c r="H981" s="8" t="str">
        <f>IFNA(VLOOKUP(F981,Driver!A:C,3,false),"")</f>
        <v>551b71e8ffa616f84fb7</v>
      </c>
      <c r="I981" s="9">
        <v>0.5833333333333334</v>
      </c>
      <c r="J981" s="9">
        <v>0.7916666666666666</v>
      </c>
      <c r="K981" s="9"/>
    </row>
    <row r="982" hidden="1">
      <c r="A982" s="5" t="str">
        <f>IFNA(VLOOKUP(D982,'Location Table'!A:C,2,false),"")</f>
        <v>27f15d46-5a6c-11ee-b0f8-506b8d9879b5</v>
      </c>
      <c r="B982" s="5" t="str">
        <f>IFNA(VLOOKUP(F982,Driver!A:C,2,false),"")</f>
        <v>af57dfcc-782d-11f0-b407-506b8d982279</v>
      </c>
      <c r="C982" s="5" t="str">
        <f>IFNA(VLOOKUP(E982,'Location Table'!A:C,2,false),"")</f>
        <v/>
      </c>
      <c r="D982" s="6" t="s">
        <v>594</v>
      </c>
      <c r="E982" s="6"/>
      <c r="F982" s="6" t="s">
        <v>515</v>
      </c>
      <c r="G982" s="7" t="str">
        <f>IFNA(VLOOKUP(F982,Driver!A:D,4,false),"")</f>
        <v>2160130926882687325:VSRHFZoYrhhtnecmAaOfmgvaKlfxBZEgxFxSbLPTAhfVwurTuJfQgOTrwyseeqJQ</v>
      </c>
      <c r="H982" s="8" t="str">
        <f>IFNA(VLOOKUP(F982,Driver!A:C,3,false),"")</f>
        <v>d9fc37dd4093a9cdf082</v>
      </c>
      <c r="I982" s="9">
        <v>0.6666666666666666</v>
      </c>
      <c r="J982" s="9">
        <v>0.8333333333333334</v>
      </c>
      <c r="K982" s="9"/>
    </row>
    <row r="983" hidden="1">
      <c r="A983" s="5" t="str">
        <f>IFNA(VLOOKUP(D983,'Location Table'!A:C,2,false),"")</f>
        <v>36d79306-d8bb-11ef-bddf-506b8d9879b5</v>
      </c>
      <c r="B983" s="5" t="str">
        <f>IFNA(VLOOKUP(F983,Driver!A:C,2,false),"")</f>
        <v>af57dfcc-782d-11f0-b407-506b8d982279</v>
      </c>
      <c r="C983" s="5" t="str">
        <f>IFNA(VLOOKUP(E983,'Location Table'!A:C,2,false),"")</f>
        <v/>
      </c>
      <c r="D983" s="6" t="s">
        <v>595</v>
      </c>
      <c r="E983" s="6"/>
      <c r="F983" s="6" t="s">
        <v>515</v>
      </c>
      <c r="G983" s="7" t="str">
        <f>IFNA(VLOOKUP(F983,Driver!A:D,4,false),"")</f>
        <v>2160130926882687325:VSRHFZoYrhhtnecmAaOfmgvaKlfxBZEgxFxSbLPTAhfVwurTuJfQgOTrwyseeqJQ</v>
      </c>
      <c r="H983" s="8" t="str">
        <f>IFNA(VLOOKUP(F983,Driver!A:C,3,false),"")</f>
        <v>d9fc37dd4093a9cdf082</v>
      </c>
      <c r="I983" s="9">
        <v>0.6666666666666666</v>
      </c>
      <c r="J983" s="9">
        <v>0.8333333333333334</v>
      </c>
      <c r="K983" s="9"/>
    </row>
    <row r="984" hidden="1">
      <c r="A984" s="5" t="str">
        <f>IFNA(VLOOKUP(D984,'Location Table'!A:C,2,false),"")</f>
        <v>776b9818-5953-11f0-a360-506b8d982279</v>
      </c>
      <c r="B984" s="5" t="str">
        <f>IFNA(VLOOKUP(F984,Driver!A:C,2,false),"")</f>
        <v>443c5016-3017-11ee-a6b5-506b8d9879b5</v>
      </c>
      <c r="C984" s="5" t="str">
        <f>IFNA(VLOOKUP(E984,'Location Table'!A:C,2,false),"")</f>
        <v/>
      </c>
      <c r="D984" s="6" t="s">
        <v>600</v>
      </c>
      <c r="E984" s="6"/>
      <c r="F984" s="6" t="s">
        <v>513</v>
      </c>
      <c r="G984" s="7" t="str">
        <f>IFNA(VLOOKUP(F984,Driver!A:D,4,false),"")</f>
        <v>1980698793628880414:XXMGIAegigeHesHcPUQpIcnMCwhigvPUATFrPyRHiqIZqTwmvWiXbUzfDhivxPcl</v>
      </c>
      <c r="H984" s="8" t="str">
        <f>IFNA(VLOOKUP(F984,Driver!A:C,3,false),"")</f>
        <v>430767465e0cb752ee1d</v>
      </c>
      <c r="I984" s="9">
        <v>0.6666666666666666</v>
      </c>
      <c r="J984" s="9">
        <v>0.7916666666666666</v>
      </c>
      <c r="K984" s="9"/>
    </row>
    <row r="985" hidden="1">
      <c r="A985" s="5" t="str">
        <f>IFNA(VLOOKUP(D985,'Location Table'!A:C,2,false),"")</f>
        <v>e8a5c316-4e57-11f0-9e90-506b8d982279</v>
      </c>
      <c r="B985" s="5" t="str">
        <f>IFNA(VLOOKUP(F985,Driver!A:C,2,false),"")</f>
        <v>f5993946-37cf-11ed-a3fc-506b8dbc8dfb</v>
      </c>
      <c r="C985" s="5" t="str">
        <f>IFNA(VLOOKUP(E985,'Location Table'!A:C,2,false),"")</f>
        <v/>
      </c>
      <c r="D985" s="6" t="s">
        <v>602</v>
      </c>
      <c r="E985" s="6"/>
      <c r="F985" s="6" t="s">
        <v>314</v>
      </c>
      <c r="G985" s="7" t="str">
        <f>IFNA(VLOOKUP(F985,Driver!A:D,4,false),"")</f>
        <v/>
      </c>
      <c r="H985" s="8" t="str">
        <f>IFNA(VLOOKUP(F985,Driver!A:C,3,false),"")</f>
        <v/>
      </c>
      <c r="I985" s="9">
        <v>0.6875</v>
      </c>
      <c r="J985" s="9">
        <v>0.7916666666666666</v>
      </c>
      <c r="K985" s="9"/>
    </row>
    <row r="986" hidden="1">
      <c r="A986" s="5" t="str">
        <f>IFNA(VLOOKUP(D986,'Location Table'!A:C,2,false),"")</f>
        <v>d5fc1bda-f5a9-11f0-9378-fa163ee8d8ac</v>
      </c>
      <c r="B986" s="5" t="str">
        <f>IFNA(VLOOKUP(F986,Driver!A:C,2,false),"")</f>
        <v>4e1ad614-6cdb-11ef-807b-506b8d9879b5</v>
      </c>
      <c r="C986" s="5" t="str">
        <f>IFNA(VLOOKUP(E986,'Location Table'!A:C,2,false),"")</f>
        <v/>
      </c>
      <c r="D986" s="6" t="s">
        <v>603</v>
      </c>
      <c r="E986" s="6"/>
      <c r="F986" s="6" t="s">
        <v>512</v>
      </c>
      <c r="G986" s="7" t="str">
        <f>IFNA(VLOOKUP(F986,Driver!A:D,4,false),"")</f>
        <v>2160130926882687325:VSRHFZoYrhhtnecmAaOfmgvaKlfxBZEgxFxSbLPTAhfVwurTuJfQgOTrwyseeqJQ</v>
      </c>
      <c r="H986" s="8" t="str">
        <f>IFNA(VLOOKUP(F986,Driver!A:C,3,false),"")</f>
        <v>65a6581b624a8b14d25b</v>
      </c>
      <c r="I986" s="9">
        <v>0.7083333333333334</v>
      </c>
      <c r="J986" s="9">
        <v>0.7708333333333334</v>
      </c>
      <c r="K986" s="9"/>
    </row>
    <row r="987" hidden="1">
      <c r="A987" s="5" t="str">
        <f>IFNA(VLOOKUP(D987,'Location Table'!A:C,2,false),"")</f>
        <v>0a0741b0-0670-11ee-8e90-506b8dbc8dfb</v>
      </c>
      <c r="B987" s="5" t="str">
        <f>IFNA(VLOOKUP(F987,Driver!A:C,2,false),"")</f>
        <v>1f4f6cae-37cd-11ed-a84d-506b8dbc8dfb</v>
      </c>
      <c r="C987" s="5" t="str">
        <f>IFNA(VLOOKUP(E987,'Location Table'!A:C,2,false),"")</f>
        <v/>
      </c>
      <c r="D987" s="6" t="s">
        <v>604</v>
      </c>
      <c r="E987" s="6"/>
      <c r="F987" s="6" t="s">
        <v>514</v>
      </c>
      <c r="G987" s="7" t="str">
        <f>IFNA(VLOOKUP(F987,Driver!A:D,4,false),"")</f>
        <v>1980698793628880414:XXMGIAegigeHesHcPUQpIcnMCwhigvPUATFrPyRHiqIZqTwmvWiXbUzfDhivxPcl</v>
      </c>
      <c r="H987" s="8" t="str">
        <f>IFNA(VLOOKUP(F987,Driver!A:C,3,false),"")</f>
        <v>595aed435d09b457ed18</v>
      </c>
      <c r="I987" s="9">
        <v>0.6666666666666666</v>
      </c>
      <c r="J987" s="9">
        <v>0.7916666666666666</v>
      </c>
      <c r="K987" s="9"/>
    </row>
    <row r="988" hidden="1">
      <c r="A988" s="5" t="str">
        <f>IFNA(VLOOKUP(D988,'Location Table'!A:C,2,false),"")</f>
        <v>e3952d4c-3b85-11f0-9180-506b8d982279</v>
      </c>
      <c r="B988" s="5" t="str">
        <f>IFNA(VLOOKUP(F988,Driver!A:C,2,false),"")</f>
        <v>4e1ad614-6cdb-11ef-807b-506b8d9879b5</v>
      </c>
      <c r="C988" s="5" t="str">
        <f>IFNA(VLOOKUP(E988,'Location Table'!A:C,2,false),"")</f>
        <v/>
      </c>
      <c r="D988" s="6" t="s">
        <v>606</v>
      </c>
      <c r="E988" s="6"/>
      <c r="F988" s="6" t="s">
        <v>512</v>
      </c>
      <c r="G988" s="7" t="str">
        <f>IFNA(VLOOKUP(F988,Driver!A:D,4,false),"")</f>
        <v>2160130926882687325:VSRHFZoYrhhtnecmAaOfmgvaKlfxBZEgxFxSbLPTAhfVwurTuJfQgOTrwyseeqJQ</v>
      </c>
      <c r="H988" s="8" t="str">
        <f>IFNA(VLOOKUP(F988,Driver!A:C,3,false),"")</f>
        <v>65a6581b624a8b14d25b</v>
      </c>
      <c r="I988" s="9">
        <v>0.7083333333333334</v>
      </c>
      <c r="J988" s="9">
        <v>0.7708333333333334</v>
      </c>
      <c r="K988" s="9"/>
    </row>
    <row r="989" hidden="1">
      <c r="A989" s="5" t="str">
        <f>IFNA(VLOOKUP(D989,'Location Table'!A:C,2,false),"")</f>
        <v>fa79c97e-cccb-11ef-abf9-506b8d9879b5</v>
      </c>
      <c r="B989" s="5" t="str">
        <f>IFNA(VLOOKUP(F989,Driver!A:C,2,false),"")</f>
        <v>f61678a4-3656-11ed-9310-506b8dbc8dfb</v>
      </c>
      <c r="C989" s="5" t="str">
        <f>IFNA(VLOOKUP(E989,'Location Table'!A:C,2,false),"")</f>
        <v/>
      </c>
      <c r="D989" s="6" t="s">
        <v>609</v>
      </c>
      <c r="E989" s="6"/>
      <c r="F989" s="6" t="s">
        <v>470</v>
      </c>
      <c r="G989" s="7" t="str">
        <f>IFNA(VLOOKUP(F989,Driver!A:D,4,false),"")</f>
        <v>2160130926882687325:VSRHFZoYrhhtnecmAaOfmgvaKlfxBZEgxFxSbLPTAhfVwurTuJfQgOTrwyseeqJQ</v>
      </c>
      <c r="H989" s="8" t="str">
        <f>IFNA(VLOOKUP(F989,Driver!A:C,3,false),"")</f>
        <v>551b71e8ffa616f84fb7</v>
      </c>
      <c r="I989" s="9">
        <v>0.5833333333333334</v>
      </c>
      <c r="J989" s="9">
        <v>0.7916666666666666</v>
      </c>
      <c r="K989" s="9"/>
    </row>
    <row r="990" hidden="1">
      <c r="A990" s="5" t="str">
        <f>IFNA(VLOOKUP(D990,'Location Table'!A:C,2,false),"")</f>
        <v>3982905c-544a-11ee-be4d-506b8d9879b5</v>
      </c>
      <c r="B990" s="5" t="str">
        <f>IFNA(VLOOKUP(F990,Driver!A:C,2,false),"")</f>
        <v>02d08390-37cf-11ed-865f-506b8dbc8dfb</v>
      </c>
      <c r="C990" s="5" t="str">
        <f>IFNA(VLOOKUP(E990,'Location Table'!A:C,2,false),"")</f>
        <v/>
      </c>
      <c r="D990" s="6" t="s">
        <v>617</v>
      </c>
      <c r="E990" s="6"/>
      <c r="F990" s="6" t="s">
        <v>516</v>
      </c>
      <c r="G990" s="7" t="str">
        <f>IFNA(VLOOKUP(F990,Driver!A:D,4,false),"")</f>
        <v>2160130926882687325:VSRHFZoYrhhtnecmAaOfmgvaKlfxBZEgxFxSbLPTAhfVwurTuJfQgOTrwyseeqJQ</v>
      </c>
      <c r="H990" s="8" t="str">
        <f>IFNA(VLOOKUP(F990,Driver!A:C,3,false),"")</f>
        <v>7b7d76055846b118e857</v>
      </c>
      <c r="I990" s="9">
        <v>0.6875</v>
      </c>
      <c r="J990" s="9">
        <v>0.7916666666666666</v>
      </c>
      <c r="K990" s="9"/>
    </row>
    <row r="991" hidden="1">
      <c r="A991" s="5" t="str">
        <f>IFNA(VLOOKUP(D991,'Location Table'!A:C,2,false),"")</f>
        <v>2df160d4-39da-11f0-a2f8-506b8d982279</v>
      </c>
      <c r="B991" s="5" t="str">
        <f>IFNA(VLOOKUP(F991,Driver!A:C,2,false),"")</f>
        <v>f5993946-37cf-11ed-a3fc-506b8dbc8dfb</v>
      </c>
      <c r="C991" s="5" t="str">
        <f>IFNA(VLOOKUP(E991,'Location Table'!A:C,2,false),"")</f>
        <v/>
      </c>
      <c r="D991" s="6" t="s">
        <v>622</v>
      </c>
      <c r="E991" s="6"/>
      <c r="F991" s="6" t="s">
        <v>314</v>
      </c>
      <c r="G991" s="7" t="str">
        <f>IFNA(VLOOKUP(F991,Driver!A:D,4,false),"")</f>
        <v/>
      </c>
      <c r="H991" s="8" t="str">
        <f>IFNA(VLOOKUP(F991,Driver!A:C,3,false),"")</f>
        <v/>
      </c>
      <c r="I991" s="9">
        <v>0.6875</v>
      </c>
      <c r="J991" s="9">
        <v>0.7916666666666666</v>
      </c>
      <c r="K991" s="9"/>
    </row>
    <row r="992" hidden="1">
      <c r="A992" s="5" t="str">
        <f>IFNA(VLOOKUP(D992,'Location Table'!A:C,2,false),"")</f>
        <v>c7166e00-1e0f-11ee-a97a-506b8d9879b5</v>
      </c>
      <c r="B992" s="5" t="str">
        <f>IFNA(VLOOKUP(F992,Driver!A:C,2,false),"")</f>
        <v>412f31be-2fc3-11f1-9378-fa163ee8d8ac</v>
      </c>
      <c r="C992" s="5" t="str">
        <f>IFNA(VLOOKUP(E992,'Location Table'!A:C,2,false),"")</f>
        <v/>
      </c>
      <c r="D992" s="6" t="s">
        <v>623</v>
      </c>
      <c r="E992" s="6"/>
      <c r="F992" s="10" t="s">
        <v>511</v>
      </c>
      <c r="G992" s="7" t="str">
        <f>IFNA(VLOOKUP(F992,Driver!A:D,4,false),"")</f>
        <v/>
      </c>
      <c r="H992" s="8" t="str">
        <f>IFNA(VLOOKUP(F992,Driver!A:C,3,false),"")</f>
        <v/>
      </c>
      <c r="I992" s="9">
        <v>0.6666666666666666</v>
      </c>
      <c r="J992" s="9">
        <v>0.7916666666666666</v>
      </c>
      <c r="K992" s="9"/>
    </row>
    <row r="993" hidden="1">
      <c r="A993" s="5" t="str">
        <f>IFNA(VLOOKUP(D993,'Location Table'!A:C,2,false),"")</f>
        <v>5a1f764a-613c-11ef-b8cb-506b8d9879b5</v>
      </c>
      <c r="B993" s="5" t="str">
        <f>IFNA(VLOOKUP(F993,Driver!A:C,2,false),"")</f>
        <v>f61678a4-3656-11ed-9310-506b8dbc8dfb</v>
      </c>
      <c r="C993" s="5" t="str">
        <f>IFNA(VLOOKUP(E993,'Location Table'!A:C,2,false),"")</f>
        <v/>
      </c>
      <c r="D993" s="6" t="s">
        <v>624</v>
      </c>
      <c r="E993" s="6"/>
      <c r="F993" s="6" t="s">
        <v>470</v>
      </c>
      <c r="G993" s="7" t="str">
        <f>IFNA(VLOOKUP(F993,Driver!A:D,4,false),"")</f>
        <v>2160130926882687325:VSRHFZoYrhhtnecmAaOfmgvaKlfxBZEgxFxSbLPTAhfVwurTuJfQgOTrwyseeqJQ</v>
      </c>
      <c r="H993" s="8" t="str">
        <f>IFNA(VLOOKUP(F993,Driver!A:C,3,false),"")</f>
        <v>551b71e8ffa616f84fb7</v>
      </c>
      <c r="I993" s="9">
        <v>0.5833333333333334</v>
      </c>
      <c r="J993" s="9">
        <v>0.7916666666666666</v>
      </c>
      <c r="K993" s="9"/>
    </row>
    <row r="994" hidden="1">
      <c r="A994" s="5" t="str">
        <f>IFNA(VLOOKUP(D994,'Location Table'!A:C,2,false),"")</f>
        <v>fc318f48-9fc9-11ee-9804-506b8d9879b5</v>
      </c>
      <c r="B994" s="5" t="str">
        <f>IFNA(VLOOKUP(F994,Driver!A:C,2,false),"")</f>
        <v>4e1ad614-6cdb-11ef-807b-506b8d9879b5</v>
      </c>
      <c r="C994" s="5" t="str">
        <f>IFNA(VLOOKUP(E994,'Location Table'!A:C,2,false),"")</f>
        <v/>
      </c>
      <c r="D994" s="6" t="s">
        <v>605</v>
      </c>
      <c r="E994" s="6"/>
      <c r="F994" s="6" t="s">
        <v>512</v>
      </c>
      <c r="G994" s="7" t="str">
        <f>IFNA(VLOOKUP(F994,Driver!A:D,4,false),"")</f>
        <v>2160130926882687325:VSRHFZoYrhhtnecmAaOfmgvaKlfxBZEgxFxSbLPTAhfVwurTuJfQgOTrwyseeqJQ</v>
      </c>
      <c r="H994" s="8" t="str">
        <f>IFNA(VLOOKUP(F994,Driver!A:C,3,false),"")</f>
        <v>65a6581b624a8b14d25b</v>
      </c>
      <c r="I994" s="9">
        <v>0.7083333333333334</v>
      </c>
      <c r="J994" s="9">
        <v>0.7708333333333334</v>
      </c>
      <c r="K994" s="9"/>
    </row>
    <row r="995" hidden="1">
      <c r="A995" s="5" t="str">
        <f>IFNA(VLOOKUP(D995,'Location Table'!A:C,2,false),"")</f>
        <v>57cf4696-c885-11ed-a324-506b8dbc8dfb</v>
      </c>
      <c r="B995" s="5" t="str">
        <f>IFNA(VLOOKUP(F995,Driver!A:C,2,false),"")</f>
        <v>412f31be-2fc3-11f1-9378-fa163ee8d8ac</v>
      </c>
      <c r="C995" s="5" t="str">
        <f>IFNA(VLOOKUP(E995,'Location Table'!A:C,2,false),"")</f>
        <v/>
      </c>
      <c r="D995" s="6" t="s">
        <v>626</v>
      </c>
      <c r="E995" s="6"/>
      <c r="F995" s="10" t="s">
        <v>511</v>
      </c>
      <c r="G995" s="7" t="str">
        <f>IFNA(VLOOKUP(F995,Driver!A:D,4,false),"")</f>
        <v/>
      </c>
      <c r="H995" s="8" t="str">
        <f>IFNA(VLOOKUP(F995,Driver!A:C,3,false),"")</f>
        <v/>
      </c>
      <c r="I995" s="9">
        <v>0.6666666666666666</v>
      </c>
      <c r="J995" s="9">
        <v>0.7916666666666666</v>
      </c>
      <c r="K995" s="9"/>
    </row>
    <row r="996" hidden="1">
      <c r="A996" s="5" t="str">
        <f>IFNA(VLOOKUP(D996,'Location Table'!A:C,2,false),"")</f>
        <v>67aba92e-586d-11ee-95a5-506b8d9879b5</v>
      </c>
      <c r="B996" s="5" t="str">
        <f>IFNA(VLOOKUP(F996,Driver!A:C,2,false),"")</f>
        <v>e3970cec-503e-11f1-9378-fa163ee8d8ac</v>
      </c>
      <c r="C996" s="5" t="str">
        <f>IFNA(VLOOKUP(E996,'Location Table'!A:C,2,false),"")</f>
        <v/>
      </c>
      <c r="D996" s="6" t="s">
        <v>628</v>
      </c>
      <c r="E996" s="6"/>
      <c r="F996" s="10" t="s">
        <v>328</v>
      </c>
      <c r="G996" s="7" t="str">
        <f>IFNA(VLOOKUP(F996,Driver!A:D,4,false),"")</f>
        <v/>
      </c>
      <c r="H996" s="8" t="str">
        <f>IFNA(VLOOKUP(F996,Driver!A:C,3,false),"")</f>
        <v/>
      </c>
      <c r="I996" s="9">
        <v>0.6666666666666666</v>
      </c>
      <c r="J996" s="9">
        <v>0.7916666666666666</v>
      </c>
      <c r="K996" s="9"/>
    </row>
    <row r="997" hidden="1">
      <c r="A997" s="5" t="str">
        <f>IFNA(VLOOKUP(D997,'Location Table'!A:C,2,false),"")</f>
        <v>94e0007e-2b95-11ef-9d65-506b8d9879b5</v>
      </c>
      <c r="B997" s="5" t="str">
        <f>IFNA(VLOOKUP(F997,Driver!A:C,2,false),"")</f>
        <v>c1149922-ecea-11ef-a670-506b8d9879b5</v>
      </c>
      <c r="C997" s="5" t="str">
        <f>IFNA(VLOOKUP(E997,'Location Table'!A:C,2,false),"")</f>
        <v/>
      </c>
      <c r="D997" s="6" t="s">
        <v>629</v>
      </c>
      <c r="E997" s="6"/>
      <c r="F997" s="6" t="s">
        <v>509</v>
      </c>
      <c r="G997" s="7" t="str">
        <f>IFNA(VLOOKUP(F997,Driver!A:D,4,false),"")</f>
        <v/>
      </c>
      <c r="H997" s="8" t="str">
        <f>IFNA(VLOOKUP(F997,Driver!A:C,3,false),"")</f>
        <v/>
      </c>
      <c r="I997" s="9">
        <v>0.6666666666666666</v>
      </c>
      <c r="J997" s="9">
        <v>0.7916666666666666</v>
      </c>
      <c r="K997" s="9"/>
    </row>
    <row r="998" hidden="1">
      <c r="A998" s="5" t="str">
        <f>IFNA(VLOOKUP(D998,'Location Table'!A:C,2,false),"")</f>
        <v>3cb28f2a-49fb-11ed-abaa-506b8dbc8dfb</v>
      </c>
      <c r="B998" s="5" t="str">
        <f>IFNA(VLOOKUP(F998,Driver!A:C,2,false),"")</f>
        <v>efbf243a-37c6-11ed-93fb-506b8dbc8dfb</v>
      </c>
      <c r="C998" s="5" t="str">
        <f>IFNA(VLOOKUP(E998,'Location Table'!A:C,2,false),"")</f>
        <v/>
      </c>
      <c r="D998" s="6" t="s">
        <v>630</v>
      </c>
      <c r="E998" s="6"/>
      <c r="F998" s="6" t="s">
        <v>517</v>
      </c>
      <c r="G998" s="7" t="str">
        <f>IFNA(VLOOKUP(F998,Driver!A:D,4,false),"")</f>
        <v>1980698793628880414:XXMGIAegigeHesHcPUQpIcnMCwhigvPUATFrPyRHiqIZqTwmvWiXbUzfDhivxPcl</v>
      </c>
      <c r="H998" s="8" t="str">
        <f>IFNA(VLOOKUP(F998,Driver!A:C,3,false),"")</f>
        <v>c73df7953cd9d5878cc8</v>
      </c>
      <c r="I998" s="9">
        <v>0.5833333333333334</v>
      </c>
      <c r="J998" s="9">
        <v>0.7916666666666666</v>
      </c>
      <c r="K998" s="9"/>
    </row>
    <row r="999" hidden="1">
      <c r="A999" s="5" t="str">
        <f>IFNA(VLOOKUP(D999,'Location Table'!A:C,2,false),"")</f>
        <v>779334d6-1d87-11ee-8c8a-506b8d9879b5</v>
      </c>
      <c r="B999" s="5" t="str">
        <f>IFNA(VLOOKUP(F999,Driver!A:C,2,false),"")</f>
        <v>412f31be-2fc3-11f1-9378-fa163ee8d8ac</v>
      </c>
      <c r="C999" s="5" t="str">
        <f>IFNA(VLOOKUP(E999,'Location Table'!A:C,2,false),"")</f>
        <v/>
      </c>
      <c r="D999" s="6" t="s">
        <v>632</v>
      </c>
      <c r="E999" s="6"/>
      <c r="F999" s="6" t="s">
        <v>511</v>
      </c>
      <c r="G999" s="7" t="str">
        <f>IFNA(VLOOKUP(F999,Driver!A:D,4,false),"")</f>
        <v/>
      </c>
      <c r="H999" s="8" t="str">
        <f>IFNA(VLOOKUP(F999,Driver!A:C,3,false),"")</f>
        <v/>
      </c>
      <c r="I999" s="9">
        <v>0.6666666666666666</v>
      </c>
      <c r="J999" s="9">
        <v>0.7916666666666666</v>
      </c>
      <c r="K999" s="9"/>
    </row>
    <row r="1000" hidden="1">
      <c r="A1000" s="5" t="str">
        <f>IFNA(VLOOKUP(D1000,'Location Table'!A:C,2,false),"")</f>
        <v>d9627430-7b1b-11f0-857d-506b8d982279</v>
      </c>
      <c r="B1000" s="5" t="str">
        <f>IFNA(VLOOKUP(F1000,Driver!A:C,2,false),"")</f>
        <v>443c5016-3017-11ee-a6b5-506b8d9879b5</v>
      </c>
      <c r="C1000" s="5" t="str">
        <f>IFNA(VLOOKUP(E1000,'Location Table'!A:C,2,false),"")</f>
        <v/>
      </c>
      <c r="D1000" s="6" t="s">
        <v>634</v>
      </c>
      <c r="E1000" s="6"/>
      <c r="F1000" s="6" t="s">
        <v>513</v>
      </c>
      <c r="G1000" s="7" t="str">
        <f>IFNA(VLOOKUP(F1000,Driver!A:D,4,false),"")</f>
        <v>1980698793628880414:XXMGIAegigeHesHcPUQpIcnMCwhigvPUATFrPyRHiqIZqTwmvWiXbUzfDhivxPcl</v>
      </c>
      <c r="H1000" s="8" t="str">
        <f>IFNA(VLOOKUP(F1000,Driver!A:C,3,false),"")</f>
        <v>430767465e0cb752ee1d</v>
      </c>
      <c r="I1000" s="9">
        <v>0.6666666666666666</v>
      </c>
      <c r="J1000" s="9">
        <v>0.7916666666666666</v>
      </c>
      <c r="K1000" s="9"/>
    </row>
    <row r="1001" hidden="1">
      <c r="A1001" s="5" t="str">
        <f>IFNA(VLOOKUP(D1001,'Location Table'!A:C,2,false),"")</f>
        <v>0f920f28-f41d-11f0-9378-fa163ee8d8ac</v>
      </c>
      <c r="B1001" s="5" t="str">
        <f>IFNA(VLOOKUP(F1001,Driver!A:C,2,false),"")</f>
        <v>02d08390-37cf-11ed-865f-506b8dbc8dfb</v>
      </c>
      <c r="C1001" s="5" t="str">
        <f>IFNA(VLOOKUP(E1001,'Location Table'!A:C,2,false),"")</f>
        <v/>
      </c>
      <c r="D1001" s="6" t="s">
        <v>637</v>
      </c>
      <c r="E1001" s="6"/>
      <c r="F1001" s="6" t="s">
        <v>516</v>
      </c>
      <c r="G1001" s="7" t="str">
        <f>IFNA(VLOOKUP(F1001,Driver!A:D,4,false),"")</f>
        <v>2160130926882687325:VSRHFZoYrhhtnecmAaOfmgvaKlfxBZEgxFxSbLPTAhfVwurTuJfQgOTrwyseeqJQ</v>
      </c>
      <c r="H1001" s="8" t="str">
        <f>IFNA(VLOOKUP(F1001,Driver!A:C,3,false),"")</f>
        <v>7b7d76055846b118e857</v>
      </c>
      <c r="I1001" s="9">
        <v>0.6875</v>
      </c>
      <c r="J1001" s="9">
        <v>0.7916666666666666</v>
      </c>
      <c r="K1001" s="9"/>
    </row>
    <row r="1002" hidden="1">
      <c r="A1002" s="5" t="str">
        <f>IFNA(VLOOKUP(D1002,'Location Table'!A:C,2,false),"")</f>
        <v>34e16eca-9003-11ee-8227-506b8d9879b5</v>
      </c>
      <c r="B1002" s="5" t="str">
        <f>IFNA(VLOOKUP(F1002,Driver!A:C,2,false),"")</f>
        <v>f61678a4-3656-11ed-9310-506b8dbc8dfb</v>
      </c>
      <c r="C1002" s="5" t="str">
        <f>IFNA(VLOOKUP(E1002,'Location Table'!A:C,2,false),"")</f>
        <v/>
      </c>
      <c r="D1002" s="6" t="s">
        <v>638</v>
      </c>
      <c r="E1002" s="6"/>
      <c r="F1002" s="6" t="s">
        <v>470</v>
      </c>
      <c r="G1002" s="7" t="str">
        <f>IFNA(VLOOKUP(F1002,Driver!A:D,4,false),"")</f>
        <v>2160130926882687325:VSRHFZoYrhhtnecmAaOfmgvaKlfxBZEgxFxSbLPTAhfVwurTuJfQgOTrwyseeqJQ</v>
      </c>
      <c r="H1002" s="8" t="str">
        <f>IFNA(VLOOKUP(F1002,Driver!A:C,3,false),"")</f>
        <v>551b71e8ffa616f84fb7</v>
      </c>
      <c r="I1002" s="9">
        <v>0.5833333333333334</v>
      </c>
      <c r="J1002" s="9">
        <v>0.7916666666666666</v>
      </c>
      <c r="K1002" s="9"/>
    </row>
    <row r="1003" hidden="1">
      <c r="A1003" s="5" t="str">
        <f>IFNA(VLOOKUP(D1003,'Location Table'!A:C,2,false),"")</f>
        <v>f9f328b8-1af4-11ee-843d-506b8d9879b5</v>
      </c>
      <c r="B1003" s="5" t="str">
        <f>IFNA(VLOOKUP(F1003,Driver!A:C,2,false),"")</f>
        <v>f61678a4-3656-11ed-9310-506b8dbc8dfb</v>
      </c>
      <c r="C1003" s="5" t="str">
        <f>IFNA(VLOOKUP(E1003,'Location Table'!A:C,2,false),"")</f>
        <v/>
      </c>
      <c r="D1003" s="6" t="s">
        <v>639</v>
      </c>
      <c r="E1003" s="6"/>
      <c r="F1003" s="6" t="s">
        <v>470</v>
      </c>
      <c r="G1003" s="7" t="str">
        <f>IFNA(VLOOKUP(F1003,Driver!A:D,4,false),"")</f>
        <v>2160130926882687325:VSRHFZoYrhhtnecmAaOfmgvaKlfxBZEgxFxSbLPTAhfVwurTuJfQgOTrwyseeqJQ</v>
      </c>
      <c r="H1003" s="8" t="str">
        <f>IFNA(VLOOKUP(F1003,Driver!A:C,3,false),"")</f>
        <v>551b71e8ffa616f84fb7</v>
      </c>
      <c r="I1003" s="9">
        <v>0.5833333333333334</v>
      </c>
      <c r="J1003" s="9">
        <v>0.7916666666666666</v>
      </c>
      <c r="K1003" s="9"/>
    </row>
    <row r="1004" hidden="1">
      <c r="A1004" s="5" t="str">
        <f>IFNA(VLOOKUP(D1004,'Location Table'!A:C,2,false),"")</f>
        <v>8639bd3e-1b34-11ee-923c-506b8d9879b5</v>
      </c>
      <c r="B1004" s="5" t="str">
        <f>IFNA(VLOOKUP(F1004,Driver!A:C,2,false),"")</f>
        <v>c1149922-ecea-11ef-a670-506b8d9879b5</v>
      </c>
      <c r="C1004" s="5" t="str">
        <f>IFNA(VLOOKUP(E1004,'Location Table'!A:C,2,false),"")</f>
        <v/>
      </c>
      <c r="D1004" s="6" t="s">
        <v>640</v>
      </c>
      <c r="E1004" s="6"/>
      <c r="F1004" s="6" t="s">
        <v>509</v>
      </c>
      <c r="G1004" s="7" t="str">
        <f>IFNA(VLOOKUP(F1004,Driver!A:D,4,false),"")</f>
        <v/>
      </c>
      <c r="H1004" s="8" t="str">
        <f>IFNA(VLOOKUP(F1004,Driver!A:C,3,false),"")</f>
        <v/>
      </c>
      <c r="I1004" s="9">
        <v>0.6666666666666666</v>
      </c>
      <c r="J1004" s="9">
        <v>0.7916666666666666</v>
      </c>
      <c r="K1004" s="9"/>
    </row>
    <row r="1005" hidden="1">
      <c r="A1005" s="5" t="str">
        <f>IFNA(VLOOKUP(D1005,'Location Table'!A:C,2,false),"")</f>
        <v>359425d8-19e6-11f0-a03a-506b8d982279</v>
      </c>
      <c r="B1005" s="5" t="str">
        <f>IFNA(VLOOKUP(F1005,Driver!A:C,2,false),"")</f>
        <v>4e1ad614-6cdb-11ef-807b-506b8d9879b5</v>
      </c>
      <c r="C1005" s="5" t="str">
        <f>IFNA(VLOOKUP(E1005,'Location Table'!A:C,2,false),"")</f>
        <v/>
      </c>
      <c r="D1005" s="6" t="s">
        <v>641</v>
      </c>
      <c r="E1005" s="6"/>
      <c r="F1005" s="6" t="s">
        <v>512</v>
      </c>
      <c r="G1005" s="7" t="str">
        <f>IFNA(VLOOKUP(F1005,Driver!A:D,4,false),"")</f>
        <v>2160130926882687325:VSRHFZoYrhhtnecmAaOfmgvaKlfxBZEgxFxSbLPTAhfVwurTuJfQgOTrwyseeqJQ</v>
      </c>
      <c r="H1005" s="8" t="str">
        <f>IFNA(VLOOKUP(F1005,Driver!A:C,3,false),"")</f>
        <v>65a6581b624a8b14d25b</v>
      </c>
      <c r="I1005" s="9">
        <v>0.7083333333333334</v>
      </c>
      <c r="J1005" s="9">
        <v>0.7708333333333334</v>
      </c>
      <c r="K1005" s="9"/>
    </row>
    <row r="1006" hidden="1">
      <c r="A1006" s="5" t="str">
        <f>IFNA(VLOOKUP(D1006,'Location Table'!A:C,2,false),"")</f>
        <v>c57ab038-fff9-11ef-b55f-506b8d9879b5</v>
      </c>
      <c r="B1006" s="5" t="str">
        <f>IFNA(VLOOKUP(F1006,Driver!A:C,2,false),"")</f>
        <v>af57dfcc-782d-11f0-b407-506b8d982279</v>
      </c>
      <c r="C1006" s="5" t="str">
        <f>IFNA(VLOOKUP(E1006,'Location Table'!A:C,2,false),"")</f>
        <v/>
      </c>
      <c r="D1006" s="6" t="s">
        <v>642</v>
      </c>
      <c r="E1006" s="6"/>
      <c r="F1006" s="6" t="s">
        <v>515</v>
      </c>
      <c r="G1006" s="7" t="str">
        <f>IFNA(VLOOKUP(F1006,Driver!A:D,4,false),"")</f>
        <v>2160130926882687325:VSRHFZoYrhhtnecmAaOfmgvaKlfxBZEgxFxSbLPTAhfVwurTuJfQgOTrwyseeqJQ</v>
      </c>
      <c r="H1006" s="8" t="str">
        <f>IFNA(VLOOKUP(F1006,Driver!A:C,3,false),"")</f>
        <v>d9fc37dd4093a9cdf082</v>
      </c>
      <c r="I1006" s="9">
        <v>0.6666666666666666</v>
      </c>
      <c r="J1006" s="9">
        <v>0.8333333333333334</v>
      </c>
      <c r="K1006" s="9"/>
    </row>
    <row r="1007" hidden="1">
      <c r="A1007" s="5" t="str">
        <f>IFNA(VLOOKUP(D1007,'Location Table'!A:C,2,false),"")</f>
        <v>9eda254c-1d71-11ee-b55a-506b8d9879b5</v>
      </c>
      <c r="B1007" s="5" t="str">
        <f>IFNA(VLOOKUP(F1007,Driver!A:C,2,false),"")</f>
        <v>f61678a4-3656-11ed-9310-506b8dbc8dfb</v>
      </c>
      <c r="C1007" s="5" t="str">
        <f>IFNA(VLOOKUP(E1007,'Location Table'!A:C,2,false),"")</f>
        <v/>
      </c>
      <c r="D1007" s="6" t="s">
        <v>643</v>
      </c>
      <c r="E1007" s="6"/>
      <c r="F1007" s="6" t="s">
        <v>470</v>
      </c>
      <c r="G1007" s="7" t="str">
        <f>IFNA(VLOOKUP(F1007,Driver!A:D,4,false),"")</f>
        <v>2160130926882687325:VSRHFZoYrhhtnecmAaOfmgvaKlfxBZEgxFxSbLPTAhfVwurTuJfQgOTrwyseeqJQ</v>
      </c>
      <c r="H1007" s="8" t="str">
        <f>IFNA(VLOOKUP(F1007,Driver!A:C,3,false),"")</f>
        <v>551b71e8ffa616f84fb7</v>
      </c>
      <c r="I1007" s="9">
        <v>0.5833333333333334</v>
      </c>
      <c r="J1007" s="9">
        <v>0.7916666666666666</v>
      </c>
      <c r="K1007" s="9"/>
    </row>
    <row r="1008" hidden="1">
      <c r="A1008" s="5" t="str">
        <f>IFNA(VLOOKUP(D1008,'Location Table'!A:C,2,false),"")</f>
        <v>a0d370aa-452d-11ed-a75b-506b8dbc8dfb</v>
      </c>
      <c r="B1008" s="5" t="str">
        <f>IFNA(VLOOKUP(F1008,Driver!A:C,2,false),"")</f>
        <v>f5993946-37cf-11ed-a3fc-506b8dbc8dfb</v>
      </c>
      <c r="C1008" s="5" t="str">
        <f>IFNA(VLOOKUP(E1008,'Location Table'!A:C,2,false),"")</f>
        <v/>
      </c>
      <c r="D1008" s="6" t="s">
        <v>644</v>
      </c>
      <c r="E1008" s="6"/>
      <c r="F1008" s="6" t="s">
        <v>314</v>
      </c>
      <c r="G1008" s="7" t="str">
        <f>IFNA(VLOOKUP(F1008,Driver!A:D,4,false),"")</f>
        <v/>
      </c>
      <c r="H1008" s="8" t="str">
        <f>IFNA(VLOOKUP(F1008,Driver!A:C,3,false),"")</f>
        <v/>
      </c>
      <c r="I1008" s="9">
        <v>0.6875</v>
      </c>
      <c r="J1008" s="9">
        <v>0.7916666666666666</v>
      </c>
      <c r="K1008" s="9"/>
    </row>
    <row r="1009" hidden="1">
      <c r="A1009" s="5" t="str">
        <f>IFNA(VLOOKUP(D1009,'Location Table'!A:C,2,false),"")</f>
        <v>63e8c524-1519-11ef-af48-506b8d9879b5</v>
      </c>
      <c r="B1009" s="5" t="str">
        <f>IFNA(VLOOKUP(F1009,Driver!A:C,2,false),"")</f>
        <v>1f4f6cae-37cd-11ed-a84d-506b8dbc8dfb</v>
      </c>
      <c r="C1009" s="5" t="str">
        <f>IFNA(VLOOKUP(E1009,'Location Table'!A:C,2,false),"")</f>
        <v/>
      </c>
      <c r="D1009" s="6" t="s">
        <v>645</v>
      </c>
      <c r="E1009" s="6"/>
      <c r="F1009" s="6" t="s">
        <v>514</v>
      </c>
      <c r="G1009" s="7" t="str">
        <f>IFNA(VLOOKUP(F1009,Driver!A:D,4,false),"")</f>
        <v>1980698793628880414:XXMGIAegigeHesHcPUQpIcnMCwhigvPUATFrPyRHiqIZqTwmvWiXbUzfDhivxPcl</v>
      </c>
      <c r="H1009" s="8" t="str">
        <f>IFNA(VLOOKUP(F1009,Driver!A:C,3,false),"")</f>
        <v>595aed435d09b457ed18</v>
      </c>
      <c r="I1009" s="9">
        <v>0.6666666666666666</v>
      </c>
      <c r="J1009" s="9">
        <v>0.7916666666666666</v>
      </c>
      <c r="K1009" s="9"/>
    </row>
    <row r="1010" hidden="1">
      <c r="A1010" s="5" t="str">
        <f>IFNA(VLOOKUP(D1010,'Location Table'!A:C,2,false),"")</f>
        <v>636fa48a-ada9-11f0-8f64-506b8d982279</v>
      </c>
      <c r="B1010" s="5" t="str">
        <f>IFNA(VLOOKUP(F1010,Driver!A:C,2,false),"")</f>
        <v>f61678a4-3656-11ed-9310-506b8dbc8dfb</v>
      </c>
      <c r="C1010" s="5" t="str">
        <f>IFNA(VLOOKUP(E1010,'Location Table'!A:C,2,false),"")</f>
        <v/>
      </c>
      <c r="D1010" s="6" t="s">
        <v>646</v>
      </c>
      <c r="E1010" s="6"/>
      <c r="F1010" s="6" t="s">
        <v>470</v>
      </c>
      <c r="G1010" s="7" t="str">
        <f>IFNA(VLOOKUP(F1010,Driver!A:D,4,false),"")</f>
        <v>2160130926882687325:VSRHFZoYrhhtnecmAaOfmgvaKlfxBZEgxFxSbLPTAhfVwurTuJfQgOTrwyseeqJQ</v>
      </c>
      <c r="H1010" s="8" t="str">
        <f>IFNA(VLOOKUP(F1010,Driver!A:C,3,false),"")</f>
        <v>551b71e8ffa616f84fb7</v>
      </c>
      <c r="I1010" s="9">
        <v>0.5833333333333334</v>
      </c>
      <c r="J1010" s="9">
        <v>0.7916666666666666</v>
      </c>
      <c r="K1010" s="9"/>
    </row>
    <row r="1011" hidden="1">
      <c r="A1011" s="5" t="str">
        <f>IFNA(VLOOKUP(D1011,'Location Table'!A:C,2,false),"")</f>
        <v>a13f2c3c-62f3-11f0-835a-506b8d982279</v>
      </c>
      <c r="B1011" s="5" t="str">
        <f>IFNA(VLOOKUP(F1011,Driver!A:C,2,false),"")</f>
        <v>af57dfcc-782d-11f0-b407-506b8d982279</v>
      </c>
      <c r="C1011" s="5" t="str">
        <f>IFNA(VLOOKUP(E1011,'Location Table'!A:C,2,false),"")</f>
        <v/>
      </c>
      <c r="D1011" s="6" t="s">
        <v>647</v>
      </c>
      <c r="E1011" s="6"/>
      <c r="F1011" s="6" t="s">
        <v>515</v>
      </c>
      <c r="G1011" s="7" t="str">
        <f>IFNA(VLOOKUP(F1011,Driver!A:D,4,false),"")</f>
        <v>2160130926882687325:VSRHFZoYrhhtnecmAaOfmgvaKlfxBZEgxFxSbLPTAhfVwurTuJfQgOTrwyseeqJQ</v>
      </c>
      <c r="H1011" s="8" t="str">
        <f>IFNA(VLOOKUP(F1011,Driver!A:C,3,false),"")</f>
        <v>d9fc37dd4093a9cdf082</v>
      </c>
      <c r="I1011" s="9">
        <v>0.6666666666666666</v>
      </c>
      <c r="J1011" s="9">
        <v>0.8333333333333334</v>
      </c>
      <c r="K1011" s="9"/>
    </row>
    <row r="1012" hidden="1">
      <c r="A1012" s="5" t="str">
        <f>IFNA(VLOOKUP(D1012,'Location Table'!A:C,2,false),"")</f>
        <v>123b4de4-d1e1-11ee-8c0f-506b8d9879b5</v>
      </c>
      <c r="B1012" s="5" t="str">
        <f>IFNA(VLOOKUP(F1012,Driver!A:C,2,false),"")</f>
        <v>1f4f6cae-37cd-11ed-a84d-506b8dbc8dfb</v>
      </c>
      <c r="C1012" s="5" t="str">
        <f>IFNA(VLOOKUP(E1012,'Location Table'!A:C,2,false),"")</f>
        <v/>
      </c>
      <c r="D1012" s="6" t="s">
        <v>653</v>
      </c>
      <c r="E1012" s="6"/>
      <c r="F1012" s="6" t="s">
        <v>514</v>
      </c>
      <c r="G1012" s="7" t="str">
        <f>IFNA(VLOOKUP(F1012,Driver!A:D,4,false),"")</f>
        <v>1980698793628880414:XXMGIAegigeHesHcPUQpIcnMCwhigvPUATFrPyRHiqIZqTwmvWiXbUzfDhivxPcl</v>
      </c>
      <c r="H1012" s="8" t="str">
        <f>IFNA(VLOOKUP(F1012,Driver!A:C,3,false),"")</f>
        <v>595aed435d09b457ed18</v>
      </c>
      <c r="I1012" s="9">
        <v>0.6666666666666666</v>
      </c>
      <c r="J1012" s="9">
        <v>0.7916666666666666</v>
      </c>
      <c r="K1012" s="9"/>
    </row>
    <row r="1013" hidden="1">
      <c r="A1013" s="5" t="str">
        <f>IFNA(VLOOKUP(D1013,'Location Table'!A:C,2,false),"")</f>
        <v>b3b2c722-7c32-11f0-bfd2-506b8d982279</v>
      </c>
      <c r="B1013" s="5" t="str">
        <f>IFNA(VLOOKUP(F1013,Driver!A:C,2,false),"")</f>
        <v>412f31be-2fc3-11f1-9378-fa163ee8d8ac</v>
      </c>
      <c r="C1013" s="5" t="str">
        <f>IFNA(VLOOKUP(E1013,'Location Table'!A:C,2,false),"")</f>
        <v/>
      </c>
      <c r="D1013" s="6" t="s">
        <v>654</v>
      </c>
      <c r="E1013" s="6"/>
      <c r="F1013" s="6" t="s">
        <v>511</v>
      </c>
      <c r="G1013" s="7" t="str">
        <f>IFNA(VLOOKUP(F1013,Driver!A:D,4,false),"")</f>
        <v/>
      </c>
      <c r="H1013" s="8" t="str">
        <f>IFNA(VLOOKUP(F1013,Driver!A:C,3,false),"")</f>
        <v/>
      </c>
      <c r="I1013" s="9">
        <v>0.6666666666666666</v>
      </c>
      <c r="J1013" s="9">
        <v>0.7916666666666666</v>
      </c>
      <c r="K1013" s="9"/>
    </row>
    <row r="1014" hidden="1">
      <c r="A1014" s="5" t="str">
        <f>IFNA(VLOOKUP(D1014,'Location Table'!A:C,2,false),"")</f>
        <v>3f9846b8-1cbd-11ee-b58a-506b8d9879b5</v>
      </c>
      <c r="B1014" s="5" t="str">
        <f>IFNA(VLOOKUP(F1014,Driver!A:C,2,false),"")</f>
        <v>f5993946-37cf-11ed-a3fc-506b8dbc8dfb</v>
      </c>
      <c r="C1014" s="5" t="str">
        <f>IFNA(VLOOKUP(E1014,'Location Table'!A:C,2,false),"")</f>
        <v/>
      </c>
      <c r="D1014" s="6" t="s">
        <v>655</v>
      </c>
      <c r="E1014" s="6"/>
      <c r="F1014" s="6" t="s">
        <v>314</v>
      </c>
      <c r="G1014" s="7" t="str">
        <f>IFNA(VLOOKUP(F1014,Driver!A:D,4,false),"")</f>
        <v/>
      </c>
      <c r="H1014" s="8" t="str">
        <f>IFNA(VLOOKUP(F1014,Driver!A:C,3,false),"")</f>
        <v/>
      </c>
      <c r="I1014" s="9">
        <v>0.6875</v>
      </c>
      <c r="J1014" s="9">
        <v>0.7916666666666666</v>
      </c>
      <c r="K1014" s="9"/>
    </row>
    <row r="1015" hidden="1">
      <c r="A1015" s="5" t="str">
        <f>IFNA(VLOOKUP(D1015,'Location Table'!A:C,2,false),"")</f>
        <v>6502e506-8fa9-11ef-9316-506b8d9879b5</v>
      </c>
      <c r="B1015" s="5" t="str">
        <f>IFNA(VLOOKUP(F1015,Driver!A:C,2,false),"")</f>
        <v>412f31be-2fc3-11f1-9378-fa163ee8d8ac</v>
      </c>
      <c r="C1015" s="5" t="str">
        <f>IFNA(VLOOKUP(E1015,'Location Table'!A:C,2,false),"")</f>
        <v/>
      </c>
      <c r="D1015" s="6" t="s">
        <v>656</v>
      </c>
      <c r="E1015" s="6"/>
      <c r="F1015" s="6" t="s">
        <v>511</v>
      </c>
      <c r="G1015" s="7" t="str">
        <f>IFNA(VLOOKUP(F1015,Driver!A:D,4,false),"")</f>
        <v/>
      </c>
      <c r="H1015" s="8" t="str">
        <f>IFNA(VLOOKUP(F1015,Driver!A:C,3,false),"")</f>
        <v/>
      </c>
      <c r="I1015" s="9">
        <v>0.6666666666666666</v>
      </c>
      <c r="J1015" s="9">
        <v>0.7916666666666666</v>
      </c>
      <c r="K1015" s="9"/>
    </row>
    <row r="1016" hidden="1">
      <c r="A1016" s="5" t="str">
        <f>IFNA(VLOOKUP(D1016,'Location Table'!A:C,2,false),"")</f>
        <v>b60352d0-c47b-11f0-8297-506b8d982279</v>
      </c>
      <c r="B1016" s="5" t="str">
        <f>IFNA(VLOOKUP(F1016,Driver!A:C,2,false),"")</f>
        <v>efbf243a-37c6-11ed-93fb-506b8dbc8dfb</v>
      </c>
      <c r="C1016" s="5" t="str">
        <f>IFNA(VLOOKUP(E1016,'Location Table'!A:C,2,false),"")</f>
        <v/>
      </c>
      <c r="D1016" s="6" t="s">
        <v>657</v>
      </c>
      <c r="E1016" s="6"/>
      <c r="F1016" s="6" t="s">
        <v>517</v>
      </c>
      <c r="G1016" s="7" t="str">
        <f>IFNA(VLOOKUP(F1016,Driver!A:D,4,false),"")</f>
        <v>1980698793628880414:XXMGIAegigeHesHcPUQpIcnMCwhigvPUATFrPyRHiqIZqTwmvWiXbUzfDhivxPcl</v>
      </c>
      <c r="H1016" s="8" t="str">
        <f>IFNA(VLOOKUP(F1016,Driver!A:C,3,false),"")</f>
        <v>c73df7953cd9d5878cc8</v>
      </c>
      <c r="I1016" s="9">
        <v>0.5833333333333334</v>
      </c>
      <c r="J1016" s="9">
        <v>0.7916666666666666</v>
      </c>
      <c r="K1016" s="9"/>
    </row>
    <row r="1017" hidden="1">
      <c r="A1017" s="5" t="str">
        <f>IFNA(VLOOKUP(D1017,'Location Table'!A:C,2,false),"")</f>
        <v>f0773008-0f51-11ee-951b-506b8dbc8dfb</v>
      </c>
      <c r="B1017" s="5" t="str">
        <f>IFNA(VLOOKUP(F1017,Driver!A:C,2,false),"")</f>
        <v>efbf243a-37c6-11ed-93fb-506b8dbc8dfb</v>
      </c>
      <c r="C1017" s="5" t="str">
        <f>IFNA(VLOOKUP(E1017,'Location Table'!A:C,2,false),"")</f>
        <v/>
      </c>
      <c r="D1017" s="6" t="s">
        <v>575</v>
      </c>
      <c r="E1017" s="6"/>
      <c r="F1017" s="6" t="s">
        <v>517</v>
      </c>
      <c r="G1017" s="7" t="str">
        <f>IFNA(VLOOKUP(F1017,Driver!A:D,4,false),"")</f>
        <v>1980698793628880414:XXMGIAegigeHesHcPUQpIcnMCwhigvPUATFrPyRHiqIZqTwmvWiXbUzfDhivxPcl</v>
      </c>
      <c r="H1017" s="8" t="str">
        <f>IFNA(VLOOKUP(F1017,Driver!A:C,3,false),"")</f>
        <v>c73df7953cd9d5878cc8</v>
      </c>
      <c r="I1017" s="9">
        <v>0.5833333333333334</v>
      </c>
      <c r="J1017" s="9">
        <v>0.7916666666666666</v>
      </c>
      <c r="K1017" s="9"/>
    </row>
    <row r="1018" hidden="1">
      <c r="A1018" s="5" t="str">
        <f>IFNA(VLOOKUP(D1018,'Location Table'!A:C,2,false),"")</f>
        <v>db94b1d6-7c11-11f0-b055-506b8d982279</v>
      </c>
      <c r="B1018" s="5" t="str">
        <f>IFNA(VLOOKUP(F1018,Driver!A:C,2,false),"")</f>
        <v>c1149922-ecea-11ef-a670-506b8d9879b5</v>
      </c>
      <c r="C1018" s="5" t="str">
        <f>IFNA(VLOOKUP(E1018,'Location Table'!A:C,2,false),"")</f>
        <v/>
      </c>
      <c r="D1018" s="6" t="s">
        <v>658</v>
      </c>
      <c r="E1018" s="6"/>
      <c r="F1018" s="6" t="s">
        <v>509</v>
      </c>
      <c r="G1018" s="7" t="str">
        <f>IFNA(VLOOKUP(F1018,Driver!A:D,4,false),"")</f>
        <v/>
      </c>
      <c r="H1018" s="8" t="str">
        <f>IFNA(VLOOKUP(F1018,Driver!A:C,3,false),"")</f>
        <v/>
      </c>
      <c r="I1018" s="9">
        <v>0.6666666666666666</v>
      </c>
      <c r="J1018" s="9">
        <v>0.7916666666666666</v>
      </c>
      <c r="K1018" s="9"/>
    </row>
    <row r="1019" hidden="1">
      <c r="A1019" s="5" t="str">
        <f>IFNA(VLOOKUP(D1019,'Location Table'!A:C,2,false),"")</f>
        <v>2901130e-0270-11f0-a92e-506b8d9879b5</v>
      </c>
      <c r="B1019" s="5" t="str">
        <f>IFNA(VLOOKUP(F1019,Driver!A:C,2,false),"")</f>
        <v>f61678a4-3656-11ed-9310-506b8dbc8dfb</v>
      </c>
      <c r="C1019" s="5" t="str">
        <f>IFNA(VLOOKUP(E1019,'Location Table'!A:C,2,false),"")</f>
        <v/>
      </c>
      <c r="D1019" s="6" t="s">
        <v>665</v>
      </c>
      <c r="E1019" s="6"/>
      <c r="F1019" s="6" t="s">
        <v>470</v>
      </c>
      <c r="G1019" s="7" t="str">
        <f>IFNA(VLOOKUP(F1019,Driver!A:D,4,false),"")</f>
        <v>2160130926882687325:VSRHFZoYrhhtnecmAaOfmgvaKlfxBZEgxFxSbLPTAhfVwurTuJfQgOTrwyseeqJQ</v>
      </c>
      <c r="H1019" s="8" t="str">
        <f>IFNA(VLOOKUP(F1019,Driver!A:C,3,false),"")</f>
        <v>551b71e8ffa616f84fb7</v>
      </c>
      <c r="I1019" s="9">
        <v>0.5833333333333334</v>
      </c>
      <c r="J1019" s="9">
        <v>0.7916666666666666</v>
      </c>
      <c r="K1019" s="9"/>
    </row>
    <row r="1020" hidden="1">
      <c r="A1020" s="5" t="str">
        <f>IFNA(VLOOKUP(D1020,'Location Table'!A:C,2,false),"")</f>
        <v>9eb567be-e201-11f0-8ca4-506b8d982279</v>
      </c>
      <c r="B1020" s="5" t="str">
        <f>IFNA(VLOOKUP(F1020,Driver!A:C,2,false),"")</f>
        <v>1f4f6cae-37cd-11ed-a84d-506b8dbc8dfb</v>
      </c>
      <c r="C1020" s="5" t="str">
        <f>IFNA(VLOOKUP(E1020,'Location Table'!A:C,2,false),"")</f>
        <v/>
      </c>
      <c r="D1020" s="6" t="s">
        <v>666</v>
      </c>
      <c r="E1020" s="6"/>
      <c r="F1020" s="6" t="s">
        <v>514</v>
      </c>
      <c r="G1020" s="7" t="str">
        <f>IFNA(VLOOKUP(F1020,Driver!A:D,4,false),"")</f>
        <v>1980698793628880414:XXMGIAegigeHesHcPUQpIcnMCwhigvPUATFrPyRHiqIZqTwmvWiXbUzfDhivxPcl</v>
      </c>
      <c r="H1020" s="8" t="str">
        <f>IFNA(VLOOKUP(F1020,Driver!A:C,3,false),"")</f>
        <v>595aed435d09b457ed18</v>
      </c>
      <c r="I1020" s="9">
        <v>0.6666666666666666</v>
      </c>
      <c r="J1020" s="9">
        <v>0.7916666666666666</v>
      </c>
      <c r="K1020" s="9"/>
    </row>
    <row r="1021" hidden="1">
      <c r="A1021" s="5" t="str">
        <f>IFNA(VLOOKUP(D1021,'Location Table'!A:C,2,false),"")</f>
        <v>0b6b4dde-ee13-11f0-9829-506b8d982279</v>
      </c>
      <c r="B1021" s="5" t="str">
        <f>IFNA(VLOOKUP(F1021,Driver!A:C,2,false),"")</f>
        <v>443c5016-3017-11ee-a6b5-506b8d9879b5</v>
      </c>
      <c r="C1021" s="5" t="str">
        <f>IFNA(VLOOKUP(E1021,'Location Table'!A:C,2,false),"")</f>
        <v/>
      </c>
      <c r="D1021" s="6" t="s">
        <v>667</v>
      </c>
      <c r="E1021" s="6"/>
      <c r="F1021" s="6" t="s">
        <v>513</v>
      </c>
      <c r="G1021" s="7" t="str">
        <f>IFNA(VLOOKUP(F1021,Driver!A:D,4,false),"")</f>
        <v>1980698793628880414:XXMGIAegigeHesHcPUQpIcnMCwhigvPUATFrPyRHiqIZqTwmvWiXbUzfDhivxPcl</v>
      </c>
      <c r="H1021" s="8" t="str">
        <f>IFNA(VLOOKUP(F1021,Driver!A:C,3,false),"")</f>
        <v>430767465e0cb752ee1d</v>
      </c>
      <c r="I1021" s="9">
        <v>0.6666666666666666</v>
      </c>
      <c r="J1021" s="9">
        <v>0.7916666666666666</v>
      </c>
      <c r="K1021" s="9"/>
    </row>
    <row r="1022" hidden="1">
      <c r="A1022" s="5" t="str">
        <f>IFNA(VLOOKUP(D1022,'Location Table'!A:C,2,false),"")</f>
        <v>984aab2c-1a5e-11ee-a4a5-506b8d9879b5</v>
      </c>
      <c r="B1022" s="5" t="str">
        <f>IFNA(VLOOKUP(F1022,Driver!A:C,2,false),"")</f>
        <v>02d08390-37cf-11ed-865f-506b8dbc8dfb</v>
      </c>
      <c r="C1022" s="5" t="str">
        <f>IFNA(VLOOKUP(E1022,'Location Table'!A:C,2,false),"")</f>
        <v/>
      </c>
      <c r="D1022" s="6" t="s">
        <v>668</v>
      </c>
      <c r="E1022" s="6"/>
      <c r="F1022" s="6" t="s">
        <v>516</v>
      </c>
      <c r="G1022" s="7" t="str">
        <f>IFNA(VLOOKUP(F1022,Driver!A:D,4,false),"")</f>
        <v>2160130926882687325:VSRHFZoYrhhtnecmAaOfmgvaKlfxBZEgxFxSbLPTAhfVwurTuJfQgOTrwyseeqJQ</v>
      </c>
      <c r="H1022" s="8" t="str">
        <f>IFNA(VLOOKUP(F1022,Driver!A:C,3,false),"")</f>
        <v>7b7d76055846b118e857</v>
      </c>
      <c r="I1022" s="9">
        <v>0.6875</v>
      </c>
      <c r="J1022" s="9">
        <v>0.7916666666666666</v>
      </c>
      <c r="K1022" s="9"/>
    </row>
    <row r="1023" hidden="1">
      <c r="A1023" s="5" t="str">
        <f>IFNA(VLOOKUP(D1023,'Location Table'!A:C,2,false),"")</f>
        <v>026f0d4c-512f-11ef-aa70-506b8d9879b5</v>
      </c>
      <c r="B1023" s="5" t="str">
        <f>IFNA(VLOOKUP(F1023,Driver!A:C,2,false),"")</f>
        <v>1f4f6cae-37cd-11ed-a84d-506b8dbc8dfb</v>
      </c>
      <c r="C1023" s="5" t="str">
        <f>IFNA(VLOOKUP(E1023,'Location Table'!A:C,2,false),"")</f>
        <v/>
      </c>
      <c r="D1023" s="6" t="s">
        <v>670</v>
      </c>
      <c r="E1023" s="6"/>
      <c r="F1023" s="6" t="s">
        <v>514</v>
      </c>
      <c r="G1023" s="7" t="str">
        <f>IFNA(VLOOKUP(F1023,Driver!A:D,4,false),"")</f>
        <v>1980698793628880414:XXMGIAegigeHesHcPUQpIcnMCwhigvPUATFrPyRHiqIZqTwmvWiXbUzfDhivxPcl</v>
      </c>
      <c r="H1023" s="8" t="str">
        <f>IFNA(VLOOKUP(F1023,Driver!A:C,3,false),"")</f>
        <v>595aed435d09b457ed18</v>
      </c>
      <c r="I1023" s="9">
        <v>0.6666666666666666</v>
      </c>
      <c r="J1023" s="9">
        <v>0.7916666666666666</v>
      </c>
      <c r="K1023" s="9"/>
    </row>
    <row r="1024" hidden="1">
      <c r="A1024" s="5" t="str">
        <f>IFNA(VLOOKUP(D1024,'Location Table'!A:C,2,false),"")</f>
        <v>98b082dc-47e8-11ee-acd0-506b8d9879b5</v>
      </c>
      <c r="B1024" s="5" t="str">
        <f>IFNA(VLOOKUP(F1024,Driver!A:C,2,false),"")</f>
        <v>af57dfcc-782d-11f0-b407-506b8d982279</v>
      </c>
      <c r="C1024" s="5" t="str">
        <f>IFNA(VLOOKUP(E1024,'Location Table'!A:C,2,false),"")</f>
        <v/>
      </c>
      <c r="D1024" s="6" t="s">
        <v>671</v>
      </c>
      <c r="E1024" s="6"/>
      <c r="F1024" s="6" t="s">
        <v>515</v>
      </c>
      <c r="G1024" s="7" t="str">
        <f>IFNA(VLOOKUP(F1024,Driver!A:D,4,false),"")</f>
        <v>2160130926882687325:VSRHFZoYrhhtnecmAaOfmgvaKlfxBZEgxFxSbLPTAhfVwurTuJfQgOTrwyseeqJQ</v>
      </c>
      <c r="H1024" s="8" t="str">
        <f>IFNA(VLOOKUP(F1024,Driver!A:C,3,false),"")</f>
        <v>d9fc37dd4093a9cdf082</v>
      </c>
      <c r="I1024" s="9">
        <v>0.6666666666666666</v>
      </c>
      <c r="J1024" s="9">
        <v>0.8333333333333334</v>
      </c>
      <c r="K1024" s="9"/>
    </row>
    <row r="1025" hidden="1">
      <c r="A1025" s="5" t="str">
        <f>IFNA(VLOOKUP(D1025,'Location Table'!A:C,2,false),"")</f>
        <v>d6c34328-a35a-11f0-a2e4-506b8d982279</v>
      </c>
      <c r="B1025" s="5" t="str">
        <f>IFNA(VLOOKUP(F1025,Driver!A:C,2,false),"")</f>
        <v>443c5016-3017-11ee-a6b5-506b8d9879b5</v>
      </c>
      <c r="C1025" s="5" t="str">
        <f>IFNA(VLOOKUP(E1025,'Location Table'!A:C,2,false),"")</f>
        <v/>
      </c>
      <c r="D1025" s="6" t="s">
        <v>673</v>
      </c>
      <c r="E1025" s="6"/>
      <c r="F1025" s="6" t="s">
        <v>513</v>
      </c>
      <c r="G1025" s="7" t="str">
        <f>IFNA(VLOOKUP(F1025,Driver!A:D,4,false),"")</f>
        <v>1980698793628880414:XXMGIAegigeHesHcPUQpIcnMCwhigvPUATFrPyRHiqIZqTwmvWiXbUzfDhivxPcl</v>
      </c>
      <c r="H1025" s="8" t="str">
        <f>IFNA(VLOOKUP(F1025,Driver!A:C,3,false),"")</f>
        <v>430767465e0cb752ee1d</v>
      </c>
      <c r="I1025" s="9">
        <v>0.7048611111111112</v>
      </c>
      <c r="J1025" s="9">
        <v>0.7916666666666666</v>
      </c>
      <c r="K1025" s="9"/>
    </row>
    <row r="1026" hidden="1">
      <c r="A1026" s="5" t="str">
        <f>IFNA(VLOOKUP(D1026,'Location Table'!A:C,2,false),"")</f>
        <v>799b3e00-b38a-11ef-b4d3-506b8d9879b5</v>
      </c>
      <c r="B1026" s="5" t="str">
        <f>IFNA(VLOOKUP(F1026,Driver!A:C,2,false),"")</f>
        <v>f3cef536-7671-11f0-84d2-506b8d982279</v>
      </c>
      <c r="C1026" s="5" t="str">
        <f>IFNA(VLOOKUP(E1026,'Location Table'!A:C,2,false),"")</f>
        <v/>
      </c>
      <c r="D1026" s="6" t="s">
        <v>299</v>
      </c>
      <c r="E1026" s="6"/>
      <c r="F1026" s="6" t="s">
        <v>112</v>
      </c>
      <c r="G1026" s="7" t="str">
        <f>IFNA(VLOOKUP(F1026,Driver!A:D,4,false),"")</f>
        <v/>
      </c>
      <c r="H1026" s="8" t="str">
        <f>IFNA(VLOOKUP(F1026,Driver!A:C,3,false),"")</f>
        <v/>
      </c>
      <c r="I1026" s="9">
        <v>0.5</v>
      </c>
      <c r="J1026" s="9">
        <v>0.7916666666666666</v>
      </c>
      <c r="K1026" s="9"/>
    </row>
    <row r="1027" hidden="1">
      <c r="A1027" s="5" t="str">
        <f>IFNA(VLOOKUP(D1027,'Location Table'!A:C,2,false),"")</f>
        <v>b8d60b5a-8868-11f0-a078-506b8d982279</v>
      </c>
      <c r="B1027" s="5" t="str">
        <f>IFNA(VLOOKUP(F1027,Driver!A:C,2,false),"")</f>
        <v>c1149922-ecea-11ef-a670-506b8d9879b5</v>
      </c>
      <c r="C1027" s="5" t="str">
        <f>IFNA(VLOOKUP(E1027,'Location Table'!A:C,2,false),"")</f>
        <v/>
      </c>
      <c r="D1027" s="6" t="s">
        <v>674</v>
      </c>
      <c r="E1027" s="6"/>
      <c r="F1027" s="6" t="s">
        <v>509</v>
      </c>
      <c r="G1027" s="7" t="str">
        <f>IFNA(VLOOKUP(F1027,Driver!A:D,4,false),"")</f>
        <v/>
      </c>
      <c r="H1027" s="8" t="str">
        <f>IFNA(VLOOKUP(F1027,Driver!A:C,3,false),"")</f>
        <v/>
      </c>
      <c r="I1027" s="9">
        <v>0.6666666666666666</v>
      </c>
      <c r="J1027" s="9">
        <v>0.7916666666666666</v>
      </c>
      <c r="K1027" s="9"/>
    </row>
    <row r="1028" hidden="1">
      <c r="A1028" s="5" t="str">
        <f>IFNA(VLOOKUP(D1028,'Location Table'!A:C,2,false),"")</f>
        <v>e75fe7f2-4ab3-11ed-bb79-506b8dbc8dfb</v>
      </c>
      <c r="B1028" s="5" t="str">
        <f>IFNA(VLOOKUP(F1028,Driver!A:C,2,false),"")</f>
        <v>f61678a4-3656-11ed-9310-506b8dbc8dfb</v>
      </c>
      <c r="C1028" s="5" t="str">
        <f>IFNA(VLOOKUP(E1028,'Location Table'!A:C,2,false),"")</f>
        <v/>
      </c>
      <c r="D1028" s="6" t="s">
        <v>676</v>
      </c>
      <c r="E1028" s="6"/>
      <c r="F1028" s="6" t="s">
        <v>470</v>
      </c>
      <c r="G1028" s="7" t="str">
        <f>IFNA(VLOOKUP(F1028,Driver!A:D,4,false),"")</f>
        <v>2160130926882687325:VSRHFZoYrhhtnecmAaOfmgvaKlfxBZEgxFxSbLPTAhfVwurTuJfQgOTrwyseeqJQ</v>
      </c>
      <c r="H1028" s="8" t="str">
        <f>IFNA(VLOOKUP(F1028,Driver!A:C,3,false),"")</f>
        <v>551b71e8ffa616f84fb7</v>
      </c>
      <c r="I1028" s="9">
        <v>0.4583333333333333</v>
      </c>
      <c r="J1028" s="9">
        <v>0.5</v>
      </c>
      <c r="K1028" s="9"/>
    </row>
    <row r="1029" hidden="1">
      <c r="A1029" s="5" t="str">
        <f>IFNA(VLOOKUP(D1029,'Location Table'!A:C,2,false),"")</f>
        <v>429fda3a-36a1-11ee-af8d-506b8d9879b5</v>
      </c>
      <c r="B1029" s="5" t="str">
        <f>IFNA(VLOOKUP(F1029,Driver!A:C,2,false),"")</f>
        <v>02d08390-37cf-11ed-865f-506b8dbc8dfb</v>
      </c>
      <c r="C1029" s="5" t="str">
        <f>IFNA(VLOOKUP(E1029,'Location Table'!A:C,2,false),"")</f>
        <v/>
      </c>
      <c r="D1029" s="6" t="s">
        <v>678</v>
      </c>
      <c r="E1029" s="6"/>
      <c r="F1029" s="6" t="s">
        <v>516</v>
      </c>
      <c r="G1029" s="7" t="str">
        <f>IFNA(VLOOKUP(F1029,Driver!A:D,4,false),"")</f>
        <v>2160130926882687325:VSRHFZoYrhhtnecmAaOfmgvaKlfxBZEgxFxSbLPTAhfVwurTuJfQgOTrwyseeqJQ</v>
      </c>
      <c r="H1029" s="8" t="str">
        <f>IFNA(VLOOKUP(F1029,Driver!A:C,3,false),"")</f>
        <v>7b7d76055846b118e857</v>
      </c>
      <c r="I1029" s="9">
        <v>0.6875</v>
      </c>
      <c r="J1029" s="9">
        <v>0.7916666666666666</v>
      </c>
      <c r="K1029" s="9"/>
    </row>
    <row r="1030" hidden="1">
      <c r="A1030" s="5" t="str">
        <f>IFNA(VLOOKUP(D1030,'Location Table'!A:C,2,false),"")</f>
        <v>10e3489a-2604-11ee-855d-506b8d9879b5</v>
      </c>
      <c r="B1030" s="5" t="str">
        <f>IFNA(VLOOKUP(F1030,Driver!A:C,2,false),"")</f>
        <v>660cb676-e32e-11ed-9e6c-506b8dbc8dfb</v>
      </c>
      <c r="C1030" s="5" t="str">
        <f>IFNA(VLOOKUP(E1030,'Location Table'!A:C,2,false),"")</f>
        <v/>
      </c>
      <c r="D1030" s="6" t="s">
        <v>680</v>
      </c>
      <c r="E1030" s="6"/>
      <c r="F1030" s="6" t="s">
        <v>494</v>
      </c>
      <c r="G1030" s="7" t="str">
        <f>IFNA(VLOOKUP(F1030,Driver!A:D,4,false),"")</f>
        <v>2160130926882687325:VSRHFZoYrhhtnecmAaOfmgvaKlfxBZEgxFxSbLPTAhfVwurTuJfQgOTrwyseeqJQ</v>
      </c>
      <c r="H1030" s="8" t="str">
        <f>IFNA(VLOOKUP(F1030,Driver!A:C,3,false),"")</f>
        <v>656e49d39f9a76c42f8b</v>
      </c>
      <c r="I1030" s="9">
        <v>0.5833333333333334</v>
      </c>
      <c r="J1030" s="9">
        <v>0.7916666666666666</v>
      </c>
      <c r="K1030" s="9"/>
    </row>
    <row r="1031" hidden="1">
      <c r="A1031" s="5" t="str">
        <f>IFNA(VLOOKUP(D1031,'Location Table'!A:C,2,false),"")</f>
        <v>c2e5e130-fb3f-11ef-bc58-506b8d9879b5</v>
      </c>
      <c r="B1031" s="5" t="str">
        <f>IFNA(VLOOKUP(F1031,Driver!A:C,2,false),"")</f>
        <v>1f4f6cae-37cd-11ed-a84d-506b8dbc8dfb</v>
      </c>
      <c r="C1031" s="5" t="str">
        <f>IFNA(VLOOKUP(E1031,'Location Table'!A:C,2,false),"")</f>
        <v/>
      </c>
      <c r="D1031" s="6" t="s">
        <v>681</v>
      </c>
      <c r="E1031" s="6"/>
      <c r="F1031" s="6" t="s">
        <v>514</v>
      </c>
      <c r="G1031" s="7" t="str">
        <f>IFNA(VLOOKUP(F1031,Driver!A:D,4,false),"")</f>
        <v>1980698793628880414:XXMGIAegigeHesHcPUQpIcnMCwhigvPUATFrPyRHiqIZqTwmvWiXbUzfDhivxPcl</v>
      </c>
      <c r="H1031" s="8" t="str">
        <f>IFNA(VLOOKUP(F1031,Driver!A:C,3,false),"")</f>
        <v>595aed435d09b457ed18</v>
      </c>
      <c r="I1031" s="9">
        <v>0.6666666666666666</v>
      </c>
      <c r="J1031" s="9">
        <v>0.7916666666666666</v>
      </c>
      <c r="K1031" s="9"/>
    </row>
    <row r="1032" hidden="1">
      <c r="A1032" s="5" t="str">
        <f>IFNA(VLOOKUP(D1032,'Location Table'!A:C,2,false),"")</f>
        <v>b25974b4-d3ff-11f0-be69-506b8d982279</v>
      </c>
      <c r="B1032" s="5" t="str">
        <f>IFNA(VLOOKUP(F1032,Driver!A:C,2,false),"")</f>
        <v>c1149922-ecea-11ef-a670-506b8d9879b5</v>
      </c>
      <c r="C1032" s="5" t="str">
        <f>IFNA(VLOOKUP(E1032,'Location Table'!A:C,2,false),"")</f>
        <v/>
      </c>
      <c r="D1032" s="6" t="s">
        <v>682</v>
      </c>
      <c r="E1032" s="6"/>
      <c r="F1032" s="6" t="s">
        <v>509</v>
      </c>
      <c r="G1032" s="7" t="str">
        <f>IFNA(VLOOKUP(F1032,Driver!A:D,4,false),"")</f>
        <v/>
      </c>
      <c r="H1032" s="8" t="str">
        <f>IFNA(VLOOKUP(F1032,Driver!A:C,3,false),"")</f>
        <v/>
      </c>
      <c r="I1032" s="9">
        <v>0.6666666666666666</v>
      </c>
      <c r="J1032" s="9">
        <v>0.7916666666666666</v>
      </c>
      <c r="K1032" s="9"/>
    </row>
    <row r="1033" hidden="1">
      <c r="A1033" s="5" t="str">
        <f>IFNA(VLOOKUP(D1033,'Location Table'!A:C,2,false),"")</f>
        <v>72f84188-e49e-11f0-abc5-506b8d982279</v>
      </c>
      <c r="B1033" s="5" t="str">
        <f>IFNA(VLOOKUP(F1033,Driver!A:C,2,false),"")</f>
        <v>1f4f6cae-37cd-11ed-a84d-506b8dbc8dfb</v>
      </c>
      <c r="C1033" s="5" t="str">
        <f>IFNA(VLOOKUP(E1033,'Location Table'!A:C,2,false),"")</f>
        <v/>
      </c>
      <c r="D1033" s="6" t="s">
        <v>684</v>
      </c>
      <c r="E1033" s="6"/>
      <c r="F1033" s="6" t="s">
        <v>514</v>
      </c>
      <c r="G1033" s="7" t="str">
        <f>IFNA(VLOOKUP(F1033,Driver!A:D,4,false),"")</f>
        <v>1980698793628880414:XXMGIAegigeHesHcPUQpIcnMCwhigvPUATFrPyRHiqIZqTwmvWiXbUzfDhivxPcl</v>
      </c>
      <c r="H1033" s="8" t="str">
        <f>IFNA(VLOOKUP(F1033,Driver!A:C,3,false),"")</f>
        <v>595aed435d09b457ed18</v>
      </c>
      <c r="I1033" s="9">
        <v>0.6666666666666666</v>
      </c>
      <c r="J1033" s="9">
        <v>0.7916666666666666</v>
      </c>
      <c r="K1033" s="9"/>
    </row>
    <row r="1034" hidden="1">
      <c r="A1034" s="5" t="str">
        <f>IFNA(VLOOKUP(D1034,'Location Table'!A:C,2,false),"")</f>
        <v>1c48d9e8-f839-11f0-9378-fa163ee8d8ac</v>
      </c>
      <c r="B1034" s="5" t="str">
        <f>IFNA(VLOOKUP(F1034,Driver!A:C,2,false),"")</f>
        <v>443c5016-3017-11ee-a6b5-506b8d9879b5</v>
      </c>
      <c r="C1034" s="5" t="str">
        <f>IFNA(VLOOKUP(E1034,'Location Table'!A:C,2,false),"")</f>
        <v/>
      </c>
      <c r="D1034" s="6" t="s">
        <v>687</v>
      </c>
      <c r="E1034" s="6"/>
      <c r="F1034" s="6" t="s">
        <v>513</v>
      </c>
      <c r="G1034" s="7" t="str">
        <f>IFNA(VLOOKUP(F1034,Driver!A:D,4,false),"")</f>
        <v>1980698793628880414:XXMGIAegigeHesHcPUQpIcnMCwhigvPUATFrPyRHiqIZqTwmvWiXbUzfDhivxPcl</v>
      </c>
      <c r="H1034" s="8" t="str">
        <f>IFNA(VLOOKUP(F1034,Driver!A:C,3,false),"")</f>
        <v>430767465e0cb752ee1d</v>
      </c>
      <c r="I1034" s="9">
        <v>0.6666666666666666</v>
      </c>
      <c r="J1034" s="9">
        <v>0.7916666666666666</v>
      </c>
      <c r="K1034" s="9"/>
    </row>
    <row r="1035" hidden="1">
      <c r="A1035" s="5" t="str">
        <f>IFNA(VLOOKUP(D1035,'Location Table'!A:C,2,false),"")</f>
        <v>b3e5c2f4-9ce8-11f0-926c-506b8d982279</v>
      </c>
      <c r="B1035" s="5" t="str">
        <f>IFNA(VLOOKUP(F1035,Driver!A:C,2,false),"")</f>
        <v>4e1ad614-6cdb-11ef-807b-506b8d9879b5</v>
      </c>
      <c r="C1035" s="5" t="str">
        <f>IFNA(VLOOKUP(E1035,'Location Table'!A:C,2,false),"")</f>
        <v/>
      </c>
      <c r="D1035" s="6" t="s">
        <v>688</v>
      </c>
      <c r="E1035" s="6"/>
      <c r="F1035" s="6" t="s">
        <v>512</v>
      </c>
      <c r="G1035" s="7" t="str">
        <f>IFNA(VLOOKUP(F1035,Driver!A:D,4,false),"")</f>
        <v>2160130926882687325:VSRHFZoYrhhtnecmAaOfmgvaKlfxBZEgxFxSbLPTAhfVwurTuJfQgOTrwyseeqJQ</v>
      </c>
      <c r="H1035" s="8" t="str">
        <f>IFNA(VLOOKUP(F1035,Driver!A:C,3,false),"")</f>
        <v>65a6581b624a8b14d25b</v>
      </c>
      <c r="I1035" s="9">
        <v>0.7083333333333334</v>
      </c>
      <c r="J1035" s="9">
        <v>0.7708333333333334</v>
      </c>
      <c r="K1035" s="9"/>
    </row>
    <row r="1036" hidden="1">
      <c r="A1036" s="5" t="str">
        <f>IFNA(VLOOKUP(D1036,'Location Table'!A:C,2,false),"")</f>
        <v>524fd8d8-fb7b-11ed-9da7-506b8dbc8dfb</v>
      </c>
      <c r="B1036" s="5" t="str">
        <f>IFNA(VLOOKUP(F1036,Driver!A:C,2,false),"")</f>
        <v>f5993946-37cf-11ed-a3fc-506b8dbc8dfb</v>
      </c>
      <c r="C1036" s="5" t="str">
        <f>IFNA(VLOOKUP(E1036,'Location Table'!A:C,2,false),"")</f>
        <v/>
      </c>
      <c r="D1036" s="6" t="s">
        <v>693</v>
      </c>
      <c r="E1036" s="6"/>
      <c r="F1036" s="6" t="s">
        <v>314</v>
      </c>
      <c r="G1036" s="7" t="str">
        <f>IFNA(VLOOKUP(F1036,Driver!A:D,4,false),"")</f>
        <v/>
      </c>
      <c r="H1036" s="8" t="str">
        <f>IFNA(VLOOKUP(F1036,Driver!A:C,3,false),"")</f>
        <v/>
      </c>
      <c r="I1036" s="9">
        <v>0.6875</v>
      </c>
      <c r="J1036" s="9">
        <v>0.7916666666666666</v>
      </c>
      <c r="K1036" s="9"/>
    </row>
    <row r="1037" hidden="1">
      <c r="A1037" s="5" t="str">
        <f>IFNA(VLOOKUP(D1037,'Location Table'!A:C,2,false),"")</f>
        <v>524fd8d8-fb7b-11ed-9da7-506b8dbc8dfb</v>
      </c>
      <c r="B1037" s="5" t="str">
        <f>IFNA(VLOOKUP(F1037,Driver!A:C,2,false),"")</f>
        <v>d2c2d39e-11e4-11f1-9378-fa163ee8d8ac</v>
      </c>
      <c r="C1037" s="5" t="str">
        <f>IFNA(VLOOKUP(E1037,'Location Table'!A:C,2,false),"")</f>
        <v/>
      </c>
      <c r="D1037" s="6" t="s">
        <v>693</v>
      </c>
      <c r="E1037" s="6"/>
      <c r="F1037" s="6" t="s">
        <v>88</v>
      </c>
      <c r="G1037" s="7" t="str">
        <f>IFNA(VLOOKUP(F1037,Driver!A:D,4,false),"")</f>
        <v>1980698793628880414:XXMGIAegigeHesHcPUQpIcnMCwhigvPUATFrPyRHiqIZqTwmvWiXbUzfDhivxPcl</v>
      </c>
      <c r="H1037" s="8" t="str">
        <f>IFNA(VLOOKUP(F1037,Driver!A:C,3,false),"")</f>
        <v>59a2bfce5a81b3dfea90</v>
      </c>
      <c r="I1037" s="9">
        <v>0.2916666666666667</v>
      </c>
      <c r="J1037" s="9">
        <v>0.6875</v>
      </c>
      <c r="K1037" s="9"/>
    </row>
    <row r="1038" hidden="1">
      <c r="A1038" s="5" t="str">
        <f>IFNA(VLOOKUP(D1038,'Location Table'!A:C,2,false),"")</f>
        <v>8eef787e-9a5e-11ef-8665-506b8d9879b5</v>
      </c>
      <c r="B1038" s="5" t="str">
        <f>IFNA(VLOOKUP(F1038,Driver!A:C,2,false),"")</f>
        <v>4e1ad614-6cdb-11ef-807b-506b8d9879b5</v>
      </c>
      <c r="C1038" s="5" t="str">
        <f>IFNA(VLOOKUP(E1038,'Location Table'!A:C,2,false),"")</f>
        <v/>
      </c>
      <c r="D1038" s="6" t="s">
        <v>695</v>
      </c>
      <c r="E1038" s="6"/>
      <c r="F1038" s="6" t="s">
        <v>512</v>
      </c>
      <c r="G1038" s="7" t="str">
        <f>IFNA(VLOOKUP(F1038,Driver!A:D,4,false),"")</f>
        <v>2160130926882687325:VSRHFZoYrhhtnecmAaOfmgvaKlfxBZEgxFxSbLPTAhfVwurTuJfQgOTrwyseeqJQ</v>
      </c>
      <c r="H1038" s="8" t="str">
        <f>IFNA(VLOOKUP(F1038,Driver!A:C,3,false),"")</f>
        <v>65a6581b624a8b14d25b</v>
      </c>
      <c r="I1038" s="9">
        <v>0.7083333333333334</v>
      </c>
      <c r="J1038" s="9">
        <v>0.7708333333333334</v>
      </c>
      <c r="K1038" s="9"/>
    </row>
    <row r="1039" hidden="1">
      <c r="A1039" s="5" t="str">
        <f>IFNA(VLOOKUP(D1039,'Location Table'!A:C,2,false),"")</f>
        <v>9dffee66-579d-11ee-b74c-506b8d9879b5</v>
      </c>
      <c r="B1039" s="5" t="str">
        <f>IFNA(VLOOKUP(F1039,Driver!A:C,2,false),"")</f>
        <v>02d08390-37cf-11ed-865f-506b8dbc8dfb</v>
      </c>
      <c r="C1039" s="5" t="str">
        <f>IFNA(VLOOKUP(E1039,'Location Table'!A:C,2,false),"")</f>
        <v/>
      </c>
      <c r="D1039" s="6" t="s">
        <v>696</v>
      </c>
      <c r="E1039" s="6"/>
      <c r="F1039" s="6" t="s">
        <v>516</v>
      </c>
      <c r="G1039" s="7" t="str">
        <f>IFNA(VLOOKUP(F1039,Driver!A:D,4,false),"")</f>
        <v>2160130926882687325:VSRHFZoYrhhtnecmAaOfmgvaKlfxBZEgxFxSbLPTAhfVwurTuJfQgOTrwyseeqJQ</v>
      </c>
      <c r="H1039" s="8" t="str">
        <f>IFNA(VLOOKUP(F1039,Driver!A:C,3,false),"")</f>
        <v>7b7d76055846b118e857</v>
      </c>
      <c r="I1039" s="9">
        <v>0.6875</v>
      </c>
      <c r="J1039" s="9">
        <v>0.7916666666666666</v>
      </c>
      <c r="K1039" s="9"/>
    </row>
    <row r="1040" hidden="1">
      <c r="A1040" s="5" t="str">
        <f>IFNA(VLOOKUP(D1040,'Location Table'!A:C,2,false),"")</f>
        <v>44bdbe46-3023-11ef-89d0-506b8d9879b5</v>
      </c>
      <c r="B1040" s="5" t="str">
        <f>IFNA(VLOOKUP(F1040,Driver!A:C,2,false),"")</f>
        <v>f61678a4-3656-11ed-9310-506b8dbc8dfb</v>
      </c>
      <c r="C1040" s="5" t="str">
        <f>IFNA(VLOOKUP(E1040,'Location Table'!A:C,2,false),"")</f>
        <v/>
      </c>
      <c r="D1040" s="6" t="s">
        <v>697</v>
      </c>
      <c r="E1040" s="6"/>
      <c r="F1040" s="6" t="s">
        <v>470</v>
      </c>
      <c r="G1040" s="7" t="str">
        <f>IFNA(VLOOKUP(F1040,Driver!A:D,4,false),"")</f>
        <v>2160130926882687325:VSRHFZoYrhhtnecmAaOfmgvaKlfxBZEgxFxSbLPTAhfVwurTuJfQgOTrwyseeqJQ</v>
      </c>
      <c r="H1040" s="8" t="str">
        <f>IFNA(VLOOKUP(F1040,Driver!A:C,3,false),"")</f>
        <v>551b71e8ffa616f84fb7</v>
      </c>
      <c r="I1040" s="9">
        <v>0.5833333333333334</v>
      </c>
      <c r="J1040" s="9">
        <v>0.7916666666666666</v>
      </c>
      <c r="K1040" s="9"/>
    </row>
    <row r="1041" hidden="1">
      <c r="A1041" s="5" t="str">
        <f>IFNA(VLOOKUP(D1041,'Location Table'!A:C,2,false),"")</f>
        <v>93f42a58-5c84-11ef-8902-506b8d9879b5</v>
      </c>
      <c r="B1041" s="5" t="str">
        <f>IFNA(VLOOKUP(F1041,Driver!A:C,2,false),"")</f>
        <v>f5993946-37cf-11ed-a3fc-506b8dbc8dfb</v>
      </c>
      <c r="C1041" s="5" t="str">
        <f>IFNA(VLOOKUP(E1041,'Location Table'!A:C,2,false),"")</f>
        <v/>
      </c>
      <c r="D1041" s="6" t="s">
        <v>698</v>
      </c>
      <c r="E1041" s="6"/>
      <c r="F1041" s="6" t="s">
        <v>314</v>
      </c>
      <c r="G1041" s="7" t="str">
        <f>IFNA(VLOOKUP(F1041,Driver!A:D,4,false),"")</f>
        <v/>
      </c>
      <c r="H1041" s="8" t="str">
        <f>IFNA(VLOOKUP(F1041,Driver!A:C,3,false),"")</f>
        <v/>
      </c>
      <c r="I1041" s="9">
        <v>0.6875</v>
      </c>
      <c r="J1041" s="9">
        <v>0.7916666666666666</v>
      </c>
      <c r="K1041" s="9"/>
    </row>
    <row r="1042" hidden="1">
      <c r="A1042" s="5" t="str">
        <f>IFNA(VLOOKUP(D1042,'Location Table'!A:C,2,false),"")</f>
        <v>0813b2f8-af1b-11ef-a1c6-506b8d9879b5</v>
      </c>
      <c r="B1042" s="5" t="str">
        <f>IFNA(VLOOKUP(F1042,Driver!A:C,2,false),"")</f>
        <v>412f31be-2fc3-11f1-9378-fa163ee8d8ac</v>
      </c>
      <c r="C1042" s="5" t="str">
        <f>IFNA(VLOOKUP(E1042,'Location Table'!A:C,2,false),"")</f>
        <v>c4f51f56-1ba8-11f1-9378-fa163ee8d8ac</v>
      </c>
      <c r="D1042" s="6" t="s">
        <v>699</v>
      </c>
      <c r="E1042" s="10" t="s">
        <v>518</v>
      </c>
      <c r="F1042" s="6" t="s">
        <v>511</v>
      </c>
      <c r="G1042" s="7" t="str">
        <f>IFNA(VLOOKUP(F1042,Driver!A:D,4,false),"")</f>
        <v/>
      </c>
      <c r="H1042" s="8" t="str">
        <f>IFNA(VLOOKUP(F1042,Driver!A:C,3,false),"")</f>
        <v/>
      </c>
      <c r="I1042" s="9">
        <v>0.75</v>
      </c>
      <c r="J1042" s="9">
        <v>0.8333333333333334</v>
      </c>
      <c r="K1042" s="9"/>
    </row>
    <row r="1043" hidden="1">
      <c r="A1043" s="5" t="str">
        <f>IFNA(VLOOKUP(D1043,'Location Table'!A:C,2,false),"")</f>
        <v>2e8f16ae-8fd3-11f0-852a-506b8d982279</v>
      </c>
      <c r="B1043" s="5" t="str">
        <f>IFNA(VLOOKUP(F1043,Driver!A:C,2,false),"")</f>
        <v>af57dfcc-782d-11f0-b407-506b8d982279</v>
      </c>
      <c r="C1043" s="5" t="str">
        <f>IFNA(VLOOKUP(E1043,'Location Table'!A:C,2,false),"")</f>
        <v/>
      </c>
      <c r="D1043" s="6" t="s">
        <v>700</v>
      </c>
      <c r="E1043" s="6"/>
      <c r="F1043" s="6" t="s">
        <v>515</v>
      </c>
      <c r="G1043" s="7" t="str">
        <f>IFNA(VLOOKUP(F1043,Driver!A:D,4,false),"")</f>
        <v>2160130926882687325:VSRHFZoYrhhtnecmAaOfmgvaKlfxBZEgxFxSbLPTAhfVwurTuJfQgOTrwyseeqJQ</v>
      </c>
      <c r="H1043" s="8" t="str">
        <f>IFNA(VLOOKUP(F1043,Driver!A:C,3,false),"")</f>
        <v>d9fc37dd4093a9cdf082</v>
      </c>
      <c r="I1043" s="9">
        <v>0.6666666666666666</v>
      </c>
      <c r="J1043" s="9">
        <v>0.8333333333333334</v>
      </c>
      <c r="K1043" s="9"/>
    </row>
    <row r="1044" hidden="1">
      <c r="A1044" s="5" t="str">
        <f>IFNA(VLOOKUP(D1044,'Location Table'!A:C,2,false),"")</f>
        <v>2d52e58e-13ea-11ee-9e33-506b8dbc8dfb</v>
      </c>
      <c r="B1044" s="5" t="str">
        <f>IFNA(VLOOKUP(F1044,Driver!A:C,2,false),"")</f>
        <v>af57dfcc-782d-11f0-b407-506b8d982279</v>
      </c>
      <c r="C1044" s="5" t="str">
        <f>IFNA(VLOOKUP(E1044,'Location Table'!A:C,2,false),"")</f>
        <v/>
      </c>
      <c r="D1044" s="6" t="s">
        <v>701</v>
      </c>
      <c r="E1044" s="6"/>
      <c r="F1044" s="6" t="s">
        <v>515</v>
      </c>
      <c r="G1044" s="7" t="str">
        <f>IFNA(VLOOKUP(F1044,Driver!A:D,4,false),"")</f>
        <v>2160130926882687325:VSRHFZoYrhhtnecmAaOfmgvaKlfxBZEgxFxSbLPTAhfVwurTuJfQgOTrwyseeqJQ</v>
      </c>
      <c r="H1044" s="8" t="str">
        <f>IFNA(VLOOKUP(F1044,Driver!A:C,3,false),"")</f>
        <v>d9fc37dd4093a9cdf082</v>
      </c>
      <c r="I1044" s="9">
        <v>0.6666666666666666</v>
      </c>
      <c r="J1044" s="9">
        <v>0.8333333333333334</v>
      </c>
      <c r="K1044" s="9"/>
    </row>
    <row r="1045" hidden="1">
      <c r="A1045" s="5" t="str">
        <f>IFNA(VLOOKUP(D1045,'Location Table'!A:C,2,false),"")</f>
        <v>30cc7046-c67b-11ef-80bd-506b8d9879b5</v>
      </c>
      <c r="B1045" s="5" t="str">
        <f>IFNA(VLOOKUP(F1045,Driver!A:C,2,false),"")</f>
        <v>443c5016-3017-11ee-a6b5-506b8d9879b5</v>
      </c>
      <c r="C1045" s="5" t="str">
        <f>IFNA(VLOOKUP(E1045,'Location Table'!A:C,2,false),"")</f>
        <v/>
      </c>
      <c r="D1045" s="6" t="s">
        <v>704</v>
      </c>
      <c r="E1045" s="6"/>
      <c r="F1045" s="6" t="s">
        <v>513</v>
      </c>
      <c r="G1045" s="7" t="str">
        <f>IFNA(VLOOKUP(F1045,Driver!A:D,4,false),"")</f>
        <v>1980698793628880414:XXMGIAegigeHesHcPUQpIcnMCwhigvPUATFrPyRHiqIZqTwmvWiXbUzfDhivxPcl</v>
      </c>
      <c r="H1045" s="8" t="str">
        <f>IFNA(VLOOKUP(F1045,Driver!A:C,3,false),"")</f>
        <v>430767465e0cb752ee1d</v>
      </c>
      <c r="I1045" s="9">
        <v>0.6666666666666666</v>
      </c>
      <c r="J1045" s="9">
        <v>0.7916666666666666</v>
      </c>
      <c r="K1045" s="9"/>
    </row>
    <row r="1046" hidden="1">
      <c r="A1046" s="5" t="str">
        <f>IFNA(VLOOKUP(D1046,'Location Table'!A:C,2,false),"")</f>
        <v>e7be97f4-28ff-11ee-9310-506b8d9879b5</v>
      </c>
      <c r="B1046" s="5" t="str">
        <f>IFNA(VLOOKUP(F1046,Driver!A:C,2,false),"")</f>
        <v>443c5016-3017-11ee-a6b5-506b8d9879b5</v>
      </c>
      <c r="C1046" s="5" t="str">
        <f>IFNA(VLOOKUP(E1046,'Location Table'!A:C,2,false),"")</f>
        <v/>
      </c>
      <c r="D1046" s="6" t="s">
        <v>705</v>
      </c>
      <c r="E1046" s="6"/>
      <c r="F1046" s="6" t="s">
        <v>513</v>
      </c>
      <c r="G1046" s="7" t="str">
        <f>IFNA(VLOOKUP(F1046,Driver!A:D,4,false),"")</f>
        <v>1980698793628880414:XXMGIAegigeHesHcPUQpIcnMCwhigvPUATFrPyRHiqIZqTwmvWiXbUzfDhivxPcl</v>
      </c>
      <c r="H1046" s="8" t="str">
        <f>IFNA(VLOOKUP(F1046,Driver!A:C,3,false),"")</f>
        <v>430767465e0cb752ee1d</v>
      </c>
      <c r="I1046" s="9">
        <v>0.6666666666666666</v>
      </c>
      <c r="J1046" s="9">
        <v>0.7916666666666666</v>
      </c>
      <c r="K1046" s="9"/>
    </row>
    <row r="1047" hidden="1">
      <c r="A1047" s="5" t="str">
        <f>IFNA(VLOOKUP(D1047,'Location Table'!A:C,2,false),"")</f>
        <v>b0eae254-d574-11f0-a854-506b8d982279</v>
      </c>
      <c r="B1047" s="5" t="str">
        <f>IFNA(VLOOKUP(F1047,Driver!A:C,2,false),"")</f>
        <v>1f4f6cae-37cd-11ed-a84d-506b8dbc8dfb</v>
      </c>
      <c r="C1047" s="5" t="str">
        <f>IFNA(VLOOKUP(E1047,'Location Table'!A:C,2,false),"")</f>
        <v/>
      </c>
      <c r="D1047" s="6" t="s">
        <v>706</v>
      </c>
      <c r="E1047" s="6"/>
      <c r="F1047" s="6" t="s">
        <v>514</v>
      </c>
      <c r="G1047" s="7" t="str">
        <f>IFNA(VLOOKUP(F1047,Driver!A:D,4,false),"")</f>
        <v>1980698793628880414:XXMGIAegigeHesHcPUQpIcnMCwhigvPUATFrPyRHiqIZqTwmvWiXbUzfDhivxPcl</v>
      </c>
      <c r="H1047" s="8" t="str">
        <f>IFNA(VLOOKUP(F1047,Driver!A:C,3,false),"")</f>
        <v>595aed435d09b457ed18</v>
      </c>
      <c r="I1047" s="9">
        <v>0.6666666666666666</v>
      </c>
      <c r="J1047" s="9">
        <v>0.7916666666666666</v>
      </c>
      <c r="K1047" s="9"/>
    </row>
    <row r="1048" hidden="1">
      <c r="A1048" s="5" t="str">
        <f>IFNA(VLOOKUP(D1048,'Location Table'!A:C,2,false),"")</f>
        <v>08f83f06-be42-11ee-9557-506b8d9879b5</v>
      </c>
      <c r="B1048" s="5" t="str">
        <f>IFNA(VLOOKUP(F1048,Driver!A:C,2,false),"")</f>
        <v>443c5016-3017-11ee-a6b5-506b8d9879b5</v>
      </c>
      <c r="C1048" s="5" t="str">
        <f>IFNA(VLOOKUP(E1048,'Location Table'!A:C,2,false),"")</f>
        <v/>
      </c>
      <c r="D1048" s="6" t="s">
        <v>708</v>
      </c>
      <c r="E1048" s="6"/>
      <c r="F1048" s="6" t="s">
        <v>513</v>
      </c>
      <c r="G1048" s="7" t="str">
        <f>IFNA(VLOOKUP(F1048,Driver!A:D,4,false),"")</f>
        <v>1980698793628880414:XXMGIAegigeHesHcPUQpIcnMCwhigvPUATFrPyRHiqIZqTwmvWiXbUzfDhivxPcl</v>
      </c>
      <c r="H1048" s="8" t="str">
        <f>IFNA(VLOOKUP(F1048,Driver!A:C,3,false),"")</f>
        <v>430767465e0cb752ee1d</v>
      </c>
      <c r="I1048" s="9">
        <v>0.6666666666666666</v>
      </c>
      <c r="J1048" s="9">
        <v>0.7916666666666666</v>
      </c>
      <c r="K1048" s="9"/>
    </row>
    <row r="1049" hidden="1">
      <c r="A1049" s="5" t="str">
        <f>IFNA(VLOOKUP(D1049,'Location Table'!A:C,2,false),"")</f>
        <v>a2e8d88c-fbf8-11f0-9378-fa163ee8d8ac</v>
      </c>
      <c r="B1049" s="5" t="str">
        <f>IFNA(VLOOKUP(F1049,Driver!A:C,2,false),"")</f>
        <v>c1149922-ecea-11ef-a670-506b8d9879b5</v>
      </c>
      <c r="C1049" s="5" t="str">
        <f>IFNA(VLOOKUP(E1049,'Location Table'!A:C,2,false),"")</f>
        <v/>
      </c>
      <c r="D1049" s="6" t="s">
        <v>710</v>
      </c>
      <c r="E1049" s="6"/>
      <c r="F1049" s="6" t="s">
        <v>509</v>
      </c>
      <c r="G1049" s="7" t="str">
        <f>IFNA(VLOOKUP(F1049,Driver!A:D,4,false),"")</f>
        <v/>
      </c>
      <c r="H1049" s="8" t="str">
        <f>IFNA(VLOOKUP(F1049,Driver!A:C,3,false),"")</f>
        <v/>
      </c>
      <c r="I1049" s="9">
        <v>0.6666666666666666</v>
      </c>
      <c r="J1049" s="9">
        <v>0.7916666666666666</v>
      </c>
      <c r="K1049" s="9"/>
    </row>
    <row r="1050" hidden="1">
      <c r="A1050" s="5" t="str">
        <f>IFNA(VLOOKUP(D1050,'Location Table'!A:C,2,false),"")</f>
        <v>e95894d4-ed77-11ed-941b-506b8dbc8dfb</v>
      </c>
      <c r="B1050" s="5" t="str">
        <f>IFNA(VLOOKUP(F1050,Driver!A:C,2,false),"")</f>
        <v>a4e52324-215e-11ee-afc5-506b8d9879b5</v>
      </c>
      <c r="C1050" s="5" t="str">
        <f>IFNA(VLOOKUP(E1050,'Location Table'!A:C,2,false),"")</f>
        <v/>
      </c>
      <c r="D1050" s="6" t="s">
        <v>713</v>
      </c>
      <c r="E1050" s="6"/>
      <c r="F1050" s="6" t="s">
        <v>228</v>
      </c>
      <c r="G1050" s="7" t="str">
        <f>IFNA(VLOOKUP(F1050,Driver!A:D,4,false),"")</f>
        <v>1980698793628880414:XXMGIAegigeHesHcPUQpIcnMCwhigvPUATFrPyRHiqIZqTwmvWiXbUzfDhivxPcl</v>
      </c>
      <c r="H1050" s="8" t="str">
        <f>IFNA(VLOOKUP(F1050,Driver!A:C,3,false),"")</f>
        <v>948d059b10d2f98ca0c3</v>
      </c>
      <c r="I1050" s="9">
        <v>0.5</v>
      </c>
      <c r="J1050" s="9">
        <v>0.7083333333333334</v>
      </c>
      <c r="K1050" s="9"/>
    </row>
    <row r="1051" hidden="1">
      <c r="A1051" s="5" t="str">
        <f>IFNA(VLOOKUP(D1051,'Location Table'!A:C,2,false),"")</f>
        <v>6537d2d8-447f-11ed-ae22-506b8dbc8dfb</v>
      </c>
      <c r="B1051" s="5" t="str">
        <f>IFNA(VLOOKUP(F1051,Driver!A:C,2,false),"")</f>
        <v>a4e52324-215e-11ee-afc5-506b8d9879b5</v>
      </c>
      <c r="C1051" s="5" t="str">
        <f>IFNA(VLOOKUP(E1051,'Location Table'!A:C,2,false),"")</f>
        <v/>
      </c>
      <c r="D1051" s="6" t="s">
        <v>714</v>
      </c>
      <c r="E1051" s="6"/>
      <c r="F1051" s="6" t="s">
        <v>228</v>
      </c>
      <c r="G1051" s="7" t="str">
        <f>IFNA(VLOOKUP(F1051,Driver!A:D,4,false),"")</f>
        <v>1980698793628880414:XXMGIAegigeHesHcPUQpIcnMCwhigvPUATFrPyRHiqIZqTwmvWiXbUzfDhivxPcl</v>
      </c>
      <c r="H1051" s="8" t="str">
        <f>IFNA(VLOOKUP(F1051,Driver!A:C,3,false),"")</f>
        <v>948d059b10d2f98ca0c3</v>
      </c>
      <c r="I1051" s="9">
        <v>0.5</v>
      </c>
      <c r="J1051" s="9">
        <v>0.7083333333333334</v>
      </c>
      <c r="K1051" s="9"/>
    </row>
    <row r="1052" hidden="1">
      <c r="A1052" s="5" t="str">
        <f>IFNA(VLOOKUP(D1052,'Location Table'!A:C,2,false),"")</f>
        <v>495caf86-49fa-11ed-8e62-506b8dbc8dfb</v>
      </c>
      <c r="B1052" s="5" t="str">
        <f>IFNA(VLOOKUP(F1052,Driver!A:C,2,false),"")</f>
        <v>02d08390-37cf-11ed-865f-506b8dbc8dfb</v>
      </c>
      <c r="C1052" s="5" t="str">
        <f>IFNA(VLOOKUP(E1052,'Location Table'!A:C,2,false),"")</f>
        <v/>
      </c>
      <c r="D1052" s="6" t="s">
        <v>719</v>
      </c>
      <c r="E1052" s="6"/>
      <c r="F1052" s="6" t="s">
        <v>516</v>
      </c>
      <c r="G1052" s="7" t="str">
        <f>IFNA(VLOOKUP(F1052,Driver!A:D,4,false),"")</f>
        <v>2160130926882687325:VSRHFZoYrhhtnecmAaOfmgvaKlfxBZEgxFxSbLPTAhfVwurTuJfQgOTrwyseeqJQ</v>
      </c>
      <c r="H1052" s="8" t="str">
        <f>IFNA(VLOOKUP(F1052,Driver!A:C,3,false),"")</f>
        <v>7b7d76055846b118e857</v>
      </c>
      <c r="I1052" s="9">
        <v>0.6875</v>
      </c>
      <c r="J1052" s="9">
        <v>0.7916666666666666</v>
      </c>
      <c r="K1052" s="9"/>
    </row>
    <row r="1053" hidden="1">
      <c r="A1053" s="5" t="str">
        <f>IFNA(VLOOKUP(D1053,'Location Table'!A:C,2,false),"")</f>
        <v>c10e75c2-446f-11ed-9108-506b8dbc8dfb</v>
      </c>
      <c r="B1053" s="5" t="str">
        <f>IFNA(VLOOKUP(F1053,Driver!A:C,2,false),"")</f>
        <v>c1149922-ecea-11ef-a670-506b8d9879b5</v>
      </c>
      <c r="C1053" s="5" t="str">
        <f>IFNA(VLOOKUP(E1053,'Location Table'!A:C,2,false),"")</f>
        <v/>
      </c>
      <c r="D1053" s="6" t="s">
        <v>780</v>
      </c>
      <c r="E1053" s="6"/>
      <c r="F1053" s="6" t="s">
        <v>509</v>
      </c>
      <c r="G1053" s="7" t="str">
        <f>IFNA(VLOOKUP(F1053,Driver!A:D,4,false),"")</f>
        <v/>
      </c>
      <c r="H1053" s="8" t="str">
        <f>IFNA(VLOOKUP(F1053,Driver!A:C,3,false),"")</f>
        <v/>
      </c>
      <c r="I1053" s="9">
        <v>0.6666666666666666</v>
      </c>
      <c r="J1053" s="9">
        <v>0.7916666666666666</v>
      </c>
      <c r="K1053" s="9"/>
    </row>
    <row r="1054" hidden="1">
      <c r="A1054" s="5" t="str">
        <f>IFNA(VLOOKUP(D1054,'Location Table'!A:C,2,false),"")</f>
        <v>a5a22756-4ab0-11ed-a93a-506b8dbc8dfb</v>
      </c>
      <c r="B1054" s="5" t="str">
        <f>IFNA(VLOOKUP(F1054,Driver!A:C,2,false),"")</f>
        <v>f5993946-37cf-11ed-a3fc-506b8dbc8dfb</v>
      </c>
      <c r="C1054" s="5" t="str">
        <f>IFNA(VLOOKUP(E1054,'Location Table'!A:C,2,false),"")</f>
        <v/>
      </c>
      <c r="D1054" s="6" t="s">
        <v>721</v>
      </c>
      <c r="E1054" s="6"/>
      <c r="F1054" s="6" t="s">
        <v>314</v>
      </c>
      <c r="G1054" s="7" t="str">
        <f>IFNA(VLOOKUP(F1054,Driver!A:D,4,false),"")</f>
        <v/>
      </c>
      <c r="H1054" s="8" t="str">
        <f>IFNA(VLOOKUP(F1054,Driver!A:C,3,false),"")</f>
        <v/>
      </c>
      <c r="I1054" s="9">
        <v>0.6875</v>
      </c>
      <c r="J1054" s="9">
        <v>0.7916666666666666</v>
      </c>
      <c r="K1054" s="9"/>
    </row>
    <row r="1055" hidden="1">
      <c r="A1055" s="5" t="str">
        <f>IFNA(VLOOKUP(D1055,'Location Table'!A:C,2,false),"")</f>
        <v>f2fd1c5a-446f-11ed-aca6-506b8dbc8dfb</v>
      </c>
      <c r="B1055" s="5" t="str">
        <f>IFNA(VLOOKUP(F1055,Driver!A:C,2,false),"")</f>
        <v>cf90a04a-ed64-11ed-8947-506b8dbc8dfb</v>
      </c>
      <c r="C1055" s="5" t="str">
        <f>IFNA(VLOOKUP(E1055,'Location Table'!A:C,2,false),"")</f>
        <v/>
      </c>
      <c r="D1055" s="6" t="s">
        <v>802</v>
      </c>
      <c r="E1055" s="6"/>
      <c r="F1055" s="6" t="s">
        <v>519</v>
      </c>
      <c r="G1055" s="7" t="str">
        <f>IFNA(VLOOKUP(F1055,Driver!A:D,4,false),"")</f>
        <v>1980698793628880414:XXMGIAegigeHesHcPUQpIcnMCwhigvPUATFrPyRHiqIZqTwmvWiXbUzfDhivxPcl</v>
      </c>
      <c r="H1055" s="8" t="str">
        <f>IFNA(VLOOKUP(F1055,Driver!A:C,3,false),"")</f>
        <v>c68359c32e95c7cb9e84</v>
      </c>
      <c r="I1055" s="9">
        <v>0.6666666666666666</v>
      </c>
      <c r="J1055" s="9">
        <v>0.7916666666666666</v>
      </c>
      <c r="K1055" s="9"/>
    </row>
    <row r="1056" hidden="1">
      <c r="A1056" s="5" t="str">
        <f>IFNA(VLOOKUP(D1056,'Location Table'!A:C,2,false),"")</f>
        <v>b14729ee-0512-11ef-934f-506b8d9879b5</v>
      </c>
      <c r="B1056" s="5" t="str">
        <f>IFNA(VLOOKUP(F1056,Driver!A:C,2,false),"")</f>
        <v>af57dfcc-782d-11f0-b407-506b8d982279</v>
      </c>
      <c r="C1056" s="5" t="str">
        <f>IFNA(VLOOKUP(E1056,'Location Table'!A:C,2,false),"")</f>
        <v/>
      </c>
      <c r="D1056" s="6" t="s">
        <v>723</v>
      </c>
      <c r="E1056" s="6"/>
      <c r="F1056" s="6" t="s">
        <v>515</v>
      </c>
      <c r="G1056" s="7" t="str">
        <f>IFNA(VLOOKUP(F1056,Driver!A:D,4,false),"")</f>
        <v>2160130926882687325:VSRHFZoYrhhtnecmAaOfmgvaKlfxBZEgxFxSbLPTAhfVwurTuJfQgOTrwyseeqJQ</v>
      </c>
      <c r="H1056" s="8" t="str">
        <f>IFNA(VLOOKUP(F1056,Driver!A:C,3,false),"")</f>
        <v>d9fc37dd4093a9cdf082</v>
      </c>
      <c r="I1056" s="9">
        <v>0.6666666666666666</v>
      </c>
      <c r="J1056" s="9">
        <v>0.8333333333333334</v>
      </c>
      <c r="K1056" s="9"/>
    </row>
    <row r="1057" hidden="1">
      <c r="A1057" s="5" t="str">
        <f>IFNA(VLOOKUP(D1057,'Location Table'!A:C,2,false),"")</f>
        <v>0e6db6ea-badb-11f0-88b8-506b8d982279</v>
      </c>
      <c r="B1057" s="5" t="str">
        <f>IFNA(VLOOKUP(F1057,Driver!A:C,2,false),"")</f>
        <v>f61678a4-3656-11ed-9310-506b8dbc8dfb</v>
      </c>
      <c r="C1057" s="5" t="str">
        <f>IFNA(VLOOKUP(E1057,'Location Table'!A:C,2,false),"")</f>
        <v/>
      </c>
      <c r="D1057" s="6" t="s">
        <v>724</v>
      </c>
      <c r="E1057" s="6"/>
      <c r="F1057" s="6" t="s">
        <v>470</v>
      </c>
      <c r="G1057" s="7" t="str">
        <f>IFNA(VLOOKUP(F1057,Driver!A:D,4,false),"")</f>
        <v>2160130926882687325:VSRHFZoYrhhtnecmAaOfmgvaKlfxBZEgxFxSbLPTAhfVwurTuJfQgOTrwyseeqJQ</v>
      </c>
      <c r="H1057" s="8" t="str">
        <f>IFNA(VLOOKUP(F1057,Driver!A:C,3,false),"")</f>
        <v>551b71e8ffa616f84fb7</v>
      </c>
      <c r="I1057" s="9">
        <v>0.5833333333333334</v>
      </c>
      <c r="J1057" s="9">
        <v>0.7916666666666666</v>
      </c>
      <c r="K1057" s="9"/>
    </row>
    <row r="1058" hidden="1">
      <c r="A1058" s="5" t="str">
        <f>IFNA(VLOOKUP(D1058,'Location Table'!A:C,2,false),"")</f>
        <v>b65ae69e-1b9f-11ee-a56b-506b8d9879b5</v>
      </c>
      <c r="B1058" s="5" t="str">
        <f>IFNA(VLOOKUP(F1058,Driver!A:C,2,false),"")</f>
        <v>af57dfcc-782d-11f0-b407-506b8d982279</v>
      </c>
      <c r="C1058" s="5" t="str">
        <f>IFNA(VLOOKUP(E1058,'Location Table'!A:C,2,false),"")</f>
        <v/>
      </c>
      <c r="D1058" s="6" t="s">
        <v>725</v>
      </c>
      <c r="E1058" s="6"/>
      <c r="F1058" s="6" t="s">
        <v>515</v>
      </c>
      <c r="G1058" s="7" t="str">
        <f>IFNA(VLOOKUP(F1058,Driver!A:D,4,false),"")</f>
        <v>2160130926882687325:VSRHFZoYrhhtnecmAaOfmgvaKlfxBZEgxFxSbLPTAhfVwurTuJfQgOTrwyseeqJQ</v>
      </c>
      <c r="H1058" s="8" t="str">
        <f>IFNA(VLOOKUP(F1058,Driver!A:C,3,false),"")</f>
        <v>d9fc37dd4093a9cdf082</v>
      </c>
      <c r="I1058" s="9">
        <v>0.6666666666666666</v>
      </c>
      <c r="J1058" s="9">
        <v>0.8333333333333334</v>
      </c>
      <c r="K1058" s="9"/>
    </row>
    <row r="1059" hidden="1">
      <c r="A1059" s="5" t="str">
        <f>IFNA(VLOOKUP(D1059,'Location Table'!A:C,2,false),"")</f>
        <v>9aca001a-611b-11ee-8e60-506b8d9879b5</v>
      </c>
      <c r="B1059" s="5" t="str">
        <f>IFNA(VLOOKUP(F1059,Driver!A:C,2,false),"")</f>
        <v>443c5016-3017-11ee-a6b5-506b8d9879b5</v>
      </c>
      <c r="C1059" s="5" t="str">
        <f>IFNA(VLOOKUP(E1059,'Location Table'!A:C,2,false),"")</f>
        <v/>
      </c>
      <c r="D1059" s="6" t="s">
        <v>726</v>
      </c>
      <c r="E1059" s="6"/>
      <c r="F1059" s="6" t="s">
        <v>513</v>
      </c>
      <c r="G1059" s="7" t="str">
        <f>IFNA(VLOOKUP(F1059,Driver!A:D,4,false),"")</f>
        <v>1980698793628880414:XXMGIAegigeHesHcPUQpIcnMCwhigvPUATFrPyRHiqIZqTwmvWiXbUzfDhivxPcl</v>
      </c>
      <c r="H1059" s="8" t="str">
        <f>IFNA(VLOOKUP(F1059,Driver!A:C,3,false),"")</f>
        <v>430767465e0cb752ee1d</v>
      </c>
      <c r="I1059" s="9">
        <v>0.6666666666666666</v>
      </c>
      <c r="J1059" s="9">
        <v>0.7916666666666666</v>
      </c>
      <c r="K1059" s="9"/>
    </row>
    <row r="1060" hidden="1">
      <c r="A1060" s="5" t="str">
        <f>IFNA(VLOOKUP(D1060,'Location Table'!A:C,2,false),"")</f>
        <v>dc596d98-9817-11ef-92ed-506b8d9879b5</v>
      </c>
      <c r="B1060" s="5" t="str">
        <f>IFNA(VLOOKUP(F1060,Driver!A:C,2,false),"")</f>
        <v>443c5016-3017-11ee-a6b5-506b8d9879b5</v>
      </c>
      <c r="C1060" s="5" t="str">
        <f>IFNA(VLOOKUP(E1060,'Location Table'!A:C,2,false),"")</f>
        <v/>
      </c>
      <c r="D1060" s="6" t="s">
        <v>728</v>
      </c>
      <c r="E1060" s="6"/>
      <c r="F1060" s="6" t="s">
        <v>513</v>
      </c>
      <c r="G1060" s="7" t="str">
        <f>IFNA(VLOOKUP(F1060,Driver!A:D,4,false),"")</f>
        <v>1980698793628880414:XXMGIAegigeHesHcPUQpIcnMCwhigvPUATFrPyRHiqIZqTwmvWiXbUzfDhivxPcl</v>
      </c>
      <c r="H1060" s="8" t="str">
        <f>IFNA(VLOOKUP(F1060,Driver!A:C,3,false),"")</f>
        <v>430767465e0cb752ee1d</v>
      </c>
      <c r="I1060" s="9">
        <v>0.6666666666666666</v>
      </c>
      <c r="J1060" s="9">
        <v>0.7916666666666666</v>
      </c>
      <c r="K1060" s="9"/>
    </row>
    <row r="1061" hidden="1">
      <c r="A1061" s="5" t="str">
        <f>IFNA(VLOOKUP(D1061,'Location Table'!A:C,2,false),"")</f>
        <v>d40afa28-ed76-11ed-8a87-506b8dbc8dfb</v>
      </c>
      <c r="B1061" s="5" t="str">
        <f>IFNA(VLOOKUP(F1061,Driver!A:C,2,false),"")</f>
        <v>f61678a4-3656-11ed-9310-506b8dbc8dfb</v>
      </c>
      <c r="C1061" s="5" t="str">
        <f>IFNA(VLOOKUP(E1061,'Location Table'!A:C,2,false),"")</f>
        <v/>
      </c>
      <c r="D1061" s="6" t="s">
        <v>729</v>
      </c>
      <c r="E1061" s="6"/>
      <c r="F1061" s="6" t="s">
        <v>470</v>
      </c>
      <c r="G1061" s="7" t="str">
        <f>IFNA(VLOOKUP(F1061,Driver!A:D,4,false),"")</f>
        <v>2160130926882687325:VSRHFZoYrhhtnecmAaOfmgvaKlfxBZEgxFxSbLPTAhfVwurTuJfQgOTrwyseeqJQ</v>
      </c>
      <c r="H1061" s="8" t="str">
        <f>IFNA(VLOOKUP(F1061,Driver!A:C,3,false),"")</f>
        <v>551b71e8ffa616f84fb7</v>
      </c>
      <c r="I1061" s="9">
        <v>0.5833333333333334</v>
      </c>
      <c r="J1061" s="9">
        <v>0.7916666666666666</v>
      </c>
      <c r="K1061" s="9"/>
    </row>
    <row r="1062" hidden="1">
      <c r="A1062" s="5" t="str">
        <f>IFNA(VLOOKUP(D1062,'Location Table'!A:C,2,false),"")</f>
        <v>8bcb2b9a-cce3-11ef-9c4f-506b8d9879b5</v>
      </c>
      <c r="B1062" s="5" t="str">
        <f>IFNA(VLOOKUP(F1062,Driver!A:C,2,false),"")</f>
        <v>443c5016-3017-11ee-a6b5-506b8d9879b5</v>
      </c>
      <c r="C1062" s="5" t="str">
        <f>IFNA(VLOOKUP(E1062,'Location Table'!A:C,2,false),"")</f>
        <v/>
      </c>
      <c r="D1062" s="6" t="s">
        <v>730</v>
      </c>
      <c r="E1062" s="6"/>
      <c r="F1062" s="6" t="s">
        <v>513</v>
      </c>
      <c r="G1062" s="7" t="str">
        <f>IFNA(VLOOKUP(F1062,Driver!A:D,4,false),"")</f>
        <v>1980698793628880414:XXMGIAegigeHesHcPUQpIcnMCwhigvPUATFrPyRHiqIZqTwmvWiXbUzfDhivxPcl</v>
      </c>
      <c r="H1062" s="8" t="str">
        <f>IFNA(VLOOKUP(F1062,Driver!A:C,3,false),"")</f>
        <v>430767465e0cb752ee1d</v>
      </c>
      <c r="I1062" s="9">
        <v>0.6666666666666666</v>
      </c>
      <c r="J1062" s="9">
        <v>0.7916666666666666</v>
      </c>
      <c r="K1062" s="9"/>
    </row>
    <row r="1063" hidden="1">
      <c r="A1063" s="5" t="str">
        <f>IFNA(VLOOKUP(D1063,'Location Table'!A:C,2,false),"")</f>
        <v>5112a0a0-71fe-11ee-9403-506b8d9879b5</v>
      </c>
      <c r="B1063" s="5" t="str">
        <f>IFNA(VLOOKUP(F1063,Driver!A:C,2,false),"")</f>
        <v>443c5016-3017-11ee-a6b5-506b8d9879b5</v>
      </c>
      <c r="C1063" s="5" t="str">
        <f>IFNA(VLOOKUP(E1063,'Location Table'!A:C,2,false),"")</f>
        <v/>
      </c>
      <c r="D1063" s="6" t="s">
        <v>734</v>
      </c>
      <c r="E1063" s="6"/>
      <c r="F1063" s="6" t="s">
        <v>513</v>
      </c>
      <c r="G1063" s="7" t="str">
        <f>IFNA(VLOOKUP(F1063,Driver!A:D,4,false),"")</f>
        <v>1980698793628880414:XXMGIAegigeHesHcPUQpIcnMCwhigvPUATFrPyRHiqIZqTwmvWiXbUzfDhivxPcl</v>
      </c>
      <c r="H1063" s="8" t="str">
        <f>IFNA(VLOOKUP(F1063,Driver!A:C,3,false),"")</f>
        <v>430767465e0cb752ee1d</v>
      </c>
      <c r="I1063" s="9">
        <v>0.6666666666666666</v>
      </c>
      <c r="J1063" s="9">
        <v>0.7916666666666666</v>
      </c>
      <c r="K1063" s="9"/>
    </row>
    <row r="1064" hidden="1">
      <c r="A1064" s="5" t="str">
        <f>IFNA(VLOOKUP(D1064,'Location Table'!A:C,2,false),"")</f>
        <v>60ca531c-142d-11f0-8bf6-506b8d982279</v>
      </c>
      <c r="B1064" s="5" t="str">
        <f>IFNA(VLOOKUP(F1064,Driver!A:C,2,false),"")</f>
        <v>412f31be-2fc3-11f1-9378-fa163ee8d8ac</v>
      </c>
      <c r="C1064" s="5" t="str">
        <f>IFNA(VLOOKUP(E1064,'Location Table'!A:C,2,false),"")</f>
        <v/>
      </c>
      <c r="D1064" s="6" t="s">
        <v>735</v>
      </c>
      <c r="E1064" s="6"/>
      <c r="F1064" s="6" t="s">
        <v>511</v>
      </c>
      <c r="G1064" s="7" t="str">
        <f>IFNA(VLOOKUP(F1064,Driver!A:D,4,false),"")</f>
        <v/>
      </c>
      <c r="H1064" s="8" t="str">
        <f>IFNA(VLOOKUP(F1064,Driver!A:C,3,false),"")</f>
        <v/>
      </c>
      <c r="I1064" s="9">
        <v>0.6666666666666666</v>
      </c>
      <c r="J1064" s="9">
        <v>0.7916666666666666</v>
      </c>
      <c r="K1064" s="9"/>
    </row>
    <row r="1065" hidden="1">
      <c r="A1065" s="5" t="str">
        <f>IFNA(VLOOKUP(D1065,'Location Table'!A:C,2,false),"")</f>
        <v>fed50c9a-8c4e-11ee-9b83-506b8d9879b5</v>
      </c>
      <c r="B1065" s="5" t="str">
        <f>IFNA(VLOOKUP(F1065,Driver!A:C,2,false),"")</f>
        <v>02d08390-37cf-11ed-865f-506b8dbc8dfb</v>
      </c>
      <c r="C1065" s="5" t="str">
        <f>IFNA(VLOOKUP(E1065,'Location Table'!A:C,2,false),"")</f>
        <v/>
      </c>
      <c r="D1065" s="6" t="s">
        <v>736</v>
      </c>
      <c r="E1065" s="6"/>
      <c r="F1065" s="6" t="s">
        <v>516</v>
      </c>
      <c r="G1065" s="7" t="str">
        <f>IFNA(VLOOKUP(F1065,Driver!A:D,4,false),"")</f>
        <v>2160130926882687325:VSRHFZoYrhhtnecmAaOfmgvaKlfxBZEgxFxSbLPTAhfVwurTuJfQgOTrwyseeqJQ</v>
      </c>
      <c r="H1065" s="8" t="str">
        <f>IFNA(VLOOKUP(F1065,Driver!A:C,3,false),"")</f>
        <v>7b7d76055846b118e857</v>
      </c>
      <c r="I1065" s="9">
        <v>0.6875</v>
      </c>
      <c r="J1065" s="9">
        <v>0.7916666666666666</v>
      </c>
      <c r="K1065" s="9"/>
    </row>
    <row r="1066" hidden="1">
      <c r="A1066" s="5" t="str">
        <f>IFNA(VLOOKUP(D1066,'Location Table'!A:C,2,false),"")</f>
        <v>1605c970-b744-11ee-be42-506b8d9879b5</v>
      </c>
      <c r="B1066" s="5" t="str">
        <f>IFNA(VLOOKUP(F1066,Driver!A:C,2,false),"")</f>
        <v>443c5016-3017-11ee-a6b5-506b8d9879b5</v>
      </c>
      <c r="C1066" s="5" t="str">
        <f>IFNA(VLOOKUP(E1066,'Location Table'!A:C,2,false),"")</f>
        <v/>
      </c>
      <c r="D1066" s="6" t="s">
        <v>741</v>
      </c>
      <c r="E1066" s="6"/>
      <c r="F1066" s="6" t="s">
        <v>513</v>
      </c>
      <c r="G1066" s="7" t="str">
        <f>IFNA(VLOOKUP(F1066,Driver!A:D,4,false),"")</f>
        <v>1980698793628880414:XXMGIAegigeHesHcPUQpIcnMCwhigvPUATFrPyRHiqIZqTwmvWiXbUzfDhivxPcl</v>
      </c>
      <c r="H1066" s="8" t="str">
        <f>IFNA(VLOOKUP(F1066,Driver!A:C,3,false),"")</f>
        <v>430767465e0cb752ee1d</v>
      </c>
      <c r="I1066" s="9">
        <v>0.6666666666666666</v>
      </c>
      <c r="J1066" s="9">
        <v>0.7916666666666666</v>
      </c>
      <c r="K1066" s="9"/>
    </row>
    <row r="1067" hidden="1">
      <c r="A1067" s="5" t="str">
        <f>IFNA(VLOOKUP(D1067,'Location Table'!A:C,2,false),"")</f>
        <v>775ca306-508d-11ee-8fce-506b8d9879b5</v>
      </c>
      <c r="B1067" s="5" t="str">
        <f>IFNA(VLOOKUP(F1067,Driver!A:C,2,false),"")</f>
        <v>af57dfcc-782d-11f0-b407-506b8d982279</v>
      </c>
      <c r="C1067" s="5" t="str">
        <f>IFNA(VLOOKUP(E1067,'Location Table'!A:C,2,false),"")</f>
        <v/>
      </c>
      <c r="D1067" s="6" t="s">
        <v>742</v>
      </c>
      <c r="E1067" s="6"/>
      <c r="F1067" s="6" t="s">
        <v>515</v>
      </c>
      <c r="G1067" s="7" t="str">
        <f>IFNA(VLOOKUP(F1067,Driver!A:D,4,false),"")</f>
        <v>2160130926882687325:VSRHFZoYrhhtnecmAaOfmgvaKlfxBZEgxFxSbLPTAhfVwurTuJfQgOTrwyseeqJQ</v>
      </c>
      <c r="H1067" s="8" t="str">
        <f>IFNA(VLOOKUP(F1067,Driver!A:C,3,false),"")</f>
        <v>d9fc37dd4093a9cdf082</v>
      </c>
      <c r="I1067" s="9">
        <v>0.6666666666666666</v>
      </c>
      <c r="J1067" s="9">
        <v>0.8333333333333334</v>
      </c>
      <c r="K1067" s="9"/>
    </row>
    <row r="1068" hidden="1">
      <c r="A1068" s="5" t="str">
        <f>IFNA(VLOOKUP(D1068,'Location Table'!A:C,2,false),"")</f>
        <v>f65a6b90-c4fb-11f0-88d5-506b8d982279</v>
      </c>
      <c r="B1068" s="5" t="str">
        <f>IFNA(VLOOKUP(F1068,Driver!A:C,2,false),"")</f>
        <v>af57dfcc-782d-11f0-b407-506b8d982279</v>
      </c>
      <c r="C1068" s="5" t="str">
        <f>IFNA(VLOOKUP(E1068,'Location Table'!A:C,2,false),"")</f>
        <v/>
      </c>
      <c r="D1068" s="6" t="s">
        <v>743</v>
      </c>
      <c r="E1068" s="6"/>
      <c r="F1068" s="6" t="s">
        <v>515</v>
      </c>
      <c r="G1068" s="7" t="str">
        <f>IFNA(VLOOKUP(F1068,Driver!A:D,4,false),"")</f>
        <v>2160130926882687325:VSRHFZoYrhhtnecmAaOfmgvaKlfxBZEgxFxSbLPTAhfVwurTuJfQgOTrwyseeqJQ</v>
      </c>
      <c r="H1068" s="8" t="str">
        <f>IFNA(VLOOKUP(F1068,Driver!A:C,3,false),"")</f>
        <v>d9fc37dd4093a9cdf082</v>
      </c>
      <c r="I1068" s="9">
        <v>0.6666666666666666</v>
      </c>
      <c r="J1068" s="9">
        <v>0.8333333333333334</v>
      </c>
      <c r="K1068" s="9"/>
    </row>
    <row r="1069" hidden="1">
      <c r="A1069" s="5" t="str">
        <f>IFNA(VLOOKUP(D1069,'Location Table'!A:C,2,false),"")</f>
        <v>dbdc81ea-c664-11ef-9fda-506b8d9879b5</v>
      </c>
      <c r="B1069" s="5" t="str">
        <f>IFNA(VLOOKUP(F1069,Driver!A:C,2,false),"")</f>
        <v>f61678a4-3656-11ed-9310-506b8dbc8dfb</v>
      </c>
      <c r="C1069" s="5" t="str">
        <f>IFNA(VLOOKUP(E1069,'Location Table'!A:C,2,false),"")</f>
        <v/>
      </c>
      <c r="D1069" s="6" t="s">
        <v>748</v>
      </c>
      <c r="E1069" s="6"/>
      <c r="F1069" s="6" t="s">
        <v>470</v>
      </c>
      <c r="G1069" s="7" t="str">
        <f>IFNA(VLOOKUP(F1069,Driver!A:D,4,false),"")</f>
        <v>2160130926882687325:VSRHFZoYrhhtnecmAaOfmgvaKlfxBZEgxFxSbLPTAhfVwurTuJfQgOTrwyseeqJQ</v>
      </c>
      <c r="H1069" s="8" t="str">
        <f>IFNA(VLOOKUP(F1069,Driver!A:C,3,false),"")</f>
        <v>551b71e8ffa616f84fb7</v>
      </c>
      <c r="I1069" s="9">
        <v>0.5833333333333334</v>
      </c>
      <c r="J1069" s="9">
        <v>0.7916666666666666</v>
      </c>
      <c r="K1069" s="9"/>
    </row>
    <row r="1070" hidden="1">
      <c r="A1070" s="5" t="str">
        <f>IFNA(VLOOKUP(D1070,'Location Table'!A:C,2,false),"")</f>
        <v>a31825ce-cd8b-11f0-9201-506b8d982279</v>
      </c>
      <c r="B1070" s="5" t="str">
        <f>IFNA(VLOOKUP(F1070,Driver!A:C,2,false),"")</f>
        <v>af57dfcc-782d-11f0-b407-506b8d982279</v>
      </c>
      <c r="C1070" s="5" t="str">
        <f>IFNA(VLOOKUP(E1070,'Location Table'!A:C,2,false),"")</f>
        <v/>
      </c>
      <c r="D1070" s="6" t="s">
        <v>749</v>
      </c>
      <c r="E1070" s="6"/>
      <c r="F1070" s="6" t="s">
        <v>515</v>
      </c>
      <c r="G1070" s="7" t="str">
        <f>IFNA(VLOOKUP(F1070,Driver!A:D,4,false),"")</f>
        <v>2160130926882687325:VSRHFZoYrhhtnecmAaOfmgvaKlfxBZEgxFxSbLPTAhfVwurTuJfQgOTrwyseeqJQ</v>
      </c>
      <c r="H1070" s="8" t="str">
        <f>IFNA(VLOOKUP(F1070,Driver!A:C,3,false),"")</f>
        <v>d9fc37dd4093a9cdf082</v>
      </c>
      <c r="I1070" s="9">
        <v>0.6666666666666666</v>
      </c>
      <c r="J1070" s="9">
        <v>0.8333333333333334</v>
      </c>
      <c r="K1070" s="9"/>
    </row>
    <row r="1071" hidden="1">
      <c r="A1071" s="5" t="str">
        <f>IFNA(VLOOKUP(D1071,'Location Table'!A:C,2,false),"")</f>
        <v>69fba796-9237-11f0-8bc1-506b8d982279</v>
      </c>
      <c r="B1071" s="5" t="str">
        <f>IFNA(VLOOKUP(F1071,Driver!A:C,2,false),"")</f>
        <v>02d08390-37cf-11ed-865f-506b8dbc8dfb</v>
      </c>
      <c r="C1071" s="5" t="str">
        <f>IFNA(VLOOKUP(E1071,'Location Table'!A:C,2,false),"")</f>
        <v/>
      </c>
      <c r="D1071" s="6" t="s">
        <v>750</v>
      </c>
      <c r="E1071" s="6"/>
      <c r="F1071" s="6" t="s">
        <v>516</v>
      </c>
      <c r="G1071" s="7" t="str">
        <f>IFNA(VLOOKUP(F1071,Driver!A:D,4,false),"")</f>
        <v>2160130926882687325:VSRHFZoYrhhtnecmAaOfmgvaKlfxBZEgxFxSbLPTAhfVwurTuJfQgOTrwyseeqJQ</v>
      </c>
      <c r="H1071" s="8" t="str">
        <f>IFNA(VLOOKUP(F1071,Driver!A:C,3,false),"")</f>
        <v>7b7d76055846b118e857</v>
      </c>
      <c r="I1071" s="9">
        <v>0.6875</v>
      </c>
      <c r="J1071" s="9">
        <v>0.7916666666666666</v>
      </c>
      <c r="K1071" s="9"/>
    </row>
    <row r="1072" hidden="1">
      <c r="A1072" s="5" t="str">
        <f>IFNA(VLOOKUP(D1072,'Location Table'!A:C,2,false),"")</f>
        <v>46f585c6-a5b2-11f0-8e60-506b8d982279</v>
      </c>
      <c r="B1072" s="5" t="str">
        <f>IFNA(VLOOKUP(F1072,Driver!A:C,2,false),"")</f>
        <v>f61678a4-3656-11ed-9310-506b8dbc8dfb</v>
      </c>
      <c r="C1072" s="5" t="str">
        <f>IFNA(VLOOKUP(E1072,'Location Table'!A:C,2,false),"")</f>
        <v/>
      </c>
      <c r="D1072" s="6" t="s">
        <v>751</v>
      </c>
      <c r="E1072" s="6"/>
      <c r="F1072" s="6" t="s">
        <v>470</v>
      </c>
      <c r="G1072" s="7" t="str">
        <f>IFNA(VLOOKUP(F1072,Driver!A:D,4,false),"")</f>
        <v>2160130926882687325:VSRHFZoYrhhtnecmAaOfmgvaKlfxBZEgxFxSbLPTAhfVwurTuJfQgOTrwyseeqJQ</v>
      </c>
      <c r="H1072" s="8" t="str">
        <f>IFNA(VLOOKUP(F1072,Driver!A:C,3,false),"")</f>
        <v>551b71e8ffa616f84fb7</v>
      </c>
      <c r="I1072" s="9">
        <v>0.5833333333333334</v>
      </c>
      <c r="J1072" s="9">
        <v>0.7916666666666666</v>
      </c>
      <c r="K1072" s="9"/>
    </row>
    <row r="1073" hidden="1">
      <c r="A1073" s="5" t="str">
        <f>IFNA(VLOOKUP(D1073,'Location Table'!A:C,2,false),"")</f>
        <v>0e28662a-a327-11ef-b7ef-506b8d9879b5</v>
      </c>
      <c r="B1073" s="5" t="str">
        <f>IFNA(VLOOKUP(F1073,Driver!A:C,2,false),"")</f>
        <v>02d08390-37cf-11ed-865f-506b8dbc8dfb</v>
      </c>
      <c r="C1073" s="5" t="str">
        <f>IFNA(VLOOKUP(E1073,'Location Table'!A:C,2,false),"")</f>
        <v/>
      </c>
      <c r="D1073" s="6" t="s">
        <v>753</v>
      </c>
      <c r="E1073" s="6"/>
      <c r="F1073" s="6" t="s">
        <v>516</v>
      </c>
      <c r="G1073" s="7" t="str">
        <f>IFNA(VLOOKUP(F1073,Driver!A:D,4,false),"")</f>
        <v>2160130926882687325:VSRHFZoYrhhtnecmAaOfmgvaKlfxBZEgxFxSbLPTAhfVwurTuJfQgOTrwyseeqJQ</v>
      </c>
      <c r="H1073" s="8" t="str">
        <f>IFNA(VLOOKUP(F1073,Driver!A:C,3,false),"")</f>
        <v>7b7d76055846b118e857</v>
      </c>
      <c r="I1073" s="9">
        <v>0.6875</v>
      </c>
      <c r="J1073" s="9">
        <v>0.7916666666666666</v>
      </c>
      <c r="K1073" s="9"/>
    </row>
    <row r="1074" hidden="1">
      <c r="A1074" s="5" t="str">
        <f>IFNA(VLOOKUP(D1074,'Location Table'!A:C,2,false),"")</f>
        <v>5a8e5668-deac-11ee-91a6-506b8d9879b5</v>
      </c>
      <c r="B1074" s="5" t="str">
        <f>IFNA(VLOOKUP(F1074,Driver!A:C,2,false),"")</f>
        <v>af57dfcc-782d-11f0-b407-506b8d982279</v>
      </c>
      <c r="C1074" s="5" t="str">
        <f>IFNA(VLOOKUP(E1074,'Location Table'!A:C,2,false),"")</f>
        <v/>
      </c>
      <c r="D1074" s="6" t="s">
        <v>754</v>
      </c>
      <c r="E1074" s="6"/>
      <c r="F1074" s="6" t="s">
        <v>515</v>
      </c>
      <c r="G1074" s="7" t="str">
        <f>IFNA(VLOOKUP(F1074,Driver!A:D,4,false),"")</f>
        <v>2160130926882687325:VSRHFZoYrhhtnecmAaOfmgvaKlfxBZEgxFxSbLPTAhfVwurTuJfQgOTrwyseeqJQ</v>
      </c>
      <c r="H1074" s="8" t="str">
        <f>IFNA(VLOOKUP(F1074,Driver!A:C,3,false),"")</f>
        <v>d9fc37dd4093a9cdf082</v>
      </c>
      <c r="I1074" s="9">
        <v>0.6666666666666666</v>
      </c>
      <c r="J1074" s="9">
        <v>0.8333333333333334</v>
      </c>
      <c r="K1074" s="9"/>
    </row>
    <row r="1075" hidden="1">
      <c r="A1075" s="5" t="str">
        <f>IFNA(VLOOKUP(D1075,'Location Table'!A:C,2,false),"")</f>
        <v>8379d2b4-0886-11f0-bf88-506b8d982279</v>
      </c>
      <c r="B1075" s="5" t="str">
        <f>IFNA(VLOOKUP(F1075,Driver!A:C,2,false),"")</f>
        <v>af57dfcc-782d-11f0-b407-506b8d982279</v>
      </c>
      <c r="C1075" s="5" t="str">
        <f>IFNA(VLOOKUP(E1075,'Location Table'!A:C,2,false),"")</f>
        <v/>
      </c>
      <c r="D1075" s="6" t="s">
        <v>758</v>
      </c>
      <c r="E1075" s="6"/>
      <c r="F1075" s="6" t="s">
        <v>515</v>
      </c>
      <c r="G1075" s="7" t="str">
        <f>IFNA(VLOOKUP(F1075,Driver!A:D,4,false),"")</f>
        <v>2160130926882687325:VSRHFZoYrhhtnecmAaOfmgvaKlfxBZEgxFxSbLPTAhfVwurTuJfQgOTrwyseeqJQ</v>
      </c>
      <c r="H1075" s="8" t="str">
        <f>IFNA(VLOOKUP(F1075,Driver!A:C,3,false),"")</f>
        <v>d9fc37dd4093a9cdf082</v>
      </c>
      <c r="I1075" s="9">
        <v>0.6666666666666666</v>
      </c>
      <c r="J1075" s="9">
        <v>0.8333333333333334</v>
      </c>
      <c r="K1075" s="9"/>
    </row>
    <row r="1076" hidden="1">
      <c r="A1076" s="5" t="str">
        <f>IFNA(VLOOKUP(D1076,'Location Table'!A:C,2,false),"")</f>
        <v>02cb35f0-eade-11f0-97d5-506b8d982279</v>
      </c>
      <c r="B1076" s="5" t="str">
        <f>IFNA(VLOOKUP(F1076,Driver!A:C,2,false),"")</f>
        <v>443c5016-3017-11ee-a6b5-506b8d9879b5</v>
      </c>
      <c r="C1076" s="5" t="str">
        <f>IFNA(VLOOKUP(E1076,'Location Table'!A:C,2,false),"")</f>
        <v/>
      </c>
      <c r="D1076" s="6" t="s">
        <v>760</v>
      </c>
      <c r="E1076" s="6"/>
      <c r="F1076" s="6" t="s">
        <v>513</v>
      </c>
      <c r="G1076" s="7" t="str">
        <f>IFNA(VLOOKUP(F1076,Driver!A:D,4,false),"")</f>
        <v>1980698793628880414:XXMGIAegigeHesHcPUQpIcnMCwhigvPUATFrPyRHiqIZqTwmvWiXbUzfDhivxPcl</v>
      </c>
      <c r="H1076" s="8" t="str">
        <f>IFNA(VLOOKUP(F1076,Driver!A:C,3,false),"")</f>
        <v>430767465e0cb752ee1d</v>
      </c>
      <c r="I1076" s="9">
        <v>0.6666666666666666</v>
      </c>
      <c r="J1076" s="9">
        <v>0.7916666666666666</v>
      </c>
      <c r="K1076" s="9"/>
    </row>
    <row r="1077" hidden="1">
      <c r="A1077" s="5" t="str">
        <f>IFNA(VLOOKUP(D1077,'Location Table'!A:C,2,false),"")</f>
        <v>a5daa8ea-0ab5-11ee-b70d-506b8dbc8dfb</v>
      </c>
      <c r="B1077" s="5" t="str">
        <f>IFNA(VLOOKUP(F1077,Driver!A:C,2,false),"")</f>
        <v>f61678a4-3656-11ed-9310-506b8dbc8dfb</v>
      </c>
      <c r="C1077" s="5" t="str">
        <f>IFNA(VLOOKUP(E1077,'Location Table'!A:C,2,false),"")</f>
        <v/>
      </c>
      <c r="D1077" s="6" t="s">
        <v>763</v>
      </c>
      <c r="E1077" s="6"/>
      <c r="F1077" s="6" t="s">
        <v>470</v>
      </c>
      <c r="G1077" s="7" t="str">
        <f>IFNA(VLOOKUP(F1077,Driver!A:D,4,false),"")</f>
        <v>2160130926882687325:VSRHFZoYrhhtnecmAaOfmgvaKlfxBZEgxFxSbLPTAhfVwurTuJfQgOTrwyseeqJQ</v>
      </c>
      <c r="H1077" s="8" t="str">
        <f>IFNA(VLOOKUP(F1077,Driver!A:C,3,false),"")</f>
        <v>551b71e8ffa616f84fb7</v>
      </c>
      <c r="I1077" s="9">
        <v>0.5833333333333334</v>
      </c>
      <c r="J1077" s="9">
        <v>0.7916666666666666</v>
      </c>
      <c r="K1077" s="9"/>
    </row>
    <row r="1078" hidden="1">
      <c r="A1078" s="5" t="str">
        <f>IFNA(VLOOKUP(D1078,'Location Table'!A:C,2,false),"")</f>
        <v>adf1e9a6-8b27-11ee-a96f-506b8d9879b5</v>
      </c>
      <c r="B1078" s="5" t="str">
        <f>IFNA(VLOOKUP(F1078,Driver!A:C,2,false),"")</f>
        <v>443c5016-3017-11ee-a6b5-506b8d9879b5</v>
      </c>
      <c r="C1078" s="5" t="str">
        <f>IFNA(VLOOKUP(E1078,'Location Table'!A:C,2,false),"")</f>
        <v/>
      </c>
      <c r="D1078" s="6" t="s">
        <v>765</v>
      </c>
      <c r="E1078" s="6"/>
      <c r="F1078" s="6" t="s">
        <v>513</v>
      </c>
      <c r="G1078" s="7" t="str">
        <f>IFNA(VLOOKUP(F1078,Driver!A:D,4,false),"")</f>
        <v>1980698793628880414:XXMGIAegigeHesHcPUQpIcnMCwhigvPUATFrPyRHiqIZqTwmvWiXbUzfDhivxPcl</v>
      </c>
      <c r="H1078" s="8" t="str">
        <f>IFNA(VLOOKUP(F1078,Driver!A:C,3,false),"")</f>
        <v>430767465e0cb752ee1d</v>
      </c>
      <c r="I1078" s="9">
        <v>0.6666666666666666</v>
      </c>
      <c r="J1078" s="9">
        <v>0.7916666666666666</v>
      </c>
      <c r="K1078" s="9"/>
    </row>
    <row r="1079" hidden="1">
      <c r="A1079" s="5" t="str">
        <f>IFNA(VLOOKUP(D1079,'Location Table'!A:C,2,false),"")</f>
        <v>e2124b02-2cec-11ee-b541-506b8d9879b5</v>
      </c>
      <c r="B1079" s="5" t="str">
        <f>IFNA(VLOOKUP(F1079,Driver!A:C,2,false),"")</f>
        <v>f61678a4-3656-11ed-9310-506b8dbc8dfb</v>
      </c>
      <c r="C1079" s="5" t="str">
        <f>IFNA(VLOOKUP(E1079,'Location Table'!A:C,2,false),"")</f>
        <v/>
      </c>
      <c r="D1079" s="6" t="s">
        <v>773</v>
      </c>
      <c r="E1079" s="6"/>
      <c r="F1079" s="6" t="s">
        <v>470</v>
      </c>
      <c r="G1079" s="7" t="str">
        <f>IFNA(VLOOKUP(F1079,Driver!A:D,4,false),"")</f>
        <v>2160130926882687325:VSRHFZoYrhhtnecmAaOfmgvaKlfxBZEgxFxSbLPTAhfVwurTuJfQgOTrwyseeqJQ</v>
      </c>
      <c r="H1079" s="8" t="str">
        <f>IFNA(VLOOKUP(F1079,Driver!A:C,3,false),"")</f>
        <v>551b71e8ffa616f84fb7</v>
      </c>
      <c r="I1079" s="9">
        <v>0.5833333333333334</v>
      </c>
      <c r="J1079" s="9">
        <v>0.7916666666666666</v>
      </c>
      <c r="K1079" s="9"/>
    </row>
    <row r="1080" hidden="1">
      <c r="A1080" s="5" t="str">
        <f>IFNA(VLOOKUP(D1080,'Location Table'!A:C,2,false),"")</f>
        <v>5686c49a-8ada-11ee-bde1-506b8d9879b5</v>
      </c>
      <c r="B1080" s="5" t="str">
        <f>IFNA(VLOOKUP(F1080,Driver!A:C,2,false),"")</f>
        <v>f3cef536-7671-11f0-84d2-506b8d982279</v>
      </c>
      <c r="C1080" s="5" t="str">
        <f>IFNA(VLOOKUP(E1080,'Location Table'!A:C,2,false),"")</f>
        <v/>
      </c>
      <c r="D1080" s="6" t="s">
        <v>774</v>
      </c>
      <c r="E1080" s="6"/>
      <c r="F1080" s="6" t="s">
        <v>112</v>
      </c>
      <c r="G1080" s="7" t="str">
        <f>IFNA(VLOOKUP(F1080,Driver!A:D,4,false),"")</f>
        <v/>
      </c>
      <c r="H1080" s="8" t="str">
        <f>IFNA(VLOOKUP(F1080,Driver!A:C,3,false),"")</f>
        <v/>
      </c>
      <c r="I1080" s="9">
        <v>0.4583333333333333</v>
      </c>
      <c r="J1080" s="9">
        <v>0.8333333333333334</v>
      </c>
      <c r="K1080" s="9"/>
    </row>
    <row r="1081" hidden="1">
      <c r="A1081" s="5" t="str">
        <f>IFNA(VLOOKUP(D1081,'Location Table'!A:C,2,false),"")</f>
        <v>a4c531b8-daf2-11f0-b991-506b8d982279</v>
      </c>
      <c r="B1081" s="5" t="str">
        <f>IFNA(VLOOKUP(F1081,Driver!A:C,2,false),"")</f>
        <v>443c5016-3017-11ee-a6b5-506b8d9879b5</v>
      </c>
      <c r="C1081" s="5" t="str">
        <f>IFNA(VLOOKUP(E1081,'Location Table'!A:C,2,false),"")</f>
        <v/>
      </c>
      <c r="D1081" s="6" t="s">
        <v>775</v>
      </c>
      <c r="E1081" s="6"/>
      <c r="F1081" s="6" t="s">
        <v>513</v>
      </c>
      <c r="G1081" s="7" t="str">
        <f>IFNA(VLOOKUP(F1081,Driver!A:D,4,false),"")</f>
        <v>1980698793628880414:XXMGIAegigeHesHcPUQpIcnMCwhigvPUATFrPyRHiqIZqTwmvWiXbUzfDhivxPcl</v>
      </c>
      <c r="H1081" s="8" t="str">
        <f>IFNA(VLOOKUP(F1081,Driver!A:C,3,false),"")</f>
        <v>430767465e0cb752ee1d</v>
      </c>
      <c r="I1081" s="9">
        <v>0.6666666666666666</v>
      </c>
      <c r="J1081" s="9">
        <v>0.7916666666666666</v>
      </c>
      <c r="K1081" s="9"/>
    </row>
    <row r="1082" hidden="1">
      <c r="A1082" s="5" t="str">
        <f>IFNA(VLOOKUP(D1082,'Location Table'!A:C,2,false),"")</f>
        <v>b0151ce0-49ff-11ed-b1f4-506b8dbc8dfb</v>
      </c>
      <c r="B1082" s="5" t="str">
        <f>IFNA(VLOOKUP(F1082,Driver!A:C,2,false),"")</f>
        <v>f61678a4-3656-11ed-9310-506b8dbc8dfb</v>
      </c>
      <c r="C1082" s="5" t="str">
        <f>IFNA(VLOOKUP(E1082,'Location Table'!A:C,2,false),"")</f>
        <v/>
      </c>
      <c r="D1082" s="6" t="s">
        <v>777</v>
      </c>
      <c r="E1082" s="6"/>
      <c r="F1082" s="6" t="s">
        <v>470</v>
      </c>
      <c r="G1082" s="7" t="str">
        <f>IFNA(VLOOKUP(F1082,Driver!A:D,4,false),"")</f>
        <v>2160130926882687325:VSRHFZoYrhhtnecmAaOfmgvaKlfxBZEgxFxSbLPTAhfVwurTuJfQgOTrwyseeqJQ</v>
      </c>
      <c r="H1082" s="8" t="str">
        <f>IFNA(VLOOKUP(F1082,Driver!A:C,3,false),"")</f>
        <v>551b71e8ffa616f84fb7</v>
      </c>
      <c r="I1082" s="9">
        <v>0.5833333333333334</v>
      </c>
      <c r="J1082" s="9">
        <v>0.7916666666666666</v>
      </c>
      <c r="K1082" s="9"/>
    </row>
    <row r="1083" hidden="1">
      <c r="A1083" s="5" t="str">
        <f>IFNA(VLOOKUP(D1083,'Location Table'!A:C,2,false),"")</f>
        <v>70b138ba-b224-11ef-9689-506b8d9879b5</v>
      </c>
      <c r="B1083" s="5" t="str">
        <f>IFNA(VLOOKUP(F1083,Driver!A:C,2,false),"")</f>
        <v>443c5016-3017-11ee-a6b5-506b8d9879b5</v>
      </c>
      <c r="C1083" s="5" t="str">
        <f>IFNA(VLOOKUP(E1083,'Location Table'!A:C,2,false),"")</f>
        <v/>
      </c>
      <c r="D1083" s="6" t="s">
        <v>778</v>
      </c>
      <c r="E1083" s="6"/>
      <c r="F1083" s="6" t="s">
        <v>513</v>
      </c>
      <c r="G1083" s="7" t="str">
        <f>IFNA(VLOOKUP(F1083,Driver!A:D,4,false),"")</f>
        <v>1980698793628880414:XXMGIAegigeHesHcPUQpIcnMCwhigvPUATFrPyRHiqIZqTwmvWiXbUzfDhivxPcl</v>
      </c>
      <c r="H1083" s="8" t="str">
        <f>IFNA(VLOOKUP(F1083,Driver!A:C,3,false),"")</f>
        <v>430767465e0cb752ee1d</v>
      </c>
      <c r="I1083" s="9">
        <v>0.6666666666666666</v>
      </c>
      <c r="J1083" s="9">
        <v>0.7916666666666666</v>
      </c>
      <c r="K1083" s="9"/>
    </row>
    <row r="1084" hidden="1">
      <c r="A1084" s="5" t="str">
        <f>IFNA(VLOOKUP(D1084,'Location Table'!A:C,2,false),"")</f>
        <v>b4430112-b887-11ef-a0ce-506b8d9879b5</v>
      </c>
      <c r="B1084" s="5" t="str">
        <f>IFNA(VLOOKUP(F1084,Driver!A:C,2,false),"")</f>
        <v>412f31be-2fc3-11f1-9378-fa163ee8d8ac</v>
      </c>
      <c r="C1084" s="5" t="str">
        <f>IFNA(VLOOKUP(E1084,'Location Table'!A:C,2,false),"")</f>
        <v/>
      </c>
      <c r="D1084" s="6" t="s">
        <v>782</v>
      </c>
      <c r="E1084" s="6"/>
      <c r="F1084" s="6" t="s">
        <v>511</v>
      </c>
      <c r="G1084" s="7" t="str">
        <f>IFNA(VLOOKUP(F1084,Driver!A:D,4,false),"")</f>
        <v/>
      </c>
      <c r="H1084" s="8" t="str">
        <f>IFNA(VLOOKUP(F1084,Driver!A:C,3,false),"")</f>
        <v/>
      </c>
      <c r="I1084" s="9">
        <v>0.6666666666666666</v>
      </c>
      <c r="J1084" s="9">
        <v>0.7916666666666666</v>
      </c>
      <c r="K1084" s="9"/>
    </row>
    <row r="1085" hidden="1">
      <c r="A1085" s="5" t="str">
        <f>IFNA(VLOOKUP(D1085,'Location Table'!A:C,2,false),"")</f>
        <v>28e7eef2-a58a-11f0-8e49-506b8d982279</v>
      </c>
      <c r="B1085" s="5" t="str">
        <f>IFNA(VLOOKUP(F1085,Driver!A:C,2,false),"")</f>
        <v>f61678a4-3656-11ed-9310-506b8dbc8dfb</v>
      </c>
      <c r="C1085" s="5" t="str">
        <f>IFNA(VLOOKUP(E1085,'Location Table'!A:C,2,false),"")</f>
        <v/>
      </c>
      <c r="D1085" s="6" t="s">
        <v>783</v>
      </c>
      <c r="E1085" s="6"/>
      <c r="F1085" s="6" t="s">
        <v>470</v>
      </c>
      <c r="G1085" s="7" t="str">
        <f>IFNA(VLOOKUP(F1085,Driver!A:D,4,false),"")</f>
        <v>2160130926882687325:VSRHFZoYrhhtnecmAaOfmgvaKlfxBZEgxFxSbLPTAhfVwurTuJfQgOTrwyseeqJQ</v>
      </c>
      <c r="H1085" s="8" t="str">
        <f>IFNA(VLOOKUP(F1085,Driver!A:C,3,false),"")</f>
        <v>551b71e8ffa616f84fb7</v>
      </c>
      <c r="I1085" s="9">
        <v>0.5833333333333334</v>
      </c>
      <c r="J1085" s="9">
        <v>0.7916666666666666</v>
      </c>
      <c r="K1085" s="9"/>
    </row>
    <row r="1086" hidden="1">
      <c r="A1086" s="5" t="str">
        <f>IFNA(VLOOKUP(D1086,'Location Table'!A:C,2,false),"")</f>
        <v>719b368a-0ec9-11ef-9928-506b8d9879b5</v>
      </c>
      <c r="B1086" s="5" t="str">
        <f>IFNA(VLOOKUP(F1086,Driver!A:C,2,false),"")</f>
        <v>412f31be-2fc3-11f1-9378-fa163ee8d8ac</v>
      </c>
      <c r="C1086" s="5" t="str">
        <f>IFNA(VLOOKUP(E1086,'Location Table'!A:C,2,false),"")</f>
        <v/>
      </c>
      <c r="D1086" s="6" t="s">
        <v>791</v>
      </c>
      <c r="E1086" s="6"/>
      <c r="F1086" s="6" t="s">
        <v>511</v>
      </c>
      <c r="G1086" s="7" t="str">
        <f>IFNA(VLOOKUP(F1086,Driver!A:D,4,false),"")</f>
        <v/>
      </c>
      <c r="H1086" s="8" t="str">
        <f>IFNA(VLOOKUP(F1086,Driver!A:C,3,false),"")</f>
        <v/>
      </c>
      <c r="I1086" s="9">
        <v>0.6666666666666666</v>
      </c>
      <c r="J1086" s="9">
        <v>0.7916666666666666</v>
      </c>
      <c r="K1086" s="9"/>
    </row>
    <row r="1087" hidden="1">
      <c r="A1087" s="5" t="str">
        <f>IFNA(VLOOKUP(D1087,'Location Table'!A:C,2,false),"")</f>
        <v>44c2b344-df9d-11f0-988f-506b8d982279</v>
      </c>
      <c r="B1087" s="5" t="str">
        <f>IFNA(VLOOKUP(F1087,Driver!A:C,2,false),"")</f>
        <v>f3cef536-7671-11f0-84d2-506b8d982279</v>
      </c>
      <c r="C1087" s="5" t="str">
        <f>IFNA(VLOOKUP(E1087,'Location Table'!A:C,2,false),"")</f>
        <v/>
      </c>
      <c r="D1087" s="6" t="s">
        <v>792</v>
      </c>
      <c r="E1087" s="6"/>
      <c r="F1087" s="6" t="s">
        <v>112</v>
      </c>
      <c r="G1087" s="7" t="str">
        <f>IFNA(VLOOKUP(F1087,Driver!A:D,4,false),"")</f>
        <v/>
      </c>
      <c r="H1087" s="8" t="str">
        <f>IFNA(VLOOKUP(F1087,Driver!A:C,3,false),"")</f>
        <v/>
      </c>
      <c r="I1087" s="9">
        <v>0.4583333333333333</v>
      </c>
      <c r="J1087" s="9">
        <v>0.8333333333333334</v>
      </c>
      <c r="K1087" s="9"/>
    </row>
    <row r="1088" hidden="1">
      <c r="A1088" s="5" t="str">
        <f>IFNA(VLOOKUP(D1088,'Location Table'!A:C,2,false),"")</f>
        <v>4ade2dbe-47ea-11ee-aa84-506b8d9879b5</v>
      </c>
      <c r="B1088" s="5" t="str">
        <f>IFNA(VLOOKUP(F1088,Driver!A:C,2,false),"")</f>
        <v>412f31be-2fc3-11f1-9378-fa163ee8d8ac</v>
      </c>
      <c r="C1088" s="5" t="str">
        <f>IFNA(VLOOKUP(E1088,'Location Table'!A:C,2,false),"")</f>
        <v/>
      </c>
      <c r="D1088" s="6" t="s">
        <v>793</v>
      </c>
      <c r="E1088" s="6"/>
      <c r="F1088" s="6" t="s">
        <v>511</v>
      </c>
      <c r="G1088" s="7" t="str">
        <f>IFNA(VLOOKUP(F1088,Driver!A:D,4,false),"")</f>
        <v/>
      </c>
      <c r="H1088" s="8" t="str">
        <f>IFNA(VLOOKUP(F1088,Driver!A:C,3,false),"")</f>
        <v/>
      </c>
      <c r="I1088" s="9">
        <v>0.6666666666666666</v>
      </c>
      <c r="J1088" s="9">
        <v>0.7916666666666666</v>
      </c>
      <c r="K1088" s="9"/>
    </row>
    <row r="1089" hidden="1">
      <c r="A1089" s="5" t="str">
        <f>IFNA(VLOOKUP(D1089,'Location Table'!A:C,2,false),"")</f>
        <v>c3c48080-ffad-11ef-9864-506b8d9879b5</v>
      </c>
      <c r="B1089" s="5" t="str">
        <f>IFNA(VLOOKUP(F1089,Driver!A:C,2,false),"")</f>
        <v>f3cef536-7671-11f0-84d2-506b8d982279</v>
      </c>
      <c r="C1089" s="5" t="str">
        <f>IFNA(VLOOKUP(E1089,'Location Table'!A:C,2,false),"")</f>
        <v/>
      </c>
      <c r="D1089" s="6" t="s">
        <v>794</v>
      </c>
      <c r="E1089" s="6"/>
      <c r="F1089" s="6" t="s">
        <v>112</v>
      </c>
      <c r="G1089" s="7" t="str">
        <f>IFNA(VLOOKUP(F1089,Driver!A:D,4,false),"")</f>
        <v/>
      </c>
      <c r="H1089" s="8" t="str">
        <f>IFNA(VLOOKUP(F1089,Driver!A:C,3,false),"")</f>
        <v/>
      </c>
      <c r="I1089" s="9">
        <v>0.4583333333333333</v>
      </c>
      <c r="J1089" s="9">
        <v>0.8333333333333334</v>
      </c>
      <c r="K1089" s="9"/>
    </row>
    <row r="1090" hidden="1">
      <c r="A1090" s="5" t="str">
        <f>IFNA(VLOOKUP(D1090,'Location Table'!A:C,2,false),"")</f>
        <v>9b0992e6-7216-11ee-b54d-506b8d9879b5</v>
      </c>
      <c r="B1090" s="5" t="str">
        <f>IFNA(VLOOKUP(F1090,Driver!A:C,2,false),"")</f>
        <v>02d08390-37cf-11ed-865f-506b8dbc8dfb</v>
      </c>
      <c r="C1090" s="5" t="str">
        <f>IFNA(VLOOKUP(E1090,'Location Table'!A:C,2,false),"")</f>
        <v/>
      </c>
      <c r="D1090" s="6" t="s">
        <v>796</v>
      </c>
      <c r="E1090" s="6"/>
      <c r="F1090" s="6" t="s">
        <v>516</v>
      </c>
      <c r="G1090" s="7" t="str">
        <f>IFNA(VLOOKUP(F1090,Driver!A:D,4,false),"")</f>
        <v>2160130926882687325:VSRHFZoYrhhtnecmAaOfmgvaKlfxBZEgxFxSbLPTAhfVwurTuJfQgOTrwyseeqJQ</v>
      </c>
      <c r="H1090" s="8" t="str">
        <f>IFNA(VLOOKUP(F1090,Driver!A:C,3,false),"")</f>
        <v>7b7d76055846b118e857</v>
      </c>
      <c r="I1090" s="9">
        <v>0.6875</v>
      </c>
      <c r="J1090" s="9">
        <v>0.7916666666666666</v>
      </c>
      <c r="K1090" s="9"/>
    </row>
    <row r="1091" hidden="1">
      <c r="A1091" s="5" t="str">
        <f>IFNA(VLOOKUP(D1091,'Location Table'!A:C,2,false),"")</f>
        <v>2178a272-f39d-11f0-9378-fa163ee8d8ac</v>
      </c>
      <c r="B1091" s="5" t="str">
        <f>IFNA(VLOOKUP(F1091,Driver!A:C,2,false),"")</f>
        <v>af57dfcc-782d-11f0-b407-506b8d982279</v>
      </c>
      <c r="C1091" s="5" t="str">
        <f>IFNA(VLOOKUP(E1091,'Location Table'!A:C,2,false),"")</f>
        <v/>
      </c>
      <c r="D1091" s="6" t="s">
        <v>798</v>
      </c>
      <c r="E1091" s="6"/>
      <c r="F1091" s="6" t="s">
        <v>515</v>
      </c>
      <c r="G1091" s="7" t="str">
        <f>IFNA(VLOOKUP(F1091,Driver!A:D,4,false),"")</f>
        <v>2160130926882687325:VSRHFZoYrhhtnecmAaOfmgvaKlfxBZEgxFxSbLPTAhfVwurTuJfQgOTrwyseeqJQ</v>
      </c>
      <c r="H1091" s="8" t="str">
        <f>IFNA(VLOOKUP(F1091,Driver!A:C,3,false),"")</f>
        <v>d9fc37dd4093a9cdf082</v>
      </c>
      <c r="I1091" s="9">
        <v>0.6666666666666666</v>
      </c>
      <c r="J1091" s="9">
        <v>0.8333333333333334</v>
      </c>
      <c r="K1091" s="9"/>
    </row>
    <row r="1092" hidden="1">
      <c r="A1092" s="5" t="str">
        <f>IFNA(VLOOKUP(D1092,'Location Table'!A:C,2,false),"")</f>
        <v>5c9ec158-f645-11ee-bc2a-506b8d9879b5</v>
      </c>
      <c r="B1092" s="5" t="str">
        <f>IFNA(VLOOKUP(F1092,Driver!A:C,2,false),"")</f>
        <v>f3cef536-7671-11f0-84d2-506b8d982279</v>
      </c>
      <c r="C1092" s="5" t="str">
        <f>IFNA(VLOOKUP(E1092,'Location Table'!A:C,2,false),"")</f>
        <v/>
      </c>
      <c r="D1092" s="6" t="s">
        <v>799</v>
      </c>
      <c r="E1092" s="6"/>
      <c r="F1092" s="6" t="s">
        <v>112</v>
      </c>
      <c r="G1092" s="7" t="str">
        <f>IFNA(VLOOKUP(F1092,Driver!A:D,4,false),"")</f>
        <v/>
      </c>
      <c r="H1092" s="8" t="str">
        <f>IFNA(VLOOKUP(F1092,Driver!A:C,3,false),"")</f>
        <v/>
      </c>
      <c r="I1092" s="9">
        <v>0.4583333333333333</v>
      </c>
      <c r="J1092" s="9">
        <v>0.8333333333333334</v>
      </c>
      <c r="K1092" s="9"/>
    </row>
    <row r="1093" hidden="1">
      <c r="A1093" s="5" t="str">
        <f>IFNA(VLOOKUP(D1093,'Location Table'!A:C,2,false),"")</f>
        <v>d4e006c0-42a9-11f0-af1e-506b8d982279</v>
      </c>
      <c r="B1093" s="5" t="str">
        <f>IFNA(VLOOKUP(F1093,Driver!A:C,2,false),"")</f>
        <v>f3cef536-7671-11f0-84d2-506b8d982279</v>
      </c>
      <c r="C1093" s="5" t="str">
        <f>IFNA(VLOOKUP(E1093,'Location Table'!A:C,2,false),"")</f>
        <v/>
      </c>
      <c r="D1093" s="6" t="s">
        <v>801</v>
      </c>
      <c r="E1093" s="6"/>
      <c r="F1093" s="6" t="s">
        <v>112</v>
      </c>
      <c r="G1093" s="7" t="str">
        <f>IFNA(VLOOKUP(F1093,Driver!A:D,4,false),"")</f>
        <v/>
      </c>
      <c r="H1093" s="8" t="str">
        <f>IFNA(VLOOKUP(F1093,Driver!A:C,3,false),"")</f>
        <v/>
      </c>
      <c r="I1093" s="9">
        <v>0.4583333333333333</v>
      </c>
      <c r="J1093" s="9">
        <v>0.8333333333333334</v>
      </c>
      <c r="K1093" s="9"/>
    </row>
    <row r="1094" hidden="1">
      <c r="A1094" s="5" t="str">
        <f>IFNA(VLOOKUP(D1094,'Location Table'!A:C,2,false),"")</f>
        <v>e95894d4-ed77-11ed-941b-506b8dbc8dfb</v>
      </c>
      <c r="B1094" s="5" t="str">
        <f>IFNA(VLOOKUP(F1094,Driver!A:C,2,false),"")</f>
        <v>1d4786cc-12f7-11f1-9378-fa163ee8d8ac</v>
      </c>
      <c r="C1094" s="5" t="str">
        <f>IFNA(VLOOKUP(E1094,'Location Table'!A:C,2,false),"")</f>
        <v/>
      </c>
      <c r="D1094" s="10" t="s">
        <v>713</v>
      </c>
      <c r="E1094" s="6"/>
      <c r="F1094" s="6" t="s">
        <v>343</v>
      </c>
      <c r="G1094" s="7" t="str">
        <f>IFNA(VLOOKUP(F1094,Driver!A:D,4,false),"")</f>
        <v>1980698793628880414:XXMGIAegigeHesHcPUQpIcnMCwhigvPUATFrPyRHiqIZqTwmvWiXbUzfDhivxPcl</v>
      </c>
      <c r="H1094" s="8" t="str">
        <f>IFNA(VLOOKUP(F1094,Driver!A:C,3,false),"")</f>
        <v>85d2de46a91b4045190a</v>
      </c>
      <c r="I1094" s="9">
        <v>0.25</v>
      </c>
      <c r="J1094" s="9">
        <v>0.75</v>
      </c>
      <c r="K1094" s="9"/>
    </row>
    <row r="1095" hidden="1">
      <c r="A1095" s="5" t="str">
        <f>IFNA(VLOOKUP(D1095,'Location Table'!A:C,2,false),"")</f>
        <v>ba7452ba-50d1-11f0-a00e-506b8d982279</v>
      </c>
      <c r="B1095" s="5" t="str">
        <f>IFNA(VLOOKUP(F1095,Driver!A:C,2,false),"")</f>
        <v>f61678a4-3656-11ed-9310-506b8dbc8dfb</v>
      </c>
      <c r="C1095" s="5" t="str">
        <f>IFNA(VLOOKUP(E1095,'Location Table'!A:C,2,false),"")</f>
        <v/>
      </c>
      <c r="D1095" s="6" t="s">
        <v>456</v>
      </c>
      <c r="E1095" s="6"/>
      <c r="F1095" s="6" t="s">
        <v>470</v>
      </c>
      <c r="G1095" s="7" t="str">
        <f>IFNA(VLOOKUP(F1095,Driver!A:D,4,false),"")</f>
        <v>2160130926882687325:VSRHFZoYrhhtnecmAaOfmgvaKlfxBZEgxFxSbLPTAhfVwurTuJfQgOTrwyseeqJQ</v>
      </c>
      <c r="H1095" s="8" t="str">
        <f>IFNA(VLOOKUP(F1095,Driver!A:C,3,false),"")</f>
        <v>551b71e8ffa616f84fb7</v>
      </c>
      <c r="I1095" s="9">
        <v>0.5833333333333334</v>
      </c>
      <c r="J1095" s="9">
        <v>0.8333333333333334</v>
      </c>
      <c r="K1095" s="9"/>
    </row>
    <row r="1096" hidden="1">
      <c r="A1096" s="5" t="str">
        <f>IFNA(VLOOKUP(D1096,'Location Table'!A:C,2,false),"")</f>
        <v>fce553ce-c7dd-11ef-a8fd-506b8d9879b5</v>
      </c>
      <c r="B1096" s="5" t="str">
        <f>IFNA(VLOOKUP(F1096,Driver!A:C,2,false),"")</f>
        <v>a01fefe6-3653-11ed-8128-506b8dbc8dfb</v>
      </c>
      <c r="C1096" s="5" t="str">
        <f>IFNA(VLOOKUP(E1096,'Location Table'!A:C,2,false),"")</f>
        <v/>
      </c>
      <c r="D1096" s="6" t="s">
        <v>803</v>
      </c>
      <c r="E1096" s="6"/>
      <c r="F1096" s="6" t="s">
        <v>128</v>
      </c>
      <c r="G1096" s="7" t="str">
        <f>IFNA(VLOOKUP(F1096,Driver!A:D,4,false),"")</f>
        <v/>
      </c>
      <c r="H1096" s="8" t="str">
        <f>IFNA(VLOOKUP(F1096,Driver!A:C,3,false),"")</f>
        <v/>
      </c>
      <c r="I1096" s="9">
        <v>0.2916666666666667</v>
      </c>
      <c r="J1096" s="9">
        <v>0.5</v>
      </c>
      <c r="K1096" s="9"/>
    </row>
    <row r="1097" hidden="1">
      <c r="A1097" s="5" t="str">
        <f>IFNA(VLOOKUP(D1097,'Location Table'!A:C,2,false),"")</f>
        <v>fce553ce-c7dd-11ef-a8fd-506b8d9879b5</v>
      </c>
      <c r="B1097" s="5" t="str">
        <f>IFNA(VLOOKUP(F1097,Driver!A:C,2,false),"")</f>
        <v>f61678a4-3656-11ed-9310-506b8dbc8dfb</v>
      </c>
      <c r="C1097" s="5" t="str">
        <f>IFNA(VLOOKUP(E1097,'Location Table'!A:C,2,false),"")</f>
        <v/>
      </c>
      <c r="D1097" s="6" t="s">
        <v>803</v>
      </c>
      <c r="E1097" s="6"/>
      <c r="F1097" s="6" t="s">
        <v>470</v>
      </c>
      <c r="G1097" s="7" t="str">
        <f>IFNA(VLOOKUP(F1097,Driver!A:D,4,false),"")</f>
        <v>2160130926882687325:VSRHFZoYrhhtnecmAaOfmgvaKlfxBZEgxFxSbLPTAhfVwurTuJfQgOTrwyseeqJQ</v>
      </c>
      <c r="H1097" s="8" t="str">
        <f>IFNA(VLOOKUP(F1097,Driver!A:C,3,false),"")</f>
        <v>551b71e8ffa616f84fb7</v>
      </c>
      <c r="I1097" s="9">
        <v>0.5833333333333334</v>
      </c>
      <c r="J1097" s="9">
        <v>0.7916666666666666</v>
      </c>
      <c r="K1097" s="9"/>
    </row>
    <row r="1098" hidden="1">
      <c r="A1098" s="5" t="str">
        <f>IFNA(VLOOKUP(D1098,'Location Table'!A:C,2,false),"")</f>
        <v>c995bfaa-3d9b-11ed-9a28-506b8dbc8dfb</v>
      </c>
      <c r="B1098" s="5" t="str">
        <f>IFNA(VLOOKUP(F1098,Driver!A:C,2,false),"")</f>
        <v>1d4786cc-12f7-11f1-9378-fa163ee8d8ac</v>
      </c>
      <c r="C1098" s="5" t="str">
        <f>IFNA(VLOOKUP(E1098,'Location Table'!A:C,2,false),"")</f>
        <v/>
      </c>
      <c r="D1098" s="10" t="s">
        <v>804</v>
      </c>
      <c r="E1098" s="6"/>
      <c r="F1098" s="6" t="s">
        <v>343</v>
      </c>
      <c r="G1098" s="7" t="str">
        <f>IFNA(VLOOKUP(F1098,Driver!A:D,4,false),"")</f>
        <v>1980698793628880414:XXMGIAegigeHesHcPUQpIcnMCwhigvPUATFrPyRHiqIZqTwmvWiXbUzfDhivxPcl</v>
      </c>
      <c r="H1098" s="8" t="str">
        <f>IFNA(VLOOKUP(F1098,Driver!A:C,3,false),"")</f>
        <v>85d2de46a91b4045190a</v>
      </c>
      <c r="I1098" s="9">
        <v>0.23958333333333334</v>
      </c>
      <c r="J1098" s="9">
        <v>0.78125</v>
      </c>
      <c r="K1098" s="9"/>
    </row>
    <row r="1099" hidden="1">
      <c r="A1099" s="5" t="str">
        <f>IFNA(VLOOKUP(D1099,'Location Table'!A:C,2,false),"")</f>
        <v>c995bfaa-3d9b-11ed-9a28-506b8dbc8dfb</v>
      </c>
      <c r="B1099" s="5" t="str">
        <f>IFNA(VLOOKUP(F1099,Driver!A:C,2,false),"")</f>
        <v>e95f7d96-3655-11ed-8308-506b8dbc8dfb</v>
      </c>
      <c r="C1099" s="5" t="str">
        <f>IFNA(VLOOKUP(E1099,'Location Table'!A:C,2,false),"")</f>
        <v/>
      </c>
      <c r="D1099" s="10" t="s">
        <v>804</v>
      </c>
      <c r="E1099" s="6"/>
      <c r="F1099" s="6" t="s">
        <v>805</v>
      </c>
      <c r="G1099" s="7" t="str">
        <f>IFNA(VLOOKUP(F1099,Driver!A:D,4,false),"")</f>
        <v>1980698793628880414:XXMGIAegigeHesHcPUQpIcnMCwhigvPUATFrPyRHiqIZqTwmvWiXbUzfDhivxPcl</v>
      </c>
      <c r="H1099" s="8" t="str">
        <f>IFNA(VLOOKUP(F1099,Driver!A:C,3,false),"")</f>
        <v>85d2de46a91b4045190a</v>
      </c>
      <c r="I1099" s="9">
        <v>0.78125</v>
      </c>
      <c r="J1099" s="9">
        <v>0.9583333333333334</v>
      </c>
      <c r="K1099" s="9"/>
    </row>
    <row r="1100" hidden="1">
      <c r="A1100" s="5" t="str">
        <f>IFNA(VLOOKUP(D1100,'Location Table'!A:C,2,false),"")</f>
        <v>cc143b9c-ceec-11ee-9518-506b8d9879b5</v>
      </c>
      <c r="B1100" s="5" t="str">
        <f>IFNA(VLOOKUP(F1100,Driver!A:C,2,false),"")</f>
        <v>af0e0460-72a1-11f0-a649-506b8d982279</v>
      </c>
      <c r="C1100" s="5" t="str">
        <f>IFNA(VLOOKUP(E1100,'Location Table'!A:C,2,false),"")</f>
        <v/>
      </c>
      <c r="D1100" s="6" t="s">
        <v>806</v>
      </c>
      <c r="E1100" s="6"/>
      <c r="F1100" s="6" t="s">
        <v>807</v>
      </c>
      <c r="G1100" s="7" t="str">
        <f>IFNA(VLOOKUP(F1100,Driver!A:D,4,false),"")</f>
        <v/>
      </c>
      <c r="H1100" s="8" t="str">
        <f>IFNA(VLOOKUP(F1100,Driver!A:C,3,false),"")</f>
        <v/>
      </c>
      <c r="I1100" s="9">
        <v>0.23958333333333334</v>
      </c>
      <c r="J1100" s="9">
        <v>0.7916666666666666</v>
      </c>
      <c r="K1100" s="9"/>
    </row>
    <row r="1101" hidden="1">
      <c r="A1101" s="5" t="str">
        <f>IFNA(VLOOKUP(D1101,'Location Table'!A:C,2,false),"")</f>
        <v>b188329c-ceec-11ee-bae4-506b8d9879b5</v>
      </c>
      <c r="B1101" s="5" t="str">
        <f>IFNA(VLOOKUP(F1101,Driver!A:C,2,false),"")</f>
        <v>061bd7aa-35a6-11ed-9426-506b8dbc8dfb</v>
      </c>
      <c r="C1101" s="5" t="str">
        <f>IFNA(VLOOKUP(E1101,'Location Table'!A:C,2,false),"")</f>
        <v/>
      </c>
      <c r="D1101" s="6" t="s">
        <v>808</v>
      </c>
      <c r="E1101" s="6"/>
      <c r="F1101" s="6" t="s">
        <v>346</v>
      </c>
      <c r="G1101" s="7" t="str">
        <f>IFNA(VLOOKUP(F1101,Driver!A:D,4,false),"")</f>
        <v>2160130926882687325:VSRHFZoYrhhtnecmAaOfmgvaKlfxBZEgxFxSbLPTAhfVwurTuJfQgOTrwyseeqJQ</v>
      </c>
      <c r="H1101" s="8" t="str">
        <f>IFNA(VLOOKUP(F1101,Driver!A:C,3,false),"")</f>
        <v>a6d70e0cd7463e186757</v>
      </c>
      <c r="I1101" s="9">
        <v>0.23958333333333334</v>
      </c>
      <c r="J1101" s="9">
        <v>0.78125</v>
      </c>
      <c r="K1101" s="9"/>
    </row>
    <row r="1102" hidden="1">
      <c r="A1102" s="5" t="str">
        <f>IFNA(VLOOKUP(D1102,'Location Table'!A:C,2,false),"")</f>
        <v>af190f62-0ce6-11ef-ba8a-506b8d9879b5</v>
      </c>
      <c r="B1102" s="5" t="str">
        <f>IFNA(VLOOKUP(F1102,Driver!A:C,2,false),"")</f>
        <v>586fa64a-37d0-11ed-b5ef-506b8dbc8dfb</v>
      </c>
      <c r="C1102" s="5" t="str">
        <f>IFNA(VLOOKUP(E1102,'Location Table'!A:C,2,false),"")</f>
        <v/>
      </c>
      <c r="D1102" s="10" t="s">
        <v>809</v>
      </c>
      <c r="E1102" s="6"/>
      <c r="F1102" s="6" t="s">
        <v>355</v>
      </c>
      <c r="G1102" s="7" t="str">
        <f>IFNA(VLOOKUP(F1102,Driver!A:D,4,false),"")</f>
        <v>2160130926882687325:VSRHFZoYrhhtnecmAaOfmgvaKlfxBZEgxFxSbLPTAhfVwurTuJfQgOTrwyseeqJQ</v>
      </c>
      <c r="H1102" s="8" t="str">
        <f>IFNA(VLOOKUP(F1102,Driver!A:C,3,false),"")</f>
        <v>cb12ddfaeea707f95eb6</v>
      </c>
      <c r="I1102" s="9">
        <v>0.23958333333333334</v>
      </c>
      <c r="J1102" s="9">
        <v>0.78125</v>
      </c>
      <c r="K1102" s="9"/>
    </row>
    <row r="1103" hidden="1">
      <c r="A1103" s="5" t="str">
        <f>IFNA(VLOOKUP(D1103,'Location Table'!A:C,2,false),"")</f>
        <v>af190f62-0ce6-11ef-ba8a-506b8d9879b5</v>
      </c>
      <c r="B1103" s="5" t="str">
        <f>IFNA(VLOOKUP(F1103,Driver!A:C,2,false),"")</f>
        <v>abcf91f0-7efa-11f0-bfe8-506b8d982279</v>
      </c>
      <c r="C1103" s="5" t="str">
        <f>IFNA(VLOOKUP(E1103,'Location Table'!A:C,2,false),"")</f>
        <v/>
      </c>
      <c r="D1103" s="10" t="s">
        <v>809</v>
      </c>
      <c r="E1103" s="6"/>
      <c r="F1103" s="6" t="s">
        <v>810</v>
      </c>
      <c r="G1103" s="7" t="str">
        <f>IFNA(VLOOKUP(F1103,Driver!A:D,4,false),"")</f>
        <v>2160130926882687325:VSRHFZoYrhhtnecmAaOfmgvaKlfxBZEgxFxSbLPTAhfVwurTuJfQgOTrwyseeqJQ</v>
      </c>
      <c r="H1103" s="8" t="str">
        <f>IFNA(VLOOKUP(F1103,Driver!A:C,3,false),"")</f>
        <v>cb12ddfaeea707f95eb6</v>
      </c>
      <c r="I1103" s="9">
        <v>0.78125</v>
      </c>
      <c r="J1103" s="9">
        <v>0.9583333333333334</v>
      </c>
      <c r="K1103" s="9"/>
    </row>
    <row r="1104" hidden="1">
      <c r="A1104" s="5" t="str">
        <f>IFNA(VLOOKUP(D1104,'Location Table'!A:C,2,false),"")</f>
        <v>ea93538a-5dd7-11ef-b329-506b8d9879b5</v>
      </c>
      <c r="B1104" s="5" t="str">
        <f>IFNA(VLOOKUP(F1104,Driver!A:C,2,false),"")</f>
        <v>9e9376b6-37c5-11ed-a1d5-506b8dbc8dfb</v>
      </c>
      <c r="C1104" s="5" t="str">
        <f>IFNA(VLOOKUP(E1104,'Location Table'!A:C,2,false),"")</f>
        <v/>
      </c>
      <c r="D1104" s="10" t="s">
        <v>811</v>
      </c>
      <c r="E1104" s="6"/>
      <c r="F1104" s="6" t="s">
        <v>350</v>
      </c>
      <c r="G1104" s="7" t="str">
        <f>IFNA(VLOOKUP(F1104,Driver!A:D,4,false),"")</f>
        <v>2160130926882687325:VSRHFZoYrhhtnecmAaOfmgvaKlfxBZEgxFxSbLPTAhfVwurTuJfQgOTrwyseeqJQ</v>
      </c>
      <c r="H1104" s="8" t="str">
        <f>IFNA(VLOOKUP(F1104,Driver!A:C,3,false),"")</f>
        <v>26f3924da71c4e42170d</v>
      </c>
      <c r="I1104" s="9">
        <v>0.23958333333333334</v>
      </c>
      <c r="J1104" s="9">
        <v>0.78125</v>
      </c>
      <c r="K1104" s="9"/>
    </row>
    <row r="1105" hidden="1">
      <c r="A1105" s="5" t="str">
        <f>IFNA(VLOOKUP(D1105,'Location Table'!A:C,2,false),"")</f>
        <v>ea93538a-5dd7-11ef-b329-506b8d9879b5</v>
      </c>
      <c r="B1105" s="5" t="str">
        <f>IFNA(VLOOKUP(F1105,Driver!A:C,2,false),"")</f>
        <v>28b72f24-3657-11ed-8d5c-506b8dbc8dfb</v>
      </c>
      <c r="C1105" s="5" t="str">
        <f>IFNA(VLOOKUP(E1105,'Location Table'!A:C,2,false),"")</f>
        <v/>
      </c>
      <c r="D1105" s="10" t="s">
        <v>811</v>
      </c>
      <c r="E1105" s="6"/>
      <c r="F1105" s="6" t="s">
        <v>812</v>
      </c>
      <c r="G1105" s="7" t="str">
        <f>IFNA(VLOOKUP(F1105,Driver!A:D,4,false),"")</f>
        <v>2160130926882687325:VSRHFZoYrhhtnecmAaOfmgvaKlfxBZEgxFxSbLPTAhfVwurTuJfQgOTrwyseeqJQ</v>
      </c>
      <c r="H1105" s="8" t="str">
        <f>IFNA(VLOOKUP(F1105,Driver!A:C,3,false),"")</f>
        <v>26f3924da71c4e42170d</v>
      </c>
      <c r="I1105" s="9">
        <v>0.78125</v>
      </c>
      <c r="J1105" s="9">
        <v>0.9895833333333334</v>
      </c>
      <c r="K1105" s="9"/>
    </row>
    <row r="1106" hidden="1">
      <c r="A1106" s="5" t="str">
        <f>IFNA(VLOOKUP(D1106,'Location Table'!A:C,2,false),"")</f>
        <v>7bc36d6c-3d6a-11ed-a1ac-506b8dbc8dfb</v>
      </c>
      <c r="B1106" s="5" t="str">
        <f>IFNA(VLOOKUP(F1106,Driver!A:C,2,false),"")</f>
        <v>c2cc021a-35a3-11ed-bd3c-506b8dbc8dfb</v>
      </c>
      <c r="C1106" s="5" t="str">
        <f>IFNA(VLOOKUP(E1106,'Location Table'!A:C,2,false),"")</f>
        <v/>
      </c>
      <c r="D1106" s="10" t="s">
        <v>813</v>
      </c>
      <c r="E1106" s="6"/>
      <c r="F1106" s="6" t="s">
        <v>468</v>
      </c>
      <c r="G1106" s="7" t="str">
        <f>IFNA(VLOOKUP(F1106,Driver!A:D,4,false),"")</f>
        <v>1980698793628880414:XXMGIAegigeHesHcPUQpIcnMCwhigvPUATFrPyRHiqIZqTwmvWiXbUzfDhivxPcl</v>
      </c>
      <c r="H1106" s="8" t="str">
        <f>IFNA(VLOOKUP(F1106,Driver!A:C,3,false),"")</f>
        <v>859d14288b6b62353b7a</v>
      </c>
      <c r="I1106" s="9">
        <v>0.23958333333333334</v>
      </c>
      <c r="J1106" s="9">
        <v>0.6215277777777778</v>
      </c>
      <c r="K1106" s="9"/>
    </row>
    <row r="1107" hidden="1">
      <c r="A1107" s="5" t="str">
        <f>IFNA(VLOOKUP(D1107,'Location Table'!A:C,2,false),"")</f>
        <v>7bc36d6c-3d6a-11ed-a1ac-506b8dbc8dfb</v>
      </c>
      <c r="B1107" s="5" t="str">
        <f>IFNA(VLOOKUP(F1107,Driver!A:C,2,false),"")</f>
        <v>1f4f6cae-37cd-11ed-a84d-506b8dbc8dfb</v>
      </c>
      <c r="C1107" s="5" t="str">
        <f>IFNA(VLOOKUP(E1107,'Location Table'!A:C,2,false),"")</f>
        <v/>
      </c>
      <c r="D1107" s="10" t="s">
        <v>813</v>
      </c>
      <c r="E1107" s="6"/>
      <c r="F1107" s="6" t="s">
        <v>514</v>
      </c>
      <c r="G1107" s="7" t="str">
        <f>IFNA(VLOOKUP(F1107,Driver!A:D,4,false),"")</f>
        <v>1980698793628880414:XXMGIAegigeHesHcPUQpIcnMCwhigvPUATFrPyRHiqIZqTwmvWiXbUzfDhivxPcl</v>
      </c>
      <c r="H1107" s="8" t="str">
        <f>IFNA(VLOOKUP(F1107,Driver!A:C,3,false),"")</f>
        <v>595aed435d09b457ed18</v>
      </c>
      <c r="I1107" s="9">
        <v>0.6215277777777778</v>
      </c>
      <c r="J1107" s="9">
        <v>0.9583333333333334</v>
      </c>
      <c r="K1107" s="9"/>
    </row>
    <row r="1108" hidden="1">
      <c r="A1108" s="5" t="str">
        <f>IFNA(VLOOKUP(D1108,'Location Table'!A:C,2,false),"")</f>
        <v>557ec732-3af9-11ed-b159-506b8dbc8dfb</v>
      </c>
      <c r="B1108" s="5" t="str">
        <f>IFNA(VLOOKUP(F1108,Driver!A:C,2,false),"")</f>
        <v>3e35b21a-35a5-11ed-a1e4-506b8dbc8dfb</v>
      </c>
      <c r="C1108" s="5" t="str">
        <f>IFNA(VLOOKUP(E1108,'Location Table'!A:C,2,false),"")</f>
        <v/>
      </c>
      <c r="D1108" s="10" t="s">
        <v>814</v>
      </c>
      <c r="E1108" s="6"/>
      <c r="F1108" s="6" t="s">
        <v>815</v>
      </c>
      <c r="G1108" s="7" t="str">
        <f>IFNA(VLOOKUP(F1108,Driver!A:D,4,false),"")</f>
        <v/>
      </c>
      <c r="H1108" s="8" t="str">
        <f>IFNA(VLOOKUP(F1108,Driver!A:C,3,false),"")</f>
        <v/>
      </c>
      <c r="I1108" s="9">
        <v>0.23958333333333334</v>
      </c>
      <c r="J1108" s="9">
        <v>0.6215277777777778</v>
      </c>
      <c r="K1108" s="9"/>
    </row>
    <row r="1109" hidden="1">
      <c r="A1109" s="5" t="str">
        <f>IFNA(VLOOKUP(D1109,'Location Table'!A:C,2,false),"")</f>
        <v>557ec732-3af9-11ed-b159-506b8dbc8dfb</v>
      </c>
      <c r="B1109" s="5" t="str">
        <f>IFNA(VLOOKUP(F1109,Driver!A:C,2,false),"")</f>
        <v>efbf243a-37c6-11ed-93fb-506b8dbc8dfb</v>
      </c>
      <c r="C1109" s="5" t="str">
        <f>IFNA(VLOOKUP(E1109,'Location Table'!A:C,2,false),"")</f>
        <v/>
      </c>
      <c r="D1109" s="10" t="s">
        <v>814</v>
      </c>
      <c r="E1109" s="6"/>
      <c r="F1109" s="6" t="s">
        <v>517</v>
      </c>
      <c r="G1109" s="7" t="str">
        <f>IFNA(VLOOKUP(F1109,Driver!A:D,4,false),"")</f>
        <v>1980698793628880414:XXMGIAegigeHesHcPUQpIcnMCwhigvPUATFrPyRHiqIZqTwmvWiXbUzfDhivxPcl</v>
      </c>
      <c r="H1109" s="8" t="str">
        <f>IFNA(VLOOKUP(F1109,Driver!A:C,3,false),"")</f>
        <v>c73df7953cd9d5878cc8</v>
      </c>
      <c r="I1109" s="9">
        <v>0.6215277777777778</v>
      </c>
      <c r="J1109" s="9">
        <v>0.9583333333333334</v>
      </c>
      <c r="K1109" s="9"/>
    </row>
    <row r="1110" hidden="1">
      <c r="A1110" s="5" t="str">
        <f>IFNA(VLOOKUP(D1110,'Location Table'!A:C,2,false),"")</f>
        <v>c4f51f56-1ba8-11f1-9378-fa163ee8d8ac</v>
      </c>
      <c r="B1110" s="5" t="str">
        <f>IFNA(VLOOKUP(F1110,Driver!A:C,2,false),"")</f>
        <v>c34fdbc2-ea4c-11ed-a5e2-506b8dbc8dfb</v>
      </c>
      <c r="C1110" s="5" t="str">
        <f>IFNA(VLOOKUP(E1110,'Location Table'!A:C,2,false),"")</f>
        <v/>
      </c>
      <c r="D1110" s="10" t="s">
        <v>518</v>
      </c>
      <c r="E1110" s="6"/>
      <c r="F1110" s="6" t="s">
        <v>335</v>
      </c>
      <c r="G1110" s="7" t="str">
        <f>IFNA(VLOOKUP(F1110,Driver!A:D,4,false),"")</f>
        <v>1980698793628880414:XXMGIAegigeHesHcPUQpIcnMCwhigvPUATFrPyRHiqIZqTwmvWiXbUzfDhivxPcl</v>
      </c>
      <c r="H1110" s="8" t="str">
        <f>IFNA(VLOOKUP(F1110,Driver!A:C,3,false),"")</f>
        <v>671c6e0f3741de1f8750</v>
      </c>
      <c r="I1110" s="9">
        <v>0.23958333333333334</v>
      </c>
      <c r="J1110" s="9">
        <v>0.7881944444444444</v>
      </c>
      <c r="K1110" s="9"/>
    </row>
    <row r="1111" hidden="1">
      <c r="A1111" s="12" t="str">
        <f>IFNA(VLOOKUP(D1111,'Location Table'!A:C,2,false),"")</f>
        <v>c4f51f56-1ba8-11f1-9378-fa163ee8d8ac</v>
      </c>
      <c r="B1111" s="13" t="str">
        <f>IFNA(VLOOKUP(F1111,Driver!A:C,2,false),"")</f>
        <v>ceed15ce-7e85-11f0-b8be-506b8d982279</v>
      </c>
      <c r="C1111" s="14" t="str">
        <f>IFNA(VLOOKUP(E1111,'Location Table'!A:C,2,false),"")</f>
        <v/>
      </c>
      <c r="D1111" s="15" t="s">
        <v>518</v>
      </c>
      <c r="E1111" s="16"/>
      <c r="F1111" s="6" t="s">
        <v>816</v>
      </c>
      <c r="G1111" s="17" t="str">
        <f>IFNA(VLOOKUP(F1111,Driver!A:D,4,false),"")</f>
        <v>1980698793628880414:XXMGIAegigeHesHcPUQpIcnMCwhigvPUATFrPyRHiqIZqTwmvWiXbUzfDhivxPcl</v>
      </c>
      <c r="H1111" s="18" t="str">
        <f>IFNA(VLOOKUP(F1111,Driver!A:C,3,false),"")</f>
        <v>671c6e0f3741de1f8750</v>
      </c>
      <c r="I1111" s="19">
        <v>0.7881944444444444</v>
      </c>
      <c r="J1111" s="20">
        <v>0.9583333333333334</v>
      </c>
      <c r="K1111" s="21"/>
    </row>
    <row r="1112" hidden="1">
      <c r="A1112" s="22" t="str">
        <f>IFNA(VLOOKUP(D1112,'Location Table'!A:C,2,false),"")</f>
        <v>9a15e7a4-3d83-11ed-be4e-506b8dbc8dfb</v>
      </c>
      <c r="B1112" s="22" t="str">
        <f>IFNA(VLOOKUP(F1112,Driver!A:C,2,false),"")</f>
        <v>b2d8ced8-2267-11f1-9378-fa163ee8d8ac</v>
      </c>
      <c r="C1112" s="23" t="str">
        <f>IFNA(VLOOKUP(E1112,'Location Table'!A:C,2,false),"")</f>
        <v/>
      </c>
      <c r="D1112" s="24" t="s">
        <v>789</v>
      </c>
      <c r="E1112" s="25"/>
      <c r="F1112" s="6" t="s">
        <v>817</v>
      </c>
      <c r="G1112" s="26" t="str">
        <f>IFNA(VLOOKUP(F1112,Driver!A:D,4,false),"")</f>
        <v/>
      </c>
      <c r="H1112" s="27" t="str">
        <f>IFNA(VLOOKUP(F1112,Driver!A:C,3,false),"")</f>
        <v/>
      </c>
      <c r="I1112" s="9">
        <v>0.23958333333333334</v>
      </c>
      <c r="J1112" s="9">
        <v>0.7881944444444444</v>
      </c>
      <c r="K1112" s="9"/>
    </row>
    <row r="1113" hidden="1">
      <c r="A1113" s="5" t="str">
        <f>IFNA(VLOOKUP(D1113,'Location Table'!A:C,2,false),"")</f>
        <v>b188329c-ceec-11ee-bae4-506b8d9879b5</v>
      </c>
      <c r="B1113" s="5" t="str">
        <f>IFNA(VLOOKUP(F1113,Driver!A:C,2,false),"")</f>
        <v>fe233388-7731-11f0-81e6-506b8d982279</v>
      </c>
      <c r="C1113" s="5" t="str">
        <f>IFNA(VLOOKUP(E1113,'Location Table'!A:C,2,false),"")</f>
        <v/>
      </c>
      <c r="D1113" s="6" t="s">
        <v>808</v>
      </c>
      <c r="E1113" s="6"/>
      <c r="F1113" s="6" t="s">
        <v>818</v>
      </c>
      <c r="G1113" s="7" t="str">
        <f>IFNA(VLOOKUP(F1113,Driver!A:D,4,false),"")</f>
        <v>2160130926882687325:VSRHFZoYrhhtnecmAaOfmgvaKlfxBZEgxFxSbLPTAhfVwurTuJfQgOTrwyseeqJQ</v>
      </c>
      <c r="H1113" s="8" t="str">
        <f>IFNA(VLOOKUP(F1113,Driver!A:C,3,false),"")</f>
        <v>a6d70e0cd7463e186757</v>
      </c>
      <c r="I1113" s="9">
        <v>0.78125</v>
      </c>
      <c r="J1113" s="9">
        <v>0.9583333333333334</v>
      </c>
      <c r="K1113" s="9"/>
    </row>
    <row r="1114" hidden="1">
      <c r="A1114" s="5" t="str">
        <f>IFNA(VLOOKUP(D1114,'Location Table'!A:C,2,false),"")</f>
        <v>21dcad6a-0ce7-11ef-af2f-506b8d9879b5</v>
      </c>
      <c r="B1114" s="5" t="str">
        <f>IFNA(VLOOKUP(F1114,Driver!A:C,2,false),"")</f>
        <v>ec034796-8970-11f0-bdfa-506b8d982279</v>
      </c>
      <c r="C1114" s="5" t="str">
        <f>IFNA(VLOOKUP(E1114,'Location Table'!A:C,2,false),"")</f>
        <v/>
      </c>
      <c r="D1114" s="6" t="s">
        <v>819</v>
      </c>
      <c r="E1114" s="6"/>
      <c r="F1114" s="6" t="s">
        <v>321</v>
      </c>
      <c r="G1114" s="7" t="str">
        <f>IFNA(VLOOKUP(F1114,Driver!A:D,4,false),"")</f>
        <v>2160130926882687325:VSRHFZoYrhhtnecmAaOfmgvaKlfxBZEgxFxSbLPTAhfVwurTuJfQgOTrwyseeqJQ</v>
      </c>
      <c r="H1114" s="8" t="str">
        <f>IFNA(VLOOKUP(F1114,Driver!A:C,3,false),"")</f>
        <v>e4fed8071e4af714ae5b</v>
      </c>
      <c r="I1114" s="9">
        <v>0.23958333333333334</v>
      </c>
      <c r="J1114" s="9">
        <v>0.8125</v>
      </c>
      <c r="K1114" s="9"/>
    </row>
    <row r="1115" hidden="1">
      <c r="A1115" s="5" t="str">
        <f>IFNA(VLOOKUP(D1115,'Location Table'!A:C,2,false),"")</f>
        <v>e5c037c2-0ce9-11ef-a2d8-506b8d9879b5</v>
      </c>
      <c r="B1115" s="5" t="str">
        <f>IFNA(VLOOKUP(F1115,Driver!A:C,2,false),"")</f>
        <v>cdb1dc1a-3655-11ed-a124-506b8dbc8dfb</v>
      </c>
      <c r="C1115" s="5" t="str">
        <f>IFNA(VLOOKUP(E1115,'Location Table'!A:C,2,false),"")</f>
        <v/>
      </c>
      <c r="D1115" s="6" t="s">
        <v>820</v>
      </c>
      <c r="E1115" s="6"/>
      <c r="F1115" s="6" t="s">
        <v>319</v>
      </c>
      <c r="G1115" s="7" t="str">
        <f>IFNA(VLOOKUP(F1115,Driver!A:D,4,false),"")</f>
        <v>1980698793628880414:XXMGIAegigeHesHcPUQpIcnMCwhigvPUATFrPyRHiqIZqTwmvWiXbUzfDhivxPcl</v>
      </c>
      <c r="H1115" s="8" t="str">
        <f>IFNA(VLOOKUP(F1115,Driver!A:C,3,false),"")</f>
        <v>b57751bd28f2c1ac98e3</v>
      </c>
      <c r="I1115" s="9">
        <v>0.23958333333333334</v>
      </c>
      <c r="J1115" s="9">
        <v>0.78125</v>
      </c>
      <c r="K1115" s="9"/>
    </row>
    <row r="1116" hidden="1">
      <c r="A1116" s="5" t="str">
        <f>IFNA(VLOOKUP(D1116,'Location Table'!A:C,2,false),"")</f>
        <v>e5c037c2-0ce9-11ef-a2d8-506b8d9879b5</v>
      </c>
      <c r="B1116" s="5" t="str">
        <f>IFNA(VLOOKUP(F1116,Driver!A:C,2,false),"")</f>
        <v>1416599c-3656-11ed-8d25-506b8dbc8dfb</v>
      </c>
      <c r="C1116" s="5" t="str">
        <f>IFNA(VLOOKUP(E1116,'Location Table'!A:C,2,false),"")</f>
        <v/>
      </c>
      <c r="D1116" s="6" t="s">
        <v>820</v>
      </c>
      <c r="E1116" s="6"/>
      <c r="F1116" s="6" t="s">
        <v>821</v>
      </c>
      <c r="G1116" s="7" t="str">
        <f>IFNA(VLOOKUP(F1116,Driver!A:D,4,false),"")</f>
        <v>1980698793628880414:XXMGIAegigeHesHcPUQpIcnMCwhigvPUATFrPyRHiqIZqTwmvWiXbUzfDhivxPcl</v>
      </c>
      <c r="H1116" s="8" t="str">
        <f>IFNA(VLOOKUP(F1116,Driver!A:C,3,false),"")</f>
        <v>b57751bd28f2c1ac98e3</v>
      </c>
      <c r="I1116" s="9">
        <v>0.78125</v>
      </c>
      <c r="J1116" s="9">
        <v>0.9895833333333334</v>
      </c>
      <c r="K1116" s="9"/>
    </row>
    <row r="1117" hidden="1">
      <c r="A1117" s="5" t="str">
        <f>IFNA(VLOOKUP(D1117,'Location Table'!A:C,2,false),"")</f>
        <v>21415bde-73db-11ef-8478-506b8d9879b5</v>
      </c>
      <c r="B1117" s="5" t="str">
        <f>IFNA(VLOOKUP(F1117,Driver!A:C,2,false),"")</f>
        <v>353f3686-dcc8-11f0-82b8-506b8d982279</v>
      </c>
      <c r="C1117" s="5" t="str">
        <f>IFNA(VLOOKUP(E1117,'Location Table'!A:C,2,false),"")</f>
        <v/>
      </c>
      <c r="D1117" s="10" t="s">
        <v>822</v>
      </c>
      <c r="E1117" s="6"/>
      <c r="F1117" s="6" t="s">
        <v>96</v>
      </c>
      <c r="G1117" s="7" t="str">
        <f>IFNA(VLOOKUP(F1117,Driver!A:D,4,false),"")</f>
        <v>2160130926882687325:VSRHFZoYrhhtnecmAaOfmgvaKlfxBZEgxFxSbLPTAhfVwurTuJfQgOTrwyseeqJQ</v>
      </c>
      <c r="H1117" s="8" t="str">
        <f>IFNA(VLOOKUP(F1117,Driver!A:C,3,false),"")</f>
        <v>e7ce6d37cc7f25217c6e</v>
      </c>
      <c r="I1117" s="9">
        <v>0.23958333333333334</v>
      </c>
      <c r="J1117" s="9">
        <v>0.7847222222222222</v>
      </c>
      <c r="K1117" s="9"/>
    </row>
    <row r="1118" hidden="1">
      <c r="A1118" s="5" t="str">
        <f>IFNA(VLOOKUP(D1118,'Location Table'!A:C,2,false),"")</f>
        <v>21415bde-73db-11ef-8478-506b8d9879b5</v>
      </c>
      <c r="B1118" s="5" t="str">
        <f>IFNA(VLOOKUP(F1118,Driver!A:C,2,false),"")</f>
        <v>5210b666-e7b0-11f0-b0d1-506b8d982279</v>
      </c>
      <c r="C1118" s="5" t="str">
        <f>IFNA(VLOOKUP(E1118,'Location Table'!A:C,2,false),"")</f>
        <v/>
      </c>
      <c r="D1118" s="10" t="s">
        <v>822</v>
      </c>
      <c r="E1118" s="6"/>
      <c r="F1118" s="6" t="s">
        <v>823</v>
      </c>
      <c r="G1118" s="7" t="str">
        <f>IFNA(VLOOKUP(F1118,Driver!A:D,4,false),"")</f>
        <v>2160130926882687325:VSRHFZoYrhhtnecmAaOfmgvaKlfxBZEgxFxSbLPTAhfVwurTuJfQgOTrwyseeqJQ</v>
      </c>
      <c r="H1118" s="8" t="str">
        <f>IFNA(VLOOKUP(F1118,Driver!A:C,3,false),"")</f>
        <v>e7ce6d37cc7f25217c6e</v>
      </c>
      <c r="I1118" s="9">
        <v>0.7847222222222222</v>
      </c>
      <c r="J1118" s="9">
        <v>0.9583333333333334</v>
      </c>
      <c r="K1118" s="9"/>
    </row>
    <row r="1119" hidden="1">
      <c r="A1119" s="5" t="str">
        <f>IFNA(VLOOKUP(D1119,'Location Table'!A:C,2,false),"")</f>
        <v>2d13fd86-73db-11ef-a0d1-506b8d9879b5</v>
      </c>
      <c r="B1119" s="5" t="str">
        <f>IFNA(VLOOKUP(F1119,Driver!A:C,2,false),"")</f>
        <v>af0e0460-72a1-11f0-a649-506b8d982279</v>
      </c>
      <c r="C1119" s="5" t="str">
        <f>IFNA(VLOOKUP(E1119,'Location Table'!A:C,2,false),"")</f>
        <v/>
      </c>
      <c r="D1119" s="6" t="s">
        <v>824</v>
      </c>
      <c r="E1119" s="6"/>
      <c r="F1119" s="6" t="s">
        <v>807</v>
      </c>
      <c r="G1119" s="7" t="str">
        <f>IFNA(VLOOKUP(F1119,Driver!A:D,4,false),"")</f>
        <v/>
      </c>
      <c r="H1119" s="8" t="str">
        <f>IFNA(VLOOKUP(F1119,Driver!A:C,3,false),"")</f>
        <v/>
      </c>
      <c r="I1119" s="9">
        <v>0.23958333333333334</v>
      </c>
      <c r="J1119" s="9">
        <v>0.7916666666666666</v>
      </c>
      <c r="K1119" s="9"/>
    </row>
    <row r="1120" hidden="1">
      <c r="A1120" s="5" t="str">
        <f>IFNA(VLOOKUP(D1120,'Location Table'!A:C,2,false),"")</f>
        <v>0df4f904-0f8b-11f0-b683-506b8d982279</v>
      </c>
      <c r="B1120" s="5" t="str">
        <f>IFNA(VLOOKUP(F1120,Driver!A:C,2,false),"")</f>
        <v>061bd7aa-35a6-11ed-9426-506b8dbc8dfb</v>
      </c>
      <c r="C1120" s="5" t="str">
        <f>IFNA(VLOOKUP(E1120,'Location Table'!A:C,2,false),"")</f>
        <v/>
      </c>
      <c r="D1120" s="6" t="s">
        <v>825</v>
      </c>
      <c r="E1120" s="6"/>
      <c r="F1120" s="6" t="s">
        <v>346</v>
      </c>
      <c r="G1120" s="7" t="str">
        <f>IFNA(VLOOKUP(F1120,Driver!A:D,4,false),"")</f>
        <v>2160130926882687325:VSRHFZoYrhhtnecmAaOfmgvaKlfxBZEgxFxSbLPTAhfVwurTuJfQgOTrwyseeqJQ</v>
      </c>
      <c r="H1120" s="8" t="str">
        <f>IFNA(VLOOKUP(F1120,Driver!A:C,3,false),"")</f>
        <v>a6d70e0cd7463e186757</v>
      </c>
      <c r="I1120" s="9">
        <v>0.23958333333333334</v>
      </c>
      <c r="J1120" s="9">
        <v>0.78125</v>
      </c>
      <c r="K1120" s="9"/>
    </row>
    <row r="1121" hidden="1">
      <c r="A1121" s="5" t="str">
        <f>IFNA(VLOOKUP(D1121,'Location Table'!A:C,2,false),"")</f>
        <v>0df4f904-0f8b-11f0-b683-506b8d982279</v>
      </c>
      <c r="B1121" s="5" t="str">
        <f>IFNA(VLOOKUP(F1121,Driver!A:C,2,false),"")</f>
        <v>fe233388-7731-11f0-81e6-506b8d982279</v>
      </c>
      <c r="C1121" s="5" t="str">
        <f>IFNA(VLOOKUP(E1121,'Location Table'!A:C,2,false),"")</f>
        <v/>
      </c>
      <c r="D1121" s="6" t="s">
        <v>825</v>
      </c>
      <c r="E1121" s="6"/>
      <c r="F1121" s="6" t="s">
        <v>818</v>
      </c>
      <c r="G1121" s="7" t="str">
        <f>IFNA(VLOOKUP(F1121,Driver!A:D,4,false),"")</f>
        <v>2160130926882687325:VSRHFZoYrhhtnecmAaOfmgvaKlfxBZEgxFxSbLPTAhfVwurTuJfQgOTrwyseeqJQ</v>
      </c>
      <c r="H1121" s="8" t="str">
        <f>IFNA(VLOOKUP(F1121,Driver!A:C,3,false),"")</f>
        <v>a6d70e0cd7463e186757</v>
      </c>
      <c r="I1121" s="9">
        <v>0.78125</v>
      </c>
      <c r="J1121" s="9">
        <v>0.9583333333333334</v>
      </c>
      <c r="K1121" s="9"/>
    </row>
    <row r="1122" hidden="1">
      <c r="A1122" s="5" t="str">
        <f>IFNA(VLOOKUP(D1122,'Location Table'!A:C,2,false),"")</f>
        <v>0452953a-f967-11ef-8764-506b8d9879b5</v>
      </c>
      <c r="B1122" s="5" t="str">
        <f>IFNA(VLOOKUP(F1122,Driver!A:C,2,false),"")</f>
        <v>8094d712-0f78-11f0-b96d-506b8d982279</v>
      </c>
      <c r="C1122" s="5" t="str">
        <f>IFNA(VLOOKUP(E1122,'Location Table'!A:C,2,false),"")</f>
        <v/>
      </c>
      <c r="D1122" s="10" t="s">
        <v>826</v>
      </c>
      <c r="E1122" s="6"/>
      <c r="F1122" s="6" t="s">
        <v>13</v>
      </c>
      <c r="G1122" s="7" t="str">
        <f>IFNA(VLOOKUP(F1122,Driver!A:D,4,false),"")</f>
        <v/>
      </c>
      <c r="H1122" s="8" t="str">
        <f>IFNA(VLOOKUP(F1122,Driver!A:C,3,false),"")</f>
        <v/>
      </c>
      <c r="I1122" s="9">
        <v>0.23958333333333334</v>
      </c>
      <c r="J1122" s="9">
        <v>0.875</v>
      </c>
      <c r="K1122" s="9"/>
    </row>
    <row r="1123" hidden="1">
      <c r="A1123" s="5" t="str">
        <f>IFNA(VLOOKUP(D1123,'Location Table'!A:C,2,false),"")</f>
        <v>47731210-5a0a-11ef-81fc-506b8d9879b5</v>
      </c>
      <c r="B1123" s="5" t="str">
        <f>IFNA(VLOOKUP(F1123,Driver!A:C,2,false),"")</f>
        <v>353f3686-dcc8-11f0-82b8-506b8d982279</v>
      </c>
      <c r="C1123" s="5" t="str">
        <f>IFNA(VLOOKUP(E1123,'Location Table'!A:C,2,false),"")</f>
        <v/>
      </c>
      <c r="D1123" s="6" t="s">
        <v>827</v>
      </c>
      <c r="E1123" s="6"/>
      <c r="F1123" s="6" t="s">
        <v>96</v>
      </c>
      <c r="G1123" s="7" t="str">
        <f>IFNA(VLOOKUP(F1123,Driver!A:D,4,false),"")</f>
        <v>2160130926882687325:VSRHFZoYrhhtnecmAaOfmgvaKlfxBZEgxFxSbLPTAhfVwurTuJfQgOTrwyseeqJQ</v>
      </c>
      <c r="H1123" s="8" t="str">
        <f>IFNA(VLOOKUP(F1123,Driver!A:C,3,false),"")</f>
        <v>e7ce6d37cc7f25217c6e</v>
      </c>
      <c r="I1123" s="9">
        <v>0.25</v>
      </c>
      <c r="J1123" s="9">
        <v>0.75</v>
      </c>
      <c r="K1123" s="9"/>
    </row>
    <row r="1124" hidden="1">
      <c r="A1124" s="5" t="str">
        <f>IFNA(VLOOKUP(D1124,'Location Table'!A:C,2,false),"")</f>
        <v>cd68ba74-e25c-11f0-a28c-506b8d982279</v>
      </c>
      <c r="B1124" s="5" t="str">
        <f>IFNA(VLOOKUP(F1124,Driver!A:C,2,false),"")</f>
        <v>d2c2d39e-11e4-11f1-9378-fa163ee8d8ac</v>
      </c>
      <c r="C1124" s="5"/>
      <c r="D1124" s="10" t="s">
        <v>828</v>
      </c>
      <c r="E1124" s="6"/>
      <c r="F1124" s="6" t="s">
        <v>88</v>
      </c>
      <c r="G1124" s="7" t="str">
        <f>IFNA(VLOOKUP(F1124,Driver!A:D,4,false),"")</f>
        <v>1980698793628880414:XXMGIAegigeHesHcPUQpIcnMCwhigvPUATFrPyRHiqIZqTwmvWiXbUzfDhivxPcl</v>
      </c>
      <c r="H1124" s="8" t="str">
        <f>IFNA(VLOOKUP(F1124,Driver!A:C,3,false),"")</f>
        <v>59a2bfce5a81b3dfea90</v>
      </c>
      <c r="I1124" s="9">
        <v>0.25</v>
      </c>
      <c r="J1124" s="9">
        <v>0.6666666666666666</v>
      </c>
      <c r="K1124" s="9"/>
    </row>
    <row r="1125" hidden="1">
      <c r="A1125" s="5" t="str">
        <f>IFNA(VLOOKUP(D1125,'Location Table'!A:C,2,false),"")</f>
        <v>59f2e8e8-11e7-11f1-9378-fa163ee8d8ac</v>
      </c>
      <c r="B1125" s="5" t="str">
        <f>IFNA(VLOOKUP(F1125,Driver!A:C,2,false),"")</f>
        <v>d442fba0-37c6-11ed-ab29-506b8dbc8dfb</v>
      </c>
      <c r="C1125" s="5" t="str">
        <f>IFNA(VLOOKUP(E1125,'Location Table'!A:C,2,false),"")</f>
        <v/>
      </c>
      <c r="D1125" s="10" t="s">
        <v>829</v>
      </c>
      <c r="E1125" s="6"/>
      <c r="F1125" s="6" t="s">
        <v>183</v>
      </c>
      <c r="G1125" s="7" t="str">
        <f>IFNA(VLOOKUP(F1125,Driver!A:D,4,false),"")</f>
        <v>2160130926882687325:VSRHFZoYrhhtnecmAaOfmgvaKlfxBZEgxFxSbLPTAhfVwurTuJfQgOTrwyseeqJQ</v>
      </c>
      <c r="H1125" s="8" t="str">
        <f>IFNA(VLOOKUP(F1125,Driver!A:C,3,false),"")</f>
        <v>c4530791c2db2b8572ca</v>
      </c>
      <c r="I1125" s="9">
        <v>0.2916666666666667</v>
      </c>
      <c r="J1125" s="9">
        <v>0.6666666666666666</v>
      </c>
      <c r="K1125" s="9"/>
    </row>
    <row r="1126" hidden="1">
      <c r="A1126" s="5" t="str">
        <f>IFNA(VLOOKUP(D1126,'Location Table'!A:C,2,false),"")</f>
        <v>59f2e8e8-11e7-11f1-9378-fa163ee8d8ac</v>
      </c>
      <c r="B1126" s="5" t="str">
        <f>IFNA(VLOOKUP(F1126,Driver!A:C,2,false),"")</f>
        <v>c1149922-ecea-11ef-a670-506b8d9879b5</v>
      </c>
      <c r="C1126" s="5" t="str">
        <f>IFNA(VLOOKUP(E1126,'Location Table'!A:C,2,false),"")</f>
        <v/>
      </c>
      <c r="D1126" s="10" t="s">
        <v>829</v>
      </c>
      <c r="E1126" s="6"/>
      <c r="F1126" s="6" t="s">
        <v>509</v>
      </c>
      <c r="G1126" s="7" t="str">
        <f>IFNA(VLOOKUP(F1126,Driver!A:D,4,false),"")</f>
        <v/>
      </c>
      <c r="H1126" s="8" t="str">
        <f>IFNA(VLOOKUP(F1126,Driver!A:C,3,false),"")</f>
        <v/>
      </c>
      <c r="I1126" s="9">
        <v>0.6666666666666666</v>
      </c>
      <c r="J1126" s="9">
        <v>0.7916666666666666</v>
      </c>
      <c r="K1126" s="9"/>
    </row>
    <row r="1127" hidden="1">
      <c r="A1127" s="5" t="str">
        <f>IFNA(VLOOKUP(D1127,'Location Table'!A:C,2,false),"")</f>
        <v>08f86182-924d-11ee-9599-506b8d9879b5</v>
      </c>
      <c r="B1127" s="5" t="str">
        <f>IFNA(VLOOKUP(F1127,Driver!A:C,2,false),"")</f>
        <v>232be490-35a4-11ed-88b7-506b8dbc8dfb</v>
      </c>
      <c r="C1127" s="5" t="str">
        <f>IFNA(VLOOKUP(E1127,'Location Table'!A:C,2,false),"")</f>
        <v/>
      </c>
      <c r="D1127" s="10" t="s">
        <v>830</v>
      </c>
      <c r="E1127" s="6"/>
      <c r="F1127" s="6" t="s">
        <v>110</v>
      </c>
      <c r="G1127" s="7" t="str">
        <f>IFNA(VLOOKUP(F1127,Driver!A:D,4,false),"")</f>
        <v>2160130926882687325:VSRHFZoYrhhtnecmAaOfmgvaKlfxBZEgxFxSbLPTAhfVwurTuJfQgOTrwyseeqJQ</v>
      </c>
      <c r="H1127" s="8" t="str">
        <f>IFNA(VLOOKUP(F1127,Driver!A:C,3,false),"")</f>
        <v>d9fc37dd4093a9cdf082</v>
      </c>
      <c r="I1127" s="9">
        <v>0.2916666666666667</v>
      </c>
      <c r="J1127" s="9">
        <v>0.6666666666666666</v>
      </c>
      <c r="K1127" s="9"/>
    </row>
    <row r="1128" hidden="1">
      <c r="A1128" s="5" t="str">
        <f>IFNA(VLOOKUP(D1128,'Location Table'!A:C,2,false),"")</f>
        <v>ea7c6f02-26ae-11f1-9378-fa163ee8d8ac</v>
      </c>
      <c r="B1128" s="5" t="str">
        <f>IFNA(VLOOKUP(F1128,Driver!A:C,2,false),"")</f>
        <v>660cb676-e32e-11ed-9e6c-506b8dbc8dfb</v>
      </c>
      <c r="C1128" s="5" t="str">
        <f>IFNA(VLOOKUP(E1128,'Location Table'!A:C,2,false),"")</f>
        <v/>
      </c>
      <c r="D1128" s="10" t="s">
        <v>831</v>
      </c>
      <c r="E1128" s="6"/>
      <c r="F1128" s="6" t="s">
        <v>494</v>
      </c>
      <c r="G1128" s="7" t="str">
        <f>IFNA(VLOOKUP(F1128,Driver!A:D,4,false),"")</f>
        <v>2160130926882687325:VSRHFZoYrhhtnecmAaOfmgvaKlfxBZEgxFxSbLPTAhfVwurTuJfQgOTrwyseeqJQ</v>
      </c>
      <c r="H1128" s="8" t="str">
        <f>IFNA(VLOOKUP(F1128,Driver!A:C,3,false),"")</f>
        <v>656e49d39f9a76c42f8b</v>
      </c>
      <c r="I1128" s="9">
        <v>0.2916666666666667</v>
      </c>
      <c r="J1128" s="9">
        <v>0.8333333333333334</v>
      </c>
      <c r="K1128" s="9"/>
    </row>
    <row r="1129" hidden="1">
      <c r="A1129" s="5" t="str">
        <f>IFNA(VLOOKUP(D1129,'Location Table'!A:C,2,false),"")</f>
        <v>ba7452ba-50d1-11f0-a00e-506b8d982279</v>
      </c>
      <c r="B1129" s="5" t="str">
        <f>IFNA(VLOOKUP(F1129,Driver!A:C,2,false),"")</f>
        <v>a9bf91b4-00e4-11f1-9378-fa163ee8d8ac</v>
      </c>
      <c r="C1129" s="5"/>
      <c r="D1129" s="10" t="s">
        <v>456</v>
      </c>
      <c r="E1129" s="6"/>
      <c r="F1129" s="6" t="s">
        <v>142</v>
      </c>
      <c r="G1129" s="7" t="str">
        <f>IFNA(VLOOKUP(F1129,Driver!A:D,4,false),"")</f>
        <v/>
      </c>
      <c r="H1129" s="8" t="str">
        <f>IFNA(VLOOKUP(F1129,Driver!A:C,3,false),"")</f>
        <v/>
      </c>
      <c r="I1129" s="9">
        <v>0.3333333333333333</v>
      </c>
      <c r="J1129" s="9">
        <v>0.5</v>
      </c>
      <c r="K1129" s="9"/>
    </row>
    <row r="1130" hidden="1">
      <c r="A1130" s="5" t="str">
        <f>IFNA(VLOOKUP(D1130,'Location Table'!A:C,2,false),"")</f>
        <v>4daa0bca-2d7b-11f1-9378-fa163ee8d8ac</v>
      </c>
      <c r="B1130" s="5" t="str">
        <f>IFNA(VLOOKUP(F1130,Driver!A:C,2,false),"")</f>
        <v>6f9759ea-d5a6-11f0-ab2b-506b8d982279</v>
      </c>
      <c r="C1130" s="5" t="str">
        <f>IFNA(VLOOKUP(E1130,'Location Table'!A:C,2,false),"")</f>
        <v/>
      </c>
      <c r="D1130" s="10" t="s">
        <v>832</v>
      </c>
      <c r="E1130" s="6"/>
      <c r="F1130" s="6" t="s">
        <v>833</v>
      </c>
      <c r="G1130" s="7" t="str">
        <f>IFNA(VLOOKUP(F1130,Driver!A:D,4,false),"")</f>
        <v/>
      </c>
      <c r="H1130" s="8" t="str">
        <f>IFNA(VLOOKUP(F1130,Driver!A:C,3,false),"")</f>
        <v/>
      </c>
      <c r="I1130" s="9">
        <v>0.23958333333333334</v>
      </c>
      <c r="J1130" s="9">
        <v>0.5833333333333334</v>
      </c>
      <c r="K1130" s="9"/>
    </row>
    <row r="1131" hidden="1">
      <c r="A1131" s="5" t="str">
        <f>IFNA(VLOOKUP(D1131,'Location Table'!A:C,2,false),"")</f>
        <v>12ce5186-21e2-11f1-9378-fa163ee8d8ac</v>
      </c>
      <c r="B1131" s="5" t="str">
        <f>IFNA(VLOOKUP(F1131,Driver!A:C,2,false),"")</f>
        <v>232be490-35a4-11ed-88b7-506b8dbc8dfb</v>
      </c>
      <c r="C1131" s="5" t="str">
        <f>IFNA(VLOOKUP(E1131,'Location Table'!A:C,2,false),"")</f>
        <v/>
      </c>
      <c r="D1131" s="10" t="s">
        <v>834</v>
      </c>
      <c r="E1131" s="6"/>
      <c r="F1131" s="6" t="s">
        <v>110</v>
      </c>
      <c r="G1131" s="7" t="str">
        <f>IFNA(VLOOKUP(F1131,Driver!A:D,4,false),"")</f>
        <v>2160130926882687325:VSRHFZoYrhhtnecmAaOfmgvaKlfxBZEgxFxSbLPTAhfVwurTuJfQgOTrwyseeqJQ</v>
      </c>
      <c r="H1131" s="8" t="str">
        <f>IFNA(VLOOKUP(F1131,Driver!A:C,3,false),"")</f>
        <v>d9fc37dd4093a9cdf082</v>
      </c>
      <c r="I1131" s="9">
        <v>0.2916666666666667</v>
      </c>
      <c r="J1131" s="9">
        <v>0.6666666666666666</v>
      </c>
      <c r="K1131" s="9"/>
    </row>
    <row r="1132" hidden="1">
      <c r="A1132" s="5" t="str">
        <f>IFNA(VLOOKUP(D1132,'Location Table'!A:C,2,false),"")</f>
        <v>6e450f64-3326-11f1-9378-fa163ee8d8ac</v>
      </c>
      <c r="B1132" s="5" t="str">
        <f>IFNA(VLOOKUP(F1132,Driver!A:C,2,false),"")</f>
        <v>7898dd6c-816d-11f0-9f34-506b8d982279</v>
      </c>
      <c r="C1132" s="5" t="str">
        <f>IFNA(VLOOKUP(E1132,'Location Table'!A:C,2,false),"")</f>
        <v/>
      </c>
      <c r="D1132" s="10" t="s">
        <v>835</v>
      </c>
      <c r="E1132" s="6"/>
      <c r="F1132" s="6" t="s">
        <v>15</v>
      </c>
      <c r="G1132" s="7" t="str">
        <f>IFNA(VLOOKUP(F1132,Driver!A:D,4,false),"")</f>
        <v>1980698793628880414:XXMGIAegigeHesHcPUQpIcnMCwhigvPUATFrPyRHiqIZqTwmvWiXbUzfDhivxPcl</v>
      </c>
      <c r="H1132" s="8" t="str">
        <f>IFNA(VLOOKUP(F1132,Driver!A:C,3,false),"")</f>
        <v>011b70c8f4801dde4491</v>
      </c>
      <c r="I1132" s="9">
        <v>0.2916666666666667</v>
      </c>
      <c r="J1132" s="9">
        <v>0.6666666666666666</v>
      </c>
      <c r="K1132" s="9"/>
    </row>
    <row r="1133" hidden="1">
      <c r="A1133" s="5" t="str">
        <f>IFNA(VLOOKUP(D1133,'Location Table'!A:C,2,false),"")</f>
        <v>c575a7ee-31c1-11ee-a73a-506b8d9879b5</v>
      </c>
      <c r="B1133" s="5" t="str">
        <f>IFNA(VLOOKUP(F1133,Driver!A:C,2,false),"")</f>
        <v>b74e3178-7caf-11f0-a9c3-506b8d982279</v>
      </c>
      <c r="C1133" s="5" t="str">
        <f>IFNA(VLOOKUP(E1133,'Location Table'!A:C,2,false),"")</f>
        <v/>
      </c>
      <c r="D1133" s="10" t="s">
        <v>836</v>
      </c>
      <c r="E1133" s="6"/>
      <c r="F1133" s="6" t="s">
        <v>326</v>
      </c>
      <c r="G1133" s="7" t="str">
        <f>IFNA(VLOOKUP(F1133,Driver!A:D,4,false),"")</f>
        <v>2160130926882687325:VSRHFZoYrhhtnecmAaOfmgvaKlfxBZEgxFxSbLPTAhfVwurTuJfQgOTrwyseeqJQ</v>
      </c>
      <c r="H1133" s="8" t="str">
        <f>IFNA(VLOOKUP(F1133,Driver!A:C,3,false),"")</f>
        <v>473ef1d8329bdbc5828a</v>
      </c>
      <c r="I1133" s="9">
        <v>0.2916666666666667</v>
      </c>
      <c r="J1133" s="9">
        <v>0.6666666666666666</v>
      </c>
      <c r="K1133" s="9"/>
    </row>
    <row r="1134" hidden="1">
      <c r="A1134" s="5" t="str">
        <f>IFNA(VLOOKUP(D1134,'Location Table'!A:C,2,false),"")</f>
        <v>023f8dfe-355f-11f1-9378-fa163ee8d8ac</v>
      </c>
      <c r="B1134" s="5" t="str">
        <f>IFNA(VLOOKUP(F1134,Driver!A:C,2,false),"")</f>
        <v>c34fdbc2-ea4c-11ed-a5e2-506b8dbc8dfb</v>
      </c>
      <c r="C1134" s="5" t="str">
        <f>IFNA(VLOOKUP(E1134,'Location Table'!A:C,2,false),"")</f>
        <v/>
      </c>
      <c r="D1134" s="10" t="s">
        <v>837</v>
      </c>
      <c r="E1134" s="6"/>
      <c r="F1134" s="6" t="s">
        <v>335</v>
      </c>
      <c r="G1134" s="7" t="str">
        <f>IFNA(VLOOKUP(F1134,Driver!A:D,4,false),"")</f>
        <v>1980698793628880414:XXMGIAegigeHesHcPUQpIcnMCwhigvPUATFrPyRHiqIZqTwmvWiXbUzfDhivxPcl</v>
      </c>
      <c r="H1134" s="8" t="str">
        <f>IFNA(VLOOKUP(F1134,Driver!A:C,3,false),"")</f>
        <v>671c6e0f3741de1f8750</v>
      </c>
      <c r="I1134" s="9">
        <v>0.2916666666666667</v>
      </c>
      <c r="J1134" s="9">
        <v>0.75</v>
      </c>
      <c r="K1134" s="9"/>
    </row>
    <row r="1135" hidden="1">
      <c r="A1135" s="5" t="str">
        <f>IFNA(VLOOKUP(D1135,'Location Table'!A:C,2,false),"")</f>
        <v>192b9d50-355f-11f1-9378-fa163ee8d8ac</v>
      </c>
      <c r="B1135" s="5" t="str">
        <f>IFNA(VLOOKUP(F1135,Driver!A:C,2,false),"")</f>
        <v>c34fdbc2-ea4c-11ed-a5e2-506b8dbc8dfb</v>
      </c>
      <c r="C1135" s="5" t="str">
        <f>IFNA(VLOOKUP(E1135,'Location Table'!A:C,2,false),"")</f>
        <v/>
      </c>
      <c r="D1135" s="10" t="s">
        <v>838</v>
      </c>
      <c r="E1135" s="6"/>
      <c r="F1135" s="6" t="s">
        <v>335</v>
      </c>
      <c r="G1135" s="7" t="str">
        <f>IFNA(VLOOKUP(F1135,Driver!A:D,4,false),"")</f>
        <v>1980698793628880414:XXMGIAegigeHesHcPUQpIcnMCwhigvPUATFrPyRHiqIZqTwmvWiXbUzfDhivxPcl</v>
      </c>
      <c r="H1135" s="8" t="str">
        <f>IFNA(VLOOKUP(F1135,Driver!A:C,3,false),"")</f>
        <v>671c6e0f3741de1f8750</v>
      </c>
      <c r="I1135" s="9">
        <v>0.2916666666666667</v>
      </c>
      <c r="J1135" s="9">
        <v>0.75</v>
      </c>
      <c r="K1135" s="9"/>
    </row>
    <row r="1136" hidden="1">
      <c r="A1136" s="5" t="str">
        <f>IFNA(VLOOKUP(D1136,'Location Table'!A:C,2,false),"")</f>
        <v>9471f542-16d6-11f1-9378-fa163ee8d8ac</v>
      </c>
      <c r="B1136" s="5" t="str">
        <f>IFNA(VLOOKUP(F1136,Driver!A:C,2,false),"")</f>
        <v>41ea8512-2e70-11f1-9378-fa163ee8d8ac</v>
      </c>
      <c r="C1136" s="5" t="str">
        <f>IFNA(VLOOKUP(E1136,'Location Table'!A:C,2,false),"")</f>
        <v/>
      </c>
      <c r="D1136" s="10" t="s">
        <v>839</v>
      </c>
      <c r="E1136" s="6"/>
      <c r="F1136" s="6" t="s">
        <v>35</v>
      </c>
      <c r="G1136" s="7" t="str">
        <f>IFNA(VLOOKUP(F1136,Driver!A:D,4,false),"")</f>
        <v/>
      </c>
      <c r="H1136" s="8" t="str">
        <f>IFNA(VLOOKUP(F1136,Driver!A:C,3,false),"")</f>
        <v/>
      </c>
      <c r="I1136" s="9">
        <v>0.2916666666666667</v>
      </c>
      <c r="J1136" s="9">
        <v>0.75</v>
      </c>
      <c r="K1136" s="9"/>
    </row>
    <row r="1137" hidden="1">
      <c r="A1137" s="5" t="str">
        <f>IFNA(VLOOKUP(D1137,'Location Table'!A:C,2,false),"")</f>
        <v>4223c312-27f0-11f1-9378-fa163ee8d8ac</v>
      </c>
      <c r="B1137" s="5" t="str">
        <f>IFNA(VLOOKUP(F1137,Driver!A:C,2,false),"")</f>
        <v>ee94ca62-729f-11f0-8cd5-506b8d982279</v>
      </c>
      <c r="C1137" s="5" t="str">
        <f>IFNA(VLOOKUP(E1137,'Location Table'!A:C,2,false),"")</f>
        <v/>
      </c>
      <c r="D1137" s="10" t="s">
        <v>840</v>
      </c>
      <c r="E1137" s="6"/>
      <c r="F1137" s="6" t="s">
        <v>104</v>
      </c>
      <c r="G1137" s="7" t="str">
        <f>IFNA(VLOOKUP(F1137,Driver!A:D,4,false),"")</f>
        <v>1980698793628880414:XXMGIAegigeHesHcPUQpIcnMCwhigvPUATFrPyRHiqIZqTwmvWiXbUzfDhivxPcl</v>
      </c>
      <c r="H1137" s="8" t="str">
        <f>IFNA(VLOOKUP(F1137,Driver!A:C,3,false),"")</f>
        <v>f4d2e910814c6812315d</v>
      </c>
      <c r="I1137" s="9">
        <v>0.2916666666666667</v>
      </c>
      <c r="J1137" s="9">
        <v>0.75</v>
      </c>
      <c r="K1137" s="9"/>
    </row>
    <row r="1138" hidden="1">
      <c r="A1138" s="5" t="str">
        <f>IFNA(VLOOKUP(D1138,'Location Table'!A:C,2,false),"")</f>
        <v>8b5bf126-27eb-11f1-9378-fa163ee8d8ac</v>
      </c>
      <c r="B1138" s="5" t="str">
        <f>IFNA(VLOOKUP(F1138,Driver!A:C,2,false),"")</f>
        <v>a72dc14a-3654-11ed-bef3-506b8dbc8dfb</v>
      </c>
      <c r="C1138" s="5" t="str">
        <f>IFNA(VLOOKUP(E1138,'Location Table'!A:C,2,false),"")</f>
        <v/>
      </c>
      <c r="D1138" s="10" t="s">
        <v>841</v>
      </c>
      <c r="E1138" s="6"/>
      <c r="F1138" s="6" t="s">
        <v>246</v>
      </c>
      <c r="G1138" s="7" t="str">
        <f>IFNA(VLOOKUP(F1138,Driver!A:D,4,false),"")</f>
        <v>1980698793628880414:XXMGIAegigeHesHcPUQpIcnMCwhigvPUATFrPyRHiqIZqTwmvWiXbUzfDhivxPcl</v>
      </c>
      <c r="H1138" s="8" t="str">
        <f>IFNA(VLOOKUP(F1138,Driver!A:C,3,false),"")</f>
        <v>88199dcfa88541db1894</v>
      </c>
      <c r="I1138" s="9">
        <v>0.2916666666666667</v>
      </c>
      <c r="J1138" s="9">
        <v>0.4583333333333333</v>
      </c>
      <c r="K1138" s="9"/>
    </row>
    <row r="1139" hidden="1">
      <c r="A1139" s="5" t="str">
        <f>IFNA(VLOOKUP(D1139,'Location Table'!A:C,2,false),"")</f>
        <v>8b5bf126-27eb-11f1-9378-fa163ee8d8ac</v>
      </c>
      <c r="B1139" s="5" t="str">
        <f>IFNA(VLOOKUP(F1139,Driver!A:C,2,false),"")</f>
        <v>f3cef536-7671-11f0-84d2-506b8d982279</v>
      </c>
      <c r="C1139" s="5" t="str">
        <f>IFNA(VLOOKUP(E1139,'Location Table'!A:C,2,false),"")</f>
        <v/>
      </c>
      <c r="D1139" s="10" t="s">
        <v>841</v>
      </c>
      <c r="E1139" s="6"/>
      <c r="F1139" s="6" t="s">
        <v>112</v>
      </c>
      <c r="G1139" s="7" t="str">
        <f>IFNA(VLOOKUP(F1139,Driver!A:D,4,false),"")</f>
        <v/>
      </c>
      <c r="H1139" s="8" t="str">
        <f>IFNA(VLOOKUP(F1139,Driver!A:C,3,false),"")</f>
        <v/>
      </c>
      <c r="I1139" s="9">
        <v>0.4583333333333333</v>
      </c>
      <c r="J1139" s="9">
        <v>0.7083333333333334</v>
      </c>
      <c r="K1139" s="9"/>
    </row>
    <row r="1140" hidden="1">
      <c r="A1140" s="5" t="str">
        <f>IFNA(VLOOKUP(D1140,'Location Table'!A:C,2,false),"")</f>
        <v>e459cf64-297b-11f1-9378-fa163ee8d8ac</v>
      </c>
      <c r="B1140" s="5" t="str">
        <f>IFNA(VLOOKUP(F1140,Driver!A:C,2,false),"")</f>
        <v>9ba6de4c-37d0-11ed-90bb-506b8dbc8dfb</v>
      </c>
      <c r="C1140" s="5" t="str">
        <f>IFNA(VLOOKUP(E1140,'Location Table'!A:C,2,false),"")</f>
        <v/>
      </c>
      <c r="D1140" s="10" t="s">
        <v>842</v>
      </c>
      <c r="E1140" s="6"/>
      <c r="F1140" s="6" t="s">
        <v>330</v>
      </c>
      <c r="G1140" s="7" t="str">
        <f>IFNA(VLOOKUP(F1140,Driver!A:D,4,false),"")</f>
        <v>1980698793628880414:XXMGIAegigeHesHcPUQpIcnMCwhigvPUATFrPyRHiqIZqTwmvWiXbUzfDhivxPcl</v>
      </c>
      <c r="H1140" s="8" t="str">
        <f>IFNA(VLOOKUP(F1140,Driver!A:C,3,false),"")</f>
        <v>d0ce770b76499f17c658</v>
      </c>
      <c r="I1140" s="9">
        <v>0.25</v>
      </c>
      <c r="J1140" s="9">
        <v>0.6458333333333334</v>
      </c>
      <c r="K1140" s="5" t="s">
        <v>331</v>
      </c>
    </row>
    <row r="1141" hidden="1">
      <c r="A1141" s="5" t="str">
        <f>IFNA(VLOOKUP(D1141,'Location Table'!A:C,2,false),"")</f>
        <v>2c029036-21e2-11f1-9378-fa163ee8d8ac</v>
      </c>
      <c r="B1141" s="5" t="str">
        <f>IFNA(VLOOKUP(F1141,Driver!A:C,2,false),"")</f>
        <v>232be490-35a4-11ed-88b7-506b8dbc8dfb</v>
      </c>
      <c r="C1141" s="5" t="str">
        <f>IFNA(VLOOKUP(E1141,'Location Table'!A:C,2,false),"")</f>
        <v/>
      </c>
      <c r="D1141" s="10" t="s">
        <v>843</v>
      </c>
      <c r="E1141" s="6"/>
      <c r="F1141" s="6" t="s">
        <v>110</v>
      </c>
      <c r="G1141" s="7" t="str">
        <f>IFNA(VLOOKUP(F1141,Driver!A:D,4,false),"")</f>
        <v>2160130926882687325:VSRHFZoYrhhtnecmAaOfmgvaKlfxBZEgxFxSbLPTAhfVwurTuJfQgOTrwyseeqJQ</v>
      </c>
      <c r="H1141" s="8" t="str">
        <f>IFNA(VLOOKUP(F1141,Driver!A:C,3,false),"")</f>
        <v>d9fc37dd4093a9cdf082</v>
      </c>
      <c r="I1141" s="9">
        <v>0.2916666666666667</v>
      </c>
      <c r="J1141" s="9">
        <v>0.6666666666666666</v>
      </c>
      <c r="K1141" s="9"/>
    </row>
    <row r="1142" hidden="1">
      <c r="A1142" s="5" t="str">
        <f>IFNA(VLOOKUP(D1142,'Location Table'!A:C,2,false),"")</f>
        <v>fde4717c-27f1-11f1-9378-fa163ee8d8ac</v>
      </c>
      <c r="B1142" s="5" t="str">
        <f>IFNA(VLOOKUP(F1142,Driver!A:C,2,false),"")</f>
        <v>41ea8512-2e70-11f1-9378-fa163ee8d8ac</v>
      </c>
      <c r="C1142" s="5" t="str">
        <f>IFNA(VLOOKUP(E1142,'Location Table'!A:C,2,false),"")</f>
        <v/>
      </c>
      <c r="D1142" s="10" t="s">
        <v>844</v>
      </c>
      <c r="E1142" s="6"/>
      <c r="F1142" s="6" t="s">
        <v>35</v>
      </c>
      <c r="G1142" s="7" t="str">
        <f>IFNA(VLOOKUP(F1142,Driver!A:D,4,false),"")</f>
        <v/>
      </c>
      <c r="H1142" s="8" t="str">
        <f>IFNA(VLOOKUP(F1142,Driver!A:C,3,false),"")</f>
        <v/>
      </c>
      <c r="I1142" s="9">
        <v>0.2916666666666667</v>
      </c>
      <c r="J1142" s="9">
        <v>0.75</v>
      </c>
      <c r="K1142" s="9"/>
    </row>
    <row r="1143" hidden="1">
      <c r="A1143" s="5" t="str">
        <f>IFNA(VLOOKUP(D1143,'Location Table'!A:C,2,false),"")</f>
        <v>0e1a30d8-5abf-11ef-9f88-506b8d9879b5</v>
      </c>
      <c r="B1143" s="5" t="str">
        <f>IFNA(VLOOKUP(F1143,Driver!A:C,2,false),"")</f>
        <v>aa436cae-e9f3-11ef-bd94-506b8d9879b5</v>
      </c>
      <c r="C1143" s="5" t="str">
        <f>IFNA(VLOOKUP(E1143,'Location Table'!A:C,2,false),"")</f>
        <v/>
      </c>
      <c r="D1143" s="10" t="s">
        <v>845</v>
      </c>
      <c r="E1143" s="6"/>
      <c r="F1143" s="6" t="s">
        <v>452</v>
      </c>
      <c r="G1143" s="7" t="str">
        <f>IFNA(VLOOKUP(F1143,Driver!A:D,4,false),"")</f>
        <v>1980698793628880414:XXMGIAegigeHesHcPUQpIcnMCwhigvPUATFrPyRHiqIZqTwmvWiXbUzfDhivxPcl</v>
      </c>
      <c r="H1143" s="8" t="str">
        <f>IFNA(VLOOKUP(F1143,Driver!A:C,3,false),"")</f>
        <v>f07b253084796d273468</v>
      </c>
      <c r="I1143" s="9">
        <v>0.2916666666666667</v>
      </c>
      <c r="J1143" s="9">
        <v>0.6666666666666666</v>
      </c>
      <c r="K1143" s="9"/>
    </row>
    <row r="1144" hidden="1">
      <c r="A1144" s="5" t="str">
        <f>IFNA(VLOOKUP(D1144,'Location Table'!A:C,2,false),"")</f>
        <v>69575eda-37db-11f1-9378-fa163ee8d8ac</v>
      </c>
      <c r="B1144" s="5" t="str">
        <f>IFNA(VLOOKUP(F1144,Driver!A:C,2,false),"")</f>
        <v>7898dd6c-816d-11f0-9f34-506b8d982279</v>
      </c>
      <c r="C1144" s="5" t="str">
        <f>IFNA(VLOOKUP(E1144,'Location Table'!A:C,2,false),"")</f>
        <v/>
      </c>
      <c r="D1144" s="10" t="s">
        <v>846</v>
      </c>
      <c r="E1144" s="6"/>
      <c r="F1144" s="6" t="s">
        <v>15</v>
      </c>
      <c r="G1144" s="7" t="str">
        <f>IFNA(VLOOKUP(F1144,Driver!A:D,4,false),"")</f>
        <v>1980698793628880414:XXMGIAegigeHesHcPUQpIcnMCwhigvPUATFrPyRHiqIZqTwmvWiXbUzfDhivxPcl</v>
      </c>
      <c r="H1144" s="8" t="str">
        <f>IFNA(VLOOKUP(F1144,Driver!A:C,3,false),"")</f>
        <v>011b70c8f4801dde4491</v>
      </c>
      <c r="I1144" s="9">
        <v>0.2916666666666667</v>
      </c>
      <c r="J1144" s="9">
        <v>0.6666666666666666</v>
      </c>
      <c r="K1144" s="9"/>
    </row>
    <row r="1145" hidden="1">
      <c r="A1145" s="5" t="str">
        <f>IFNA(VLOOKUP(D1145,'Location Table'!A:C,2,false),"")</f>
        <v>e30f9012-2723-11f1-9378-fa163ee8d8ac</v>
      </c>
      <c r="B1145" s="5" t="str">
        <f>IFNA(VLOOKUP(F1145,Driver!A:C,2,false),"")</f>
        <v>232be490-35a4-11ed-88b7-506b8dbc8dfb</v>
      </c>
      <c r="C1145" s="5" t="str">
        <f>IFNA(VLOOKUP(E1145,'Location Table'!A:C,2,false),"")</f>
        <v/>
      </c>
      <c r="D1145" s="10" t="s">
        <v>847</v>
      </c>
      <c r="E1145" s="6"/>
      <c r="F1145" s="6" t="s">
        <v>110</v>
      </c>
      <c r="G1145" s="7" t="str">
        <f>IFNA(VLOOKUP(F1145,Driver!A:D,4,false),"")</f>
        <v>2160130926882687325:VSRHFZoYrhhtnecmAaOfmgvaKlfxBZEgxFxSbLPTAhfVwurTuJfQgOTrwyseeqJQ</v>
      </c>
      <c r="H1145" s="8" t="str">
        <f>IFNA(VLOOKUP(F1145,Driver!A:C,3,false),"")</f>
        <v>d9fc37dd4093a9cdf082</v>
      </c>
      <c r="I1145" s="9">
        <v>0.2916666666666667</v>
      </c>
      <c r="J1145" s="9">
        <v>0.6666666666666666</v>
      </c>
      <c r="K1145" s="9"/>
    </row>
    <row r="1146" hidden="1">
      <c r="A1146" s="5" t="str">
        <f>IFNA(VLOOKUP(D1146,'Location Table'!A:C,2,false),"")</f>
        <v>88a10adc-3a1c-11f1-9378-fa163ee8d8ac</v>
      </c>
      <c r="B1146" s="5" t="str">
        <f>IFNA(VLOOKUP(F1146,Driver!A:C,2,false),"")</f>
        <v>7898dd6c-816d-11f0-9f34-506b8d982279</v>
      </c>
      <c r="C1146" s="5" t="str">
        <f>IFNA(VLOOKUP(E1146,'Location Table'!A:C,2,false),"")</f>
        <v/>
      </c>
      <c r="D1146" s="10" t="s">
        <v>848</v>
      </c>
      <c r="E1146" s="6"/>
      <c r="F1146" s="6" t="s">
        <v>15</v>
      </c>
      <c r="G1146" s="7" t="str">
        <f>IFNA(VLOOKUP(F1146,Driver!A:D,4,false),"")</f>
        <v>1980698793628880414:XXMGIAegigeHesHcPUQpIcnMCwhigvPUATFrPyRHiqIZqTwmvWiXbUzfDhivxPcl</v>
      </c>
      <c r="H1146" s="8" t="str">
        <f>IFNA(VLOOKUP(F1146,Driver!A:C,3,false),"")</f>
        <v>011b70c8f4801dde4491</v>
      </c>
      <c r="I1146" s="9">
        <v>0.2916666666666667</v>
      </c>
      <c r="J1146" s="9">
        <v>0.6666666666666666</v>
      </c>
      <c r="K1146" s="9"/>
    </row>
    <row r="1147" hidden="1">
      <c r="A1147" s="5" t="str">
        <f>IFNA(VLOOKUP(D1147,'Location Table'!A:C,2,false),"")</f>
        <v>323821e8-59e6-11ef-bc31-506b8d9879b5</v>
      </c>
      <c r="B1147" s="5" t="str">
        <f>IFNA(VLOOKUP(F1147,Driver!A:C,2,false),"")</f>
        <v>987568fa-37c7-11ed-aac2-506b8dbc8dfb</v>
      </c>
      <c r="C1147" s="5" t="str">
        <f>IFNA(VLOOKUP(E1147,'Location Table'!A:C,2,false),"")</f>
        <v/>
      </c>
      <c r="D1147" s="6" t="s">
        <v>329</v>
      </c>
      <c r="E1147" s="6"/>
      <c r="F1147" s="6" t="s">
        <v>849</v>
      </c>
      <c r="G1147" s="7" t="str">
        <f>IFNA(VLOOKUP(F1147,Driver!A:D,4,false),"")</f>
        <v>2160130926882687325:VSRHFZoYrhhtnecmAaOfmgvaKlfxBZEgxFxSbLPTAhfVwurTuJfQgOTrwyseeqJQ</v>
      </c>
      <c r="H1147" s="8" t="str">
        <f>IFNA(VLOOKUP(F1147,Driver!A:C,3,false),"")</f>
        <v>fb399a0ae5460c185557</v>
      </c>
      <c r="I1147" s="9">
        <v>0.6458333333333334</v>
      </c>
      <c r="J1147" s="9">
        <v>0.8333333333333334</v>
      </c>
      <c r="K1147" s="9"/>
    </row>
    <row r="1148" hidden="1">
      <c r="A1148" s="5" t="str">
        <f>IFNA(VLOOKUP(D1148,'Location Table'!A:C,2,false),"")</f>
        <v>fd168f54-e9ef-11f0-a0fb-506b8d982279</v>
      </c>
      <c r="B1148" s="5" t="str">
        <f>IFNA(VLOOKUP(F1148,Driver!A:C,2,false),"")</f>
        <v>987568fa-37c7-11ed-aac2-506b8dbc8dfb</v>
      </c>
      <c r="C1148" s="5" t="str">
        <f>IFNA(VLOOKUP(E1148,'Location Table'!A:C,2,false),"")</f>
        <v/>
      </c>
      <c r="D1148" s="6" t="s">
        <v>332</v>
      </c>
      <c r="E1148" s="6"/>
      <c r="F1148" s="6" t="s">
        <v>849</v>
      </c>
      <c r="G1148" s="7" t="str">
        <f>IFNA(VLOOKUP(F1148,Driver!A:D,4,false),"")</f>
        <v>2160130926882687325:VSRHFZoYrhhtnecmAaOfmgvaKlfxBZEgxFxSbLPTAhfVwurTuJfQgOTrwyseeqJQ</v>
      </c>
      <c r="H1148" s="8" t="str">
        <f>IFNA(VLOOKUP(F1148,Driver!A:C,3,false),"")</f>
        <v>fb399a0ae5460c185557</v>
      </c>
      <c r="I1148" s="9">
        <v>0.6458333333333334</v>
      </c>
      <c r="J1148" s="9">
        <v>0.8333333333333334</v>
      </c>
      <c r="K1148" s="9"/>
    </row>
    <row r="1149" hidden="1">
      <c r="A1149" s="5" t="str">
        <f>IFNA(VLOOKUP(D1149,'Location Table'!A:C,2,false),"")</f>
        <v>e07c49a2-0e9a-11ee-84f9-506b8dbc8dfb</v>
      </c>
      <c r="B1149" s="5" t="str">
        <f>IFNA(VLOOKUP(F1149,Driver!A:C,2,false),"")</f>
        <v>987568fa-37c7-11ed-aac2-506b8dbc8dfb</v>
      </c>
      <c r="C1149" s="5" t="str">
        <f>IFNA(VLOOKUP(E1149,'Location Table'!A:C,2,false),"")</f>
        <v/>
      </c>
      <c r="D1149" s="6" t="s">
        <v>333</v>
      </c>
      <c r="E1149" s="6"/>
      <c r="F1149" s="6" t="s">
        <v>849</v>
      </c>
      <c r="G1149" s="7" t="str">
        <f>IFNA(VLOOKUP(F1149,Driver!A:D,4,false),"")</f>
        <v>2160130926882687325:VSRHFZoYrhhtnecmAaOfmgvaKlfxBZEgxFxSbLPTAhfVwurTuJfQgOTrwyseeqJQ</v>
      </c>
      <c r="H1149" s="8" t="str">
        <f>IFNA(VLOOKUP(F1149,Driver!A:C,3,false),"")</f>
        <v>fb399a0ae5460c185557</v>
      </c>
      <c r="I1149" s="9">
        <v>0.6458333333333334</v>
      </c>
      <c r="J1149" s="9">
        <v>0.8333333333333334</v>
      </c>
      <c r="K1149" s="9"/>
    </row>
    <row r="1150" hidden="1">
      <c r="A1150" s="5" t="str">
        <f>IFNA(VLOOKUP(D1150,'Location Table'!A:C,2,false),"")</f>
        <v>7eade5f2-b5e1-11ee-a194-506b8d9879b5</v>
      </c>
      <c r="B1150" s="5" t="str">
        <f>IFNA(VLOOKUP(F1150,Driver!A:C,2,false),"")</f>
        <v>987568fa-37c7-11ed-aac2-506b8dbc8dfb</v>
      </c>
      <c r="C1150" s="5" t="str">
        <f>IFNA(VLOOKUP(E1150,'Location Table'!A:C,2,false),"")</f>
        <v/>
      </c>
      <c r="D1150" s="6" t="s">
        <v>389</v>
      </c>
      <c r="E1150" s="6"/>
      <c r="F1150" s="6" t="s">
        <v>849</v>
      </c>
      <c r="G1150" s="7" t="str">
        <f>IFNA(VLOOKUP(F1150,Driver!A:D,4,false),"")</f>
        <v>2160130926882687325:VSRHFZoYrhhtnecmAaOfmgvaKlfxBZEgxFxSbLPTAhfVwurTuJfQgOTrwyseeqJQ</v>
      </c>
      <c r="H1150" s="8" t="str">
        <f>IFNA(VLOOKUP(F1150,Driver!A:C,3,false),"")</f>
        <v>fb399a0ae5460c185557</v>
      </c>
      <c r="I1150" s="9">
        <v>0.6458333333333334</v>
      </c>
      <c r="J1150" s="9">
        <v>0.8333333333333334</v>
      </c>
      <c r="K1150" s="9"/>
    </row>
    <row r="1151" hidden="1">
      <c r="A1151" s="5" t="str">
        <f>IFNA(VLOOKUP(D1151,'Location Table'!A:C,2,false),"")</f>
        <v>3edbf400-4625-11ed-9c1b-506b8dbc8dfb</v>
      </c>
      <c r="B1151" s="5" t="str">
        <f>IFNA(VLOOKUP(F1151,Driver!A:C,2,false),"")</f>
        <v>987568fa-37c7-11ed-aac2-506b8dbc8dfb</v>
      </c>
      <c r="C1151" s="5" t="str">
        <f>IFNA(VLOOKUP(E1151,'Location Table'!A:C,2,false),"")</f>
        <v/>
      </c>
      <c r="D1151" s="6" t="s">
        <v>390</v>
      </c>
      <c r="E1151" s="6"/>
      <c r="F1151" s="6" t="s">
        <v>849</v>
      </c>
      <c r="G1151" s="7" t="str">
        <f>IFNA(VLOOKUP(F1151,Driver!A:D,4,false),"")</f>
        <v>2160130926882687325:VSRHFZoYrhhtnecmAaOfmgvaKlfxBZEgxFxSbLPTAhfVwurTuJfQgOTrwyseeqJQ</v>
      </c>
      <c r="H1151" s="8" t="str">
        <f>IFNA(VLOOKUP(F1151,Driver!A:C,3,false),"")</f>
        <v>fb399a0ae5460c185557</v>
      </c>
      <c r="I1151" s="9">
        <v>0.6458333333333334</v>
      </c>
      <c r="J1151" s="9">
        <v>0.8333333333333334</v>
      </c>
      <c r="K1151" s="9"/>
    </row>
    <row r="1152" hidden="1">
      <c r="A1152" s="5" t="str">
        <f>IFNA(VLOOKUP(D1152,'Location Table'!A:C,2,false),"")</f>
        <v>e899e64e-31f8-11ef-870d-506b8d9879b5</v>
      </c>
      <c r="B1152" s="5" t="str">
        <f>IFNA(VLOOKUP(F1152,Driver!A:C,2,false),"")</f>
        <v>987568fa-37c7-11ed-aac2-506b8dbc8dfb</v>
      </c>
      <c r="C1152" s="5" t="str">
        <f>IFNA(VLOOKUP(E1152,'Location Table'!A:C,2,false),"")</f>
        <v/>
      </c>
      <c r="D1152" s="6" t="s">
        <v>635</v>
      </c>
      <c r="E1152" s="6"/>
      <c r="F1152" s="6" t="s">
        <v>849</v>
      </c>
      <c r="G1152" s="7" t="str">
        <f>IFNA(VLOOKUP(F1152,Driver!A:D,4,false),"")</f>
        <v>2160130926882687325:VSRHFZoYrhhtnecmAaOfmgvaKlfxBZEgxFxSbLPTAhfVwurTuJfQgOTrwyseeqJQ</v>
      </c>
      <c r="H1152" s="8" t="str">
        <f>IFNA(VLOOKUP(F1152,Driver!A:C,3,false),"")</f>
        <v>fb399a0ae5460c185557</v>
      </c>
      <c r="I1152" s="9">
        <v>0.6458333333333334</v>
      </c>
      <c r="J1152" s="9">
        <v>0.8333333333333334</v>
      </c>
      <c r="K1152" s="9"/>
    </row>
    <row r="1153" hidden="1">
      <c r="A1153" s="5" t="str">
        <f>IFNA(VLOOKUP(D1153,'Location Table'!A:C,2,false),"")</f>
        <v>fbfe42a0-4d57-11ef-b0f3-506b8d9879b5</v>
      </c>
      <c r="B1153" s="5" t="str">
        <f>IFNA(VLOOKUP(F1153,Driver!A:C,2,false),"")</f>
        <v>987568fa-37c7-11ed-aac2-506b8dbc8dfb</v>
      </c>
      <c r="C1153" s="5" t="str">
        <f>IFNA(VLOOKUP(E1153,'Location Table'!A:C,2,false),"")</f>
        <v/>
      </c>
      <c r="D1153" s="6" t="s">
        <v>764</v>
      </c>
      <c r="E1153" s="6"/>
      <c r="F1153" s="6" t="s">
        <v>849</v>
      </c>
      <c r="G1153" s="7" t="str">
        <f>IFNA(VLOOKUP(F1153,Driver!A:D,4,false),"")</f>
        <v>2160130926882687325:VSRHFZoYrhhtnecmAaOfmgvaKlfxBZEgxFxSbLPTAhfVwurTuJfQgOTrwyseeqJQ</v>
      </c>
      <c r="H1153" s="8" t="str">
        <f>IFNA(VLOOKUP(F1153,Driver!A:C,3,false),"")</f>
        <v>fb399a0ae5460c185557</v>
      </c>
      <c r="I1153" s="9">
        <v>0.6458333333333334</v>
      </c>
      <c r="J1153" s="9">
        <v>0.8333333333333334</v>
      </c>
      <c r="K1153" s="9"/>
    </row>
    <row r="1154" hidden="1">
      <c r="A1154" s="5" t="str">
        <f>IFNA(VLOOKUP(D1154,'Location Table'!A:C,2,false),"")</f>
        <v>074046c4-c30e-11ee-8f54-506b8d9879b5</v>
      </c>
      <c r="B1154" s="5" t="str">
        <f>IFNA(VLOOKUP(F1154,Driver!A:C,2,false),"")</f>
        <v>987568fa-37c7-11ed-aac2-506b8dbc8dfb</v>
      </c>
      <c r="C1154" s="5" t="str">
        <f>IFNA(VLOOKUP(E1154,'Location Table'!A:C,2,false),"")</f>
        <v/>
      </c>
      <c r="D1154" s="6" t="s">
        <v>768</v>
      </c>
      <c r="E1154" s="6"/>
      <c r="F1154" s="6" t="s">
        <v>849</v>
      </c>
      <c r="G1154" s="7" t="str">
        <f>IFNA(VLOOKUP(F1154,Driver!A:D,4,false),"")</f>
        <v>2160130926882687325:VSRHFZoYrhhtnecmAaOfmgvaKlfxBZEgxFxSbLPTAhfVwurTuJfQgOTrwyseeqJQ</v>
      </c>
      <c r="H1154" s="8" t="str">
        <f>IFNA(VLOOKUP(F1154,Driver!A:C,3,false),"")</f>
        <v>fb399a0ae5460c185557</v>
      </c>
      <c r="I1154" s="9">
        <v>0.6458333333333334</v>
      </c>
      <c r="J1154" s="9">
        <v>0.8333333333333334</v>
      </c>
      <c r="K1154" s="9"/>
    </row>
    <row r="1155" hidden="1">
      <c r="A1155" s="5" t="str">
        <f>IFNA(VLOOKUP(D1155,'Location Table'!A:C,2,false),"")</f>
        <v>1a0d1c1a-f535-11ee-be48-506b8d9879b5</v>
      </c>
      <c r="B1155" s="5" t="str">
        <f>IFNA(VLOOKUP(F1155,Driver!A:C,2,false),"")</f>
        <v>987568fa-37c7-11ed-aac2-506b8dbc8dfb</v>
      </c>
      <c r="C1155" s="5" t="str">
        <f>IFNA(VLOOKUP(E1155,'Location Table'!A:C,2,false),"")</f>
        <v/>
      </c>
      <c r="D1155" s="6" t="s">
        <v>772</v>
      </c>
      <c r="E1155" s="6"/>
      <c r="F1155" s="6" t="s">
        <v>849</v>
      </c>
      <c r="G1155" s="7" t="str">
        <f>IFNA(VLOOKUP(F1155,Driver!A:D,4,false),"")</f>
        <v>2160130926882687325:VSRHFZoYrhhtnecmAaOfmgvaKlfxBZEgxFxSbLPTAhfVwurTuJfQgOTrwyseeqJQ</v>
      </c>
      <c r="H1155" s="8" t="str">
        <f>IFNA(VLOOKUP(F1155,Driver!A:C,3,false),"")</f>
        <v>fb399a0ae5460c185557</v>
      </c>
      <c r="I1155" s="9">
        <v>0.6458333333333334</v>
      </c>
      <c r="J1155" s="9">
        <v>0.8333333333333334</v>
      </c>
      <c r="K1155" s="9"/>
    </row>
    <row r="1156" hidden="1">
      <c r="A1156" s="5" t="str">
        <f>IFNA(VLOOKUP(D1156,'Location Table'!A:C,2,false),"")</f>
        <v>e459cf64-297b-11f1-9378-fa163ee8d8ac</v>
      </c>
      <c r="B1156" s="5" t="str">
        <f>IFNA(VLOOKUP(F1156,Driver!A:C,2,false),"")</f>
        <v>987568fa-37c7-11ed-aac2-506b8dbc8dfb</v>
      </c>
      <c r="C1156" s="5" t="str">
        <f>IFNA(VLOOKUP(E1156,'Location Table'!A:C,2,false),"")</f>
        <v/>
      </c>
      <c r="D1156" s="10" t="s">
        <v>842</v>
      </c>
      <c r="E1156" s="6"/>
      <c r="F1156" s="6" t="s">
        <v>849</v>
      </c>
      <c r="G1156" s="7" t="str">
        <f>IFNA(VLOOKUP(F1156,Driver!A:D,4,false),"")</f>
        <v>2160130926882687325:VSRHFZoYrhhtnecmAaOfmgvaKlfxBZEgxFxSbLPTAhfVwurTuJfQgOTrwyseeqJQ</v>
      </c>
      <c r="H1156" s="8" t="str">
        <f>IFNA(VLOOKUP(F1156,Driver!A:C,3,false),"")</f>
        <v>fb399a0ae5460c185557</v>
      </c>
      <c r="I1156" s="9">
        <v>0.6458333333333334</v>
      </c>
      <c r="J1156" s="9">
        <v>0.8333333333333334</v>
      </c>
      <c r="K1156" s="9"/>
    </row>
    <row r="1157" hidden="1">
      <c r="A1157" s="5" t="str">
        <f>IFNA(VLOOKUP(D1157,'Location Table'!A:C,2,false),"")</f>
        <v>90de3042-3d9c-11ed-a60a-506b8dbc8dfb</v>
      </c>
      <c r="B1157" s="5" t="str">
        <f>IFNA(VLOOKUP(F1157,Driver!A:C,2,false),"")</f>
        <v>987568fa-37c7-11ed-aac2-506b8dbc8dfb</v>
      </c>
      <c r="C1157" s="5" t="str">
        <f>IFNA(VLOOKUP(E1157,'Location Table'!A:C,2,false),"")</f>
        <v/>
      </c>
      <c r="D1157" s="10" t="s">
        <v>850</v>
      </c>
      <c r="E1157" s="6"/>
      <c r="F1157" s="6" t="s">
        <v>849</v>
      </c>
      <c r="G1157" s="7" t="str">
        <f>IFNA(VLOOKUP(F1157,Driver!A:D,4,false),"")</f>
        <v>2160130926882687325:VSRHFZoYrhhtnecmAaOfmgvaKlfxBZEgxFxSbLPTAhfVwurTuJfQgOTrwyseeqJQ</v>
      </c>
      <c r="H1157" s="8" t="str">
        <f>IFNA(VLOOKUP(F1157,Driver!A:C,3,false),"")</f>
        <v>fb399a0ae5460c185557</v>
      </c>
      <c r="I1157" s="9">
        <v>0.6458333333333334</v>
      </c>
      <c r="J1157" s="9">
        <v>0.8333333333333334</v>
      </c>
      <c r="K1157" s="9"/>
    </row>
    <row r="1158" hidden="1">
      <c r="A1158" s="5" t="str">
        <f>IFNA(VLOOKUP(D1158,'Location Table'!A:C,2,false),"")</f>
        <v>90de3042-3d9c-11ed-a60a-506b8dbc8dfb</v>
      </c>
      <c r="B1158" s="5" t="str">
        <f>IFNA(VLOOKUP(F1158,Driver!A:C,2,false),"")</f>
        <v>987568fa-37c7-11ed-aac2-506b8dbc8dfb</v>
      </c>
      <c r="C1158" s="5" t="str">
        <f>IFNA(VLOOKUP(E1158,'Location Table'!A:C,2,false),"")</f>
        <v/>
      </c>
      <c r="D1158" s="10" t="s">
        <v>850</v>
      </c>
      <c r="E1158" s="6"/>
      <c r="F1158" s="6" t="s">
        <v>849</v>
      </c>
      <c r="G1158" s="7" t="str">
        <f>IFNA(VLOOKUP(F1158,Driver!A:D,4,false),"")</f>
        <v>2160130926882687325:VSRHFZoYrhhtnecmAaOfmgvaKlfxBZEgxFxSbLPTAhfVwurTuJfQgOTrwyseeqJQ</v>
      </c>
      <c r="H1158" s="8" t="str">
        <f>IFNA(VLOOKUP(F1158,Driver!A:C,3,false),"")</f>
        <v>fb399a0ae5460c185557</v>
      </c>
      <c r="I1158" s="9">
        <v>0.25</v>
      </c>
      <c r="J1158" s="9">
        <v>0.6458333333333334</v>
      </c>
      <c r="K1158" s="5" t="s">
        <v>331</v>
      </c>
    </row>
    <row r="1159" hidden="1">
      <c r="A1159" s="5" t="str">
        <f>IFNA(VLOOKUP(D1159,'Location Table'!A:C,2,false),"")</f>
        <v>3f8503b4-21e2-11f1-9378-fa163ee8d8ac</v>
      </c>
      <c r="B1159" s="5" t="str">
        <f>IFNA(VLOOKUP(F1159,Driver!A:C,2,false),"")</f>
        <v>232be490-35a4-11ed-88b7-506b8dbc8dfb</v>
      </c>
      <c r="C1159" s="5" t="str">
        <f>IFNA(VLOOKUP(E1159,'Location Table'!A:C,2,false),"")</f>
        <v/>
      </c>
      <c r="D1159" s="10" t="s">
        <v>851</v>
      </c>
      <c r="E1159" s="6"/>
      <c r="F1159" s="6" t="s">
        <v>110</v>
      </c>
      <c r="G1159" s="7" t="str">
        <f>IFNA(VLOOKUP(F1159,Driver!A:D,4,false),"")</f>
        <v>2160130926882687325:VSRHFZoYrhhtnecmAaOfmgvaKlfxBZEgxFxSbLPTAhfVwurTuJfQgOTrwyseeqJQ</v>
      </c>
      <c r="H1159" s="8" t="str">
        <f>IFNA(VLOOKUP(F1159,Driver!A:C,3,false),"")</f>
        <v>d9fc37dd4093a9cdf082</v>
      </c>
      <c r="I1159" s="9">
        <v>0.2916666666666667</v>
      </c>
      <c r="J1159" s="9">
        <v>0.6875</v>
      </c>
      <c r="K1159" s="9"/>
    </row>
    <row r="1160" hidden="1">
      <c r="A1160" s="5" t="str">
        <f>IFNA(VLOOKUP(D1160,'Location Table'!A:C,2,false),"")</f>
        <v>3f8503b4-21e2-11f1-9378-fa163ee8d8ac</v>
      </c>
      <c r="B1160" s="5" t="str">
        <f>IFNA(VLOOKUP(F1160,Driver!A:C,2,false),"")</f>
        <v>af57dfcc-782d-11f0-b407-506b8d982279</v>
      </c>
      <c r="C1160" s="5" t="str">
        <f>IFNA(VLOOKUP(E1160,'Location Table'!A:C,2,false),"")</f>
        <v/>
      </c>
      <c r="D1160" s="10" t="s">
        <v>851</v>
      </c>
      <c r="E1160" s="6"/>
      <c r="F1160" s="6" t="s">
        <v>515</v>
      </c>
      <c r="G1160" s="7" t="str">
        <f>IFNA(VLOOKUP(F1160,Driver!A:D,4,false),"")</f>
        <v>2160130926882687325:VSRHFZoYrhhtnecmAaOfmgvaKlfxBZEgxFxSbLPTAhfVwurTuJfQgOTrwyseeqJQ</v>
      </c>
      <c r="H1160" s="8" t="str">
        <f>IFNA(VLOOKUP(F1160,Driver!A:C,3,false),"")</f>
        <v>d9fc37dd4093a9cdf082</v>
      </c>
      <c r="I1160" s="9">
        <v>0.6875</v>
      </c>
      <c r="J1160" s="9">
        <v>0.8333333333333334</v>
      </c>
      <c r="K1160" s="9"/>
    </row>
    <row r="1161" hidden="1">
      <c r="A1161" s="5" t="str">
        <f>IFNA(VLOOKUP(D1161,'Location Table'!A:C,2,false),"")</f>
        <v>253e3a3e-41fe-11f1-9378-fa163ee8d8ac</v>
      </c>
      <c r="B1161" s="5" t="str">
        <f>IFNA(VLOOKUP(F1161,Driver!A:C,2,false),"")</f>
        <v>061bd7aa-35a6-11ed-9426-506b8dbc8dfb</v>
      </c>
      <c r="C1161" s="5" t="str">
        <f>IFNA(VLOOKUP(E1161,'Location Table'!A:C,2,false),"")</f>
        <v/>
      </c>
      <c r="D1161" s="10" t="s">
        <v>852</v>
      </c>
      <c r="E1161" s="6"/>
      <c r="F1161" s="6" t="s">
        <v>346</v>
      </c>
      <c r="G1161" s="7" t="str">
        <f>IFNA(VLOOKUP(F1161,Driver!A:D,4,false),"")</f>
        <v>2160130926882687325:VSRHFZoYrhhtnecmAaOfmgvaKlfxBZEgxFxSbLPTAhfVwurTuJfQgOTrwyseeqJQ</v>
      </c>
      <c r="H1161" s="8" t="str">
        <f>IFNA(VLOOKUP(F1161,Driver!A:C,3,false),"")</f>
        <v>a6d70e0cd7463e186757</v>
      </c>
      <c r="I1161" s="9">
        <v>0.25</v>
      </c>
      <c r="J1161" s="9">
        <v>0.8333333333333334</v>
      </c>
      <c r="K1161" s="9"/>
    </row>
    <row r="1162" hidden="1">
      <c r="A1162" s="5" t="str">
        <f>IFNA(VLOOKUP(D1162,'Location Table'!A:C,2,false),"")</f>
        <v>8ad39af0-9405-11ee-b52c-506b8d9879b5</v>
      </c>
      <c r="B1162" s="5" t="str">
        <f>IFNA(VLOOKUP(F1162,Driver!A:C,2,false),"")</f>
        <v>ee94ca62-729f-11f0-8cd5-506b8d982279</v>
      </c>
      <c r="C1162" s="5" t="str">
        <f>IFNA(VLOOKUP(E1162,'Location Table'!A:C,2,false),"")</f>
        <v/>
      </c>
      <c r="D1162" s="10" t="s">
        <v>853</v>
      </c>
      <c r="E1162" s="6"/>
      <c r="F1162" s="6" t="s">
        <v>104</v>
      </c>
      <c r="G1162" s="7" t="str">
        <f>IFNA(VLOOKUP(F1162,Driver!A:D,4,false),"")</f>
        <v>1980698793628880414:XXMGIAegigeHesHcPUQpIcnMCwhigvPUATFrPyRHiqIZqTwmvWiXbUzfDhivxPcl</v>
      </c>
      <c r="H1162" s="8" t="str">
        <f>IFNA(VLOOKUP(F1162,Driver!A:C,3,false),"")</f>
        <v>f4d2e910814c6812315d</v>
      </c>
      <c r="I1162" s="9">
        <v>0.2916666666666667</v>
      </c>
      <c r="J1162" s="9">
        <v>0.75</v>
      </c>
      <c r="K1162" s="9"/>
    </row>
    <row r="1163" hidden="1">
      <c r="A1163" s="5" t="str">
        <f>IFNA(VLOOKUP(D1163,'Location Table'!A:C,2,false),"")</f>
        <v>485dd766-320b-11f1-9378-fa163ee8d8ac</v>
      </c>
      <c r="B1163" s="5" t="str">
        <f>IFNA(VLOOKUP(F1163,Driver!A:C,2,false),"")</f>
        <v>7898dd6c-816d-11f0-9f34-506b8d982279</v>
      </c>
      <c r="C1163" s="5" t="str">
        <f>IFNA(VLOOKUP(E1163,'Location Table'!A:C,2,false),"")</f>
        <v/>
      </c>
      <c r="D1163" s="10" t="s">
        <v>854</v>
      </c>
      <c r="E1163" s="6"/>
      <c r="F1163" s="6" t="s">
        <v>15</v>
      </c>
      <c r="G1163" s="7" t="str">
        <f>IFNA(VLOOKUP(F1163,Driver!A:D,4,false),"")</f>
        <v>1980698793628880414:XXMGIAegigeHesHcPUQpIcnMCwhigvPUATFrPyRHiqIZqTwmvWiXbUzfDhivxPcl</v>
      </c>
      <c r="H1163" s="8" t="str">
        <f>IFNA(VLOOKUP(F1163,Driver!A:C,3,false),"")</f>
        <v>011b70c8f4801dde4491</v>
      </c>
      <c r="I1163" s="9">
        <v>0.2916666666666667</v>
      </c>
      <c r="J1163" s="9">
        <v>0.6666666666666666</v>
      </c>
      <c r="K1163" s="9"/>
    </row>
    <row r="1164" hidden="1">
      <c r="A1164" s="5" t="str">
        <f>IFNA(VLOOKUP(D1164,'Location Table'!A:C,2,false),"")</f>
        <v>5f2405d0-4d0c-11f1-9378-fa163ee8d8ac</v>
      </c>
      <c r="B1164" s="5" t="str">
        <f>IFNA(VLOOKUP(F1164,Driver!A:C,2,false),"")</f>
        <v>103090f4-37c8-11ed-9333-506b8dbc8dfb</v>
      </c>
      <c r="C1164" s="5" t="str">
        <f>IFNA(VLOOKUP(E1164,'Location Table'!A:C,2,false),"")</f>
        <v/>
      </c>
      <c r="D1164" s="10" t="s">
        <v>855</v>
      </c>
      <c r="E1164" s="6"/>
      <c r="F1164" s="6" t="s">
        <v>130</v>
      </c>
      <c r="G1164" s="7" t="str">
        <f>IFNA(VLOOKUP(F1164,Driver!A:D,4,false),"")</f>
        <v>2160130926882687325:VSRHFZoYrhhtnecmAaOfmgvaKlfxBZEgxFxSbLPTAhfVwurTuJfQgOTrwyseeqJQ</v>
      </c>
      <c r="H1164" s="8" t="str">
        <f>IFNA(VLOOKUP(F1164,Driver!A:C,3,false),"")</f>
        <v>77085b30147bfd25a46a</v>
      </c>
      <c r="I1164" s="9">
        <v>0.2916666666666667</v>
      </c>
      <c r="J1164" s="9">
        <v>0.8333333333333334</v>
      </c>
      <c r="K1164" s="9"/>
    </row>
    <row r="1165" hidden="1">
      <c r="A1165" s="5" t="str">
        <f>IFNA(VLOOKUP(D1165,'Location Table'!A:C,2,false),"")</f>
        <v>744b552a-9405-11ee-a94f-506b8d9879b5</v>
      </c>
      <c r="B1165" s="5" t="str">
        <f>IFNA(VLOOKUP(F1165,Driver!A:C,2,false),"")</f>
        <v>41ea8512-2e70-11f1-9378-fa163ee8d8ac</v>
      </c>
      <c r="C1165" s="5" t="str">
        <f>IFNA(VLOOKUP(E1165,'Location Table'!A:C,2,false),"")</f>
        <v/>
      </c>
      <c r="D1165" s="10" t="s">
        <v>856</v>
      </c>
      <c r="E1165" s="6"/>
      <c r="F1165" s="6" t="s">
        <v>35</v>
      </c>
      <c r="G1165" s="7" t="str">
        <f>IFNA(VLOOKUP(F1165,Driver!A:D,4,false),"")</f>
        <v/>
      </c>
      <c r="H1165" s="8" t="str">
        <f>IFNA(VLOOKUP(F1165,Driver!A:C,3,false),"")</f>
        <v/>
      </c>
      <c r="I1165" s="9">
        <v>0.2916666666666667</v>
      </c>
      <c r="J1165" s="9">
        <v>0.75</v>
      </c>
      <c r="K1165" s="9"/>
    </row>
    <row r="1166" hidden="1">
      <c r="A1166" s="5" t="str">
        <f>IFNA(VLOOKUP(D1166,'Location Table'!A:C,2,false),"")</f>
        <v>78abe6fe-3f7d-11f1-9378-fa163ee8d8ac</v>
      </c>
      <c r="B1166" s="5" t="str">
        <f>IFNA(VLOOKUP(F1166,Driver!A:C,2,false),"")</f>
        <v>7898dd6c-816d-11f0-9f34-506b8d982279</v>
      </c>
      <c r="C1166" s="5" t="str">
        <f>IFNA(VLOOKUP(E1166,'Location Table'!A:C,2,false),"")</f>
        <v/>
      </c>
      <c r="D1166" s="10" t="s">
        <v>857</v>
      </c>
      <c r="E1166" s="6"/>
      <c r="F1166" s="6" t="s">
        <v>15</v>
      </c>
      <c r="G1166" s="7" t="str">
        <f>IFNA(VLOOKUP(F1166,Driver!A:D,4,false),"")</f>
        <v>1980698793628880414:XXMGIAegigeHesHcPUQpIcnMCwhigvPUATFrPyRHiqIZqTwmvWiXbUzfDhivxPcl</v>
      </c>
      <c r="H1166" s="8" t="str">
        <f>IFNA(VLOOKUP(F1166,Driver!A:C,3,false),"")</f>
        <v>011b70c8f4801dde4491</v>
      </c>
      <c r="I1166" s="9">
        <v>0.2916666666666667</v>
      </c>
      <c r="J1166" s="9">
        <v>0.6666666666666666</v>
      </c>
      <c r="K1166" s="9"/>
    </row>
    <row r="1167" hidden="1">
      <c r="A1167" s="5" t="str">
        <f>IFNA(VLOOKUP(D1167,'Location Table'!A:C,2,false),"")</f>
        <v>4daa0bca-2d7b-11f1-9378-fa163ee8d8ac</v>
      </c>
      <c r="B1167" s="5" t="str">
        <f>IFNA(VLOOKUP(F1167,Driver!A:C,2,false),"")</f>
        <v>b0ed9d24-2762-11f1-9378-fa163ee8d8ac</v>
      </c>
      <c r="C1167" s="5" t="str">
        <f>IFNA(VLOOKUP(E1167,'Location Table'!A:C,2,false),"")</f>
        <v/>
      </c>
      <c r="D1167" s="10" t="s">
        <v>832</v>
      </c>
      <c r="E1167" s="6"/>
      <c r="F1167" s="6" t="s">
        <v>858</v>
      </c>
      <c r="G1167" s="7" t="str">
        <f>IFNA(VLOOKUP(F1167,Driver!A:D,4,false),"")</f>
        <v/>
      </c>
      <c r="H1167" s="8" t="str">
        <f>IFNA(VLOOKUP(F1167,Driver!A:C,3,false),"")</f>
        <v/>
      </c>
      <c r="I1167" s="9">
        <v>0.5833333333333334</v>
      </c>
      <c r="J1167" s="9">
        <v>0.7916666666666666</v>
      </c>
      <c r="K1167" s="9"/>
    </row>
    <row r="1168" hidden="1">
      <c r="A1168" s="5" t="str">
        <f>IFNA(VLOOKUP(D1168,'Location Table'!A:C,2,false),"")</f>
        <v>0b8b3520-4625-11ed-aaa4-506b8dbc8dfb</v>
      </c>
      <c r="B1168" s="5" t="str">
        <f>IFNA(VLOOKUP(F1168,Driver!A:C,2,false),"")</f>
        <v>dff693c2-0371-11ee-90bc-506b8dbc8dfb</v>
      </c>
      <c r="C1168" s="5" t="str">
        <f>IFNA(VLOOKUP(E1168,'Location Table'!A:C,2,false),"")</f>
        <v/>
      </c>
      <c r="D1168" s="6" t="s">
        <v>421</v>
      </c>
      <c r="E1168" s="6"/>
      <c r="F1168" s="6" t="s">
        <v>365</v>
      </c>
      <c r="G1168" s="7" t="str">
        <f>IFNA(VLOOKUP(F1168,Driver!A:D,4,false),"")</f>
        <v>2160130926882687325:VSRHFZoYrhhtnecmAaOfmgvaKlfxBZEgxFxSbLPTAhfVwurTuJfQgOTrwyseeqJQ</v>
      </c>
      <c r="H1168" s="8" t="str">
        <f>IFNA(VLOOKUP(F1168,Driver!A:C,3,false),"")</f>
        <v>402ca9dc1194f8caa185</v>
      </c>
      <c r="I1168" s="9">
        <v>0.6041666666666666</v>
      </c>
      <c r="J1168" s="9">
        <v>0.6770833333333334</v>
      </c>
      <c r="K1168" s="9"/>
    </row>
    <row r="1169" hidden="1">
      <c r="A1169" s="5" t="str">
        <f>IFNA(VLOOKUP(D1169,'Location Table'!A:C,2,false),"")</f>
        <v>0d4f6c7c-03e3-11f0-91da-506b8d9879b5</v>
      </c>
      <c r="B1169" s="5" t="str">
        <f>IFNA(VLOOKUP(F1169,Driver!A:C,2,false),"")</f>
        <v>f5993946-37cf-11ed-a3fc-506b8dbc8dfb</v>
      </c>
      <c r="C1169" s="5" t="str">
        <f>IFNA(VLOOKUP(E1169,'Location Table'!A:C,2,false),"")</f>
        <v/>
      </c>
      <c r="D1169" s="6" t="s">
        <v>87</v>
      </c>
      <c r="E1169" s="6"/>
      <c r="F1169" s="6" t="s">
        <v>314</v>
      </c>
      <c r="G1169" s="7" t="str">
        <f>IFNA(VLOOKUP(F1169,Driver!A:D,4,false),"")</f>
        <v/>
      </c>
      <c r="H1169" s="8" t="str">
        <f>IFNA(VLOOKUP(F1169,Driver!A:C,3,false),"")</f>
        <v/>
      </c>
      <c r="I1169" s="9">
        <v>0.6875</v>
      </c>
      <c r="J1169" s="9">
        <v>0.875</v>
      </c>
      <c r="K1169" s="9"/>
    </row>
    <row r="1170" hidden="1">
      <c r="A1170" s="5" t="str">
        <f>IFNA(VLOOKUP(D1170,'Location Table'!A:C,2,false),"")</f>
        <v>6ace5052-a575-11ee-83d6-506b8d9879b5</v>
      </c>
      <c r="B1170" s="5" t="str">
        <f>IFNA(VLOOKUP(F1170,Driver!A:C,2,false),"")</f>
        <v>f5993946-37cf-11ed-a3fc-506b8dbc8dfb</v>
      </c>
      <c r="C1170" s="5" t="str">
        <f>IFNA(VLOOKUP(E1170,'Location Table'!A:C,2,false),"")</f>
        <v/>
      </c>
      <c r="D1170" s="6" t="s">
        <v>89</v>
      </c>
      <c r="E1170" s="6"/>
      <c r="F1170" s="6" t="s">
        <v>314</v>
      </c>
      <c r="G1170" s="7" t="str">
        <f>IFNA(VLOOKUP(F1170,Driver!A:D,4,false),"")</f>
        <v/>
      </c>
      <c r="H1170" s="8" t="str">
        <f>IFNA(VLOOKUP(F1170,Driver!A:C,3,false),"")</f>
        <v/>
      </c>
      <c r="I1170" s="9">
        <v>0.6875</v>
      </c>
      <c r="J1170" s="9">
        <v>0.875</v>
      </c>
      <c r="K1170" s="9"/>
    </row>
    <row r="1171" hidden="1">
      <c r="A1171" s="5" t="str">
        <f>IFNA(VLOOKUP(D1171,'Location Table'!A:C,2,false),"")</f>
        <v>09a251ea-5edb-11f0-ba30-506b8d982279</v>
      </c>
      <c r="B1171" s="5" t="str">
        <f>IFNA(VLOOKUP(F1171,Driver!A:C,2,false),"")</f>
        <v>f5993946-37cf-11ed-a3fc-506b8dbc8dfb</v>
      </c>
      <c r="C1171" s="5" t="str">
        <f>IFNA(VLOOKUP(E1171,'Location Table'!A:C,2,false),"")</f>
        <v/>
      </c>
      <c r="D1171" s="6" t="s">
        <v>90</v>
      </c>
      <c r="E1171" s="6"/>
      <c r="F1171" s="6" t="s">
        <v>314</v>
      </c>
      <c r="G1171" s="7" t="str">
        <f>IFNA(VLOOKUP(F1171,Driver!A:D,4,false),"")</f>
        <v/>
      </c>
      <c r="H1171" s="8" t="str">
        <f>IFNA(VLOOKUP(F1171,Driver!A:C,3,false),"")</f>
        <v/>
      </c>
      <c r="I1171" s="9">
        <v>0.6875</v>
      </c>
      <c r="J1171" s="9">
        <v>0.875</v>
      </c>
      <c r="K1171" s="9"/>
    </row>
    <row r="1172" hidden="1">
      <c r="A1172" s="5" t="str">
        <f>IFNA(VLOOKUP(D1172,'Location Table'!A:C,2,false),"")</f>
        <v>d328c92a-582c-11ee-914e-506b8d9879b5</v>
      </c>
      <c r="B1172" s="5" t="str">
        <f>IFNA(VLOOKUP(F1172,Driver!A:C,2,false),"")</f>
        <v>f5993946-37cf-11ed-a3fc-506b8dbc8dfb</v>
      </c>
      <c r="C1172" s="5" t="str">
        <f>IFNA(VLOOKUP(E1172,'Location Table'!A:C,2,false),"")</f>
        <v/>
      </c>
      <c r="D1172" s="6" t="s">
        <v>91</v>
      </c>
      <c r="E1172" s="6"/>
      <c r="F1172" s="6" t="s">
        <v>314</v>
      </c>
      <c r="G1172" s="7" t="str">
        <f>IFNA(VLOOKUP(F1172,Driver!A:D,4,false),"")</f>
        <v/>
      </c>
      <c r="H1172" s="8" t="str">
        <f>IFNA(VLOOKUP(F1172,Driver!A:C,3,false),"")</f>
        <v/>
      </c>
      <c r="I1172" s="9">
        <v>0.6875</v>
      </c>
      <c r="J1172" s="9">
        <v>0.875</v>
      </c>
      <c r="K1172" s="9"/>
    </row>
    <row r="1173" hidden="1">
      <c r="A1173" s="5" t="str">
        <f>IFNA(VLOOKUP(D1173,'Location Table'!A:C,2,false),"")</f>
        <v>54f02904-31ee-11ee-ad30-506b8d9879b5</v>
      </c>
      <c r="B1173" s="5" t="str">
        <f>IFNA(VLOOKUP(F1173,Driver!A:C,2,false),"")</f>
        <v>f5993946-37cf-11ed-a3fc-506b8dbc8dfb</v>
      </c>
      <c r="C1173" s="5" t="str">
        <f>IFNA(VLOOKUP(E1173,'Location Table'!A:C,2,false),"")</f>
        <v/>
      </c>
      <c r="D1173" s="6" t="s">
        <v>92</v>
      </c>
      <c r="E1173" s="6"/>
      <c r="F1173" s="6" t="s">
        <v>314</v>
      </c>
      <c r="G1173" s="7" t="str">
        <f>IFNA(VLOOKUP(F1173,Driver!A:D,4,false),"")</f>
        <v/>
      </c>
      <c r="H1173" s="8" t="str">
        <f>IFNA(VLOOKUP(F1173,Driver!A:C,3,false),"")</f>
        <v/>
      </c>
      <c r="I1173" s="9">
        <v>0.6875</v>
      </c>
      <c r="J1173" s="9">
        <v>0.875</v>
      </c>
      <c r="K1173" s="9"/>
    </row>
    <row r="1174" hidden="1">
      <c r="A1174" s="5" t="str">
        <f>IFNA(VLOOKUP(D1174,'Location Table'!A:C,2,false),"")</f>
        <v>ee64f962-8c06-11ee-aaa7-506b8d9879b5</v>
      </c>
      <c r="B1174" s="5" t="str">
        <f>IFNA(VLOOKUP(F1174,Driver!A:C,2,false),"")</f>
        <v>f5993946-37cf-11ed-a3fc-506b8dbc8dfb</v>
      </c>
      <c r="C1174" s="5" t="str">
        <f>IFNA(VLOOKUP(E1174,'Location Table'!A:C,2,false),"")</f>
        <v/>
      </c>
      <c r="D1174" s="6" t="s">
        <v>97</v>
      </c>
      <c r="E1174" s="6"/>
      <c r="F1174" s="6" t="s">
        <v>314</v>
      </c>
      <c r="G1174" s="7" t="str">
        <f>IFNA(VLOOKUP(F1174,Driver!A:D,4,false),"")</f>
        <v/>
      </c>
      <c r="H1174" s="8" t="str">
        <f>IFNA(VLOOKUP(F1174,Driver!A:C,3,false),"")</f>
        <v/>
      </c>
      <c r="I1174" s="9">
        <v>0.6875</v>
      </c>
      <c r="J1174" s="9">
        <v>0.875</v>
      </c>
      <c r="K1174" s="9"/>
    </row>
    <row r="1175" hidden="1">
      <c r="A1175" s="5" t="str">
        <f>IFNA(VLOOKUP(D1175,'Location Table'!A:C,2,false),"")</f>
        <v>0122420a-e8ed-11ef-8d33-506b8d9879b5</v>
      </c>
      <c r="B1175" s="5" t="str">
        <f>IFNA(VLOOKUP(F1175,Driver!A:C,2,false),"")</f>
        <v>f5993946-37cf-11ed-a3fc-506b8dbc8dfb</v>
      </c>
      <c r="C1175" s="5" t="str">
        <f>IFNA(VLOOKUP(E1175,'Location Table'!A:C,2,false),"")</f>
        <v/>
      </c>
      <c r="D1175" s="6" t="s">
        <v>98</v>
      </c>
      <c r="E1175" s="6"/>
      <c r="F1175" s="6" t="s">
        <v>314</v>
      </c>
      <c r="G1175" s="7" t="str">
        <f>IFNA(VLOOKUP(F1175,Driver!A:D,4,false),"")</f>
        <v/>
      </c>
      <c r="H1175" s="8" t="str">
        <f>IFNA(VLOOKUP(F1175,Driver!A:C,3,false),"")</f>
        <v/>
      </c>
      <c r="I1175" s="9">
        <v>0.6875</v>
      </c>
      <c r="J1175" s="9">
        <v>0.875</v>
      </c>
      <c r="K1175" s="9"/>
    </row>
    <row r="1176" hidden="1">
      <c r="A1176" s="5" t="str">
        <f>IFNA(VLOOKUP(D1176,'Location Table'!A:C,2,false),"")</f>
        <v>12689eae-9747-11ee-b1f9-506b8d9879b5</v>
      </c>
      <c r="B1176" s="5" t="str">
        <f>IFNA(VLOOKUP(F1176,Driver!A:C,2,false),"")</f>
        <v>f5993946-37cf-11ed-a3fc-506b8dbc8dfb</v>
      </c>
      <c r="C1176" s="5" t="str">
        <f>IFNA(VLOOKUP(E1176,'Location Table'!A:C,2,false),"")</f>
        <v/>
      </c>
      <c r="D1176" s="6" t="s">
        <v>99</v>
      </c>
      <c r="E1176" s="6"/>
      <c r="F1176" s="6" t="s">
        <v>314</v>
      </c>
      <c r="G1176" s="7" t="str">
        <f>IFNA(VLOOKUP(F1176,Driver!A:D,4,false),"")</f>
        <v/>
      </c>
      <c r="H1176" s="8" t="str">
        <f>IFNA(VLOOKUP(F1176,Driver!A:C,3,false),"")</f>
        <v/>
      </c>
      <c r="I1176" s="9">
        <v>0.6875</v>
      </c>
      <c r="J1176" s="9">
        <v>0.875</v>
      </c>
      <c r="K1176" s="9"/>
    </row>
    <row r="1177" hidden="1">
      <c r="A1177" s="5" t="str">
        <f>IFNA(VLOOKUP(D1177,'Location Table'!A:C,2,false),"")</f>
        <v>88aab068-7abc-11ee-bf4b-506b8d9879b5</v>
      </c>
      <c r="B1177" s="5" t="str">
        <f>IFNA(VLOOKUP(F1177,Driver!A:C,2,false),"")</f>
        <v>f5993946-37cf-11ed-a3fc-506b8dbc8dfb</v>
      </c>
      <c r="C1177" s="5" t="str">
        <f>IFNA(VLOOKUP(E1177,'Location Table'!A:C,2,false),"")</f>
        <v/>
      </c>
      <c r="D1177" s="6" t="s">
        <v>100</v>
      </c>
      <c r="E1177" s="6"/>
      <c r="F1177" s="6" t="s">
        <v>314</v>
      </c>
      <c r="G1177" s="7" t="str">
        <f>IFNA(VLOOKUP(F1177,Driver!A:D,4,false),"")</f>
        <v/>
      </c>
      <c r="H1177" s="8" t="str">
        <f>IFNA(VLOOKUP(F1177,Driver!A:C,3,false),"")</f>
        <v/>
      </c>
      <c r="I1177" s="9">
        <v>0.6875</v>
      </c>
      <c r="J1177" s="9">
        <v>0.875</v>
      </c>
      <c r="K1177" s="9"/>
    </row>
    <row r="1178" hidden="1">
      <c r="A1178" s="5" t="str">
        <f>IFNA(VLOOKUP(D1178,'Location Table'!A:C,2,false),"")</f>
        <v>816c5ca4-466c-11ee-b7bb-506b8d9879b5</v>
      </c>
      <c r="B1178" s="5" t="str">
        <f>IFNA(VLOOKUP(F1178,Driver!A:C,2,false),"")</f>
        <v>f5993946-37cf-11ed-a3fc-506b8dbc8dfb</v>
      </c>
      <c r="C1178" s="5" t="str">
        <f>IFNA(VLOOKUP(E1178,'Location Table'!A:C,2,false),"")</f>
        <v/>
      </c>
      <c r="D1178" s="6" t="s">
        <v>101</v>
      </c>
      <c r="E1178" s="6"/>
      <c r="F1178" s="6" t="s">
        <v>314</v>
      </c>
      <c r="G1178" s="7" t="str">
        <f>IFNA(VLOOKUP(F1178,Driver!A:D,4,false),"")</f>
        <v/>
      </c>
      <c r="H1178" s="8" t="str">
        <f>IFNA(VLOOKUP(F1178,Driver!A:C,3,false),"")</f>
        <v/>
      </c>
      <c r="I1178" s="9">
        <v>0.6875</v>
      </c>
      <c r="J1178" s="9">
        <v>0.875</v>
      </c>
      <c r="K1178" s="9"/>
    </row>
    <row r="1179" hidden="1">
      <c r="A1179" s="5" t="str">
        <f>IFNA(VLOOKUP(D1179,'Location Table'!A:C,2,false),"")</f>
        <v>17cc53dc-ed78-11ed-967c-506b8dbc8dfb</v>
      </c>
      <c r="B1179" s="5" t="str">
        <f>IFNA(VLOOKUP(F1179,Driver!A:C,2,false),"")</f>
        <v>f5993946-37cf-11ed-a3fc-506b8dbc8dfb</v>
      </c>
      <c r="C1179" s="5" t="str">
        <f>IFNA(VLOOKUP(E1179,'Location Table'!A:C,2,false),"")</f>
        <v/>
      </c>
      <c r="D1179" s="6" t="s">
        <v>102</v>
      </c>
      <c r="E1179" s="6"/>
      <c r="F1179" s="6" t="s">
        <v>314</v>
      </c>
      <c r="G1179" s="7" t="str">
        <f>IFNA(VLOOKUP(F1179,Driver!A:D,4,false),"")</f>
        <v/>
      </c>
      <c r="H1179" s="8" t="str">
        <f>IFNA(VLOOKUP(F1179,Driver!A:C,3,false),"")</f>
        <v/>
      </c>
      <c r="I1179" s="9">
        <v>0.6875</v>
      </c>
      <c r="J1179" s="9">
        <v>0.875</v>
      </c>
      <c r="K1179" s="9"/>
    </row>
    <row r="1180" hidden="1">
      <c r="A1180" s="5" t="str">
        <f>IFNA(VLOOKUP(D1180,'Location Table'!A:C,2,false),"")</f>
        <v>8a9db336-9ebc-11f0-ae49-506b8d982279</v>
      </c>
      <c r="B1180" s="5" t="str">
        <f>IFNA(VLOOKUP(F1180,Driver!A:C,2,false),"")</f>
        <v>f5993946-37cf-11ed-a3fc-506b8dbc8dfb</v>
      </c>
      <c r="C1180" s="5" t="str">
        <f>IFNA(VLOOKUP(E1180,'Location Table'!A:C,2,false),"")</f>
        <v/>
      </c>
      <c r="D1180" s="6" t="s">
        <v>105</v>
      </c>
      <c r="E1180" s="6"/>
      <c r="F1180" s="6" t="s">
        <v>314</v>
      </c>
      <c r="G1180" s="7" t="str">
        <f>IFNA(VLOOKUP(F1180,Driver!A:D,4,false),"")</f>
        <v/>
      </c>
      <c r="H1180" s="8" t="str">
        <f>IFNA(VLOOKUP(F1180,Driver!A:C,3,false),"")</f>
        <v/>
      </c>
      <c r="I1180" s="9">
        <v>0.6875</v>
      </c>
      <c r="J1180" s="9">
        <v>0.875</v>
      </c>
      <c r="K1180" s="9"/>
    </row>
    <row r="1181" hidden="1">
      <c r="A1181" s="5" t="str">
        <f>IFNA(VLOOKUP(D1181,'Location Table'!A:C,2,false),"")</f>
        <v>0b4579c2-06be-11ee-8510-506b8dbc8dfb</v>
      </c>
      <c r="B1181" s="5" t="str">
        <f>IFNA(VLOOKUP(F1181,Driver!A:C,2,false),"")</f>
        <v>f5993946-37cf-11ed-a3fc-506b8dbc8dfb</v>
      </c>
      <c r="C1181" s="5" t="str">
        <f>IFNA(VLOOKUP(E1181,'Location Table'!A:C,2,false),"")</f>
        <v/>
      </c>
      <c r="D1181" s="6" t="s">
        <v>106</v>
      </c>
      <c r="E1181" s="6"/>
      <c r="F1181" s="6" t="s">
        <v>314</v>
      </c>
      <c r="G1181" s="7" t="str">
        <f>IFNA(VLOOKUP(F1181,Driver!A:D,4,false),"")</f>
        <v/>
      </c>
      <c r="H1181" s="8" t="str">
        <f>IFNA(VLOOKUP(F1181,Driver!A:C,3,false),"")</f>
        <v/>
      </c>
      <c r="I1181" s="9">
        <v>0.6875</v>
      </c>
      <c r="J1181" s="9">
        <v>0.875</v>
      </c>
      <c r="K1181" s="9"/>
    </row>
    <row r="1182" hidden="1">
      <c r="A1182" s="5" t="str">
        <f>IFNA(VLOOKUP(D1182,'Location Table'!A:C,2,false),"")</f>
        <v>e3a57076-1d4b-11ee-a7b2-506b8d9879b5</v>
      </c>
      <c r="B1182" s="5" t="str">
        <f>IFNA(VLOOKUP(F1182,Driver!A:C,2,false),"")</f>
        <v>f5993946-37cf-11ed-a3fc-506b8dbc8dfb</v>
      </c>
      <c r="C1182" s="5" t="str">
        <f>IFNA(VLOOKUP(E1182,'Location Table'!A:C,2,false),"")</f>
        <v/>
      </c>
      <c r="D1182" s="6" t="s">
        <v>107</v>
      </c>
      <c r="E1182" s="6"/>
      <c r="F1182" s="6" t="s">
        <v>314</v>
      </c>
      <c r="G1182" s="7" t="str">
        <f>IFNA(VLOOKUP(F1182,Driver!A:D,4,false),"")</f>
        <v/>
      </c>
      <c r="H1182" s="8" t="str">
        <f>IFNA(VLOOKUP(F1182,Driver!A:C,3,false),"")</f>
        <v/>
      </c>
      <c r="I1182" s="9">
        <v>0.6875</v>
      </c>
      <c r="J1182" s="9">
        <v>0.875</v>
      </c>
      <c r="K1182" s="9"/>
    </row>
    <row r="1183" hidden="1">
      <c r="A1183" s="5" t="str">
        <f>IFNA(VLOOKUP(D1183,'Location Table'!A:C,2,false),"")</f>
        <v>17d9c24c-3012-11ee-ba36-506b8d9879b5</v>
      </c>
      <c r="B1183" s="5" t="str">
        <f>IFNA(VLOOKUP(F1183,Driver!A:C,2,false),"")</f>
        <v>f5993946-37cf-11ed-a3fc-506b8dbc8dfb</v>
      </c>
      <c r="C1183" s="5" t="str">
        <f>IFNA(VLOOKUP(E1183,'Location Table'!A:C,2,false),"")</f>
        <v/>
      </c>
      <c r="D1183" s="6" t="s">
        <v>108</v>
      </c>
      <c r="E1183" s="6"/>
      <c r="F1183" s="6" t="s">
        <v>314</v>
      </c>
      <c r="G1183" s="7" t="str">
        <f>IFNA(VLOOKUP(F1183,Driver!A:D,4,false),"")</f>
        <v/>
      </c>
      <c r="H1183" s="8" t="str">
        <f>IFNA(VLOOKUP(F1183,Driver!A:C,3,false),"")</f>
        <v/>
      </c>
      <c r="I1183" s="9">
        <v>0.6875</v>
      </c>
      <c r="J1183" s="9">
        <v>0.875</v>
      </c>
      <c r="K1183" s="9"/>
    </row>
    <row r="1184" hidden="1">
      <c r="A1184" s="5" t="str">
        <f>IFNA(VLOOKUP(D1184,'Location Table'!A:C,2,false),"")</f>
        <v>a81ad386-1513-11f0-bef8-506b8d982279</v>
      </c>
      <c r="B1184" s="5" t="str">
        <f>IFNA(VLOOKUP(F1184,Driver!A:C,2,false),"")</f>
        <v>f5993946-37cf-11ed-a3fc-506b8dbc8dfb</v>
      </c>
      <c r="C1184" s="5" t="str">
        <f>IFNA(VLOOKUP(E1184,'Location Table'!A:C,2,false),"")</f>
        <v/>
      </c>
      <c r="D1184" s="6" t="s">
        <v>113</v>
      </c>
      <c r="E1184" s="6"/>
      <c r="F1184" s="6" t="s">
        <v>314</v>
      </c>
      <c r="G1184" s="7" t="str">
        <f>IFNA(VLOOKUP(F1184,Driver!A:D,4,false),"")</f>
        <v/>
      </c>
      <c r="H1184" s="8" t="str">
        <f>IFNA(VLOOKUP(F1184,Driver!A:C,3,false),"")</f>
        <v/>
      </c>
      <c r="I1184" s="9">
        <v>0.6875</v>
      </c>
      <c r="J1184" s="9">
        <v>0.875</v>
      </c>
      <c r="K1184" s="9"/>
    </row>
    <row r="1185" hidden="1">
      <c r="A1185" s="5" t="str">
        <f>IFNA(VLOOKUP(D1185,'Location Table'!A:C,2,false),"")</f>
        <v>bb1d17a2-f55f-11ee-97e3-506b8d9879b5</v>
      </c>
      <c r="B1185" s="5" t="str">
        <f>IFNA(VLOOKUP(F1185,Driver!A:C,2,false),"")</f>
        <v>f5993946-37cf-11ed-a3fc-506b8dbc8dfb</v>
      </c>
      <c r="C1185" s="5" t="str">
        <f>IFNA(VLOOKUP(E1185,'Location Table'!A:C,2,false),"")</f>
        <v/>
      </c>
      <c r="D1185" s="6" t="s">
        <v>114</v>
      </c>
      <c r="E1185" s="6"/>
      <c r="F1185" s="6" t="s">
        <v>314</v>
      </c>
      <c r="G1185" s="7" t="str">
        <f>IFNA(VLOOKUP(F1185,Driver!A:D,4,false),"")</f>
        <v/>
      </c>
      <c r="H1185" s="8" t="str">
        <f>IFNA(VLOOKUP(F1185,Driver!A:C,3,false),"")</f>
        <v/>
      </c>
      <c r="I1185" s="9">
        <v>0.6875</v>
      </c>
      <c r="J1185" s="9">
        <v>0.875</v>
      </c>
      <c r="K1185" s="9"/>
    </row>
    <row r="1186" hidden="1">
      <c r="A1186" s="5" t="str">
        <f>IFNA(VLOOKUP(D1186,'Location Table'!A:C,2,false),"")</f>
        <v>6d7bd3da-27a0-11ef-bc8c-506b8d9879b5</v>
      </c>
      <c r="B1186" s="5" t="str">
        <f>IFNA(VLOOKUP(F1186,Driver!A:C,2,false),"")</f>
        <v>f5993946-37cf-11ed-a3fc-506b8dbc8dfb</v>
      </c>
      <c r="C1186" s="5" t="str">
        <f>IFNA(VLOOKUP(E1186,'Location Table'!A:C,2,false),"")</f>
        <v/>
      </c>
      <c r="D1186" s="6" t="s">
        <v>116</v>
      </c>
      <c r="E1186" s="6"/>
      <c r="F1186" s="6" t="s">
        <v>314</v>
      </c>
      <c r="G1186" s="7" t="str">
        <f>IFNA(VLOOKUP(F1186,Driver!A:D,4,false),"")</f>
        <v/>
      </c>
      <c r="H1186" s="8" t="str">
        <f>IFNA(VLOOKUP(F1186,Driver!A:C,3,false),"")</f>
        <v/>
      </c>
      <c r="I1186" s="9">
        <v>0.6875</v>
      </c>
      <c r="J1186" s="9">
        <v>0.875</v>
      </c>
      <c r="K1186" s="9"/>
    </row>
    <row r="1187" hidden="1">
      <c r="A1187" s="5" t="str">
        <f>IFNA(VLOOKUP(D1187,'Location Table'!A:C,2,false),"")</f>
        <v>d856507a-1cad-11ef-8762-506b8d9879b5</v>
      </c>
      <c r="B1187" s="5" t="str">
        <f>IFNA(VLOOKUP(F1187,Driver!A:C,2,false),"")</f>
        <v>f5993946-37cf-11ed-a3fc-506b8dbc8dfb</v>
      </c>
      <c r="C1187" s="5" t="str">
        <f>IFNA(VLOOKUP(E1187,'Location Table'!A:C,2,false),"")</f>
        <v/>
      </c>
      <c r="D1187" s="6" t="s">
        <v>117</v>
      </c>
      <c r="E1187" s="6"/>
      <c r="F1187" s="6" t="s">
        <v>314</v>
      </c>
      <c r="G1187" s="7" t="str">
        <f>IFNA(VLOOKUP(F1187,Driver!A:D,4,false),"")</f>
        <v/>
      </c>
      <c r="H1187" s="8" t="str">
        <f>IFNA(VLOOKUP(F1187,Driver!A:C,3,false),"")</f>
        <v/>
      </c>
      <c r="I1187" s="9">
        <v>0.6875</v>
      </c>
      <c r="J1187" s="9">
        <v>0.875</v>
      </c>
      <c r="K1187" s="9"/>
    </row>
    <row r="1188" hidden="1">
      <c r="A1188" s="5" t="str">
        <f>IFNA(VLOOKUP(D1188,'Location Table'!A:C,2,false),"")</f>
        <v>c0b8b0b6-248c-11ef-87be-506b8d9879b5</v>
      </c>
      <c r="B1188" s="5" t="str">
        <f>IFNA(VLOOKUP(F1188,Driver!A:C,2,false),"")</f>
        <v>f5993946-37cf-11ed-a3fc-506b8dbc8dfb</v>
      </c>
      <c r="C1188" s="5" t="str">
        <f>IFNA(VLOOKUP(E1188,'Location Table'!A:C,2,false),"")</f>
        <v/>
      </c>
      <c r="D1188" s="6" t="s">
        <v>118</v>
      </c>
      <c r="E1188" s="6"/>
      <c r="F1188" s="6" t="s">
        <v>314</v>
      </c>
      <c r="G1188" s="7" t="str">
        <f>IFNA(VLOOKUP(F1188,Driver!A:D,4,false),"")</f>
        <v/>
      </c>
      <c r="H1188" s="8" t="str">
        <f>IFNA(VLOOKUP(F1188,Driver!A:C,3,false),"")</f>
        <v/>
      </c>
      <c r="I1188" s="9">
        <v>0.6875</v>
      </c>
      <c r="J1188" s="9">
        <v>0.875</v>
      </c>
      <c r="K1188" s="9"/>
    </row>
    <row r="1189" hidden="1">
      <c r="A1189" s="5" t="str">
        <f>IFNA(VLOOKUP(D1189,'Location Table'!A:C,2,false),"")</f>
        <v>f8781c90-7580-11ef-964d-506b8d9879b5</v>
      </c>
      <c r="B1189" s="5" t="str">
        <f>IFNA(VLOOKUP(F1189,Driver!A:C,2,false),"")</f>
        <v>f5993946-37cf-11ed-a3fc-506b8dbc8dfb</v>
      </c>
      <c r="C1189" s="5" t="str">
        <f>IFNA(VLOOKUP(E1189,'Location Table'!A:C,2,false),"")</f>
        <v/>
      </c>
      <c r="D1189" s="6" t="s">
        <v>119</v>
      </c>
      <c r="E1189" s="6"/>
      <c r="F1189" s="6" t="s">
        <v>314</v>
      </c>
      <c r="G1189" s="7" t="str">
        <f>IFNA(VLOOKUP(F1189,Driver!A:D,4,false),"")</f>
        <v/>
      </c>
      <c r="H1189" s="8" t="str">
        <f>IFNA(VLOOKUP(F1189,Driver!A:C,3,false),"")</f>
        <v/>
      </c>
      <c r="I1189" s="9">
        <v>0.6875</v>
      </c>
      <c r="J1189" s="9">
        <v>0.875</v>
      </c>
      <c r="K1189" s="9"/>
    </row>
    <row r="1190" hidden="1">
      <c r="A1190" s="5" t="str">
        <f>IFNA(VLOOKUP(D1190,'Location Table'!A:C,2,false),"")</f>
        <v>3cf31c56-e0e6-11ee-a911-506b8d9879b5</v>
      </c>
      <c r="B1190" s="5" t="str">
        <f>IFNA(VLOOKUP(F1190,Driver!A:C,2,false),"")</f>
        <v>f5993946-37cf-11ed-a3fc-506b8dbc8dfb</v>
      </c>
      <c r="C1190" s="5" t="str">
        <f>IFNA(VLOOKUP(E1190,'Location Table'!A:C,2,false),"")</f>
        <v/>
      </c>
      <c r="D1190" s="6" t="s">
        <v>120</v>
      </c>
      <c r="E1190" s="6"/>
      <c r="F1190" s="6" t="s">
        <v>314</v>
      </c>
      <c r="G1190" s="7" t="str">
        <f>IFNA(VLOOKUP(F1190,Driver!A:D,4,false),"")</f>
        <v/>
      </c>
      <c r="H1190" s="8" t="str">
        <f>IFNA(VLOOKUP(F1190,Driver!A:C,3,false),"")</f>
        <v/>
      </c>
      <c r="I1190" s="9">
        <v>0.6875</v>
      </c>
      <c r="J1190" s="9">
        <v>0.875</v>
      </c>
      <c r="K1190" s="9"/>
    </row>
    <row r="1191" hidden="1">
      <c r="A1191" s="5" t="str">
        <f>IFNA(VLOOKUP(D1191,'Location Table'!A:C,2,false),"")</f>
        <v>61c50a76-8f78-11ef-bc55-506b8d9879b5</v>
      </c>
      <c r="B1191" s="5" t="str">
        <f>IFNA(VLOOKUP(F1191,Driver!A:C,2,false),"")</f>
        <v>f5993946-37cf-11ed-a3fc-506b8dbc8dfb</v>
      </c>
      <c r="C1191" s="5" t="str">
        <f>IFNA(VLOOKUP(E1191,'Location Table'!A:C,2,false),"")</f>
        <v/>
      </c>
      <c r="D1191" s="6" t="s">
        <v>121</v>
      </c>
      <c r="E1191" s="6"/>
      <c r="F1191" s="6" t="s">
        <v>314</v>
      </c>
      <c r="G1191" s="7" t="str">
        <f>IFNA(VLOOKUP(F1191,Driver!A:D,4,false),"")</f>
        <v/>
      </c>
      <c r="H1191" s="8" t="str">
        <f>IFNA(VLOOKUP(F1191,Driver!A:C,3,false),"")</f>
        <v/>
      </c>
      <c r="I1191" s="9">
        <v>0.6875</v>
      </c>
      <c r="J1191" s="9">
        <v>0.875</v>
      </c>
      <c r="K1191" s="9"/>
    </row>
    <row r="1192" hidden="1">
      <c r="A1192" s="5" t="str">
        <f>IFNA(VLOOKUP(D1192,'Location Table'!A:C,2,false),"")</f>
        <v>5e35af64-380d-11ee-92f9-506b8d9879b5</v>
      </c>
      <c r="B1192" s="5" t="str">
        <f>IFNA(VLOOKUP(F1192,Driver!A:C,2,false),"")</f>
        <v>f5993946-37cf-11ed-a3fc-506b8dbc8dfb</v>
      </c>
      <c r="C1192" s="5" t="str">
        <f>IFNA(VLOOKUP(E1192,'Location Table'!A:C,2,false),"")</f>
        <v/>
      </c>
      <c r="D1192" s="6" t="s">
        <v>122</v>
      </c>
      <c r="E1192" s="6"/>
      <c r="F1192" s="6" t="s">
        <v>314</v>
      </c>
      <c r="G1192" s="7" t="str">
        <f>IFNA(VLOOKUP(F1192,Driver!A:D,4,false),"")</f>
        <v/>
      </c>
      <c r="H1192" s="8" t="str">
        <f>IFNA(VLOOKUP(F1192,Driver!A:C,3,false),"")</f>
        <v/>
      </c>
      <c r="I1192" s="9">
        <v>0.6875</v>
      </c>
      <c r="J1192" s="9">
        <v>0.875</v>
      </c>
      <c r="K1192" s="9"/>
    </row>
    <row r="1193" hidden="1">
      <c r="A1193" s="5" t="str">
        <f>IFNA(VLOOKUP(D1193,'Location Table'!A:C,2,false),"")</f>
        <v>a0f06ff8-4626-11ed-913e-506b8dbc8dfb</v>
      </c>
      <c r="B1193" s="5" t="str">
        <f>IFNA(VLOOKUP(F1193,Driver!A:C,2,false),"")</f>
        <v>f5993946-37cf-11ed-a3fc-506b8dbc8dfb</v>
      </c>
      <c r="C1193" s="5" t="str">
        <f>IFNA(VLOOKUP(E1193,'Location Table'!A:C,2,false),"")</f>
        <v/>
      </c>
      <c r="D1193" s="6" t="s">
        <v>123</v>
      </c>
      <c r="E1193" s="6"/>
      <c r="F1193" s="6" t="s">
        <v>314</v>
      </c>
      <c r="G1193" s="7" t="str">
        <f>IFNA(VLOOKUP(F1193,Driver!A:D,4,false),"")</f>
        <v/>
      </c>
      <c r="H1193" s="8" t="str">
        <f>IFNA(VLOOKUP(F1193,Driver!A:C,3,false),"")</f>
        <v/>
      </c>
      <c r="I1193" s="9">
        <v>0.6875</v>
      </c>
      <c r="J1193" s="9">
        <v>0.875</v>
      </c>
      <c r="K1193" s="9"/>
    </row>
    <row r="1194" hidden="1">
      <c r="A1194" s="5" t="str">
        <f>IFNA(VLOOKUP(D1194,'Location Table'!A:C,2,false),"")</f>
        <v>e6d1a2b4-56c6-11ef-a12a-506b8d9879b5</v>
      </c>
      <c r="B1194" s="5" t="str">
        <f>IFNA(VLOOKUP(F1194,Driver!A:C,2,false),"")</f>
        <v>f5993946-37cf-11ed-a3fc-506b8dbc8dfb</v>
      </c>
      <c r="C1194" s="5" t="str">
        <f>IFNA(VLOOKUP(E1194,'Location Table'!A:C,2,false),"")</f>
        <v/>
      </c>
      <c r="D1194" s="6" t="s">
        <v>124</v>
      </c>
      <c r="E1194" s="6"/>
      <c r="F1194" s="6" t="s">
        <v>314</v>
      </c>
      <c r="G1194" s="7" t="str">
        <f>IFNA(VLOOKUP(F1194,Driver!A:D,4,false),"")</f>
        <v/>
      </c>
      <c r="H1194" s="8" t="str">
        <f>IFNA(VLOOKUP(F1194,Driver!A:C,3,false),"")</f>
        <v/>
      </c>
      <c r="I1194" s="9">
        <v>0.6875</v>
      </c>
      <c r="J1194" s="9">
        <v>0.875</v>
      </c>
      <c r="K1194" s="9"/>
    </row>
    <row r="1195" hidden="1">
      <c r="A1195" s="5" t="str">
        <f>IFNA(VLOOKUP(D1195,'Location Table'!A:C,2,false),"")</f>
        <v>eb68666c-a592-11ef-b072-506b8d9879b5</v>
      </c>
      <c r="B1195" s="5" t="str">
        <f>IFNA(VLOOKUP(F1195,Driver!A:C,2,false),"")</f>
        <v>f5993946-37cf-11ed-a3fc-506b8dbc8dfb</v>
      </c>
      <c r="C1195" s="5" t="str">
        <f>IFNA(VLOOKUP(E1195,'Location Table'!A:C,2,false),"")</f>
        <v/>
      </c>
      <c r="D1195" s="6" t="s">
        <v>125</v>
      </c>
      <c r="E1195" s="6"/>
      <c r="F1195" s="6" t="s">
        <v>314</v>
      </c>
      <c r="G1195" s="7" t="str">
        <f>IFNA(VLOOKUP(F1195,Driver!A:D,4,false),"")</f>
        <v/>
      </c>
      <c r="H1195" s="8" t="str">
        <f>IFNA(VLOOKUP(F1195,Driver!A:C,3,false),"")</f>
        <v/>
      </c>
      <c r="I1195" s="9">
        <v>0.6875</v>
      </c>
      <c r="J1195" s="9">
        <v>0.875</v>
      </c>
      <c r="K1195" s="9"/>
    </row>
    <row r="1196" hidden="1">
      <c r="A1196" s="5" t="str">
        <f>IFNA(VLOOKUP(D1196,'Location Table'!A:C,2,false),"")</f>
        <v>ebe315f8-79a2-11f0-ba44-506b8d982279</v>
      </c>
      <c r="B1196" s="5" t="str">
        <f>IFNA(VLOOKUP(F1196,Driver!A:C,2,false),"")</f>
        <v>f5993946-37cf-11ed-a3fc-506b8dbc8dfb</v>
      </c>
      <c r="C1196" s="5" t="str">
        <f>IFNA(VLOOKUP(E1196,'Location Table'!A:C,2,false),"")</f>
        <v/>
      </c>
      <c r="D1196" s="6" t="s">
        <v>133</v>
      </c>
      <c r="E1196" s="6"/>
      <c r="F1196" s="6" t="s">
        <v>314</v>
      </c>
      <c r="G1196" s="7" t="str">
        <f>IFNA(VLOOKUP(F1196,Driver!A:D,4,false),"")</f>
        <v/>
      </c>
      <c r="H1196" s="8" t="str">
        <f>IFNA(VLOOKUP(F1196,Driver!A:C,3,false),"")</f>
        <v/>
      </c>
      <c r="I1196" s="9">
        <v>0.6875</v>
      </c>
      <c r="J1196" s="9">
        <v>0.875</v>
      </c>
      <c r="K1196" s="9"/>
    </row>
    <row r="1197" hidden="1">
      <c r="A1197" s="5" t="str">
        <f>IFNA(VLOOKUP(D1197,'Location Table'!A:C,2,false),"")</f>
        <v>cb81ff40-cf79-11f0-ae64-506b8d982279</v>
      </c>
      <c r="B1197" s="5" t="str">
        <f>IFNA(VLOOKUP(F1197,Driver!A:C,2,false),"")</f>
        <v>f5993946-37cf-11ed-a3fc-506b8dbc8dfb</v>
      </c>
      <c r="C1197" s="5" t="str">
        <f>IFNA(VLOOKUP(E1197,'Location Table'!A:C,2,false),"")</f>
        <v/>
      </c>
      <c r="D1197" s="6" t="s">
        <v>134</v>
      </c>
      <c r="E1197" s="6"/>
      <c r="F1197" s="6" t="s">
        <v>314</v>
      </c>
      <c r="G1197" s="7" t="str">
        <f>IFNA(VLOOKUP(F1197,Driver!A:D,4,false),"")</f>
        <v/>
      </c>
      <c r="H1197" s="8" t="str">
        <f>IFNA(VLOOKUP(F1197,Driver!A:C,3,false),"")</f>
        <v/>
      </c>
      <c r="I1197" s="9">
        <v>0.6875</v>
      </c>
      <c r="J1197" s="9">
        <v>0.875</v>
      </c>
      <c r="K1197" s="9"/>
    </row>
    <row r="1198" hidden="1">
      <c r="A1198" s="5" t="str">
        <f>IFNA(VLOOKUP(D1198,'Location Table'!A:C,2,false),"")</f>
        <v>f255c942-4473-11ed-9f83-506b8dbc8dfb</v>
      </c>
      <c r="B1198" s="5" t="str">
        <f>IFNA(VLOOKUP(F1198,Driver!A:C,2,false),"")</f>
        <v>f5993946-37cf-11ed-a3fc-506b8dbc8dfb</v>
      </c>
      <c r="C1198" s="5" t="str">
        <f>IFNA(VLOOKUP(E1198,'Location Table'!A:C,2,false),"")</f>
        <v/>
      </c>
      <c r="D1198" s="6" t="s">
        <v>135</v>
      </c>
      <c r="E1198" s="6"/>
      <c r="F1198" s="6" t="s">
        <v>314</v>
      </c>
      <c r="G1198" s="7" t="str">
        <f>IFNA(VLOOKUP(F1198,Driver!A:D,4,false),"")</f>
        <v/>
      </c>
      <c r="H1198" s="8" t="str">
        <f>IFNA(VLOOKUP(F1198,Driver!A:C,3,false),"")</f>
        <v/>
      </c>
      <c r="I1198" s="9">
        <v>0.6875</v>
      </c>
      <c r="J1198" s="9">
        <v>0.875</v>
      </c>
      <c r="K1198" s="9"/>
    </row>
    <row r="1199" hidden="1">
      <c r="A1199" s="5" t="str">
        <f>IFNA(VLOOKUP(D1199,'Location Table'!A:C,2,false),"")</f>
        <v>4ea75656-11c0-11ee-8562-506b8dbc8dfb</v>
      </c>
      <c r="B1199" s="5" t="str">
        <f>IFNA(VLOOKUP(F1199,Driver!A:C,2,false),"")</f>
        <v>f5993946-37cf-11ed-a3fc-506b8dbc8dfb</v>
      </c>
      <c r="C1199" s="5" t="str">
        <f>IFNA(VLOOKUP(E1199,'Location Table'!A:C,2,false),"")</f>
        <v/>
      </c>
      <c r="D1199" s="6" t="s">
        <v>136</v>
      </c>
      <c r="E1199" s="6"/>
      <c r="F1199" s="6" t="s">
        <v>314</v>
      </c>
      <c r="G1199" s="7" t="str">
        <f>IFNA(VLOOKUP(F1199,Driver!A:D,4,false),"")</f>
        <v/>
      </c>
      <c r="H1199" s="8" t="str">
        <f>IFNA(VLOOKUP(F1199,Driver!A:C,3,false),"")</f>
        <v/>
      </c>
      <c r="I1199" s="9">
        <v>0.6875</v>
      </c>
      <c r="J1199" s="9">
        <v>0.875</v>
      </c>
      <c r="K1199" s="9"/>
    </row>
    <row r="1200" hidden="1">
      <c r="A1200" s="5" t="str">
        <f>IFNA(VLOOKUP(D1200,'Location Table'!A:C,2,false),"")</f>
        <v>74412442-0b75-11ee-b2f4-506b8dbc8dfb</v>
      </c>
      <c r="B1200" s="5" t="str">
        <f>IFNA(VLOOKUP(F1200,Driver!A:C,2,false),"")</f>
        <v>f5993946-37cf-11ed-a3fc-506b8dbc8dfb</v>
      </c>
      <c r="C1200" s="5" t="str">
        <f>IFNA(VLOOKUP(E1200,'Location Table'!A:C,2,false),"")</f>
        <v/>
      </c>
      <c r="D1200" s="6" t="s">
        <v>137</v>
      </c>
      <c r="E1200" s="6"/>
      <c r="F1200" s="6" t="s">
        <v>314</v>
      </c>
      <c r="G1200" s="7" t="str">
        <f>IFNA(VLOOKUP(F1200,Driver!A:D,4,false),"")</f>
        <v/>
      </c>
      <c r="H1200" s="8" t="str">
        <f>IFNA(VLOOKUP(F1200,Driver!A:C,3,false),"")</f>
        <v/>
      </c>
      <c r="I1200" s="9">
        <v>0.6875</v>
      </c>
      <c r="J1200" s="9">
        <v>0.875</v>
      </c>
      <c r="K1200" s="9"/>
    </row>
    <row r="1201" hidden="1">
      <c r="A1201" s="5" t="str">
        <f>IFNA(VLOOKUP(D1201,'Location Table'!A:C,2,false),"")</f>
        <v>839d5112-8bff-11ee-bbac-506b8d9879b5</v>
      </c>
      <c r="B1201" s="5" t="str">
        <f>IFNA(VLOOKUP(F1201,Driver!A:C,2,false),"")</f>
        <v>f5993946-37cf-11ed-a3fc-506b8dbc8dfb</v>
      </c>
      <c r="C1201" s="5" t="str">
        <f>IFNA(VLOOKUP(E1201,'Location Table'!A:C,2,false),"")</f>
        <v/>
      </c>
      <c r="D1201" s="6" t="s">
        <v>138</v>
      </c>
      <c r="E1201" s="6"/>
      <c r="F1201" s="6" t="s">
        <v>314</v>
      </c>
      <c r="G1201" s="7" t="str">
        <f>IFNA(VLOOKUP(F1201,Driver!A:D,4,false),"")</f>
        <v/>
      </c>
      <c r="H1201" s="8" t="str">
        <f>IFNA(VLOOKUP(F1201,Driver!A:C,3,false),"")</f>
        <v/>
      </c>
      <c r="I1201" s="9">
        <v>0.6875</v>
      </c>
      <c r="J1201" s="9">
        <v>0.875</v>
      </c>
      <c r="K1201" s="9"/>
    </row>
    <row r="1202" hidden="1">
      <c r="A1202" s="5" t="str">
        <f>IFNA(VLOOKUP(D1202,'Location Table'!A:C,2,false),"")</f>
        <v>44b4b038-2ca6-11ef-b9dd-506b8d9879b5</v>
      </c>
      <c r="B1202" s="5" t="str">
        <f>IFNA(VLOOKUP(F1202,Driver!A:C,2,false),"")</f>
        <v>f5993946-37cf-11ed-a3fc-506b8dbc8dfb</v>
      </c>
      <c r="C1202" s="5" t="str">
        <f>IFNA(VLOOKUP(E1202,'Location Table'!A:C,2,false),"")</f>
        <v/>
      </c>
      <c r="D1202" s="6" t="s">
        <v>139</v>
      </c>
      <c r="E1202" s="6"/>
      <c r="F1202" s="6" t="s">
        <v>314</v>
      </c>
      <c r="G1202" s="7" t="str">
        <f>IFNA(VLOOKUP(F1202,Driver!A:D,4,false),"")</f>
        <v/>
      </c>
      <c r="H1202" s="8" t="str">
        <f>IFNA(VLOOKUP(F1202,Driver!A:C,3,false),"")</f>
        <v/>
      </c>
      <c r="I1202" s="9">
        <v>0.6875</v>
      </c>
      <c r="J1202" s="9">
        <v>0.875</v>
      </c>
      <c r="K1202" s="9"/>
    </row>
    <row r="1203" hidden="1">
      <c r="A1203" s="5" t="str">
        <f>IFNA(VLOOKUP(D1203,'Location Table'!A:C,2,false),"")</f>
        <v>0edfdc38-8346-11f0-a9c6-506b8d982279</v>
      </c>
      <c r="B1203" s="5" t="str">
        <f>IFNA(VLOOKUP(F1203,Driver!A:C,2,false),"")</f>
        <v>f5993946-37cf-11ed-a3fc-506b8dbc8dfb</v>
      </c>
      <c r="C1203" s="5" t="str">
        <f>IFNA(VLOOKUP(E1203,'Location Table'!A:C,2,false),"")</f>
        <v/>
      </c>
      <c r="D1203" s="6" t="s">
        <v>140</v>
      </c>
      <c r="E1203" s="6"/>
      <c r="F1203" s="6" t="s">
        <v>314</v>
      </c>
      <c r="G1203" s="7" t="str">
        <f>IFNA(VLOOKUP(F1203,Driver!A:D,4,false),"")</f>
        <v/>
      </c>
      <c r="H1203" s="8" t="str">
        <f>IFNA(VLOOKUP(F1203,Driver!A:C,3,false),"")</f>
        <v/>
      </c>
      <c r="I1203" s="9">
        <v>0.6875</v>
      </c>
      <c r="J1203" s="9">
        <v>0.875</v>
      </c>
      <c r="K1203" s="9"/>
    </row>
    <row r="1204" hidden="1">
      <c r="A1204" s="5" t="str">
        <f>IFNA(VLOOKUP(D1204,'Location Table'!A:C,2,false),"")</f>
        <v>92ee6dfe-8f78-11ef-a014-506b8d9879b5</v>
      </c>
      <c r="B1204" s="5" t="str">
        <f>IFNA(VLOOKUP(F1204,Driver!A:C,2,false),"")</f>
        <v>f5993946-37cf-11ed-a3fc-506b8dbc8dfb</v>
      </c>
      <c r="C1204" s="5" t="str">
        <f>IFNA(VLOOKUP(E1204,'Location Table'!A:C,2,false),"")</f>
        <v/>
      </c>
      <c r="D1204" s="6" t="s">
        <v>143</v>
      </c>
      <c r="E1204" s="6"/>
      <c r="F1204" s="6" t="s">
        <v>314</v>
      </c>
      <c r="G1204" s="7" t="str">
        <f>IFNA(VLOOKUP(F1204,Driver!A:D,4,false),"")</f>
        <v/>
      </c>
      <c r="H1204" s="8" t="str">
        <f>IFNA(VLOOKUP(F1204,Driver!A:C,3,false),"")</f>
        <v/>
      </c>
      <c r="I1204" s="9">
        <v>0.6875</v>
      </c>
      <c r="J1204" s="9">
        <v>0.875</v>
      </c>
      <c r="K1204" s="9"/>
    </row>
    <row r="1205" hidden="1">
      <c r="A1205" s="5" t="str">
        <f>IFNA(VLOOKUP(D1205,'Location Table'!A:C,2,false),"")</f>
        <v>311a9ec8-4bf6-11f0-a1cc-506b8d982279</v>
      </c>
      <c r="B1205" s="5" t="str">
        <f>IFNA(VLOOKUP(F1205,Driver!A:C,2,false),"")</f>
        <v>f5993946-37cf-11ed-a3fc-506b8dbc8dfb</v>
      </c>
      <c r="C1205" s="5" t="str">
        <f>IFNA(VLOOKUP(E1205,'Location Table'!A:C,2,false),"")</f>
        <v/>
      </c>
      <c r="D1205" s="6" t="s">
        <v>144</v>
      </c>
      <c r="E1205" s="6"/>
      <c r="F1205" s="6" t="s">
        <v>314</v>
      </c>
      <c r="G1205" s="7" t="str">
        <f>IFNA(VLOOKUP(F1205,Driver!A:D,4,false),"")</f>
        <v/>
      </c>
      <c r="H1205" s="8" t="str">
        <f>IFNA(VLOOKUP(F1205,Driver!A:C,3,false),"")</f>
        <v/>
      </c>
      <c r="I1205" s="9">
        <v>0.6875</v>
      </c>
      <c r="J1205" s="9">
        <v>0.875</v>
      </c>
      <c r="K1205" s="9"/>
    </row>
    <row r="1206" hidden="1">
      <c r="A1206" s="5" t="str">
        <f>IFNA(VLOOKUP(D1206,'Location Table'!A:C,2,false),"")</f>
        <v>87e34800-4621-11ed-8bd3-506b8dbc8dfb</v>
      </c>
      <c r="B1206" s="5" t="str">
        <f>IFNA(VLOOKUP(F1206,Driver!A:C,2,false),"")</f>
        <v>f5993946-37cf-11ed-a3fc-506b8dbc8dfb</v>
      </c>
      <c r="C1206" s="5" t="str">
        <f>IFNA(VLOOKUP(E1206,'Location Table'!A:C,2,false),"")</f>
        <v/>
      </c>
      <c r="D1206" s="6" t="s">
        <v>145</v>
      </c>
      <c r="E1206" s="6"/>
      <c r="F1206" s="6" t="s">
        <v>314</v>
      </c>
      <c r="G1206" s="7" t="str">
        <f>IFNA(VLOOKUP(F1206,Driver!A:D,4,false),"")</f>
        <v/>
      </c>
      <c r="H1206" s="8" t="str">
        <f>IFNA(VLOOKUP(F1206,Driver!A:C,3,false),"")</f>
        <v/>
      </c>
      <c r="I1206" s="9">
        <v>0.6875</v>
      </c>
      <c r="J1206" s="9">
        <v>0.875</v>
      </c>
      <c r="K1206" s="9"/>
    </row>
    <row r="1207" hidden="1">
      <c r="A1207" s="5" t="str">
        <f>IFNA(VLOOKUP(D1207,'Location Table'!A:C,2,false),"")</f>
        <v>619c943a-4621-11ed-a633-506b8dbc8dfb</v>
      </c>
      <c r="B1207" s="5" t="str">
        <f>IFNA(VLOOKUP(F1207,Driver!A:C,2,false),"")</f>
        <v>f5993946-37cf-11ed-a3fc-506b8dbc8dfb</v>
      </c>
      <c r="C1207" s="5" t="str">
        <f>IFNA(VLOOKUP(E1207,'Location Table'!A:C,2,false),"")</f>
        <v/>
      </c>
      <c r="D1207" s="6" t="s">
        <v>146</v>
      </c>
      <c r="E1207" s="6"/>
      <c r="F1207" s="6" t="s">
        <v>314</v>
      </c>
      <c r="G1207" s="7" t="str">
        <f>IFNA(VLOOKUP(F1207,Driver!A:D,4,false),"")</f>
        <v/>
      </c>
      <c r="H1207" s="8" t="str">
        <f>IFNA(VLOOKUP(F1207,Driver!A:C,3,false),"")</f>
        <v/>
      </c>
      <c r="I1207" s="9">
        <v>0.6875</v>
      </c>
      <c r="J1207" s="9">
        <v>0.875</v>
      </c>
      <c r="K1207" s="9"/>
    </row>
    <row r="1208" hidden="1">
      <c r="A1208" s="5" t="str">
        <f>IFNA(VLOOKUP(D1208,'Location Table'!A:C,2,false),"")</f>
        <v>6173b692-9421-11ee-8e63-506b8d9879b5</v>
      </c>
      <c r="B1208" s="5" t="str">
        <f>IFNA(VLOOKUP(F1208,Driver!A:C,2,false),"")</f>
        <v>f5993946-37cf-11ed-a3fc-506b8dbc8dfb</v>
      </c>
      <c r="C1208" s="5" t="str">
        <f>IFNA(VLOOKUP(E1208,'Location Table'!A:C,2,false),"")</f>
        <v/>
      </c>
      <c r="D1208" s="6" t="s">
        <v>147</v>
      </c>
      <c r="E1208" s="6"/>
      <c r="F1208" s="6" t="s">
        <v>314</v>
      </c>
      <c r="G1208" s="7" t="str">
        <f>IFNA(VLOOKUP(F1208,Driver!A:D,4,false),"")</f>
        <v/>
      </c>
      <c r="H1208" s="8" t="str">
        <f>IFNA(VLOOKUP(F1208,Driver!A:C,3,false),"")</f>
        <v/>
      </c>
      <c r="I1208" s="9">
        <v>0.6875</v>
      </c>
      <c r="J1208" s="9">
        <v>0.875</v>
      </c>
      <c r="K1208" s="9"/>
    </row>
    <row r="1209" hidden="1">
      <c r="A1209" s="5" t="str">
        <f>IFNA(VLOOKUP(D1209,'Location Table'!A:C,2,false),"")</f>
        <v>771aedca-4621-11ed-9b84-506b8dbc8dfb</v>
      </c>
      <c r="B1209" s="5" t="str">
        <f>IFNA(VLOOKUP(F1209,Driver!A:C,2,false),"")</f>
        <v>f5993946-37cf-11ed-a3fc-506b8dbc8dfb</v>
      </c>
      <c r="C1209" s="5" t="str">
        <f>IFNA(VLOOKUP(E1209,'Location Table'!A:C,2,false),"")</f>
        <v/>
      </c>
      <c r="D1209" s="6" t="s">
        <v>148</v>
      </c>
      <c r="E1209" s="6"/>
      <c r="F1209" s="6" t="s">
        <v>314</v>
      </c>
      <c r="G1209" s="7" t="str">
        <f>IFNA(VLOOKUP(F1209,Driver!A:D,4,false),"")</f>
        <v/>
      </c>
      <c r="H1209" s="8" t="str">
        <f>IFNA(VLOOKUP(F1209,Driver!A:C,3,false),"")</f>
        <v/>
      </c>
      <c r="I1209" s="9">
        <v>0.6875</v>
      </c>
      <c r="J1209" s="9">
        <v>0.875</v>
      </c>
      <c r="K1209" s="9"/>
    </row>
    <row r="1210" hidden="1">
      <c r="A1210" s="5" t="str">
        <f>IFNA(VLOOKUP(D1210,'Location Table'!A:C,2,false),"")</f>
        <v>5572588a-4fb5-11ef-a663-506b8d9879b5</v>
      </c>
      <c r="B1210" s="5" t="str">
        <f>IFNA(VLOOKUP(F1210,Driver!A:C,2,false),"")</f>
        <v>f5993946-37cf-11ed-a3fc-506b8dbc8dfb</v>
      </c>
      <c r="C1210" s="5" t="str">
        <f>IFNA(VLOOKUP(E1210,'Location Table'!A:C,2,false),"")</f>
        <v/>
      </c>
      <c r="D1210" s="6" t="s">
        <v>149</v>
      </c>
      <c r="E1210" s="6"/>
      <c r="F1210" s="6" t="s">
        <v>314</v>
      </c>
      <c r="G1210" s="7" t="str">
        <f>IFNA(VLOOKUP(F1210,Driver!A:D,4,false),"")</f>
        <v/>
      </c>
      <c r="H1210" s="8" t="str">
        <f>IFNA(VLOOKUP(F1210,Driver!A:C,3,false),"")</f>
        <v/>
      </c>
      <c r="I1210" s="9">
        <v>0.6875</v>
      </c>
      <c r="J1210" s="9">
        <v>0.875</v>
      </c>
      <c r="K1210" s="9"/>
    </row>
    <row r="1211" hidden="1">
      <c r="A1211" s="5" t="str">
        <f>IFNA(VLOOKUP(D1211,'Location Table'!A:C,2,false),"")</f>
        <v>f26c8e60-8b27-11ee-b474-506b8d9879b5</v>
      </c>
      <c r="B1211" s="5" t="str">
        <f>IFNA(VLOOKUP(F1211,Driver!A:C,2,false),"")</f>
        <v>f5993946-37cf-11ed-a3fc-506b8dbc8dfb</v>
      </c>
      <c r="C1211" s="5" t="str">
        <f>IFNA(VLOOKUP(E1211,'Location Table'!A:C,2,false),"")</f>
        <v/>
      </c>
      <c r="D1211" s="6" t="s">
        <v>150</v>
      </c>
      <c r="E1211" s="6"/>
      <c r="F1211" s="6" t="s">
        <v>314</v>
      </c>
      <c r="G1211" s="7" t="str">
        <f>IFNA(VLOOKUP(F1211,Driver!A:D,4,false),"")</f>
        <v/>
      </c>
      <c r="H1211" s="8" t="str">
        <f>IFNA(VLOOKUP(F1211,Driver!A:C,3,false),"")</f>
        <v/>
      </c>
      <c r="I1211" s="9">
        <v>0.6875</v>
      </c>
      <c r="J1211" s="9">
        <v>0.875</v>
      </c>
      <c r="K1211" s="9"/>
    </row>
    <row r="1212" hidden="1">
      <c r="A1212" s="5" t="str">
        <f>IFNA(VLOOKUP(D1212,'Location Table'!A:C,2,false),"")</f>
        <v>1a92d838-9959-11ee-b37b-506b8d9879b5</v>
      </c>
      <c r="B1212" s="5" t="str">
        <f>IFNA(VLOOKUP(F1212,Driver!A:C,2,false),"")</f>
        <v>f5993946-37cf-11ed-a3fc-506b8dbc8dfb</v>
      </c>
      <c r="C1212" s="5" t="str">
        <f>IFNA(VLOOKUP(E1212,'Location Table'!A:C,2,false),"")</f>
        <v/>
      </c>
      <c r="D1212" s="6" t="s">
        <v>151</v>
      </c>
      <c r="E1212" s="6"/>
      <c r="F1212" s="6" t="s">
        <v>314</v>
      </c>
      <c r="G1212" s="7" t="str">
        <f>IFNA(VLOOKUP(F1212,Driver!A:D,4,false),"")</f>
        <v/>
      </c>
      <c r="H1212" s="8" t="str">
        <f>IFNA(VLOOKUP(F1212,Driver!A:C,3,false),"")</f>
        <v/>
      </c>
      <c r="I1212" s="9">
        <v>0.6875</v>
      </c>
      <c r="J1212" s="9">
        <v>0.875</v>
      </c>
      <c r="K1212" s="9"/>
    </row>
    <row r="1213" hidden="1">
      <c r="A1213" s="5" t="str">
        <f>IFNA(VLOOKUP(D1213,'Location Table'!A:C,2,false),"")</f>
        <v>ffef10f0-90ed-11ee-8f8f-506b8d9879b5</v>
      </c>
      <c r="B1213" s="5" t="str">
        <f>IFNA(VLOOKUP(F1213,Driver!A:C,2,false),"")</f>
        <v>f5993946-37cf-11ed-a3fc-506b8dbc8dfb</v>
      </c>
      <c r="C1213" s="5" t="str">
        <f>IFNA(VLOOKUP(E1213,'Location Table'!A:C,2,false),"")</f>
        <v/>
      </c>
      <c r="D1213" s="6" t="s">
        <v>152</v>
      </c>
      <c r="E1213" s="6"/>
      <c r="F1213" s="6" t="s">
        <v>314</v>
      </c>
      <c r="G1213" s="7" t="str">
        <f>IFNA(VLOOKUP(F1213,Driver!A:D,4,false),"")</f>
        <v/>
      </c>
      <c r="H1213" s="8" t="str">
        <f>IFNA(VLOOKUP(F1213,Driver!A:C,3,false),"")</f>
        <v/>
      </c>
      <c r="I1213" s="9">
        <v>0.6875</v>
      </c>
      <c r="J1213" s="9">
        <v>0.875</v>
      </c>
      <c r="K1213" s="9"/>
    </row>
    <row r="1214" hidden="1">
      <c r="A1214" s="5" t="str">
        <f>IFNA(VLOOKUP(D1214,'Location Table'!A:C,2,false),"")</f>
        <v>611f696c-17c0-11ee-8d73-506b8d9879b5</v>
      </c>
      <c r="B1214" s="5" t="str">
        <f>IFNA(VLOOKUP(F1214,Driver!A:C,2,false),"")</f>
        <v>f5993946-37cf-11ed-a3fc-506b8dbc8dfb</v>
      </c>
      <c r="C1214" s="5" t="str">
        <f>IFNA(VLOOKUP(E1214,'Location Table'!A:C,2,false),"")</f>
        <v/>
      </c>
      <c r="D1214" s="6" t="s">
        <v>153</v>
      </c>
      <c r="E1214" s="6"/>
      <c r="F1214" s="6" t="s">
        <v>314</v>
      </c>
      <c r="G1214" s="7" t="str">
        <f>IFNA(VLOOKUP(F1214,Driver!A:D,4,false),"")</f>
        <v/>
      </c>
      <c r="H1214" s="8" t="str">
        <f>IFNA(VLOOKUP(F1214,Driver!A:C,3,false),"")</f>
        <v/>
      </c>
      <c r="I1214" s="9">
        <v>0.6875</v>
      </c>
      <c r="J1214" s="9">
        <v>0.875</v>
      </c>
      <c r="K1214" s="9"/>
    </row>
    <row r="1215" hidden="1">
      <c r="A1215" s="5" t="str">
        <f>IFNA(VLOOKUP(D1215,'Location Table'!A:C,2,false),"")</f>
        <v>3f09fff4-a555-11ee-9113-506b8d9879b5</v>
      </c>
      <c r="B1215" s="5" t="str">
        <f>IFNA(VLOOKUP(F1215,Driver!A:C,2,false),"")</f>
        <v>f5993946-37cf-11ed-a3fc-506b8dbc8dfb</v>
      </c>
      <c r="C1215" s="5" t="str">
        <f>IFNA(VLOOKUP(E1215,'Location Table'!A:C,2,false),"")</f>
        <v/>
      </c>
      <c r="D1215" s="6" t="s">
        <v>154</v>
      </c>
      <c r="E1215" s="6"/>
      <c r="F1215" s="6" t="s">
        <v>314</v>
      </c>
      <c r="G1215" s="7" t="str">
        <f>IFNA(VLOOKUP(F1215,Driver!A:D,4,false),"")</f>
        <v/>
      </c>
      <c r="H1215" s="8" t="str">
        <f>IFNA(VLOOKUP(F1215,Driver!A:C,3,false),"")</f>
        <v/>
      </c>
      <c r="I1215" s="9">
        <v>0.6875</v>
      </c>
      <c r="J1215" s="9">
        <v>0.875</v>
      </c>
      <c r="K1215" s="9"/>
    </row>
    <row r="1216" hidden="1">
      <c r="A1216" s="5" t="str">
        <f>IFNA(VLOOKUP(D1216,'Location Table'!A:C,2,false),"")</f>
        <v>8d89004c-665a-11ee-99cd-506b8d9879b5</v>
      </c>
      <c r="B1216" s="5" t="str">
        <f>IFNA(VLOOKUP(F1216,Driver!A:C,2,false),"")</f>
        <v>f5993946-37cf-11ed-a3fc-506b8dbc8dfb</v>
      </c>
      <c r="C1216" s="5" t="str">
        <f>IFNA(VLOOKUP(E1216,'Location Table'!A:C,2,false),"")</f>
        <v/>
      </c>
      <c r="D1216" s="6" t="s">
        <v>155</v>
      </c>
      <c r="E1216" s="6"/>
      <c r="F1216" s="6" t="s">
        <v>314</v>
      </c>
      <c r="G1216" s="7" t="str">
        <f>IFNA(VLOOKUP(F1216,Driver!A:D,4,false),"")</f>
        <v/>
      </c>
      <c r="H1216" s="8" t="str">
        <f>IFNA(VLOOKUP(F1216,Driver!A:C,3,false),"")</f>
        <v/>
      </c>
      <c r="I1216" s="9">
        <v>0.6875</v>
      </c>
      <c r="J1216" s="9">
        <v>0.875</v>
      </c>
      <c r="K1216" s="9"/>
    </row>
    <row r="1217" hidden="1">
      <c r="A1217" s="5" t="str">
        <f>IFNA(VLOOKUP(D1217,'Location Table'!A:C,2,false),"")</f>
        <v>3f0c5bb6-4b17-11ee-8b8e-506b8d9879b5</v>
      </c>
      <c r="B1217" s="5" t="str">
        <f>IFNA(VLOOKUP(F1217,Driver!A:C,2,false),"")</f>
        <v>f5993946-37cf-11ed-a3fc-506b8dbc8dfb</v>
      </c>
      <c r="C1217" s="5" t="str">
        <f>IFNA(VLOOKUP(E1217,'Location Table'!A:C,2,false),"")</f>
        <v/>
      </c>
      <c r="D1217" s="6" t="s">
        <v>156</v>
      </c>
      <c r="E1217" s="6"/>
      <c r="F1217" s="6" t="s">
        <v>314</v>
      </c>
      <c r="G1217" s="7" t="str">
        <f>IFNA(VLOOKUP(F1217,Driver!A:D,4,false),"")</f>
        <v/>
      </c>
      <c r="H1217" s="8" t="str">
        <f>IFNA(VLOOKUP(F1217,Driver!A:C,3,false),"")</f>
        <v/>
      </c>
      <c r="I1217" s="9">
        <v>0.6875</v>
      </c>
      <c r="J1217" s="9">
        <v>0.875</v>
      </c>
      <c r="K1217" s="9"/>
    </row>
    <row r="1218" hidden="1">
      <c r="A1218" s="5" t="str">
        <f>IFNA(VLOOKUP(D1218,'Location Table'!A:C,2,false),"")</f>
        <v>7a3b43a4-4a01-11ed-90e7-506b8dbc8dfb</v>
      </c>
      <c r="B1218" s="5" t="str">
        <f>IFNA(VLOOKUP(F1218,Driver!A:C,2,false),"")</f>
        <v>f5993946-37cf-11ed-a3fc-506b8dbc8dfb</v>
      </c>
      <c r="C1218" s="5" t="str">
        <f>IFNA(VLOOKUP(E1218,'Location Table'!A:C,2,false),"")</f>
        <v/>
      </c>
      <c r="D1218" s="6" t="s">
        <v>157</v>
      </c>
      <c r="E1218" s="6"/>
      <c r="F1218" s="6" t="s">
        <v>314</v>
      </c>
      <c r="G1218" s="7" t="str">
        <f>IFNA(VLOOKUP(F1218,Driver!A:D,4,false),"")</f>
        <v/>
      </c>
      <c r="H1218" s="8" t="str">
        <f>IFNA(VLOOKUP(F1218,Driver!A:C,3,false),"")</f>
        <v/>
      </c>
      <c r="I1218" s="9">
        <v>0.6875</v>
      </c>
      <c r="J1218" s="9">
        <v>0.875</v>
      </c>
      <c r="K1218" s="9"/>
    </row>
    <row r="1219" hidden="1">
      <c r="A1219" s="5" t="str">
        <f>IFNA(VLOOKUP(D1219,'Location Table'!A:C,2,false),"")</f>
        <v>a1be066c-21f8-11ee-b5fb-506b8d9879b5</v>
      </c>
      <c r="B1219" s="5" t="str">
        <f>IFNA(VLOOKUP(F1219,Driver!A:C,2,false),"")</f>
        <v>f5993946-37cf-11ed-a3fc-506b8dbc8dfb</v>
      </c>
      <c r="C1219" s="5" t="str">
        <f>IFNA(VLOOKUP(E1219,'Location Table'!A:C,2,false),"")</f>
        <v/>
      </c>
      <c r="D1219" s="6" t="s">
        <v>368</v>
      </c>
      <c r="E1219" s="6"/>
      <c r="F1219" s="6" t="s">
        <v>314</v>
      </c>
      <c r="G1219" s="7" t="str">
        <f>IFNA(VLOOKUP(F1219,Driver!A:D,4,false),"")</f>
        <v/>
      </c>
      <c r="H1219" s="8" t="str">
        <f>IFNA(VLOOKUP(F1219,Driver!A:C,3,false),"")</f>
        <v/>
      </c>
      <c r="I1219" s="9">
        <v>0.6875</v>
      </c>
      <c r="J1219" s="9">
        <v>0.875</v>
      </c>
      <c r="K1219" s="9"/>
    </row>
    <row r="1220" hidden="1">
      <c r="A1220" s="5" t="str">
        <f>IFNA(VLOOKUP(D1220,'Location Table'!A:C,2,false),"")</f>
        <v>1b89cbc6-4d4f-11ee-9f11-506b8d9879b5</v>
      </c>
      <c r="B1220" s="5" t="str">
        <f>IFNA(VLOOKUP(F1220,Driver!A:C,2,false),"")</f>
        <v>f5993946-37cf-11ed-a3fc-506b8dbc8dfb</v>
      </c>
      <c r="C1220" s="5" t="str">
        <f>IFNA(VLOOKUP(E1220,'Location Table'!A:C,2,false),"")</f>
        <v/>
      </c>
      <c r="D1220" s="6" t="s">
        <v>369</v>
      </c>
      <c r="E1220" s="6"/>
      <c r="F1220" s="6" t="s">
        <v>314</v>
      </c>
      <c r="G1220" s="7" t="str">
        <f>IFNA(VLOOKUP(F1220,Driver!A:D,4,false),"")</f>
        <v/>
      </c>
      <c r="H1220" s="8" t="str">
        <f>IFNA(VLOOKUP(F1220,Driver!A:C,3,false),"")</f>
        <v/>
      </c>
      <c r="I1220" s="9">
        <v>0.6875</v>
      </c>
      <c r="J1220" s="9">
        <v>0.875</v>
      </c>
      <c r="K1220" s="9"/>
    </row>
    <row r="1221" hidden="1">
      <c r="A1221" s="5" t="str">
        <f>IFNA(VLOOKUP(D1221,'Location Table'!A:C,2,false),"")</f>
        <v>d538c282-3761-11ef-92b6-506b8d9879b5</v>
      </c>
      <c r="B1221" s="5" t="str">
        <f>IFNA(VLOOKUP(F1221,Driver!A:C,2,false),"")</f>
        <v>f5993946-37cf-11ed-a3fc-506b8dbc8dfb</v>
      </c>
      <c r="C1221" s="5" t="str">
        <f>IFNA(VLOOKUP(E1221,'Location Table'!A:C,2,false),"")</f>
        <v/>
      </c>
      <c r="D1221" s="6" t="s">
        <v>370</v>
      </c>
      <c r="E1221" s="6"/>
      <c r="F1221" s="6" t="s">
        <v>314</v>
      </c>
      <c r="G1221" s="7" t="str">
        <f>IFNA(VLOOKUP(F1221,Driver!A:D,4,false),"")</f>
        <v/>
      </c>
      <c r="H1221" s="8" t="str">
        <f>IFNA(VLOOKUP(F1221,Driver!A:C,3,false),"")</f>
        <v/>
      </c>
      <c r="I1221" s="9">
        <v>0.6875</v>
      </c>
      <c r="J1221" s="9">
        <v>0.875</v>
      </c>
      <c r="K1221" s="9"/>
    </row>
    <row r="1222" hidden="1">
      <c r="A1222" s="5" t="str">
        <f>IFNA(VLOOKUP(D1222,'Location Table'!A:C,2,false),"")</f>
        <v>d04814d6-dc2f-11ee-96ca-506b8d9879b5</v>
      </c>
      <c r="B1222" s="5" t="str">
        <f>IFNA(VLOOKUP(F1222,Driver!A:C,2,false),"")</f>
        <v>f5993946-37cf-11ed-a3fc-506b8dbc8dfb</v>
      </c>
      <c r="C1222" s="5" t="str">
        <f>IFNA(VLOOKUP(E1222,'Location Table'!A:C,2,false),"")</f>
        <v/>
      </c>
      <c r="D1222" s="6" t="s">
        <v>371</v>
      </c>
      <c r="E1222" s="6"/>
      <c r="F1222" s="6" t="s">
        <v>314</v>
      </c>
      <c r="G1222" s="7" t="str">
        <f>IFNA(VLOOKUP(F1222,Driver!A:D,4,false),"")</f>
        <v/>
      </c>
      <c r="H1222" s="8" t="str">
        <f>IFNA(VLOOKUP(F1222,Driver!A:C,3,false),"")</f>
        <v/>
      </c>
      <c r="I1222" s="9">
        <v>0.6875</v>
      </c>
      <c r="J1222" s="9">
        <v>0.875</v>
      </c>
      <c r="K1222" s="9"/>
    </row>
    <row r="1223" hidden="1">
      <c r="A1223" s="5" t="str">
        <f>IFNA(VLOOKUP(D1223,'Location Table'!A:C,2,false),"")</f>
        <v>073c12b6-0f63-11ee-837c-506b8dbc8dfb</v>
      </c>
      <c r="B1223" s="5" t="str">
        <f>IFNA(VLOOKUP(F1223,Driver!A:C,2,false),"")</f>
        <v>f5993946-37cf-11ed-a3fc-506b8dbc8dfb</v>
      </c>
      <c r="C1223" s="5" t="str">
        <f>IFNA(VLOOKUP(E1223,'Location Table'!A:C,2,false),"")</f>
        <v/>
      </c>
      <c r="D1223" s="6" t="s">
        <v>372</v>
      </c>
      <c r="E1223" s="6"/>
      <c r="F1223" s="6" t="s">
        <v>314</v>
      </c>
      <c r="G1223" s="7" t="str">
        <f>IFNA(VLOOKUP(F1223,Driver!A:D,4,false),"")</f>
        <v/>
      </c>
      <c r="H1223" s="8" t="str">
        <f>IFNA(VLOOKUP(F1223,Driver!A:C,3,false),"")</f>
        <v/>
      </c>
      <c r="I1223" s="9">
        <v>0.6875</v>
      </c>
      <c r="J1223" s="9">
        <v>0.875</v>
      </c>
      <c r="K1223" s="9"/>
    </row>
    <row r="1224" hidden="1">
      <c r="A1224" s="5" t="str">
        <f>IFNA(VLOOKUP(D1224,'Location Table'!A:C,2,false),"")</f>
        <v>f936c402-4d4e-11ee-b7b9-506b8d9879b5</v>
      </c>
      <c r="B1224" s="5" t="str">
        <f>IFNA(VLOOKUP(F1224,Driver!A:C,2,false),"")</f>
        <v>f5993946-37cf-11ed-a3fc-506b8dbc8dfb</v>
      </c>
      <c r="C1224" s="5" t="str">
        <f>IFNA(VLOOKUP(E1224,'Location Table'!A:C,2,false),"")</f>
        <v/>
      </c>
      <c r="D1224" s="6" t="s">
        <v>428</v>
      </c>
      <c r="E1224" s="6"/>
      <c r="F1224" s="6" t="s">
        <v>314</v>
      </c>
      <c r="G1224" s="7" t="str">
        <f>IFNA(VLOOKUP(F1224,Driver!A:D,4,false),"")</f>
        <v/>
      </c>
      <c r="H1224" s="8" t="str">
        <f>IFNA(VLOOKUP(F1224,Driver!A:C,3,false),"")</f>
        <v/>
      </c>
      <c r="I1224" s="9">
        <v>0.6875</v>
      </c>
      <c r="J1224" s="9">
        <v>0.875</v>
      </c>
      <c r="K1224" s="9"/>
    </row>
    <row r="1225" hidden="1">
      <c r="A1225" s="5" t="str">
        <f>IFNA(VLOOKUP(D1225,'Location Table'!A:C,2,false),"")</f>
        <v>90798798-454c-11ed-b675-506b8dbc8dfb</v>
      </c>
      <c r="B1225" s="5" t="str">
        <f>IFNA(VLOOKUP(F1225,Driver!A:C,2,false),"")</f>
        <v>f5993946-37cf-11ed-a3fc-506b8dbc8dfb</v>
      </c>
      <c r="C1225" s="5" t="str">
        <f>IFNA(VLOOKUP(E1225,'Location Table'!A:C,2,false),"")</f>
        <v/>
      </c>
      <c r="D1225" s="6" t="s">
        <v>429</v>
      </c>
      <c r="E1225" s="6"/>
      <c r="F1225" s="6" t="s">
        <v>314</v>
      </c>
      <c r="G1225" s="7" t="str">
        <f>IFNA(VLOOKUP(F1225,Driver!A:D,4,false),"")</f>
        <v/>
      </c>
      <c r="H1225" s="8" t="str">
        <f>IFNA(VLOOKUP(F1225,Driver!A:C,3,false),"")</f>
        <v/>
      </c>
      <c r="I1225" s="9">
        <v>0.6875</v>
      </c>
      <c r="J1225" s="9">
        <v>0.875</v>
      </c>
      <c r="K1225" s="9"/>
    </row>
    <row r="1226" hidden="1">
      <c r="A1226" s="5" t="str">
        <f>IFNA(VLOOKUP(D1226,'Location Table'!A:C,2,false),"")</f>
        <v>87b6cc22-a916-11ee-9507-506b8d9879b5</v>
      </c>
      <c r="B1226" s="5" t="str">
        <f>IFNA(VLOOKUP(F1226,Driver!A:C,2,false),"")</f>
        <v>f5993946-37cf-11ed-a3fc-506b8dbc8dfb</v>
      </c>
      <c r="C1226" s="5" t="str">
        <f>IFNA(VLOOKUP(E1226,'Location Table'!A:C,2,false),"")</f>
        <v/>
      </c>
      <c r="D1226" s="6" t="s">
        <v>430</v>
      </c>
      <c r="E1226" s="6"/>
      <c r="F1226" s="6" t="s">
        <v>314</v>
      </c>
      <c r="G1226" s="7" t="str">
        <f>IFNA(VLOOKUP(F1226,Driver!A:D,4,false),"")</f>
        <v/>
      </c>
      <c r="H1226" s="8" t="str">
        <f>IFNA(VLOOKUP(F1226,Driver!A:C,3,false),"")</f>
        <v/>
      </c>
      <c r="I1226" s="9">
        <v>0.6875</v>
      </c>
      <c r="J1226" s="9">
        <v>0.875</v>
      </c>
      <c r="K1226" s="9"/>
    </row>
    <row r="1227" hidden="1">
      <c r="A1227" s="5" t="str">
        <f>IFNA(VLOOKUP(D1227,'Location Table'!A:C,2,false),"")</f>
        <v>ed7827b2-4621-11ed-9c75-506b8dbc8dfb</v>
      </c>
      <c r="B1227" s="5" t="str">
        <f>IFNA(VLOOKUP(F1227,Driver!A:C,2,false),"")</f>
        <v>f5993946-37cf-11ed-a3fc-506b8dbc8dfb</v>
      </c>
      <c r="C1227" s="5" t="str">
        <f>IFNA(VLOOKUP(E1227,'Location Table'!A:C,2,false),"")</f>
        <v/>
      </c>
      <c r="D1227" s="6" t="s">
        <v>433</v>
      </c>
      <c r="E1227" s="6"/>
      <c r="F1227" s="6" t="s">
        <v>314</v>
      </c>
      <c r="G1227" s="7" t="str">
        <f>IFNA(VLOOKUP(F1227,Driver!A:D,4,false),"")</f>
        <v/>
      </c>
      <c r="H1227" s="8" t="str">
        <f>IFNA(VLOOKUP(F1227,Driver!A:C,3,false),"")</f>
        <v/>
      </c>
      <c r="I1227" s="9">
        <v>0.6875</v>
      </c>
      <c r="J1227" s="9">
        <v>0.875</v>
      </c>
      <c r="K1227" s="9"/>
    </row>
    <row r="1228" hidden="1">
      <c r="A1228" s="5" t="str">
        <f>IFNA(VLOOKUP(D1228,'Location Table'!A:C,2,false),"")</f>
        <v>111e2f12-e523-11ee-bde5-506b8d9879b5</v>
      </c>
      <c r="B1228" s="5" t="str">
        <f>IFNA(VLOOKUP(F1228,Driver!A:C,2,false),"")</f>
        <v>f5993946-37cf-11ed-a3fc-506b8dbc8dfb</v>
      </c>
      <c r="C1228" s="5" t="str">
        <f>IFNA(VLOOKUP(E1228,'Location Table'!A:C,2,false),"")</f>
        <v/>
      </c>
      <c r="D1228" s="6" t="s">
        <v>559</v>
      </c>
      <c r="E1228" s="6"/>
      <c r="F1228" s="6" t="s">
        <v>314</v>
      </c>
      <c r="G1228" s="7" t="str">
        <f>IFNA(VLOOKUP(F1228,Driver!A:D,4,false),"")</f>
        <v/>
      </c>
      <c r="H1228" s="8" t="str">
        <f>IFNA(VLOOKUP(F1228,Driver!A:C,3,false),"")</f>
        <v/>
      </c>
      <c r="I1228" s="9">
        <v>0.6875</v>
      </c>
      <c r="J1228" s="9">
        <v>0.875</v>
      </c>
      <c r="K1228" s="9"/>
    </row>
    <row r="1229" hidden="1">
      <c r="A1229" s="5" t="str">
        <f>IFNA(VLOOKUP(D1229,'Location Table'!A:C,2,false),"")</f>
        <v>08821918-737a-11f0-aae5-506b8d982279</v>
      </c>
      <c r="B1229" s="5" t="str">
        <f>IFNA(VLOOKUP(F1229,Driver!A:C,2,false),"")</f>
        <v>f5993946-37cf-11ed-a3fc-506b8dbc8dfb</v>
      </c>
      <c r="C1229" s="5" t="str">
        <f>IFNA(VLOOKUP(E1229,'Location Table'!A:C,2,false),"")</f>
        <v/>
      </c>
      <c r="D1229" s="6" t="s">
        <v>560</v>
      </c>
      <c r="E1229" s="6"/>
      <c r="F1229" s="6" t="s">
        <v>314</v>
      </c>
      <c r="G1229" s="7" t="str">
        <f>IFNA(VLOOKUP(F1229,Driver!A:D,4,false),"")</f>
        <v/>
      </c>
      <c r="H1229" s="8" t="str">
        <f>IFNA(VLOOKUP(F1229,Driver!A:C,3,false),"")</f>
        <v/>
      </c>
      <c r="I1229" s="9">
        <v>0.6875</v>
      </c>
      <c r="J1229" s="9">
        <v>0.875</v>
      </c>
      <c r="K1229" s="9"/>
    </row>
    <row r="1230" hidden="1">
      <c r="A1230" s="5" t="str">
        <f>IFNA(VLOOKUP(D1230,'Location Table'!A:C,2,false),"")</f>
        <v>734a3e3e-295b-11ef-a667-506b8d9879b5</v>
      </c>
      <c r="B1230" s="5" t="str">
        <f>IFNA(VLOOKUP(F1230,Driver!A:C,2,false),"")</f>
        <v>f5993946-37cf-11ed-a3fc-506b8dbc8dfb</v>
      </c>
      <c r="C1230" s="5" t="str">
        <f>IFNA(VLOOKUP(E1230,'Location Table'!A:C,2,false),"")</f>
        <v/>
      </c>
      <c r="D1230" s="6" t="s">
        <v>591</v>
      </c>
      <c r="E1230" s="6"/>
      <c r="F1230" s="6" t="s">
        <v>314</v>
      </c>
      <c r="G1230" s="7" t="str">
        <f>IFNA(VLOOKUP(F1230,Driver!A:D,4,false),"")</f>
        <v/>
      </c>
      <c r="H1230" s="8" t="str">
        <f>IFNA(VLOOKUP(F1230,Driver!A:C,3,false),"")</f>
        <v/>
      </c>
      <c r="I1230" s="9">
        <v>0.6875</v>
      </c>
      <c r="J1230" s="9">
        <v>0.875</v>
      </c>
      <c r="K1230" s="9"/>
    </row>
    <row r="1231" hidden="1">
      <c r="A1231" s="5" t="str">
        <f>IFNA(VLOOKUP(D1231,'Location Table'!A:C,2,false),"")</f>
        <v>e8a5c316-4e57-11f0-9e90-506b8d982279</v>
      </c>
      <c r="B1231" s="5" t="str">
        <f>IFNA(VLOOKUP(F1231,Driver!A:C,2,false),"")</f>
        <v>f5993946-37cf-11ed-a3fc-506b8dbc8dfb</v>
      </c>
      <c r="C1231" s="5" t="str">
        <f>IFNA(VLOOKUP(E1231,'Location Table'!A:C,2,false),"")</f>
        <v/>
      </c>
      <c r="D1231" s="6" t="s">
        <v>602</v>
      </c>
      <c r="E1231" s="6"/>
      <c r="F1231" s="6" t="s">
        <v>314</v>
      </c>
      <c r="G1231" s="7" t="str">
        <f>IFNA(VLOOKUP(F1231,Driver!A:D,4,false),"")</f>
        <v/>
      </c>
      <c r="H1231" s="8" t="str">
        <f>IFNA(VLOOKUP(F1231,Driver!A:C,3,false),"")</f>
        <v/>
      </c>
      <c r="I1231" s="9">
        <v>0.6875</v>
      </c>
      <c r="J1231" s="9">
        <v>0.875</v>
      </c>
      <c r="K1231" s="9"/>
    </row>
    <row r="1232" hidden="1">
      <c r="A1232" s="5" t="str">
        <f>IFNA(VLOOKUP(D1232,'Location Table'!A:C,2,false),"")</f>
        <v>2df160d4-39da-11f0-a2f8-506b8d982279</v>
      </c>
      <c r="B1232" s="5" t="str">
        <f>IFNA(VLOOKUP(F1232,Driver!A:C,2,false),"")</f>
        <v>f5993946-37cf-11ed-a3fc-506b8dbc8dfb</v>
      </c>
      <c r="C1232" s="5" t="str">
        <f>IFNA(VLOOKUP(E1232,'Location Table'!A:C,2,false),"")</f>
        <v/>
      </c>
      <c r="D1232" s="6" t="s">
        <v>622</v>
      </c>
      <c r="E1232" s="6"/>
      <c r="F1232" s="6" t="s">
        <v>314</v>
      </c>
      <c r="G1232" s="7" t="str">
        <f>IFNA(VLOOKUP(F1232,Driver!A:D,4,false),"")</f>
        <v/>
      </c>
      <c r="H1232" s="8" t="str">
        <f>IFNA(VLOOKUP(F1232,Driver!A:C,3,false),"")</f>
        <v/>
      </c>
      <c r="I1232" s="9">
        <v>0.6875</v>
      </c>
      <c r="J1232" s="9">
        <v>0.875</v>
      </c>
      <c r="K1232" s="9"/>
    </row>
    <row r="1233" hidden="1">
      <c r="A1233" s="5" t="str">
        <f>IFNA(VLOOKUP(D1233,'Location Table'!A:C,2,false),"")</f>
        <v>a0d370aa-452d-11ed-a75b-506b8dbc8dfb</v>
      </c>
      <c r="B1233" s="5" t="str">
        <f>IFNA(VLOOKUP(F1233,Driver!A:C,2,false),"")</f>
        <v>f5993946-37cf-11ed-a3fc-506b8dbc8dfb</v>
      </c>
      <c r="C1233" s="5" t="str">
        <f>IFNA(VLOOKUP(E1233,'Location Table'!A:C,2,false),"")</f>
        <v/>
      </c>
      <c r="D1233" s="6" t="s">
        <v>644</v>
      </c>
      <c r="E1233" s="6"/>
      <c r="F1233" s="6" t="s">
        <v>314</v>
      </c>
      <c r="G1233" s="7" t="str">
        <f>IFNA(VLOOKUP(F1233,Driver!A:D,4,false),"")</f>
        <v/>
      </c>
      <c r="H1233" s="8" t="str">
        <f>IFNA(VLOOKUP(F1233,Driver!A:C,3,false),"")</f>
        <v/>
      </c>
      <c r="I1233" s="9">
        <v>0.6875</v>
      </c>
      <c r="J1233" s="9">
        <v>0.875</v>
      </c>
      <c r="K1233" s="9"/>
    </row>
    <row r="1234" hidden="1">
      <c r="A1234" s="5" t="str">
        <f>IFNA(VLOOKUP(D1234,'Location Table'!A:C,2,false),"")</f>
        <v>3f9846b8-1cbd-11ee-b58a-506b8d9879b5</v>
      </c>
      <c r="B1234" s="5" t="str">
        <f>IFNA(VLOOKUP(F1234,Driver!A:C,2,false),"")</f>
        <v>f5993946-37cf-11ed-a3fc-506b8dbc8dfb</v>
      </c>
      <c r="C1234" s="5" t="str">
        <f>IFNA(VLOOKUP(E1234,'Location Table'!A:C,2,false),"")</f>
        <v/>
      </c>
      <c r="D1234" s="6" t="s">
        <v>655</v>
      </c>
      <c r="E1234" s="6"/>
      <c r="F1234" s="6" t="s">
        <v>314</v>
      </c>
      <c r="G1234" s="7" t="str">
        <f>IFNA(VLOOKUP(F1234,Driver!A:D,4,false),"")</f>
        <v/>
      </c>
      <c r="H1234" s="8" t="str">
        <f>IFNA(VLOOKUP(F1234,Driver!A:C,3,false),"")</f>
        <v/>
      </c>
      <c r="I1234" s="9">
        <v>0.6875</v>
      </c>
      <c r="J1234" s="9">
        <v>0.875</v>
      </c>
      <c r="K1234" s="9"/>
    </row>
    <row r="1235" hidden="1">
      <c r="A1235" s="5" t="str">
        <f>IFNA(VLOOKUP(D1235,'Location Table'!A:C,2,false),"")</f>
        <v>93f42a58-5c84-11ef-8902-506b8d9879b5</v>
      </c>
      <c r="B1235" s="5" t="str">
        <f>IFNA(VLOOKUP(F1235,Driver!A:C,2,false),"")</f>
        <v>f5993946-37cf-11ed-a3fc-506b8dbc8dfb</v>
      </c>
      <c r="C1235" s="5" t="str">
        <f>IFNA(VLOOKUP(E1235,'Location Table'!A:C,2,false),"")</f>
        <v/>
      </c>
      <c r="D1235" s="6" t="s">
        <v>698</v>
      </c>
      <c r="E1235" s="6"/>
      <c r="F1235" s="6" t="s">
        <v>314</v>
      </c>
      <c r="G1235" s="7" t="str">
        <f>IFNA(VLOOKUP(F1235,Driver!A:D,4,false),"")</f>
        <v/>
      </c>
      <c r="H1235" s="8" t="str">
        <f>IFNA(VLOOKUP(F1235,Driver!A:C,3,false),"")</f>
        <v/>
      </c>
      <c r="I1235" s="9">
        <v>0.6875</v>
      </c>
      <c r="J1235" s="9">
        <v>0.875</v>
      </c>
      <c r="K1235" s="9"/>
    </row>
    <row r="1236" hidden="1">
      <c r="A1236" s="5" t="str">
        <f>IFNA(VLOOKUP(D1236,'Location Table'!A:C,2,false),"")</f>
        <v>a5a22756-4ab0-11ed-a93a-506b8dbc8dfb</v>
      </c>
      <c r="B1236" s="5" t="str">
        <f>IFNA(VLOOKUP(F1236,Driver!A:C,2,false),"")</f>
        <v>f5993946-37cf-11ed-a3fc-506b8dbc8dfb</v>
      </c>
      <c r="C1236" s="5" t="str">
        <f>IFNA(VLOOKUP(E1236,'Location Table'!A:C,2,false),"")</f>
        <v/>
      </c>
      <c r="D1236" s="6" t="s">
        <v>721</v>
      </c>
      <c r="E1236" s="6"/>
      <c r="F1236" s="6" t="s">
        <v>314</v>
      </c>
      <c r="G1236" s="7" t="str">
        <f>IFNA(VLOOKUP(F1236,Driver!A:D,4,false),"")</f>
        <v/>
      </c>
      <c r="H1236" s="8" t="str">
        <f>IFNA(VLOOKUP(F1236,Driver!A:C,3,false),"")</f>
        <v/>
      </c>
      <c r="I1236" s="9">
        <v>0.6875</v>
      </c>
      <c r="J1236" s="9">
        <v>0.875</v>
      </c>
      <c r="K1236" s="9"/>
    </row>
    <row r="1237" hidden="1">
      <c r="A1237" s="5" t="str">
        <f>IFNA(VLOOKUP(D1237,'Location Table'!A:C,2,false),"")</f>
        <v>cd68ba74-e25c-11f0-a28c-506b8d982279</v>
      </c>
      <c r="B1237" s="5" t="str">
        <f>IFNA(VLOOKUP(F1237,Driver!A:C,2,false),"")</f>
        <v>f5993946-37cf-11ed-a3fc-506b8dbc8dfb</v>
      </c>
      <c r="C1237" s="5" t="str">
        <f>IFNA(VLOOKUP(E1237,'Location Table'!A:C,2,false),"")</f>
        <v/>
      </c>
      <c r="D1237" s="6" t="s">
        <v>828</v>
      </c>
      <c r="E1237" s="6"/>
      <c r="F1237" s="6" t="s">
        <v>314</v>
      </c>
      <c r="G1237" s="7" t="str">
        <f>IFNA(VLOOKUP(F1237,Driver!A:D,4,false),"")</f>
        <v/>
      </c>
      <c r="H1237" s="8" t="str">
        <f>IFNA(VLOOKUP(F1237,Driver!A:C,3,false),"")</f>
        <v/>
      </c>
      <c r="I1237" s="9">
        <v>0.6875</v>
      </c>
      <c r="J1237" s="9">
        <v>0.875</v>
      </c>
      <c r="K1237" s="9"/>
    </row>
    <row r="1238" hidden="1">
      <c r="A1238" s="5" t="str">
        <f>IFNA(VLOOKUP(D1238,'Location Table'!A:C,2,false),"")</f>
        <v/>
      </c>
      <c r="B1238" s="5" t="str">
        <f>IFNA(VLOOKUP(F1238,Driver!A:C,2,false),"")</f>
        <v/>
      </c>
      <c r="C1238" s="5" t="str">
        <f>IFNA(VLOOKUP(E1238,'Location Table'!A:C,2,false),"")</f>
        <v/>
      </c>
      <c r="D1238" s="6"/>
      <c r="E1238" s="6"/>
      <c r="F1238" s="6"/>
      <c r="G1238" s="7" t="str">
        <f>IFNA(VLOOKUP(F1238,Driver!A:D,4,false),"")</f>
        <v/>
      </c>
      <c r="H1238" s="8" t="str">
        <f>IFNA(VLOOKUP(F1238,Driver!A:C,3,false),"")</f>
        <v/>
      </c>
      <c r="I1238" s="9"/>
      <c r="J1238" s="9"/>
      <c r="K1238" s="9"/>
    </row>
    <row r="1239" hidden="1">
      <c r="A1239" s="5" t="str">
        <f>IFNA(VLOOKUP(D1239,'Location Table'!A:C,2,false),"")</f>
        <v/>
      </c>
      <c r="B1239" s="5" t="str">
        <f>IFNA(VLOOKUP(F1239,Driver!A:C,2,false),"")</f>
        <v/>
      </c>
      <c r="C1239" s="5" t="str">
        <f>IFNA(VLOOKUP(E1239,'Location Table'!A:C,2,false),"")</f>
        <v/>
      </c>
      <c r="D1239" s="6"/>
      <c r="E1239" s="6"/>
      <c r="F1239" s="6"/>
      <c r="G1239" s="7" t="str">
        <f>IFNA(VLOOKUP(F1239,Driver!A:D,4,false),"")</f>
        <v/>
      </c>
      <c r="H1239" s="8" t="str">
        <f>IFNA(VLOOKUP(F1239,Driver!A:C,3,false),"")</f>
        <v/>
      </c>
      <c r="I1239" s="9"/>
      <c r="J1239" s="9"/>
      <c r="K1239" s="9"/>
    </row>
    <row r="1240" hidden="1">
      <c r="A1240" s="5" t="str">
        <f>IFNA(VLOOKUP(D1240,'Location Table'!A:C,2,false),"")</f>
        <v/>
      </c>
      <c r="B1240" s="5" t="str">
        <f>IFNA(VLOOKUP(F1240,Driver!A:C,2,false),"")</f>
        <v/>
      </c>
      <c r="C1240" s="5" t="str">
        <f>IFNA(VLOOKUP(E1240,'Location Table'!A:C,2,false),"")</f>
        <v/>
      </c>
      <c r="D1240" s="6"/>
      <c r="E1240" s="6"/>
      <c r="F1240" s="6"/>
      <c r="G1240" s="7" t="str">
        <f>IFNA(VLOOKUP(F1240,Driver!A:D,4,false),"")</f>
        <v/>
      </c>
      <c r="H1240" s="8" t="str">
        <f>IFNA(VLOOKUP(F1240,Driver!A:C,3,false),"")</f>
        <v/>
      </c>
      <c r="I1240" s="9"/>
      <c r="J1240" s="9"/>
      <c r="K1240" s="9"/>
    </row>
    <row r="1241" hidden="1">
      <c r="A1241" s="5" t="str">
        <f>IFNA(VLOOKUP(D1241,'Location Table'!A:C,2,false),"")</f>
        <v/>
      </c>
      <c r="B1241" s="5" t="str">
        <f>IFNA(VLOOKUP(F1241,Driver!A:C,2,false),"")</f>
        <v/>
      </c>
      <c r="C1241" s="5" t="str">
        <f>IFNA(VLOOKUP(E1241,'Location Table'!A:C,2,false),"")</f>
        <v/>
      </c>
      <c r="D1241" s="6"/>
      <c r="E1241" s="6"/>
      <c r="F1241" s="6"/>
      <c r="G1241" s="7" t="str">
        <f>IFNA(VLOOKUP(F1241,Driver!A:D,4,false),"")</f>
        <v/>
      </c>
      <c r="H1241" s="8" t="str">
        <f>IFNA(VLOOKUP(F1241,Driver!A:C,3,false),"")</f>
        <v/>
      </c>
      <c r="I1241" s="9"/>
      <c r="J1241" s="9"/>
      <c r="K1241" s="9"/>
    </row>
    <row r="1242" hidden="1">
      <c r="A1242" s="5" t="str">
        <f>IFNA(VLOOKUP(D1242,'Location Table'!A:C,2,false),"")</f>
        <v/>
      </c>
      <c r="B1242" s="5" t="str">
        <f>IFNA(VLOOKUP(F1242,Driver!A:C,2,false),"")</f>
        <v/>
      </c>
      <c r="C1242" s="5" t="str">
        <f>IFNA(VLOOKUP(E1242,'Location Table'!A:C,2,false),"")</f>
        <v/>
      </c>
      <c r="D1242" s="6"/>
      <c r="E1242" s="6"/>
      <c r="F1242" s="6"/>
      <c r="G1242" s="7" t="str">
        <f>IFNA(VLOOKUP(F1242,Driver!A:D,4,false),"")</f>
        <v/>
      </c>
      <c r="H1242" s="8" t="str">
        <f>IFNA(VLOOKUP(F1242,Driver!A:C,3,false),"")</f>
        <v/>
      </c>
      <c r="I1242" s="9"/>
      <c r="J1242" s="9"/>
      <c r="K1242" s="9"/>
    </row>
    <row r="1243" hidden="1">
      <c r="A1243" s="5" t="str">
        <f>IFNA(VLOOKUP(D1243,'Location Table'!A:C,2,false),"")</f>
        <v/>
      </c>
      <c r="B1243" s="5" t="str">
        <f>IFNA(VLOOKUP(F1243,Driver!A:C,2,false),"")</f>
        <v/>
      </c>
      <c r="C1243" s="5" t="str">
        <f>IFNA(VLOOKUP(E1243,'Location Table'!A:C,2,false),"")</f>
        <v/>
      </c>
      <c r="D1243" s="6"/>
      <c r="E1243" s="6"/>
      <c r="F1243" s="6"/>
      <c r="G1243" s="7" t="str">
        <f>IFNA(VLOOKUP(F1243,Driver!A:D,4,false),"")</f>
        <v/>
      </c>
      <c r="H1243" s="8" t="str">
        <f>IFNA(VLOOKUP(F1243,Driver!A:C,3,false),"")</f>
        <v/>
      </c>
      <c r="I1243" s="9"/>
      <c r="J1243" s="9"/>
      <c r="K1243" s="9"/>
    </row>
    <row r="1244" hidden="1">
      <c r="A1244" s="5" t="str">
        <f>IFNA(VLOOKUP(D1244,'Location Table'!A:C,2,false),"")</f>
        <v/>
      </c>
      <c r="B1244" s="5" t="str">
        <f>IFNA(VLOOKUP(F1244,Driver!A:C,2,false),"")</f>
        <v/>
      </c>
      <c r="C1244" s="5" t="str">
        <f>IFNA(VLOOKUP(E1244,'Location Table'!A:C,2,false),"")</f>
        <v/>
      </c>
      <c r="D1244" s="6"/>
      <c r="E1244" s="6"/>
      <c r="F1244" s="6"/>
      <c r="G1244" s="7" t="str">
        <f>IFNA(VLOOKUP(F1244,Driver!A:D,4,false),"")</f>
        <v/>
      </c>
      <c r="H1244" s="8" t="str">
        <f>IFNA(VLOOKUP(F1244,Driver!A:C,3,false),"")</f>
        <v/>
      </c>
      <c r="I1244" s="9"/>
      <c r="J1244" s="9"/>
      <c r="K1244" s="9"/>
    </row>
    <row r="1245" hidden="1">
      <c r="A1245" s="5" t="str">
        <f>IFNA(VLOOKUP(D1245,'Location Table'!A:C,2,false),"")</f>
        <v/>
      </c>
      <c r="B1245" s="5" t="str">
        <f>IFNA(VLOOKUP(F1245,Driver!A:C,2,false),"")</f>
        <v/>
      </c>
      <c r="C1245" s="5" t="str">
        <f>IFNA(VLOOKUP(E1245,'Location Table'!A:C,2,false),"")</f>
        <v/>
      </c>
      <c r="D1245" s="6"/>
      <c r="E1245" s="6"/>
      <c r="F1245" s="6"/>
      <c r="G1245" s="7" t="str">
        <f>IFNA(VLOOKUP(F1245,Driver!A:D,4,false),"")</f>
        <v/>
      </c>
      <c r="H1245" s="8" t="str">
        <f>IFNA(VLOOKUP(F1245,Driver!A:C,3,false),"")</f>
        <v/>
      </c>
      <c r="I1245" s="9"/>
      <c r="J1245" s="9"/>
      <c r="K1245" s="9"/>
    </row>
    <row r="1246" hidden="1">
      <c r="A1246" s="5" t="str">
        <f>IFNA(VLOOKUP(D1246,'Location Table'!A:C,2,false),"")</f>
        <v/>
      </c>
      <c r="B1246" s="5" t="str">
        <f>IFNA(VLOOKUP(F1246,Driver!A:C,2,false),"")</f>
        <v/>
      </c>
      <c r="C1246" s="5" t="str">
        <f>IFNA(VLOOKUP(E1246,'Location Table'!A:C,2,false),"")</f>
        <v/>
      </c>
      <c r="D1246" s="6"/>
      <c r="E1246" s="6"/>
      <c r="F1246" s="6"/>
      <c r="G1246" s="7" t="str">
        <f>IFNA(VLOOKUP(F1246,Driver!A:D,4,false),"")</f>
        <v/>
      </c>
      <c r="H1246" s="8" t="str">
        <f>IFNA(VLOOKUP(F1246,Driver!A:C,3,false),"")</f>
        <v/>
      </c>
      <c r="I1246" s="9"/>
      <c r="J1246" s="9"/>
      <c r="K1246" s="9"/>
    </row>
    <row r="1247" hidden="1">
      <c r="A1247" s="5" t="str">
        <f>IFNA(VLOOKUP(D1247,'Location Table'!A:C,2,false),"")</f>
        <v/>
      </c>
      <c r="B1247" s="5" t="str">
        <f>IFNA(VLOOKUP(F1247,Driver!A:C,2,false),"")</f>
        <v/>
      </c>
      <c r="C1247" s="5" t="str">
        <f>IFNA(VLOOKUP(E1247,'Location Table'!A:C,2,false),"")</f>
        <v/>
      </c>
      <c r="D1247" s="6"/>
      <c r="E1247" s="6"/>
      <c r="F1247" s="6"/>
      <c r="G1247" s="7" t="str">
        <f>IFNA(VLOOKUP(F1247,Driver!A:D,4,false),"")</f>
        <v/>
      </c>
      <c r="H1247" s="8" t="str">
        <f>IFNA(VLOOKUP(F1247,Driver!A:C,3,false),"")</f>
        <v/>
      </c>
      <c r="I1247" s="9"/>
      <c r="J1247" s="9"/>
      <c r="K1247" s="9"/>
    </row>
    <row r="1248" hidden="1">
      <c r="A1248" s="5" t="str">
        <f>IFNA(VLOOKUP(D1248,'Location Table'!A:C,2,false),"")</f>
        <v/>
      </c>
      <c r="B1248" s="5" t="str">
        <f>IFNA(VLOOKUP(F1248,Driver!A:C,2,false),"")</f>
        <v/>
      </c>
      <c r="C1248" s="5" t="str">
        <f>IFNA(VLOOKUP(E1248,'Location Table'!A:C,2,false),"")</f>
        <v/>
      </c>
      <c r="D1248" s="6"/>
      <c r="E1248" s="6"/>
      <c r="F1248" s="6"/>
      <c r="G1248" s="7" t="str">
        <f>IFNA(VLOOKUP(F1248,Driver!A:D,4,false),"")</f>
        <v/>
      </c>
      <c r="H1248" s="8" t="str">
        <f>IFNA(VLOOKUP(F1248,Driver!A:C,3,false),"")</f>
        <v/>
      </c>
      <c r="I1248" s="9"/>
      <c r="J1248" s="9"/>
      <c r="K1248" s="9"/>
    </row>
    <row r="1249" hidden="1">
      <c r="A1249" s="5" t="str">
        <f>IFNA(VLOOKUP(D1249,'Location Table'!A:C,2,false),"")</f>
        <v/>
      </c>
      <c r="B1249" s="5" t="str">
        <f>IFNA(VLOOKUP(F1249,Driver!A:C,2,false),"")</f>
        <v/>
      </c>
      <c r="C1249" s="5" t="str">
        <f>IFNA(VLOOKUP(E1249,'Location Table'!A:C,2,false),"")</f>
        <v/>
      </c>
      <c r="D1249" s="6"/>
      <c r="E1249" s="6"/>
      <c r="F1249" s="6"/>
      <c r="G1249" s="7" t="str">
        <f>IFNA(VLOOKUP(F1249,Driver!A:D,4,false),"")</f>
        <v/>
      </c>
      <c r="H1249" s="8" t="str">
        <f>IFNA(VLOOKUP(F1249,Driver!A:C,3,false),"")</f>
        <v/>
      </c>
      <c r="I1249" s="9"/>
      <c r="J1249" s="9"/>
      <c r="K1249" s="9"/>
    </row>
    <row r="1250" hidden="1">
      <c r="A1250" s="5" t="str">
        <f>IFNA(VLOOKUP(D1250,'Location Table'!A:C,2,false),"")</f>
        <v/>
      </c>
      <c r="B1250" s="5" t="str">
        <f>IFNA(VLOOKUP(F1250,Driver!A:C,2,false),"")</f>
        <v/>
      </c>
      <c r="C1250" s="5" t="str">
        <f>IFNA(VLOOKUP(E1250,'Location Table'!A:C,2,false),"")</f>
        <v/>
      </c>
      <c r="D1250" s="6"/>
      <c r="E1250" s="6"/>
      <c r="F1250" s="6"/>
      <c r="G1250" s="7" t="str">
        <f>IFNA(VLOOKUP(F1250,Driver!A:D,4,false),"")</f>
        <v/>
      </c>
      <c r="H1250" s="8" t="str">
        <f>IFNA(VLOOKUP(F1250,Driver!A:C,3,false),"")</f>
        <v/>
      </c>
      <c r="I1250" s="9"/>
      <c r="J1250" s="9"/>
      <c r="K1250" s="9"/>
    </row>
    <row r="1251" hidden="1">
      <c r="A1251" s="5" t="str">
        <f>IFNA(VLOOKUP(D1251,'Location Table'!A:C,2,false),"")</f>
        <v/>
      </c>
      <c r="B1251" s="5" t="str">
        <f>IFNA(VLOOKUP(F1251,Driver!A:C,2,false),"")</f>
        <v/>
      </c>
      <c r="C1251" s="5" t="str">
        <f>IFNA(VLOOKUP(E1251,'Location Table'!A:C,2,false),"")</f>
        <v/>
      </c>
      <c r="D1251" s="6"/>
      <c r="E1251" s="6"/>
      <c r="F1251" s="6"/>
      <c r="G1251" s="7" t="str">
        <f>IFNA(VLOOKUP(F1251,Driver!A:D,4,false),"")</f>
        <v/>
      </c>
      <c r="H1251" s="8" t="str">
        <f>IFNA(VLOOKUP(F1251,Driver!A:C,3,false),"")</f>
        <v/>
      </c>
      <c r="I1251" s="9"/>
      <c r="J1251" s="9"/>
      <c r="K1251" s="9"/>
    </row>
    <row r="1252" hidden="1">
      <c r="A1252" s="5" t="str">
        <f>IFNA(VLOOKUP(D1252,'Location Table'!A:C,2,false),"")</f>
        <v/>
      </c>
      <c r="B1252" s="5" t="str">
        <f>IFNA(VLOOKUP(F1252,Driver!A:C,2,false),"")</f>
        <v/>
      </c>
      <c r="C1252" s="5" t="str">
        <f>IFNA(VLOOKUP(E1252,'Location Table'!A:C,2,false),"")</f>
        <v/>
      </c>
      <c r="D1252" s="6"/>
      <c r="E1252" s="6"/>
      <c r="F1252" s="6"/>
      <c r="G1252" s="7" t="str">
        <f>IFNA(VLOOKUP(F1252,Driver!A:D,4,false),"")</f>
        <v/>
      </c>
      <c r="H1252" s="8" t="str">
        <f>IFNA(VLOOKUP(F1252,Driver!A:C,3,false),"")</f>
        <v/>
      </c>
      <c r="I1252" s="9"/>
      <c r="J1252" s="9"/>
      <c r="K1252" s="9"/>
    </row>
    <row r="1253" hidden="1">
      <c r="A1253" s="5" t="str">
        <f>IFNA(VLOOKUP(D1253,'Location Table'!A:C,2,false),"")</f>
        <v/>
      </c>
      <c r="B1253" s="5" t="str">
        <f>IFNA(VLOOKUP(F1253,Driver!A:C,2,false),"")</f>
        <v/>
      </c>
      <c r="C1253" s="5" t="str">
        <f>IFNA(VLOOKUP(E1253,'Location Table'!A:C,2,false),"")</f>
        <v/>
      </c>
      <c r="D1253" s="6"/>
      <c r="E1253" s="6"/>
      <c r="F1253" s="6"/>
      <c r="G1253" s="7" t="str">
        <f>IFNA(VLOOKUP(F1253,Driver!A:D,4,false),"")</f>
        <v/>
      </c>
      <c r="H1253" s="8" t="str">
        <f>IFNA(VLOOKUP(F1253,Driver!A:C,3,false),"")</f>
        <v/>
      </c>
      <c r="I1253" s="9"/>
      <c r="J1253" s="9"/>
      <c r="K1253" s="9"/>
    </row>
    <row r="1254" hidden="1">
      <c r="A1254" s="5" t="str">
        <f>IFNA(VLOOKUP(D1254,'Location Table'!A:C,2,false),"")</f>
        <v/>
      </c>
      <c r="B1254" s="5" t="str">
        <f>IFNA(VLOOKUP(F1254,Driver!A:C,2,false),"")</f>
        <v/>
      </c>
      <c r="C1254" s="5" t="str">
        <f>IFNA(VLOOKUP(E1254,'Location Table'!A:C,2,false),"")</f>
        <v/>
      </c>
      <c r="D1254" s="6"/>
      <c r="E1254" s="6"/>
      <c r="F1254" s="6"/>
      <c r="G1254" s="7" t="str">
        <f>IFNA(VLOOKUP(F1254,Driver!A:D,4,false),"")</f>
        <v/>
      </c>
      <c r="H1254" s="8" t="str">
        <f>IFNA(VLOOKUP(F1254,Driver!A:C,3,false),"")</f>
        <v/>
      </c>
      <c r="I1254" s="9"/>
      <c r="J1254" s="9"/>
      <c r="K1254" s="9"/>
    </row>
    <row r="1255" hidden="1">
      <c r="A1255" s="5" t="str">
        <f>IFNA(VLOOKUP(D1255,'Location Table'!A:C,2,false),"")</f>
        <v/>
      </c>
      <c r="B1255" s="5" t="str">
        <f>IFNA(VLOOKUP(F1255,Driver!A:C,2,false),"")</f>
        <v/>
      </c>
      <c r="C1255" s="5" t="str">
        <f>IFNA(VLOOKUP(E1255,'Location Table'!A:C,2,false),"")</f>
        <v/>
      </c>
      <c r="D1255" s="6"/>
      <c r="E1255" s="6"/>
      <c r="F1255" s="6"/>
      <c r="G1255" s="7" t="str">
        <f>IFNA(VLOOKUP(F1255,Driver!A:D,4,false),"")</f>
        <v/>
      </c>
      <c r="H1255" s="8" t="str">
        <f>IFNA(VLOOKUP(F1255,Driver!A:C,3,false),"")</f>
        <v/>
      </c>
      <c r="I1255" s="9"/>
      <c r="J1255" s="9"/>
      <c r="K1255" s="9"/>
    </row>
    <row r="1256" hidden="1">
      <c r="A1256" s="5" t="str">
        <f>IFNA(VLOOKUP(D1256,'Location Table'!A:C,2,false),"")</f>
        <v/>
      </c>
      <c r="B1256" s="5" t="str">
        <f>IFNA(VLOOKUP(F1256,Driver!A:C,2,false),"")</f>
        <v/>
      </c>
      <c r="C1256" s="5" t="str">
        <f>IFNA(VLOOKUP(E1256,'Location Table'!A:C,2,false),"")</f>
        <v/>
      </c>
      <c r="D1256" s="6"/>
      <c r="E1256" s="6"/>
      <c r="F1256" s="6"/>
      <c r="G1256" s="7" t="str">
        <f>IFNA(VLOOKUP(F1256,Driver!A:D,4,false),"")</f>
        <v/>
      </c>
      <c r="H1256" s="8" t="str">
        <f>IFNA(VLOOKUP(F1256,Driver!A:C,3,false),"")</f>
        <v/>
      </c>
      <c r="I1256" s="9"/>
      <c r="J1256" s="9"/>
      <c r="K1256" s="9"/>
    </row>
    <row r="1257" hidden="1">
      <c r="A1257" s="5" t="str">
        <f>IFNA(VLOOKUP(D1257,'Location Table'!A:C,2,false),"")</f>
        <v/>
      </c>
      <c r="B1257" s="5" t="str">
        <f>IFNA(VLOOKUP(F1257,Driver!A:C,2,false),"")</f>
        <v/>
      </c>
      <c r="C1257" s="5" t="str">
        <f>IFNA(VLOOKUP(E1257,'Location Table'!A:C,2,false),"")</f>
        <v/>
      </c>
      <c r="D1257" s="6"/>
      <c r="E1257" s="6"/>
      <c r="F1257" s="6"/>
      <c r="G1257" s="7" t="str">
        <f>IFNA(VLOOKUP(F1257,Driver!A:D,4,false),"")</f>
        <v/>
      </c>
      <c r="H1257" s="8" t="str">
        <f>IFNA(VLOOKUP(F1257,Driver!A:C,3,false),"")</f>
        <v/>
      </c>
      <c r="I1257" s="9"/>
      <c r="J1257" s="9"/>
      <c r="K1257" s="9"/>
    </row>
    <row r="1258" hidden="1">
      <c r="A1258" s="5" t="str">
        <f>IFNA(VLOOKUP(D1258,'Location Table'!A:C,2,false),"")</f>
        <v/>
      </c>
      <c r="B1258" s="5" t="str">
        <f>IFNA(VLOOKUP(F1258,Driver!A:C,2,false),"")</f>
        <v/>
      </c>
      <c r="C1258" s="5" t="str">
        <f>IFNA(VLOOKUP(E1258,'Location Table'!A:C,2,false),"")</f>
        <v/>
      </c>
      <c r="D1258" s="6"/>
      <c r="E1258" s="6"/>
      <c r="F1258" s="6"/>
      <c r="G1258" s="7" t="str">
        <f>IFNA(VLOOKUP(F1258,Driver!A:D,4,false),"")</f>
        <v/>
      </c>
      <c r="H1258" s="8" t="str">
        <f>IFNA(VLOOKUP(F1258,Driver!A:C,3,false),"")</f>
        <v/>
      </c>
      <c r="I1258" s="9"/>
      <c r="J1258" s="9"/>
      <c r="K1258" s="9"/>
    </row>
    <row r="1259" hidden="1">
      <c r="A1259" s="5" t="str">
        <f>IFNA(VLOOKUP(D1259,'Location Table'!A:C,2,false),"")</f>
        <v/>
      </c>
      <c r="B1259" s="5" t="str">
        <f>IFNA(VLOOKUP(F1259,Driver!A:C,2,false),"")</f>
        <v/>
      </c>
      <c r="C1259" s="5" t="str">
        <f>IFNA(VLOOKUP(E1259,'Location Table'!A:C,2,false),"")</f>
        <v/>
      </c>
      <c r="D1259" s="6"/>
      <c r="E1259" s="6"/>
      <c r="F1259" s="6"/>
      <c r="G1259" s="7" t="str">
        <f>IFNA(VLOOKUP(F1259,Driver!A:D,4,false),"")</f>
        <v/>
      </c>
      <c r="H1259" s="8" t="str">
        <f>IFNA(VLOOKUP(F1259,Driver!A:C,3,false),"")</f>
        <v/>
      </c>
      <c r="I1259" s="9"/>
      <c r="J1259" s="9"/>
      <c r="K1259" s="9"/>
    </row>
    <row r="1260" hidden="1">
      <c r="A1260" s="5" t="str">
        <f>IFNA(VLOOKUP(D1260,'Location Table'!A:C,2,false),"")</f>
        <v/>
      </c>
      <c r="B1260" s="5" t="str">
        <f>IFNA(VLOOKUP(F1260,Driver!A:C,2,false),"")</f>
        <v/>
      </c>
      <c r="C1260" s="5" t="str">
        <f>IFNA(VLOOKUP(E1260,'Location Table'!A:C,2,false),"")</f>
        <v/>
      </c>
      <c r="D1260" s="6"/>
      <c r="E1260" s="6"/>
      <c r="F1260" s="6"/>
      <c r="G1260" s="7" t="str">
        <f>IFNA(VLOOKUP(F1260,Driver!A:D,4,false),"")</f>
        <v/>
      </c>
      <c r="H1260" s="8" t="str">
        <f>IFNA(VLOOKUP(F1260,Driver!A:C,3,false),"")</f>
        <v/>
      </c>
      <c r="I1260" s="9"/>
      <c r="J1260" s="9"/>
      <c r="K1260" s="9"/>
    </row>
    <row r="1261" hidden="1">
      <c r="A1261" s="5" t="str">
        <f>IFNA(VLOOKUP(D1261,'Location Table'!A:C,2,false),"")</f>
        <v/>
      </c>
      <c r="B1261" s="5" t="str">
        <f>IFNA(VLOOKUP(F1261,Driver!A:C,2,false),"")</f>
        <v/>
      </c>
      <c r="C1261" s="5" t="str">
        <f>IFNA(VLOOKUP(E1261,'Location Table'!A:C,2,false),"")</f>
        <v/>
      </c>
      <c r="D1261" s="6"/>
      <c r="E1261" s="6"/>
      <c r="F1261" s="6"/>
      <c r="G1261" s="7" t="str">
        <f>IFNA(VLOOKUP(F1261,Driver!A:D,4,false),"")</f>
        <v/>
      </c>
      <c r="H1261" s="8" t="str">
        <f>IFNA(VLOOKUP(F1261,Driver!A:C,3,false),"")</f>
        <v/>
      </c>
      <c r="I1261" s="9"/>
      <c r="J1261" s="9"/>
      <c r="K1261" s="9"/>
    </row>
    <row r="1262" hidden="1">
      <c r="A1262" s="5" t="str">
        <f>IFNA(VLOOKUP(D1262,'Location Table'!A:C,2,false),"")</f>
        <v/>
      </c>
      <c r="B1262" s="5" t="str">
        <f>IFNA(VLOOKUP(F1262,Driver!A:C,2,false),"")</f>
        <v/>
      </c>
      <c r="C1262" s="5" t="str">
        <f>IFNA(VLOOKUP(E1262,'Location Table'!A:C,2,false),"")</f>
        <v/>
      </c>
      <c r="D1262" s="6"/>
      <c r="E1262" s="6"/>
      <c r="F1262" s="6"/>
      <c r="G1262" s="7" t="str">
        <f>IFNA(VLOOKUP(F1262,Driver!A:D,4,false),"")</f>
        <v/>
      </c>
      <c r="H1262" s="8" t="str">
        <f>IFNA(VLOOKUP(F1262,Driver!A:C,3,false),"")</f>
        <v/>
      </c>
      <c r="I1262" s="9"/>
      <c r="J1262" s="9"/>
      <c r="K1262" s="9"/>
    </row>
    <row r="1263" hidden="1">
      <c r="A1263" s="5" t="str">
        <f>IFNA(VLOOKUP(D1263,'Location Table'!A:C,2,false),"")</f>
        <v/>
      </c>
      <c r="B1263" s="5" t="str">
        <f>IFNA(VLOOKUP(F1263,Driver!A:C,2,false),"")</f>
        <v/>
      </c>
      <c r="C1263" s="5" t="str">
        <f>IFNA(VLOOKUP(E1263,'Location Table'!A:C,2,false),"")</f>
        <v/>
      </c>
      <c r="D1263" s="6"/>
      <c r="E1263" s="6"/>
      <c r="F1263" s="6"/>
      <c r="G1263" s="7" t="str">
        <f>IFNA(VLOOKUP(F1263,Driver!A:D,4,false),"")</f>
        <v/>
      </c>
      <c r="H1263" s="8" t="str">
        <f>IFNA(VLOOKUP(F1263,Driver!A:C,3,false),"")</f>
        <v/>
      </c>
      <c r="I1263" s="9"/>
      <c r="J1263" s="9"/>
      <c r="K1263" s="9"/>
    </row>
    <row r="1264" hidden="1">
      <c r="A1264" s="5" t="str">
        <f>IFNA(VLOOKUP(D1264,'Location Table'!A:C,2,false),"")</f>
        <v/>
      </c>
      <c r="B1264" s="5" t="str">
        <f>IFNA(VLOOKUP(F1264,Driver!A:C,2,false),"")</f>
        <v/>
      </c>
      <c r="C1264" s="5" t="str">
        <f>IFNA(VLOOKUP(E1264,'Location Table'!A:C,2,false),"")</f>
        <v/>
      </c>
      <c r="D1264" s="6"/>
      <c r="E1264" s="6"/>
      <c r="F1264" s="6"/>
      <c r="G1264" s="7" t="str">
        <f>IFNA(VLOOKUP(F1264,Driver!A:D,4,false),"")</f>
        <v/>
      </c>
      <c r="H1264" s="8" t="str">
        <f>IFNA(VLOOKUP(F1264,Driver!A:C,3,false),"")</f>
        <v/>
      </c>
      <c r="I1264" s="9"/>
      <c r="J1264" s="9"/>
      <c r="K1264" s="9"/>
    </row>
    <row r="1265" hidden="1">
      <c r="A1265" s="5" t="str">
        <f>IFNA(VLOOKUP(D1265,'Location Table'!A:C,2,false),"")</f>
        <v/>
      </c>
      <c r="B1265" s="5" t="str">
        <f>IFNA(VLOOKUP(F1265,Driver!A:C,2,false),"")</f>
        <v/>
      </c>
      <c r="C1265" s="5" t="str">
        <f>IFNA(VLOOKUP(E1265,'Location Table'!A:C,2,false),"")</f>
        <v/>
      </c>
      <c r="D1265" s="6"/>
      <c r="E1265" s="6"/>
      <c r="F1265" s="6"/>
      <c r="G1265" s="7" t="str">
        <f>IFNA(VLOOKUP(F1265,Driver!A:D,4,false),"")</f>
        <v/>
      </c>
      <c r="H1265" s="8" t="str">
        <f>IFNA(VLOOKUP(F1265,Driver!A:C,3,false),"")</f>
        <v/>
      </c>
      <c r="I1265" s="9"/>
      <c r="J1265" s="9"/>
      <c r="K1265" s="9"/>
    </row>
    <row r="1266" hidden="1">
      <c r="A1266" s="5" t="str">
        <f>IFNA(VLOOKUP(D1266,'Location Table'!A:C,2,false),"")</f>
        <v/>
      </c>
      <c r="B1266" s="5" t="str">
        <f>IFNA(VLOOKUP(F1266,Driver!A:C,2,false),"")</f>
        <v/>
      </c>
      <c r="C1266" s="5" t="str">
        <f>IFNA(VLOOKUP(E1266,'Location Table'!A:C,2,false),"")</f>
        <v/>
      </c>
      <c r="D1266" s="6"/>
      <c r="E1266" s="6"/>
      <c r="F1266" s="6"/>
      <c r="G1266" s="7" t="str">
        <f>IFNA(VLOOKUP(F1266,Driver!A:D,4,false),"")</f>
        <v/>
      </c>
      <c r="H1266" s="8" t="str">
        <f>IFNA(VLOOKUP(F1266,Driver!A:C,3,false),"")</f>
        <v/>
      </c>
      <c r="I1266" s="9"/>
      <c r="J1266" s="9"/>
      <c r="K1266" s="9"/>
    </row>
    <row r="1267" hidden="1">
      <c r="A1267" s="5" t="str">
        <f>IFNA(VLOOKUP(D1267,'Location Table'!A:C,2,false),"")</f>
        <v/>
      </c>
      <c r="B1267" s="5" t="str">
        <f>IFNA(VLOOKUP(F1267,Driver!A:C,2,false),"")</f>
        <v/>
      </c>
      <c r="C1267" s="5" t="str">
        <f>IFNA(VLOOKUP(E1267,'Location Table'!A:C,2,false),"")</f>
        <v/>
      </c>
      <c r="D1267" s="6"/>
      <c r="E1267" s="6"/>
      <c r="F1267" s="6"/>
      <c r="G1267" s="7" t="str">
        <f>IFNA(VLOOKUP(F1267,Driver!A:D,4,false),"")</f>
        <v/>
      </c>
      <c r="H1267" s="8" t="str">
        <f>IFNA(VLOOKUP(F1267,Driver!A:C,3,false),"")</f>
        <v/>
      </c>
      <c r="I1267" s="9"/>
      <c r="J1267" s="9"/>
      <c r="K1267" s="9"/>
    </row>
    <row r="1268" hidden="1">
      <c r="A1268" s="5" t="str">
        <f>IFNA(VLOOKUP(D1268,'Location Table'!A:C,2,false),"")</f>
        <v/>
      </c>
      <c r="B1268" s="5" t="str">
        <f>IFNA(VLOOKUP(F1268,Driver!A:C,2,false),"")</f>
        <v/>
      </c>
      <c r="C1268" s="5" t="str">
        <f>IFNA(VLOOKUP(E1268,'Location Table'!A:C,2,false),"")</f>
        <v/>
      </c>
      <c r="D1268" s="6"/>
      <c r="E1268" s="6"/>
      <c r="F1268" s="6"/>
      <c r="G1268" s="7" t="str">
        <f>IFNA(VLOOKUP(F1268,Driver!A:D,4,false),"")</f>
        <v/>
      </c>
      <c r="H1268" s="8" t="str">
        <f>IFNA(VLOOKUP(F1268,Driver!A:C,3,false),"")</f>
        <v/>
      </c>
      <c r="I1268" s="9"/>
      <c r="J1268" s="9"/>
      <c r="K1268" s="9"/>
    </row>
    <row r="1269" hidden="1">
      <c r="A1269" s="5" t="str">
        <f>IFNA(VLOOKUP(D1269,'Location Table'!A:C,2,false),"")</f>
        <v/>
      </c>
      <c r="B1269" s="5" t="str">
        <f>IFNA(VLOOKUP(F1269,Driver!A:C,2,false),"")</f>
        <v/>
      </c>
      <c r="C1269" s="5" t="str">
        <f>IFNA(VLOOKUP(E1269,'Location Table'!A:C,2,false),"")</f>
        <v/>
      </c>
      <c r="D1269" s="6"/>
      <c r="E1269" s="6"/>
      <c r="F1269" s="6"/>
      <c r="G1269" s="7" t="str">
        <f>IFNA(VLOOKUP(F1269,Driver!A:D,4,false),"")</f>
        <v/>
      </c>
      <c r="H1269" s="8" t="str">
        <f>IFNA(VLOOKUP(F1269,Driver!A:C,3,false),"")</f>
        <v/>
      </c>
      <c r="I1269" s="9"/>
      <c r="J1269" s="9"/>
      <c r="K1269" s="9"/>
    </row>
    <row r="1270" hidden="1">
      <c r="A1270" s="5" t="str">
        <f>IFNA(VLOOKUP(D1270,'Location Table'!A:C,2,false),"")</f>
        <v/>
      </c>
      <c r="B1270" s="5" t="str">
        <f>IFNA(VLOOKUP(F1270,Driver!A:C,2,false),"")</f>
        <v/>
      </c>
      <c r="C1270" s="5" t="str">
        <f>IFNA(VLOOKUP(E1270,'Location Table'!A:C,2,false),"")</f>
        <v/>
      </c>
      <c r="D1270" s="6"/>
      <c r="E1270" s="6"/>
      <c r="F1270" s="6"/>
      <c r="G1270" s="7" t="str">
        <f>IFNA(VLOOKUP(F1270,Driver!A:D,4,false),"")</f>
        <v/>
      </c>
      <c r="H1270" s="8" t="str">
        <f>IFNA(VLOOKUP(F1270,Driver!A:C,3,false),"")</f>
        <v/>
      </c>
      <c r="I1270" s="9"/>
      <c r="J1270" s="9"/>
      <c r="K1270" s="9"/>
    </row>
    <row r="1271" hidden="1">
      <c r="A1271" s="5" t="str">
        <f>IFNA(VLOOKUP(D1271,'Location Table'!A:C,2,false),"")</f>
        <v/>
      </c>
      <c r="B1271" s="5" t="str">
        <f>IFNA(VLOOKUP(F1271,Driver!A:C,2,false),"")</f>
        <v/>
      </c>
      <c r="C1271" s="5" t="str">
        <f>IFNA(VLOOKUP(E1271,'Location Table'!A:C,2,false),"")</f>
        <v/>
      </c>
      <c r="D1271" s="6"/>
      <c r="E1271" s="6"/>
      <c r="F1271" s="6"/>
      <c r="G1271" s="7" t="str">
        <f>IFNA(VLOOKUP(F1271,Driver!A:D,4,false),"")</f>
        <v/>
      </c>
      <c r="H1271" s="8" t="str">
        <f>IFNA(VLOOKUP(F1271,Driver!A:C,3,false),"")</f>
        <v/>
      </c>
      <c r="I1271" s="9"/>
      <c r="J1271" s="9"/>
      <c r="K1271" s="9"/>
    </row>
    <row r="1272" hidden="1">
      <c r="A1272" s="5" t="str">
        <f>IFNA(VLOOKUP(D1272,'Location Table'!A:C,2,false),"")</f>
        <v/>
      </c>
      <c r="B1272" s="5" t="str">
        <f>IFNA(VLOOKUP(F1272,Driver!A:C,2,false),"")</f>
        <v/>
      </c>
      <c r="C1272" s="5" t="str">
        <f>IFNA(VLOOKUP(E1272,'Location Table'!A:C,2,false),"")</f>
        <v/>
      </c>
      <c r="D1272" s="6"/>
      <c r="E1272" s="6"/>
      <c r="F1272" s="6"/>
      <c r="G1272" s="7" t="str">
        <f>IFNA(VLOOKUP(F1272,Driver!A:D,4,false),"")</f>
        <v/>
      </c>
      <c r="H1272" s="8" t="str">
        <f>IFNA(VLOOKUP(F1272,Driver!A:C,3,false),"")</f>
        <v/>
      </c>
      <c r="I1272" s="9"/>
      <c r="J1272" s="9"/>
      <c r="K1272" s="9"/>
    </row>
    <row r="1273" hidden="1">
      <c r="A1273" s="5" t="str">
        <f>IFNA(VLOOKUP(D1273,'Location Table'!A:C,2,false),"")</f>
        <v/>
      </c>
      <c r="B1273" s="5" t="str">
        <f>IFNA(VLOOKUP(F1273,Driver!A:C,2,false),"")</f>
        <v/>
      </c>
      <c r="C1273" s="5" t="str">
        <f>IFNA(VLOOKUP(E1273,'Location Table'!A:C,2,false),"")</f>
        <v/>
      </c>
      <c r="D1273" s="6"/>
      <c r="E1273" s="6"/>
      <c r="F1273" s="6"/>
      <c r="G1273" s="7" t="str">
        <f>IFNA(VLOOKUP(F1273,Driver!A:D,4,false),"")</f>
        <v/>
      </c>
      <c r="H1273" s="8" t="str">
        <f>IFNA(VLOOKUP(F1273,Driver!A:C,3,false),"")</f>
        <v/>
      </c>
      <c r="I1273" s="9"/>
      <c r="J1273" s="9"/>
      <c r="K1273" s="9"/>
    </row>
    <row r="1274" hidden="1">
      <c r="A1274" s="5" t="str">
        <f>IFNA(VLOOKUP(D1274,'Location Table'!A:C,2,false),"")</f>
        <v/>
      </c>
      <c r="B1274" s="5" t="str">
        <f>IFNA(VLOOKUP(F1274,Driver!A:C,2,false),"")</f>
        <v/>
      </c>
      <c r="C1274" s="5" t="str">
        <f>IFNA(VLOOKUP(E1274,'Location Table'!A:C,2,false),"")</f>
        <v/>
      </c>
      <c r="D1274" s="6"/>
      <c r="E1274" s="6"/>
      <c r="F1274" s="6"/>
      <c r="G1274" s="7" t="str">
        <f>IFNA(VLOOKUP(F1274,Driver!A:D,4,false),"")</f>
        <v/>
      </c>
      <c r="H1274" s="8" t="str">
        <f>IFNA(VLOOKUP(F1274,Driver!A:C,3,false),"")</f>
        <v/>
      </c>
      <c r="I1274" s="9"/>
      <c r="J1274" s="9"/>
      <c r="K1274" s="9"/>
    </row>
    <row r="1275" hidden="1">
      <c r="A1275" s="5" t="str">
        <f>IFNA(VLOOKUP(D1275,'Location Table'!A:C,2,false),"")</f>
        <v/>
      </c>
      <c r="B1275" s="5" t="str">
        <f>IFNA(VLOOKUP(F1275,Driver!A:C,2,false),"")</f>
        <v/>
      </c>
      <c r="C1275" s="5" t="str">
        <f>IFNA(VLOOKUP(E1275,'Location Table'!A:C,2,false),"")</f>
        <v/>
      </c>
      <c r="D1275" s="6"/>
      <c r="E1275" s="6"/>
      <c r="F1275" s="6"/>
      <c r="G1275" s="7" t="str">
        <f>IFNA(VLOOKUP(F1275,Driver!A:D,4,false),"")</f>
        <v/>
      </c>
      <c r="H1275" s="8" t="str">
        <f>IFNA(VLOOKUP(F1275,Driver!A:C,3,false),"")</f>
        <v/>
      </c>
      <c r="I1275" s="9"/>
      <c r="J1275" s="9"/>
      <c r="K1275" s="9"/>
    </row>
    <row r="1276" hidden="1">
      <c r="A1276" s="5" t="str">
        <f>IFNA(VLOOKUP(D1276,'Location Table'!A:C,2,false),"")</f>
        <v/>
      </c>
      <c r="B1276" s="5" t="str">
        <f>IFNA(VLOOKUP(F1276,Driver!A:C,2,false),"")</f>
        <v/>
      </c>
      <c r="C1276" s="5" t="str">
        <f>IFNA(VLOOKUP(E1276,'Location Table'!A:C,2,false),"")</f>
        <v/>
      </c>
      <c r="D1276" s="6"/>
      <c r="E1276" s="6"/>
      <c r="F1276" s="6"/>
      <c r="G1276" s="7" t="str">
        <f>IFNA(VLOOKUP(F1276,Driver!A:D,4,false),"")</f>
        <v/>
      </c>
      <c r="H1276" s="8" t="str">
        <f>IFNA(VLOOKUP(F1276,Driver!A:C,3,false),"")</f>
        <v/>
      </c>
      <c r="I1276" s="9"/>
      <c r="J1276" s="9"/>
      <c r="K1276" s="9"/>
    </row>
    <row r="1277" hidden="1">
      <c r="A1277" s="5" t="str">
        <f>IFNA(VLOOKUP(D1277,'Location Table'!A:C,2,false),"")</f>
        <v/>
      </c>
      <c r="B1277" s="5" t="str">
        <f>IFNA(VLOOKUP(F1277,Driver!A:C,2,false),"")</f>
        <v/>
      </c>
      <c r="C1277" s="5" t="str">
        <f>IFNA(VLOOKUP(E1277,'Location Table'!A:C,2,false),"")</f>
        <v/>
      </c>
      <c r="D1277" s="6"/>
      <c r="E1277" s="6"/>
      <c r="F1277" s="6"/>
      <c r="G1277" s="7" t="str">
        <f>IFNA(VLOOKUP(F1277,Driver!A:D,4,false),"")</f>
        <v/>
      </c>
      <c r="H1277" s="8" t="str">
        <f>IFNA(VLOOKUP(F1277,Driver!A:C,3,false),"")</f>
        <v/>
      </c>
      <c r="I1277" s="9"/>
      <c r="J1277" s="9"/>
      <c r="K1277" s="9"/>
    </row>
    <row r="1278" hidden="1">
      <c r="A1278" s="5" t="str">
        <f>IFNA(VLOOKUP(D1278,'Location Table'!A:C,2,false),"")</f>
        <v/>
      </c>
      <c r="B1278" s="5" t="str">
        <f>IFNA(VLOOKUP(F1278,Driver!A:C,2,false),"")</f>
        <v/>
      </c>
      <c r="C1278" s="5" t="str">
        <f>IFNA(VLOOKUP(E1278,'Location Table'!A:C,2,false),"")</f>
        <v/>
      </c>
      <c r="D1278" s="6"/>
      <c r="E1278" s="6"/>
      <c r="F1278" s="6"/>
      <c r="G1278" s="7" t="str">
        <f>IFNA(VLOOKUP(F1278,Driver!A:D,4,false),"")</f>
        <v/>
      </c>
      <c r="H1278" s="8" t="str">
        <f>IFNA(VLOOKUP(F1278,Driver!A:C,3,false),"")</f>
        <v/>
      </c>
      <c r="I1278" s="9"/>
      <c r="J1278" s="9"/>
      <c r="K1278" s="9"/>
    </row>
    <row r="1279" hidden="1">
      <c r="A1279" s="5" t="str">
        <f>IFNA(VLOOKUP(D1279,'Location Table'!A:C,2,false),"")</f>
        <v/>
      </c>
      <c r="B1279" s="5" t="str">
        <f>IFNA(VLOOKUP(F1279,Driver!A:C,2,false),"")</f>
        <v/>
      </c>
      <c r="C1279" s="5" t="str">
        <f>IFNA(VLOOKUP(E1279,'Location Table'!A:C,2,false),"")</f>
        <v/>
      </c>
      <c r="D1279" s="6"/>
      <c r="E1279" s="6"/>
      <c r="F1279" s="6"/>
      <c r="G1279" s="7" t="str">
        <f>IFNA(VLOOKUP(F1279,Driver!A:D,4,false),"")</f>
        <v/>
      </c>
      <c r="H1279" s="8" t="str">
        <f>IFNA(VLOOKUP(F1279,Driver!A:C,3,false),"")</f>
        <v/>
      </c>
      <c r="I1279" s="9"/>
      <c r="J1279" s="9"/>
      <c r="K1279" s="9"/>
    </row>
    <row r="1280" hidden="1">
      <c r="A1280" s="5" t="str">
        <f>IFNA(VLOOKUP(D1280,'Location Table'!A:C,2,false),"")</f>
        <v/>
      </c>
      <c r="B1280" s="5" t="str">
        <f>IFNA(VLOOKUP(F1280,Driver!A:C,2,false),"")</f>
        <v/>
      </c>
      <c r="C1280" s="5" t="str">
        <f>IFNA(VLOOKUP(E1280,'Location Table'!A:C,2,false),"")</f>
        <v/>
      </c>
      <c r="D1280" s="6"/>
      <c r="E1280" s="6"/>
      <c r="F1280" s="6"/>
      <c r="G1280" s="7" t="str">
        <f>IFNA(VLOOKUP(F1280,Driver!A:D,4,false),"")</f>
        <v/>
      </c>
      <c r="H1280" s="8" t="str">
        <f>IFNA(VLOOKUP(F1280,Driver!A:C,3,false),"")</f>
        <v/>
      </c>
      <c r="I1280" s="9"/>
      <c r="J1280" s="9"/>
      <c r="K1280" s="9"/>
    </row>
    <row r="1281" hidden="1">
      <c r="A1281" s="5" t="str">
        <f>IFNA(VLOOKUP(D1281,'Location Table'!A:C,2,false),"")</f>
        <v/>
      </c>
      <c r="B1281" s="5" t="str">
        <f>IFNA(VLOOKUP(F1281,Driver!A:C,2,false),"")</f>
        <v/>
      </c>
      <c r="C1281" s="5" t="str">
        <f>IFNA(VLOOKUP(E1281,'Location Table'!A:C,2,false),"")</f>
        <v/>
      </c>
      <c r="D1281" s="6"/>
      <c r="E1281" s="6"/>
      <c r="F1281" s="6"/>
      <c r="G1281" s="7" t="str">
        <f>IFNA(VLOOKUP(F1281,Driver!A:D,4,false),"")</f>
        <v/>
      </c>
      <c r="H1281" s="8" t="str">
        <f>IFNA(VLOOKUP(F1281,Driver!A:C,3,false),"")</f>
        <v/>
      </c>
      <c r="I1281" s="9"/>
      <c r="J1281" s="9"/>
      <c r="K1281" s="9"/>
    </row>
    <row r="1282" hidden="1">
      <c r="A1282" s="5" t="str">
        <f>IFNA(VLOOKUP(D1282,'Location Table'!A:C,2,false),"")</f>
        <v/>
      </c>
      <c r="B1282" s="5" t="str">
        <f>IFNA(VLOOKUP(F1282,Driver!A:C,2,false),"")</f>
        <v/>
      </c>
      <c r="C1282" s="5" t="str">
        <f>IFNA(VLOOKUP(E1282,'Location Table'!A:C,2,false),"")</f>
        <v/>
      </c>
      <c r="D1282" s="6"/>
      <c r="E1282" s="6"/>
      <c r="F1282" s="6"/>
      <c r="G1282" s="7" t="str">
        <f>IFNA(VLOOKUP(F1282,Driver!A:D,4,false),"")</f>
        <v/>
      </c>
      <c r="H1282" s="8" t="str">
        <f>IFNA(VLOOKUP(F1282,Driver!A:C,3,false),"")</f>
        <v/>
      </c>
      <c r="I1282" s="9"/>
      <c r="J1282" s="9"/>
      <c r="K1282" s="9"/>
    </row>
    <row r="1283" hidden="1">
      <c r="A1283" s="5" t="str">
        <f>IFNA(VLOOKUP(D1283,'Location Table'!A:C,2,false),"")</f>
        <v/>
      </c>
      <c r="B1283" s="5" t="str">
        <f>IFNA(VLOOKUP(F1283,Driver!A:C,2,false),"")</f>
        <v/>
      </c>
      <c r="C1283" s="5" t="str">
        <f>IFNA(VLOOKUP(E1283,'Location Table'!A:C,2,false),"")</f>
        <v/>
      </c>
      <c r="D1283" s="6"/>
      <c r="E1283" s="6"/>
      <c r="F1283" s="6"/>
      <c r="G1283" s="7" t="str">
        <f>IFNA(VLOOKUP(F1283,Driver!A:D,4,false),"")</f>
        <v/>
      </c>
      <c r="H1283" s="8" t="str">
        <f>IFNA(VLOOKUP(F1283,Driver!A:C,3,false),"")</f>
        <v/>
      </c>
      <c r="I1283" s="9"/>
      <c r="J1283" s="9"/>
      <c r="K1283" s="9"/>
    </row>
    <row r="1284" hidden="1">
      <c r="A1284" s="5" t="str">
        <f>IFNA(VLOOKUP(D1284,'Location Table'!A:C,2,false),"")</f>
        <v/>
      </c>
      <c r="B1284" s="5" t="str">
        <f>IFNA(VLOOKUP(F1284,Driver!A:C,2,false),"")</f>
        <v/>
      </c>
      <c r="C1284" s="5" t="str">
        <f>IFNA(VLOOKUP(E1284,'Location Table'!A:C,2,false),"")</f>
        <v/>
      </c>
      <c r="D1284" s="6"/>
      <c r="E1284" s="6"/>
      <c r="F1284" s="6"/>
      <c r="G1284" s="7" t="str">
        <f>IFNA(VLOOKUP(F1284,Driver!A:D,4,false),"")</f>
        <v/>
      </c>
      <c r="H1284" s="8" t="str">
        <f>IFNA(VLOOKUP(F1284,Driver!A:C,3,false),"")</f>
        <v/>
      </c>
      <c r="I1284" s="9"/>
      <c r="J1284" s="9"/>
      <c r="K1284" s="9"/>
    </row>
    <row r="1285" hidden="1">
      <c r="A1285" s="5" t="str">
        <f>IFNA(VLOOKUP(D1285,'Location Table'!A:C,2,false),"")</f>
        <v/>
      </c>
      <c r="B1285" s="5" t="str">
        <f>IFNA(VLOOKUP(F1285,Driver!A:C,2,false),"")</f>
        <v/>
      </c>
      <c r="C1285" s="5" t="str">
        <f>IFNA(VLOOKUP(E1285,'Location Table'!A:C,2,false),"")</f>
        <v/>
      </c>
      <c r="D1285" s="6"/>
      <c r="E1285" s="6"/>
      <c r="F1285" s="6"/>
      <c r="G1285" s="7" t="str">
        <f>IFNA(VLOOKUP(F1285,Driver!A:D,4,false),"")</f>
        <v/>
      </c>
      <c r="H1285" s="8" t="str">
        <f>IFNA(VLOOKUP(F1285,Driver!A:C,3,false),"")</f>
        <v/>
      </c>
      <c r="I1285" s="9"/>
      <c r="J1285" s="9"/>
      <c r="K1285" s="9"/>
    </row>
    <row r="1286" hidden="1">
      <c r="A1286" s="5" t="str">
        <f>IFNA(VLOOKUP(D1286,'Location Table'!A:C,2,false),"")</f>
        <v/>
      </c>
      <c r="B1286" s="5" t="str">
        <f>IFNA(VLOOKUP(F1286,Driver!A:C,2,false),"")</f>
        <v/>
      </c>
      <c r="C1286" s="5" t="str">
        <f>IFNA(VLOOKUP(E1286,'Location Table'!A:C,2,false),"")</f>
        <v/>
      </c>
      <c r="D1286" s="6"/>
      <c r="E1286" s="6"/>
      <c r="F1286" s="6"/>
      <c r="G1286" s="7" t="str">
        <f>IFNA(VLOOKUP(F1286,Driver!A:D,4,false),"")</f>
        <v/>
      </c>
      <c r="H1286" s="8" t="str">
        <f>IFNA(VLOOKUP(F1286,Driver!A:C,3,false),"")</f>
        <v/>
      </c>
      <c r="I1286" s="9"/>
      <c r="J1286" s="9"/>
      <c r="K1286" s="9"/>
    </row>
    <row r="1287" hidden="1">
      <c r="A1287" s="5" t="str">
        <f>IFNA(VLOOKUP(D1287,'Location Table'!A:C,2,false),"")</f>
        <v/>
      </c>
      <c r="B1287" s="5" t="str">
        <f>IFNA(VLOOKUP(F1287,Driver!A:C,2,false),"")</f>
        <v/>
      </c>
      <c r="C1287" s="5" t="str">
        <f>IFNA(VLOOKUP(E1287,'Location Table'!A:C,2,false),"")</f>
        <v/>
      </c>
      <c r="D1287" s="6"/>
      <c r="E1287" s="6"/>
      <c r="F1287" s="6"/>
      <c r="G1287" s="7" t="str">
        <f>IFNA(VLOOKUP(F1287,Driver!A:D,4,false),"")</f>
        <v/>
      </c>
      <c r="H1287" s="8" t="str">
        <f>IFNA(VLOOKUP(F1287,Driver!A:C,3,false),"")</f>
        <v/>
      </c>
      <c r="I1287" s="9"/>
      <c r="J1287" s="9"/>
      <c r="K1287" s="9"/>
    </row>
    <row r="1288" hidden="1">
      <c r="A1288" s="5" t="str">
        <f>IFNA(VLOOKUP(D1288,'Location Table'!A:C,2,false),"")</f>
        <v/>
      </c>
      <c r="B1288" s="5" t="str">
        <f>IFNA(VLOOKUP(F1288,Driver!A:C,2,false),"")</f>
        <v/>
      </c>
      <c r="C1288" s="5" t="str">
        <f>IFNA(VLOOKUP(E1288,'Location Table'!A:C,2,false),"")</f>
        <v/>
      </c>
      <c r="D1288" s="6"/>
      <c r="E1288" s="6"/>
      <c r="F1288" s="6"/>
      <c r="G1288" s="7" t="str">
        <f>IFNA(VLOOKUP(F1288,Driver!A:D,4,false),"")</f>
        <v/>
      </c>
      <c r="H1288" s="8" t="str">
        <f>IFNA(VLOOKUP(F1288,Driver!A:C,3,false),"")</f>
        <v/>
      </c>
      <c r="I1288" s="9"/>
      <c r="J1288" s="9"/>
      <c r="K1288" s="9"/>
    </row>
    <row r="1289" hidden="1">
      <c r="A1289" s="5" t="str">
        <f>IFNA(VLOOKUP(D1289,'Location Table'!A:C,2,false),"")</f>
        <v/>
      </c>
      <c r="B1289" s="5" t="str">
        <f>IFNA(VLOOKUP(F1289,Driver!A:C,2,false),"")</f>
        <v/>
      </c>
      <c r="C1289" s="5" t="str">
        <f>IFNA(VLOOKUP(E1289,'Location Table'!A:C,2,false),"")</f>
        <v/>
      </c>
      <c r="D1289" s="6"/>
      <c r="E1289" s="6"/>
      <c r="F1289" s="6"/>
      <c r="G1289" s="7" t="str">
        <f>IFNA(VLOOKUP(F1289,Driver!A:D,4,false),"")</f>
        <v/>
      </c>
      <c r="H1289" s="8" t="str">
        <f>IFNA(VLOOKUP(F1289,Driver!A:C,3,false),"")</f>
        <v/>
      </c>
      <c r="I1289" s="9"/>
      <c r="J1289" s="9"/>
      <c r="K1289" s="9"/>
    </row>
    <row r="1290" hidden="1">
      <c r="A1290" s="5" t="str">
        <f>IFNA(VLOOKUP(D1290,'Location Table'!A:C,2,false),"")</f>
        <v/>
      </c>
      <c r="B1290" s="5" t="str">
        <f>IFNA(VLOOKUP(F1290,Driver!A:C,2,false),"")</f>
        <v/>
      </c>
      <c r="C1290" s="5" t="str">
        <f>IFNA(VLOOKUP(E1290,'Location Table'!A:C,2,false),"")</f>
        <v/>
      </c>
      <c r="D1290" s="6"/>
      <c r="E1290" s="6"/>
      <c r="F1290" s="6"/>
      <c r="G1290" s="7" t="str">
        <f>IFNA(VLOOKUP(F1290,Driver!A:D,4,false),"")</f>
        <v/>
      </c>
      <c r="H1290" s="8" t="str">
        <f>IFNA(VLOOKUP(F1290,Driver!A:C,3,false),"")</f>
        <v/>
      </c>
      <c r="I1290" s="9"/>
      <c r="J1290" s="9"/>
      <c r="K1290" s="9"/>
    </row>
    <row r="1291" hidden="1">
      <c r="A1291" s="5" t="str">
        <f>IFNA(VLOOKUP(D1291,'Location Table'!A:C,2,false),"")</f>
        <v/>
      </c>
      <c r="B1291" s="5" t="str">
        <f>IFNA(VLOOKUP(F1291,Driver!A:C,2,false),"")</f>
        <v/>
      </c>
      <c r="C1291" s="5" t="str">
        <f>IFNA(VLOOKUP(E1291,'Location Table'!A:C,2,false),"")</f>
        <v/>
      </c>
      <c r="D1291" s="6"/>
      <c r="E1291" s="6"/>
      <c r="F1291" s="6"/>
      <c r="G1291" s="7" t="str">
        <f>IFNA(VLOOKUP(F1291,Driver!A:D,4,false),"")</f>
        <v/>
      </c>
      <c r="H1291" s="8" t="str">
        <f>IFNA(VLOOKUP(F1291,Driver!A:C,3,false),"")</f>
        <v/>
      </c>
      <c r="I1291" s="9"/>
      <c r="J1291" s="9"/>
      <c r="K1291" s="9"/>
    </row>
    <row r="1292" hidden="1">
      <c r="A1292" s="5" t="str">
        <f>IFNA(VLOOKUP(D1292,'Location Table'!A:C,2,false),"")</f>
        <v/>
      </c>
      <c r="B1292" s="5" t="str">
        <f>IFNA(VLOOKUP(F1292,Driver!A:C,2,false),"")</f>
        <v/>
      </c>
      <c r="C1292" s="5" t="str">
        <f>IFNA(VLOOKUP(E1292,'Location Table'!A:C,2,false),"")</f>
        <v/>
      </c>
      <c r="D1292" s="6"/>
      <c r="E1292" s="6"/>
      <c r="F1292" s="6"/>
      <c r="G1292" s="7" t="str">
        <f>IFNA(VLOOKUP(F1292,Driver!A:D,4,false),"")</f>
        <v/>
      </c>
      <c r="H1292" s="8" t="str">
        <f>IFNA(VLOOKUP(F1292,Driver!A:C,3,false),"")</f>
        <v/>
      </c>
      <c r="I1292" s="9"/>
      <c r="J1292" s="9"/>
      <c r="K1292" s="9"/>
    </row>
    <row r="1293" hidden="1">
      <c r="A1293" s="5" t="str">
        <f>IFNA(VLOOKUP(D1293,'Location Table'!A:C,2,false),"")</f>
        <v/>
      </c>
      <c r="B1293" s="5" t="str">
        <f>IFNA(VLOOKUP(F1293,Driver!A:C,2,false),"")</f>
        <v/>
      </c>
      <c r="C1293" s="5" t="str">
        <f>IFNA(VLOOKUP(E1293,'Location Table'!A:C,2,false),"")</f>
        <v/>
      </c>
      <c r="D1293" s="6"/>
      <c r="E1293" s="6"/>
      <c r="F1293" s="6"/>
      <c r="G1293" s="7" t="str">
        <f>IFNA(VLOOKUP(F1293,Driver!A:D,4,false),"")</f>
        <v/>
      </c>
      <c r="H1293" s="8" t="str">
        <f>IFNA(VLOOKUP(F1293,Driver!A:C,3,false),"")</f>
        <v/>
      </c>
      <c r="I1293" s="9"/>
      <c r="J1293" s="9"/>
      <c r="K1293" s="9"/>
    </row>
    <row r="1294" hidden="1">
      <c r="A1294" s="5" t="str">
        <f>IFNA(VLOOKUP(D1294,'Location Table'!A:C,2,false),"")</f>
        <v/>
      </c>
      <c r="B1294" s="5" t="str">
        <f>IFNA(VLOOKUP(F1294,Driver!A:C,2,false),"")</f>
        <v/>
      </c>
      <c r="C1294" s="5" t="str">
        <f>IFNA(VLOOKUP(E1294,'Location Table'!A:C,2,false),"")</f>
        <v/>
      </c>
      <c r="D1294" s="6"/>
      <c r="E1294" s="6"/>
      <c r="F1294" s="6"/>
      <c r="G1294" s="7" t="str">
        <f>IFNA(VLOOKUP(F1294,Driver!A:D,4,false),"")</f>
        <v/>
      </c>
      <c r="H1294" s="8" t="str">
        <f>IFNA(VLOOKUP(F1294,Driver!A:C,3,false),"")</f>
        <v/>
      </c>
      <c r="I1294" s="9"/>
      <c r="J1294" s="9"/>
      <c r="K1294" s="9"/>
    </row>
    <row r="1295" hidden="1">
      <c r="A1295" s="5" t="str">
        <f>IFNA(VLOOKUP(D1295,'Location Table'!A:C,2,false),"")</f>
        <v/>
      </c>
      <c r="B1295" s="5" t="str">
        <f>IFNA(VLOOKUP(F1295,Driver!A:C,2,false),"")</f>
        <v/>
      </c>
      <c r="C1295" s="5" t="str">
        <f>IFNA(VLOOKUP(E1295,'Location Table'!A:C,2,false),"")</f>
        <v/>
      </c>
      <c r="D1295" s="6"/>
      <c r="E1295" s="6"/>
      <c r="F1295" s="6"/>
      <c r="G1295" s="7" t="str">
        <f>IFNA(VLOOKUP(F1295,Driver!A:D,4,false),"")</f>
        <v/>
      </c>
      <c r="H1295" s="8" t="str">
        <f>IFNA(VLOOKUP(F1295,Driver!A:C,3,false),"")</f>
        <v/>
      </c>
      <c r="I1295" s="9"/>
      <c r="J1295" s="9"/>
      <c r="K1295" s="9"/>
    </row>
    <row r="1296" hidden="1">
      <c r="A1296" s="5" t="str">
        <f>IFNA(VLOOKUP(D1296,'Location Table'!A:C,2,false),"")</f>
        <v/>
      </c>
      <c r="B1296" s="5" t="str">
        <f>IFNA(VLOOKUP(F1296,Driver!A:C,2,false),"")</f>
        <v/>
      </c>
      <c r="C1296" s="5" t="str">
        <f>IFNA(VLOOKUP(E1296,'Location Table'!A:C,2,false),"")</f>
        <v/>
      </c>
      <c r="D1296" s="6"/>
      <c r="E1296" s="6"/>
      <c r="F1296" s="6"/>
      <c r="G1296" s="7" t="str">
        <f>IFNA(VLOOKUP(F1296,Driver!A:D,4,false),"")</f>
        <v/>
      </c>
      <c r="H1296" s="8" t="str">
        <f>IFNA(VLOOKUP(F1296,Driver!A:C,3,false),"")</f>
        <v/>
      </c>
      <c r="I1296" s="9"/>
      <c r="J1296" s="9"/>
      <c r="K1296" s="9"/>
    </row>
    <row r="1297" hidden="1">
      <c r="A1297" s="5" t="str">
        <f>IFNA(VLOOKUP(D1297,'Location Table'!A:C,2,false),"")</f>
        <v/>
      </c>
      <c r="B1297" s="5" t="str">
        <f>IFNA(VLOOKUP(F1297,Driver!A:C,2,false),"")</f>
        <v/>
      </c>
      <c r="C1297" s="5" t="str">
        <f>IFNA(VLOOKUP(E1297,'Location Table'!A:C,2,false),"")</f>
        <v/>
      </c>
      <c r="D1297" s="6"/>
      <c r="E1297" s="6"/>
      <c r="F1297" s="6"/>
      <c r="G1297" s="7" t="str">
        <f>IFNA(VLOOKUP(F1297,Driver!A:D,4,false),"")</f>
        <v/>
      </c>
      <c r="H1297" s="8" t="str">
        <f>IFNA(VLOOKUP(F1297,Driver!A:C,3,false),"")</f>
        <v/>
      </c>
      <c r="I1297" s="9"/>
      <c r="J1297" s="9"/>
      <c r="K1297" s="9"/>
    </row>
    <row r="1298" hidden="1">
      <c r="A1298" s="5" t="str">
        <f>IFNA(VLOOKUP(D1298,'Location Table'!A:C,2,false),"")</f>
        <v/>
      </c>
      <c r="B1298" s="5" t="str">
        <f>IFNA(VLOOKUP(F1298,Driver!A:C,2,false),"")</f>
        <v/>
      </c>
      <c r="C1298" s="5" t="str">
        <f>IFNA(VLOOKUP(E1298,'Location Table'!A:C,2,false),"")</f>
        <v/>
      </c>
      <c r="D1298" s="6"/>
      <c r="E1298" s="6"/>
      <c r="F1298" s="6"/>
      <c r="G1298" s="7" t="str">
        <f>IFNA(VLOOKUP(F1298,Driver!A:D,4,false),"")</f>
        <v/>
      </c>
      <c r="H1298" s="8" t="str">
        <f>IFNA(VLOOKUP(F1298,Driver!A:C,3,false),"")</f>
        <v/>
      </c>
      <c r="I1298" s="9"/>
      <c r="J1298" s="9"/>
      <c r="K1298" s="9"/>
    </row>
    <row r="1299" hidden="1">
      <c r="A1299" s="5" t="str">
        <f>IFNA(VLOOKUP(D1299,'Location Table'!A:C,2,false),"")</f>
        <v/>
      </c>
      <c r="B1299" s="5" t="str">
        <f>IFNA(VLOOKUP(F1299,Driver!A:C,2,false),"")</f>
        <v/>
      </c>
      <c r="C1299" s="5" t="str">
        <f>IFNA(VLOOKUP(E1299,'Location Table'!A:C,2,false),"")</f>
        <v/>
      </c>
      <c r="D1299" s="6"/>
      <c r="E1299" s="6"/>
      <c r="F1299" s="6"/>
      <c r="G1299" s="7" t="str">
        <f>IFNA(VLOOKUP(F1299,Driver!A:D,4,false),"")</f>
        <v/>
      </c>
      <c r="H1299" s="8" t="str">
        <f>IFNA(VLOOKUP(F1299,Driver!A:C,3,false),"")</f>
        <v/>
      </c>
      <c r="I1299" s="9"/>
      <c r="J1299" s="9"/>
      <c r="K1299" s="9"/>
    </row>
    <row r="1300" hidden="1">
      <c r="A1300" s="5" t="str">
        <f>IFNA(VLOOKUP(D1300,'Location Table'!A:C,2,false),"")</f>
        <v/>
      </c>
      <c r="B1300" s="5" t="str">
        <f>IFNA(VLOOKUP(F1300,Driver!A:C,2,false),"")</f>
        <v/>
      </c>
      <c r="C1300" s="5" t="str">
        <f>IFNA(VLOOKUP(E1300,'Location Table'!A:C,2,false),"")</f>
        <v/>
      </c>
      <c r="D1300" s="6"/>
      <c r="E1300" s="6"/>
      <c r="F1300" s="6"/>
      <c r="G1300" s="7" t="str">
        <f>IFNA(VLOOKUP(F1300,Driver!A:D,4,false),"")</f>
        <v/>
      </c>
      <c r="H1300" s="8" t="str">
        <f>IFNA(VLOOKUP(F1300,Driver!A:C,3,false),"")</f>
        <v/>
      </c>
      <c r="I1300" s="9"/>
      <c r="J1300" s="9"/>
      <c r="K1300" s="9"/>
    </row>
    <row r="1301" hidden="1">
      <c r="A1301" s="5" t="str">
        <f>IFNA(VLOOKUP(D1301,'Location Table'!A:C,2,false),"")</f>
        <v/>
      </c>
      <c r="B1301" s="5" t="str">
        <f>IFNA(VLOOKUP(F1301,Driver!A:C,2,false),"")</f>
        <v/>
      </c>
      <c r="C1301" s="5" t="str">
        <f>IFNA(VLOOKUP(E1301,'Location Table'!A:C,2,false),"")</f>
        <v/>
      </c>
      <c r="D1301" s="6"/>
      <c r="E1301" s="6"/>
      <c r="F1301" s="6"/>
      <c r="G1301" s="7" t="str">
        <f>IFNA(VLOOKUP(F1301,Driver!A:D,4,false),"")</f>
        <v/>
      </c>
      <c r="H1301" s="8" t="str">
        <f>IFNA(VLOOKUP(F1301,Driver!A:C,3,false),"")</f>
        <v/>
      </c>
      <c r="I1301" s="9"/>
      <c r="J1301" s="9"/>
      <c r="K1301" s="9"/>
    </row>
    <row r="1302" hidden="1">
      <c r="A1302" s="5" t="str">
        <f>IFNA(VLOOKUP(D1302,'Location Table'!A:C,2,false),"")</f>
        <v/>
      </c>
      <c r="B1302" s="5" t="str">
        <f>IFNA(VLOOKUP(F1302,Driver!A:C,2,false),"")</f>
        <v/>
      </c>
      <c r="C1302" s="5" t="str">
        <f>IFNA(VLOOKUP(E1302,'Location Table'!A:C,2,false),"")</f>
        <v/>
      </c>
      <c r="D1302" s="6"/>
      <c r="E1302" s="6"/>
      <c r="F1302" s="6"/>
      <c r="G1302" s="7" t="str">
        <f>IFNA(VLOOKUP(F1302,Driver!A:D,4,false),"")</f>
        <v/>
      </c>
      <c r="H1302" s="8" t="str">
        <f>IFNA(VLOOKUP(F1302,Driver!A:C,3,false),"")</f>
        <v/>
      </c>
      <c r="I1302" s="9"/>
      <c r="J1302" s="9"/>
      <c r="K1302" s="9"/>
    </row>
    <row r="1303" hidden="1">
      <c r="A1303" s="5" t="str">
        <f>IFNA(VLOOKUP(D1303,'Location Table'!A:C,2,false),"")</f>
        <v/>
      </c>
      <c r="B1303" s="5" t="str">
        <f>IFNA(VLOOKUP(F1303,Driver!A:C,2,false),"")</f>
        <v/>
      </c>
      <c r="C1303" s="5" t="str">
        <f>IFNA(VLOOKUP(E1303,'Location Table'!A:C,2,false),"")</f>
        <v/>
      </c>
      <c r="D1303" s="6"/>
      <c r="E1303" s="6"/>
      <c r="F1303" s="6"/>
      <c r="G1303" s="7" t="str">
        <f>IFNA(VLOOKUP(F1303,Driver!A:D,4,false),"")</f>
        <v/>
      </c>
      <c r="H1303" s="8" t="str">
        <f>IFNA(VLOOKUP(F1303,Driver!A:C,3,false),"")</f>
        <v/>
      </c>
      <c r="I1303" s="9"/>
      <c r="J1303" s="9"/>
      <c r="K1303" s="9"/>
    </row>
    <row r="1304" hidden="1">
      <c r="A1304" s="5" t="str">
        <f>IFNA(VLOOKUP(D1304,'Location Table'!A:C,2,false),"")</f>
        <v/>
      </c>
      <c r="B1304" s="5" t="str">
        <f>IFNA(VLOOKUP(F1304,Driver!A:C,2,false),"")</f>
        <v/>
      </c>
      <c r="C1304" s="5" t="str">
        <f>IFNA(VLOOKUP(E1304,'Location Table'!A:C,2,false),"")</f>
        <v/>
      </c>
      <c r="D1304" s="6"/>
      <c r="E1304" s="6"/>
      <c r="F1304" s="6"/>
      <c r="G1304" s="7" t="str">
        <f>IFNA(VLOOKUP(F1304,Driver!A:D,4,false),"")</f>
        <v/>
      </c>
      <c r="H1304" s="8" t="str">
        <f>IFNA(VLOOKUP(F1304,Driver!A:C,3,false),"")</f>
        <v/>
      </c>
      <c r="I1304" s="9"/>
      <c r="J1304" s="9"/>
      <c r="K1304" s="9"/>
    </row>
    <row r="1305" hidden="1">
      <c r="A1305" s="5" t="str">
        <f>IFNA(VLOOKUP(D1305,'Location Table'!A:C,2,false),"")</f>
        <v/>
      </c>
      <c r="B1305" s="5" t="str">
        <f>IFNA(VLOOKUP(F1305,Driver!A:C,2,false),"")</f>
        <v/>
      </c>
      <c r="C1305" s="5" t="str">
        <f>IFNA(VLOOKUP(E1305,'Location Table'!A:C,2,false),"")</f>
        <v/>
      </c>
      <c r="D1305" s="6"/>
      <c r="E1305" s="6"/>
      <c r="F1305" s="6"/>
      <c r="G1305" s="7" t="str">
        <f>IFNA(VLOOKUP(F1305,Driver!A:D,4,false),"")</f>
        <v/>
      </c>
      <c r="H1305" s="8" t="str">
        <f>IFNA(VLOOKUP(F1305,Driver!A:C,3,false),"")</f>
        <v/>
      </c>
      <c r="I1305" s="9"/>
      <c r="J1305" s="9"/>
      <c r="K1305" s="9"/>
    </row>
    <row r="1306" hidden="1">
      <c r="A1306" s="5" t="str">
        <f>IFNA(VLOOKUP(D1306,'Location Table'!A:C,2,false),"")</f>
        <v/>
      </c>
      <c r="B1306" s="5" t="str">
        <f>IFNA(VLOOKUP(F1306,Driver!A:C,2,false),"")</f>
        <v/>
      </c>
      <c r="C1306" s="5" t="str">
        <f>IFNA(VLOOKUP(E1306,'Location Table'!A:C,2,false),"")</f>
        <v/>
      </c>
      <c r="D1306" s="6"/>
      <c r="E1306" s="6"/>
      <c r="F1306" s="6"/>
      <c r="G1306" s="7" t="str">
        <f>IFNA(VLOOKUP(F1306,Driver!A:D,4,false),"")</f>
        <v/>
      </c>
      <c r="H1306" s="8" t="str">
        <f>IFNA(VLOOKUP(F1306,Driver!A:C,3,false),"")</f>
        <v/>
      </c>
      <c r="I1306" s="9"/>
      <c r="J1306" s="9"/>
      <c r="K1306" s="9"/>
    </row>
    <row r="1307" hidden="1">
      <c r="A1307" s="5" t="str">
        <f>IFNA(VLOOKUP(D1307,'Location Table'!A:C,2,false),"")</f>
        <v/>
      </c>
      <c r="B1307" s="5" t="str">
        <f>IFNA(VLOOKUP(F1307,Driver!A:C,2,false),"")</f>
        <v/>
      </c>
      <c r="C1307" s="5" t="str">
        <f>IFNA(VLOOKUP(E1307,'Location Table'!A:C,2,false),"")</f>
        <v/>
      </c>
      <c r="D1307" s="6"/>
      <c r="E1307" s="6"/>
      <c r="F1307" s="6"/>
      <c r="G1307" s="7" t="str">
        <f>IFNA(VLOOKUP(F1307,Driver!A:D,4,false),"")</f>
        <v/>
      </c>
      <c r="H1307" s="8" t="str">
        <f>IFNA(VLOOKUP(F1307,Driver!A:C,3,false),"")</f>
        <v/>
      </c>
      <c r="I1307" s="9"/>
      <c r="J1307" s="9"/>
      <c r="K1307" s="9"/>
    </row>
    <row r="1308" hidden="1">
      <c r="A1308" s="5" t="str">
        <f>IFNA(VLOOKUP(D1308,'Location Table'!A:C,2,false),"")</f>
        <v/>
      </c>
      <c r="B1308" s="5" t="str">
        <f>IFNA(VLOOKUP(F1308,Driver!A:C,2,false),"")</f>
        <v/>
      </c>
      <c r="C1308" s="5" t="str">
        <f>IFNA(VLOOKUP(E1308,'Location Table'!A:C,2,false),"")</f>
        <v/>
      </c>
      <c r="D1308" s="6"/>
      <c r="E1308" s="6"/>
      <c r="F1308" s="6"/>
      <c r="G1308" s="7" t="str">
        <f>IFNA(VLOOKUP(F1308,Driver!A:D,4,false),"")</f>
        <v/>
      </c>
      <c r="H1308" s="8" t="str">
        <f>IFNA(VLOOKUP(F1308,Driver!A:C,3,false),"")</f>
        <v/>
      </c>
      <c r="I1308" s="9"/>
      <c r="J1308" s="9"/>
      <c r="K1308" s="9"/>
    </row>
    <row r="1309" hidden="1">
      <c r="A1309" s="5" t="str">
        <f>IFNA(VLOOKUP(D1309,'Location Table'!A:C,2,false),"")</f>
        <v/>
      </c>
      <c r="B1309" s="5" t="str">
        <f>IFNA(VLOOKUP(F1309,Driver!A:C,2,false),"")</f>
        <v/>
      </c>
      <c r="C1309" s="5" t="str">
        <f>IFNA(VLOOKUP(E1309,'Location Table'!A:C,2,false),"")</f>
        <v/>
      </c>
      <c r="D1309" s="6"/>
      <c r="E1309" s="6"/>
      <c r="F1309" s="6"/>
      <c r="G1309" s="7" t="str">
        <f>IFNA(VLOOKUP(F1309,Driver!A:D,4,false),"")</f>
        <v/>
      </c>
      <c r="H1309" s="8" t="str">
        <f>IFNA(VLOOKUP(F1309,Driver!A:C,3,false),"")</f>
        <v/>
      </c>
      <c r="I1309" s="9"/>
      <c r="J1309" s="9"/>
      <c r="K1309" s="9"/>
    </row>
    <row r="1310" hidden="1">
      <c r="A1310" s="5" t="str">
        <f>IFNA(VLOOKUP(D1310,'Location Table'!A:C,2,false),"")</f>
        <v/>
      </c>
      <c r="B1310" s="5" t="str">
        <f>IFNA(VLOOKUP(F1310,Driver!A:C,2,false),"")</f>
        <v/>
      </c>
      <c r="C1310" s="5" t="str">
        <f>IFNA(VLOOKUP(E1310,'Location Table'!A:C,2,false),"")</f>
        <v/>
      </c>
      <c r="D1310" s="6"/>
      <c r="E1310" s="6"/>
      <c r="F1310" s="6"/>
      <c r="G1310" s="7" t="str">
        <f>IFNA(VLOOKUP(F1310,Driver!A:D,4,false),"")</f>
        <v/>
      </c>
      <c r="H1310" s="8" t="str">
        <f>IFNA(VLOOKUP(F1310,Driver!A:C,3,false),"")</f>
        <v/>
      </c>
      <c r="I1310" s="9"/>
      <c r="J1310" s="9"/>
      <c r="K1310" s="9"/>
    </row>
    <row r="1311" hidden="1">
      <c r="A1311" s="5" t="str">
        <f>IFNA(VLOOKUP(D1311,'Location Table'!A:C,2,false),"")</f>
        <v/>
      </c>
      <c r="B1311" s="5" t="str">
        <f>IFNA(VLOOKUP(F1311,Driver!A:C,2,false),"")</f>
        <v/>
      </c>
      <c r="C1311" s="5" t="str">
        <f>IFNA(VLOOKUP(E1311,'Location Table'!A:C,2,false),"")</f>
        <v/>
      </c>
      <c r="D1311" s="6"/>
      <c r="E1311" s="6"/>
      <c r="F1311" s="6"/>
      <c r="G1311" s="7" t="str">
        <f>IFNA(VLOOKUP(F1311,Driver!A:D,4,false),"")</f>
        <v/>
      </c>
      <c r="H1311" s="8" t="str">
        <f>IFNA(VLOOKUP(F1311,Driver!A:C,3,false),"")</f>
        <v/>
      </c>
      <c r="I1311" s="9"/>
      <c r="J1311" s="9"/>
      <c r="K1311" s="9"/>
    </row>
    <row r="1312" hidden="1">
      <c r="A1312" s="5" t="str">
        <f>IFNA(VLOOKUP(D1312,'Location Table'!A:C,2,false),"")</f>
        <v/>
      </c>
      <c r="B1312" s="5" t="str">
        <f>IFNA(VLOOKUP(F1312,Driver!A:C,2,false),"")</f>
        <v/>
      </c>
      <c r="C1312" s="5" t="str">
        <f>IFNA(VLOOKUP(E1312,'Location Table'!A:C,2,false),"")</f>
        <v/>
      </c>
      <c r="D1312" s="6"/>
      <c r="E1312" s="6"/>
      <c r="F1312" s="6"/>
      <c r="G1312" s="7" t="str">
        <f>IFNA(VLOOKUP(F1312,Driver!A:D,4,false),"")</f>
        <v/>
      </c>
      <c r="H1312" s="8" t="str">
        <f>IFNA(VLOOKUP(F1312,Driver!A:C,3,false),"")</f>
        <v/>
      </c>
      <c r="I1312" s="9"/>
      <c r="J1312" s="9"/>
      <c r="K1312" s="9"/>
    </row>
    <row r="1313" hidden="1">
      <c r="A1313" s="5" t="str">
        <f>IFNA(VLOOKUP(D1313,'Location Table'!A:C,2,false),"")</f>
        <v/>
      </c>
      <c r="B1313" s="5" t="str">
        <f>IFNA(VLOOKUP(F1313,Driver!A:C,2,false),"")</f>
        <v/>
      </c>
      <c r="C1313" s="5" t="str">
        <f>IFNA(VLOOKUP(E1313,'Location Table'!A:C,2,false),"")</f>
        <v/>
      </c>
      <c r="D1313" s="6"/>
      <c r="E1313" s="6"/>
      <c r="F1313" s="6"/>
      <c r="G1313" s="7" t="str">
        <f>IFNA(VLOOKUP(F1313,Driver!A:D,4,false),"")</f>
        <v/>
      </c>
      <c r="H1313" s="8" t="str">
        <f>IFNA(VLOOKUP(F1313,Driver!A:C,3,false),"")</f>
        <v/>
      </c>
      <c r="I1313" s="9"/>
      <c r="J1313" s="9"/>
      <c r="K1313" s="9"/>
    </row>
    <row r="1314" hidden="1">
      <c r="A1314" s="5" t="str">
        <f>IFNA(VLOOKUP(D1314,'Location Table'!A:C,2,false),"")</f>
        <v/>
      </c>
      <c r="B1314" s="5" t="str">
        <f>IFNA(VLOOKUP(F1314,Driver!A:C,2,false),"")</f>
        <v/>
      </c>
      <c r="C1314" s="5" t="str">
        <f>IFNA(VLOOKUP(E1314,'Location Table'!A:C,2,false),"")</f>
        <v/>
      </c>
      <c r="D1314" s="6"/>
      <c r="E1314" s="6"/>
      <c r="F1314" s="6"/>
      <c r="G1314" s="7" t="str">
        <f>IFNA(VLOOKUP(F1314,Driver!A:D,4,false),"")</f>
        <v/>
      </c>
      <c r="H1314" s="8" t="str">
        <f>IFNA(VLOOKUP(F1314,Driver!A:C,3,false),"")</f>
        <v/>
      </c>
      <c r="I1314" s="9"/>
      <c r="J1314" s="9"/>
      <c r="K1314" s="9"/>
    </row>
    <row r="1315" hidden="1">
      <c r="A1315" s="5" t="str">
        <f>IFNA(VLOOKUP(D1315,'Location Table'!A:C,2,false),"")</f>
        <v/>
      </c>
      <c r="B1315" s="5" t="str">
        <f>IFNA(VLOOKUP(F1315,Driver!A:C,2,false),"")</f>
        <v/>
      </c>
      <c r="C1315" s="5" t="str">
        <f>IFNA(VLOOKUP(E1315,'Location Table'!A:C,2,false),"")</f>
        <v/>
      </c>
      <c r="D1315" s="6"/>
      <c r="E1315" s="6"/>
      <c r="F1315" s="6"/>
      <c r="G1315" s="7" t="str">
        <f>IFNA(VLOOKUP(F1315,Driver!A:D,4,false),"")</f>
        <v/>
      </c>
      <c r="H1315" s="8" t="str">
        <f>IFNA(VLOOKUP(F1315,Driver!A:C,3,false),"")</f>
        <v/>
      </c>
      <c r="I1315" s="9"/>
      <c r="J1315" s="9"/>
      <c r="K1315" s="9"/>
    </row>
    <row r="1316" hidden="1">
      <c r="A1316" s="5" t="str">
        <f>IFNA(VLOOKUP(D1316,'Location Table'!A:C,2,false),"")</f>
        <v/>
      </c>
      <c r="B1316" s="5" t="str">
        <f>IFNA(VLOOKUP(F1316,Driver!A:C,2,false),"")</f>
        <v/>
      </c>
      <c r="C1316" s="5" t="str">
        <f>IFNA(VLOOKUP(E1316,'Location Table'!A:C,2,false),"")</f>
        <v/>
      </c>
      <c r="D1316" s="6"/>
      <c r="E1316" s="6"/>
      <c r="F1316" s="6"/>
      <c r="G1316" s="7" t="str">
        <f>IFNA(VLOOKUP(F1316,Driver!A:D,4,false),"")</f>
        <v/>
      </c>
      <c r="H1316" s="8" t="str">
        <f>IFNA(VLOOKUP(F1316,Driver!A:C,3,false),"")</f>
        <v/>
      </c>
      <c r="I1316" s="9"/>
      <c r="J1316" s="9"/>
      <c r="K1316" s="9"/>
    </row>
    <row r="1317" hidden="1">
      <c r="A1317" s="5" t="str">
        <f>IFNA(VLOOKUP(D1317,'Location Table'!A:C,2,false),"")</f>
        <v/>
      </c>
      <c r="B1317" s="5" t="str">
        <f>IFNA(VLOOKUP(F1317,Driver!A:C,2,false),"")</f>
        <v/>
      </c>
      <c r="C1317" s="5" t="str">
        <f>IFNA(VLOOKUP(E1317,'Location Table'!A:C,2,false),"")</f>
        <v/>
      </c>
      <c r="D1317" s="6"/>
      <c r="E1317" s="6"/>
      <c r="F1317" s="6"/>
      <c r="G1317" s="7" t="str">
        <f>IFNA(VLOOKUP(F1317,Driver!A:D,4,false),"")</f>
        <v/>
      </c>
      <c r="H1317" s="8" t="str">
        <f>IFNA(VLOOKUP(F1317,Driver!A:C,3,false),"")</f>
        <v/>
      </c>
      <c r="I1317" s="9"/>
      <c r="J1317" s="9"/>
      <c r="K1317" s="9"/>
    </row>
    <row r="1318" hidden="1">
      <c r="A1318" s="5" t="str">
        <f>IFNA(VLOOKUP(D1318,'Location Table'!A:C,2,false),"")</f>
        <v/>
      </c>
      <c r="B1318" s="5" t="str">
        <f>IFNA(VLOOKUP(F1318,Driver!A:C,2,false),"")</f>
        <v/>
      </c>
      <c r="C1318" s="5" t="str">
        <f>IFNA(VLOOKUP(E1318,'Location Table'!A:C,2,false),"")</f>
        <v/>
      </c>
      <c r="D1318" s="6"/>
      <c r="E1318" s="6"/>
      <c r="F1318" s="6"/>
      <c r="G1318" s="7" t="str">
        <f>IFNA(VLOOKUP(F1318,Driver!A:D,4,false),"")</f>
        <v/>
      </c>
      <c r="H1318" s="8" t="str">
        <f>IFNA(VLOOKUP(F1318,Driver!A:C,3,false),"")</f>
        <v/>
      </c>
      <c r="I1318" s="9"/>
      <c r="J1318" s="9"/>
      <c r="K1318" s="9"/>
    </row>
    <row r="1319" hidden="1">
      <c r="A1319" s="5" t="str">
        <f>IFNA(VLOOKUP(D1319,'Location Table'!A:C,2,false),"")</f>
        <v/>
      </c>
      <c r="B1319" s="5" t="str">
        <f>IFNA(VLOOKUP(F1319,Driver!A:C,2,false),"")</f>
        <v/>
      </c>
      <c r="C1319" s="5" t="str">
        <f>IFNA(VLOOKUP(E1319,'Location Table'!A:C,2,false),"")</f>
        <v/>
      </c>
      <c r="D1319" s="6"/>
      <c r="E1319" s="6"/>
      <c r="F1319" s="6"/>
      <c r="G1319" s="7" t="str">
        <f>IFNA(VLOOKUP(F1319,Driver!A:D,4,false),"")</f>
        <v/>
      </c>
      <c r="H1319" s="8" t="str">
        <f>IFNA(VLOOKUP(F1319,Driver!A:C,3,false),"")</f>
        <v/>
      </c>
      <c r="I1319" s="9"/>
      <c r="J1319" s="9"/>
      <c r="K1319" s="9"/>
    </row>
    <row r="1320" hidden="1">
      <c r="A1320" s="5" t="str">
        <f>IFNA(VLOOKUP(D1320,'Location Table'!A:C,2,false),"")</f>
        <v/>
      </c>
      <c r="B1320" s="5" t="str">
        <f>IFNA(VLOOKUP(F1320,Driver!A:C,2,false),"")</f>
        <v/>
      </c>
      <c r="C1320" s="5" t="str">
        <f>IFNA(VLOOKUP(E1320,'Location Table'!A:C,2,false),"")</f>
        <v/>
      </c>
      <c r="D1320" s="6"/>
      <c r="E1320" s="6"/>
      <c r="F1320" s="6"/>
      <c r="G1320" s="7" t="str">
        <f>IFNA(VLOOKUP(F1320,Driver!A:D,4,false),"")</f>
        <v/>
      </c>
      <c r="H1320" s="8" t="str">
        <f>IFNA(VLOOKUP(F1320,Driver!A:C,3,false),"")</f>
        <v/>
      </c>
      <c r="I1320" s="9"/>
      <c r="J1320" s="9"/>
      <c r="K1320" s="9"/>
    </row>
    <row r="1321" hidden="1">
      <c r="A1321" s="5" t="str">
        <f>IFNA(VLOOKUP(D1321,'Location Table'!A:C,2,false),"")</f>
        <v/>
      </c>
      <c r="B1321" s="5" t="str">
        <f>IFNA(VLOOKUP(F1321,Driver!A:C,2,false),"")</f>
        <v/>
      </c>
      <c r="C1321" s="5" t="str">
        <f>IFNA(VLOOKUP(E1321,'Location Table'!A:C,2,false),"")</f>
        <v/>
      </c>
      <c r="D1321" s="6"/>
      <c r="E1321" s="6"/>
      <c r="F1321" s="6"/>
      <c r="G1321" s="7" t="str">
        <f>IFNA(VLOOKUP(F1321,Driver!A:D,4,false),"")</f>
        <v/>
      </c>
      <c r="H1321" s="8" t="str">
        <f>IFNA(VLOOKUP(F1321,Driver!A:C,3,false),"")</f>
        <v/>
      </c>
      <c r="I1321" s="9"/>
      <c r="J1321" s="9"/>
      <c r="K1321" s="9"/>
    </row>
    <row r="1322" hidden="1">
      <c r="A1322" s="5" t="str">
        <f>IFNA(VLOOKUP(D1322,'Location Table'!A:C,2,false),"")</f>
        <v/>
      </c>
      <c r="B1322" s="5" t="str">
        <f>IFNA(VLOOKUP(F1322,Driver!A:C,2,false),"")</f>
        <v/>
      </c>
      <c r="C1322" s="5" t="str">
        <f>IFNA(VLOOKUP(E1322,'Location Table'!A:C,2,false),"")</f>
        <v/>
      </c>
      <c r="D1322" s="6"/>
      <c r="E1322" s="6"/>
      <c r="F1322" s="6"/>
      <c r="G1322" s="7" t="str">
        <f>IFNA(VLOOKUP(F1322,Driver!A:D,4,false),"")</f>
        <v/>
      </c>
      <c r="H1322" s="8" t="str">
        <f>IFNA(VLOOKUP(F1322,Driver!A:C,3,false),"")</f>
        <v/>
      </c>
      <c r="I1322" s="9"/>
      <c r="J1322" s="9"/>
      <c r="K1322" s="9"/>
    </row>
    <row r="1323" hidden="1">
      <c r="A1323" s="5" t="str">
        <f>IFNA(VLOOKUP(D1323,'Location Table'!A:C,2,false),"")</f>
        <v/>
      </c>
      <c r="B1323" s="5" t="str">
        <f>IFNA(VLOOKUP(F1323,Driver!A:C,2,false),"")</f>
        <v/>
      </c>
      <c r="C1323" s="5" t="str">
        <f>IFNA(VLOOKUP(E1323,'Location Table'!A:C,2,false),"")</f>
        <v/>
      </c>
      <c r="D1323" s="6"/>
      <c r="E1323" s="6"/>
      <c r="F1323" s="6"/>
      <c r="G1323" s="7" t="str">
        <f>IFNA(VLOOKUP(F1323,Driver!A:D,4,false),"")</f>
        <v/>
      </c>
      <c r="H1323" s="8" t="str">
        <f>IFNA(VLOOKUP(F1323,Driver!A:C,3,false),"")</f>
        <v/>
      </c>
      <c r="I1323" s="9"/>
      <c r="J1323" s="9"/>
      <c r="K1323" s="9"/>
    </row>
    <row r="1324" hidden="1">
      <c r="A1324" s="5" t="str">
        <f>IFNA(VLOOKUP(D1324,'Location Table'!A:C,2,false),"")</f>
        <v/>
      </c>
      <c r="B1324" s="5" t="str">
        <f>IFNA(VLOOKUP(F1324,Driver!A:C,2,false),"")</f>
        <v/>
      </c>
      <c r="C1324" s="5" t="str">
        <f>IFNA(VLOOKUP(E1324,'Location Table'!A:C,2,false),"")</f>
        <v/>
      </c>
      <c r="D1324" s="6"/>
      <c r="E1324" s="6"/>
      <c r="F1324" s="6"/>
      <c r="G1324" s="7" t="str">
        <f>IFNA(VLOOKUP(F1324,Driver!A:D,4,false),"")</f>
        <v/>
      </c>
      <c r="H1324" s="8" t="str">
        <f>IFNA(VLOOKUP(F1324,Driver!A:C,3,false),"")</f>
        <v/>
      </c>
      <c r="I1324" s="9"/>
      <c r="J1324" s="9"/>
      <c r="K1324" s="9"/>
    </row>
    <row r="1325" hidden="1">
      <c r="A1325" s="5" t="str">
        <f>IFNA(VLOOKUP(D1325,'Location Table'!A:C,2,false),"")</f>
        <v/>
      </c>
      <c r="B1325" s="5" t="str">
        <f>IFNA(VLOOKUP(F1325,Driver!A:C,2,false),"")</f>
        <v/>
      </c>
      <c r="C1325" s="5" t="str">
        <f>IFNA(VLOOKUP(E1325,'Location Table'!A:C,2,false),"")</f>
        <v/>
      </c>
      <c r="D1325" s="6"/>
      <c r="E1325" s="6"/>
      <c r="F1325" s="6"/>
      <c r="G1325" s="7" t="str">
        <f>IFNA(VLOOKUP(F1325,Driver!A:D,4,false),"")</f>
        <v/>
      </c>
      <c r="H1325" s="8" t="str">
        <f>IFNA(VLOOKUP(F1325,Driver!A:C,3,false),"")</f>
        <v/>
      </c>
      <c r="I1325" s="9"/>
      <c r="J1325" s="9"/>
      <c r="K1325" s="9"/>
    </row>
    <row r="1326" hidden="1">
      <c r="A1326" s="5" t="str">
        <f>IFNA(VLOOKUP(D1326,'Location Table'!A:C,2,false),"")</f>
        <v/>
      </c>
      <c r="B1326" s="5" t="str">
        <f>IFNA(VLOOKUP(F1326,Driver!A:C,2,false),"")</f>
        <v/>
      </c>
      <c r="C1326" s="5" t="str">
        <f>IFNA(VLOOKUP(E1326,'Location Table'!A:C,2,false),"")</f>
        <v/>
      </c>
      <c r="D1326" s="6"/>
      <c r="E1326" s="6"/>
      <c r="F1326" s="6"/>
      <c r="G1326" s="7" t="str">
        <f>IFNA(VLOOKUP(F1326,Driver!A:D,4,false),"")</f>
        <v/>
      </c>
      <c r="H1326" s="8" t="str">
        <f>IFNA(VLOOKUP(F1326,Driver!A:C,3,false),"")</f>
        <v/>
      </c>
      <c r="I1326" s="9"/>
      <c r="J1326" s="9"/>
      <c r="K1326" s="9"/>
    </row>
    <row r="1327" hidden="1">
      <c r="A1327" s="5" t="str">
        <f>IFNA(VLOOKUP(D1327,'Location Table'!A:C,2,false),"")</f>
        <v/>
      </c>
      <c r="B1327" s="5" t="str">
        <f>IFNA(VLOOKUP(F1327,Driver!A:C,2,false),"")</f>
        <v/>
      </c>
      <c r="C1327" s="5" t="str">
        <f>IFNA(VLOOKUP(E1327,'Location Table'!A:C,2,false),"")</f>
        <v/>
      </c>
      <c r="D1327" s="6"/>
      <c r="E1327" s="6"/>
      <c r="F1327" s="6"/>
      <c r="G1327" s="7" t="str">
        <f>IFNA(VLOOKUP(F1327,Driver!A:D,4,false),"")</f>
        <v/>
      </c>
      <c r="H1327" s="8" t="str">
        <f>IFNA(VLOOKUP(F1327,Driver!A:C,3,false),"")</f>
        <v/>
      </c>
      <c r="I1327" s="9"/>
      <c r="J1327" s="9"/>
      <c r="K1327" s="9"/>
    </row>
    <row r="1328" hidden="1">
      <c r="A1328" s="5" t="str">
        <f>IFNA(VLOOKUP(D1328,'Location Table'!A:C,2,false),"")</f>
        <v/>
      </c>
      <c r="B1328" s="5" t="str">
        <f>IFNA(VLOOKUP(F1328,Driver!A:C,2,false),"")</f>
        <v/>
      </c>
      <c r="C1328" s="5" t="str">
        <f>IFNA(VLOOKUP(E1328,'Location Table'!A:C,2,false),"")</f>
        <v/>
      </c>
      <c r="D1328" s="6"/>
      <c r="E1328" s="6"/>
      <c r="F1328" s="6"/>
      <c r="G1328" s="7" t="str">
        <f>IFNA(VLOOKUP(F1328,Driver!A:D,4,false),"")</f>
        <v/>
      </c>
      <c r="H1328" s="8" t="str">
        <f>IFNA(VLOOKUP(F1328,Driver!A:C,3,false),"")</f>
        <v/>
      </c>
      <c r="I1328" s="9"/>
      <c r="J1328" s="9"/>
      <c r="K1328" s="9"/>
    </row>
    <row r="1329" hidden="1">
      <c r="A1329" s="5" t="str">
        <f>IFNA(VLOOKUP(D1329,'Location Table'!A:C,2,false),"")</f>
        <v/>
      </c>
      <c r="B1329" s="5" t="str">
        <f>IFNA(VLOOKUP(F1329,Driver!A:C,2,false),"")</f>
        <v/>
      </c>
      <c r="C1329" s="5" t="str">
        <f>IFNA(VLOOKUP(E1329,'Location Table'!A:C,2,false),"")</f>
        <v/>
      </c>
      <c r="D1329" s="6"/>
      <c r="E1329" s="6"/>
      <c r="F1329" s="6"/>
      <c r="G1329" s="7" t="str">
        <f>IFNA(VLOOKUP(F1329,Driver!A:D,4,false),"")</f>
        <v/>
      </c>
      <c r="H1329" s="8" t="str">
        <f>IFNA(VLOOKUP(F1329,Driver!A:C,3,false),"")</f>
        <v/>
      </c>
      <c r="I1329" s="9"/>
      <c r="J1329" s="9"/>
      <c r="K1329" s="9"/>
    </row>
    <row r="1330" hidden="1">
      <c r="A1330" s="5" t="str">
        <f>IFNA(VLOOKUP(D1330,'Location Table'!A:C,2,false),"")</f>
        <v/>
      </c>
      <c r="B1330" s="5" t="str">
        <f>IFNA(VLOOKUP(F1330,Driver!A:C,2,false),"")</f>
        <v/>
      </c>
      <c r="C1330" s="5" t="str">
        <f>IFNA(VLOOKUP(E1330,'Location Table'!A:C,2,false),"")</f>
        <v/>
      </c>
      <c r="D1330" s="6"/>
      <c r="E1330" s="6"/>
      <c r="F1330" s="6"/>
      <c r="G1330" s="7" t="str">
        <f>IFNA(VLOOKUP(F1330,Driver!A:D,4,false),"")</f>
        <v/>
      </c>
      <c r="H1330" s="8" t="str">
        <f>IFNA(VLOOKUP(F1330,Driver!A:C,3,false),"")</f>
        <v/>
      </c>
      <c r="I1330" s="9"/>
      <c r="J1330" s="9"/>
      <c r="K1330" s="9"/>
    </row>
    <row r="1331" hidden="1">
      <c r="A1331" s="5" t="str">
        <f>IFNA(VLOOKUP(D1331,'Location Table'!A:C,2,false),"")</f>
        <v/>
      </c>
      <c r="B1331" s="5" t="str">
        <f>IFNA(VLOOKUP(F1331,Driver!A:C,2,false),"")</f>
        <v/>
      </c>
      <c r="C1331" s="5" t="str">
        <f>IFNA(VLOOKUP(E1331,'Location Table'!A:C,2,false),"")</f>
        <v/>
      </c>
      <c r="D1331" s="6"/>
      <c r="E1331" s="6"/>
      <c r="F1331" s="6"/>
      <c r="G1331" s="7" t="str">
        <f>IFNA(VLOOKUP(F1331,Driver!A:D,4,false),"")</f>
        <v/>
      </c>
      <c r="H1331" s="8" t="str">
        <f>IFNA(VLOOKUP(F1331,Driver!A:C,3,false),"")</f>
        <v/>
      </c>
      <c r="I1331" s="9"/>
      <c r="J1331" s="9"/>
      <c r="K1331" s="9"/>
    </row>
    <row r="1332" hidden="1">
      <c r="A1332" s="5" t="str">
        <f>IFNA(VLOOKUP(D1332,'Location Table'!A:C,2,false),"")</f>
        <v/>
      </c>
      <c r="B1332" s="5" t="str">
        <f>IFNA(VLOOKUP(F1332,Driver!A:C,2,false),"")</f>
        <v/>
      </c>
      <c r="C1332" s="5" t="str">
        <f>IFNA(VLOOKUP(E1332,'Location Table'!A:C,2,false),"")</f>
        <v/>
      </c>
      <c r="D1332" s="6"/>
      <c r="E1332" s="6"/>
      <c r="F1332" s="6"/>
      <c r="G1332" s="7" t="str">
        <f>IFNA(VLOOKUP(F1332,Driver!A:D,4,false),"")</f>
        <v/>
      </c>
      <c r="H1332" s="8" t="str">
        <f>IFNA(VLOOKUP(F1332,Driver!A:C,3,false),"")</f>
        <v/>
      </c>
      <c r="I1332" s="9"/>
      <c r="J1332" s="9"/>
      <c r="K1332" s="9"/>
    </row>
    <row r="1345">
      <c r="J1345" s="28"/>
      <c r="K1345" s="28"/>
    </row>
    <row r="1346">
      <c r="J1346" s="28"/>
      <c r="K1346" s="28"/>
    </row>
    <row r="1347">
      <c r="J1347" s="28"/>
      <c r="K1347" s="28"/>
    </row>
    <row r="1348">
      <c r="J1348" s="28"/>
      <c r="K1348" s="28"/>
    </row>
    <row r="1349">
      <c r="J1349" s="28"/>
      <c r="K1349" s="28"/>
    </row>
    <row r="1350">
      <c r="J1350" s="28"/>
      <c r="K1350" s="28"/>
    </row>
    <row r="1351">
      <c r="J1351" s="28"/>
      <c r="K1351" s="28"/>
    </row>
    <row r="1352">
      <c r="J1352" s="28"/>
      <c r="K1352" s="28"/>
    </row>
    <row r="1353">
      <c r="J1353" s="28"/>
      <c r="K1353" s="28"/>
    </row>
    <row r="1354">
      <c r="J1354" s="28"/>
      <c r="K1354" s="28"/>
    </row>
    <row r="1355">
      <c r="J1355" s="28"/>
      <c r="K1355" s="28"/>
    </row>
    <row r="1356">
      <c r="J1356" s="28"/>
      <c r="K1356" s="28"/>
    </row>
    <row r="1357">
      <c r="J1357" s="28"/>
      <c r="K1357" s="28"/>
    </row>
    <row r="1358">
      <c r="J1358" s="28"/>
      <c r="K1358" s="28"/>
    </row>
    <row r="1359">
      <c r="J1359" s="28"/>
      <c r="K1359" s="28"/>
    </row>
    <row r="1360">
      <c r="J1360" s="28"/>
      <c r="K1360" s="28"/>
    </row>
    <row r="1361">
      <c r="J1361" s="28"/>
      <c r="K1361" s="28"/>
    </row>
    <row r="1362">
      <c r="J1362" s="28"/>
      <c r="K1362" s="28"/>
    </row>
    <row r="1363">
      <c r="J1363" s="28"/>
      <c r="K1363" s="28"/>
    </row>
    <row r="1364">
      <c r="J1364" s="28"/>
      <c r="K1364" s="28"/>
    </row>
    <row r="1365">
      <c r="J1365" s="28"/>
      <c r="K1365" s="28"/>
    </row>
    <row r="1366">
      <c r="J1366" s="28"/>
      <c r="K1366" s="28"/>
    </row>
    <row r="1367">
      <c r="J1367" s="28"/>
      <c r="K1367" s="28"/>
    </row>
    <row r="1368">
      <c r="J1368" s="28"/>
      <c r="K1368" s="28"/>
    </row>
    <row r="1369">
      <c r="J1369" s="28"/>
      <c r="K1369" s="28"/>
    </row>
    <row r="1370">
      <c r="J1370" s="28"/>
      <c r="K1370" s="28"/>
    </row>
    <row r="1371">
      <c r="J1371" s="28"/>
      <c r="K1371" s="28"/>
    </row>
    <row r="1372">
      <c r="J1372" s="28"/>
      <c r="K1372" s="28"/>
    </row>
    <row r="1373">
      <c r="J1373" s="28"/>
      <c r="K1373" s="28"/>
    </row>
    <row r="1374">
      <c r="J1374" s="28"/>
      <c r="K1374" s="28"/>
    </row>
    <row r="1375">
      <c r="J1375" s="28"/>
      <c r="K1375" s="28"/>
    </row>
    <row r="1376">
      <c r="J1376" s="28"/>
      <c r="K1376" s="28"/>
    </row>
    <row r="1377">
      <c r="J1377" s="28"/>
      <c r="K1377" s="28"/>
    </row>
    <row r="1378">
      <c r="J1378" s="28"/>
      <c r="K1378" s="28"/>
    </row>
    <row r="1379">
      <c r="J1379" s="28"/>
      <c r="K1379" s="28"/>
    </row>
    <row r="1380">
      <c r="J1380" s="28"/>
      <c r="K1380" s="28"/>
    </row>
    <row r="1381">
      <c r="J1381" s="28"/>
      <c r="K1381" s="28"/>
    </row>
    <row r="1382">
      <c r="J1382" s="28"/>
      <c r="K1382" s="28"/>
    </row>
    <row r="1383">
      <c r="J1383" s="28"/>
      <c r="K1383" s="28"/>
    </row>
    <row r="1384">
      <c r="J1384" s="28"/>
      <c r="K1384" s="28"/>
    </row>
    <row r="1385">
      <c r="J1385" s="28"/>
      <c r="K1385" s="28"/>
    </row>
    <row r="1386">
      <c r="J1386" s="28"/>
      <c r="K1386" s="28"/>
    </row>
    <row r="1387">
      <c r="J1387" s="28"/>
      <c r="K1387" s="28"/>
    </row>
    <row r="1388">
      <c r="J1388" s="28"/>
      <c r="K1388" s="28"/>
    </row>
    <row r="1389">
      <c r="J1389" s="28"/>
      <c r="K1389" s="28"/>
    </row>
    <row r="1390">
      <c r="J1390" s="28"/>
      <c r="K1390" s="28"/>
    </row>
    <row r="1391">
      <c r="J1391" s="28"/>
      <c r="K1391" s="28"/>
    </row>
    <row r="1392">
      <c r="J1392" s="28"/>
      <c r="K1392" s="28"/>
    </row>
    <row r="1393">
      <c r="J1393" s="28"/>
      <c r="K1393" s="28"/>
    </row>
    <row r="1394">
      <c r="J1394" s="28"/>
      <c r="K1394" s="28"/>
    </row>
    <row r="1395">
      <c r="J1395" s="28"/>
      <c r="K1395" s="28"/>
    </row>
    <row r="1396">
      <c r="J1396" s="28"/>
      <c r="K1396" s="28"/>
    </row>
    <row r="1397">
      <c r="J1397" s="28"/>
      <c r="K1397" s="28"/>
    </row>
    <row r="1398">
      <c r="J1398" s="28"/>
      <c r="K1398" s="28"/>
    </row>
    <row r="1399">
      <c r="J1399" s="28"/>
      <c r="K1399" s="28"/>
    </row>
    <row r="1400">
      <c r="J1400" s="28"/>
      <c r="K1400" s="28"/>
    </row>
    <row r="1401">
      <c r="J1401" s="28"/>
      <c r="K1401" s="28"/>
    </row>
    <row r="1402">
      <c r="J1402" s="28"/>
      <c r="K1402" s="28"/>
    </row>
    <row r="1403">
      <c r="J1403" s="28"/>
      <c r="K1403" s="28"/>
    </row>
    <row r="1404">
      <c r="J1404" s="28"/>
      <c r="K1404" s="28"/>
    </row>
    <row r="1405">
      <c r="J1405" s="28"/>
      <c r="K1405" s="28"/>
    </row>
    <row r="1406">
      <c r="J1406" s="28"/>
      <c r="K1406" s="28"/>
    </row>
    <row r="1407">
      <c r="J1407" s="28"/>
      <c r="K1407" s="28"/>
    </row>
    <row r="1408">
      <c r="J1408" s="28"/>
      <c r="K1408" s="28"/>
    </row>
    <row r="1409">
      <c r="J1409" s="28"/>
      <c r="K1409" s="28"/>
    </row>
    <row r="1410">
      <c r="J1410" s="28"/>
      <c r="K1410" s="28"/>
    </row>
    <row r="1411">
      <c r="J1411" s="28"/>
      <c r="K1411" s="28"/>
    </row>
    <row r="1412">
      <c r="J1412" s="28"/>
      <c r="K1412" s="28"/>
    </row>
    <row r="1413">
      <c r="J1413" s="28"/>
      <c r="K1413" s="28"/>
    </row>
    <row r="1414">
      <c r="J1414" s="28"/>
      <c r="K1414" s="28"/>
    </row>
    <row r="1415">
      <c r="J1415" s="28"/>
      <c r="K1415" s="28"/>
    </row>
    <row r="1416">
      <c r="J1416" s="28"/>
      <c r="K1416" s="28"/>
    </row>
    <row r="1417">
      <c r="J1417" s="28"/>
      <c r="K1417" s="28"/>
    </row>
    <row r="1418">
      <c r="J1418" s="28"/>
      <c r="K1418" s="28"/>
    </row>
    <row r="1419">
      <c r="J1419" s="28"/>
      <c r="K1419" s="28"/>
    </row>
    <row r="1420">
      <c r="J1420" s="28"/>
      <c r="K1420" s="28"/>
    </row>
    <row r="1421">
      <c r="J1421" s="28"/>
      <c r="K1421" s="28"/>
    </row>
    <row r="1422">
      <c r="J1422" s="28"/>
      <c r="K1422" s="28"/>
    </row>
    <row r="1423">
      <c r="J1423" s="28"/>
      <c r="K1423" s="28"/>
    </row>
    <row r="1424">
      <c r="J1424" s="28"/>
      <c r="K1424" s="28"/>
    </row>
    <row r="1425">
      <c r="J1425" s="28"/>
      <c r="K1425" s="28"/>
    </row>
    <row r="1426">
      <c r="J1426" s="28"/>
      <c r="K1426" s="28"/>
    </row>
    <row r="1427">
      <c r="J1427" s="28"/>
      <c r="K1427" s="28"/>
    </row>
    <row r="1428">
      <c r="J1428" s="28"/>
      <c r="K1428" s="28"/>
    </row>
    <row r="1429">
      <c r="J1429" s="28"/>
      <c r="K1429" s="28"/>
    </row>
    <row r="1430">
      <c r="J1430" s="28"/>
      <c r="K1430" s="28"/>
    </row>
    <row r="1431">
      <c r="J1431" s="28"/>
      <c r="K1431" s="28"/>
    </row>
    <row r="1432">
      <c r="J1432" s="28"/>
      <c r="K1432" s="28"/>
    </row>
    <row r="1433">
      <c r="J1433" s="28"/>
      <c r="K1433" s="28"/>
    </row>
    <row r="1434">
      <c r="J1434" s="28"/>
      <c r="K1434" s="28"/>
    </row>
    <row r="1435">
      <c r="J1435" s="28"/>
      <c r="K1435" s="28"/>
    </row>
    <row r="1436">
      <c r="J1436" s="28"/>
      <c r="K1436" s="28"/>
    </row>
    <row r="1437">
      <c r="J1437" s="28"/>
      <c r="K1437" s="28"/>
    </row>
    <row r="1438">
      <c r="J1438" s="28"/>
      <c r="K1438" s="28"/>
    </row>
    <row r="1439">
      <c r="J1439" s="28"/>
      <c r="K1439" s="28"/>
    </row>
    <row r="1440">
      <c r="J1440" s="28"/>
      <c r="K1440" s="28"/>
    </row>
    <row r="1441">
      <c r="J1441" s="28"/>
      <c r="K1441" s="28"/>
    </row>
    <row r="1442">
      <c r="J1442" s="28"/>
      <c r="K1442" s="28"/>
    </row>
    <row r="1443">
      <c r="J1443" s="28"/>
      <c r="K1443" s="28"/>
    </row>
    <row r="1444">
      <c r="J1444" s="28"/>
      <c r="K1444" s="28"/>
    </row>
    <row r="1445">
      <c r="J1445" s="28"/>
      <c r="K1445" s="28"/>
    </row>
    <row r="1446">
      <c r="J1446" s="28"/>
      <c r="K1446" s="28"/>
    </row>
    <row r="1447">
      <c r="J1447" s="28"/>
      <c r="K1447" s="28"/>
    </row>
    <row r="1448">
      <c r="J1448" s="28"/>
      <c r="K1448" s="28"/>
    </row>
    <row r="1449">
      <c r="J1449" s="28"/>
      <c r="K1449" s="28"/>
    </row>
    <row r="1450">
      <c r="J1450" s="28"/>
      <c r="K1450" s="28"/>
    </row>
    <row r="1451">
      <c r="J1451" s="28"/>
      <c r="K1451" s="28"/>
    </row>
    <row r="1452">
      <c r="J1452" s="28"/>
      <c r="K1452" s="28"/>
    </row>
    <row r="1453">
      <c r="J1453" s="28"/>
      <c r="K1453" s="28"/>
    </row>
    <row r="1454">
      <c r="J1454" s="28"/>
      <c r="K1454" s="28"/>
    </row>
    <row r="1455">
      <c r="J1455" s="28"/>
      <c r="K1455" s="28"/>
    </row>
    <row r="1456">
      <c r="J1456" s="28"/>
      <c r="K1456" s="28"/>
    </row>
    <row r="1457">
      <c r="J1457" s="28"/>
      <c r="K1457" s="28"/>
    </row>
    <row r="1458">
      <c r="J1458" s="28"/>
      <c r="K1458" s="28"/>
    </row>
    <row r="1459">
      <c r="J1459" s="28"/>
      <c r="K1459" s="28"/>
    </row>
    <row r="1460">
      <c r="J1460" s="28"/>
      <c r="K1460" s="28"/>
    </row>
    <row r="1461">
      <c r="J1461" s="28"/>
      <c r="K1461" s="28"/>
    </row>
    <row r="1462">
      <c r="J1462" s="28"/>
      <c r="K1462" s="28"/>
    </row>
    <row r="1463">
      <c r="J1463" s="28"/>
      <c r="K1463" s="28"/>
    </row>
    <row r="1464">
      <c r="J1464" s="28"/>
      <c r="K1464" s="28"/>
    </row>
    <row r="1465">
      <c r="J1465" s="28"/>
      <c r="K1465" s="28"/>
    </row>
    <row r="1466">
      <c r="J1466" s="28"/>
      <c r="K1466" s="28"/>
    </row>
    <row r="1467">
      <c r="J1467" s="28"/>
      <c r="K1467" s="28"/>
    </row>
    <row r="1468">
      <c r="J1468" s="28"/>
      <c r="K1468" s="28"/>
    </row>
    <row r="1469">
      <c r="J1469" s="28"/>
      <c r="K1469" s="28"/>
    </row>
    <row r="1470">
      <c r="J1470" s="28"/>
      <c r="K1470" s="28"/>
    </row>
    <row r="1471">
      <c r="J1471" s="28"/>
      <c r="K1471" s="28"/>
    </row>
    <row r="1472">
      <c r="J1472" s="28"/>
      <c r="K1472" s="28"/>
    </row>
    <row r="1473">
      <c r="J1473" s="28"/>
      <c r="K1473" s="28"/>
    </row>
    <row r="1474">
      <c r="J1474" s="28"/>
      <c r="K1474" s="28"/>
    </row>
    <row r="1475">
      <c r="J1475" s="28"/>
      <c r="K1475" s="28"/>
    </row>
    <row r="1476">
      <c r="J1476" s="28"/>
      <c r="K1476" s="28"/>
    </row>
    <row r="1477">
      <c r="J1477" s="28"/>
      <c r="K1477" s="28"/>
    </row>
    <row r="1478">
      <c r="J1478" s="28"/>
      <c r="K1478" s="28"/>
    </row>
    <row r="1479">
      <c r="J1479" s="28"/>
      <c r="K1479" s="28"/>
    </row>
    <row r="1480">
      <c r="J1480" s="28"/>
      <c r="K1480" s="28"/>
    </row>
    <row r="1481">
      <c r="J1481" s="28"/>
      <c r="K1481" s="28"/>
    </row>
    <row r="1482">
      <c r="J1482" s="28"/>
      <c r="K1482" s="28"/>
    </row>
    <row r="1483">
      <c r="J1483" s="28"/>
      <c r="K1483" s="28"/>
    </row>
    <row r="1484">
      <c r="J1484" s="28"/>
      <c r="K1484" s="28"/>
    </row>
    <row r="1485">
      <c r="J1485" s="28"/>
      <c r="K1485" s="28"/>
    </row>
    <row r="1486">
      <c r="J1486" s="28"/>
      <c r="K1486" s="28"/>
    </row>
    <row r="1487">
      <c r="J1487" s="28"/>
      <c r="K1487" s="28"/>
    </row>
    <row r="1488">
      <c r="J1488" s="28"/>
      <c r="K1488" s="28"/>
    </row>
    <row r="1489">
      <c r="J1489" s="28"/>
      <c r="K1489" s="28"/>
    </row>
    <row r="1490">
      <c r="J1490" s="28"/>
      <c r="K1490" s="28"/>
    </row>
    <row r="1491">
      <c r="J1491" s="28"/>
      <c r="K1491" s="28"/>
    </row>
    <row r="1492">
      <c r="J1492" s="28"/>
      <c r="K1492" s="28"/>
    </row>
    <row r="1493">
      <c r="J1493" s="28"/>
      <c r="K1493" s="28"/>
    </row>
    <row r="1494">
      <c r="J1494" s="28"/>
      <c r="K1494" s="28"/>
    </row>
    <row r="1495">
      <c r="J1495" s="28"/>
      <c r="K1495" s="28"/>
    </row>
    <row r="1496">
      <c r="J1496" s="28"/>
      <c r="K1496" s="28"/>
    </row>
    <row r="1497">
      <c r="J1497" s="28"/>
      <c r="K1497" s="28"/>
    </row>
    <row r="1498">
      <c r="J1498" s="28"/>
      <c r="K1498" s="28"/>
    </row>
    <row r="1499">
      <c r="J1499" s="28"/>
      <c r="K1499" s="28"/>
    </row>
    <row r="1500">
      <c r="J1500" s="28"/>
      <c r="K1500" s="28"/>
    </row>
    <row r="1501">
      <c r="J1501" s="28"/>
      <c r="K1501" s="28"/>
    </row>
    <row r="1502">
      <c r="J1502" s="28"/>
      <c r="K1502" s="28"/>
    </row>
    <row r="1503">
      <c r="J1503" s="28"/>
      <c r="K1503" s="28"/>
    </row>
    <row r="1504">
      <c r="J1504" s="28"/>
      <c r="K1504" s="28"/>
    </row>
    <row r="1505">
      <c r="J1505" s="28"/>
      <c r="K1505" s="28"/>
    </row>
    <row r="1506">
      <c r="J1506" s="28"/>
      <c r="K1506" s="28"/>
    </row>
    <row r="1507">
      <c r="J1507" s="28"/>
      <c r="K1507" s="28"/>
    </row>
    <row r="1508">
      <c r="J1508" s="28"/>
      <c r="K1508" s="28"/>
    </row>
    <row r="1509">
      <c r="J1509" s="28"/>
      <c r="K1509" s="28"/>
    </row>
    <row r="1510">
      <c r="J1510" s="28"/>
      <c r="K1510" s="28"/>
    </row>
    <row r="1511">
      <c r="J1511" s="28"/>
      <c r="K1511" s="28"/>
    </row>
    <row r="1512">
      <c r="J1512" s="28"/>
      <c r="K1512" s="28"/>
    </row>
    <row r="1513">
      <c r="J1513" s="28"/>
      <c r="K1513" s="28"/>
    </row>
    <row r="1514">
      <c r="J1514" s="28"/>
      <c r="K1514" s="28"/>
    </row>
    <row r="1515">
      <c r="J1515" s="28"/>
      <c r="K1515" s="28"/>
    </row>
    <row r="1516">
      <c r="J1516" s="28"/>
      <c r="K1516" s="28"/>
    </row>
    <row r="1517">
      <c r="J1517" s="28"/>
      <c r="K1517" s="28"/>
    </row>
    <row r="1518">
      <c r="J1518" s="28"/>
      <c r="K1518" s="28"/>
    </row>
    <row r="1519">
      <c r="J1519" s="28"/>
      <c r="K1519" s="28"/>
    </row>
    <row r="1520">
      <c r="J1520" s="28"/>
      <c r="K1520" s="28"/>
    </row>
    <row r="1521">
      <c r="J1521" s="28"/>
      <c r="K1521" s="28"/>
    </row>
    <row r="1522">
      <c r="J1522" s="28"/>
      <c r="K1522" s="28"/>
    </row>
    <row r="1523">
      <c r="J1523" s="28"/>
      <c r="K1523" s="28"/>
    </row>
    <row r="1524">
      <c r="J1524" s="28"/>
      <c r="K1524" s="28"/>
    </row>
    <row r="1525">
      <c r="J1525" s="28"/>
      <c r="K1525" s="28"/>
    </row>
    <row r="1526">
      <c r="J1526" s="28"/>
      <c r="K1526" s="28"/>
    </row>
    <row r="1527">
      <c r="J1527" s="28"/>
      <c r="K1527" s="28"/>
    </row>
    <row r="1528">
      <c r="J1528" s="28"/>
      <c r="K1528" s="28"/>
    </row>
    <row r="1529">
      <c r="J1529" s="28"/>
      <c r="K1529" s="28"/>
    </row>
    <row r="1530">
      <c r="J1530" s="28"/>
      <c r="K1530" s="28"/>
    </row>
    <row r="1531">
      <c r="J1531" s="28"/>
      <c r="K1531" s="28"/>
    </row>
    <row r="1532">
      <c r="J1532" s="28"/>
      <c r="K1532" s="28"/>
    </row>
    <row r="1533">
      <c r="J1533" s="28"/>
      <c r="K1533" s="28"/>
    </row>
    <row r="1534">
      <c r="J1534" s="28"/>
      <c r="K1534" s="28"/>
    </row>
    <row r="1535">
      <c r="J1535" s="28"/>
      <c r="K1535" s="28"/>
    </row>
    <row r="1536">
      <c r="J1536" s="28"/>
      <c r="K1536" s="28"/>
    </row>
    <row r="1537">
      <c r="J1537" s="28"/>
      <c r="K1537" s="28"/>
    </row>
    <row r="1538">
      <c r="J1538" s="28"/>
      <c r="K1538" s="28"/>
    </row>
    <row r="1539">
      <c r="J1539" s="28"/>
      <c r="K1539" s="28"/>
    </row>
    <row r="1540">
      <c r="J1540" s="28"/>
      <c r="K1540" s="28"/>
    </row>
    <row r="1541">
      <c r="J1541" s="28"/>
      <c r="K1541" s="28"/>
    </row>
    <row r="1542">
      <c r="J1542" s="28"/>
      <c r="K1542" s="28"/>
    </row>
    <row r="1543">
      <c r="J1543" s="28"/>
      <c r="K1543" s="28"/>
    </row>
    <row r="1544">
      <c r="J1544" s="28"/>
      <c r="K1544" s="28"/>
    </row>
    <row r="1545">
      <c r="J1545" s="28"/>
      <c r="K1545" s="28"/>
    </row>
    <row r="1546">
      <c r="J1546" s="28"/>
      <c r="K1546" s="28"/>
    </row>
    <row r="1547">
      <c r="J1547" s="28"/>
      <c r="K1547" s="28"/>
    </row>
    <row r="1548">
      <c r="J1548" s="28"/>
      <c r="K1548" s="28"/>
    </row>
    <row r="1549">
      <c r="J1549" s="28"/>
      <c r="K1549" s="28"/>
    </row>
    <row r="1550">
      <c r="J1550" s="28"/>
      <c r="K1550" s="28"/>
    </row>
    <row r="1551">
      <c r="J1551" s="28"/>
      <c r="K1551" s="28"/>
    </row>
    <row r="1552">
      <c r="J1552" s="28"/>
      <c r="K1552" s="28"/>
    </row>
    <row r="1553">
      <c r="J1553" s="28"/>
      <c r="K1553" s="28"/>
    </row>
    <row r="1554">
      <c r="J1554" s="28"/>
      <c r="K1554" s="28"/>
    </row>
    <row r="1555">
      <c r="J1555" s="28"/>
      <c r="K1555" s="28"/>
    </row>
    <row r="1556">
      <c r="J1556" s="28"/>
      <c r="K1556" s="28"/>
    </row>
    <row r="1557">
      <c r="J1557" s="28"/>
      <c r="K1557" s="28"/>
    </row>
    <row r="1558">
      <c r="J1558" s="28"/>
      <c r="K1558" s="28"/>
    </row>
    <row r="1559">
      <c r="J1559" s="28"/>
      <c r="K1559" s="28"/>
    </row>
    <row r="1560">
      <c r="J1560" s="28"/>
      <c r="K1560" s="28"/>
    </row>
    <row r="1561">
      <c r="J1561" s="28"/>
      <c r="K1561" s="28"/>
    </row>
    <row r="1562">
      <c r="J1562" s="28"/>
      <c r="K1562" s="28"/>
    </row>
    <row r="1563">
      <c r="J1563" s="28"/>
      <c r="K1563" s="28"/>
    </row>
    <row r="1564">
      <c r="J1564" s="28"/>
      <c r="K1564" s="28"/>
    </row>
    <row r="1565">
      <c r="J1565" s="28"/>
      <c r="K1565" s="28"/>
    </row>
    <row r="1566">
      <c r="J1566" s="28"/>
      <c r="K1566" s="28"/>
    </row>
    <row r="1567">
      <c r="J1567" s="28"/>
      <c r="K1567" s="28"/>
    </row>
    <row r="1568">
      <c r="J1568" s="28"/>
      <c r="K1568" s="28"/>
    </row>
    <row r="1569">
      <c r="J1569" s="28"/>
      <c r="K1569" s="28"/>
    </row>
    <row r="1570">
      <c r="J1570" s="28"/>
      <c r="K1570" s="28"/>
    </row>
    <row r="1571">
      <c r="J1571" s="28"/>
      <c r="K1571" s="28"/>
    </row>
    <row r="1572">
      <c r="J1572" s="28"/>
      <c r="K1572" s="28"/>
    </row>
    <row r="1573">
      <c r="J1573" s="28"/>
      <c r="K1573" s="28"/>
    </row>
    <row r="1574">
      <c r="J1574" s="28"/>
      <c r="K1574" s="28"/>
    </row>
    <row r="1575">
      <c r="J1575" s="28"/>
      <c r="K1575" s="28"/>
    </row>
    <row r="1576">
      <c r="J1576" s="28"/>
      <c r="K1576" s="28"/>
    </row>
    <row r="1577">
      <c r="J1577" s="28"/>
      <c r="K1577" s="28"/>
    </row>
    <row r="1578">
      <c r="J1578" s="28"/>
      <c r="K1578" s="28"/>
    </row>
    <row r="1579">
      <c r="J1579" s="28"/>
      <c r="K1579" s="28"/>
    </row>
    <row r="1580">
      <c r="J1580" s="28"/>
      <c r="K1580" s="28"/>
    </row>
    <row r="1581">
      <c r="J1581" s="28"/>
      <c r="K1581" s="28"/>
    </row>
    <row r="1582">
      <c r="J1582" s="28"/>
      <c r="K1582" s="28"/>
    </row>
    <row r="1583">
      <c r="J1583" s="28"/>
      <c r="K1583" s="28"/>
    </row>
    <row r="1584">
      <c r="J1584" s="28"/>
      <c r="K1584" s="28"/>
    </row>
    <row r="1585">
      <c r="J1585" s="28"/>
      <c r="K1585" s="28"/>
    </row>
    <row r="1586">
      <c r="J1586" s="28"/>
      <c r="K1586" s="28"/>
    </row>
    <row r="1587">
      <c r="J1587" s="28"/>
      <c r="K1587" s="28"/>
    </row>
    <row r="1588">
      <c r="J1588" s="28"/>
      <c r="K1588" s="28"/>
    </row>
    <row r="1589">
      <c r="J1589" s="28"/>
      <c r="K1589" s="28"/>
    </row>
    <row r="1590">
      <c r="J1590" s="28"/>
      <c r="K1590" s="28"/>
    </row>
    <row r="1591">
      <c r="J1591" s="28"/>
      <c r="K1591" s="28"/>
    </row>
    <row r="1592">
      <c r="J1592" s="28"/>
      <c r="K1592" s="28"/>
    </row>
    <row r="1593">
      <c r="J1593" s="28"/>
      <c r="K1593" s="28"/>
    </row>
    <row r="1594">
      <c r="J1594" s="28"/>
      <c r="K1594" s="28"/>
    </row>
    <row r="1595">
      <c r="J1595" s="28"/>
      <c r="K1595" s="28"/>
    </row>
    <row r="1596">
      <c r="J1596" s="28"/>
      <c r="K1596" s="28"/>
    </row>
    <row r="1597">
      <c r="J1597" s="28"/>
      <c r="K1597" s="28"/>
    </row>
    <row r="1598">
      <c r="J1598" s="28"/>
      <c r="K1598" s="28"/>
    </row>
    <row r="1599">
      <c r="J1599" s="28"/>
      <c r="K1599" s="28"/>
    </row>
    <row r="1600">
      <c r="J1600" s="28"/>
      <c r="K1600" s="28"/>
    </row>
    <row r="1601">
      <c r="J1601" s="28"/>
      <c r="K1601" s="28"/>
    </row>
    <row r="1602">
      <c r="J1602" s="28"/>
      <c r="K1602" s="28"/>
    </row>
    <row r="1603">
      <c r="J1603" s="28"/>
      <c r="K1603" s="28"/>
    </row>
    <row r="1604">
      <c r="J1604" s="28"/>
      <c r="K1604" s="28"/>
    </row>
    <row r="1605">
      <c r="J1605" s="28"/>
      <c r="K1605" s="28"/>
    </row>
    <row r="1606">
      <c r="J1606" s="28"/>
      <c r="K1606" s="28"/>
    </row>
    <row r="1607">
      <c r="J1607" s="28"/>
      <c r="K1607" s="28"/>
    </row>
    <row r="1608">
      <c r="J1608" s="28"/>
      <c r="K1608" s="28"/>
    </row>
    <row r="1609">
      <c r="J1609" s="28"/>
      <c r="K1609" s="28"/>
    </row>
    <row r="1610">
      <c r="J1610" s="28"/>
      <c r="K1610" s="28"/>
    </row>
    <row r="1611">
      <c r="J1611" s="28"/>
      <c r="K1611" s="28"/>
    </row>
    <row r="1612">
      <c r="J1612" s="28"/>
      <c r="K1612" s="28"/>
    </row>
    <row r="1613">
      <c r="J1613" s="28"/>
      <c r="K1613" s="28"/>
    </row>
    <row r="1614">
      <c r="J1614" s="28"/>
      <c r="K1614" s="28"/>
    </row>
    <row r="1615">
      <c r="J1615" s="28"/>
      <c r="K1615" s="28"/>
    </row>
    <row r="1616">
      <c r="J1616" s="28"/>
      <c r="K1616" s="28"/>
    </row>
    <row r="1617">
      <c r="J1617" s="28"/>
      <c r="K1617" s="28"/>
    </row>
    <row r="1618">
      <c r="J1618" s="28"/>
      <c r="K1618" s="28"/>
    </row>
    <row r="1619">
      <c r="J1619" s="28"/>
      <c r="K1619" s="28"/>
    </row>
    <row r="1620">
      <c r="J1620" s="28"/>
      <c r="K1620" s="28"/>
    </row>
    <row r="1621">
      <c r="J1621" s="28"/>
      <c r="K1621" s="28"/>
    </row>
    <row r="1622">
      <c r="J1622" s="28"/>
      <c r="K1622" s="28"/>
    </row>
    <row r="1623">
      <c r="J1623" s="28"/>
      <c r="K1623" s="28"/>
    </row>
    <row r="1624">
      <c r="J1624" s="28"/>
      <c r="K1624" s="28"/>
    </row>
    <row r="1625">
      <c r="J1625" s="28"/>
      <c r="K1625" s="28"/>
    </row>
    <row r="1626">
      <c r="J1626" s="28"/>
      <c r="K1626" s="28"/>
    </row>
    <row r="1627">
      <c r="J1627" s="28"/>
      <c r="K1627" s="28"/>
    </row>
    <row r="1628">
      <c r="J1628" s="28"/>
      <c r="K1628" s="28"/>
    </row>
    <row r="1629">
      <c r="J1629" s="28"/>
      <c r="K1629" s="28"/>
    </row>
    <row r="1630">
      <c r="J1630" s="28"/>
      <c r="K1630" s="28"/>
    </row>
    <row r="1631">
      <c r="J1631" s="28"/>
      <c r="K1631" s="28"/>
    </row>
    <row r="1632">
      <c r="J1632" s="28"/>
      <c r="K1632" s="28"/>
    </row>
    <row r="1633">
      <c r="J1633" s="28"/>
      <c r="K1633" s="28"/>
    </row>
    <row r="1634">
      <c r="J1634" s="28"/>
      <c r="K1634" s="28"/>
    </row>
    <row r="1635">
      <c r="J1635" s="28"/>
      <c r="K1635" s="28"/>
    </row>
    <row r="1636">
      <c r="J1636" s="28"/>
      <c r="K1636" s="28"/>
    </row>
    <row r="1637">
      <c r="J1637" s="28"/>
      <c r="K1637" s="28"/>
    </row>
    <row r="1638">
      <c r="J1638" s="28"/>
      <c r="K1638" s="28"/>
    </row>
    <row r="1639">
      <c r="J1639" s="28"/>
      <c r="K1639" s="28"/>
    </row>
    <row r="1640">
      <c r="J1640" s="28"/>
      <c r="K1640" s="28"/>
    </row>
    <row r="1641">
      <c r="J1641" s="28"/>
      <c r="K1641" s="28"/>
    </row>
    <row r="1642">
      <c r="J1642" s="28"/>
      <c r="K1642" s="28"/>
    </row>
    <row r="1643">
      <c r="J1643" s="28"/>
      <c r="K1643" s="28"/>
    </row>
    <row r="1644">
      <c r="J1644" s="28"/>
      <c r="K1644" s="28"/>
    </row>
    <row r="1645">
      <c r="J1645" s="28"/>
      <c r="K1645" s="28"/>
    </row>
    <row r="1646">
      <c r="J1646" s="28"/>
      <c r="K1646" s="28"/>
    </row>
    <row r="1647">
      <c r="J1647" s="28"/>
      <c r="K1647" s="28"/>
    </row>
    <row r="1648">
      <c r="J1648" s="28"/>
      <c r="K1648" s="28"/>
    </row>
    <row r="1649">
      <c r="J1649" s="28"/>
      <c r="K1649" s="28"/>
    </row>
    <row r="1650">
      <c r="J1650" s="28"/>
      <c r="K1650" s="28"/>
    </row>
    <row r="1651">
      <c r="J1651" s="28"/>
      <c r="K1651" s="28"/>
    </row>
    <row r="1652">
      <c r="J1652" s="28"/>
      <c r="K1652" s="28"/>
    </row>
    <row r="1653">
      <c r="J1653" s="28"/>
      <c r="K1653" s="28"/>
    </row>
    <row r="1654">
      <c r="J1654" s="28"/>
      <c r="K1654" s="28"/>
    </row>
    <row r="1655">
      <c r="J1655" s="28"/>
      <c r="K1655" s="28"/>
    </row>
    <row r="1656">
      <c r="J1656" s="28"/>
      <c r="K1656" s="28"/>
    </row>
    <row r="1657">
      <c r="J1657" s="28"/>
      <c r="K1657" s="28"/>
    </row>
    <row r="1658">
      <c r="J1658" s="28"/>
      <c r="K1658" s="28"/>
    </row>
    <row r="1659">
      <c r="J1659" s="28"/>
      <c r="K1659" s="28"/>
    </row>
    <row r="1660">
      <c r="J1660" s="28"/>
      <c r="K1660" s="28"/>
    </row>
    <row r="1661">
      <c r="J1661" s="28"/>
      <c r="K1661" s="28"/>
    </row>
    <row r="1662">
      <c r="J1662" s="28"/>
      <c r="K1662" s="28"/>
    </row>
    <row r="1663">
      <c r="J1663" s="28"/>
      <c r="K1663" s="28"/>
    </row>
    <row r="1664">
      <c r="J1664" s="28"/>
      <c r="K1664" s="28"/>
    </row>
    <row r="1665">
      <c r="J1665" s="28"/>
      <c r="K1665" s="28"/>
    </row>
    <row r="1666">
      <c r="J1666" s="28"/>
      <c r="K1666" s="28"/>
    </row>
    <row r="1667">
      <c r="J1667" s="28"/>
      <c r="K1667" s="28"/>
    </row>
    <row r="1668">
      <c r="J1668" s="28"/>
      <c r="K1668" s="28"/>
    </row>
    <row r="1669">
      <c r="J1669" s="28"/>
      <c r="K1669" s="28"/>
    </row>
    <row r="1670">
      <c r="J1670" s="28"/>
      <c r="K1670" s="28"/>
    </row>
    <row r="1671">
      <c r="J1671" s="28"/>
      <c r="K1671" s="28"/>
    </row>
    <row r="1672">
      <c r="J1672" s="28"/>
      <c r="K1672" s="28"/>
    </row>
    <row r="1673">
      <c r="J1673" s="28"/>
      <c r="K1673" s="28"/>
    </row>
    <row r="1674">
      <c r="J1674" s="28"/>
      <c r="K1674" s="28"/>
    </row>
    <row r="1675">
      <c r="J1675" s="28"/>
      <c r="K1675" s="28"/>
    </row>
    <row r="1676">
      <c r="J1676" s="28"/>
      <c r="K1676" s="28"/>
    </row>
    <row r="1677">
      <c r="J1677" s="28"/>
      <c r="K1677" s="28"/>
    </row>
    <row r="1678">
      <c r="J1678" s="28"/>
      <c r="K1678" s="28"/>
    </row>
    <row r="1679">
      <c r="J1679" s="28"/>
      <c r="K1679" s="28"/>
    </row>
    <row r="1680">
      <c r="J1680" s="28"/>
      <c r="K1680" s="28"/>
    </row>
    <row r="1681">
      <c r="J1681" s="28"/>
      <c r="K1681" s="28"/>
    </row>
    <row r="1682">
      <c r="J1682" s="28"/>
      <c r="K1682" s="28"/>
    </row>
    <row r="1683">
      <c r="J1683" s="28"/>
      <c r="K1683" s="28"/>
    </row>
    <row r="1684">
      <c r="J1684" s="28"/>
      <c r="K1684" s="28"/>
    </row>
    <row r="1685">
      <c r="J1685" s="28"/>
      <c r="K1685" s="28"/>
    </row>
    <row r="1686">
      <c r="J1686" s="28"/>
      <c r="K1686" s="28"/>
    </row>
    <row r="1687">
      <c r="J1687" s="28"/>
      <c r="K1687" s="28"/>
    </row>
    <row r="1688">
      <c r="J1688" s="28"/>
      <c r="K1688" s="28"/>
    </row>
    <row r="1689">
      <c r="J1689" s="28"/>
      <c r="K1689" s="28"/>
    </row>
    <row r="1690">
      <c r="J1690" s="28"/>
      <c r="K1690" s="28"/>
    </row>
    <row r="1691">
      <c r="J1691" s="28"/>
      <c r="K1691" s="28"/>
    </row>
    <row r="1692">
      <c r="J1692" s="28"/>
      <c r="K1692" s="28"/>
    </row>
    <row r="1693">
      <c r="J1693" s="28"/>
      <c r="K1693" s="28"/>
    </row>
    <row r="1694">
      <c r="J1694" s="28"/>
      <c r="K1694" s="28"/>
    </row>
    <row r="1695">
      <c r="J1695" s="28"/>
      <c r="K1695" s="28"/>
    </row>
    <row r="1696">
      <c r="J1696" s="28"/>
      <c r="K1696" s="28"/>
    </row>
    <row r="1697">
      <c r="J1697" s="28"/>
      <c r="K1697" s="28"/>
    </row>
    <row r="1698">
      <c r="J1698" s="28"/>
      <c r="K1698" s="28"/>
    </row>
    <row r="1699">
      <c r="J1699" s="28"/>
      <c r="K1699" s="28"/>
    </row>
    <row r="1700">
      <c r="J1700" s="28"/>
      <c r="K1700" s="28"/>
    </row>
    <row r="1701">
      <c r="J1701" s="28"/>
      <c r="K1701" s="28"/>
    </row>
    <row r="1702">
      <c r="J1702" s="28"/>
      <c r="K1702" s="28"/>
    </row>
    <row r="1703">
      <c r="J1703" s="28"/>
      <c r="K1703" s="28"/>
    </row>
    <row r="1704">
      <c r="J1704" s="28"/>
      <c r="K1704" s="28"/>
    </row>
    <row r="1705">
      <c r="J1705" s="28"/>
      <c r="K1705" s="28"/>
    </row>
    <row r="1706">
      <c r="J1706" s="28"/>
      <c r="K1706" s="28"/>
    </row>
    <row r="1707">
      <c r="J1707" s="28"/>
      <c r="K1707" s="28"/>
    </row>
    <row r="1708">
      <c r="J1708" s="28"/>
      <c r="K1708" s="28"/>
    </row>
    <row r="1709">
      <c r="J1709" s="28"/>
      <c r="K1709" s="28"/>
    </row>
    <row r="1710">
      <c r="J1710" s="28"/>
      <c r="K1710" s="28"/>
    </row>
    <row r="1711">
      <c r="J1711" s="28"/>
      <c r="K1711" s="28"/>
    </row>
    <row r="1712">
      <c r="J1712" s="28"/>
      <c r="K1712" s="28"/>
    </row>
    <row r="1713">
      <c r="J1713" s="28"/>
      <c r="K1713" s="28"/>
    </row>
    <row r="1714">
      <c r="J1714" s="28"/>
      <c r="K1714" s="28"/>
    </row>
    <row r="1715">
      <c r="J1715" s="28"/>
      <c r="K1715" s="28"/>
    </row>
    <row r="1716">
      <c r="J1716" s="28"/>
      <c r="K1716" s="28"/>
    </row>
    <row r="1717">
      <c r="J1717" s="28"/>
      <c r="K1717" s="28"/>
    </row>
    <row r="1718">
      <c r="J1718" s="28"/>
      <c r="K1718" s="28"/>
    </row>
    <row r="1719">
      <c r="J1719" s="28"/>
      <c r="K1719" s="28"/>
    </row>
    <row r="1720">
      <c r="J1720" s="28"/>
      <c r="K1720" s="28"/>
    </row>
    <row r="1721">
      <c r="J1721" s="28"/>
      <c r="K1721" s="28"/>
    </row>
    <row r="1722">
      <c r="J1722" s="28"/>
      <c r="K1722" s="28"/>
    </row>
    <row r="1723">
      <c r="J1723" s="28"/>
      <c r="K1723" s="28"/>
    </row>
    <row r="1724">
      <c r="J1724" s="28"/>
      <c r="K1724" s="28"/>
    </row>
    <row r="1725">
      <c r="J1725" s="28"/>
      <c r="K1725" s="28"/>
    </row>
    <row r="1726">
      <c r="J1726" s="28"/>
      <c r="K1726" s="28"/>
    </row>
    <row r="1727">
      <c r="J1727" s="28"/>
      <c r="K1727" s="28"/>
    </row>
    <row r="1728">
      <c r="J1728" s="28"/>
      <c r="K1728" s="28"/>
    </row>
    <row r="1729">
      <c r="J1729" s="28"/>
      <c r="K1729" s="28"/>
    </row>
    <row r="1730">
      <c r="J1730" s="28"/>
      <c r="K1730" s="28"/>
    </row>
    <row r="1731">
      <c r="J1731" s="28"/>
      <c r="K1731" s="28"/>
    </row>
    <row r="1732">
      <c r="J1732" s="28"/>
      <c r="K1732" s="28"/>
    </row>
    <row r="1733">
      <c r="J1733" s="28"/>
      <c r="K1733" s="28"/>
    </row>
    <row r="1734">
      <c r="J1734" s="28"/>
      <c r="K1734" s="28"/>
    </row>
    <row r="1735">
      <c r="J1735" s="28"/>
      <c r="K1735" s="28"/>
    </row>
    <row r="1736">
      <c r="J1736" s="28"/>
      <c r="K1736" s="28"/>
    </row>
    <row r="1737">
      <c r="J1737" s="28"/>
      <c r="K1737" s="28"/>
    </row>
    <row r="1738">
      <c r="J1738" s="28"/>
      <c r="K1738" s="28"/>
    </row>
    <row r="1739">
      <c r="J1739" s="28"/>
      <c r="K1739" s="28"/>
    </row>
    <row r="1740">
      <c r="J1740" s="28"/>
      <c r="K1740" s="28"/>
    </row>
    <row r="1741">
      <c r="J1741" s="28"/>
      <c r="K1741" s="28"/>
    </row>
    <row r="1742">
      <c r="J1742" s="28"/>
      <c r="K1742" s="28"/>
    </row>
    <row r="1743">
      <c r="J1743" s="28"/>
      <c r="K1743" s="28"/>
    </row>
    <row r="1744">
      <c r="J1744" s="28"/>
      <c r="K1744" s="28"/>
    </row>
    <row r="1745">
      <c r="J1745" s="28"/>
      <c r="K1745" s="28"/>
    </row>
    <row r="1746">
      <c r="J1746" s="28"/>
      <c r="K1746" s="28"/>
    </row>
    <row r="1747">
      <c r="J1747" s="28"/>
      <c r="K1747" s="28"/>
    </row>
    <row r="1748">
      <c r="J1748" s="28"/>
      <c r="K1748" s="28"/>
    </row>
    <row r="1749">
      <c r="J1749" s="28"/>
      <c r="K1749" s="28"/>
    </row>
    <row r="1750">
      <c r="J1750" s="28"/>
      <c r="K1750" s="28"/>
    </row>
    <row r="1751">
      <c r="J1751" s="28"/>
      <c r="K1751" s="28"/>
    </row>
    <row r="1752">
      <c r="J1752" s="28"/>
      <c r="K1752" s="28"/>
    </row>
    <row r="1753">
      <c r="J1753" s="28"/>
      <c r="K1753" s="28"/>
    </row>
    <row r="1754">
      <c r="J1754" s="28"/>
      <c r="K1754" s="28"/>
    </row>
    <row r="1755">
      <c r="J1755" s="28"/>
      <c r="K1755" s="28"/>
    </row>
    <row r="1756">
      <c r="J1756" s="28"/>
      <c r="K1756" s="28"/>
    </row>
    <row r="1757">
      <c r="J1757" s="28"/>
      <c r="K1757" s="28"/>
    </row>
    <row r="1758">
      <c r="J1758" s="28"/>
      <c r="K1758" s="28"/>
    </row>
    <row r="1759">
      <c r="J1759" s="28"/>
      <c r="K1759" s="28"/>
    </row>
    <row r="1760">
      <c r="J1760" s="28"/>
      <c r="K1760" s="28"/>
    </row>
    <row r="1761">
      <c r="J1761" s="28"/>
      <c r="K1761" s="28"/>
    </row>
    <row r="1762">
      <c r="J1762" s="28"/>
      <c r="K1762" s="28"/>
    </row>
    <row r="1763">
      <c r="J1763" s="28"/>
      <c r="K1763" s="28"/>
    </row>
    <row r="1764">
      <c r="J1764" s="28"/>
      <c r="K1764" s="28"/>
    </row>
    <row r="1765">
      <c r="J1765" s="28"/>
      <c r="K1765" s="28"/>
    </row>
    <row r="1766">
      <c r="J1766" s="28"/>
      <c r="K1766" s="28"/>
    </row>
    <row r="1767">
      <c r="J1767" s="28"/>
      <c r="K1767" s="28"/>
    </row>
    <row r="1768">
      <c r="J1768" s="28"/>
      <c r="K1768" s="28"/>
    </row>
    <row r="1769">
      <c r="J1769" s="28"/>
      <c r="K1769" s="28"/>
    </row>
    <row r="1770">
      <c r="J1770" s="28"/>
      <c r="K1770" s="28"/>
    </row>
    <row r="1771">
      <c r="J1771" s="28"/>
      <c r="K1771" s="28"/>
    </row>
    <row r="1772">
      <c r="J1772" s="28"/>
      <c r="K1772" s="28"/>
    </row>
    <row r="1773">
      <c r="J1773" s="28"/>
      <c r="K1773" s="28"/>
    </row>
    <row r="1774">
      <c r="J1774" s="28"/>
      <c r="K1774" s="28"/>
    </row>
    <row r="1775">
      <c r="J1775" s="28"/>
      <c r="K1775" s="28"/>
    </row>
    <row r="1776">
      <c r="J1776" s="28"/>
      <c r="K1776" s="28"/>
    </row>
    <row r="1777">
      <c r="J1777" s="28"/>
      <c r="K1777" s="28"/>
    </row>
    <row r="1778">
      <c r="J1778" s="28"/>
      <c r="K1778" s="28"/>
    </row>
    <row r="1779">
      <c r="J1779" s="28"/>
      <c r="K1779" s="28"/>
    </row>
    <row r="1780">
      <c r="J1780" s="28"/>
      <c r="K1780" s="28"/>
    </row>
    <row r="1781">
      <c r="J1781" s="28"/>
      <c r="K1781" s="28"/>
    </row>
    <row r="1782">
      <c r="J1782" s="28"/>
      <c r="K1782" s="28"/>
    </row>
    <row r="1783">
      <c r="J1783" s="28"/>
      <c r="K1783" s="28"/>
    </row>
    <row r="1784">
      <c r="J1784" s="28"/>
      <c r="K1784" s="28"/>
    </row>
    <row r="1785">
      <c r="J1785" s="28"/>
      <c r="K1785" s="28"/>
    </row>
    <row r="1786">
      <c r="J1786" s="28"/>
      <c r="K1786" s="28"/>
    </row>
    <row r="1787">
      <c r="J1787" s="28"/>
      <c r="K1787" s="28"/>
    </row>
    <row r="1788">
      <c r="J1788" s="28"/>
      <c r="K1788" s="28"/>
    </row>
    <row r="1789">
      <c r="J1789" s="28"/>
      <c r="K1789" s="28"/>
    </row>
    <row r="1790">
      <c r="J1790" s="28"/>
      <c r="K1790" s="28"/>
    </row>
    <row r="1791">
      <c r="J1791" s="28"/>
      <c r="K1791" s="28"/>
    </row>
    <row r="1792">
      <c r="J1792" s="28"/>
      <c r="K1792" s="28"/>
    </row>
    <row r="1793">
      <c r="J1793" s="28"/>
      <c r="K1793" s="28"/>
    </row>
    <row r="1794">
      <c r="J1794" s="28"/>
      <c r="K1794" s="28"/>
    </row>
    <row r="1795">
      <c r="J1795" s="28"/>
      <c r="K1795" s="28"/>
    </row>
    <row r="1796">
      <c r="J1796" s="28"/>
      <c r="K1796" s="28"/>
    </row>
    <row r="1797">
      <c r="J1797" s="28"/>
      <c r="K1797" s="28"/>
    </row>
    <row r="1798">
      <c r="J1798" s="28"/>
      <c r="K1798" s="28"/>
    </row>
    <row r="1799">
      <c r="J1799" s="28"/>
      <c r="K1799" s="28"/>
    </row>
    <row r="1800">
      <c r="J1800" s="28"/>
      <c r="K1800" s="28"/>
    </row>
    <row r="1801">
      <c r="J1801" s="28"/>
      <c r="K1801" s="28"/>
    </row>
    <row r="1802">
      <c r="J1802" s="28"/>
      <c r="K1802" s="28"/>
    </row>
    <row r="1803">
      <c r="J1803" s="28"/>
      <c r="K1803" s="28"/>
    </row>
    <row r="1804">
      <c r="J1804" s="28"/>
      <c r="K1804" s="28"/>
    </row>
    <row r="1805">
      <c r="J1805" s="28"/>
      <c r="K1805" s="28"/>
    </row>
    <row r="1806">
      <c r="J1806" s="28"/>
      <c r="K1806" s="28"/>
    </row>
    <row r="1807">
      <c r="J1807" s="28"/>
      <c r="K1807" s="28"/>
    </row>
    <row r="1808">
      <c r="J1808" s="28"/>
      <c r="K1808" s="28"/>
    </row>
    <row r="1809">
      <c r="J1809" s="28"/>
      <c r="K1809" s="28"/>
    </row>
    <row r="1810">
      <c r="J1810" s="28"/>
      <c r="K1810" s="28"/>
    </row>
    <row r="1811">
      <c r="J1811" s="28"/>
      <c r="K1811" s="28"/>
    </row>
    <row r="1812">
      <c r="J1812" s="28"/>
      <c r="K1812" s="28"/>
    </row>
    <row r="1813">
      <c r="J1813" s="28"/>
      <c r="K1813" s="28"/>
    </row>
    <row r="1814">
      <c r="J1814" s="28"/>
      <c r="K1814" s="28"/>
    </row>
    <row r="1815">
      <c r="J1815" s="28"/>
      <c r="K1815" s="28"/>
    </row>
    <row r="1816">
      <c r="J1816" s="28"/>
      <c r="K1816" s="28"/>
    </row>
    <row r="1817">
      <c r="J1817" s="28"/>
      <c r="K1817" s="28"/>
    </row>
    <row r="1818">
      <c r="J1818" s="28"/>
      <c r="K1818" s="28"/>
    </row>
    <row r="1819">
      <c r="J1819" s="28"/>
      <c r="K1819" s="28"/>
    </row>
    <row r="1820">
      <c r="J1820" s="28"/>
      <c r="K1820" s="28"/>
    </row>
    <row r="1821">
      <c r="J1821" s="28"/>
      <c r="K1821" s="28"/>
    </row>
    <row r="1822">
      <c r="J1822" s="28"/>
      <c r="K1822" s="28"/>
    </row>
    <row r="1823">
      <c r="J1823" s="28"/>
      <c r="K1823" s="28"/>
    </row>
    <row r="1824">
      <c r="J1824" s="28"/>
      <c r="K1824" s="28"/>
    </row>
    <row r="1825">
      <c r="J1825" s="28"/>
      <c r="K1825" s="28"/>
    </row>
    <row r="1826">
      <c r="J1826" s="28"/>
      <c r="K1826" s="28"/>
    </row>
    <row r="1827">
      <c r="J1827" s="28"/>
      <c r="K1827" s="28"/>
    </row>
    <row r="1828">
      <c r="J1828" s="28"/>
      <c r="K1828" s="28"/>
    </row>
    <row r="1829">
      <c r="J1829" s="28"/>
      <c r="K1829" s="28"/>
    </row>
    <row r="1830">
      <c r="J1830" s="28"/>
      <c r="K1830" s="28"/>
    </row>
    <row r="1831">
      <c r="J1831" s="28"/>
      <c r="K1831" s="28"/>
    </row>
    <row r="1832">
      <c r="J1832" s="28"/>
      <c r="K1832" s="28"/>
    </row>
    <row r="1833">
      <c r="J1833" s="28"/>
      <c r="K1833" s="28"/>
    </row>
    <row r="1834">
      <c r="J1834" s="28"/>
      <c r="K1834" s="28"/>
    </row>
    <row r="1835">
      <c r="J1835" s="28"/>
      <c r="K1835" s="28"/>
    </row>
    <row r="1836">
      <c r="J1836" s="28"/>
      <c r="K1836" s="28"/>
    </row>
    <row r="1837">
      <c r="J1837" s="28"/>
      <c r="K1837" s="28"/>
    </row>
    <row r="1838">
      <c r="J1838" s="28"/>
      <c r="K1838" s="28"/>
    </row>
    <row r="1839">
      <c r="J1839" s="28"/>
      <c r="K1839" s="28"/>
    </row>
    <row r="1840">
      <c r="J1840" s="28"/>
      <c r="K1840" s="28"/>
    </row>
    <row r="1841">
      <c r="J1841" s="28"/>
      <c r="K1841" s="28"/>
    </row>
    <row r="1842">
      <c r="J1842" s="28"/>
      <c r="K1842" s="28"/>
    </row>
    <row r="1843">
      <c r="J1843" s="28"/>
      <c r="K1843" s="28"/>
    </row>
    <row r="1844">
      <c r="J1844" s="28"/>
      <c r="K1844" s="28"/>
    </row>
    <row r="1845">
      <c r="J1845" s="28"/>
      <c r="K1845" s="28"/>
    </row>
    <row r="1846">
      <c r="J1846" s="28"/>
      <c r="K1846" s="28"/>
    </row>
    <row r="1847">
      <c r="J1847" s="28"/>
      <c r="K1847" s="28"/>
    </row>
    <row r="1848">
      <c r="J1848" s="28"/>
      <c r="K1848" s="28"/>
    </row>
    <row r="1849">
      <c r="J1849" s="28"/>
      <c r="K1849" s="28"/>
    </row>
    <row r="1850">
      <c r="J1850" s="28"/>
      <c r="K1850" s="28"/>
    </row>
    <row r="1851">
      <c r="J1851" s="28"/>
      <c r="K1851" s="28"/>
    </row>
    <row r="1852">
      <c r="J1852" s="28"/>
      <c r="K1852" s="28"/>
    </row>
    <row r="1853">
      <c r="J1853" s="28"/>
      <c r="K1853" s="28"/>
    </row>
    <row r="1854">
      <c r="J1854" s="28"/>
      <c r="K1854" s="28"/>
    </row>
    <row r="1855">
      <c r="J1855" s="28"/>
      <c r="K1855" s="28"/>
    </row>
    <row r="1856">
      <c r="J1856" s="28"/>
      <c r="K1856" s="28"/>
    </row>
    <row r="1857">
      <c r="J1857" s="28"/>
      <c r="K1857" s="28"/>
    </row>
    <row r="1858">
      <c r="J1858" s="28"/>
      <c r="K1858" s="28"/>
    </row>
    <row r="1859">
      <c r="J1859" s="28"/>
      <c r="K1859" s="28"/>
    </row>
    <row r="1860">
      <c r="J1860" s="28"/>
      <c r="K1860" s="28"/>
    </row>
    <row r="1861">
      <c r="J1861" s="28"/>
      <c r="K1861" s="28"/>
    </row>
    <row r="1862">
      <c r="J1862" s="28"/>
      <c r="K1862" s="28"/>
    </row>
    <row r="1863">
      <c r="J1863" s="28"/>
      <c r="K1863" s="28"/>
    </row>
    <row r="1864">
      <c r="J1864" s="28"/>
      <c r="K1864" s="28"/>
    </row>
    <row r="1865">
      <c r="J1865" s="28"/>
      <c r="K1865" s="28"/>
    </row>
    <row r="1866">
      <c r="J1866" s="28"/>
      <c r="K1866" s="28"/>
    </row>
    <row r="1867">
      <c r="J1867" s="28"/>
      <c r="K1867" s="28"/>
    </row>
    <row r="1868">
      <c r="J1868" s="28"/>
      <c r="K1868" s="28"/>
    </row>
    <row r="1869">
      <c r="J1869" s="28"/>
      <c r="K1869" s="28"/>
    </row>
    <row r="1870">
      <c r="J1870" s="28"/>
      <c r="K1870" s="28"/>
    </row>
    <row r="1871">
      <c r="J1871" s="28"/>
      <c r="K1871" s="28"/>
    </row>
    <row r="1872">
      <c r="J1872" s="28"/>
      <c r="K1872" s="28"/>
    </row>
    <row r="1873">
      <c r="J1873" s="28"/>
      <c r="K1873" s="28"/>
    </row>
    <row r="1874">
      <c r="J1874" s="28"/>
      <c r="K1874" s="28"/>
    </row>
    <row r="1875">
      <c r="J1875" s="28"/>
      <c r="K1875" s="28"/>
    </row>
    <row r="1876">
      <c r="J1876" s="28"/>
      <c r="K1876" s="28"/>
    </row>
    <row r="1877">
      <c r="J1877" s="28"/>
      <c r="K1877" s="28"/>
    </row>
    <row r="1878">
      <c r="J1878" s="28"/>
      <c r="K1878" s="28"/>
    </row>
    <row r="1879">
      <c r="J1879" s="28"/>
      <c r="K1879" s="28"/>
    </row>
    <row r="1880">
      <c r="J1880" s="28"/>
      <c r="K1880" s="28"/>
    </row>
    <row r="1881">
      <c r="J1881" s="28"/>
      <c r="K1881" s="28"/>
    </row>
    <row r="1882">
      <c r="J1882" s="28"/>
      <c r="K1882" s="28"/>
    </row>
    <row r="1883">
      <c r="J1883" s="28"/>
      <c r="K1883" s="28"/>
    </row>
    <row r="1884">
      <c r="J1884" s="28"/>
      <c r="K1884" s="28"/>
    </row>
    <row r="1885">
      <c r="J1885" s="28"/>
      <c r="K1885" s="28"/>
    </row>
    <row r="1886">
      <c r="J1886" s="28"/>
      <c r="K1886" s="28"/>
    </row>
    <row r="1887">
      <c r="J1887" s="28"/>
      <c r="K1887" s="28"/>
    </row>
    <row r="1888">
      <c r="J1888" s="28"/>
      <c r="K1888" s="28"/>
    </row>
    <row r="1889">
      <c r="J1889" s="28"/>
      <c r="K1889" s="28"/>
    </row>
    <row r="1890">
      <c r="J1890" s="28"/>
      <c r="K1890" s="28"/>
    </row>
    <row r="1891">
      <c r="J1891" s="28"/>
      <c r="K1891" s="28"/>
    </row>
    <row r="1892">
      <c r="J1892" s="28"/>
      <c r="K1892" s="28"/>
    </row>
    <row r="1893">
      <c r="J1893" s="28"/>
      <c r="K1893" s="28"/>
    </row>
    <row r="1894">
      <c r="J1894" s="28"/>
      <c r="K1894" s="28"/>
    </row>
    <row r="1895">
      <c r="J1895" s="28"/>
      <c r="K1895" s="28"/>
    </row>
    <row r="1896">
      <c r="J1896" s="28"/>
      <c r="K1896" s="28"/>
    </row>
    <row r="1897">
      <c r="J1897" s="28"/>
      <c r="K1897" s="28"/>
    </row>
    <row r="1898">
      <c r="J1898" s="28"/>
      <c r="K1898" s="28"/>
    </row>
    <row r="1899">
      <c r="J1899" s="28"/>
      <c r="K1899" s="28"/>
    </row>
    <row r="1900">
      <c r="J1900" s="28"/>
      <c r="K1900" s="28"/>
    </row>
    <row r="1901">
      <c r="J1901" s="28"/>
      <c r="K1901" s="28"/>
    </row>
    <row r="1902">
      <c r="J1902" s="28"/>
      <c r="K1902" s="28"/>
    </row>
    <row r="1903">
      <c r="J1903" s="28"/>
      <c r="K1903" s="28"/>
    </row>
    <row r="1904">
      <c r="J1904" s="28"/>
      <c r="K1904" s="28"/>
    </row>
    <row r="1905">
      <c r="J1905" s="28"/>
      <c r="K1905" s="28"/>
    </row>
    <row r="1906">
      <c r="J1906" s="28"/>
      <c r="K1906" s="28"/>
    </row>
    <row r="1907">
      <c r="J1907" s="28"/>
      <c r="K1907" s="28"/>
    </row>
    <row r="1908">
      <c r="J1908" s="28"/>
      <c r="K1908" s="28"/>
    </row>
    <row r="1909">
      <c r="J1909" s="28"/>
      <c r="K1909" s="28"/>
    </row>
    <row r="1910">
      <c r="J1910" s="28"/>
      <c r="K1910" s="28"/>
    </row>
    <row r="1911">
      <c r="J1911" s="28"/>
      <c r="K1911" s="28"/>
    </row>
    <row r="1912">
      <c r="J1912" s="28"/>
      <c r="K1912" s="28"/>
    </row>
    <row r="1913">
      <c r="J1913" s="28"/>
      <c r="K1913" s="28"/>
    </row>
    <row r="1914">
      <c r="J1914" s="28"/>
      <c r="K1914" s="28"/>
    </row>
    <row r="1915">
      <c r="J1915" s="28"/>
      <c r="K1915" s="28"/>
    </row>
    <row r="1916">
      <c r="J1916" s="28"/>
      <c r="K1916" s="28"/>
    </row>
    <row r="1917">
      <c r="J1917" s="28"/>
      <c r="K1917" s="28"/>
    </row>
    <row r="1918">
      <c r="J1918" s="28"/>
      <c r="K1918" s="28"/>
    </row>
    <row r="1919">
      <c r="J1919" s="28"/>
      <c r="K1919" s="28"/>
    </row>
    <row r="1920">
      <c r="J1920" s="28"/>
      <c r="K1920" s="28"/>
    </row>
    <row r="1921">
      <c r="J1921" s="28"/>
      <c r="K1921" s="28"/>
    </row>
    <row r="1922">
      <c r="J1922" s="28"/>
      <c r="K1922" s="28"/>
    </row>
    <row r="1923">
      <c r="J1923" s="28"/>
      <c r="K1923" s="28"/>
    </row>
    <row r="1924">
      <c r="J1924" s="28"/>
      <c r="K1924" s="28"/>
    </row>
    <row r="1925">
      <c r="J1925" s="28"/>
      <c r="K1925" s="28"/>
    </row>
    <row r="1926">
      <c r="J1926" s="28"/>
      <c r="K1926" s="28"/>
    </row>
    <row r="1927">
      <c r="J1927" s="28"/>
      <c r="K1927" s="28"/>
    </row>
    <row r="1928">
      <c r="J1928" s="28"/>
      <c r="K1928" s="28"/>
    </row>
    <row r="1929">
      <c r="J1929" s="28"/>
      <c r="K1929" s="28"/>
    </row>
    <row r="1930">
      <c r="J1930" s="28"/>
      <c r="K1930" s="28"/>
    </row>
    <row r="1931">
      <c r="J1931" s="28"/>
      <c r="K1931" s="28"/>
    </row>
    <row r="1932">
      <c r="J1932" s="28"/>
      <c r="K1932" s="28"/>
    </row>
    <row r="1933">
      <c r="J1933" s="28"/>
      <c r="K1933" s="28"/>
    </row>
    <row r="1934">
      <c r="J1934" s="28"/>
      <c r="K1934" s="28"/>
    </row>
    <row r="1935">
      <c r="J1935" s="28"/>
      <c r="K1935" s="28"/>
    </row>
    <row r="1936">
      <c r="J1936" s="28"/>
      <c r="K1936" s="28"/>
    </row>
    <row r="1937">
      <c r="J1937" s="28"/>
      <c r="K1937" s="28"/>
    </row>
    <row r="1938">
      <c r="J1938" s="28"/>
      <c r="K1938" s="28"/>
    </row>
    <row r="1939">
      <c r="J1939" s="28"/>
      <c r="K1939" s="28"/>
    </row>
    <row r="1940">
      <c r="J1940" s="28"/>
      <c r="K1940" s="28"/>
    </row>
    <row r="1941">
      <c r="J1941" s="28"/>
      <c r="K1941" s="28"/>
    </row>
    <row r="1942">
      <c r="J1942" s="28"/>
      <c r="K1942" s="28"/>
    </row>
    <row r="1943">
      <c r="J1943" s="28"/>
      <c r="K1943" s="28"/>
    </row>
    <row r="1944">
      <c r="J1944" s="28"/>
      <c r="K1944" s="28"/>
    </row>
    <row r="1945">
      <c r="J1945" s="28"/>
      <c r="K1945" s="28"/>
    </row>
    <row r="1946">
      <c r="J1946" s="28"/>
      <c r="K1946" s="28"/>
    </row>
    <row r="1947">
      <c r="J1947" s="28"/>
      <c r="K1947" s="28"/>
    </row>
    <row r="1948">
      <c r="J1948" s="28"/>
      <c r="K1948" s="28"/>
    </row>
    <row r="1949">
      <c r="J1949" s="28"/>
      <c r="K1949" s="28"/>
    </row>
    <row r="1950">
      <c r="J1950" s="28"/>
      <c r="K1950" s="28"/>
    </row>
    <row r="1951">
      <c r="J1951" s="28"/>
      <c r="K1951" s="28"/>
    </row>
    <row r="1952">
      <c r="J1952" s="28"/>
      <c r="K1952" s="28"/>
    </row>
    <row r="1953">
      <c r="J1953" s="28"/>
      <c r="K1953" s="28"/>
    </row>
    <row r="1954">
      <c r="J1954" s="28"/>
      <c r="K1954" s="28"/>
    </row>
    <row r="1955">
      <c r="J1955" s="28"/>
      <c r="K1955" s="28"/>
    </row>
    <row r="1956">
      <c r="J1956" s="28"/>
      <c r="K1956" s="28"/>
    </row>
    <row r="1957">
      <c r="J1957" s="28"/>
      <c r="K1957" s="28"/>
    </row>
    <row r="1958">
      <c r="J1958" s="28"/>
      <c r="K1958" s="28"/>
    </row>
    <row r="1959">
      <c r="J1959" s="28"/>
      <c r="K1959" s="28"/>
    </row>
    <row r="1960">
      <c r="J1960" s="28"/>
      <c r="K1960" s="28"/>
    </row>
    <row r="1961">
      <c r="J1961" s="28"/>
      <c r="K1961" s="28"/>
    </row>
    <row r="1962">
      <c r="J1962" s="28"/>
      <c r="K1962" s="28"/>
    </row>
    <row r="1963">
      <c r="J1963" s="28"/>
      <c r="K1963" s="28"/>
    </row>
    <row r="1964">
      <c r="J1964" s="28"/>
      <c r="K1964" s="28"/>
    </row>
    <row r="1965">
      <c r="J1965" s="28"/>
      <c r="K1965" s="28"/>
    </row>
    <row r="1966">
      <c r="J1966" s="28"/>
      <c r="K1966" s="28"/>
    </row>
    <row r="1967">
      <c r="J1967" s="28"/>
      <c r="K1967" s="28"/>
    </row>
    <row r="1968">
      <c r="J1968" s="28"/>
      <c r="K1968" s="28"/>
    </row>
    <row r="1969">
      <c r="J1969" s="28"/>
      <c r="K1969" s="28"/>
    </row>
    <row r="1970">
      <c r="J1970" s="28"/>
      <c r="K1970" s="28"/>
    </row>
    <row r="1971">
      <c r="J1971" s="28"/>
      <c r="K1971" s="28"/>
    </row>
    <row r="1972">
      <c r="J1972" s="28"/>
      <c r="K1972" s="28"/>
    </row>
    <row r="1973">
      <c r="J1973" s="28"/>
      <c r="K1973" s="28"/>
    </row>
    <row r="1974">
      <c r="J1974" s="28"/>
      <c r="K1974" s="28"/>
    </row>
    <row r="1975">
      <c r="J1975" s="28"/>
      <c r="K1975" s="28"/>
    </row>
    <row r="1976">
      <c r="J1976" s="28"/>
      <c r="K1976" s="28"/>
    </row>
    <row r="1977">
      <c r="J1977" s="28"/>
      <c r="K1977" s="28"/>
    </row>
    <row r="1978">
      <c r="J1978" s="28"/>
      <c r="K1978" s="28"/>
    </row>
    <row r="1979">
      <c r="J1979" s="28"/>
      <c r="K1979" s="28"/>
    </row>
    <row r="1980">
      <c r="J1980" s="28"/>
      <c r="K1980" s="28"/>
    </row>
    <row r="1981">
      <c r="J1981" s="28"/>
      <c r="K1981" s="28"/>
    </row>
    <row r="1982">
      <c r="J1982" s="28"/>
      <c r="K1982" s="28"/>
    </row>
    <row r="1983">
      <c r="J1983" s="28"/>
      <c r="K1983" s="28"/>
    </row>
    <row r="1984">
      <c r="J1984" s="28"/>
      <c r="K1984" s="28"/>
    </row>
    <row r="1985">
      <c r="J1985" s="28"/>
      <c r="K1985" s="28"/>
    </row>
    <row r="1986">
      <c r="J1986" s="28"/>
      <c r="K1986" s="28"/>
    </row>
    <row r="1987">
      <c r="J1987" s="28"/>
      <c r="K1987" s="28"/>
    </row>
    <row r="1988">
      <c r="J1988" s="28"/>
      <c r="K1988" s="28"/>
    </row>
    <row r="1989">
      <c r="J1989" s="28"/>
      <c r="K1989" s="28"/>
    </row>
    <row r="1990">
      <c r="J1990" s="28"/>
      <c r="K1990" s="28"/>
    </row>
    <row r="1991">
      <c r="J1991" s="28"/>
      <c r="K1991" s="28"/>
    </row>
    <row r="1992">
      <c r="J1992" s="28"/>
      <c r="K1992" s="28"/>
    </row>
    <row r="1993">
      <c r="J1993" s="28"/>
      <c r="K1993" s="28"/>
    </row>
    <row r="1994">
      <c r="J1994" s="28"/>
      <c r="K1994" s="28"/>
    </row>
    <row r="1995">
      <c r="J1995" s="28"/>
      <c r="K1995" s="28"/>
    </row>
    <row r="1996">
      <c r="J1996" s="28"/>
      <c r="K1996" s="28"/>
    </row>
    <row r="1997">
      <c r="J1997" s="28"/>
      <c r="K1997" s="28"/>
    </row>
    <row r="1998">
      <c r="J1998" s="28"/>
      <c r="K1998" s="28"/>
    </row>
    <row r="1999">
      <c r="J1999" s="28"/>
      <c r="K1999" s="28"/>
    </row>
    <row r="2000">
      <c r="J2000" s="28"/>
      <c r="K2000" s="28"/>
    </row>
    <row r="2001">
      <c r="J2001" s="28"/>
      <c r="K2001" s="28"/>
    </row>
    <row r="2002">
      <c r="J2002" s="28"/>
      <c r="K2002" s="28"/>
    </row>
    <row r="2003">
      <c r="J2003" s="28"/>
      <c r="K2003" s="28"/>
    </row>
    <row r="2004">
      <c r="J2004" s="28"/>
      <c r="K2004" s="28"/>
    </row>
    <row r="2005">
      <c r="J2005" s="28"/>
      <c r="K2005" s="28"/>
    </row>
    <row r="2006">
      <c r="J2006" s="28"/>
      <c r="K2006" s="28"/>
    </row>
    <row r="2007">
      <c r="J2007" s="28"/>
      <c r="K2007" s="28"/>
    </row>
    <row r="2008">
      <c r="J2008" s="28"/>
      <c r="K2008" s="28"/>
    </row>
    <row r="2009">
      <c r="J2009" s="28"/>
      <c r="K2009" s="28"/>
    </row>
    <row r="2010">
      <c r="J2010" s="28"/>
      <c r="K2010" s="28"/>
    </row>
    <row r="2011">
      <c r="J2011" s="28"/>
      <c r="K2011" s="28"/>
    </row>
    <row r="2012">
      <c r="J2012" s="28"/>
      <c r="K2012" s="28"/>
    </row>
    <row r="2013">
      <c r="J2013" s="28"/>
      <c r="K2013" s="28"/>
    </row>
    <row r="2014">
      <c r="J2014" s="28"/>
      <c r="K2014" s="28"/>
    </row>
    <row r="2015">
      <c r="J2015" s="28"/>
      <c r="K2015" s="28"/>
    </row>
    <row r="2016">
      <c r="J2016" s="28"/>
      <c r="K2016" s="28"/>
    </row>
    <row r="2017">
      <c r="J2017" s="28"/>
      <c r="K2017" s="28"/>
    </row>
    <row r="2018">
      <c r="J2018" s="28"/>
      <c r="K2018" s="28"/>
    </row>
    <row r="2019">
      <c r="J2019" s="28"/>
      <c r="K2019" s="28"/>
    </row>
    <row r="2020">
      <c r="J2020" s="28"/>
      <c r="K2020" s="28"/>
    </row>
    <row r="2021">
      <c r="J2021" s="28"/>
      <c r="K2021" s="28"/>
    </row>
    <row r="2022">
      <c r="J2022" s="28"/>
      <c r="K2022" s="28"/>
    </row>
    <row r="2023">
      <c r="J2023" s="28"/>
      <c r="K2023" s="28"/>
    </row>
    <row r="2024">
      <c r="J2024" s="28"/>
      <c r="K2024" s="28"/>
    </row>
    <row r="2025">
      <c r="J2025" s="28"/>
      <c r="K2025" s="28"/>
    </row>
    <row r="2026">
      <c r="J2026" s="28"/>
      <c r="K2026" s="28"/>
    </row>
    <row r="2027">
      <c r="J2027" s="28"/>
      <c r="K2027" s="28"/>
    </row>
    <row r="2028">
      <c r="J2028" s="28"/>
      <c r="K2028" s="28"/>
    </row>
    <row r="2029">
      <c r="J2029" s="28"/>
      <c r="K2029" s="28"/>
    </row>
    <row r="2030">
      <c r="J2030" s="28"/>
      <c r="K2030" s="28"/>
    </row>
    <row r="2031">
      <c r="J2031" s="28"/>
      <c r="K2031" s="28"/>
    </row>
    <row r="2032">
      <c r="J2032" s="28"/>
      <c r="K2032" s="28"/>
    </row>
    <row r="2033">
      <c r="J2033" s="28"/>
      <c r="K2033" s="28"/>
    </row>
    <row r="2034">
      <c r="J2034" s="28"/>
      <c r="K2034" s="28"/>
    </row>
    <row r="2035">
      <c r="J2035" s="28"/>
      <c r="K2035" s="28"/>
    </row>
    <row r="2036">
      <c r="J2036" s="28"/>
      <c r="K2036" s="28"/>
    </row>
    <row r="2037">
      <c r="J2037" s="28"/>
      <c r="K2037" s="28"/>
    </row>
    <row r="2038">
      <c r="J2038" s="28"/>
      <c r="K2038" s="28"/>
    </row>
    <row r="2039">
      <c r="J2039" s="28"/>
      <c r="K2039" s="28"/>
    </row>
    <row r="2040">
      <c r="J2040" s="28"/>
      <c r="K2040" s="28"/>
    </row>
    <row r="2041">
      <c r="J2041" s="28"/>
      <c r="K2041" s="28"/>
    </row>
    <row r="2042">
      <c r="J2042" s="28"/>
      <c r="K2042" s="28"/>
    </row>
    <row r="2043">
      <c r="J2043" s="28"/>
      <c r="K2043" s="28"/>
    </row>
    <row r="2044">
      <c r="J2044" s="28"/>
      <c r="K2044" s="28"/>
    </row>
    <row r="2045">
      <c r="J2045" s="28"/>
      <c r="K2045" s="28"/>
    </row>
    <row r="2046">
      <c r="J2046" s="28"/>
      <c r="K2046" s="28"/>
    </row>
    <row r="2047">
      <c r="J2047" s="28"/>
      <c r="K2047" s="28"/>
    </row>
    <row r="2048">
      <c r="J2048" s="28"/>
      <c r="K2048" s="28"/>
    </row>
    <row r="2049">
      <c r="J2049" s="28"/>
      <c r="K2049" s="28"/>
    </row>
    <row r="2050">
      <c r="J2050" s="28"/>
      <c r="K2050" s="28"/>
    </row>
    <row r="2051">
      <c r="J2051" s="28"/>
      <c r="K2051" s="28"/>
    </row>
    <row r="2052">
      <c r="J2052" s="28"/>
      <c r="K2052" s="28"/>
    </row>
    <row r="2053">
      <c r="J2053" s="28"/>
      <c r="K2053" s="28"/>
    </row>
    <row r="2054">
      <c r="J2054" s="28"/>
      <c r="K2054" s="28"/>
    </row>
    <row r="2055">
      <c r="J2055" s="28"/>
      <c r="K2055" s="28"/>
    </row>
    <row r="2056">
      <c r="J2056" s="28"/>
      <c r="K2056" s="28"/>
    </row>
    <row r="2057">
      <c r="J2057" s="28"/>
      <c r="K2057" s="28"/>
    </row>
    <row r="2058">
      <c r="J2058" s="28"/>
      <c r="K2058" s="28"/>
    </row>
    <row r="2059">
      <c r="J2059" s="28"/>
      <c r="K2059" s="28"/>
    </row>
    <row r="2060">
      <c r="J2060" s="28"/>
      <c r="K2060" s="28"/>
    </row>
    <row r="2061">
      <c r="J2061" s="28"/>
      <c r="K2061" s="28"/>
    </row>
    <row r="2062">
      <c r="J2062" s="28"/>
      <c r="K2062" s="28"/>
    </row>
    <row r="2063">
      <c r="J2063" s="28"/>
      <c r="K2063" s="28"/>
    </row>
    <row r="2064">
      <c r="J2064" s="28"/>
      <c r="K2064" s="28"/>
    </row>
    <row r="2065">
      <c r="J2065" s="28"/>
      <c r="K2065" s="28"/>
    </row>
    <row r="2066">
      <c r="J2066" s="28"/>
      <c r="K2066" s="28"/>
    </row>
    <row r="2067">
      <c r="J2067" s="28"/>
      <c r="K2067" s="28"/>
    </row>
    <row r="2068">
      <c r="J2068" s="28"/>
      <c r="K2068" s="28"/>
    </row>
    <row r="2069">
      <c r="J2069" s="28"/>
      <c r="K2069" s="28"/>
    </row>
    <row r="2070">
      <c r="J2070" s="28"/>
      <c r="K2070" s="28"/>
    </row>
    <row r="2071">
      <c r="J2071" s="28"/>
      <c r="K2071" s="28"/>
    </row>
    <row r="2072">
      <c r="J2072" s="28"/>
      <c r="K2072" s="28"/>
    </row>
    <row r="2073">
      <c r="J2073" s="28"/>
      <c r="K2073" s="28"/>
    </row>
    <row r="2074">
      <c r="J2074" s="28"/>
      <c r="K2074" s="28"/>
    </row>
    <row r="2075">
      <c r="J2075" s="28"/>
      <c r="K2075" s="28"/>
    </row>
    <row r="2076">
      <c r="J2076" s="28"/>
      <c r="K2076" s="28"/>
    </row>
    <row r="2077">
      <c r="J2077" s="28"/>
      <c r="K2077" s="28"/>
    </row>
    <row r="2078">
      <c r="J2078" s="28"/>
      <c r="K2078" s="28"/>
    </row>
    <row r="2079">
      <c r="J2079" s="28"/>
      <c r="K2079" s="28"/>
    </row>
    <row r="2080">
      <c r="J2080" s="28"/>
      <c r="K2080" s="28"/>
    </row>
    <row r="2081">
      <c r="J2081" s="28"/>
      <c r="K2081" s="28"/>
    </row>
    <row r="2082">
      <c r="J2082" s="28"/>
      <c r="K2082" s="28"/>
    </row>
    <row r="2083">
      <c r="J2083" s="28"/>
      <c r="K2083" s="28"/>
    </row>
    <row r="2084">
      <c r="J2084" s="28"/>
      <c r="K2084" s="28"/>
    </row>
    <row r="2085">
      <c r="J2085" s="28"/>
      <c r="K2085" s="28"/>
    </row>
    <row r="2086">
      <c r="J2086" s="28"/>
      <c r="K2086" s="28"/>
    </row>
    <row r="2087">
      <c r="J2087" s="28"/>
      <c r="K2087" s="28"/>
    </row>
    <row r="2088">
      <c r="J2088" s="28"/>
      <c r="K2088" s="28"/>
    </row>
    <row r="2089">
      <c r="J2089" s="28"/>
      <c r="K2089" s="28"/>
    </row>
    <row r="2090">
      <c r="J2090" s="28"/>
      <c r="K2090" s="28"/>
    </row>
    <row r="2091">
      <c r="J2091" s="28"/>
      <c r="K2091" s="28"/>
    </row>
    <row r="2092">
      <c r="J2092" s="28"/>
      <c r="K2092" s="28"/>
    </row>
    <row r="2093">
      <c r="J2093" s="28"/>
      <c r="K2093" s="28"/>
    </row>
    <row r="2094">
      <c r="J2094" s="28"/>
      <c r="K2094" s="28"/>
    </row>
    <row r="2095">
      <c r="J2095" s="28"/>
      <c r="K2095" s="28"/>
    </row>
    <row r="2096">
      <c r="J2096" s="28"/>
      <c r="K2096" s="28"/>
    </row>
    <row r="2097">
      <c r="J2097" s="28"/>
      <c r="K2097" s="28"/>
    </row>
    <row r="2098">
      <c r="J2098" s="28"/>
      <c r="K2098" s="28"/>
    </row>
    <row r="2099">
      <c r="J2099" s="28"/>
      <c r="K2099" s="28"/>
    </row>
    <row r="2100">
      <c r="J2100" s="28"/>
      <c r="K2100" s="28"/>
    </row>
    <row r="2101">
      <c r="J2101" s="28"/>
      <c r="K2101" s="28"/>
    </row>
    <row r="2102">
      <c r="J2102" s="28"/>
      <c r="K2102" s="28"/>
    </row>
    <row r="2103">
      <c r="J2103" s="28"/>
      <c r="K2103" s="28"/>
    </row>
    <row r="2104">
      <c r="J2104" s="28"/>
      <c r="K2104" s="28"/>
    </row>
    <row r="2105">
      <c r="J2105" s="28"/>
      <c r="K2105" s="28"/>
    </row>
    <row r="2106">
      <c r="J2106" s="28"/>
      <c r="K2106" s="28"/>
    </row>
    <row r="2107">
      <c r="J2107" s="28"/>
      <c r="K2107" s="28"/>
    </row>
    <row r="2108">
      <c r="J2108" s="28"/>
      <c r="K2108" s="28"/>
    </row>
    <row r="2109">
      <c r="J2109" s="28"/>
      <c r="K2109" s="28"/>
    </row>
    <row r="2110">
      <c r="J2110" s="28"/>
      <c r="K2110" s="28"/>
    </row>
    <row r="2111">
      <c r="J2111" s="28"/>
      <c r="K2111" s="28"/>
    </row>
    <row r="2112">
      <c r="J2112" s="28"/>
      <c r="K2112" s="28"/>
    </row>
    <row r="2113">
      <c r="J2113" s="28"/>
      <c r="K2113" s="28"/>
    </row>
    <row r="2114">
      <c r="J2114" s="28"/>
      <c r="K2114" s="28"/>
    </row>
    <row r="2115">
      <c r="J2115" s="28"/>
      <c r="K2115" s="28"/>
    </row>
    <row r="2116">
      <c r="J2116" s="28"/>
      <c r="K2116" s="28"/>
    </row>
    <row r="2117">
      <c r="J2117" s="28"/>
      <c r="K2117" s="28"/>
    </row>
    <row r="2118">
      <c r="J2118" s="28"/>
      <c r="K2118" s="28"/>
    </row>
    <row r="2119">
      <c r="J2119" s="28"/>
      <c r="K2119" s="28"/>
    </row>
    <row r="2120">
      <c r="J2120" s="28"/>
      <c r="K2120" s="28"/>
    </row>
    <row r="2121">
      <c r="J2121" s="28"/>
      <c r="K2121" s="28"/>
    </row>
    <row r="2122">
      <c r="J2122" s="28"/>
      <c r="K2122" s="28"/>
    </row>
    <row r="2123">
      <c r="J2123" s="28"/>
      <c r="K2123" s="28"/>
    </row>
    <row r="2124">
      <c r="J2124" s="28"/>
      <c r="K2124" s="28"/>
    </row>
    <row r="2125">
      <c r="J2125" s="28"/>
      <c r="K2125" s="28"/>
    </row>
    <row r="2126">
      <c r="J2126" s="28"/>
      <c r="K2126" s="28"/>
    </row>
    <row r="2127">
      <c r="J2127" s="28"/>
      <c r="K2127" s="28"/>
    </row>
    <row r="2128">
      <c r="J2128" s="28"/>
      <c r="K2128" s="28"/>
    </row>
    <row r="2129">
      <c r="J2129" s="28"/>
      <c r="K2129" s="28"/>
    </row>
    <row r="2130">
      <c r="J2130" s="28"/>
      <c r="K2130" s="28"/>
    </row>
    <row r="2131">
      <c r="J2131" s="28"/>
      <c r="K2131" s="28"/>
    </row>
    <row r="2132">
      <c r="J2132" s="28"/>
      <c r="K2132" s="28"/>
    </row>
    <row r="2133">
      <c r="J2133" s="28"/>
      <c r="K2133" s="28"/>
    </row>
    <row r="2134">
      <c r="J2134" s="28"/>
      <c r="K2134" s="28"/>
    </row>
    <row r="2135">
      <c r="J2135" s="28"/>
      <c r="K2135" s="28"/>
    </row>
    <row r="2136">
      <c r="J2136" s="28"/>
      <c r="K2136" s="28"/>
    </row>
    <row r="2137">
      <c r="J2137" s="28"/>
      <c r="K2137" s="28"/>
    </row>
    <row r="2138">
      <c r="J2138" s="28"/>
      <c r="K2138" s="28"/>
    </row>
    <row r="2139">
      <c r="J2139" s="28"/>
      <c r="K2139" s="28"/>
    </row>
    <row r="2140">
      <c r="J2140" s="28"/>
      <c r="K2140" s="28"/>
    </row>
    <row r="2141">
      <c r="J2141" s="28"/>
      <c r="K2141" s="28"/>
    </row>
    <row r="2142">
      <c r="J2142" s="28"/>
      <c r="K2142" s="28"/>
    </row>
    <row r="2143">
      <c r="J2143" s="28"/>
      <c r="K2143" s="28"/>
    </row>
    <row r="2144">
      <c r="J2144" s="28"/>
      <c r="K2144" s="28"/>
    </row>
    <row r="2145">
      <c r="J2145" s="28"/>
      <c r="K2145" s="28"/>
    </row>
    <row r="2146">
      <c r="J2146" s="28"/>
      <c r="K2146" s="28"/>
    </row>
    <row r="2147">
      <c r="J2147" s="28"/>
      <c r="K2147" s="28"/>
    </row>
    <row r="2148">
      <c r="J2148" s="28"/>
      <c r="K2148" s="28"/>
    </row>
    <row r="2149">
      <c r="J2149" s="28"/>
      <c r="K2149" s="28"/>
    </row>
    <row r="2150">
      <c r="J2150" s="28"/>
      <c r="K2150" s="28"/>
    </row>
    <row r="2151">
      <c r="J2151" s="28"/>
      <c r="K2151" s="28"/>
    </row>
    <row r="2152">
      <c r="J2152" s="28"/>
      <c r="K2152" s="28"/>
    </row>
    <row r="2153">
      <c r="J2153" s="28"/>
      <c r="K2153" s="28"/>
    </row>
    <row r="2154">
      <c r="J2154" s="28"/>
      <c r="K2154" s="28"/>
    </row>
    <row r="2155">
      <c r="J2155" s="28"/>
      <c r="K2155" s="28"/>
    </row>
    <row r="2156">
      <c r="J2156" s="28"/>
      <c r="K2156" s="28"/>
    </row>
    <row r="2157">
      <c r="J2157" s="28"/>
      <c r="K2157" s="28"/>
    </row>
    <row r="2158">
      <c r="J2158" s="28"/>
      <c r="K2158" s="28"/>
    </row>
    <row r="2159">
      <c r="J2159" s="28"/>
      <c r="K2159" s="28"/>
    </row>
    <row r="2160">
      <c r="J2160" s="28"/>
      <c r="K2160" s="28"/>
    </row>
    <row r="2161">
      <c r="J2161" s="28"/>
      <c r="K2161" s="28"/>
    </row>
    <row r="2162">
      <c r="J2162" s="28"/>
      <c r="K2162" s="28"/>
    </row>
    <row r="2163">
      <c r="J2163" s="28"/>
      <c r="K2163" s="28"/>
    </row>
    <row r="2164">
      <c r="J2164" s="28"/>
      <c r="K2164" s="28"/>
    </row>
    <row r="2165">
      <c r="J2165" s="28"/>
      <c r="K2165" s="28"/>
    </row>
    <row r="2166">
      <c r="J2166" s="28"/>
      <c r="K2166" s="28"/>
    </row>
    <row r="2167">
      <c r="J2167" s="28"/>
      <c r="K2167" s="28"/>
    </row>
    <row r="2168">
      <c r="J2168" s="28"/>
      <c r="K2168" s="28"/>
    </row>
    <row r="2169">
      <c r="J2169" s="28"/>
      <c r="K2169" s="28"/>
    </row>
    <row r="2170">
      <c r="J2170" s="28"/>
      <c r="K2170" s="28"/>
    </row>
    <row r="2171">
      <c r="J2171" s="28"/>
      <c r="K2171" s="28"/>
    </row>
    <row r="2172">
      <c r="J2172" s="28"/>
      <c r="K2172" s="28"/>
    </row>
    <row r="2173">
      <c r="J2173" s="28"/>
      <c r="K2173" s="28"/>
    </row>
    <row r="2174">
      <c r="J2174" s="28"/>
      <c r="K2174" s="28"/>
    </row>
    <row r="2175">
      <c r="J2175" s="28"/>
      <c r="K2175" s="28"/>
    </row>
    <row r="2176">
      <c r="J2176" s="28"/>
      <c r="K2176" s="28"/>
    </row>
    <row r="2177">
      <c r="J2177" s="28"/>
      <c r="K2177" s="28"/>
    </row>
    <row r="2178">
      <c r="J2178" s="28"/>
      <c r="K2178" s="28"/>
    </row>
    <row r="2179">
      <c r="J2179" s="28"/>
      <c r="K2179" s="28"/>
    </row>
    <row r="2180">
      <c r="J2180" s="28"/>
      <c r="K2180" s="28"/>
    </row>
    <row r="2181">
      <c r="J2181" s="28"/>
      <c r="K2181" s="28"/>
    </row>
    <row r="2182">
      <c r="J2182" s="28"/>
      <c r="K2182" s="28"/>
    </row>
    <row r="2183">
      <c r="J2183" s="28"/>
      <c r="K2183" s="28"/>
    </row>
    <row r="2184">
      <c r="J2184" s="28"/>
      <c r="K2184" s="28"/>
    </row>
    <row r="2185">
      <c r="J2185" s="28"/>
      <c r="K2185" s="28"/>
    </row>
    <row r="2186">
      <c r="J2186" s="28"/>
      <c r="K2186" s="28"/>
    </row>
    <row r="2187">
      <c r="J2187" s="28"/>
      <c r="K2187" s="28"/>
    </row>
    <row r="2188">
      <c r="J2188" s="28"/>
      <c r="K2188" s="28"/>
    </row>
    <row r="2189">
      <c r="J2189" s="28"/>
      <c r="K2189" s="28"/>
    </row>
    <row r="2190">
      <c r="J2190" s="28"/>
      <c r="K2190" s="28"/>
    </row>
    <row r="2191">
      <c r="J2191" s="28"/>
      <c r="K2191" s="28"/>
    </row>
    <row r="2192">
      <c r="J2192" s="28"/>
      <c r="K2192" s="28"/>
    </row>
    <row r="2193">
      <c r="J2193" s="28"/>
      <c r="K2193" s="28"/>
    </row>
    <row r="2194">
      <c r="J2194" s="28"/>
      <c r="K2194" s="28"/>
    </row>
    <row r="2195">
      <c r="J2195" s="28"/>
      <c r="K2195" s="28"/>
    </row>
    <row r="2196">
      <c r="J2196" s="28"/>
      <c r="K2196" s="28"/>
    </row>
    <row r="2197">
      <c r="J2197" s="28"/>
      <c r="K2197" s="28"/>
    </row>
    <row r="2198">
      <c r="J2198" s="28"/>
      <c r="K2198" s="28"/>
    </row>
    <row r="2199">
      <c r="J2199" s="28"/>
      <c r="K2199" s="28"/>
    </row>
    <row r="2200">
      <c r="J2200" s="28"/>
      <c r="K2200" s="28"/>
    </row>
    <row r="2201">
      <c r="J2201" s="28"/>
      <c r="K2201" s="28"/>
    </row>
    <row r="2202">
      <c r="J2202" s="28"/>
      <c r="K2202" s="28"/>
    </row>
    <row r="2203">
      <c r="J2203" s="28"/>
      <c r="K2203" s="28"/>
    </row>
    <row r="2204">
      <c r="J2204" s="28"/>
      <c r="K2204" s="28"/>
    </row>
    <row r="2205">
      <c r="J2205" s="28"/>
      <c r="K2205" s="28"/>
    </row>
    <row r="2206">
      <c r="J2206" s="28"/>
      <c r="K2206" s="28"/>
    </row>
    <row r="2207">
      <c r="J2207" s="28"/>
      <c r="K2207" s="28"/>
    </row>
    <row r="2208">
      <c r="J2208" s="28"/>
      <c r="K2208" s="28"/>
    </row>
    <row r="2209">
      <c r="J2209" s="28"/>
      <c r="K2209" s="28"/>
    </row>
    <row r="2210">
      <c r="J2210" s="28"/>
      <c r="K2210" s="28"/>
    </row>
    <row r="2211">
      <c r="J2211" s="28"/>
      <c r="K2211" s="28"/>
    </row>
    <row r="2212">
      <c r="J2212" s="28"/>
      <c r="K2212" s="28"/>
    </row>
    <row r="2213">
      <c r="J2213" s="28"/>
      <c r="K2213" s="28"/>
    </row>
    <row r="2214">
      <c r="J2214" s="28"/>
      <c r="K2214" s="28"/>
    </row>
    <row r="2215">
      <c r="J2215" s="28"/>
      <c r="K2215" s="28"/>
    </row>
    <row r="2216">
      <c r="J2216" s="28"/>
      <c r="K2216" s="28"/>
    </row>
    <row r="2217">
      <c r="J2217" s="28"/>
      <c r="K2217" s="28"/>
    </row>
    <row r="2218">
      <c r="J2218" s="28"/>
      <c r="K2218" s="28"/>
    </row>
    <row r="2219">
      <c r="J2219" s="28"/>
      <c r="K2219" s="28"/>
    </row>
    <row r="2220">
      <c r="J2220" s="28"/>
      <c r="K2220" s="28"/>
    </row>
    <row r="2221">
      <c r="J2221" s="28"/>
      <c r="K2221" s="28"/>
    </row>
    <row r="2222">
      <c r="J2222" s="28"/>
      <c r="K2222" s="28"/>
    </row>
    <row r="2223">
      <c r="J2223" s="28"/>
      <c r="K2223" s="28"/>
    </row>
    <row r="2224">
      <c r="J2224" s="28"/>
      <c r="K2224" s="28"/>
    </row>
    <row r="2225">
      <c r="J2225" s="28"/>
      <c r="K2225" s="28"/>
    </row>
    <row r="2226">
      <c r="J2226" s="28"/>
      <c r="K2226" s="28"/>
    </row>
    <row r="2227">
      <c r="J2227" s="28"/>
      <c r="K2227" s="28"/>
    </row>
    <row r="2228">
      <c r="J2228" s="28"/>
      <c r="K2228" s="28"/>
    </row>
    <row r="2229">
      <c r="J2229" s="28"/>
      <c r="K2229" s="28"/>
    </row>
    <row r="2230">
      <c r="J2230" s="28"/>
      <c r="K2230" s="28"/>
    </row>
    <row r="2231">
      <c r="J2231" s="28"/>
      <c r="K2231" s="28"/>
    </row>
    <row r="2232">
      <c r="J2232" s="28"/>
      <c r="K2232" s="28"/>
    </row>
    <row r="2233">
      <c r="J2233" s="28"/>
      <c r="K2233" s="28"/>
    </row>
    <row r="2234">
      <c r="J2234" s="28"/>
      <c r="K2234" s="28"/>
    </row>
    <row r="2235">
      <c r="J2235" s="28"/>
      <c r="K2235" s="28"/>
    </row>
    <row r="2236">
      <c r="J2236" s="28"/>
      <c r="K2236" s="28"/>
    </row>
    <row r="2237">
      <c r="J2237" s="28"/>
      <c r="K2237" s="28"/>
    </row>
    <row r="2238">
      <c r="J2238" s="28"/>
      <c r="K2238" s="28"/>
    </row>
    <row r="2239">
      <c r="J2239" s="28"/>
      <c r="K2239" s="28"/>
    </row>
    <row r="2240">
      <c r="J2240" s="28"/>
      <c r="K2240" s="28"/>
    </row>
    <row r="2241">
      <c r="J2241" s="28"/>
      <c r="K2241" s="28"/>
    </row>
    <row r="2242">
      <c r="J2242" s="28"/>
      <c r="K2242" s="28"/>
    </row>
    <row r="2243">
      <c r="J2243" s="28"/>
      <c r="K2243" s="28"/>
    </row>
    <row r="2244">
      <c r="J2244" s="28"/>
      <c r="K2244" s="28"/>
    </row>
    <row r="2245">
      <c r="J2245" s="28"/>
      <c r="K2245" s="28"/>
    </row>
    <row r="2246">
      <c r="J2246" s="28"/>
      <c r="K2246" s="28"/>
    </row>
    <row r="2247">
      <c r="J2247" s="28"/>
      <c r="K2247" s="28"/>
    </row>
    <row r="2248">
      <c r="J2248" s="28"/>
      <c r="K2248" s="28"/>
    </row>
    <row r="2249">
      <c r="J2249" s="28"/>
      <c r="K2249" s="28"/>
    </row>
    <row r="2250">
      <c r="J2250" s="28"/>
      <c r="K2250" s="28"/>
    </row>
    <row r="2251">
      <c r="J2251" s="28"/>
      <c r="K2251" s="28"/>
    </row>
    <row r="2252">
      <c r="J2252" s="28"/>
      <c r="K2252" s="28"/>
    </row>
    <row r="2253">
      <c r="J2253" s="28"/>
      <c r="K2253" s="28"/>
    </row>
    <row r="2254">
      <c r="J2254" s="28"/>
      <c r="K2254" s="28"/>
    </row>
    <row r="2255">
      <c r="J2255" s="28"/>
      <c r="K2255" s="28"/>
    </row>
    <row r="2256">
      <c r="J2256" s="28"/>
      <c r="K2256" s="28"/>
    </row>
    <row r="2257">
      <c r="J2257" s="28"/>
      <c r="K2257" s="28"/>
    </row>
    <row r="2258">
      <c r="J2258" s="28"/>
      <c r="K2258" s="28"/>
    </row>
    <row r="2259">
      <c r="J2259" s="28"/>
      <c r="K2259" s="28"/>
    </row>
    <row r="2260">
      <c r="J2260" s="28"/>
      <c r="K2260" s="28"/>
    </row>
    <row r="2261">
      <c r="J2261" s="28"/>
      <c r="K2261" s="28"/>
    </row>
    <row r="2262">
      <c r="J2262" s="28"/>
      <c r="K2262" s="28"/>
    </row>
    <row r="2263">
      <c r="J2263" s="28"/>
      <c r="K2263" s="28"/>
    </row>
    <row r="2264">
      <c r="J2264" s="28"/>
      <c r="K2264" s="28"/>
    </row>
    <row r="2265">
      <c r="J2265" s="28"/>
      <c r="K2265" s="28"/>
    </row>
    <row r="2266">
      <c r="J2266" s="28"/>
      <c r="K2266" s="28"/>
    </row>
    <row r="2267">
      <c r="J2267" s="28"/>
      <c r="K2267" s="28"/>
    </row>
    <row r="2268">
      <c r="J2268" s="28"/>
      <c r="K2268" s="28"/>
    </row>
    <row r="2269">
      <c r="J2269" s="28"/>
      <c r="K2269" s="28"/>
    </row>
    <row r="2270">
      <c r="J2270" s="28"/>
      <c r="K2270" s="28"/>
    </row>
    <row r="2271">
      <c r="J2271" s="28"/>
      <c r="K2271" s="28"/>
    </row>
    <row r="2272">
      <c r="J2272" s="28"/>
      <c r="K2272" s="28"/>
    </row>
    <row r="2273">
      <c r="J2273" s="28"/>
      <c r="K2273" s="28"/>
    </row>
    <row r="2274">
      <c r="J2274" s="28"/>
      <c r="K2274" s="28"/>
    </row>
    <row r="2275">
      <c r="J2275" s="28"/>
      <c r="K2275" s="28"/>
    </row>
    <row r="2276">
      <c r="J2276" s="28"/>
      <c r="K2276" s="28"/>
    </row>
    <row r="2277">
      <c r="J2277" s="28"/>
      <c r="K2277" s="28"/>
    </row>
    <row r="2278">
      <c r="J2278" s="28"/>
      <c r="K2278" s="28"/>
    </row>
    <row r="2279">
      <c r="J2279" s="28"/>
      <c r="K2279" s="28"/>
    </row>
    <row r="2280">
      <c r="J2280" s="28"/>
      <c r="K2280" s="28"/>
    </row>
    <row r="2281">
      <c r="J2281" s="28"/>
      <c r="K2281" s="28"/>
    </row>
    <row r="2282">
      <c r="J2282" s="28"/>
      <c r="K2282" s="28"/>
    </row>
    <row r="2283">
      <c r="J2283" s="28"/>
      <c r="K2283" s="28"/>
    </row>
    <row r="2284">
      <c r="J2284" s="28"/>
      <c r="K2284" s="28"/>
    </row>
    <row r="2285">
      <c r="J2285" s="28"/>
      <c r="K2285" s="28"/>
    </row>
    <row r="2286">
      <c r="J2286" s="28"/>
      <c r="K2286" s="28"/>
    </row>
    <row r="2287">
      <c r="J2287" s="28"/>
      <c r="K2287" s="28"/>
    </row>
    <row r="2288">
      <c r="J2288" s="28"/>
      <c r="K2288" s="28"/>
    </row>
    <row r="2289">
      <c r="J2289" s="28"/>
      <c r="K2289" s="28"/>
    </row>
    <row r="2290">
      <c r="J2290" s="28"/>
      <c r="K2290" s="28"/>
    </row>
    <row r="2291">
      <c r="J2291" s="28"/>
      <c r="K2291" s="28"/>
    </row>
    <row r="2292">
      <c r="J2292" s="28"/>
      <c r="K2292" s="28"/>
    </row>
    <row r="2293">
      <c r="J2293" s="28"/>
      <c r="K2293" s="28"/>
    </row>
    <row r="2294">
      <c r="J2294" s="28"/>
      <c r="K2294" s="28"/>
    </row>
    <row r="2295">
      <c r="J2295" s="28"/>
      <c r="K2295" s="28"/>
    </row>
    <row r="2296">
      <c r="J2296" s="28"/>
      <c r="K2296" s="28"/>
    </row>
    <row r="2297">
      <c r="J2297" s="28"/>
      <c r="K2297" s="28"/>
    </row>
    <row r="2298">
      <c r="J2298" s="28"/>
      <c r="K2298" s="28"/>
    </row>
    <row r="2299">
      <c r="J2299" s="28"/>
      <c r="K2299" s="28"/>
    </row>
    <row r="2300">
      <c r="J2300" s="28"/>
      <c r="K2300" s="28"/>
    </row>
    <row r="2301">
      <c r="J2301" s="28"/>
      <c r="K2301" s="28"/>
    </row>
    <row r="2302">
      <c r="J2302" s="28"/>
      <c r="K2302" s="28"/>
    </row>
    <row r="2303">
      <c r="J2303" s="28"/>
      <c r="K2303" s="28"/>
    </row>
    <row r="2304">
      <c r="J2304" s="28"/>
      <c r="K2304" s="28"/>
    </row>
    <row r="2305">
      <c r="J2305" s="28"/>
      <c r="K2305" s="28"/>
    </row>
    <row r="2306">
      <c r="J2306" s="28"/>
      <c r="K2306" s="28"/>
    </row>
    <row r="2307">
      <c r="J2307" s="28"/>
      <c r="K2307" s="28"/>
    </row>
    <row r="2308">
      <c r="J2308" s="28"/>
      <c r="K2308" s="28"/>
    </row>
    <row r="2309">
      <c r="J2309" s="28"/>
      <c r="K2309" s="28"/>
    </row>
    <row r="2310">
      <c r="J2310" s="28"/>
      <c r="K2310" s="28"/>
    </row>
    <row r="2311">
      <c r="J2311" s="28"/>
      <c r="K2311" s="28"/>
    </row>
    <row r="2312">
      <c r="J2312" s="28"/>
      <c r="K2312" s="28"/>
    </row>
    <row r="2313">
      <c r="J2313" s="28"/>
      <c r="K2313" s="28"/>
    </row>
    <row r="2314">
      <c r="J2314" s="28"/>
      <c r="K2314" s="28"/>
    </row>
    <row r="2315">
      <c r="J2315" s="28"/>
      <c r="K2315" s="28"/>
    </row>
    <row r="2316">
      <c r="J2316" s="28"/>
      <c r="K2316" s="28"/>
    </row>
    <row r="2317">
      <c r="J2317" s="28"/>
      <c r="K2317" s="28"/>
    </row>
    <row r="2318">
      <c r="J2318" s="28"/>
      <c r="K2318" s="28"/>
    </row>
    <row r="2319">
      <c r="J2319" s="28"/>
      <c r="K2319" s="28"/>
    </row>
    <row r="2320">
      <c r="J2320" s="28"/>
      <c r="K2320" s="28"/>
    </row>
    <row r="2321">
      <c r="J2321" s="28"/>
      <c r="K2321" s="28"/>
    </row>
    <row r="2322">
      <c r="J2322" s="28"/>
      <c r="K2322" s="28"/>
    </row>
    <row r="2323">
      <c r="J2323" s="28"/>
      <c r="K2323" s="28"/>
    </row>
    <row r="2324">
      <c r="J2324" s="28"/>
      <c r="K2324" s="28"/>
    </row>
    <row r="2325">
      <c r="J2325" s="28"/>
      <c r="K2325" s="28"/>
    </row>
    <row r="2326">
      <c r="J2326" s="28"/>
      <c r="K2326" s="28"/>
    </row>
    <row r="2327">
      <c r="J2327" s="28"/>
      <c r="K2327" s="28"/>
    </row>
    <row r="2328">
      <c r="J2328" s="28"/>
      <c r="K2328" s="28"/>
    </row>
    <row r="2329">
      <c r="J2329" s="28"/>
      <c r="K2329" s="28"/>
    </row>
    <row r="2330">
      <c r="J2330" s="28"/>
      <c r="K2330" s="28"/>
    </row>
    <row r="2331">
      <c r="J2331" s="28"/>
      <c r="K2331" s="28"/>
    </row>
    <row r="2332">
      <c r="J2332" s="28"/>
      <c r="K2332" s="28"/>
    </row>
    <row r="2333">
      <c r="J2333" s="28"/>
      <c r="K2333" s="28"/>
    </row>
    <row r="2334">
      <c r="J2334" s="28"/>
      <c r="K2334" s="28"/>
    </row>
  </sheetData>
  <dataValidations>
    <dataValidation type="custom" allowBlank="1" showDropDown="1" sqref="I2:J1332">
      <formula1>OR(TIMEVALUE(TEXT(I2, "hh:mm:ss"))=I2, AND(ISNUMBER(I2), LEFT(CELL("format", I2))="D"))</formula1>
    </dataValidation>
    <dataValidation type="list" allowBlank="1" sqref="D2:F1332">
      <formula1>#REF!</formula1>
    </dataValidation>
  </dataValidations>
  <drawing r:id="rId4"/>
  <legacyDrawing r:id="rId5"/>
  <tableParts count="2">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8.25"/>
    <col customWidth="1" min="4" max="4" width="63.75"/>
  </cols>
  <sheetData>
    <row r="1" ht="22.5" customHeight="1">
      <c r="A1" s="29" t="s">
        <v>859</v>
      </c>
      <c r="B1" s="29" t="s">
        <v>860</v>
      </c>
      <c r="C1" s="29" t="s">
        <v>861</v>
      </c>
      <c r="D1" s="30" t="s">
        <v>862</v>
      </c>
    </row>
    <row r="2" ht="22.5" customHeight="1">
      <c r="A2" s="31" t="s">
        <v>863</v>
      </c>
      <c r="B2" s="31" t="s">
        <v>864</v>
      </c>
      <c r="C2" s="32" t="str">
        <f>IFNA(VLOOKUP(B2,'Location Table'!A:C,2,false),"")</f>
        <v>dde21b8c-446e-11ed-bbd7-506b8dbc8dfb</v>
      </c>
      <c r="D2" s="32" t="str">
        <f>IFNA(VLOOKUP(B2,'Location Table'!A:C,3,false),"")</f>
        <v>Bến xe Hoa Mai, 93 Nguyễn Thái Bình, Phường Nguyễn Thái Bình, Quận 1, Thành phố Hồ Chí Minh</v>
      </c>
    </row>
    <row r="3" ht="22.5" customHeight="1">
      <c r="A3" s="31" t="s">
        <v>863</v>
      </c>
      <c r="B3" s="31" t="s">
        <v>865</v>
      </c>
      <c r="C3" s="32" t="str">
        <f>IFNA(VLOOKUP(B3,'Location Table'!A:C,2,false),"")</f>
        <v>a4773c76-1cdc-11f0-9c7f-506b8d982279</v>
      </c>
      <c r="D3" s="32" t="str">
        <f>IFNA(VLOOKUP(B3,'Location Table'!A:C,3,false),"")</f>
        <v>Bến xe Hoa Mai, 275 Đ. Hùng Vương, Phường 9, Quận 5, Hồ Chí Minh</v>
      </c>
    </row>
    <row r="4" ht="22.5" customHeight="1">
      <c r="A4" s="33" t="s">
        <v>863</v>
      </c>
      <c r="B4" s="34" t="s">
        <v>866</v>
      </c>
      <c r="C4" s="35" t="str">
        <f>IFNA(VLOOKUP(B4,'Location Table'!A:C,2,false),"")</f>
        <v>0d9b0456-446f-11ed-863f-506b8dbc8dfb</v>
      </c>
      <c r="D4" s="32" t="str">
        <f>IFNA(VLOOKUP(B4,'Location Table'!A:C,3,false),"")</f>
        <v>Bến xe Toàn Thắng 21 Nguyễn Thái Bình, Phường Nguyễn Thái Bình, Bến Thành, Hồ Chí Minh</v>
      </c>
      <c r="E4" s="36"/>
      <c r="F4" s="36"/>
      <c r="G4" s="36"/>
      <c r="H4" s="36"/>
      <c r="I4" s="36"/>
      <c r="J4" s="36"/>
      <c r="K4" s="36"/>
      <c r="L4" s="36"/>
      <c r="M4" s="36"/>
      <c r="N4" s="36"/>
      <c r="O4" s="36"/>
      <c r="P4" s="36"/>
      <c r="Q4" s="36"/>
      <c r="R4" s="36"/>
      <c r="S4" s="36"/>
      <c r="T4" s="36"/>
      <c r="U4" s="36"/>
      <c r="V4" s="36"/>
      <c r="W4" s="36"/>
      <c r="X4" s="36"/>
      <c r="Y4" s="36"/>
      <c r="Z4" s="36"/>
    </row>
    <row r="5" ht="22.5" customHeight="1">
      <c r="A5" s="33" t="s">
        <v>863</v>
      </c>
      <c r="B5" s="34" t="s">
        <v>867</v>
      </c>
      <c r="C5" s="35" t="str">
        <f>IFNA(VLOOKUP(B5,'Location Table'!A:C,2,false),"")</f>
        <v>af520b90-1736-11f0-8c50-506b8d982279</v>
      </c>
      <c r="D5" s="32" t="str">
        <f>IFNA(VLOOKUP(B5,'Location Table'!A:C,3,false),"")</f>
        <v>Bến xe Toàn Thắng 312 Trần Phú, Phường 7, Quận 5, Hồ Chí Minh</v>
      </c>
      <c r="E5" s="36"/>
      <c r="F5" s="36"/>
      <c r="G5" s="36"/>
      <c r="H5" s="36"/>
      <c r="I5" s="36"/>
      <c r="J5" s="36"/>
      <c r="K5" s="36"/>
      <c r="L5" s="36"/>
      <c r="M5" s="36"/>
      <c r="N5" s="36"/>
      <c r="O5" s="36"/>
      <c r="P5" s="36"/>
      <c r="Q5" s="36"/>
      <c r="R5" s="36"/>
      <c r="S5" s="36"/>
      <c r="T5" s="36"/>
      <c r="U5" s="36"/>
      <c r="V5" s="36"/>
      <c r="W5" s="36"/>
      <c r="X5" s="36"/>
      <c r="Y5" s="36"/>
      <c r="Z5" s="36"/>
    </row>
    <row r="6" ht="22.5" customHeight="1">
      <c r="A6" s="31" t="s">
        <v>868</v>
      </c>
      <c r="B6" s="31" t="s">
        <v>869</v>
      </c>
      <c r="C6" s="32" t="str">
        <f>IFNA(VLOOKUP(B6,'Location Table'!A:C,2,false),"")</f>
        <v>3082e5f8-5eb6-11ee-9a38-506b8d9879b5</v>
      </c>
      <c r="D6" s="32" t="str">
        <f>IFNA(VLOOKUP(B6,'Location Table'!A:C,3,false),"")</f>
        <v>Bến xe Tân Lập Thành 84 Hùng Vương, Phường 9, Quận 5, Thành phố Hồ Chí Minh</v>
      </c>
    </row>
    <row r="7" ht="22.5" customHeight="1">
      <c r="A7" s="31" t="s">
        <v>870</v>
      </c>
      <c r="B7" s="31" t="s">
        <v>871</v>
      </c>
      <c r="C7" s="32" t="str">
        <f>IFNA(VLOOKUP(B7,'Location Table'!A:C,2,false),"")</f>
        <v>e9fca07c-446e-11ed-bd02-506b8dbc8dfb</v>
      </c>
      <c r="D7" s="32" t="str">
        <f>IFNA(VLOOKUP(B7,'Location Table'!A:C,3,false),"")</f>
        <v>Bến xe Thành Bưởi 266 Lê Hồng Phong, Phường 4, Quận 5, Thành phố Hồ Chí Minh</v>
      </c>
    </row>
    <row r="8" ht="22.5" customHeight="1">
      <c r="A8" s="31" t="s">
        <v>872</v>
      </c>
      <c r="B8" s="31" t="s">
        <v>869</v>
      </c>
      <c r="C8" s="32" t="str">
        <f>IFNA(VLOOKUP(B8,'Location Table'!A:C,2,false),"")</f>
        <v>3082e5f8-5eb6-11ee-9a38-506b8d9879b5</v>
      </c>
      <c r="D8" s="32" t="str">
        <f>IFNA(VLOOKUP(B8,'Location Table'!A:C,3,false),"")</f>
        <v>Bến xe Tân Lập Thành 84 Hùng Vương, Phường 9, Quận 5, Thành phố Hồ Chí Minh</v>
      </c>
    </row>
    <row r="9" ht="22.5" customHeight="1">
      <c r="A9" s="37"/>
      <c r="B9" s="37"/>
      <c r="C9" s="32" t="str">
        <f>IFNA(VLOOKUP(B9,'Location Table'!A:C,2,false),"")</f>
        <v/>
      </c>
      <c r="D9" s="32" t="str">
        <f>IFNA(VLOOKUP(B9,'Location Table'!A:C,3,false),"")</f>
        <v/>
      </c>
    </row>
    <row r="10" ht="22.5" customHeight="1">
      <c r="A10" s="37"/>
      <c r="B10" s="37"/>
      <c r="C10" s="32" t="str">
        <f>IFNA(VLOOKUP(B10,'Location Table'!A:C,2,false),"")</f>
        <v/>
      </c>
      <c r="D10" s="32" t="str">
        <f>IFNA(VLOOKUP(B10,'Location Table'!A:C,3,false),"")</f>
        <v/>
      </c>
    </row>
    <row r="11" ht="22.5" customHeight="1">
      <c r="A11" s="37"/>
      <c r="B11" s="37"/>
      <c r="C11" s="32" t="str">
        <f>IFNA(VLOOKUP(B11,'Location Table'!A:C,2,false),"")</f>
        <v/>
      </c>
      <c r="D11" s="32" t="str">
        <f>IFNA(VLOOKUP(B11,'Location Table'!A:C,3,false),"")</f>
        <v/>
      </c>
    </row>
    <row r="12" ht="22.5" customHeight="1">
      <c r="A12" s="37"/>
      <c r="B12" s="37"/>
      <c r="C12" s="32" t="str">
        <f>IFNA(VLOOKUP(B12,'Location Table'!A:C,2,false),"")</f>
        <v/>
      </c>
      <c r="D12" s="32" t="str">
        <f>IFNA(VLOOKUP(B12,'Location Table'!A:C,3,false),"")</f>
        <v/>
      </c>
    </row>
  </sheetData>
  <dataValidations>
    <dataValidation type="list" allowBlank="1" showErrorMessage="1" sqref="A2:B12">
      <formula1>#REF!</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37.25"/>
    <col customWidth="1" min="3" max="3" width="24.75"/>
    <col customWidth="1" min="4" max="4" width="63.63"/>
    <col customWidth="1" min="5" max="6" width="50.25"/>
    <col customWidth="1" min="7" max="7" width="29.75"/>
    <col customWidth="1" min="8" max="8" width="21.13"/>
    <col customWidth="1" min="9" max="9" width="16.5"/>
    <col customWidth="1" min="10" max="10" width="28.5"/>
  </cols>
  <sheetData>
    <row r="1">
      <c r="A1" s="1" t="s">
        <v>0</v>
      </c>
      <c r="B1" s="2" t="s">
        <v>1</v>
      </c>
      <c r="C1" s="3" t="s">
        <v>2</v>
      </c>
      <c r="D1" s="4" t="s">
        <v>3</v>
      </c>
      <c r="E1" s="4" t="s">
        <v>4</v>
      </c>
      <c r="F1" s="1" t="s">
        <v>5</v>
      </c>
      <c r="G1" s="1" t="s">
        <v>6</v>
      </c>
      <c r="H1" s="1" t="s">
        <v>7</v>
      </c>
      <c r="I1" s="1" t="s">
        <v>8</v>
      </c>
      <c r="J1" s="1" t="s">
        <v>9</v>
      </c>
    </row>
    <row r="2" hidden="1">
      <c r="A2" s="5" t="s">
        <v>11</v>
      </c>
      <c r="B2" s="5" t="str">
        <f>IFNA(VLOOKUP(F2,Driver!A:C,2,false),"")</f>
        <v>8094d712-0f78-11f0-b96d-506b8d982279</v>
      </c>
      <c r="C2" s="5" t="str">
        <f>IFNA(VLOOKUP(E2,'Location Table'!A:C,2,false),"")</f>
        <v/>
      </c>
      <c r="D2" s="6" t="s">
        <v>12</v>
      </c>
      <c r="E2" s="6"/>
      <c r="F2" s="6" t="s">
        <v>13</v>
      </c>
      <c r="G2" s="7" t="s">
        <v>873</v>
      </c>
      <c r="H2" s="8" t="str">
        <f>IFNA(VLOOKUP(F2,Driver!A:C,3,false),"")</f>
        <v/>
      </c>
      <c r="I2" s="9">
        <v>0.2916666666666667</v>
      </c>
      <c r="J2" s="9">
        <v>0.6666666666666666</v>
      </c>
    </row>
    <row r="3" hidden="1">
      <c r="A3" s="5" t="str">
        <f>IFNA(VLOOKUP(D3,'Location Table'!A:C,2,false),"")</f>
        <v>7fefc6d4-4539-11ed-94b3-506b8dbc8dfb</v>
      </c>
      <c r="B3" s="5" t="str">
        <f>IFNA(VLOOKUP(F3,Driver!A:C,2,false),"")</f>
        <v>7898dd6c-816d-11f0-9f34-506b8d982279</v>
      </c>
      <c r="C3" s="5" t="str">
        <f>IFNA(VLOOKUP(E3,'Location Table'!A:C,2,false),"")</f>
        <v/>
      </c>
      <c r="D3" s="6" t="s">
        <v>14</v>
      </c>
      <c r="E3" s="6"/>
      <c r="F3" s="6" t="s">
        <v>15</v>
      </c>
      <c r="G3" s="7" t="s">
        <v>873</v>
      </c>
      <c r="H3" s="8" t="str">
        <f>IFNA(VLOOKUP(F3,Driver!A:C,3,false),"")</f>
        <v>011b70c8f4801dde4491</v>
      </c>
      <c r="I3" s="9">
        <v>0.2916666666666667</v>
      </c>
      <c r="J3" s="9">
        <v>0.6666666666666666</v>
      </c>
    </row>
    <row r="4" hidden="1">
      <c r="A4" s="5" t="str">
        <f>IFNA(VLOOKUP(D4,'Location Table'!A:C,2,false),"")</f>
        <v>84d326dc-4543-11ed-a50a-506b8dbc8dfb</v>
      </c>
      <c r="B4" s="5" t="str">
        <f>IFNA(VLOOKUP(F4,Driver!A:C,2,false),"")</f>
        <v>7898dd6c-816d-11f0-9f34-506b8d982279</v>
      </c>
      <c r="C4" s="5" t="str">
        <f>IFNA(VLOOKUP(E4,'Location Table'!A:C,2,false),"")</f>
        <v/>
      </c>
      <c r="D4" s="6" t="s">
        <v>16</v>
      </c>
      <c r="E4" s="6"/>
      <c r="F4" s="6" t="s">
        <v>15</v>
      </c>
      <c r="G4" s="7" t="s">
        <v>873</v>
      </c>
      <c r="H4" s="8" t="str">
        <f>IFNA(VLOOKUP(F4,Driver!A:C,3,false),"")</f>
        <v>011b70c8f4801dde4491</v>
      </c>
      <c r="I4" s="9">
        <v>0.2916666666666667</v>
      </c>
      <c r="J4" s="9">
        <v>0.6666666666666666</v>
      </c>
    </row>
    <row r="5" hidden="1">
      <c r="A5" s="5" t="str">
        <f>IFNA(VLOOKUP(D5,'Location Table'!A:C,2,false),"")</f>
        <v>6e14d1d4-11de-11ef-9e30-506b8d9879b5</v>
      </c>
      <c r="B5" s="5" t="str">
        <f>IFNA(VLOOKUP(F5,Driver!A:C,2,false),"")</f>
        <v>7898dd6c-816d-11f0-9f34-506b8d982279</v>
      </c>
      <c r="C5" s="5" t="str">
        <f>IFNA(VLOOKUP(E5,'Location Table'!A:C,2,false),"")</f>
        <v/>
      </c>
      <c r="D5" s="6" t="s">
        <v>17</v>
      </c>
      <c r="E5" s="6"/>
      <c r="F5" s="6" t="s">
        <v>15</v>
      </c>
      <c r="G5" s="7" t="s">
        <v>873</v>
      </c>
      <c r="H5" s="8" t="str">
        <f>IFNA(VLOOKUP(F5,Driver!A:C,3,false),"")</f>
        <v>011b70c8f4801dde4491</v>
      </c>
      <c r="I5" s="9">
        <v>0.2916666666666667</v>
      </c>
      <c r="J5" s="9">
        <v>0.6666666666666666</v>
      </c>
    </row>
    <row r="6" hidden="1">
      <c r="A6" s="5" t="str">
        <f>IFNA(VLOOKUP(D6,'Location Table'!A:C,2,false),"")</f>
        <v>61af27cc-8aad-11ee-b551-506b8d9879b5</v>
      </c>
      <c r="B6" s="5" t="str">
        <f>IFNA(VLOOKUP(F6,Driver!A:C,2,false),"")</f>
        <v>7898dd6c-816d-11f0-9f34-506b8d982279</v>
      </c>
      <c r="C6" s="5" t="str">
        <f>IFNA(VLOOKUP(E6,'Location Table'!A:C,2,false),"")</f>
        <v/>
      </c>
      <c r="D6" s="6" t="s">
        <v>18</v>
      </c>
      <c r="E6" s="6"/>
      <c r="F6" s="6" t="s">
        <v>15</v>
      </c>
      <c r="G6" s="7" t="s">
        <v>873</v>
      </c>
      <c r="H6" s="8" t="str">
        <f>IFNA(VLOOKUP(F6,Driver!A:C,3,false),"")</f>
        <v>011b70c8f4801dde4491</v>
      </c>
      <c r="I6" s="9">
        <v>0.2916666666666667</v>
      </c>
      <c r="J6" s="9">
        <v>0.6666666666666666</v>
      </c>
    </row>
    <row r="7" hidden="1">
      <c r="A7" s="5" t="str">
        <f>IFNA(VLOOKUP(D7,'Location Table'!A:C,2,false),"")</f>
        <v>41126efc-4349-11ef-8430-506b8d9879b5</v>
      </c>
      <c r="B7" s="5" t="str">
        <f>IFNA(VLOOKUP(F7,Driver!A:C,2,false),"")</f>
        <v>7898dd6c-816d-11f0-9f34-506b8d982279</v>
      </c>
      <c r="C7" s="5" t="str">
        <f>IFNA(VLOOKUP(E7,'Location Table'!A:C,2,false),"")</f>
        <v/>
      </c>
      <c r="D7" s="6" t="s">
        <v>19</v>
      </c>
      <c r="E7" s="6"/>
      <c r="F7" s="6" t="s">
        <v>15</v>
      </c>
      <c r="G7" s="7" t="s">
        <v>873</v>
      </c>
      <c r="H7" s="8" t="str">
        <f>IFNA(VLOOKUP(F7,Driver!A:C,3,false),"")</f>
        <v>011b70c8f4801dde4491</v>
      </c>
      <c r="I7" s="9">
        <v>0.2916666666666667</v>
      </c>
      <c r="J7" s="9">
        <v>0.6666666666666666</v>
      </c>
    </row>
    <row r="8" hidden="1">
      <c r="A8" s="5" t="str">
        <f>IFNA(VLOOKUP(D8,'Location Table'!A:C,2,false),"")</f>
        <v>4f07dccc-9ce9-11f0-99fb-506b8d982279</v>
      </c>
      <c r="B8" s="5" t="str">
        <f>IFNA(VLOOKUP(F8,Driver!A:C,2,false),"")</f>
        <v>7898dd6c-816d-11f0-9f34-506b8d982279</v>
      </c>
      <c r="C8" s="5" t="str">
        <f>IFNA(VLOOKUP(E8,'Location Table'!A:C,2,false),"")</f>
        <v/>
      </c>
      <c r="D8" s="6" t="s">
        <v>20</v>
      </c>
      <c r="E8" s="6"/>
      <c r="F8" s="6" t="s">
        <v>15</v>
      </c>
      <c r="G8" s="7" t="s">
        <v>873</v>
      </c>
      <c r="H8" s="8" t="str">
        <f>IFNA(VLOOKUP(F8,Driver!A:C,3,false),"")</f>
        <v>011b70c8f4801dde4491</v>
      </c>
      <c r="I8" s="9">
        <v>0.2916666666666667</v>
      </c>
      <c r="J8" s="9">
        <v>0.6666666666666666</v>
      </c>
    </row>
    <row r="9" hidden="1">
      <c r="A9" s="5" t="str">
        <f>IFNA(VLOOKUP(D9,'Location Table'!A:C,2,false),"")</f>
        <v>f036056c-8a92-11ee-b9a1-506b8d9879b5</v>
      </c>
      <c r="B9" s="5" t="str">
        <f>IFNA(VLOOKUP(F9,Driver!A:C,2,false),"")</f>
        <v>7898dd6c-816d-11f0-9f34-506b8d982279</v>
      </c>
      <c r="C9" s="5" t="str">
        <f>IFNA(VLOOKUP(E9,'Location Table'!A:C,2,false),"")</f>
        <v/>
      </c>
      <c r="D9" s="6" t="s">
        <v>21</v>
      </c>
      <c r="E9" s="6"/>
      <c r="F9" s="6" t="s">
        <v>15</v>
      </c>
      <c r="G9" s="7" t="s">
        <v>873</v>
      </c>
      <c r="H9" s="8" t="str">
        <f>IFNA(VLOOKUP(F9,Driver!A:C,3,false),"")</f>
        <v>011b70c8f4801dde4491</v>
      </c>
      <c r="I9" s="9">
        <v>0.2916666666666667</v>
      </c>
      <c r="J9" s="9">
        <v>0.6666666666666666</v>
      </c>
    </row>
    <row r="10" hidden="1">
      <c r="A10" s="5" t="str">
        <f>IFNA(VLOOKUP(D10,'Location Table'!A:C,2,false),"")</f>
        <v>230eb4e2-a57d-11ef-a7db-506b8d9879b5</v>
      </c>
      <c r="B10" s="5" t="str">
        <f>IFNA(VLOOKUP(F10,Driver!A:C,2,false),"")</f>
        <v>7898dd6c-816d-11f0-9f34-506b8d982279</v>
      </c>
      <c r="C10" s="5" t="str">
        <f>IFNA(VLOOKUP(E10,'Location Table'!A:C,2,false),"")</f>
        <v/>
      </c>
      <c r="D10" s="6" t="s">
        <v>22</v>
      </c>
      <c r="E10" s="6"/>
      <c r="F10" s="6" t="s">
        <v>15</v>
      </c>
      <c r="G10" s="7" t="s">
        <v>873</v>
      </c>
      <c r="H10" s="8" t="str">
        <f>IFNA(VLOOKUP(F10,Driver!A:C,3,false),"")</f>
        <v>011b70c8f4801dde4491</v>
      </c>
      <c r="I10" s="9">
        <v>0.2916666666666667</v>
      </c>
      <c r="J10" s="9">
        <v>0.6666666666666666</v>
      </c>
    </row>
    <row r="11" hidden="1">
      <c r="A11" s="5" t="str">
        <f>IFNA(VLOOKUP(D11,'Location Table'!A:C,2,false),"")</f>
        <v>f5c156fc-11b7-11ee-a03b-506b8dbc8dfb</v>
      </c>
      <c r="B11" s="5" t="str">
        <f>IFNA(VLOOKUP(F11,Driver!A:C,2,false),"")</f>
        <v>7898dd6c-816d-11f0-9f34-506b8d982279</v>
      </c>
      <c r="C11" s="5" t="str">
        <f>IFNA(VLOOKUP(E11,'Location Table'!A:C,2,false),"")</f>
        <v/>
      </c>
      <c r="D11" s="6" t="s">
        <v>23</v>
      </c>
      <c r="E11" s="6"/>
      <c r="F11" s="6" t="s">
        <v>15</v>
      </c>
      <c r="G11" s="7" t="s">
        <v>873</v>
      </c>
      <c r="H11" s="8" t="str">
        <f>IFNA(VLOOKUP(F11,Driver!A:C,3,false),"")</f>
        <v>011b70c8f4801dde4491</v>
      </c>
      <c r="I11" s="9">
        <v>0.2916666666666667</v>
      </c>
      <c r="J11" s="9">
        <v>0.6666666666666666</v>
      </c>
    </row>
    <row r="12" hidden="1">
      <c r="A12" s="5" t="str">
        <f>IFNA(VLOOKUP(D12,'Location Table'!A:C,2,false),"")</f>
        <v>3999a980-0f35-11ef-b000-506b8d9879b5</v>
      </c>
      <c r="B12" s="5" t="str">
        <f>IFNA(VLOOKUP(F12,Driver!A:C,2,false),"")</f>
        <v>7898dd6c-816d-11f0-9f34-506b8d982279</v>
      </c>
      <c r="C12" s="5" t="str">
        <f>IFNA(VLOOKUP(E12,'Location Table'!A:C,2,false),"")</f>
        <v/>
      </c>
      <c r="D12" s="6" t="s">
        <v>24</v>
      </c>
      <c r="E12" s="6"/>
      <c r="F12" s="6" t="s">
        <v>15</v>
      </c>
      <c r="G12" s="7" t="s">
        <v>873</v>
      </c>
      <c r="H12" s="8" t="str">
        <f>IFNA(VLOOKUP(F12,Driver!A:C,3,false),"")</f>
        <v>011b70c8f4801dde4491</v>
      </c>
      <c r="I12" s="9">
        <v>0.2916666666666667</v>
      </c>
      <c r="J12" s="9">
        <v>0.6666666666666666</v>
      </c>
    </row>
    <row r="13" hidden="1">
      <c r="A13" s="5" t="str">
        <f>IFNA(VLOOKUP(D13,'Location Table'!A:C,2,false),"")</f>
        <v>d6fca2e0-513f-11ee-8a83-506b8d9879b5</v>
      </c>
      <c r="B13" s="5" t="str">
        <f>IFNA(VLOOKUP(F13,Driver!A:C,2,false),"")</f>
        <v>7898dd6c-816d-11f0-9f34-506b8d982279</v>
      </c>
      <c r="C13" s="5" t="str">
        <f>IFNA(VLOOKUP(E13,'Location Table'!A:C,2,false),"")</f>
        <v/>
      </c>
      <c r="D13" s="6" t="s">
        <v>25</v>
      </c>
      <c r="E13" s="6"/>
      <c r="F13" s="6" t="s">
        <v>15</v>
      </c>
      <c r="G13" s="7" t="s">
        <v>873</v>
      </c>
      <c r="H13" s="8" t="str">
        <f>IFNA(VLOOKUP(F13,Driver!A:C,3,false),"")</f>
        <v>011b70c8f4801dde4491</v>
      </c>
      <c r="I13" s="9">
        <v>0.2916666666666667</v>
      </c>
      <c r="J13" s="9">
        <v>0.6666666666666666</v>
      </c>
    </row>
    <row r="14" hidden="1">
      <c r="A14" s="5" t="str">
        <f>IFNA(VLOOKUP(D14,'Location Table'!A:C,2,false),"")</f>
        <v>8741aed2-0d86-11ee-bea3-506b8dbc8dfb</v>
      </c>
      <c r="B14" s="5" t="str">
        <f>IFNA(VLOOKUP(F14,Driver!A:C,2,false),"")</f>
        <v>7898dd6c-816d-11f0-9f34-506b8d982279</v>
      </c>
      <c r="C14" s="5" t="str">
        <f>IFNA(VLOOKUP(E14,'Location Table'!A:C,2,false),"")</f>
        <v/>
      </c>
      <c r="D14" s="6" t="s">
        <v>26</v>
      </c>
      <c r="E14" s="6"/>
      <c r="F14" s="6" t="s">
        <v>15</v>
      </c>
      <c r="G14" s="7" t="s">
        <v>873</v>
      </c>
      <c r="H14" s="8" t="str">
        <f>IFNA(VLOOKUP(F14,Driver!A:C,3,false),"")</f>
        <v>011b70c8f4801dde4491</v>
      </c>
      <c r="I14" s="9">
        <v>0.2916666666666667</v>
      </c>
      <c r="J14" s="9">
        <v>0.6666666666666666</v>
      </c>
    </row>
    <row r="15" hidden="1">
      <c r="A15" s="5" t="str">
        <f>IFNA(VLOOKUP(D15,'Location Table'!A:C,2,false),"")</f>
        <v>d87754f8-5dcd-11ef-b0d4-506b8d9879b5</v>
      </c>
      <c r="B15" s="5" t="str">
        <f>IFNA(VLOOKUP(F15,Driver!A:C,2,false),"")</f>
        <v>7898dd6c-816d-11f0-9f34-506b8d982279</v>
      </c>
      <c r="C15" s="5" t="str">
        <f>IFNA(VLOOKUP(E15,'Location Table'!A:C,2,false),"")</f>
        <v/>
      </c>
      <c r="D15" s="6" t="s">
        <v>27</v>
      </c>
      <c r="E15" s="6"/>
      <c r="F15" s="6" t="s">
        <v>15</v>
      </c>
      <c r="G15" s="7" t="s">
        <v>873</v>
      </c>
      <c r="H15" s="8" t="str">
        <f>IFNA(VLOOKUP(F15,Driver!A:C,3,false),"")</f>
        <v>011b70c8f4801dde4491</v>
      </c>
      <c r="I15" s="9">
        <v>0.2916666666666667</v>
      </c>
      <c r="J15" s="9">
        <v>0.6666666666666666</v>
      </c>
    </row>
    <row r="16" hidden="1">
      <c r="A16" s="5" t="str">
        <f>IFNA(VLOOKUP(D16,'Location Table'!A:C,2,false),"")</f>
        <v>f38c1fe0-560c-11ee-b602-506b8d9879b5</v>
      </c>
      <c r="B16" s="5" t="str">
        <f>IFNA(VLOOKUP(F16,Driver!A:C,2,false),"")</f>
        <v>7898dd6c-816d-11f0-9f34-506b8d982279</v>
      </c>
      <c r="C16" s="5" t="str">
        <f>IFNA(VLOOKUP(E16,'Location Table'!A:C,2,false),"")</f>
        <v/>
      </c>
      <c r="D16" s="6" t="s">
        <v>28</v>
      </c>
      <c r="E16" s="6"/>
      <c r="F16" s="6" t="s">
        <v>15</v>
      </c>
      <c r="G16" s="7" t="s">
        <v>873</v>
      </c>
      <c r="H16" s="8" t="str">
        <f>IFNA(VLOOKUP(F16,Driver!A:C,3,false),"")</f>
        <v>011b70c8f4801dde4491</v>
      </c>
      <c r="I16" s="9">
        <v>0.2916666666666667</v>
      </c>
      <c r="J16" s="9">
        <v>0.6666666666666666</v>
      </c>
    </row>
    <row r="17" hidden="1">
      <c r="A17" s="5" t="str">
        <f>IFNA(VLOOKUP(D17,'Location Table'!A:C,2,false),"")</f>
        <v>3a077e58-58e0-11ee-92dc-506b8d9879b5</v>
      </c>
      <c r="B17" s="5" t="str">
        <f>IFNA(VLOOKUP(F17,Driver!A:C,2,false),"")</f>
        <v>7898dd6c-816d-11f0-9f34-506b8d982279</v>
      </c>
      <c r="C17" s="5" t="str">
        <f>IFNA(VLOOKUP(E17,'Location Table'!A:C,2,false),"")</f>
        <v/>
      </c>
      <c r="D17" s="6" t="s">
        <v>29</v>
      </c>
      <c r="E17" s="6"/>
      <c r="F17" s="6" t="s">
        <v>15</v>
      </c>
      <c r="G17" s="7" t="s">
        <v>873</v>
      </c>
      <c r="H17" s="8" t="str">
        <f>IFNA(VLOOKUP(F17,Driver!A:C,3,false),"")</f>
        <v>011b70c8f4801dde4491</v>
      </c>
      <c r="I17" s="9">
        <v>0.2916666666666667</v>
      </c>
      <c r="J17" s="9">
        <v>0.6666666666666666</v>
      </c>
    </row>
    <row r="18" hidden="1">
      <c r="A18" s="5" t="str">
        <f>IFNA(VLOOKUP(D18,'Location Table'!A:C,2,false),"")</f>
        <v>dfadbd84-49fb-11ee-9adb-506b8d9879b5</v>
      </c>
      <c r="B18" s="5" t="str">
        <f>IFNA(VLOOKUP(F18,Driver!A:C,2,false),"")</f>
        <v>7898dd6c-816d-11f0-9f34-506b8d982279</v>
      </c>
      <c r="C18" s="5" t="str">
        <f>IFNA(VLOOKUP(E18,'Location Table'!A:C,2,false),"")</f>
        <v/>
      </c>
      <c r="D18" s="6" t="s">
        <v>30</v>
      </c>
      <c r="E18" s="6"/>
      <c r="F18" s="6" t="s">
        <v>15</v>
      </c>
      <c r="G18" s="7" t="s">
        <v>873</v>
      </c>
      <c r="H18" s="8" t="str">
        <f>IFNA(VLOOKUP(F18,Driver!A:C,3,false),"")</f>
        <v>011b70c8f4801dde4491</v>
      </c>
      <c r="I18" s="9">
        <v>0.2916666666666667</v>
      </c>
      <c r="J18" s="9">
        <v>0.6666666666666666</v>
      </c>
    </row>
    <row r="19" hidden="1">
      <c r="A19" s="5" t="str">
        <f>IFNA(VLOOKUP(D19,'Location Table'!A:C,2,false),"")</f>
        <v>1a5c8214-0ebb-11f0-91cd-506b8d982279</v>
      </c>
      <c r="B19" s="5" t="str">
        <f>IFNA(VLOOKUP(F19,Driver!A:C,2,false),"")</f>
        <v>7898dd6c-816d-11f0-9f34-506b8d982279</v>
      </c>
      <c r="C19" s="5" t="str">
        <f>IFNA(VLOOKUP(E19,'Location Table'!A:C,2,false),"")</f>
        <v/>
      </c>
      <c r="D19" s="6" t="s">
        <v>31</v>
      </c>
      <c r="E19" s="6"/>
      <c r="F19" s="6" t="s">
        <v>15</v>
      </c>
      <c r="G19" s="7" t="s">
        <v>873</v>
      </c>
      <c r="H19" s="8" t="str">
        <f>IFNA(VLOOKUP(F19,Driver!A:C,3,false),"")</f>
        <v>011b70c8f4801dde4491</v>
      </c>
      <c r="I19" s="9">
        <v>0.2916666666666667</v>
      </c>
      <c r="J19" s="9">
        <v>0.6666666666666666</v>
      </c>
    </row>
    <row r="20" hidden="1">
      <c r="A20" s="5" t="str">
        <f>IFNA(VLOOKUP(D20,'Location Table'!A:C,2,false),"")</f>
        <v>b2434be2-f195-11ee-8d01-506b8d9879b5</v>
      </c>
      <c r="B20" s="5" t="str">
        <f>IFNA(VLOOKUP(F20,Driver!A:C,2,false),"")</f>
        <v>7898dd6c-816d-11f0-9f34-506b8d982279</v>
      </c>
      <c r="C20" s="5" t="str">
        <f>IFNA(VLOOKUP(E20,'Location Table'!A:C,2,false),"")</f>
        <v/>
      </c>
      <c r="D20" s="6" t="s">
        <v>32</v>
      </c>
      <c r="E20" s="6"/>
      <c r="F20" s="6" t="s">
        <v>15</v>
      </c>
      <c r="G20" s="7" t="s">
        <v>873</v>
      </c>
      <c r="H20" s="8" t="str">
        <f>IFNA(VLOOKUP(F20,Driver!A:C,3,false),"")</f>
        <v>011b70c8f4801dde4491</v>
      </c>
      <c r="I20" s="9">
        <v>0.2916666666666667</v>
      </c>
      <c r="J20" s="9">
        <v>0.6666666666666666</v>
      </c>
    </row>
    <row r="21" hidden="1">
      <c r="A21" s="5" t="str">
        <f>IFNA(VLOOKUP(D21,'Location Table'!A:C,2,false),"")</f>
        <v>9dffb88c-9187-11ee-b505-506b8d9879b5</v>
      </c>
      <c r="B21" s="5" t="str">
        <f>IFNA(VLOOKUP(F21,Driver!A:C,2,false),"")</f>
        <v>7898dd6c-816d-11f0-9f34-506b8d982279</v>
      </c>
      <c r="C21" s="5" t="str">
        <f>IFNA(VLOOKUP(E21,'Location Table'!A:C,2,false),"")</f>
        <v/>
      </c>
      <c r="D21" s="6" t="s">
        <v>33</v>
      </c>
      <c r="E21" s="6"/>
      <c r="F21" s="6" t="s">
        <v>15</v>
      </c>
      <c r="G21" s="7" t="s">
        <v>873</v>
      </c>
      <c r="H21" s="8" t="str">
        <f>IFNA(VLOOKUP(F21,Driver!A:C,3,false),"")</f>
        <v>011b70c8f4801dde4491</v>
      </c>
      <c r="I21" s="9">
        <v>0.2916666666666667</v>
      </c>
      <c r="J21" s="9">
        <v>0.6666666666666666</v>
      </c>
    </row>
    <row r="22" hidden="1">
      <c r="A22" s="5" t="str">
        <f>IFNA(VLOOKUP(D22,'Location Table'!A:C,2,false),"")</f>
        <v>97b2a6a2-795c-11ef-ba0d-506b8d9879b5</v>
      </c>
      <c r="B22" s="5" t="str">
        <f>IFNA(VLOOKUP(F22,Driver!A:C,2,false),"")</f>
        <v>b2c9b066-9445-11f0-b1db-506b8d982279</v>
      </c>
      <c r="C22" s="5" t="str">
        <f>IFNA(VLOOKUP(E22,'Location Table'!A:C,2,false),"")</f>
        <v/>
      </c>
      <c r="D22" s="6" t="s">
        <v>34</v>
      </c>
      <c r="E22" s="6"/>
      <c r="F22" s="6" t="s">
        <v>874</v>
      </c>
      <c r="G22" s="7" t="s">
        <v>873</v>
      </c>
      <c r="H22" s="8" t="str">
        <f>IFNA(VLOOKUP(F22,Driver!A:C,3,false),"")</f>
        <v>59fa514f510cb852e11d</v>
      </c>
      <c r="I22" s="9">
        <v>0.2916666666666667</v>
      </c>
      <c r="J22" s="9">
        <v>0.6666666666666666</v>
      </c>
    </row>
    <row r="23" hidden="1">
      <c r="A23" s="5" t="str">
        <f>IFNA(VLOOKUP(D23,'Location Table'!A:C,2,false),"")</f>
        <v>78efbf60-a6c7-11ee-9b33-506b8d9879b5</v>
      </c>
      <c r="B23" s="5" t="str">
        <f>IFNA(VLOOKUP(F23,Driver!A:C,2,false),"")</f>
        <v>7898dd6c-816d-11f0-9f34-506b8d982279</v>
      </c>
      <c r="C23" s="5" t="str">
        <f>IFNA(VLOOKUP(E23,'Location Table'!A:C,2,false),"")</f>
        <v/>
      </c>
      <c r="D23" s="6" t="s">
        <v>36</v>
      </c>
      <c r="E23" s="6"/>
      <c r="F23" s="6" t="s">
        <v>15</v>
      </c>
      <c r="G23" s="7" t="s">
        <v>873</v>
      </c>
      <c r="H23" s="8" t="str">
        <f>IFNA(VLOOKUP(F23,Driver!A:C,3,false),"")</f>
        <v>011b70c8f4801dde4491</v>
      </c>
      <c r="I23" s="9">
        <v>0.2916666666666667</v>
      </c>
      <c r="J23" s="9">
        <v>0.6666666666666666</v>
      </c>
    </row>
    <row r="24" hidden="1">
      <c r="A24" s="5" t="str">
        <f>IFNA(VLOOKUP(D24,'Location Table'!A:C,2,false),"")</f>
        <v>b9b5962a-57ef-11f0-a199-506b8d982279</v>
      </c>
      <c r="B24" s="5" t="str">
        <f>IFNA(VLOOKUP(F24,Driver!A:C,2,false),"")</f>
        <v>7898dd6c-816d-11f0-9f34-506b8d982279</v>
      </c>
      <c r="C24" s="5" t="str">
        <f>IFNA(VLOOKUP(E24,'Location Table'!A:C,2,false),"")</f>
        <v/>
      </c>
      <c r="D24" s="6" t="s">
        <v>37</v>
      </c>
      <c r="E24" s="6"/>
      <c r="F24" s="6" t="s">
        <v>15</v>
      </c>
      <c r="G24" s="7" t="s">
        <v>873</v>
      </c>
      <c r="H24" s="8" t="str">
        <f>IFNA(VLOOKUP(F24,Driver!A:C,3,false),"")</f>
        <v>011b70c8f4801dde4491</v>
      </c>
      <c r="I24" s="9">
        <v>0.2916666666666667</v>
      </c>
      <c r="J24" s="9">
        <v>0.6666666666666666</v>
      </c>
    </row>
    <row r="25" hidden="1">
      <c r="A25" s="5" t="str">
        <f>IFNA(VLOOKUP(D25,'Location Table'!A:C,2,false),"")</f>
        <v>be5efcd8-17f6-11ee-8aad-506b8d9879b5</v>
      </c>
      <c r="B25" s="5" t="str">
        <f>IFNA(VLOOKUP(F25,Driver!A:C,2,false),"")</f>
        <v>7898dd6c-816d-11f0-9f34-506b8d982279</v>
      </c>
      <c r="C25" s="5" t="str">
        <f>IFNA(VLOOKUP(E25,'Location Table'!A:C,2,false),"")</f>
        <v/>
      </c>
      <c r="D25" s="6" t="s">
        <v>38</v>
      </c>
      <c r="E25" s="6"/>
      <c r="F25" s="6" t="s">
        <v>15</v>
      </c>
      <c r="G25" s="7" t="s">
        <v>873</v>
      </c>
      <c r="H25" s="8" t="str">
        <f>IFNA(VLOOKUP(F25,Driver!A:C,3,false),"")</f>
        <v>011b70c8f4801dde4491</v>
      </c>
      <c r="I25" s="9">
        <v>0.2916666666666667</v>
      </c>
      <c r="J25" s="9">
        <v>0.6666666666666666</v>
      </c>
    </row>
    <row r="26" hidden="1">
      <c r="A26" s="5" t="str">
        <f>IFNA(VLOOKUP(D26,'Location Table'!A:C,2,false),"")</f>
        <v>7ffce736-4cbd-11f0-a4d4-506b8d982279</v>
      </c>
      <c r="B26" s="5" t="str">
        <f>IFNA(VLOOKUP(F26,Driver!A:C,2,false),"")</f>
        <v>7898dd6c-816d-11f0-9f34-506b8d982279</v>
      </c>
      <c r="C26" s="5" t="str">
        <f>IFNA(VLOOKUP(E26,'Location Table'!A:C,2,false),"")</f>
        <v/>
      </c>
      <c r="D26" s="6" t="s">
        <v>39</v>
      </c>
      <c r="E26" s="6"/>
      <c r="F26" s="6" t="s">
        <v>15</v>
      </c>
      <c r="G26" s="7" t="s">
        <v>873</v>
      </c>
      <c r="H26" s="8" t="str">
        <f>IFNA(VLOOKUP(F26,Driver!A:C,3,false),"")</f>
        <v>011b70c8f4801dde4491</v>
      </c>
      <c r="I26" s="9">
        <v>0.2916666666666667</v>
      </c>
      <c r="J26" s="9">
        <v>0.6666666666666666</v>
      </c>
    </row>
    <row r="27" hidden="1">
      <c r="A27" s="5" t="str">
        <f>IFNA(VLOOKUP(D27,'Location Table'!A:C,2,false),"")</f>
        <v>dda1ab1e-f012-11ee-b675-506b8d9879b5</v>
      </c>
      <c r="B27" s="5" t="str">
        <f>IFNA(VLOOKUP(F27,Driver!A:C,2,false),"")</f>
        <v>7898dd6c-816d-11f0-9f34-506b8d982279</v>
      </c>
      <c r="C27" s="5" t="str">
        <f>IFNA(VLOOKUP(E27,'Location Table'!A:C,2,false),"")</f>
        <v/>
      </c>
      <c r="D27" s="6" t="s">
        <v>40</v>
      </c>
      <c r="E27" s="6"/>
      <c r="F27" s="6" t="s">
        <v>15</v>
      </c>
      <c r="G27" s="7" t="s">
        <v>873</v>
      </c>
      <c r="H27" s="8" t="str">
        <f>IFNA(VLOOKUP(F27,Driver!A:C,3,false),"")</f>
        <v>011b70c8f4801dde4491</v>
      </c>
      <c r="I27" s="9">
        <v>0.2916666666666667</v>
      </c>
      <c r="J27" s="9">
        <v>0.6666666666666666</v>
      </c>
    </row>
    <row r="28" hidden="1">
      <c r="A28" s="5" t="str">
        <f>IFNA(VLOOKUP(D28,'Location Table'!A:C,2,false),"")</f>
        <v>d89f14ec-3bf5-11ef-9970-506b8d9879b5</v>
      </c>
      <c r="B28" s="5" t="str">
        <f>IFNA(VLOOKUP(F28,Driver!A:C,2,false),"")</f>
        <v>7898dd6c-816d-11f0-9f34-506b8d982279</v>
      </c>
      <c r="C28" s="5" t="str">
        <f>IFNA(VLOOKUP(E28,'Location Table'!A:C,2,false),"")</f>
        <v/>
      </c>
      <c r="D28" s="6" t="s">
        <v>41</v>
      </c>
      <c r="E28" s="6"/>
      <c r="F28" s="6" t="s">
        <v>15</v>
      </c>
      <c r="G28" s="7" t="s">
        <v>873</v>
      </c>
      <c r="H28" s="8" t="str">
        <f>IFNA(VLOOKUP(F28,Driver!A:C,3,false),"")</f>
        <v>011b70c8f4801dde4491</v>
      </c>
      <c r="I28" s="9">
        <v>0.2916666666666667</v>
      </c>
      <c r="J28" s="9">
        <v>0.6666666666666666</v>
      </c>
    </row>
    <row r="29" hidden="1">
      <c r="A29" s="5" t="str">
        <f>IFNA(VLOOKUP(D29,'Location Table'!A:C,2,false),"")</f>
        <v>0cb3abde-dcde-11ee-aa78-506b8d9879b5</v>
      </c>
      <c r="B29" s="5" t="str">
        <f>IFNA(VLOOKUP(F29,Driver!A:C,2,false),"")</f>
        <v>7898dd6c-816d-11f0-9f34-506b8d982279</v>
      </c>
      <c r="C29" s="5" t="str">
        <f>IFNA(VLOOKUP(E29,'Location Table'!A:C,2,false),"")</f>
        <v/>
      </c>
      <c r="D29" s="6" t="s">
        <v>42</v>
      </c>
      <c r="E29" s="6"/>
      <c r="F29" s="6" t="s">
        <v>15</v>
      </c>
      <c r="G29" s="7" t="s">
        <v>873</v>
      </c>
      <c r="H29" s="8" t="str">
        <f>IFNA(VLOOKUP(F29,Driver!A:C,3,false),"")</f>
        <v>011b70c8f4801dde4491</v>
      </c>
      <c r="I29" s="9">
        <v>0.2916666666666667</v>
      </c>
      <c r="J29" s="9">
        <v>0.6666666666666666</v>
      </c>
    </row>
    <row r="30" hidden="1">
      <c r="A30" s="5" t="str">
        <f>IFNA(VLOOKUP(D30,'Location Table'!A:C,2,false),"")</f>
        <v>a0efb8b4-c2a2-11f0-9999-506b8d982279</v>
      </c>
      <c r="B30" s="5" t="str">
        <f>IFNA(VLOOKUP(F30,Driver!A:C,2,false),"")</f>
        <v>7898dd6c-816d-11f0-9f34-506b8d982279</v>
      </c>
      <c r="C30" s="5" t="str">
        <f>IFNA(VLOOKUP(E30,'Location Table'!A:C,2,false),"")</f>
        <v/>
      </c>
      <c r="D30" s="6" t="s">
        <v>43</v>
      </c>
      <c r="E30" s="6"/>
      <c r="F30" s="6" t="s">
        <v>15</v>
      </c>
      <c r="G30" s="7" t="s">
        <v>873</v>
      </c>
      <c r="H30" s="8" t="str">
        <f>IFNA(VLOOKUP(F30,Driver!A:C,3,false),"")</f>
        <v>011b70c8f4801dde4491</v>
      </c>
      <c r="I30" s="9">
        <v>0.2916666666666667</v>
      </c>
      <c r="J30" s="9">
        <v>0.6666666666666666</v>
      </c>
    </row>
    <row r="31" hidden="1">
      <c r="A31" s="5" t="str">
        <f>IFNA(VLOOKUP(D31,'Location Table'!A:C,2,false),"")</f>
        <v>b7dcc424-4af6-11ef-b9ad-506b8d9879b5</v>
      </c>
      <c r="B31" s="5" t="str">
        <f>IFNA(VLOOKUP(F31,Driver!A:C,2,false),"")</f>
        <v>7898dd6c-816d-11f0-9f34-506b8d982279</v>
      </c>
      <c r="C31" s="5" t="str">
        <f>IFNA(VLOOKUP(E31,'Location Table'!A:C,2,false),"")</f>
        <v/>
      </c>
      <c r="D31" s="6" t="s">
        <v>44</v>
      </c>
      <c r="E31" s="6"/>
      <c r="F31" s="6" t="s">
        <v>15</v>
      </c>
      <c r="G31" s="7" t="s">
        <v>873</v>
      </c>
      <c r="H31" s="8" t="str">
        <f>IFNA(VLOOKUP(F31,Driver!A:C,3,false),"")</f>
        <v>011b70c8f4801dde4491</v>
      </c>
      <c r="I31" s="9">
        <v>0.2916666666666667</v>
      </c>
      <c r="J31" s="9">
        <v>0.6666666666666666</v>
      </c>
    </row>
    <row r="32" hidden="1">
      <c r="A32" s="5" t="str">
        <f>IFNA(VLOOKUP(D32,'Location Table'!A:C,2,false),"")</f>
        <v>6a197874-46fd-11ef-bcee-506b8d9879b5</v>
      </c>
      <c r="B32" s="5" t="str">
        <f>IFNA(VLOOKUP(F32,Driver!A:C,2,false),"")</f>
        <v>7898dd6c-816d-11f0-9f34-506b8d982279</v>
      </c>
      <c r="C32" s="5" t="str">
        <f>IFNA(VLOOKUP(E32,'Location Table'!A:C,2,false),"")</f>
        <v/>
      </c>
      <c r="D32" s="6" t="s">
        <v>45</v>
      </c>
      <c r="E32" s="6"/>
      <c r="F32" s="6" t="s">
        <v>15</v>
      </c>
      <c r="G32" s="7" t="s">
        <v>873</v>
      </c>
      <c r="H32" s="8" t="str">
        <f>IFNA(VLOOKUP(F32,Driver!A:C,3,false),"")</f>
        <v>011b70c8f4801dde4491</v>
      </c>
      <c r="I32" s="9">
        <v>0.2916666666666667</v>
      </c>
      <c r="J32" s="9">
        <v>0.6666666666666666</v>
      </c>
    </row>
    <row r="33" hidden="1">
      <c r="A33" s="5" t="str">
        <f>IFNA(VLOOKUP(D33,'Location Table'!A:C,2,false),"")</f>
        <v>c79322bc-5f52-11ef-89fe-506b8d9879b5</v>
      </c>
      <c r="B33" s="5" t="str">
        <f>IFNA(VLOOKUP(F33,Driver!A:C,2,false),"")</f>
        <v>7898dd6c-816d-11f0-9f34-506b8d982279</v>
      </c>
      <c r="C33" s="5" t="str">
        <f>IFNA(VLOOKUP(E33,'Location Table'!A:C,2,false),"")</f>
        <v/>
      </c>
      <c r="D33" s="6" t="s">
        <v>46</v>
      </c>
      <c r="E33" s="6"/>
      <c r="F33" s="6" t="s">
        <v>15</v>
      </c>
      <c r="G33" s="7" t="s">
        <v>873</v>
      </c>
      <c r="H33" s="8" t="str">
        <f>IFNA(VLOOKUP(F33,Driver!A:C,3,false),"")</f>
        <v>011b70c8f4801dde4491</v>
      </c>
      <c r="I33" s="9">
        <v>0.2916666666666667</v>
      </c>
      <c r="J33" s="9">
        <v>0.6666666666666666</v>
      </c>
    </row>
    <row r="34" hidden="1">
      <c r="A34" s="5" t="str">
        <f>IFNA(VLOOKUP(D34,'Location Table'!A:C,2,false),"")</f>
        <v>5647d68e-f05c-11ef-97d9-506b8d9879b5</v>
      </c>
      <c r="B34" s="5" t="str">
        <f>IFNA(VLOOKUP(F34,Driver!A:C,2,false),"")</f>
        <v>7898dd6c-816d-11f0-9f34-506b8d982279</v>
      </c>
      <c r="C34" s="5" t="str">
        <f>IFNA(VLOOKUP(E34,'Location Table'!A:C,2,false),"")</f>
        <v/>
      </c>
      <c r="D34" s="6" t="s">
        <v>47</v>
      </c>
      <c r="E34" s="6"/>
      <c r="F34" s="6" t="s">
        <v>15</v>
      </c>
      <c r="G34" s="7" t="s">
        <v>873</v>
      </c>
      <c r="H34" s="8" t="str">
        <f>IFNA(VLOOKUP(F34,Driver!A:C,3,false),"")</f>
        <v>011b70c8f4801dde4491</v>
      </c>
      <c r="I34" s="9">
        <v>0.2916666666666667</v>
      </c>
      <c r="J34" s="9">
        <v>0.6666666666666666</v>
      </c>
    </row>
    <row r="35" hidden="1">
      <c r="A35" s="5" t="str">
        <f>IFNA(VLOOKUP(D35,'Location Table'!A:C,2,false),"")</f>
        <v>27a5e552-e745-11ef-85e6-506b8d9879b5</v>
      </c>
      <c r="B35" s="5" t="str">
        <f>IFNA(VLOOKUP(F35,Driver!A:C,2,false),"")</f>
        <v>7898dd6c-816d-11f0-9f34-506b8d982279</v>
      </c>
      <c r="C35" s="5" t="str">
        <f>IFNA(VLOOKUP(E35,'Location Table'!A:C,2,false),"")</f>
        <v/>
      </c>
      <c r="D35" s="6" t="s">
        <v>48</v>
      </c>
      <c r="E35" s="6"/>
      <c r="F35" s="6" t="s">
        <v>15</v>
      </c>
      <c r="G35" s="7" t="s">
        <v>873</v>
      </c>
      <c r="H35" s="8" t="str">
        <f>IFNA(VLOOKUP(F35,Driver!A:C,3,false),"")</f>
        <v>011b70c8f4801dde4491</v>
      </c>
      <c r="I35" s="9">
        <v>0.2916666666666667</v>
      </c>
      <c r="J35" s="9">
        <v>0.6666666666666666</v>
      </c>
    </row>
    <row r="36" hidden="1">
      <c r="A36" s="5" t="str">
        <f>IFNA(VLOOKUP(D36,'Location Table'!A:C,2,false),"")</f>
        <v>4735289c-1512-11f0-a168-506b8d982279</v>
      </c>
      <c r="B36" s="5" t="str">
        <f>IFNA(VLOOKUP(F36,Driver!A:C,2,false),"")</f>
        <v>7898dd6c-816d-11f0-9f34-506b8d982279</v>
      </c>
      <c r="C36" s="5" t="str">
        <f>IFNA(VLOOKUP(E36,'Location Table'!A:C,2,false),"")</f>
        <v/>
      </c>
      <c r="D36" s="6" t="s">
        <v>49</v>
      </c>
      <c r="E36" s="6"/>
      <c r="F36" s="6" t="s">
        <v>15</v>
      </c>
      <c r="G36" s="7" t="s">
        <v>873</v>
      </c>
      <c r="H36" s="8" t="str">
        <f>IFNA(VLOOKUP(F36,Driver!A:C,3,false),"")</f>
        <v>011b70c8f4801dde4491</v>
      </c>
      <c r="I36" s="9">
        <v>0.2916666666666667</v>
      </c>
      <c r="J36" s="9">
        <v>0.6666666666666666</v>
      </c>
    </row>
    <row r="37" hidden="1">
      <c r="A37" s="5" t="str">
        <f>IFNA(VLOOKUP(D37,'Location Table'!A:C,2,false),"")</f>
        <v>84fde21c-1f31-11f0-a64b-506b8d982279</v>
      </c>
      <c r="B37" s="5" t="str">
        <f>IFNA(VLOOKUP(F37,Driver!A:C,2,false),"")</f>
        <v>7898dd6c-816d-11f0-9f34-506b8d982279</v>
      </c>
      <c r="C37" s="5" t="str">
        <f>IFNA(VLOOKUP(E37,'Location Table'!A:C,2,false),"")</f>
        <v/>
      </c>
      <c r="D37" s="6" t="s">
        <v>50</v>
      </c>
      <c r="E37" s="6"/>
      <c r="F37" s="6" t="s">
        <v>15</v>
      </c>
      <c r="G37" s="7" t="s">
        <v>873</v>
      </c>
      <c r="H37" s="8" t="str">
        <f>IFNA(VLOOKUP(F37,Driver!A:C,3,false),"")</f>
        <v>011b70c8f4801dde4491</v>
      </c>
      <c r="I37" s="9">
        <v>0.2916666666666667</v>
      </c>
      <c r="J37" s="9">
        <v>0.6666666666666666</v>
      </c>
    </row>
    <row r="38" hidden="1">
      <c r="A38" s="5" t="str">
        <f>IFNA(VLOOKUP(D38,'Location Table'!A:C,2,false),"")</f>
        <v>2bd59acc-d593-11f0-9c4e-506b8d982279</v>
      </c>
      <c r="B38" s="5" t="str">
        <f>IFNA(VLOOKUP(F38,Driver!A:C,2,false),"")</f>
        <v>7898dd6c-816d-11f0-9f34-506b8d982279</v>
      </c>
      <c r="C38" s="5" t="str">
        <f>IFNA(VLOOKUP(E38,'Location Table'!A:C,2,false),"")</f>
        <v/>
      </c>
      <c r="D38" s="6" t="s">
        <v>51</v>
      </c>
      <c r="E38" s="6"/>
      <c r="F38" s="6" t="s">
        <v>15</v>
      </c>
      <c r="G38" s="7" t="s">
        <v>873</v>
      </c>
      <c r="H38" s="8" t="str">
        <f>IFNA(VLOOKUP(F38,Driver!A:C,3,false),"")</f>
        <v>011b70c8f4801dde4491</v>
      </c>
      <c r="I38" s="9">
        <v>0.2916666666666667</v>
      </c>
      <c r="J38" s="9">
        <v>0.6666666666666666</v>
      </c>
    </row>
    <row r="39" hidden="1">
      <c r="A39" s="5" t="str">
        <f>IFNA(VLOOKUP(D39,'Location Table'!A:C,2,false),"")</f>
        <v>48400794-5490-11f0-a04e-506b8d982279</v>
      </c>
      <c r="B39" s="5" t="str">
        <f>IFNA(VLOOKUP(F39,Driver!A:C,2,false),"")</f>
        <v>7898dd6c-816d-11f0-9f34-506b8d982279</v>
      </c>
      <c r="C39" s="5" t="str">
        <f>IFNA(VLOOKUP(E39,'Location Table'!A:C,2,false),"")</f>
        <v/>
      </c>
      <c r="D39" s="6" t="s">
        <v>52</v>
      </c>
      <c r="E39" s="6"/>
      <c r="F39" s="6" t="s">
        <v>15</v>
      </c>
      <c r="G39" s="7" t="s">
        <v>873</v>
      </c>
      <c r="H39" s="8" t="str">
        <f>IFNA(VLOOKUP(F39,Driver!A:C,3,false),"")</f>
        <v>011b70c8f4801dde4491</v>
      </c>
      <c r="I39" s="9">
        <v>0.2916666666666667</v>
      </c>
      <c r="J39" s="9">
        <v>0.6666666666666666</v>
      </c>
    </row>
    <row r="40" hidden="1">
      <c r="A40" s="5" t="str">
        <f>IFNA(VLOOKUP(D40,'Location Table'!A:C,2,false),"")</f>
        <v>9b7030ec-7353-11f0-b91d-506b8d982279</v>
      </c>
      <c r="B40" s="5" t="str">
        <f>IFNA(VLOOKUP(F40,Driver!A:C,2,false),"")</f>
        <v>7898dd6c-816d-11f0-9f34-506b8d982279</v>
      </c>
      <c r="C40" s="5" t="str">
        <f>IFNA(VLOOKUP(E40,'Location Table'!A:C,2,false),"")</f>
        <v/>
      </c>
      <c r="D40" s="6" t="s">
        <v>53</v>
      </c>
      <c r="E40" s="6"/>
      <c r="F40" s="6" t="s">
        <v>15</v>
      </c>
      <c r="G40" s="7" t="s">
        <v>873</v>
      </c>
      <c r="H40" s="8" t="str">
        <f>IFNA(VLOOKUP(F40,Driver!A:C,3,false),"")</f>
        <v>011b70c8f4801dde4491</v>
      </c>
      <c r="I40" s="9">
        <v>0.2916666666666667</v>
      </c>
      <c r="J40" s="9">
        <v>0.6666666666666666</v>
      </c>
    </row>
    <row r="41" hidden="1">
      <c r="A41" s="5" t="str">
        <f>IFNA(VLOOKUP(D41,'Location Table'!A:C,2,false),"")</f>
        <v>584e8c0c-a975-11f0-bc05-506b8d982279</v>
      </c>
      <c r="B41" s="5" t="str">
        <f>IFNA(VLOOKUP(F41,Driver!A:C,2,false),"")</f>
        <v>7898dd6c-816d-11f0-9f34-506b8d982279</v>
      </c>
      <c r="C41" s="5" t="str">
        <f>IFNA(VLOOKUP(E41,'Location Table'!A:C,2,false),"")</f>
        <v/>
      </c>
      <c r="D41" s="6" t="s">
        <v>54</v>
      </c>
      <c r="E41" s="6"/>
      <c r="F41" s="6" t="s">
        <v>15</v>
      </c>
      <c r="G41" s="7" t="s">
        <v>873</v>
      </c>
      <c r="H41" s="8" t="str">
        <f>IFNA(VLOOKUP(F41,Driver!A:C,3,false),"")</f>
        <v>011b70c8f4801dde4491</v>
      </c>
      <c r="I41" s="9">
        <v>0.2916666666666667</v>
      </c>
      <c r="J41" s="9">
        <v>0.6666666666666666</v>
      </c>
    </row>
    <row r="42" hidden="1">
      <c r="A42" s="5" t="str">
        <f>IFNA(VLOOKUP(D42,'Location Table'!A:C,2,false),"")</f>
        <v>1d97d904-f12a-11f0-9378-fa163ee8d8ac</v>
      </c>
      <c r="B42" s="5" t="str">
        <f>IFNA(VLOOKUP(F42,Driver!A:C,2,false),"")</f>
        <v>7898dd6c-816d-11f0-9f34-506b8d982279</v>
      </c>
      <c r="C42" s="5" t="str">
        <f>IFNA(VLOOKUP(E42,'Location Table'!A:C,2,false),"")</f>
        <v/>
      </c>
      <c r="D42" s="6" t="s">
        <v>55</v>
      </c>
      <c r="E42" s="6"/>
      <c r="F42" s="6" t="s">
        <v>15</v>
      </c>
      <c r="G42" s="7" t="s">
        <v>873</v>
      </c>
      <c r="H42" s="8" t="str">
        <f>IFNA(VLOOKUP(F42,Driver!A:C,3,false),"")</f>
        <v>011b70c8f4801dde4491</v>
      </c>
      <c r="I42" s="9">
        <v>0.2916666666666667</v>
      </c>
      <c r="J42" s="9">
        <v>0.6666666666666666</v>
      </c>
    </row>
    <row r="43" hidden="1">
      <c r="A43" s="5" t="str">
        <f>IFNA(VLOOKUP(D43,'Location Table'!A:C,2,false),"")</f>
        <v>6ec2c57e-f2b4-11f0-9378-fa163ee8d8ac</v>
      </c>
      <c r="B43" s="5" t="str">
        <f>IFNA(VLOOKUP(F43,Driver!A:C,2,false),"")</f>
        <v>7898dd6c-816d-11f0-9f34-506b8d982279</v>
      </c>
      <c r="C43" s="5" t="str">
        <f>IFNA(VLOOKUP(E43,'Location Table'!A:C,2,false),"")</f>
        <v/>
      </c>
      <c r="D43" s="6" t="s">
        <v>56</v>
      </c>
      <c r="E43" s="6"/>
      <c r="F43" s="6" t="s">
        <v>15</v>
      </c>
      <c r="G43" s="7" t="s">
        <v>873</v>
      </c>
      <c r="H43" s="8" t="str">
        <f>IFNA(VLOOKUP(F43,Driver!A:C,3,false),"")</f>
        <v>011b70c8f4801dde4491</v>
      </c>
      <c r="I43" s="9">
        <v>0.2916666666666667</v>
      </c>
      <c r="J43" s="9">
        <v>0.6666666666666666</v>
      </c>
    </row>
    <row r="44" hidden="1">
      <c r="A44" s="5" t="str">
        <f>IFNA(VLOOKUP(D44,'Location Table'!A:C,2,false),"")</f>
        <v>38d5de78-8c0a-11ee-8788-506b8d9879b5</v>
      </c>
      <c r="B44" s="5" t="str">
        <f>IFNA(VLOOKUP(F44,Driver!A:C,2,false),"")</f>
        <v>7898dd6c-816d-11f0-9f34-506b8d982279</v>
      </c>
      <c r="C44" s="5" t="str">
        <f>IFNA(VLOOKUP(E44,'Location Table'!A:C,2,false),"")</f>
        <v/>
      </c>
      <c r="D44" s="6" t="s">
        <v>57</v>
      </c>
      <c r="E44" s="6"/>
      <c r="F44" s="6" t="s">
        <v>15</v>
      </c>
      <c r="G44" s="7" t="s">
        <v>873</v>
      </c>
      <c r="H44" s="8" t="str">
        <f>IFNA(VLOOKUP(F44,Driver!A:C,3,false),"")</f>
        <v>011b70c8f4801dde4491</v>
      </c>
      <c r="I44" s="9">
        <v>0.2916666666666667</v>
      </c>
      <c r="J44" s="9">
        <v>0.6666666666666666</v>
      </c>
    </row>
    <row r="45" hidden="1">
      <c r="A45" s="5" t="str">
        <f>IFNA(VLOOKUP(D45,'Location Table'!A:C,2,false),"")</f>
        <v>84b552a0-8c0b-11ee-9f3f-506b8d9879b5</v>
      </c>
      <c r="B45" s="5" t="str">
        <f>IFNA(VLOOKUP(F45,Driver!A:C,2,false),"")</f>
        <v>7898dd6c-816d-11f0-9f34-506b8d982279</v>
      </c>
      <c r="C45" s="5" t="str">
        <f>IFNA(VLOOKUP(E45,'Location Table'!A:C,2,false),"")</f>
        <v/>
      </c>
      <c r="D45" s="6" t="s">
        <v>58</v>
      </c>
      <c r="E45" s="6"/>
      <c r="F45" s="6" t="s">
        <v>15</v>
      </c>
      <c r="G45" s="7" t="s">
        <v>873</v>
      </c>
      <c r="H45" s="8" t="str">
        <f>IFNA(VLOOKUP(F45,Driver!A:C,3,false),"")</f>
        <v>011b70c8f4801dde4491</v>
      </c>
      <c r="I45" s="9">
        <v>0.2916666666666667</v>
      </c>
      <c r="J45" s="9">
        <v>0.6666666666666666</v>
      </c>
    </row>
    <row r="46" hidden="1">
      <c r="A46" s="5" t="str">
        <f>IFNA(VLOOKUP(D46,'Location Table'!A:C,2,false),"")</f>
        <v>78912f9a-2abc-11ee-93df-506b8d9879b5</v>
      </c>
      <c r="B46" s="5" t="str">
        <f>IFNA(VLOOKUP(F46,Driver!A:C,2,false),"")</f>
        <v>7898dd6c-816d-11f0-9f34-506b8d982279</v>
      </c>
      <c r="C46" s="5" t="str">
        <f>IFNA(VLOOKUP(E46,'Location Table'!A:C,2,false),"")</f>
        <v/>
      </c>
      <c r="D46" s="6" t="s">
        <v>59</v>
      </c>
      <c r="E46" s="6"/>
      <c r="F46" s="6" t="s">
        <v>15</v>
      </c>
      <c r="G46" s="7" t="s">
        <v>873</v>
      </c>
      <c r="H46" s="8" t="str">
        <f>IFNA(VLOOKUP(F46,Driver!A:C,3,false),"")</f>
        <v>011b70c8f4801dde4491</v>
      </c>
      <c r="I46" s="9">
        <v>0.2916666666666667</v>
      </c>
      <c r="J46" s="9">
        <v>0.6666666666666666</v>
      </c>
    </row>
    <row r="47" hidden="1">
      <c r="A47" s="5" t="str">
        <f>IFNA(VLOOKUP(D47,'Location Table'!A:C,2,false),"")</f>
        <v>29a07840-4a03-11ed-ba7b-506b8dbc8dfb</v>
      </c>
      <c r="B47" s="5" t="str">
        <f>IFNA(VLOOKUP(F47,Driver!A:C,2,false),"")</f>
        <v>7898dd6c-816d-11f0-9f34-506b8d982279</v>
      </c>
      <c r="C47" s="5" t="str">
        <f>IFNA(VLOOKUP(E47,'Location Table'!A:C,2,false),"")</f>
        <v/>
      </c>
      <c r="D47" s="6" t="s">
        <v>60</v>
      </c>
      <c r="E47" s="6"/>
      <c r="F47" s="6" t="s">
        <v>15</v>
      </c>
      <c r="G47" s="7" t="s">
        <v>873</v>
      </c>
      <c r="H47" s="8" t="str">
        <f>IFNA(VLOOKUP(F47,Driver!A:C,3,false),"")</f>
        <v>011b70c8f4801dde4491</v>
      </c>
      <c r="I47" s="9">
        <v>0.2916666666666667</v>
      </c>
      <c r="J47" s="9">
        <v>0.6666666666666666</v>
      </c>
    </row>
    <row r="48" hidden="1">
      <c r="A48" s="5" t="str">
        <f>IFNA(VLOOKUP(D48,'Location Table'!A:C,2,false),"")</f>
        <v>2b2dc0f6-c06a-11f0-950c-506b8d982279</v>
      </c>
      <c r="B48" s="5" t="str">
        <f>IFNA(VLOOKUP(F48,Driver!A:C,2,false),"")</f>
        <v>7898dd6c-816d-11f0-9f34-506b8d982279</v>
      </c>
      <c r="C48" s="5" t="str">
        <f>IFNA(VLOOKUP(E48,'Location Table'!A:C,2,false),"")</f>
        <v/>
      </c>
      <c r="D48" s="6" t="s">
        <v>61</v>
      </c>
      <c r="E48" s="6"/>
      <c r="F48" s="6" t="s">
        <v>15</v>
      </c>
      <c r="G48" s="7" t="s">
        <v>873</v>
      </c>
      <c r="H48" s="8" t="str">
        <f>IFNA(VLOOKUP(F48,Driver!A:C,3,false),"")</f>
        <v>011b70c8f4801dde4491</v>
      </c>
      <c r="I48" s="9">
        <v>0.2916666666666667</v>
      </c>
      <c r="J48" s="9">
        <v>0.6666666666666666</v>
      </c>
    </row>
    <row r="49" hidden="1">
      <c r="A49" s="5" t="str">
        <f>IFNA(VLOOKUP(D49,'Location Table'!A:C,2,false),"")</f>
        <v>1d2c7048-4a01-11ed-8a72-506b8dbc8dfb</v>
      </c>
      <c r="B49" s="5" t="str">
        <f>IFNA(VLOOKUP(F49,Driver!A:C,2,false),"")</f>
        <v>7898dd6c-816d-11f0-9f34-506b8d982279</v>
      </c>
      <c r="C49" s="5" t="str">
        <f>IFNA(VLOOKUP(E49,'Location Table'!A:C,2,false),"")</f>
        <v/>
      </c>
      <c r="D49" s="6" t="s">
        <v>62</v>
      </c>
      <c r="E49" s="6"/>
      <c r="F49" s="6" t="s">
        <v>15</v>
      </c>
      <c r="G49" s="7" t="s">
        <v>873</v>
      </c>
      <c r="H49" s="8" t="str">
        <f>IFNA(VLOOKUP(F49,Driver!A:C,3,false),"")</f>
        <v>011b70c8f4801dde4491</v>
      </c>
      <c r="I49" s="9">
        <v>0.2916666666666667</v>
      </c>
      <c r="J49" s="9">
        <v>0.6666666666666666</v>
      </c>
    </row>
    <row r="50" hidden="1">
      <c r="A50" s="5" t="str">
        <f>IFNA(VLOOKUP(D50,'Location Table'!A:C,2,false),"")</f>
        <v>4b9b050a-4808-11ef-b1d7-506b8d9879b5</v>
      </c>
      <c r="B50" s="5" t="str">
        <f>IFNA(VLOOKUP(F50,Driver!A:C,2,false),"")</f>
        <v>7898dd6c-816d-11f0-9f34-506b8d982279</v>
      </c>
      <c r="C50" s="5" t="str">
        <f>IFNA(VLOOKUP(E50,'Location Table'!A:C,2,false),"")</f>
        <v/>
      </c>
      <c r="D50" s="6" t="s">
        <v>63</v>
      </c>
      <c r="E50" s="6"/>
      <c r="F50" s="6" t="s">
        <v>15</v>
      </c>
      <c r="G50" s="7" t="s">
        <v>873</v>
      </c>
      <c r="H50" s="8" t="str">
        <f>IFNA(VLOOKUP(F50,Driver!A:C,3,false),"")</f>
        <v>011b70c8f4801dde4491</v>
      </c>
      <c r="I50" s="9">
        <v>0.2916666666666667</v>
      </c>
      <c r="J50" s="9">
        <v>0.6666666666666666</v>
      </c>
    </row>
    <row r="51" hidden="1">
      <c r="A51" s="5" t="str">
        <f>IFNA(VLOOKUP(D51,'Location Table'!A:C,2,false),"")</f>
        <v>95c60d24-5585-11f0-8ba7-506b8d982279</v>
      </c>
      <c r="B51" s="5" t="str">
        <f>IFNA(VLOOKUP(F51,Driver!A:C,2,false),"")</f>
        <v>7898dd6c-816d-11f0-9f34-506b8d982279</v>
      </c>
      <c r="C51" s="5" t="str">
        <f>IFNA(VLOOKUP(E51,'Location Table'!A:C,2,false),"")</f>
        <v/>
      </c>
      <c r="D51" s="6" t="s">
        <v>64</v>
      </c>
      <c r="E51" s="6"/>
      <c r="F51" s="6" t="s">
        <v>15</v>
      </c>
      <c r="G51" s="7" t="s">
        <v>873</v>
      </c>
      <c r="H51" s="8" t="str">
        <f>IFNA(VLOOKUP(F51,Driver!A:C,3,false),"")</f>
        <v>011b70c8f4801dde4491</v>
      </c>
      <c r="I51" s="9">
        <v>0.2916666666666667</v>
      </c>
      <c r="J51" s="9">
        <v>0.6666666666666666</v>
      </c>
    </row>
    <row r="52" hidden="1">
      <c r="A52" s="5" t="str">
        <f>IFNA(VLOOKUP(D52,'Location Table'!A:C,2,false),"")</f>
        <v>04a3f214-453b-11ed-8d0e-506b8dbc8dfb</v>
      </c>
      <c r="B52" s="5" t="str">
        <f>IFNA(VLOOKUP(F52,Driver!A:C,2,false),"")</f>
        <v>7898dd6c-816d-11f0-9f34-506b8d982279</v>
      </c>
      <c r="C52" s="5" t="str">
        <f>IFNA(VLOOKUP(E52,'Location Table'!A:C,2,false),"")</f>
        <v/>
      </c>
      <c r="D52" s="6" t="s">
        <v>65</v>
      </c>
      <c r="E52" s="6"/>
      <c r="F52" s="6" t="s">
        <v>15</v>
      </c>
      <c r="G52" s="7" t="s">
        <v>873</v>
      </c>
      <c r="H52" s="8" t="str">
        <f>IFNA(VLOOKUP(F52,Driver!A:C,3,false),"")</f>
        <v>011b70c8f4801dde4491</v>
      </c>
      <c r="I52" s="9">
        <v>0.2916666666666667</v>
      </c>
      <c r="J52" s="9">
        <v>0.6666666666666666</v>
      </c>
    </row>
    <row r="53" hidden="1">
      <c r="A53" s="5" t="str">
        <f>IFNA(VLOOKUP(D53,'Location Table'!A:C,2,false),"")</f>
        <v>f3d664fa-d466-11ee-b71b-506b8d9879b5</v>
      </c>
      <c r="B53" s="5" t="str">
        <f>IFNA(VLOOKUP(F53,Driver!A:C,2,false),"")</f>
        <v>7898dd6c-816d-11f0-9f34-506b8d982279</v>
      </c>
      <c r="C53" s="5" t="str">
        <f>IFNA(VLOOKUP(E53,'Location Table'!A:C,2,false),"")</f>
        <v/>
      </c>
      <c r="D53" s="6" t="s">
        <v>66</v>
      </c>
      <c r="E53" s="6"/>
      <c r="F53" s="6" t="s">
        <v>15</v>
      </c>
      <c r="G53" s="7" t="s">
        <v>873</v>
      </c>
      <c r="H53" s="8" t="str">
        <f>IFNA(VLOOKUP(F53,Driver!A:C,3,false),"")</f>
        <v>011b70c8f4801dde4491</v>
      </c>
      <c r="I53" s="9">
        <v>0.2916666666666667</v>
      </c>
      <c r="J53" s="9">
        <v>0.6666666666666666</v>
      </c>
    </row>
    <row r="54" hidden="1">
      <c r="A54" s="5" t="str">
        <f>IFNA(VLOOKUP(D54,'Location Table'!A:C,2,false),"")</f>
        <v>588e52ec-0c4a-11f0-98e5-506b8d982279</v>
      </c>
      <c r="B54" s="5" t="str">
        <f>IFNA(VLOOKUP(F54,Driver!A:C,2,false),"")</f>
        <v>7898dd6c-816d-11f0-9f34-506b8d982279</v>
      </c>
      <c r="C54" s="5" t="str">
        <f>IFNA(VLOOKUP(E54,'Location Table'!A:C,2,false),"")</f>
        <v/>
      </c>
      <c r="D54" s="6" t="s">
        <v>67</v>
      </c>
      <c r="E54" s="6"/>
      <c r="F54" s="6" t="s">
        <v>15</v>
      </c>
      <c r="G54" s="7" t="s">
        <v>873</v>
      </c>
      <c r="H54" s="8" t="str">
        <f>IFNA(VLOOKUP(F54,Driver!A:C,3,false),"")</f>
        <v>011b70c8f4801dde4491</v>
      </c>
      <c r="I54" s="9">
        <v>0.2916666666666667</v>
      </c>
      <c r="J54" s="9">
        <v>0.6666666666666666</v>
      </c>
    </row>
    <row r="55" hidden="1">
      <c r="A55" s="5" t="str">
        <f>IFNA(VLOOKUP(D55,'Location Table'!A:C,2,false),"")</f>
        <v>31537c92-f4c7-11ef-9714-506b8d9879b5</v>
      </c>
      <c r="B55" s="5" t="str">
        <f>IFNA(VLOOKUP(F55,Driver!A:C,2,false),"")</f>
        <v>7898dd6c-816d-11f0-9f34-506b8d982279</v>
      </c>
      <c r="C55" s="5" t="str">
        <f>IFNA(VLOOKUP(E55,'Location Table'!A:C,2,false),"")</f>
        <v/>
      </c>
      <c r="D55" s="6" t="s">
        <v>68</v>
      </c>
      <c r="E55" s="6"/>
      <c r="F55" s="6" t="s">
        <v>15</v>
      </c>
      <c r="G55" s="7" t="s">
        <v>873</v>
      </c>
      <c r="H55" s="8" t="str">
        <f>IFNA(VLOOKUP(F55,Driver!A:C,3,false),"")</f>
        <v>011b70c8f4801dde4491</v>
      </c>
      <c r="I55" s="9">
        <v>0.2916666666666667</v>
      </c>
      <c r="J55" s="9">
        <v>0.6666666666666666</v>
      </c>
    </row>
    <row r="56" hidden="1">
      <c r="A56" s="5" t="str">
        <f>IFNA(VLOOKUP(D56,'Location Table'!A:C,2,false),"")</f>
        <v>9a0c4726-d0ba-11f0-abc5-506b8d982279</v>
      </c>
      <c r="B56" s="5" t="str">
        <f>IFNA(VLOOKUP(F56,Driver!A:C,2,false),"")</f>
        <v>7898dd6c-816d-11f0-9f34-506b8d982279</v>
      </c>
      <c r="C56" s="5" t="str">
        <f>IFNA(VLOOKUP(E56,'Location Table'!A:C,2,false),"")</f>
        <v/>
      </c>
      <c r="D56" s="6" t="s">
        <v>69</v>
      </c>
      <c r="E56" s="6"/>
      <c r="F56" s="6" t="s">
        <v>15</v>
      </c>
      <c r="G56" s="7" t="s">
        <v>873</v>
      </c>
      <c r="H56" s="8" t="str">
        <f>IFNA(VLOOKUP(F56,Driver!A:C,3,false),"")</f>
        <v>011b70c8f4801dde4491</v>
      </c>
      <c r="I56" s="9">
        <v>0.2916666666666667</v>
      </c>
      <c r="J56" s="9">
        <v>0.6666666666666666</v>
      </c>
    </row>
    <row r="57" hidden="1">
      <c r="A57" s="5" t="str">
        <f>IFNA(VLOOKUP(D57,'Location Table'!A:C,2,false),"")</f>
        <v>f38ad192-49f3-11ed-9233-506b8dbc8dfb</v>
      </c>
      <c r="B57" s="5" t="str">
        <f>IFNA(VLOOKUP(F57,Driver!A:C,2,false),"")</f>
        <v>7898dd6c-816d-11f0-9f34-506b8d982279</v>
      </c>
      <c r="C57" s="5" t="str">
        <f>IFNA(VLOOKUP(E57,'Location Table'!A:C,2,false),"")</f>
        <v/>
      </c>
      <c r="D57" s="6" t="s">
        <v>70</v>
      </c>
      <c r="E57" s="6"/>
      <c r="F57" s="6" t="s">
        <v>15</v>
      </c>
      <c r="G57" s="7" t="s">
        <v>873</v>
      </c>
      <c r="H57" s="8" t="str">
        <f>IFNA(VLOOKUP(F57,Driver!A:C,3,false),"")</f>
        <v>011b70c8f4801dde4491</v>
      </c>
      <c r="I57" s="9">
        <v>0.2916666666666667</v>
      </c>
      <c r="J57" s="9">
        <v>0.6666666666666666</v>
      </c>
    </row>
    <row r="58" hidden="1">
      <c r="A58" s="5" t="str">
        <f>IFNA(VLOOKUP(D58,'Location Table'!A:C,2,false),"")</f>
        <v>6a6fbad4-84db-11ee-a902-506b8d9879b5</v>
      </c>
      <c r="B58" s="5" t="str">
        <f>IFNA(VLOOKUP(F58,Driver!A:C,2,false),"")</f>
        <v>7898dd6c-816d-11f0-9f34-506b8d982279</v>
      </c>
      <c r="C58" s="5" t="str">
        <f>IFNA(VLOOKUP(E58,'Location Table'!A:C,2,false),"")</f>
        <v/>
      </c>
      <c r="D58" s="6" t="s">
        <v>71</v>
      </c>
      <c r="E58" s="6"/>
      <c r="F58" s="6" t="s">
        <v>15</v>
      </c>
      <c r="G58" s="7" t="s">
        <v>873</v>
      </c>
      <c r="H58" s="8" t="str">
        <f>IFNA(VLOOKUP(F58,Driver!A:C,3,false),"")</f>
        <v>011b70c8f4801dde4491</v>
      </c>
      <c r="I58" s="9">
        <v>0.2916666666666667</v>
      </c>
      <c r="J58" s="9">
        <v>0.6666666666666666</v>
      </c>
    </row>
    <row r="59" hidden="1">
      <c r="A59" s="5" t="str">
        <f>IFNA(VLOOKUP(D59,'Location Table'!A:C,2,false),"")</f>
        <v>9c279fa4-ef52-11f0-9378-fa163ee8d8ac</v>
      </c>
      <c r="B59" s="5" t="str">
        <f>IFNA(VLOOKUP(F59,Driver!A:C,2,false),"")</f>
        <v>7898dd6c-816d-11f0-9f34-506b8d982279</v>
      </c>
      <c r="C59" s="5" t="str">
        <f>IFNA(VLOOKUP(E59,'Location Table'!A:C,2,false),"")</f>
        <v/>
      </c>
      <c r="D59" s="6" t="s">
        <v>72</v>
      </c>
      <c r="E59" s="6"/>
      <c r="F59" s="6" t="s">
        <v>15</v>
      </c>
      <c r="G59" s="7" t="s">
        <v>873</v>
      </c>
      <c r="H59" s="8" t="str">
        <f>IFNA(VLOOKUP(F59,Driver!A:C,3,false),"")</f>
        <v>011b70c8f4801dde4491</v>
      </c>
      <c r="I59" s="9">
        <v>0.2916666666666667</v>
      </c>
      <c r="J59" s="9">
        <v>0.6666666666666666</v>
      </c>
    </row>
    <row r="60" hidden="1">
      <c r="A60" s="5" t="str">
        <f>IFNA(VLOOKUP(D60,'Location Table'!A:C,2,false),"")</f>
        <v>347d0da0-ed73-11ed-990f-506b8dbc8dfb</v>
      </c>
      <c r="B60" s="5" t="str">
        <f>IFNA(VLOOKUP(F60,Driver!A:C,2,false),"")</f>
        <v>7898dd6c-816d-11f0-9f34-506b8d982279</v>
      </c>
      <c r="C60" s="5" t="str">
        <f>IFNA(VLOOKUP(E60,'Location Table'!A:C,2,false),"")</f>
        <v/>
      </c>
      <c r="D60" s="6" t="s">
        <v>73</v>
      </c>
      <c r="E60" s="6"/>
      <c r="F60" s="6" t="s">
        <v>15</v>
      </c>
      <c r="G60" s="7" t="s">
        <v>873</v>
      </c>
      <c r="H60" s="8" t="str">
        <f>IFNA(VLOOKUP(F60,Driver!A:C,3,false),"")</f>
        <v>011b70c8f4801dde4491</v>
      </c>
      <c r="I60" s="9">
        <v>0.2916666666666667</v>
      </c>
      <c r="J60" s="9">
        <v>0.6666666666666666</v>
      </c>
    </row>
    <row r="61" hidden="1">
      <c r="A61" s="5" t="str">
        <f>IFNA(VLOOKUP(D61,'Location Table'!A:C,2,false),"")</f>
        <v>79fa44ce-87aa-11ef-b366-506b8d9879b5</v>
      </c>
      <c r="B61" s="5" t="str">
        <f>IFNA(VLOOKUP(F61,Driver!A:C,2,false),"")</f>
        <v>7898dd6c-816d-11f0-9f34-506b8d982279</v>
      </c>
      <c r="C61" s="5" t="str">
        <f>IFNA(VLOOKUP(E61,'Location Table'!A:C,2,false),"")</f>
        <v/>
      </c>
      <c r="D61" s="6" t="s">
        <v>74</v>
      </c>
      <c r="E61" s="6"/>
      <c r="F61" s="6" t="s">
        <v>15</v>
      </c>
      <c r="G61" s="7" t="s">
        <v>873</v>
      </c>
      <c r="H61" s="8" t="str">
        <f>IFNA(VLOOKUP(F61,Driver!A:C,3,false),"")</f>
        <v>011b70c8f4801dde4491</v>
      </c>
      <c r="I61" s="9">
        <v>0.2916666666666667</v>
      </c>
      <c r="J61" s="9">
        <v>0.6666666666666666</v>
      </c>
    </row>
    <row r="62" hidden="1">
      <c r="A62" s="5" t="str">
        <f>IFNA(VLOOKUP(D62,'Location Table'!A:C,2,false),"")</f>
        <v>10cc36b6-6a99-11ef-bf04-506b8d9879b5</v>
      </c>
      <c r="B62" s="5" t="str">
        <f>IFNA(VLOOKUP(F62,Driver!A:C,2,false),"")</f>
        <v>7898dd6c-816d-11f0-9f34-506b8d982279</v>
      </c>
      <c r="C62" s="5" t="str">
        <f>IFNA(VLOOKUP(E62,'Location Table'!A:C,2,false),"")</f>
        <v/>
      </c>
      <c r="D62" s="6" t="s">
        <v>75</v>
      </c>
      <c r="E62" s="6"/>
      <c r="F62" s="6" t="s">
        <v>15</v>
      </c>
      <c r="G62" s="7" t="s">
        <v>873</v>
      </c>
      <c r="H62" s="8" t="str">
        <f>IFNA(VLOOKUP(F62,Driver!A:C,3,false),"")</f>
        <v>011b70c8f4801dde4491</v>
      </c>
      <c r="I62" s="9">
        <v>0.2916666666666667</v>
      </c>
      <c r="J62" s="9">
        <v>0.6666666666666666</v>
      </c>
    </row>
    <row r="63" hidden="1">
      <c r="A63" s="5" t="str">
        <f>IFNA(VLOOKUP(D63,'Location Table'!A:C,2,false),"")</f>
        <v>a81a3208-04f9-11ef-b200-506b8d9879b5</v>
      </c>
      <c r="B63" s="5" t="str">
        <f>IFNA(VLOOKUP(F63,Driver!A:C,2,false),"")</f>
        <v>7898dd6c-816d-11f0-9f34-506b8d982279</v>
      </c>
      <c r="C63" s="5" t="str">
        <f>IFNA(VLOOKUP(E63,'Location Table'!A:C,2,false),"")</f>
        <v/>
      </c>
      <c r="D63" s="6" t="s">
        <v>76</v>
      </c>
      <c r="E63" s="6"/>
      <c r="F63" s="6" t="s">
        <v>15</v>
      </c>
      <c r="G63" s="7" t="s">
        <v>873</v>
      </c>
      <c r="H63" s="8" t="str">
        <f>IFNA(VLOOKUP(F63,Driver!A:C,3,false),"")</f>
        <v>011b70c8f4801dde4491</v>
      </c>
      <c r="I63" s="9">
        <v>0.2916666666666667</v>
      </c>
      <c r="J63" s="9">
        <v>0.6666666666666666</v>
      </c>
    </row>
    <row r="64" hidden="1">
      <c r="A64" s="5" t="str">
        <f>IFNA(VLOOKUP(D64,'Location Table'!A:C,2,false),"")</f>
        <v>b7d82b7c-2369-11ee-a7e9-506b8d9879b5</v>
      </c>
      <c r="B64" s="5" t="str">
        <f>IFNA(VLOOKUP(F64,Driver!A:C,2,false),"")</f>
        <v>7898dd6c-816d-11f0-9f34-506b8d982279</v>
      </c>
      <c r="C64" s="5" t="str">
        <f>IFNA(VLOOKUP(E64,'Location Table'!A:C,2,false),"")</f>
        <v/>
      </c>
      <c r="D64" s="6" t="s">
        <v>77</v>
      </c>
      <c r="E64" s="6"/>
      <c r="F64" s="6" t="s">
        <v>15</v>
      </c>
      <c r="G64" s="7" t="s">
        <v>873</v>
      </c>
      <c r="H64" s="8" t="str">
        <f>IFNA(VLOOKUP(F64,Driver!A:C,3,false),"")</f>
        <v>011b70c8f4801dde4491</v>
      </c>
      <c r="I64" s="9">
        <v>0.2916666666666667</v>
      </c>
      <c r="J64" s="9">
        <v>0.6666666666666666</v>
      </c>
    </row>
    <row r="65" hidden="1">
      <c r="A65" s="5" t="str">
        <f>IFNA(VLOOKUP(D65,'Location Table'!A:C,2,false),"")</f>
        <v>ca9e98ca-49fa-11ed-ac5b-506b8dbc8dfb</v>
      </c>
      <c r="B65" s="5" t="str">
        <f>IFNA(VLOOKUP(F65,Driver!A:C,2,false),"")</f>
        <v>7898dd6c-816d-11f0-9f34-506b8d982279</v>
      </c>
      <c r="C65" s="5" t="str">
        <f>IFNA(VLOOKUP(E65,'Location Table'!A:C,2,false),"")</f>
        <v/>
      </c>
      <c r="D65" s="6" t="s">
        <v>78</v>
      </c>
      <c r="E65" s="6"/>
      <c r="F65" s="6" t="s">
        <v>15</v>
      </c>
      <c r="G65" s="7" t="s">
        <v>873</v>
      </c>
      <c r="H65" s="8" t="str">
        <f>IFNA(VLOOKUP(F65,Driver!A:C,3,false),"")</f>
        <v>011b70c8f4801dde4491</v>
      </c>
      <c r="I65" s="9">
        <v>0.2916666666666667</v>
      </c>
      <c r="J65" s="9">
        <v>0.6666666666666666</v>
      </c>
    </row>
    <row r="66" hidden="1">
      <c r="A66" s="5" t="str">
        <f>IFNA(VLOOKUP(D66,'Location Table'!A:C,2,false),"")</f>
        <v>b257dd46-4539-11ed-b6bd-506b8dbc8dfb</v>
      </c>
      <c r="B66" s="5" t="str">
        <f>IFNA(VLOOKUP(F66,Driver!A:C,2,false),"")</f>
        <v>7898dd6c-816d-11f0-9f34-506b8d982279</v>
      </c>
      <c r="C66" s="5" t="str">
        <f>IFNA(VLOOKUP(E66,'Location Table'!A:C,2,false),"")</f>
        <v/>
      </c>
      <c r="D66" s="6" t="s">
        <v>79</v>
      </c>
      <c r="E66" s="6"/>
      <c r="F66" s="6" t="s">
        <v>15</v>
      </c>
      <c r="G66" s="7" t="s">
        <v>873</v>
      </c>
      <c r="H66" s="8" t="str">
        <f>IFNA(VLOOKUP(F66,Driver!A:C,3,false),"")</f>
        <v>011b70c8f4801dde4491</v>
      </c>
      <c r="I66" s="9">
        <v>0.2916666666666667</v>
      </c>
      <c r="J66" s="9">
        <v>0.6666666666666666</v>
      </c>
    </row>
    <row r="67" hidden="1">
      <c r="A67" s="5" t="str">
        <f>IFNA(VLOOKUP(D67,'Location Table'!A:C,2,false),"")</f>
        <v>963d6a82-8c04-11ee-9ac6-506b8d9879b5</v>
      </c>
      <c r="B67" s="5" t="str">
        <f>IFNA(VLOOKUP(F67,Driver!A:C,2,false),"")</f>
        <v>7898dd6c-816d-11f0-9f34-506b8d982279</v>
      </c>
      <c r="C67" s="5" t="str">
        <f>IFNA(VLOOKUP(E67,'Location Table'!A:C,2,false),"")</f>
        <v/>
      </c>
      <c r="D67" s="6" t="s">
        <v>80</v>
      </c>
      <c r="E67" s="6"/>
      <c r="F67" s="6" t="s">
        <v>15</v>
      </c>
      <c r="G67" s="7" t="s">
        <v>873</v>
      </c>
      <c r="H67" s="8" t="str">
        <f>IFNA(VLOOKUP(F67,Driver!A:C,3,false),"")</f>
        <v>011b70c8f4801dde4491</v>
      </c>
      <c r="I67" s="9">
        <v>0.2916666666666667</v>
      </c>
      <c r="J67" s="9">
        <v>0.6666666666666666</v>
      </c>
    </row>
    <row r="68" hidden="1">
      <c r="A68" s="5" t="str">
        <f>IFNA(VLOOKUP(D68,'Location Table'!A:C,2,false),"")</f>
        <v>bd2f05c8-4543-11ed-a63c-506b8dbc8dfb</v>
      </c>
      <c r="B68" s="5" t="str">
        <f>IFNA(VLOOKUP(F68,Driver!A:C,2,false),"")</f>
        <v>7898dd6c-816d-11f0-9f34-506b8d982279</v>
      </c>
      <c r="C68" s="5" t="str">
        <f>IFNA(VLOOKUP(E68,'Location Table'!A:C,2,false),"")</f>
        <v/>
      </c>
      <c r="D68" s="6" t="s">
        <v>81</v>
      </c>
      <c r="E68" s="6"/>
      <c r="F68" s="6" t="s">
        <v>15</v>
      </c>
      <c r="G68" s="7" t="s">
        <v>873</v>
      </c>
      <c r="H68" s="8" t="str">
        <f>IFNA(VLOOKUP(F68,Driver!A:C,3,false),"")</f>
        <v>011b70c8f4801dde4491</v>
      </c>
      <c r="I68" s="9">
        <v>0.2916666666666667</v>
      </c>
      <c r="J68" s="9">
        <v>0.6666666666666666</v>
      </c>
    </row>
    <row r="69" hidden="1">
      <c r="A69" s="5" t="str">
        <f>IFNA(VLOOKUP(D69,'Location Table'!A:C,2,false),"")</f>
        <v>86408c0c-65fd-11f0-825c-506b8d982279</v>
      </c>
      <c r="B69" s="5" t="str">
        <f>IFNA(VLOOKUP(F69,Driver!A:C,2,false),"")</f>
        <v>7898dd6c-816d-11f0-9f34-506b8d982279</v>
      </c>
      <c r="C69" s="5" t="str">
        <f>IFNA(VLOOKUP(E69,'Location Table'!A:C,2,false),"")</f>
        <v/>
      </c>
      <c r="D69" s="6" t="s">
        <v>82</v>
      </c>
      <c r="E69" s="6"/>
      <c r="F69" s="6" t="s">
        <v>15</v>
      </c>
      <c r="G69" s="7" t="s">
        <v>873</v>
      </c>
      <c r="H69" s="8" t="str">
        <f>IFNA(VLOOKUP(F69,Driver!A:C,3,false),"")</f>
        <v>011b70c8f4801dde4491</v>
      </c>
      <c r="I69" s="9">
        <v>0.2916666666666667</v>
      </c>
      <c r="J69" s="9">
        <v>0.6666666666666666</v>
      </c>
    </row>
    <row r="70" hidden="1">
      <c r="A70" s="5" t="str">
        <f>IFNA(VLOOKUP(D70,'Location Table'!A:C,2,false),"")</f>
        <v>9267efae-a5f4-11ee-afb0-506b8d9879b5</v>
      </c>
      <c r="B70" s="5" t="str">
        <f>IFNA(VLOOKUP(F70,Driver!A:C,2,false),"")</f>
        <v>7898dd6c-816d-11f0-9f34-506b8d982279</v>
      </c>
      <c r="C70" s="5" t="str">
        <f>IFNA(VLOOKUP(E70,'Location Table'!A:C,2,false),"")</f>
        <v/>
      </c>
      <c r="D70" s="6" t="s">
        <v>83</v>
      </c>
      <c r="E70" s="6"/>
      <c r="F70" s="6" t="s">
        <v>15</v>
      </c>
      <c r="G70" s="7" t="s">
        <v>873</v>
      </c>
      <c r="H70" s="8" t="str">
        <f>IFNA(VLOOKUP(F70,Driver!A:C,3,false),"")</f>
        <v>011b70c8f4801dde4491</v>
      </c>
      <c r="I70" s="9">
        <v>0.2916666666666667</v>
      </c>
      <c r="J70" s="9">
        <v>0.6666666666666666</v>
      </c>
    </row>
    <row r="71" hidden="1">
      <c r="A71" s="5" t="str">
        <f>IFNA(VLOOKUP(D71,'Location Table'!A:C,2,false),"")</f>
        <v>39104722-4a00-11ed-bd93-506b8dbc8dfb</v>
      </c>
      <c r="B71" s="5" t="str">
        <f>IFNA(VLOOKUP(F71,Driver!A:C,2,false),"")</f>
        <v>7898dd6c-816d-11f0-9f34-506b8d982279</v>
      </c>
      <c r="C71" s="5" t="str">
        <f>IFNA(VLOOKUP(E71,'Location Table'!A:C,2,false),"")</f>
        <v/>
      </c>
      <c r="D71" s="6" t="s">
        <v>84</v>
      </c>
      <c r="E71" s="6"/>
      <c r="F71" s="6" t="s">
        <v>15</v>
      </c>
      <c r="G71" s="7" t="s">
        <v>873</v>
      </c>
      <c r="H71" s="8" t="str">
        <f>IFNA(VLOOKUP(F71,Driver!A:C,3,false),"")</f>
        <v>011b70c8f4801dde4491</v>
      </c>
      <c r="I71" s="9">
        <v>0.2916666666666667</v>
      </c>
      <c r="J71" s="9">
        <v>0.6666666666666666</v>
      </c>
    </row>
    <row r="72" hidden="1">
      <c r="A72" s="5" t="str">
        <f>IFNA(VLOOKUP(D72,'Location Table'!A:C,2,false),"")</f>
        <v>3d7beb2e-8693-11ee-9c82-506b8d9879b5</v>
      </c>
      <c r="B72" s="5" t="str">
        <f>IFNA(VLOOKUP(F72,Driver!A:C,2,false),"")</f>
        <v>7898dd6c-816d-11f0-9f34-506b8d982279</v>
      </c>
      <c r="C72" s="5" t="str">
        <f>IFNA(VLOOKUP(E72,'Location Table'!A:C,2,false),"")</f>
        <v/>
      </c>
      <c r="D72" s="6" t="s">
        <v>85</v>
      </c>
      <c r="E72" s="6"/>
      <c r="F72" s="6" t="s">
        <v>15</v>
      </c>
      <c r="G72" s="7" t="s">
        <v>873</v>
      </c>
      <c r="H72" s="8" t="str">
        <f>IFNA(VLOOKUP(F72,Driver!A:C,3,false),"")</f>
        <v>011b70c8f4801dde4491</v>
      </c>
      <c r="I72" s="9">
        <v>0.2916666666666667</v>
      </c>
      <c r="J72" s="9">
        <v>0.6666666666666666</v>
      </c>
    </row>
    <row r="73" hidden="1">
      <c r="A73" s="5" t="str">
        <f>IFNA(VLOOKUP(D73,'Location Table'!A:C,2,false),"")</f>
        <v>a11159ec-8d7f-11ee-90e4-506b8d9879b5</v>
      </c>
      <c r="B73" s="5" t="str">
        <f>IFNA(VLOOKUP(F73,Driver!A:C,2,false),"")</f>
        <v>7898dd6c-816d-11f0-9f34-506b8d982279</v>
      </c>
      <c r="C73" s="5" t="str">
        <f>IFNA(VLOOKUP(E73,'Location Table'!A:C,2,false),"")</f>
        <v/>
      </c>
      <c r="D73" s="6" t="s">
        <v>86</v>
      </c>
      <c r="E73" s="6"/>
      <c r="F73" s="6" t="s">
        <v>15</v>
      </c>
      <c r="G73" s="7" t="s">
        <v>873</v>
      </c>
      <c r="H73" s="8" t="str">
        <f>IFNA(VLOOKUP(F73,Driver!A:C,3,false),"")</f>
        <v>011b70c8f4801dde4491</v>
      </c>
      <c r="I73" s="9">
        <v>0.2916666666666667</v>
      </c>
      <c r="J73" s="9">
        <v>0.6666666666666666</v>
      </c>
    </row>
    <row r="74">
      <c r="A74" s="5" t="str">
        <f>IFNA(VLOOKUP(D74,'Location Table'!A:C,2,false),"")</f>
        <v>0d4f6c7c-03e3-11f0-91da-506b8d9879b5</v>
      </c>
      <c r="B74" s="5" t="str">
        <f>IFNA(VLOOKUP(F74,Driver!A:C,2,false),"")</f>
        <v/>
      </c>
      <c r="C74" s="5" t="str">
        <f>IFNA(VLOOKUP(E74,'Location Table'!A:C,2,false),"")</f>
        <v/>
      </c>
      <c r="D74" s="6" t="s">
        <v>87</v>
      </c>
      <c r="E74" s="6"/>
      <c r="F74" s="10" t="s">
        <v>875</v>
      </c>
      <c r="G74" s="7" t="s">
        <v>873</v>
      </c>
      <c r="H74" s="8" t="str">
        <f>IFNA(VLOOKUP(F74,Driver!A:C,3,false),"")</f>
        <v/>
      </c>
      <c r="I74" s="9">
        <v>0.2916666666666667</v>
      </c>
      <c r="J74" s="9">
        <v>0.6875</v>
      </c>
    </row>
    <row r="75">
      <c r="A75" s="5" t="str">
        <f>IFNA(VLOOKUP(D75,'Location Table'!A:C,2,false),"")</f>
        <v>6ace5052-a575-11ee-83d6-506b8d9879b5</v>
      </c>
      <c r="B75" s="5" t="str">
        <f>IFNA(VLOOKUP(F75,Driver!A:C,2,false),"")</f>
        <v/>
      </c>
      <c r="C75" s="5" t="str">
        <f>IFNA(VLOOKUP(E75,'Location Table'!A:C,2,false),"")</f>
        <v/>
      </c>
      <c r="D75" s="6" t="s">
        <v>89</v>
      </c>
      <c r="E75" s="6"/>
      <c r="F75" s="10" t="s">
        <v>875</v>
      </c>
      <c r="G75" s="7" t="s">
        <v>873</v>
      </c>
      <c r="H75" s="8" t="str">
        <f>IFNA(VLOOKUP(F75,Driver!A:C,3,false),"")</f>
        <v/>
      </c>
      <c r="I75" s="9">
        <v>0.2916666666666667</v>
      </c>
      <c r="J75" s="9">
        <v>0.6875</v>
      </c>
    </row>
    <row r="76">
      <c r="A76" s="5" t="str">
        <f>IFNA(VLOOKUP(D76,'Location Table'!A:C,2,false),"")</f>
        <v>09a251ea-5edb-11f0-ba30-506b8d982279</v>
      </c>
      <c r="B76" s="5" t="str">
        <f>IFNA(VLOOKUP(F76,Driver!A:C,2,false),"")</f>
        <v/>
      </c>
      <c r="C76" s="5" t="str">
        <f>IFNA(VLOOKUP(E76,'Location Table'!A:C,2,false),"")</f>
        <v/>
      </c>
      <c r="D76" s="6" t="s">
        <v>90</v>
      </c>
      <c r="E76" s="6"/>
      <c r="F76" s="10" t="s">
        <v>875</v>
      </c>
      <c r="G76" s="7" t="s">
        <v>873</v>
      </c>
      <c r="H76" s="8" t="str">
        <f>IFNA(VLOOKUP(F76,Driver!A:C,3,false),"")</f>
        <v/>
      </c>
      <c r="I76" s="9">
        <v>0.2916666666666667</v>
      </c>
      <c r="J76" s="9">
        <v>0.6875</v>
      </c>
    </row>
    <row r="77">
      <c r="A77" s="5" t="str">
        <f>IFNA(VLOOKUP(D77,'Location Table'!A:C,2,false),"")</f>
        <v>d328c92a-582c-11ee-914e-506b8d9879b5</v>
      </c>
      <c r="B77" s="5" t="str">
        <f>IFNA(VLOOKUP(F77,Driver!A:C,2,false),"")</f>
        <v/>
      </c>
      <c r="C77" s="5" t="str">
        <f>IFNA(VLOOKUP(E77,'Location Table'!A:C,2,false),"")</f>
        <v/>
      </c>
      <c r="D77" s="6" t="s">
        <v>91</v>
      </c>
      <c r="E77" s="6"/>
      <c r="F77" s="10" t="s">
        <v>875</v>
      </c>
      <c r="G77" s="7" t="s">
        <v>873</v>
      </c>
      <c r="H77" s="8" t="str">
        <f>IFNA(VLOOKUP(F77,Driver!A:C,3,false),"")</f>
        <v/>
      </c>
      <c r="I77" s="9">
        <v>0.2916666666666667</v>
      </c>
      <c r="J77" s="9">
        <v>0.6875</v>
      </c>
    </row>
    <row r="78">
      <c r="A78" s="5" t="str">
        <f>IFNA(VLOOKUP(D78,'Location Table'!A:C,2,false),"")</f>
        <v>54f02904-31ee-11ee-ad30-506b8d9879b5</v>
      </c>
      <c r="B78" s="5" t="str">
        <f>IFNA(VLOOKUP(F78,Driver!A:C,2,false),"")</f>
        <v/>
      </c>
      <c r="C78" s="5" t="str">
        <f>IFNA(VLOOKUP(E78,'Location Table'!A:C,2,false),"")</f>
        <v/>
      </c>
      <c r="D78" s="6" t="s">
        <v>92</v>
      </c>
      <c r="E78" s="6"/>
      <c r="F78" s="10" t="s">
        <v>875</v>
      </c>
      <c r="G78" s="7" t="s">
        <v>873</v>
      </c>
      <c r="H78" s="8" t="str">
        <f>IFNA(VLOOKUP(F78,Driver!A:C,3,false),"")</f>
        <v/>
      </c>
      <c r="I78" s="9">
        <v>0.2916666666666667</v>
      </c>
      <c r="J78" s="9">
        <v>0.6875</v>
      </c>
    </row>
    <row r="79">
      <c r="A79" s="5" t="str">
        <f>IFNA(VLOOKUP(D79,'Location Table'!A:C,2,false),"")</f>
        <v>483740a6-42d8-11f0-9e1e-506b8d982279</v>
      </c>
      <c r="B79" s="5" t="str">
        <f>IFNA(VLOOKUP(F79,Driver!A:C,2,false),"")</f>
        <v/>
      </c>
      <c r="C79" s="5" t="str">
        <f>IFNA(VLOOKUP(E79,'Location Table'!A:C,2,false),"")</f>
        <v/>
      </c>
      <c r="D79" s="6" t="s">
        <v>93</v>
      </c>
      <c r="E79" s="6"/>
      <c r="F79" s="10" t="s">
        <v>875</v>
      </c>
      <c r="G79" s="7" t="s">
        <v>873</v>
      </c>
      <c r="H79" s="8" t="str">
        <f>IFNA(VLOOKUP(F79,Driver!A:C,3,false),"")</f>
        <v/>
      </c>
      <c r="I79" s="9">
        <v>0.2916666666666667</v>
      </c>
      <c r="J79" s="9">
        <v>0.6875</v>
      </c>
    </row>
    <row r="80">
      <c r="A80" s="5" t="str">
        <f>IFNA(VLOOKUP(D80,'Location Table'!A:C,2,false),"")</f>
        <v>e03f6628-00c3-11f0-9b12-506b8d9879b5</v>
      </c>
      <c r="B80" s="5" t="str">
        <f>IFNA(VLOOKUP(F80,Driver!A:C,2,false),"")</f>
        <v/>
      </c>
      <c r="C80" s="5" t="str">
        <f>IFNA(VLOOKUP(E80,'Location Table'!A:C,2,false),"")</f>
        <v/>
      </c>
      <c r="D80" s="6" t="s">
        <v>95</v>
      </c>
      <c r="E80" s="6"/>
      <c r="F80" s="10" t="s">
        <v>875</v>
      </c>
      <c r="G80" s="7" t="s">
        <v>873</v>
      </c>
      <c r="H80" s="8" t="str">
        <f>IFNA(VLOOKUP(F80,Driver!A:C,3,false),"")</f>
        <v/>
      </c>
      <c r="I80" s="9">
        <v>0.2916666666666667</v>
      </c>
      <c r="J80" s="9">
        <v>0.6875</v>
      </c>
    </row>
    <row r="81">
      <c r="A81" s="5" t="str">
        <f>IFNA(VLOOKUP(D81,'Location Table'!A:C,2,false),"")</f>
        <v>ee64f962-8c06-11ee-aaa7-506b8d9879b5</v>
      </c>
      <c r="B81" s="5" t="str">
        <f>IFNA(VLOOKUP(F81,Driver!A:C,2,false),"")</f>
        <v/>
      </c>
      <c r="C81" s="5" t="str">
        <f>IFNA(VLOOKUP(E81,'Location Table'!A:C,2,false),"")</f>
        <v/>
      </c>
      <c r="D81" s="6" t="s">
        <v>97</v>
      </c>
      <c r="E81" s="6"/>
      <c r="F81" s="10" t="s">
        <v>875</v>
      </c>
      <c r="G81" s="7" t="s">
        <v>873</v>
      </c>
      <c r="H81" s="8" t="str">
        <f>IFNA(VLOOKUP(F81,Driver!A:C,3,false),"")</f>
        <v/>
      </c>
      <c r="I81" s="9">
        <v>0.2916666666666667</v>
      </c>
      <c r="J81" s="9">
        <v>0.6875</v>
      </c>
    </row>
    <row r="82">
      <c r="A82" s="5" t="str">
        <f>IFNA(VLOOKUP(D82,'Location Table'!A:C,2,false),"")</f>
        <v>0122420a-e8ed-11ef-8d33-506b8d9879b5</v>
      </c>
      <c r="B82" s="5" t="str">
        <f>IFNA(VLOOKUP(F82,Driver!A:C,2,false),"")</f>
        <v/>
      </c>
      <c r="C82" s="5" t="str">
        <f>IFNA(VLOOKUP(E82,'Location Table'!A:C,2,false),"")</f>
        <v/>
      </c>
      <c r="D82" s="6" t="s">
        <v>98</v>
      </c>
      <c r="E82" s="6"/>
      <c r="F82" s="10" t="s">
        <v>875</v>
      </c>
      <c r="G82" s="7" t="s">
        <v>873</v>
      </c>
      <c r="H82" s="8" t="str">
        <f>IFNA(VLOOKUP(F82,Driver!A:C,3,false),"")</f>
        <v/>
      </c>
      <c r="I82" s="9">
        <v>0.2916666666666667</v>
      </c>
      <c r="J82" s="9">
        <v>0.6875</v>
      </c>
    </row>
    <row r="83">
      <c r="A83" s="5" t="str">
        <f>IFNA(VLOOKUP(D83,'Location Table'!A:C,2,false),"")</f>
        <v>12689eae-9747-11ee-b1f9-506b8d9879b5</v>
      </c>
      <c r="B83" s="5" t="str">
        <f>IFNA(VLOOKUP(F83,Driver!A:C,2,false),"")</f>
        <v/>
      </c>
      <c r="C83" s="5" t="str">
        <f>IFNA(VLOOKUP(E83,'Location Table'!A:C,2,false),"")</f>
        <v/>
      </c>
      <c r="D83" s="6" t="s">
        <v>99</v>
      </c>
      <c r="E83" s="6"/>
      <c r="F83" s="10" t="s">
        <v>875</v>
      </c>
      <c r="G83" s="7" t="s">
        <v>873</v>
      </c>
      <c r="H83" s="8" t="str">
        <f>IFNA(VLOOKUP(F83,Driver!A:C,3,false),"")</f>
        <v/>
      </c>
      <c r="I83" s="9">
        <v>0.2916666666666667</v>
      </c>
      <c r="J83" s="9">
        <v>0.6875</v>
      </c>
    </row>
    <row r="84">
      <c r="A84" s="5" t="str">
        <f>IFNA(VLOOKUP(D84,'Location Table'!A:C,2,false),"")</f>
        <v>88aab068-7abc-11ee-bf4b-506b8d9879b5</v>
      </c>
      <c r="B84" s="5" t="str">
        <f>IFNA(VLOOKUP(F84,Driver!A:C,2,false),"")</f>
        <v/>
      </c>
      <c r="C84" s="5" t="str">
        <f>IFNA(VLOOKUP(E84,'Location Table'!A:C,2,false),"")</f>
        <v/>
      </c>
      <c r="D84" s="6" t="s">
        <v>100</v>
      </c>
      <c r="E84" s="6"/>
      <c r="F84" s="10" t="s">
        <v>875</v>
      </c>
      <c r="G84" s="7" t="s">
        <v>873</v>
      </c>
      <c r="H84" s="8" t="str">
        <f>IFNA(VLOOKUP(F84,Driver!A:C,3,false),"")</f>
        <v/>
      </c>
      <c r="I84" s="9">
        <v>0.2916666666666667</v>
      </c>
      <c r="J84" s="9">
        <v>0.6875</v>
      </c>
    </row>
    <row r="85">
      <c r="A85" s="5" t="str">
        <f>IFNA(VLOOKUP(D85,'Location Table'!A:C,2,false),"")</f>
        <v>816c5ca4-466c-11ee-b7bb-506b8d9879b5</v>
      </c>
      <c r="B85" s="5" t="str">
        <f>IFNA(VLOOKUP(F85,Driver!A:C,2,false),"")</f>
        <v/>
      </c>
      <c r="C85" s="5" t="str">
        <f>IFNA(VLOOKUP(E85,'Location Table'!A:C,2,false),"")</f>
        <v/>
      </c>
      <c r="D85" s="6" t="s">
        <v>101</v>
      </c>
      <c r="E85" s="6"/>
      <c r="F85" s="10" t="s">
        <v>875</v>
      </c>
      <c r="G85" s="7" t="s">
        <v>873</v>
      </c>
      <c r="H85" s="8" t="str">
        <f>IFNA(VLOOKUP(F85,Driver!A:C,3,false),"")</f>
        <v/>
      </c>
      <c r="I85" s="9">
        <v>0.2916666666666667</v>
      </c>
      <c r="J85" s="9">
        <v>0.6875</v>
      </c>
    </row>
    <row r="86">
      <c r="A86" s="5" t="str">
        <f>IFNA(VLOOKUP(D86,'Location Table'!A:C,2,false),"")</f>
        <v>17cc53dc-ed78-11ed-967c-506b8dbc8dfb</v>
      </c>
      <c r="B86" s="5" t="str">
        <f>IFNA(VLOOKUP(F86,Driver!A:C,2,false),"")</f>
        <v/>
      </c>
      <c r="C86" s="5" t="str">
        <f>IFNA(VLOOKUP(E86,'Location Table'!A:C,2,false),"")</f>
        <v/>
      </c>
      <c r="D86" s="6" t="s">
        <v>102</v>
      </c>
      <c r="E86" s="6"/>
      <c r="F86" s="10" t="s">
        <v>875</v>
      </c>
      <c r="G86" s="7" t="s">
        <v>873</v>
      </c>
      <c r="H86" s="8" t="str">
        <f>IFNA(VLOOKUP(F86,Driver!A:C,3,false),"")</f>
        <v/>
      </c>
      <c r="I86" s="9">
        <v>0.2916666666666667</v>
      </c>
      <c r="J86" s="9">
        <v>0.6875</v>
      </c>
    </row>
    <row r="87" hidden="1">
      <c r="A87" s="5" t="str">
        <f>IFNA(VLOOKUP(D87,'Location Table'!A:C,2,false),"")</f>
        <v>616a6542-55bf-11ee-8279-506b8d9879b5</v>
      </c>
      <c r="B87" s="5" t="str">
        <f>IFNA(VLOOKUP(F87,Driver!A:C,2,false),"")</f>
        <v>ee94ca62-729f-11f0-8cd5-506b8d982279</v>
      </c>
      <c r="C87" s="5" t="str">
        <f>IFNA(VLOOKUP(E87,'Location Table'!A:C,2,false),"")</f>
        <v/>
      </c>
      <c r="D87" s="6" t="s">
        <v>103</v>
      </c>
      <c r="E87" s="6"/>
      <c r="F87" s="6" t="s">
        <v>104</v>
      </c>
      <c r="G87" s="7" t="s">
        <v>873</v>
      </c>
      <c r="H87" s="8" t="str">
        <f>IFNA(VLOOKUP(F87,Driver!A:C,3,false),"")</f>
        <v>f4d2e910814c6812315d</v>
      </c>
      <c r="I87" s="9">
        <v>0.2916666666666667</v>
      </c>
      <c r="J87" s="9">
        <v>0.6875</v>
      </c>
    </row>
    <row r="88">
      <c r="A88" s="5" t="str">
        <f>IFNA(VLOOKUP(D88,'Location Table'!A:C,2,false),"")</f>
        <v>8a9db336-9ebc-11f0-ae49-506b8d982279</v>
      </c>
      <c r="B88" s="5" t="str">
        <f>IFNA(VLOOKUP(F88,Driver!A:C,2,false),"")</f>
        <v/>
      </c>
      <c r="C88" s="5" t="str">
        <f>IFNA(VLOOKUP(E88,'Location Table'!A:C,2,false),"")</f>
        <v/>
      </c>
      <c r="D88" s="6" t="s">
        <v>105</v>
      </c>
      <c r="E88" s="6"/>
      <c r="F88" s="10" t="s">
        <v>875</v>
      </c>
      <c r="G88" s="7" t="s">
        <v>873</v>
      </c>
      <c r="H88" s="8" t="str">
        <f>IFNA(VLOOKUP(F88,Driver!A:C,3,false),"")</f>
        <v/>
      </c>
      <c r="I88" s="9">
        <v>0.2916666666666667</v>
      </c>
      <c r="J88" s="9">
        <v>0.6875</v>
      </c>
    </row>
    <row r="89">
      <c r="A89" s="5" t="str">
        <f>IFNA(VLOOKUP(D89,'Location Table'!A:C,2,false),"")</f>
        <v>0b4579c2-06be-11ee-8510-506b8dbc8dfb</v>
      </c>
      <c r="B89" s="5" t="str">
        <f>IFNA(VLOOKUP(F89,Driver!A:C,2,false),"")</f>
        <v/>
      </c>
      <c r="C89" s="5" t="str">
        <f>IFNA(VLOOKUP(E89,'Location Table'!A:C,2,false),"")</f>
        <v/>
      </c>
      <c r="D89" s="6" t="s">
        <v>106</v>
      </c>
      <c r="E89" s="6"/>
      <c r="F89" s="10" t="s">
        <v>875</v>
      </c>
      <c r="G89" s="7" t="s">
        <v>873</v>
      </c>
      <c r="H89" s="8" t="str">
        <f>IFNA(VLOOKUP(F89,Driver!A:C,3,false),"")</f>
        <v/>
      </c>
      <c r="I89" s="9">
        <v>0.2916666666666667</v>
      </c>
      <c r="J89" s="9">
        <v>0.6875</v>
      </c>
    </row>
    <row r="90">
      <c r="A90" s="5" t="str">
        <f>IFNA(VLOOKUP(D90,'Location Table'!A:C,2,false),"")</f>
        <v>e3a57076-1d4b-11ee-a7b2-506b8d9879b5</v>
      </c>
      <c r="B90" s="5" t="str">
        <f>IFNA(VLOOKUP(F90,Driver!A:C,2,false),"")</f>
        <v/>
      </c>
      <c r="C90" s="5" t="str">
        <f>IFNA(VLOOKUP(E90,'Location Table'!A:C,2,false),"")</f>
        <v/>
      </c>
      <c r="D90" s="6" t="s">
        <v>107</v>
      </c>
      <c r="E90" s="6"/>
      <c r="F90" s="10" t="s">
        <v>875</v>
      </c>
      <c r="G90" s="7" t="s">
        <v>873</v>
      </c>
      <c r="H90" s="8" t="str">
        <f>IFNA(VLOOKUP(F90,Driver!A:C,3,false),"")</f>
        <v/>
      </c>
      <c r="I90" s="9">
        <v>0.2916666666666667</v>
      </c>
      <c r="J90" s="9">
        <v>0.6875</v>
      </c>
    </row>
    <row r="91">
      <c r="A91" s="5" t="str">
        <f>IFNA(VLOOKUP(D91,'Location Table'!A:C,2,false),"")</f>
        <v>17d9c24c-3012-11ee-ba36-506b8d9879b5</v>
      </c>
      <c r="B91" s="5" t="str">
        <f>IFNA(VLOOKUP(F91,Driver!A:C,2,false),"")</f>
        <v/>
      </c>
      <c r="C91" s="5" t="str">
        <f>IFNA(VLOOKUP(E91,'Location Table'!A:C,2,false),"")</f>
        <v/>
      </c>
      <c r="D91" s="6" t="s">
        <v>108</v>
      </c>
      <c r="E91" s="6"/>
      <c r="F91" s="10" t="s">
        <v>875</v>
      </c>
      <c r="G91" s="7" t="s">
        <v>873</v>
      </c>
      <c r="H91" s="8" t="str">
        <f>IFNA(VLOOKUP(F91,Driver!A:C,3,false),"")</f>
        <v/>
      </c>
      <c r="I91" s="9">
        <v>0.2916666666666667</v>
      </c>
      <c r="J91" s="9">
        <v>0.6875</v>
      </c>
    </row>
    <row r="92" hidden="1">
      <c r="A92" s="5" t="str">
        <f>IFNA(VLOOKUP(D92,'Location Table'!A:C,2,false),"")</f>
        <v>d36ee302-7b0d-11ee-8eac-506b8d9879b5</v>
      </c>
      <c r="B92" s="5" t="str">
        <f>IFNA(VLOOKUP(F92,Driver!A:C,2,false),"")</f>
        <v>232be490-35a4-11ed-88b7-506b8dbc8dfb</v>
      </c>
      <c r="C92" s="5" t="str">
        <f>IFNA(VLOOKUP(E92,'Location Table'!A:C,2,false),"")</f>
        <v/>
      </c>
      <c r="D92" s="6" t="s">
        <v>109</v>
      </c>
      <c r="E92" s="6"/>
      <c r="F92" s="10" t="s">
        <v>110</v>
      </c>
      <c r="G92" s="7" t="s">
        <v>873</v>
      </c>
      <c r="H92" s="8" t="str">
        <f>IFNA(VLOOKUP(F92,Driver!A:C,3,false),"")</f>
        <v>d9fc37dd4093a9cdf082</v>
      </c>
      <c r="I92" s="9">
        <v>0.2916666666666667</v>
      </c>
      <c r="J92" s="9">
        <v>0.6875</v>
      </c>
    </row>
    <row r="93" hidden="1">
      <c r="A93" s="5" t="str">
        <f>IFNA(VLOOKUP(D93,'Location Table'!A:C,2,false),"")</f>
        <v>3a464870-9af0-11ee-9c0c-506b8d9879b5</v>
      </c>
      <c r="B93" s="5" t="str">
        <f>IFNA(VLOOKUP(F93,Driver!A:C,2,false),"")</f>
        <v>f3cef536-7671-11f0-84d2-506b8d982279</v>
      </c>
      <c r="C93" s="5" t="str">
        <f>IFNA(VLOOKUP(E93,'Location Table'!A:C,2,false),"")</f>
        <v/>
      </c>
      <c r="D93" s="6" t="s">
        <v>111</v>
      </c>
      <c r="E93" s="6"/>
      <c r="F93" s="6" t="s">
        <v>112</v>
      </c>
      <c r="G93" s="7" t="s">
        <v>873</v>
      </c>
      <c r="H93" s="8" t="str">
        <f>IFNA(VLOOKUP(F93,Driver!A:C,3,false),"")</f>
        <v/>
      </c>
      <c r="I93" s="9">
        <v>0.2916666666666667</v>
      </c>
      <c r="J93" s="9">
        <v>0.6875</v>
      </c>
    </row>
    <row r="94">
      <c r="A94" s="5" t="str">
        <f>IFNA(VLOOKUP(D94,'Location Table'!A:C,2,false),"")</f>
        <v>a81ad386-1513-11f0-bef8-506b8d982279</v>
      </c>
      <c r="B94" s="5" t="str">
        <f>IFNA(VLOOKUP(F94,Driver!A:C,2,false),"")</f>
        <v/>
      </c>
      <c r="C94" s="5" t="str">
        <f>IFNA(VLOOKUP(E94,'Location Table'!A:C,2,false),"")</f>
        <v/>
      </c>
      <c r="D94" s="6" t="s">
        <v>113</v>
      </c>
      <c r="E94" s="6"/>
      <c r="F94" s="10" t="s">
        <v>875</v>
      </c>
      <c r="G94" s="7" t="s">
        <v>873</v>
      </c>
      <c r="H94" s="8" t="str">
        <f>IFNA(VLOOKUP(F94,Driver!A:C,3,false),"")</f>
        <v/>
      </c>
      <c r="I94" s="9">
        <v>0.2916666666666667</v>
      </c>
      <c r="J94" s="9">
        <v>0.6875</v>
      </c>
    </row>
    <row r="95">
      <c r="A95" s="5" t="str">
        <f>IFNA(VLOOKUP(D95,'Location Table'!A:C,2,false),"")</f>
        <v>bb1d17a2-f55f-11ee-97e3-506b8d9879b5</v>
      </c>
      <c r="B95" s="5" t="str">
        <f>IFNA(VLOOKUP(F95,Driver!A:C,2,false),"")</f>
        <v/>
      </c>
      <c r="C95" s="5" t="str">
        <f>IFNA(VLOOKUP(E95,'Location Table'!A:C,2,false),"")</f>
        <v/>
      </c>
      <c r="D95" s="6" t="s">
        <v>114</v>
      </c>
      <c r="E95" s="6"/>
      <c r="F95" s="10" t="s">
        <v>875</v>
      </c>
      <c r="G95" s="7" t="s">
        <v>873</v>
      </c>
      <c r="H95" s="8" t="str">
        <f>IFNA(VLOOKUP(F95,Driver!A:C,3,false),"")</f>
        <v/>
      </c>
      <c r="I95" s="9">
        <v>0.2916666666666667</v>
      </c>
      <c r="J95" s="9">
        <v>0.6875</v>
      </c>
    </row>
    <row r="96" hidden="1">
      <c r="A96" s="5" t="str">
        <f>IFNA(VLOOKUP(D96,'Location Table'!A:C,2,false),"")</f>
        <v>8ab1f2b4-258d-11ef-b80a-506b8d9879b5</v>
      </c>
      <c r="B96" s="5" t="str">
        <f>IFNA(VLOOKUP(F96,Driver!A:C,2,false),"")</f>
        <v>51b847ba-37cd-11ed-a5f6-506b8dbc8dfb</v>
      </c>
      <c r="C96" s="5" t="str">
        <f>IFNA(VLOOKUP(E96,'Location Table'!A:C,2,false),"")</f>
        <v/>
      </c>
      <c r="D96" s="6" t="s">
        <v>115</v>
      </c>
      <c r="E96" s="6"/>
      <c r="F96" s="6" t="s">
        <v>94</v>
      </c>
      <c r="G96" s="7" t="s">
        <v>873</v>
      </c>
      <c r="H96" s="8" t="str">
        <f>IFNA(VLOOKUP(F96,Driver!A:C,3,false),"")</f>
        <v>3d1fec9027dcce8297cd</v>
      </c>
      <c r="I96" s="9">
        <v>0.2916666666666667</v>
      </c>
      <c r="J96" s="9">
        <v>0.6875</v>
      </c>
    </row>
    <row r="97">
      <c r="A97" s="5" t="str">
        <f>IFNA(VLOOKUP(D97,'Location Table'!A:C,2,false),"")</f>
        <v>6d7bd3da-27a0-11ef-bc8c-506b8d9879b5</v>
      </c>
      <c r="B97" s="5" t="str">
        <f>IFNA(VLOOKUP(F97,Driver!A:C,2,false),"")</f>
        <v/>
      </c>
      <c r="C97" s="5" t="str">
        <f>IFNA(VLOOKUP(E97,'Location Table'!A:C,2,false),"")</f>
        <v/>
      </c>
      <c r="D97" s="6" t="s">
        <v>116</v>
      </c>
      <c r="E97" s="6"/>
      <c r="F97" s="10" t="s">
        <v>875</v>
      </c>
      <c r="G97" s="7" t="s">
        <v>873</v>
      </c>
      <c r="H97" s="8" t="str">
        <f>IFNA(VLOOKUP(F97,Driver!A:C,3,false),"")</f>
        <v/>
      </c>
      <c r="I97" s="9">
        <v>0.2916666666666667</v>
      </c>
      <c r="J97" s="9">
        <v>0.6875</v>
      </c>
    </row>
    <row r="98">
      <c r="A98" s="5" t="str">
        <f>IFNA(VLOOKUP(D98,'Location Table'!A:C,2,false),"")</f>
        <v>d856507a-1cad-11ef-8762-506b8d9879b5</v>
      </c>
      <c r="B98" s="5" t="str">
        <f>IFNA(VLOOKUP(F98,Driver!A:C,2,false),"")</f>
        <v/>
      </c>
      <c r="C98" s="5" t="str">
        <f>IFNA(VLOOKUP(E98,'Location Table'!A:C,2,false),"")</f>
        <v/>
      </c>
      <c r="D98" s="6" t="s">
        <v>117</v>
      </c>
      <c r="E98" s="6"/>
      <c r="F98" s="10" t="s">
        <v>875</v>
      </c>
      <c r="G98" s="7" t="s">
        <v>873</v>
      </c>
      <c r="H98" s="8" t="str">
        <f>IFNA(VLOOKUP(F98,Driver!A:C,3,false),"")</f>
        <v/>
      </c>
      <c r="I98" s="9">
        <v>0.2916666666666667</v>
      </c>
      <c r="J98" s="9">
        <v>0.6875</v>
      </c>
    </row>
    <row r="99">
      <c r="A99" s="5" t="str">
        <f>IFNA(VLOOKUP(D99,'Location Table'!A:C,2,false),"")</f>
        <v>c0b8b0b6-248c-11ef-87be-506b8d9879b5</v>
      </c>
      <c r="B99" s="5" t="str">
        <f>IFNA(VLOOKUP(F99,Driver!A:C,2,false),"")</f>
        <v/>
      </c>
      <c r="C99" s="5" t="str">
        <f>IFNA(VLOOKUP(E99,'Location Table'!A:C,2,false),"")</f>
        <v/>
      </c>
      <c r="D99" s="6" t="s">
        <v>118</v>
      </c>
      <c r="E99" s="6"/>
      <c r="F99" s="10" t="s">
        <v>875</v>
      </c>
      <c r="G99" s="7" t="s">
        <v>873</v>
      </c>
      <c r="H99" s="8" t="str">
        <f>IFNA(VLOOKUP(F99,Driver!A:C,3,false),"")</f>
        <v/>
      </c>
      <c r="I99" s="9">
        <v>0.2916666666666667</v>
      </c>
      <c r="J99" s="9">
        <v>0.6875</v>
      </c>
    </row>
    <row r="100">
      <c r="A100" s="5" t="str">
        <f>IFNA(VLOOKUP(D100,'Location Table'!A:C,2,false),"")</f>
        <v>f8781c90-7580-11ef-964d-506b8d9879b5</v>
      </c>
      <c r="B100" s="5" t="str">
        <f>IFNA(VLOOKUP(F100,Driver!A:C,2,false),"")</f>
        <v/>
      </c>
      <c r="C100" s="5" t="str">
        <f>IFNA(VLOOKUP(E100,'Location Table'!A:C,2,false),"")</f>
        <v/>
      </c>
      <c r="D100" s="6" t="s">
        <v>119</v>
      </c>
      <c r="E100" s="6"/>
      <c r="F100" s="10" t="s">
        <v>875</v>
      </c>
      <c r="G100" s="7" t="s">
        <v>873</v>
      </c>
      <c r="H100" s="8" t="str">
        <f>IFNA(VLOOKUP(F100,Driver!A:C,3,false),"")</f>
        <v/>
      </c>
      <c r="I100" s="9">
        <v>0.2916666666666667</v>
      </c>
      <c r="J100" s="9">
        <v>0.6875</v>
      </c>
    </row>
    <row r="101">
      <c r="A101" s="5" t="str">
        <f>IFNA(VLOOKUP(D101,'Location Table'!A:C,2,false),"")</f>
        <v>3cf31c56-e0e6-11ee-a911-506b8d9879b5</v>
      </c>
      <c r="B101" s="5" t="str">
        <f>IFNA(VLOOKUP(F101,Driver!A:C,2,false),"")</f>
        <v/>
      </c>
      <c r="C101" s="5" t="str">
        <f>IFNA(VLOOKUP(E101,'Location Table'!A:C,2,false),"")</f>
        <v/>
      </c>
      <c r="D101" s="6" t="s">
        <v>120</v>
      </c>
      <c r="E101" s="6"/>
      <c r="F101" s="10" t="s">
        <v>875</v>
      </c>
      <c r="G101" s="7" t="s">
        <v>873</v>
      </c>
      <c r="H101" s="8" t="str">
        <f>IFNA(VLOOKUP(F101,Driver!A:C,3,false),"")</f>
        <v/>
      </c>
      <c r="I101" s="9">
        <v>0.2916666666666667</v>
      </c>
      <c r="J101" s="9">
        <v>0.6875</v>
      </c>
    </row>
    <row r="102">
      <c r="A102" s="5" t="str">
        <f>IFNA(VLOOKUP(D102,'Location Table'!A:C,2,false),"")</f>
        <v>61c50a76-8f78-11ef-bc55-506b8d9879b5</v>
      </c>
      <c r="B102" s="5" t="str">
        <f>IFNA(VLOOKUP(F102,Driver!A:C,2,false),"")</f>
        <v/>
      </c>
      <c r="C102" s="5" t="str">
        <f>IFNA(VLOOKUP(E102,'Location Table'!A:C,2,false),"")</f>
        <v/>
      </c>
      <c r="D102" s="6" t="s">
        <v>121</v>
      </c>
      <c r="E102" s="6"/>
      <c r="F102" s="10" t="s">
        <v>875</v>
      </c>
      <c r="G102" s="7" t="s">
        <v>873</v>
      </c>
      <c r="H102" s="8" t="str">
        <f>IFNA(VLOOKUP(F102,Driver!A:C,3,false),"")</f>
        <v/>
      </c>
      <c r="I102" s="9">
        <v>0.2916666666666667</v>
      </c>
      <c r="J102" s="9">
        <v>0.6875</v>
      </c>
    </row>
    <row r="103">
      <c r="A103" s="5" t="str">
        <f>IFNA(VLOOKUP(D103,'Location Table'!A:C,2,false),"")</f>
        <v>5e35af64-380d-11ee-92f9-506b8d9879b5</v>
      </c>
      <c r="B103" s="5" t="str">
        <f>IFNA(VLOOKUP(F103,Driver!A:C,2,false),"")</f>
        <v/>
      </c>
      <c r="C103" s="5" t="str">
        <f>IFNA(VLOOKUP(E103,'Location Table'!A:C,2,false),"")</f>
        <v/>
      </c>
      <c r="D103" s="6" t="s">
        <v>122</v>
      </c>
      <c r="E103" s="6"/>
      <c r="F103" s="10" t="s">
        <v>875</v>
      </c>
      <c r="G103" s="7" t="s">
        <v>873</v>
      </c>
      <c r="H103" s="8" t="str">
        <f>IFNA(VLOOKUP(F103,Driver!A:C,3,false),"")</f>
        <v/>
      </c>
      <c r="I103" s="9">
        <v>0.2916666666666667</v>
      </c>
      <c r="J103" s="9">
        <v>0.6875</v>
      </c>
    </row>
    <row r="104">
      <c r="A104" s="5" t="str">
        <f>IFNA(VLOOKUP(D104,'Location Table'!A:C,2,false),"")</f>
        <v>a0f06ff8-4626-11ed-913e-506b8dbc8dfb</v>
      </c>
      <c r="B104" s="5" t="str">
        <f>IFNA(VLOOKUP(F104,Driver!A:C,2,false),"")</f>
        <v/>
      </c>
      <c r="C104" s="5" t="str">
        <f>IFNA(VLOOKUP(E104,'Location Table'!A:C,2,false),"")</f>
        <v/>
      </c>
      <c r="D104" s="6" t="s">
        <v>123</v>
      </c>
      <c r="E104" s="6"/>
      <c r="F104" s="10" t="s">
        <v>875</v>
      </c>
      <c r="G104" s="7" t="s">
        <v>873</v>
      </c>
      <c r="H104" s="8" t="str">
        <f>IFNA(VLOOKUP(F104,Driver!A:C,3,false),"")</f>
        <v/>
      </c>
      <c r="I104" s="9">
        <v>0.2916666666666667</v>
      </c>
      <c r="J104" s="9">
        <v>0.6875</v>
      </c>
    </row>
    <row r="105">
      <c r="A105" s="5" t="str">
        <f>IFNA(VLOOKUP(D105,'Location Table'!A:C,2,false),"")</f>
        <v>e6d1a2b4-56c6-11ef-a12a-506b8d9879b5</v>
      </c>
      <c r="B105" s="5" t="str">
        <f>IFNA(VLOOKUP(F105,Driver!A:C,2,false),"")</f>
        <v/>
      </c>
      <c r="C105" s="5" t="str">
        <f>IFNA(VLOOKUP(E105,'Location Table'!A:C,2,false),"")</f>
        <v/>
      </c>
      <c r="D105" s="6" t="s">
        <v>124</v>
      </c>
      <c r="E105" s="6"/>
      <c r="F105" s="10" t="s">
        <v>875</v>
      </c>
      <c r="G105" s="7" t="s">
        <v>873</v>
      </c>
      <c r="H105" s="8" t="str">
        <f>IFNA(VLOOKUP(F105,Driver!A:C,3,false),"")</f>
        <v/>
      </c>
      <c r="I105" s="9">
        <v>0.2916666666666667</v>
      </c>
      <c r="J105" s="9">
        <v>0.6875</v>
      </c>
    </row>
    <row r="106">
      <c r="A106" s="5" t="str">
        <f>IFNA(VLOOKUP(D106,'Location Table'!A:C,2,false),"")</f>
        <v>eb68666c-a592-11ef-b072-506b8d9879b5</v>
      </c>
      <c r="B106" s="5" t="str">
        <f>IFNA(VLOOKUP(F106,Driver!A:C,2,false),"")</f>
        <v/>
      </c>
      <c r="C106" s="5" t="str">
        <f>IFNA(VLOOKUP(E106,'Location Table'!A:C,2,false),"")</f>
        <v/>
      </c>
      <c r="D106" s="6" t="s">
        <v>125</v>
      </c>
      <c r="E106" s="6"/>
      <c r="F106" s="10" t="s">
        <v>875</v>
      </c>
      <c r="G106" s="7" t="s">
        <v>873</v>
      </c>
      <c r="H106" s="8" t="str">
        <f>IFNA(VLOOKUP(F106,Driver!A:C,3,false),"")</f>
        <v/>
      </c>
      <c r="I106" s="9">
        <v>0.2916666666666667</v>
      </c>
      <c r="J106" s="9">
        <v>0.6875</v>
      </c>
    </row>
    <row r="107" hidden="1">
      <c r="A107" s="5" t="str">
        <f>IFNA(VLOOKUP(D107,'Location Table'!A:C,2,false),"")</f>
        <v>fe316052-950f-11ef-8282-506b8d9879b5</v>
      </c>
      <c r="B107" s="5" t="str">
        <f>IFNA(VLOOKUP(F107,Driver!A:C,2,false),"")</f>
        <v>51b847ba-37cd-11ed-a5f6-506b8dbc8dfb</v>
      </c>
      <c r="C107" s="5" t="str">
        <f>IFNA(VLOOKUP(E107,'Location Table'!A:C,2,false),"")</f>
        <v/>
      </c>
      <c r="D107" s="6" t="s">
        <v>126</v>
      </c>
      <c r="E107" s="6"/>
      <c r="F107" s="6" t="s">
        <v>94</v>
      </c>
      <c r="G107" s="7" t="s">
        <v>873</v>
      </c>
      <c r="H107" s="8" t="str">
        <f>IFNA(VLOOKUP(F107,Driver!A:C,3,false),"")</f>
        <v>3d1fec9027dcce8297cd</v>
      </c>
      <c r="I107" s="9">
        <v>0.2916666666666667</v>
      </c>
      <c r="J107" s="9">
        <v>0.6875</v>
      </c>
    </row>
    <row r="108" hidden="1">
      <c r="A108" s="5" t="str">
        <f>IFNA(VLOOKUP(D108,'Location Table'!A:C,2,false),"")</f>
        <v>3a5b86ac-91b9-11ef-a7dc-506b8d9879b5</v>
      </c>
      <c r="B108" s="5" t="str">
        <f>IFNA(VLOOKUP(F108,Driver!A:C,2,false),"")</f>
        <v>a01fefe6-3653-11ed-8128-506b8dbc8dfb</v>
      </c>
      <c r="C108" s="5" t="str">
        <f>IFNA(VLOOKUP(E108,'Location Table'!A:C,2,false),"")</f>
        <v/>
      </c>
      <c r="D108" s="6" t="s">
        <v>127</v>
      </c>
      <c r="E108" s="6"/>
      <c r="F108" s="6" t="s">
        <v>128</v>
      </c>
      <c r="G108" s="7" t="s">
        <v>873</v>
      </c>
      <c r="H108" s="8" t="str">
        <f>IFNA(VLOOKUP(F108,Driver!A:C,3,false),"")</f>
        <v/>
      </c>
      <c r="I108" s="9">
        <v>0.2916666666666667</v>
      </c>
      <c r="J108" s="9">
        <v>0.6875</v>
      </c>
    </row>
    <row r="109" hidden="1">
      <c r="A109" s="5" t="str">
        <f>IFNA(VLOOKUP(D109,'Location Table'!A:C,2,false),"")</f>
        <v/>
      </c>
      <c r="B109" s="5" t="str">
        <f>IFNA(VLOOKUP(F109,Driver!A:C,2,false),"")</f>
        <v>103090f4-37c8-11ed-9333-506b8dbc8dfb</v>
      </c>
      <c r="C109" s="5" t="str">
        <f>IFNA(VLOOKUP(E109,'Location Table'!A:C,2,false),"")</f>
        <v/>
      </c>
      <c r="D109" s="6" t="s">
        <v>876</v>
      </c>
      <c r="E109" s="6"/>
      <c r="F109" s="6" t="s">
        <v>130</v>
      </c>
      <c r="G109" s="7" t="s">
        <v>873</v>
      </c>
      <c r="H109" s="8" t="str">
        <f>IFNA(VLOOKUP(F109,Driver!A:C,3,false),"")</f>
        <v>77085b30147bfd25a46a</v>
      </c>
      <c r="I109" s="9">
        <v>0.2916666666666667</v>
      </c>
      <c r="J109" s="9">
        <v>0.8125</v>
      </c>
    </row>
    <row r="110" hidden="1">
      <c r="A110" s="5" t="str">
        <f>IFNA(VLOOKUP(D110,'Location Table'!A:C,2,false),"")</f>
        <v>e6f43818-1f31-11f0-81af-506b8d982279</v>
      </c>
      <c r="B110" s="5" t="str">
        <f>IFNA(VLOOKUP(F110,Driver!A:C,2,false),"")</f>
        <v>a51713c2-37c4-11ed-a4e6-506b8dbc8dfb</v>
      </c>
      <c r="C110" s="5" t="str">
        <f>IFNA(VLOOKUP(E110,'Location Table'!A:C,2,false),"")</f>
        <v/>
      </c>
      <c r="D110" s="6" t="s">
        <v>131</v>
      </c>
      <c r="E110" s="6"/>
      <c r="F110" s="6" t="s">
        <v>132</v>
      </c>
      <c r="G110" s="7" t="s">
        <v>873</v>
      </c>
      <c r="H110" s="8" t="str">
        <f>IFNA(VLOOKUP(F110,Driver!A:C,3,false),"")</f>
        <v>e24e6f345362ba3ce373</v>
      </c>
      <c r="I110" s="9">
        <v>0.2916666666666667</v>
      </c>
      <c r="J110" s="9">
        <v>0.5</v>
      </c>
    </row>
    <row r="111">
      <c r="A111" s="5" t="str">
        <f>IFNA(VLOOKUP(D111,'Location Table'!A:C,2,false),"")</f>
        <v>ebe315f8-79a2-11f0-ba44-506b8d982279</v>
      </c>
      <c r="B111" s="5" t="str">
        <f>IFNA(VLOOKUP(F111,Driver!A:C,2,false),"")</f>
        <v/>
      </c>
      <c r="C111" s="5" t="str">
        <f>IFNA(VLOOKUP(E111,'Location Table'!A:C,2,false),"")</f>
        <v/>
      </c>
      <c r="D111" s="6" t="s">
        <v>133</v>
      </c>
      <c r="E111" s="6"/>
      <c r="F111" s="10" t="s">
        <v>875</v>
      </c>
      <c r="G111" s="7" t="s">
        <v>873</v>
      </c>
      <c r="H111" s="8" t="str">
        <f>IFNA(VLOOKUP(F111,Driver!A:C,3,false),"")</f>
        <v/>
      </c>
      <c r="I111" s="9">
        <v>0.2916666666666667</v>
      </c>
      <c r="J111" s="9">
        <v>0.6875</v>
      </c>
    </row>
    <row r="112">
      <c r="A112" s="5" t="str">
        <f>IFNA(VLOOKUP(D112,'Location Table'!A:C,2,false),"")</f>
        <v>cb81ff40-cf79-11f0-ae64-506b8d982279</v>
      </c>
      <c r="B112" s="5" t="str">
        <f>IFNA(VLOOKUP(F112,Driver!A:C,2,false),"")</f>
        <v/>
      </c>
      <c r="C112" s="5" t="str">
        <f>IFNA(VLOOKUP(E112,'Location Table'!A:C,2,false),"")</f>
        <v/>
      </c>
      <c r="D112" s="6" t="s">
        <v>134</v>
      </c>
      <c r="E112" s="6"/>
      <c r="F112" s="10" t="s">
        <v>875</v>
      </c>
      <c r="G112" s="7" t="s">
        <v>873</v>
      </c>
      <c r="H112" s="8" t="str">
        <f>IFNA(VLOOKUP(F112,Driver!A:C,3,false),"")</f>
        <v/>
      </c>
      <c r="I112" s="9">
        <v>0.2916666666666667</v>
      </c>
      <c r="J112" s="9">
        <v>0.6875</v>
      </c>
    </row>
    <row r="113">
      <c r="A113" s="5" t="str">
        <f>IFNA(VLOOKUP(D113,'Location Table'!A:C,2,false),"")</f>
        <v>f255c942-4473-11ed-9f83-506b8dbc8dfb</v>
      </c>
      <c r="B113" s="5" t="str">
        <f>IFNA(VLOOKUP(F113,Driver!A:C,2,false),"")</f>
        <v/>
      </c>
      <c r="C113" s="5" t="str">
        <f>IFNA(VLOOKUP(E113,'Location Table'!A:C,2,false),"")</f>
        <v/>
      </c>
      <c r="D113" s="6" t="s">
        <v>135</v>
      </c>
      <c r="E113" s="6"/>
      <c r="F113" s="10" t="s">
        <v>875</v>
      </c>
      <c r="G113" s="7" t="s">
        <v>873</v>
      </c>
      <c r="H113" s="8" t="str">
        <f>IFNA(VLOOKUP(F113,Driver!A:C,3,false),"")</f>
        <v/>
      </c>
      <c r="I113" s="9">
        <v>0.2916666666666667</v>
      </c>
      <c r="J113" s="9">
        <v>0.6875</v>
      </c>
    </row>
    <row r="114">
      <c r="A114" s="5" t="str">
        <f>IFNA(VLOOKUP(D114,'Location Table'!A:C,2,false),"")</f>
        <v>4ea75656-11c0-11ee-8562-506b8dbc8dfb</v>
      </c>
      <c r="B114" s="5" t="str">
        <f>IFNA(VLOOKUP(F114,Driver!A:C,2,false),"")</f>
        <v/>
      </c>
      <c r="C114" s="5" t="str">
        <f>IFNA(VLOOKUP(E114,'Location Table'!A:C,2,false),"")</f>
        <v/>
      </c>
      <c r="D114" s="6" t="s">
        <v>136</v>
      </c>
      <c r="E114" s="6"/>
      <c r="F114" s="10" t="s">
        <v>875</v>
      </c>
      <c r="G114" s="7" t="s">
        <v>873</v>
      </c>
      <c r="H114" s="8" t="str">
        <f>IFNA(VLOOKUP(F114,Driver!A:C,3,false),"")</f>
        <v/>
      </c>
      <c r="I114" s="9">
        <v>0.2916666666666667</v>
      </c>
      <c r="J114" s="9">
        <v>0.6875</v>
      </c>
    </row>
    <row r="115">
      <c r="A115" s="5" t="str">
        <f>IFNA(VLOOKUP(D115,'Location Table'!A:C,2,false),"")</f>
        <v>74412442-0b75-11ee-b2f4-506b8dbc8dfb</v>
      </c>
      <c r="B115" s="5" t="str">
        <f>IFNA(VLOOKUP(F115,Driver!A:C,2,false),"")</f>
        <v/>
      </c>
      <c r="C115" s="5" t="str">
        <f>IFNA(VLOOKUP(E115,'Location Table'!A:C,2,false),"")</f>
        <v/>
      </c>
      <c r="D115" s="6" t="s">
        <v>137</v>
      </c>
      <c r="E115" s="6"/>
      <c r="F115" s="10" t="s">
        <v>875</v>
      </c>
      <c r="G115" s="7" t="s">
        <v>873</v>
      </c>
      <c r="H115" s="8" t="str">
        <f>IFNA(VLOOKUP(F115,Driver!A:C,3,false),"")</f>
        <v/>
      </c>
      <c r="I115" s="9">
        <v>0.2916666666666667</v>
      </c>
      <c r="J115" s="9">
        <v>0.6875</v>
      </c>
    </row>
    <row r="116">
      <c r="A116" s="5" t="str">
        <f>IFNA(VLOOKUP(D116,'Location Table'!A:C,2,false),"")</f>
        <v>839d5112-8bff-11ee-bbac-506b8d9879b5</v>
      </c>
      <c r="B116" s="5" t="str">
        <f>IFNA(VLOOKUP(F116,Driver!A:C,2,false),"")</f>
        <v/>
      </c>
      <c r="C116" s="5" t="str">
        <f>IFNA(VLOOKUP(E116,'Location Table'!A:C,2,false),"")</f>
        <v/>
      </c>
      <c r="D116" s="6" t="s">
        <v>138</v>
      </c>
      <c r="E116" s="6"/>
      <c r="F116" s="10" t="s">
        <v>875</v>
      </c>
      <c r="G116" s="7" t="s">
        <v>873</v>
      </c>
      <c r="H116" s="8" t="str">
        <f>IFNA(VLOOKUP(F116,Driver!A:C,3,false),"")</f>
        <v/>
      </c>
      <c r="I116" s="9">
        <v>0.2916666666666667</v>
      </c>
      <c r="J116" s="9">
        <v>0.6875</v>
      </c>
    </row>
    <row r="117">
      <c r="A117" s="5" t="str">
        <f>IFNA(VLOOKUP(D117,'Location Table'!A:C,2,false),"")</f>
        <v>44b4b038-2ca6-11ef-b9dd-506b8d9879b5</v>
      </c>
      <c r="B117" s="5" t="str">
        <f>IFNA(VLOOKUP(F117,Driver!A:C,2,false),"")</f>
        <v/>
      </c>
      <c r="C117" s="5" t="str">
        <f>IFNA(VLOOKUP(E117,'Location Table'!A:C,2,false),"")</f>
        <v/>
      </c>
      <c r="D117" s="6" t="s">
        <v>139</v>
      </c>
      <c r="E117" s="6"/>
      <c r="F117" s="10" t="s">
        <v>875</v>
      </c>
      <c r="G117" s="7" t="s">
        <v>873</v>
      </c>
      <c r="H117" s="8" t="str">
        <f>IFNA(VLOOKUP(F117,Driver!A:C,3,false),"")</f>
        <v/>
      </c>
      <c r="I117" s="9">
        <v>0.2916666666666667</v>
      </c>
      <c r="J117" s="9">
        <v>0.6875</v>
      </c>
    </row>
    <row r="118">
      <c r="A118" s="5" t="str">
        <f>IFNA(VLOOKUP(D118,'Location Table'!A:C,2,false),"")</f>
        <v>0edfdc38-8346-11f0-a9c6-506b8d982279</v>
      </c>
      <c r="B118" s="5" t="str">
        <f>IFNA(VLOOKUP(F118,Driver!A:C,2,false),"")</f>
        <v/>
      </c>
      <c r="C118" s="5" t="str">
        <f>IFNA(VLOOKUP(E118,'Location Table'!A:C,2,false),"")</f>
        <v/>
      </c>
      <c r="D118" s="6" t="s">
        <v>140</v>
      </c>
      <c r="E118" s="6"/>
      <c r="F118" s="10" t="s">
        <v>875</v>
      </c>
      <c r="G118" s="7" t="s">
        <v>873</v>
      </c>
      <c r="H118" s="8" t="str">
        <f>IFNA(VLOOKUP(F118,Driver!A:C,3,false),"")</f>
        <v/>
      </c>
      <c r="I118" s="9">
        <v>0.2916666666666667</v>
      </c>
      <c r="J118" s="9">
        <v>0.6875</v>
      </c>
    </row>
    <row r="119" hidden="1">
      <c r="A119" s="5" t="str">
        <f>IFNA(VLOOKUP(D119,'Location Table'!A:C,2,false),"")</f>
        <v>2898c1f0-4620-11ed-a0dd-506b8dbc8dfb</v>
      </c>
      <c r="B119" s="5" t="str">
        <f>IFNA(VLOOKUP(F119,Driver!A:C,2,false),"")</f>
        <v>a9bf91b4-00e4-11f1-9378-fa163ee8d8ac</v>
      </c>
      <c r="C119" s="5" t="str">
        <f>IFNA(VLOOKUP(E119,'Location Table'!A:C,2,false),"")</f>
        <v/>
      </c>
      <c r="D119" s="6" t="s">
        <v>141</v>
      </c>
      <c r="E119" s="6"/>
      <c r="F119" s="6" t="s">
        <v>142</v>
      </c>
      <c r="G119" s="7" t="s">
        <v>873</v>
      </c>
      <c r="H119" s="8" t="str">
        <f>IFNA(VLOOKUP(F119,Driver!A:C,3,false),"")</f>
        <v/>
      </c>
      <c r="I119" s="9">
        <v>0.2916666666666667</v>
      </c>
      <c r="J119" s="9">
        <v>0.6041666666666666</v>
      </c>
    </row>
    <row r="120">
      <c r="A120" s="5" t="str">
        <f>IFNA(VLOOKUP(D120,'Location Table'!A:C,2,false),"")</f>
        <v>92ee6dfe-8f78-11ef-a014-506b8d9879b5</v>
      </c>
      <c r="B120" s="5" t="str">
        <f>IFNA(VLOOKUP(F120,Driver!A:C,2,false),"")</f>
        <v/>
      </c>
      <c r="C120" s="5" t="str">
        <f>IFNA(VLOOKUP(E120,'Location Table'!A:C,2,false),"")</f>
        <v/>
      </c>
      <c r="D120" s="6" t="s">
        <v>143</v>
      </c>
      <c r="E120" s="6"/>
      <c r="F120" s="10" t="s">
        <v>875</v>
      </c>
      <c r="G120" s="7" t="s">
        <v>873</v>
      </c>
      <c r="H120" s="8" t="str">
        <f>IFNA(VLOOKUP(F120,Driver!A:C,3,false),"")</f>
        <v/>
      </c>
      <c r="I120" s="9">
        <v>0.2916666666666667</v>
      </c>
      <c r="J120" s="9">
        <v>0.6875</v>
      </c>
    </row>
    <row r="121">
      <c r="A121" s="5" t="str">
        <f>IFNA(VLOOKUP(D121,'Location Table'!A:C,2,false),"")</f>
        <v>311a9ec8-4bf6-11f0-a1cc-506b8d982279</v>
      </c>
      <c r="B121" s="5" t="str">
        <f>IFNA(VLOOKUP(F121,Driver!A:C,2,false),"")</f>
        <v/>
      </c>
      <c r="C121" s="5" t="str">
        <f>IFNA(VLOOKUP(E121,'Location Table'!A:C,2,false),"")</f>
        <v/>
      </c>
      <c r="D121" s="6" t="s">
        <v>144</v>
      </c>
      <c r="E121" s="6"/>
      <c r="F121" s="10" t="s">
        <v>875</v>
      </c>
      <c r="G121" s="7" t="s">
        <v>873</v>
      </c>
      <c r="H121" s="8" t="str">
        <f>IFNA(VLOOKUP(F121,Driver!A:C,3,false),"")</f>
        <v/>
      </c>
      <c r="I121" s="9">
        <v>0.2916666666666667</v>
      </c>
      <c r="J121" s="9">
        <v>0.6875</v>
      </c>
    </row>
    <row r="122">
      <c r="A122" s="5" t="str">
        <f>IFNA(VLOOKUP(D122,'Location Table'!A:C,2,false),"")</f>
        <v>87e34800-4621-11ed-8bd3-506b8dbc8dfb</v>
      </c>
      <c r="B122" s="5" t="str">
        <f>IFNA(VLOOKUP(F122,Driver!A:C,2,false),"")</f>
        <v/>
      </c>
      <c r="C122" s="5" t="str">
        <f>IFNA(VLOOKUP(E122,'Location Table'!A:C,2,false),"")</f>
        <v/>
      </c>
      <c r="D122" s="6" t="s">
        <v>145</v>
      </c>
      <c r="E122" s="6"/>
      <c r="F122" s="10" t="s">
        <v>875</v>
      </c>
      <c r="G122" s="7" t="s">
        <v>873</v>
      </c>
      <c r="H122" s="8" t="str">
        <f>IFNA(VLOOKUP(F122,Driver!A:C,3,false),"")</f>
        <v/>
      </c>
      <c r="I122" s="9">
        <v>0.2916666666666667</v>
      </c>
      <c r="J122" s="9">
        <v>0.6875</v>
      </c>
    </row>
    <row r="123">
      <c r="A123" s="5" t="str">
        <f>IFNA(VLOOKUP(D123,'Location Table'!A:C,2,false),"")</f>
        <v>619c943a-4621-11ed-a633-506b8dbc8dfb</v>
      </c>
      <c r="B123" s="5" t="str">
        <f>IFNA(VLOOKUP(F123,Driver!A:C,2,false),"")</f>
        <v/>
      </c>
      <c r="C123" s="5" t="str">
        <f>IFNA(VLOOKUP(E123,'Location Table'!A:C,2,false),"")</f>
        <v/>
      </c>
      <c r="D123" s="6" t="s">
        <v>146</v>
      </c>
      <c r="E123" s="6"/>
      <c r="F123" s="10" t="s">
        <v>875</v>
      </c>
      <c r="G123" s="7" t="s">
        <v>873</v>
      </c>
      <c r="H123" s="8" t="str">
        <f>IFNA(VLOOKUP(F123,Driver!A:C,3,false),"")</f>
        <v/>
      </c>
      <c r="I123" s="9">
        <v>0.2916666666666667</v>
      </c>
      <c r="J123" s="9">
        <v>0.6875</v>
      </c>
    </row>
    <row r="124">
      <c r="A124" s="5" t="str">
        <f>IFNA(VLOOKUP(D124,'Location Table'!A:C,2,false),"")</f>
        <v>6173b692-9421-11ee-8e63-506b8d9879b5</v>
      </c>
      <c r="B124" s="5" t="str">
        <f>IFNA(VLOOKUP(F124,Driver!A:C,2,false),"")</f>
        <v/>
      </c>
      <c r="C124" s="5" t="str">
        <f>IFNA(VLOOKUP(E124,'Location Table'!A:C,2,false),"")</f>
        <v/>
      </c>
      <c r="D124" s="6" t="s">
        <v>147</v>
      </c>
      <c r="E124" s="6"/>
      <c r="F124" s="10" t="s">
        <v>875</v>
      </c>
      <c r="G124" s="7" t="s">
        <v>873</v>
      </c>
      <c r="H124" s="8" t="str">
        <f>IFNA(VLOOKUP(F124,Driver!A:C,3,false),"")</f>
        <v/>
      </c>
      <c r="I124" s="9">
        <v>0.2916666666666667</v>
      </c>
      <c r="J124" s="9">
        <v>0.6875</v>
      </c>
    </row>
    <row r="125">
      <c r="A125" s="5" t="str">
        <f>IFNA(VLOOKUP(D125,'Location Table'!A:C,2,false),"")</f>
        <v>771aedca-4621-11ed-9b84-506b8dbc8dfb</v>
      </c>
      <c r="B125" s="5" t="str">
        <f>IFNA(VLOOKUP(F125,Driver!A:C,2,false),"")</f>
        <v/>
      </c>
      <c r="C125" s="5" t="str">
        <f>IFNA(VLOOKUP(E125,'Location Table'!A:C,2,false),"")</f>
        <v/>
      </c>
      <c r="D125" s="6" t="s">
        <v>148</v>
      </c>
      <c r="E125" s="6"/>
      <c r="F125" s="10" t="s">
        <v>875</v>
      </c>
      <c r="G125" s="7" t="s">
        <v>873</v>
      </c>
      <c r="H125" s="8" t="str">
        <f>IFNA(VLOOKUP(F125,Driver!A:C,3,false),"")</f>
        <v/>
      </c>
      <c r="I125" s="9">
        <v>0.2916666666666667</v>
      </c>
      <c r="J125" s="9">
        <v>0.6875</v>
      </c>
    </row>
    <row r="126">
      <c r="A126" s="5" t="str">
        <f>IFNA(VLOOKUP(D126,'Location Table'!A:C,2,false),"")</f>
        <v>5572588a-4fb5-11ef-a663-506b8d9879b5</v>
      </c>
      <c r="B126" s="5" t="str">
        <f>IFNA(VLOOKUP(F126,Driver!A:C,2,false),"")</f>
        <v/>
      </c>
      <c r="C126" s="5" t="str">
        <f>IFNA(VLOOKUP(E126,'Location Table'!A:C,2,false),"")</f>
        <v/>
      </c>
      <c r="D126" s="6" t="s">
        <v>149</v>
      </c>
      <c r="E126" s="6"/>
      <c r="F126" s="10" t="s">
        <v>875</v>
      </c>
      <c r="G126" s="7" t="s">
        <v>873</v>
      </c>
      <c r="H126" s="8" t="str">
        <f>IFNA(VLOOKUP(F126,Driver!A:C,3,false),"")</f>
        <v/>
      </c>
      <c r="I126" s="9">
        <v>0.2916666666666667</v>
      </c>
      <c r="J126" s="9">
        <v>0.6875</v>
      </c>
    </row>
    <row r="127">
      <c r="A127" s="5" t="str">
        <f>IFNA(VLOOKUP(D127,'Location Table'!A:C,2,false),"")</f>
        <v>f26c8e60-8b27-11ee-b474-506b8d9879b5</v>
      </c>
      <c r="B127" s="5" t="str">
        <f>IFNA(VLOOKUP(F127,Driver!A:C,2,false),"")</f>
        <v/>
      </c>
      <c r="C127" s="5" t="str">
        <f>IFNA(VLOOKUP(E127,'Location Table'!A:C,2,false),"")</f>
        <v/>
      </c>
      <c r="D127" s="6" t="s">
        <v>150</v>
      </c>
      <c r="E127" s="6"/>
      <c r="F127" s="10" t="s">
        <v>875</v>
      </c>
      <c r="G127" s="7" t="s">
        <v>873</v>
      </c>
      <c r="H127" s="8" t="str">
        <f>IFNA(VLOOKUP(F127,Driver!A:C,3,false),"")</f>
        <v/>
      </c>
      <c r="I127" s="9">
        <v>0.2916666666666667</v>
      </c>
      <c r="J127" s="9">
        <v>0.6875</v>
      </c>
    </row>
    <row r="128">
      <c r="A128" s="5" t="str">
        <f>IFNA(VLOOKUP(D128,'Location Table'!A:C,2,false),"")</f>
        <v>1a92d838-9959-11ee-b37b-506b8d9879b5</v>
      </c>
      <c r="B128" s="5" t="str">
        <f>IFNA(VLOOKUP(F128,Driver!A:C,2,false),"")</f>
        <v/>
      </c>
      <c r="C128" s="5" t="str">
        <f>IFNA(VLOOKUP(E128,'Location Table'!A:C,2,false),"")</f>
        <v/>
      </c>
      <c r="D128" s="6" t="s">
        <v>151</v>
      </c>
      <c r="E128" s="6"/>
      <c r="F128" s="10" t="s">
        <v>875</v>
      </c>
      <c r="G128" s="7" t="s">
        <v>873</v>
      </c>
      <c r="H128" s="8" t="str">
        <f>IFNA(VLOOKUP(F128,Driver!A:C,3,false),"")</f>
        <v/>
      </c>
      <c r="I128" s="9">
        <v>0.2916666666666667</v>
      </c>
      <c r="J128" s="9">
        <v>0.6875</v>
      </c>
    </row>
    <row r="129" hidden="1">
      <c r="A129" s="5" t="str">
        <f>IFNA(VLOOKUP(D129,'Location Table'!A:C,2,false),"")</f>
        <v>79fa44ce-87aa-11ef-b366-506b8d9879b5</v>
      </c>
      <c r="B129" s="5" t="str">
        <f>IFNA(VLOOKUP(F129,Driver!A:C,2,false),"")</f>
        <v>7898dd6c-816d-11f0-9f34-506b8d982279</v>
      </c>
      <c r="C129" s="5" t="str">
        <f>IFNA(VLOOKUP(E129,'Location Table'!A:C,2,false),"")</f>
        <v/>
      </c>
      <c r="D129" s="6" t="s">
        <v>74</v>
      </c>
      <c r="E129" s="6"/>
      <c r="F129" s="6" t="s">
        <v>15</v>
      </c>
      <c r="G129" s="7" t="s">
        <v>873</v>
      </c>
      <c r="H129" s="8" t="str">
        <f>IFNA(VLOOKUP(F129,Driver!A:C,3,false),"")</f>
        <v>011b70c8f4801dde4491</v>
      </c>
      <c r="I129" s="9">
        <v>0.2916666666666667</v>
      </c>
      <c r="J129" s="9">
        <v>0.6875</v>
      </c>
    </row>
    <row r="130" hidden="1">
      <c r="A130" s="5" t="str">
        <f>IFNA(VLOOKUP(D130,'Location Table'!A:C,2,false),"")</f>
        <v>10cc36b6-6a99-11ef-bf04-506b8d9879b5</v>
      </c>
      <c r="B130" s="5" t="str">
        <f>IFNA(VLOOKUP(F130,Driver!A:C,2,false),"")</f>
        <v>7898dd6c-816d-11f0-9f34-506b8d982279</v>
      </c>
      <c r="C130" s="5" t="str">
        <f>IFNA(VLOOKUP(E130,'Location Table'!A:C,2,false),"")</f>
        <v/>
      </c>
      <c r="D130" s="6" t="s">
        <v>75</v>
      </c>
      <c r="E130" s="6"/>
      <c r="F130" s="6" t="s">
        <v>15</v>
      </c>
      <c r="G130" s="7" t="s">
        <v>873</v>
      </c>
      <c r="H130" s="8" t="str">
        <f>IFNA(VLOOKUP(F130,Driver!A:C,3,false),"")</f>
        <v>011b70c8f4801dde4491</v>
      </c>
      <c r="I130" s="9">
        <v>0.2916666666666667</v>
      </c>
      <c r="J130" s="9">
        <v>0.6875</v>
      </c>
    </row>
    <row r="131">
      <c r="A131" s="5" t="str">
        <f>IFNA(VLOOKUP(D131,'Location Table'!A:C,2,false),"")</f>
        <v>ffef10f0-90ed-11ee-8f8f-506b8d9879b5</v>
      </c>
      <c r="B131" s="5" t="str">
        <f>IFNA(VLOOKUP(F131,Driver!A:C,2,false),"")</f>
        <v/>
      </c>
      <c r="C131" s="5" t="str">
        <f>IFNA(VLOOKUP(E131,'Location Table'!A:C,2,false),"")</f>
        <v/>
      </c>
      <c r="D131" s="6" t="s">
        <v>152</v>
      </c>
      <c r="E131" s="6"/>
      <c r="F131" s="10" t="s">
        <v>875</v>
      </c>
      <c r="G131" s="7" t="s">
        <v>873</v>
      </c>
      <c r="H131" s="8" t="str">
        <f>IFNA(VLOOKUP(F131,Driver!A:C,3,false),"")</f>
        <v/>
      </c>
      <c r="I131" s="9">
        <v>0.2916666666666667</v>
      </c>
      <c r="J131" s="9">
        <v>0.6875</v>
      </c>
    </row>
    <row r="132">
      <c r="A132" s="5" t="str">
        <f>IFNA(VLOOKUP(D132,'Location Table'!A:C,2,false),"")</f>
        <v>611f696c-17c0-11ee-8d73-506b8d9879b5</v>
      </c>
      <c r="B132" s="5" t="str">
        <f>IFNA(VLOOKUP(F132,Driver!A:C,2,false),"")</f>
        <v/>
      </c>
      <c r="C132" s="5" t="str">
        <f>IFNA(VLOOKUP(E132,'Location Table'!A:C,2,false),"")</f>
        <v/>
      </c>
      <c r="D132" s="6" t="s">
        <v>153</v>
      </c>
      <c r="E132" s="6"/>
      <c r="F132" s="10" t="s">
        <v>875</v>
      </c>
      <c r="G132" s="7" t="s">
        <v>873</v>
      </c>
      <c r="H132" s="8" t="str">
        <f>IFNA(VLOOKUP(F132,Driver!A:C,3,false),"")</f>
        <v/>
      </c>
      <c r="I132" s="9">
        <v>0.2916666666666667</v>
      </c>
      <c r="J132" s="9">
        <v>0.6875</v>
      </c>
    </row>
    <row r="133">
      <c r="A133" s="5" t="str">
        <f>IFNA(VLOOKUP(D133,'Location Table'!A:C,2,false),"")</f>
        <v>3f09fff4-a555-11ee-9113-506b8d9879b5</v>
      </c>
      <c r="B133" s="5" t="str">
        <f>IFNA(VLOOKUP(F133,Driver!A:C,2,false),"")</f>
        <v/>
      </c>
      <c r="C133" s="5" t="str">
        <f>IFNA(VLOOKUP(E133,'Location Table'!A:C,2,false),"")</f>
        <v/>
      </c>
      <c r="D133" s="6" t="s">
        <v>154</v>
      </c>
      <c r="E133" s="6"/>
      <c r="F133" s="10" t="s">
        <v>875</v>
      </c>
      <c r="G133" s="7" t="s">
        <v>873</v>
      </c>
      <c r="H133" s="8" t="str">
        <f>IFNA(VLOOKUP(F133,Driver!A:C,3,false),"")</f>
        <v/>
      </c>
      <c r="I133" s="9">
        <v>0.2916666666666667</v>
      </c>
      <c r="J133" s="9">
        <v>0.6875</v>
      </c>
    </row>
    <row r="134">
      <c r="A134" s="5" t="str">
        <f>IFNA(VLOOKUP(D134,'Location Table'!A:C,2,false),"")</f>
        <v>8d89004c-665a-11ee-99cd-506b8d9879b5</v>
      </c>
      <c r="B134" s="5" t="str">
        <f>IFNA(VLOOKUP(F134,Driver!A:C,2,false),"")</f>
        <v/>
      </c>
      <c r="C134" s="5" t="str">
        <f>IFNA(VLOOKUP(E134,'Location Table'!A:C,2,false),"")</f>
        <v/>
      </c>
      <c r="D134" s="6" t="s">
        <v>155</v>
      </c>
      <c r="E134" s="6"/>
      <c r="F134" s="10" t="s">
        <v>875</v>
      </c>
      <c r="G134" s="7" t="s">
        <v>873</v>
      </c>
      <c r="H134" s="8" t="str">
        <f>IFNA(VLOOKUP(F134,Driver!A:C,3,false),"")</f>
        <v/>
      </c>
      <c r="I134" s="9">
        <v>0.2916666666666667</v>
      </c>
      <c r="J134" s="9">
        <v>0.6875</v>
      </c>
    </row>
    <row r="135">
      <c r="A135" s="5" t="str">
        <f>IFNA(VLOOKUP(D135,'Location Table'!A:C,2,false),"")</f>
        <v>3f0c5bb6-4b17-11ee-8b8e-506b8d9879b5</v>
      </c>
      <c r="B135" s="5" t="str">
        <f>IFNA(VLOOKUP(F135,Driver!A:C,2,false),"")</f>
        <v/>
      </c>
      <c r="C135" s="5" t="str">
        <f>IFNA(VLOOKUP(E135,'Location Table'!A:C,2,false),"")</f>
        <v/>
      </c>
      <c r="D135" s="6" t="s">
        <v>156</v>
      </c>
      <c r="E135" s="6"/>
      <c r="F135" s="10" t="s">
        <v>875</v>
      </c>
      <c r="G135" s="7" t="s">
        <v>873</v>
      </c>
      <c r="H135" s="8" t="str">
        <f>IFNA(VLOOKUP(F135,Driver!A:C,3,false),"")</f>
        <v/>
      </c>
      <c r="I135" s="9">
        <v>0.2916666666666667</v>
      </c>
      <c r="J135" s="9">
        <v>0.6875</v>
      </c>
    </row>
    <row r="136">
      <c r="A136" s="5" t="str">
        <f>IFNA(VLOOKUP(D136,'Location Table'!A:C,2,false),"")</f>
        <v>7a3b43a4-4a01-11ed-90e7-506b8dbc8dfb</v>
      </c>
      <c r="B136" s="5" t="str">
        <f>IFNA(VLOOKUP(F136,Driver!A:C,2,false),"")</f>
        <v/>
      </c>
      <c r="C136" s="5" t="str">
        <f>IFNA(VLOOKUP(E136,'Location Table'!A:C,2,false),"")</f>
        <v/>
      </c>
      <c r="D136" s="6" t="s">
        <v>157</v>
      </c>
      <c r="E136" s="6"/>
      <c r="F136" s="10" t="s">
        <v>875</v>
      </c>
      <c r="G136" s="7" t="s">
        <v>873</v>
      </c>
      <c r="H136" s="8" t="str">
        <f>IFNA(VLOOKUP(F136,Driver!A:C,3,false),"")</f>
        <v/>
      </c>
      <c r="I136" s="9">
        <v>0.2916666666666667</v>
      </c>
      <c r="J136" s="9">
        <v>0.6875</v>
      </c>
    </row>
    <row r="137" hidden="1">
      <c r="A137" s="5" t="str">
        <f>IFNA(VLOOKUP(D137,'Location Table'!A:C,2,false),"")</f>
        <v>a66000e2-5b3e-11ee-9f53-506b8d9879b5</v>
      </c>
      <c r="B137" s="5" t="str">
        <f>IFNA(VLOOKUP(F137,Driver!A:C,2,false),"")</f>
        <v>103090f4-37c8-11ed-9333-506b8dbc8dfb</v>
      </c>
      <c r="C137" s="5" t="str">
        <f>IFNA(VLOOKUP(E137,'Location Table'!A:C,2,false),"")</f>
        <v/>
      </c>
      <c r="D137" s="6" t="s">
        <v>158</v>
      </c>
      <c r="E137" s="6"/>
      <c r="F137" s="6" t="s">
        <v>130</v>
      </c>
      <c r="G137" s="7" t="s">
        <v>873</v>
      </c>
      <c r="H137" s="8" t="str">
        <f>IFNA(VLOOKUP(F137,Driver!A:C,3,false),"")</f>
        <v>77085b30147bfd25a46a</v>
      </c>
      <c r="I137" s="9">
        <v>0.2916666666666667</v>
      </c>
      <c r="J137" s="9">
        <v>0.8541666666666666</v>
      </c>
    </row>
    <row r="138" hidden="1">
      <c r="A138" s="5" t="str">
        <f>IFNA(VLOOKUP(D138,'Location Table'!A:C,2,false),"")</f>
        <v>bb407480-a12d-11ee-8943-506b8d9879b5</v>
      </c>
      <c r="B138" s="5" t="str">
        <f>IFNA(VLOOKUP(F138,Driver!A:C,2,false),"")</f>
        <v>103090f4-37c8-11ed-9333-506b8dbc8dfb</v>
      </c>
      <c r="C138" s="5" t="str">
        <f>IFNA(VLOOKUP(E138,'Location Table'!A:C,2,false),"")</f>
        <v/>
      </c>
      <c r="D138" s="6" t="s">
        <v>159</v>
      </c>
      <c r="E138" s="6"/>
      <c r="F138" s="6" t="s">
        <v>130</v>
      </c>
      <c r="G138" s="7" t="s">
        <v>873</v>
      </c>
      <c r="H138" s="8" t="str">
        <f>IFNA(VLOOKUP(F138,Driver!A:C,3,false),"")</f>
        <v>77085b30147bfd25a46a</v>
      </c>
      <c r="I138" s="9">
        <v>0.2916666666666667</v>
      </c>
      <c r="J138" s="9">
        <v>0.8541666666666666</v>
      </c>
    </row>
    <row r="139" hidden="1">
      <c r="A139" s="5" t="str">
        <f>IFNA(VLOOKUP(D139,'Location Table'!A:C,2,false),"")</f>
        <v>c3cce6a2-1626-11ee-a49d-506b8dbc8dfb</v>
      </c>
      <c r="B139" s="5" t="str">
        <f>IFNA(VLOOKUP(F139,Driver!A:C,2,false),"")</f>
        <v>103090f4-37c8-11ed-9333-506b8dbc8dfb</v>
      </c>
      <c r="C139" s="5" t="str">
        <f>IFNA(VLOOKUP(E139,'Location Table'!A:C,2,false),"")</f>
        <v/>
      </c>
      <c r="D139" s="6" t="s">
        <v>160</v>
      </c>
      <c r="E139" s="6"/>
      <c r="F139" s="6" t="s">
        <v>130</v>
      </c>
      <c r="G139" s="7" t="s">
        <v>873</v>
      </c>
      <c r="H139" s="8" t="str">
        <f>IFNA(VLOOKUP(F139,Driver!A:C,3,false),"")</f>
        <v>77085b30147bfd25a46a</v>
      </c>
      <c r="I139" s="9">
        <v>0.2916666666666667</v>
      </c>
      <c r="J139" s="9">
        <v>0.8541666666666666</v>
      </c>
    </row>
    <row r="140" hidden="1">
      <c r="A140" s="5" t="str">
        <f>IFNA(VLOOKUP(D140,'Location Table'!A:C,2,false),"")</f>
        <v>e891cc4c-0cb6-11ee-817a-506b8dbc8dfb</v>
      </c>
      <c r="B140" s="5" t="str">
        <f>IFNA(VLOOKUP(F140,Driver!A:C,2,false),"")</f>
        <v>103090f4-37c8-11ed-9333-506b8dbc8dfb</v>
      </c>
      <c r="C140" s="5" t="str">
        <f>IFNA(VLOOKUP(E140,'Location Table'!A:C,2,false),"")</f>
        <v/>
      </c>
      <c r="D140" s="6" t="s">
        <v>161</v>
      </c>
      <c r="E140" s="6"/>
      <c r="F140" s="6" t="s">
        <v>130</v>
      </c>
      <c r="G140" s="7" t="s">
        <v>873</v>
      </c>
      <c r="H140" s="8" t="str">
        <f>IFNA(VLOOKUP(F140,Driver!A:C,3,false),"")</f>
        <v>77085b30147bfd25a46a</v>
      </c>
      <c r="I140" s="9">
        <v>0.2916666666666667</v>
      </c>
      <c r="J140" s="9">
        <v>0.8541666666666666</v>
      </c>
    </row>
    <row r="141" hidden="1">
      <c r="A141" s="5" t="str">
        <f>IFNA(VLOOKUP(D141,'Location Table'!A:C,2,false),"")</f>
        <v>5f516146-4491-11ee-b228-506b8d9879b5</v>
      </c>
      <c r="B141" s="5" t="str">
        <f>IFNA(VLOOKUP(F141,Driver!A:C,2,false),"")</f>
        <v>103090f4-37c8-11ed-9333-506b8dbc8dfb</v>
      </c>
      <c r="C141" s="5" t="str">
        <f>IFNA(VLOOKUP(E141,'Location Table'!A:C,2,false),"")</f>
        <v/>
      </c>
      <c r="D141" s="6" t="s">
        <v>162</v>
      </c>
      <c r="E141" s="6"/>
      <c r="F141" s="6" t="s">
        <v>130</v>
      </c>
      <c r="G141" s="7" t="s">
        <v>873</v>
      </c>
      <c r="H141" s="8" t="str">
        <f>IFNA(VLOOKUP(F141,Driver!A:C,3,false),"")</f>
        <v>77085b30147bfd25a46a</v>
      </c>
      <c r="I141" s="9">
        <v>0.2916666666666667</v>
      </c>
      <c r="J141" s="9">
        <v>0.8541666666666666</v>
      </c>
    </row>
    <row r="142" hidden="1">
      <c r="A142" s="5" t="str">
        <f>IFNA(VLOOKUP(D142,'Location Table'!A:C,2,false),"")</f>
        <v>20f5f71e-174e-11ef-9485-506b8d9879b5</v>
      </c>
      <c r="B142" s="5" t="str">
        <f>IFNA(VLOOKUP(F142,Driver!A:C,2,false),"")</f>
        <v>103090f4-37c8-11ed-9333-506b8dbc8dfb</v>
      </c>
      <c r="C142" s="5" t="str">
        <f>IFNA(VLOOKUP(E142,'Location Table'!A:C,2,false),"")</f>
        <v/>
      </c>
      <c r="D142" s="6" t="s">
        <v>163</v>
      </c>
      <c r="E142" s="6"/>
      <c r="F142" s="6" t="s">
        <v>130</v>
      </c>
      <c r="G142" s="7" t="s">
        <v>873</v>
      </c>
      <c r="H142" s="8" t="str">
        <f>IFNA(VLOOKUP(F142,Driver!A:C,3,false),"")</f>
        <v>77085b30147bfd25a46a</v>
      </c>
      <c r="I142" s="9">
        <v>0.2916666666666667</v>
      </c>
      <c r="J142" s="9">
        <v>0.8541666666666666</v>
      </c>
    </row>
    <row r="143" hidden="1">
      <c r="A143" s="5" t="str">
        <f>IFNA(VLOOKUP(D143,'Location Table'!A:C,2,false),"")</f>
        <v>7fc74622-970a-11ee-ac7e-506b8d9879b5</v>
      </c>
      <c r="B143" s="5" t="str">
        <f>IFNA(VLOOKUP(F143,Driver!A:C,2,false),"")</f>
        <v>103090f4-37c8-11ed-9333-506b8dbc8dfb</v>
      </c>
      <c r="C143" s="5" t="str">
        <f>IFNA(VLOOKUP(E143,'Location Table'!A:C,2,false),"")</f>
        <v/>
      </c>
      <c r="D143" s="6" t="s">
        <v>164</v>
      </c>
      <c r="E143" s="6"/>
      <c r="F143" s="6" t="s">
        <v>130</v>
      </c>
      <c r="G143" s="7" t="s">
        <v>873</v>
      </c>
      <c r="H143" s="8" t="str">
        <f>IFNA(VLOOKUP(F143,Driver!A:C,3,false),"")</f>
        <v>77085b30147bfd25a46a</v>
      </c>
      <c r="I143" s="9">
        <v>0.2916666666666667</v>
      </c>
      <c r="J143" s="9">
        <v>0.8541666666666666</v>
      </c>
    </row>
    <row r="144" hidden="1">
      <c r="A144" s="5" t="str">
        <f>IFNA(VLOOKUP(D144,'Location Table'!A:C,2,false),"")</f>
        <v>723f537c-5f6f-11ef-9b17-506b8d9879b5</v>
      </c>
      <c r="B144" s="5" t="str">
        <f>IFNA(VLOOKUP(F144,Driver!A:C,2,false),"")</f>
        <v>103090f4-37c8-11ed-9333-506b8dbc8dfb</v>
      </c>
      <c r="C144" s="5" t="str">
        <f>IFNA(VLOOKUP(E144,'Location Table'!A:C,2,false),"")</f>
        <v/>
      </c>
      <c r="D144" s="6" t="s">
        <v>165</v>
      </c>
      <c r="E144" s="6"/>
      <c r="F144" s="6" t="s">
        <v>130</v>
      </c>
      <c r="G144" s="7" t="s">
        <v>873</v>
      </c>
      <c r="H144" s="8" t="str">
        <f>IFNA(VLOOKUP(F144,Driver!A:C,3,false),"")</f>
        <v>77085b30147bfd25a46a</v>
      </c>
      <c r="I144" s="9">
        <v>0.2916666666666667</v>
      </c>
      <c r="J144" s="9">
        <v>0.8541666666666666</v>
      </c>
    </row>
    <row r="145" hidden="1">
      <c r="A145" s="5" t="str">
        <f>IFNA(VLOOKUP(D145,'Location Table'!A:C,2,false),"")</f>
        <v>81a847dc-cb8f-11f0-803a-506b8d982279</v>
      </c>
      <c r="B145" s="5" t="str">
        <f>IFNA(VLOOKUP(F145,Driver!A:C,2,false),"")</f>
        <v>103090f4-37c8-11ed-9333-506b8dbc8dfb</v>
      </c>
      <c r="C145" s="5" t="str">
        <f>IFNA(VLOOKUP(E145,'Location Table'!A:C,2,false),"")</f>
        <v/>
      </c>
      <c r="D145" s="6" t="s">
        <v>166</v>
      </c>
      <c r="E145" s="6"/>
      <c r="F145" s="6" t="s">
        <v>130</v>
      </c>
      <c r="G145" s="7" t="s">
        <v>873</v>
      </c>
      <c r="H145" s="8" t="str">
        <f>IFNA(VLOOKUP(F145,Driver!A:C,3,false),"")</f>
        <v>77085b30147bfd25a46a</v>
      </c>
      <c r="I145" s="9">
        <v>0.2916666666666667</v>
      </c>
      <c r="J145" s="9">
        <v>0.8541666666666666</v>
      </c>
    </row>
    <row r="146" hidden="1">
      <c r="A146" s="5" t="str">
        <f>IFNA(VLOOKUP(D146,'Location Table'!A:C,2,false),"")</f>
        <v>3b2d75d0-727e-11f0-adca-506b8d982279</v>
      </c>
      <c r="B146" s="5" t="str">
        <f>IFNA(VLOOKUP(F146,Driver!A:C,2,false),"")</f>
        <v>103090f4-37c8-11ed-9333-506b8dbc8dfb</v>
      </c>
      <c r="C146" s="5" t="str">
        <f>IFNA(VLOOKUP(E146,'Location Table'!A:C,2,false),"")</f>
        <v/>
      </c>
      <c r="D146" s="6" t="s">
        <v>167</v>
      </c>
      <c r="E146" s="6"/>
      <c r="F146" s="6" t="s">
        <v>130</v>
      </c>
      <c r="G146" s="7" t="s">
        <v>873</v>
      </c>
      <c r="H146" s="8" t="str">
        <f>IFNA(VLOOKUP(F146,Driver!A:C,3,false),"")</f>
        <v>77085b30147bfd25a46a</v>
      </c>
      <c r="I146" s="9">
        <v>0.2916666666666667</v>
      </c>
      <c r="J146" s="9">
        <v>0.8541666666666666</v>
      </c>
    </row>
    <row r="147" hidden="1">
      <c r="A147" s="5" t="str">
        <f>IFNA(VLOOKUP(D147,'Location Table'!A:C,2,false),"")</f>
        <v>b14bc54a-842e-11ee-a982-506b8d9879b5</v>
      </c>
      <c r="B147" s="5" t="str">
        <f>IFNA(VLOOKUP(F147,Driver!A:C,2,false),"")</f>
        <v>103090f4-37c8-11ed-9333-506b8dbc8dfb</v>
      </c>
      <c r="C147" s="5" t="str">
        <f>IFNA(VLOOKUP(E147,'Location Table'!A:C,2,false),"")</f>
        <v/>
      </c>
      <c r="D147" s="6" t="s">
        <v>168</v>
      </c>
      <c r="E147" s="6"/>
      <c r="F147" s="6" t="s">
        <v>130</v>
      </c>
      <c r="G147" s="7" t="s">
        <v>873</v>
      </c>
      <c r="H147" s="8" t="str">
        <f>IFNA(VLOOKUP(F147,Driver!A:C,3,false),"")</f>
        <v>77085b30147bfd25a46a</v>
      </c>
      <c r="I147" s="9">
        <v>0.2916666666666667</v>
      </c>
      <c r="J147" s="9">
        <v>0.8541666666666666</v>
      </c>
    </row>
    <row r="148" hidden="1">
      <c r="A148" s="5" t="str">
        <f>IFNA(VLOOKUP(D148,'Location Table'!A:C,2,false),"")</f>
        <v>280c8a50-4735-11f0-ad45-506b8d982279</v>
      </c>
      <c r="B148" s="5" t="str">
        <f>IFNA(VLOOKUP(F148,Driver!A:C,2,false),"")</f>
        <v>103090f4-37c8-11ed-9333-506b8dbc8dfb</v>
      </c>
      <c r="C148" s="5" t="str">
        <f>IFNA(VLOOKUP(E148,'Location Table'!A:C,2,false),"")</f>
        <v/>
      </c>
      <c r="D148" s="6" t="s">
        <v>169</v>
      </c>
      <c r="E148" s="6"/>
      <c r="F148" s="6" t="s">
        <v>130</v>
      </c>
      <c r="G148" s="7" t="s">
        <v>873</v>
      </c>
      <c r="H148" s="8" t="str">
        <f>IFNA(VLOOKUP(F148,Driver!A:C,3,false),"")</f>
        <v>77085b30147bfd25a46a</v>
      </c>
      <c r="I148" s="9">
        <v>0.2916666666666667</v>
      </c>
      <c r="J148" s="9">
        <v>0.8541666666666666</v>
      </c>
    </row>
    <row r="149" hidden="1">
      <c r="A149" s="5" t="str">
        <f>IFNA(VLOOKUP(D149,'Location Table'!A:C,2,false),"")</f>
        <v>62622bee-3b81-11ef-8ea2-506b8d9879b5</v>
      </c>
      <c r="B149" s="5" t="str">
        <f>IFNA(VLOOKUP(F149,Driver!A:C,2,false),"")</f>
        <v>103090f4-37c8-11ed-9333-506b8dbc8dfb</v>
      </c>
      <c r="C149" s="5" t="str">
        <f>IFNA(VLOOKUP(E149,'Location Table'!A:C,2,false),"")</f>
        <v/>
      </c>
      <c r="D149" s="6" t="s">
        <v>170</v>
      </c>
      <c r="E149" s="6"/>
      <c r="F149" s="6" t="s">
        <v>130</v>
      </c>
      <c r="G149" s="7" t="s">
        <v>873</v>
      </c>
      <c r="H149" s="8" t="str">
        <f>IFNA(VLOOKUP(F149,Driver!A:C,3,false),"")</f>
        <v>77085b30147bfd25a46a</v>
      </c>
      <c r="I149" s="9">
        <v>0.2916666666666667</v>
      </c>
      <c r="J149" s="9">
        <v>0.8541666666666666</v>
      </c>
    </row>
    <row r="150" hidden="1">
      <c r="A150" s="5" t="str">
        <f>IFNA(VLOOKUP(D150,'Location Table'!A:C,2,false),"")</f>
        <v>9a5df978-3555-11f0-a64b-506b8d982279</v>
      </c>
      <c r="B150" s="5" t="str">
        <f>IFNA(VLOOKUP(F150,Driver!A:C,2,false),"")</f>
        <v>103090f4-37c8-11ed-9333-506b8dbc8dfb</v>
      </c>
      <c r="C150" s="5" t="str">
        <f>IFNA(VLOOKUP(E150,'Location Table'!A:C,2,false),"")</f>
        <v/>
      </c>
      <c r="D150" s="6" t="s">
        <v>171</v>
      </c>
      <c r="E150" s="6"/>
      <c r="F150" s="6" t="s">
        <v>130</v>
      </c>
      <c r="G150" s="7" t="s">
        <v>873</v>
      </c>
      <c r="H150" s="8" t="str">
        <f>IFNA(VLOOKUP(F150,Driver!A:C,3,false),"")</f>
        <v>77085b30147bfd25a46a</v>
      </c>
      <c r="I150" s="9">
        <v>0.2916666666666667</v>
      </c>
      <c r="J150" s="9">
        <v>0.8541666666666666</v>
      </c>
    </row>
    <row r="151" hidden="1">
      <c r="A151" s="5" t="str">
        <f>IFNA(VLOOKUP(D151,'Location Table'!A:C,2,false),"")</f>
        <v>3845f552-092b-11f0-8f8e-506b8d982279</v>
      </c>
      <c r="B151" s="5" t="str">
        <f>IFNA(VLOOKUP(F151,Driver!A:C,2,false),"")</f>
        <v>103090f4-37c8-11ed-9333-506b8dbc8dfb</v>
      </c>
      <c r="C151" s="5" t="str">
        <f>IFNA(VLOOKUP(E151,'Location Table'!A:C,2,false),"")</f>
        <v/>
      </c>
      <c r="D151" s="6" t="s">
        <v>172</v>
      </c>
      <c r="E151" s="6"/>
      <c r="F151" s="6" t="s">
        <v>130</v>
      </c>
      <c r="G151" s="7" t="s">
        <v>873</v>
      </c>
      <c r="H151" s="8" t="str">
        <f>IFNA(VLOOKUP(F151,Driver!A:C,3,false),"")</f>
        <v>77085b30147bfd25a46a</v>
      </c>
      <c r="I151" s="9">
        <v>0.2916666666666667</v>
      </c>
      <c r="J151" s="9">
        <v>0.8541666666666666</v>
      </c>
    </row>
    <row r="152" hidden="1">
      <c r="A152" s="5" t="str">
        <f>IFNA(VLOOKUP(D152,'Location Table'!A:C,2,false),"")</f>
        <v>7c283a4e-21f8-11ee-a440-506b8d9879b5</v>
      </c>
      <c r="B152" s="5" t="str">
        <f>IFNA(VLOOKUP(F152,Driver!A:C,2,false),"")</f>
        <v>103090f4-37c8-11ed-9333-506b8dbc8dfb</v>
      </c>
      <c r="C152" s="5" t="str">
        <f>IFNA(VLOOKUP(E152,'Location Table'!A:C,2,false),"")</f>
        <v/>
      </c>
      <c r="D152" s="6" t="s">
        <v>173</v>
      </c>
      <c r="E152" s="6"/>
      <c r="F152" s="6" t="s">
        <v>130</v>
      </c>
      <c r="G152" s="7" t="s">
        <v>873</v>
      </c>
      <c r="H152" s="8" t="str">
        <f>IFNA(VLOOKUP(F152,Driver!A:C,3,false),"")</f>
        <v>77085b30147bfd25a46a</v>
      </c>
      <c r="I152" s="9">
        <v>0.2916666666666667</v>
      </c>
      <c r="J152" s="9">
        <v>0.8541666666666666</v>
      </c>
    </row>
    <row r="153" hidden="1">
      <c r="A153" s="5" t="str">
        <f>IFNA(VLOOKUP(D153,'Location Table'!A:C,2,false),"")</f>
        <v>9253d6aa-bc7b-11f0-ab72-506b8d982279</v>
      </c>
      <c r="B153" s="5" t="str">
        <f>IFNA(VLOOKUP(F153,Driver!A:C,2,false),"")</f>
        <v>103090f4-37c8-11ed-9333-506b8dbc8dfb</v>
      </c>
      <c r="C153" s="5" t="str">
        <f>IFNA(VLOOKUP(E153,'Location Table'!A:C,2,false),"")</f>
        <v/>
      </c>
      <c r="D153" s="6" t="s">
        <v>174</v>
      </c>
      <c r="E153" s="6"/>
      <c r="F153" s="6" t="s">
        <v>130</v>
      </c>
      <c r="G153" s="7" t="s">
        <v>873</v>
      </c>
      <c r="H153" s="8" t="str">
        <f>IFNA(VLOOKUP(F153,Driver!A:C,3,false),"")</f>
        <v>77085b30147bfd25a46a</v>
      </c>
      <c r="I153" s="9">
        <v>0.2916666666666667</v>
      </c>
      <c r="J153" s="9">
        <v>0.8541666666666666</v>
      </c>
    </row>
    <row r="154" hidden="1">
      <c r="A154" s="5" t="str">
        <f>IFNA(VLOOKUP(D154,'Location Table'!A:C,2,false),"")</f>
        <v>afa432a4-e237-11f0-8595-506b8d982279</v>
      </c>
      <c r="B154" s="5" t="str">
        <f>IFNA(VLOOKUP(F154,Driver!A:C,2,false),"")</f>
        <v>103090f4-37c8-11ed-9333-506b8dbc8dfb</v>
      </c>
      <c r="C154" s="5" t="str">
        <f>IFNA(VLOOKUP(E154,'Location Table'!A:C,2,false),"")</f>
        <v/>
      </c>
      <c r="D154" s="6" t="s">
        <v>175</v>
      </c>
      <c r="E154" s="6"/>
      <c r="F154" s="6" t="s">
        <v>130</v>
      </c>
      <c r="G154" s="7" t="s">
        <v>873</v>
      </c>
      <c r="H154" s="8" t="str">
        <f>IFNA(VLOOKUP(F154,Driver!A:C,3,false),"")</f>
        <v>77085b30147bfd25a46a</v>
      </c>
      <c r="I154" s="9">
        <v>0.2916666666666667</v>
      </c>
      <c r="J154" s="9">
        <v>0.8541666666666666</v>
      </c>
    </row>
    <row r="155" hidden="1">
      <c r="A155" s="5" t="str">
        <f>IFNA(VLOOKUP(D155,'Location Table'!A:C,2,false),"")</f>
        <v>8aa38e5a-6803-11ef-95f4-506b8d9879b5</v>
      </c>
      <c r="B155" s="5" t="str">
        <f>IFNA(VLOOKUP(F155,Driver!A:C,2,false),"")</f>
        <v>103090f4-37c8-11ed-9333-506b8dbc8dfb</v>
      </c>
      <c r="C155" s="5" t="str">
        <f>IFNA(VLOOKUP(E155,'Location Table'!A:C,2,false),"")</f>
        <v/>
      </c>
      <c r="D155" s="6" t="s">
        <v>176</v>
      </c>
      <c r="E155" s="6"/>
      <c r="F155" s="6" t="s">
        <v>130</v>
      </c>
      <c r="G155" s="7" t="s">
        <v>873</v>
      </c>
      <c r="H155" s="8" t="str">
        <f>IFNA(VLOOKUP(F155,Driver!A:C,3,false),"")</f>
        <v>77085b30147bfd25a46a</v>
      </c>
      <c r="I155" s="9">
        <v>0.2916666666666667</v>
      </c>
      <c r="J155" s="9">
        <v>0.8541666666666666</v>
      </c>
    </row>
    <row r="156" hidden="1">
      <c r="A156" s="5" t="str">
        <f>IFNA(VLOOKUP(D156,'Location Table'!A:C,2,false),"")</f>
        <v>faecc7ba-461f-11ed-8f50-506b8dbc8dfb</v>
      </c>
      <c r="B156" s="5" t="str">
        <f>IFNA(VLOOKUP(F156,Driver!A:C,2,false),"")</f>
        <v>103090f4-37c8-11ed-9333-506b8dbc8dfb</v>
      </c>
      <c r="C156" s="5" t="str">
        <f>IFNA(VLOOKUP(E156,'Location Table'!A:C,2,false),"")</f>
        <v/>
      </c>
      <c r="D156" s="6" t="s">
        <v>177</v>
      </c>
      <c r="E156" s="6"/>
      <c r="F156" s="6" t="s">
        <v>130</v>
      </c>
      <c r="G156" s="7" t="s">
        <v>873</v>
      </c>
      <c r="H156" s="8" t="str">
        <f>IFNA(VLOOKUP(F156,Driver!A:C,3,false),"")</f>
        <v>77085b30147bfd25a46a</v>
      </c>
      <c r="I156" s="9">
        <v>0.2916666666666667</v>
      </c>
      <c r="J156" s="9">
        <v>0.8541666666666666</v>
      </c>
    </row>
    <row r="157" hidden="1">
      <c r="A157" s="5" t="str">
        <f>IFNA(VLOOKUP(D157,'Location Table'!A:C,2,false),"")</f>
        <v>85e97062-ccdb-11f0-a8e7-506b8d982279</v>
      </c>
      <c r="B157" s="5" t="str">
        <f>IFNA(VLOOKUP(F157,Driver!A:C,2,false),"")</f>
        <v>103090f4-37c8-11ed-9333-506b8dbc8dfb</v>
      </c>
      <c r="C157" s="5" t="str">
        <f>IFNA(VLOOKUP(E157,'Location Table'!A:C,2,false),"")</f>
        <v/>
      </c>
      <c r="D157" s="6" t="s">
        <v>178</v>
      </c>
      <c r="E157" s="6"/>
      <c r="F157" s="6" t="s">
        <v>130</v>
      </c>
      <c r="G157" s="7" t="s">
        <v>873</v>
      </c>
      <c r="H157" s="8" t="str">
        <f>IFNA(VLOOKUP(F157,Driver!A:C,3,false),"")</f>
        <v>77085b30147bfd25a46a</v>
      </c>
      <c r="I157" s="9">
        <v>0.2916666666666667</v>
      </c>
      <c r="J157" s="9">
        <v>0.8541666666666666</v>
      </c>
    </row>
    <row r="158" hidden="1">
      <c r="A158" s="5" t="str">
        <f>IFNA(VLOOKUP(D158,'Location Table'!A:C,2,false),"")</f>
        <v>31ebea1e-7204-11ee-a6e2-506b8d9879b5</v>
      </c>
      <c r="B158" s="5" t="str">
        <f>IFNA(VLOOKUP(F158,Driver!A:C,2,false),"")</f>
        <v>103090f4-37c8-11ed-9333-506b8dbc8dfb</v>
      </c>
      <c r="C158" s="5" t="str">
        <f>IFNA(VLOOKUP(E158,'Location Table'!A:C,2,false),"")</f>
        <v/>
      </c>
      <c r="D158" s="6" t="s">
        <v>179</v>
      </c>
      <c r="E158" s="6"/>
      <c r="F158" s="6" t="s">
        <v>130</v>
      </c>
      <c r="G158" s="7" t="s">
        <v>873</v>
      </c>
      <c r="H158" s="8" t="str">
        <f>IFNA(VLOOKUP(F158,Driver!A:C,3,false),"")</f>
        <v>77085b30147bfd25a46a</v>
      </c>
      <c r="I158" s="9">
        <v>0.2916666666666667</v>
      </c>
      <c r="J158" s="9">
        <v>0.8541666666666666</v>
      </c>
    </row>
    <row r="159" hidden="1">
      <c r="A159" s="5" t="str">
        <f>IFNA(VLOOKUP(D159,'Location Table'!A:C,2,false),"")</f>
        <v>d26fb6ae-f9a3-11f0-9378-fa163ee8d8ac</v>
      </c>
      <c r="B159" s="5" t="str">
        <f>IFNA(VLOOKUP(F159,Driver!A:C,2,false),"")</f>
        <v>103090f4-37c8-11ed-9333-506b8dbc8dfb</v>
      </c>
      <c r="C159" s="5" t="str">
        <f>IFNA(VLOOKUP(E159,'Location Table'!A:C,2,false),"")</f>
        <v/>
      </c>
      <c r="D159" s="6" t="s">
        <v>180</v>
      </c>
      <c r="E159" s="6"/>
      <c r="F159" s="6" t="s">
        <v>130</v>
      </c>
      <c r="G159" s="7" t="s">
        <v>873</v>
      </c>
      <c r="H159" s="8" t="str">
        <f>IFNA(VLOOKUP(F159,Driver!A:C,3,false),"")</f>
        <v>77085b30147bfd25a46a</v>
      </c>
      <c r="I159" s="9">
        <v>0.2916666666666667</v>
      </c>
      <c r="J159" s="9">
        <v>0.8541666666666666</v>
      </c>
    </row>
    <row r="160" hidden="1">
      <c r="A160" s="5" t="str">
        <f>IFNA(VLOOKUP(D160,'Location Table'!A:C,2,false),"")</f>
        <v>b3299904-1290-11f0-9954-506b8d982279</v>
      </c>
      <c r="B160" s="5" t="str">
        <f>IFNA(VLOOKUP(F160,Driver!A:C,2,false),"")</f>
        <v>103090f4-37c8-11ed-9333-506b8dbc8dfb</v>
      </c>
      <c r="C160" s="5" t="str">
        <f>IFNA(VLOOKUP(E160,'Location Table'!A:C,2,false),"")</f>
        <v/>
      </c>
      <c r="D160" s="6" t="s">
        <v>181</v>
      </c>
      <c r="E160" s="6"/>
      <c r="F160" s="6" t="s">
        <v>130</v>
      </c>
      <c r="G160" s="7" t="s">
        <v>873</v>
      </c>
      <c r="H160" s="8" t="str">
        <f>IFNA(VLOOKUP(F160,Driver!A:C,3,false),"")</f>
        <v>77085b30147bfd25a46a</v>
      </c>
      <c r="I160" s="9">
        <v>0.2916666666666667</v>
      </c>
      <c r="J160" s="9">
        <v>0.8541666666666666</v>
      </c>
    </row>
    <row r="161" hidden="1">
      <c r="A161" s="5" t="str">
        <f>IFNA(VLOOKUP(D161,'Location Table'!A:C,2,false),"")</f>
        <v>a5492496-164b-11ee-8c10-506b8dbc8dfb</v>
      </c>
      <c r="B161" s="5" t="str">
        <f>IFNA(VLOOKUP(F161,Driver!A:C,2,false),"")</f>
        <v>d442fba0-37c6-11ed-ab29-506b8dbc8dfb</v>
      </c>
      <c r="C161" s="5" t="str">
        <f>IFNA(VLOOKUP(E161,'Location Table'!A:C,2,false),"")</f>
        <v/>
      </c>
      <c r="D161" s="6" t="s">
        <v>182</v>
      </c>
      <c r="E161" s="6"/>
      <c r="F161" s="6" t="s">
        <v>183</v>
      </c>
      <c r="G161" s="7" t="s">
        <v>873</v>
      </c>
      <c r="H161" s="8" t="str">
        <f>IFNA(VLOOKUP(F161,Driver!A:C,3,false),"")</f>
        <v>c4530791c2db2b8572ca</v>
      </c>
      <c r="I161" s="9">
        <v>0.2916666666666667</v>
      </c>
      <c r="J161" s="9">
        <v>0.6666666666666666</v>
      </c>
    </row>
    <row r="162" hidden="1">
      <c r="A162" s="5" t="str">
        <f>IFNA(VLOOKUP(D162,'Location Table'!A:C,2,false),"")</f>
        <v>260f4646-b35e-11ee-b01c-506b8d9879b5</v>
      </c>
      <c r="B162" s="5" t="str">
        <f>IFNA(VLOOKUP(F162,Driver!A:C,2,false),"")</f>
        <v>d442fba0-37c6-11ed-ab29-506b8dbc8dfb</v>
      </c>
      <c r="C162" s="5" t="str">
        <f>IFNA(VLOOKUP(E162,'Location Table'!A:C,2,false),"")</f>
        <v/>
      </c>
      <c r="D162" s="6" t="s">
        <v>184</v>
      </c>
      <c r="E162" s="6"/>
      <c r="F162" s="6" t="s">
        <v>183</v>
      </c>
      <c r="G162" s="7" t="s">
        <v>873</v>
      </c>
      <c r="H162" s="8" t="str">
        <f>IFNA(VLOOKUP(F162,Driver!A:C,3,false),"")</f>
        <v>c4530791c2db2b8572ca</v>
      </c>
      <c r="I162" s="9">
        <v>0.2916666666666667</v>
      </c>
      <c r="J162" s="9">
        <v>0.6666666666666666</v>
      </c>
    </row>
    <row r="163" hidden="1">
      <c r="A163" s="5" t="str">
        <f>IFNA(VLOOKUP(D163,'Location Table'!A:C,2,false),"")</f>
        <v>cb38d6fc-7408-11f0-89a2-506b8d982279</v>
      </c>
      <c r="B163" s="5" t="str">
        <f>IFNA(VLOOKUP(F163,Driver!A:C,2,false),"")</f>
        <v>d442fba0-37c6-11ed-ab29-506b8dbc8dfb</v>
      </c>
      <c r="C163" s="5" t="str">
        <f>IFNA(VLOOKUP(E163,'Location Table'!A:C,2,false),"")</f>
        <v/>
      </c>
      <c r="D163" s="6" t="s">
        <v>185</v>
      </c>
      <c r="E163" s="6"/>
      <c r="F163" s="6" t="s">
        <v>183</v>
      </c>
      <c r="G163" s="7" t="s">
        <v>873</v>
      </c>
      <c r="H163" s="8" t="str">
        <f>IFNA(VLOOKUP(F163,Driver!A:C,3,false),"")</f>
        <v>c4530791c2db2b8572ca</v>
      </c>
      <c r="I163" s="9">
        <v>0.2916666666666667</v>
      </c>
      <c r="J163" s="9">
        <v>0.6666666666666666</v>
      </c>
    </row>
    <row r="164" hidden="1">
      <c r="A164" s="5" t="str">
        <f>IFNA(VLOOKUP(D164,'Location Table'!A:C,2,false),"")</f>
        <v>482c0390-1976-11ee-81e2-506b8d9879b5</v>
      </c>
      <c r="B164" s="5" t="str">
        <f>IFNA(VLOOKUP(F164,Driver!A:C,2,false),"")</f>
        <v>d442fba0-37c6-11ed-ab29-506b8dbc8dfb</v>
      </c>
      <c r="C164" s="5" t="str">
        <f>IFNA(VLOOKUP(E164,'Location Table'!A:C,2,false),"")</f>
        <v/>
      </c>
      <c r="D164" s="6" t="s">
        <v>186</v>
      </c>
      <c r="E164" s="6"/>
      <c r="F164" s="6" t="s">
        <v>183</v>
      </c>
      <c r="G164" s="7" t="s">
        <v>873</v>
      </c>
      <c r="H164" s="8" t="str">
        <f>IFNA(VLOOKUP(F164,Driver!A:C,3,false),"")</f>
        <v>c4530791c2db2b8572ca</v>
      </c>
      <c r="I164" s="9">
        <v>0.2916666666666667</v>
      </c>
      <c r="J164" s="9">
        <v>0.6666666666666666</v>
      </c>
    </row>
    <row r="165" hidden="1">
      <c r="A165" s="5" t="str">
        <f>IFNA(VLOOKUP(D165,'Location Table'!A:C,2,false),"")</f>
        <v>2183272e-9331-11ef-8509-506b8d9879b5</v>
      </c>
      <c r="B165" s="5" t="str">
        <f>IFNA(VLOOKUP(F165,Driver!A:C,2,false),"")</f>
        <v>d442fba0-37c6-11ed-ab29-506b8dbc8dfb</v>
      </c>
      <c r="C165" s="5" t="str">
        <f>IFNA(VLOOKUP(E165,'Location Table'!A:C,2,false),"")</f>
        <v/>
      </c>
      <c r="D165" s="6" t="s">
        <v>187</v>
      </c>
      <c r="E165" s="6"/>
      <c r="F165" s="6" t="s">
        <v>183</v>
      </c>
      <c r="G165" s="7" t="s">
        <v>873</v>
      </c>
      <c r="H165" s="8" t="str">
        <f>IFNA(VLOOKUP(F165,Driver!A:C,3,false),"")</f>
        <v>c4530791c2db2b8572ca</v>
      </c>
      <c r="I165" s="9">
        <v>0.2916666666666667</v>
      </c>
      <c r="J165" s="9">
        <v>0.6666666666666666</v>
      </c>
    </row>
    <row r="166" hidden="1">
      <c r="A166" s="5" t="str">
        <f>IFNA(VLOOKUP(D166,'Location Table'!A:C,2,false),"")</f>
        <v>d62b7cf6-155d-11ee-9d43-506b8dbc8dfb</v>
      </c>
      <c r="B166" s="5" t="str">
        <f>IFNA(VLOOKUP(F166,Driver!A:C,2,false),"")</f>
        <v>d442fba0-37c6-11ed-ab29-506b8dbc8dfb</v>
      </c>
      <c r="C166" s="5" t="str">
        <f>IFNA(VLOOKUP(E166,'Location Table'!A:C,2,false),"")</f>
        <v/>
      </c>
      <c r="D166" s="6" t="s">
        <v>188</v>
      </c>
      <c r="E166" s="6"/>
      <c r="F166" s="6" t="s">
        <v>183</v>
      </c>
      <c r="G166" s="7" t="s">
        <v>873</v>
      </c>
      <c r="H166" s="8" t="str">
        <f>IFNA(VLOOKUP(F166,Driver!A:C,3,false),"")</f>
        <v>c4530791c2db2b8572ca</v>
      </c>
      <c r="I166" s="9">
        <v>0.2916666666666667</v>
      </c>
      <c r="J166" s="9">
        <v>0.6666666666666666</v>
      </c>
    </row>
    <row r="167" hidden="1">
      <c r="A167" s="5" t="str">
        <f>IFNA(VLOOKUP(D167,'Location Table'!A:C,2,false),"")</f>
        <v>c2618fe8-4af1-11ee-a9fa-506b8d9879b5</v>
      </c>
      <c r="B167" s="5" t="str">
        <f>IFNA(VLOOKUP(F167,Driver!A:C,2,false),"")</f>
        <v>d442fba0-37c6-11ed-ab29-506b8dbc8dfb</v>
      </c>
      <c r="C167" s="5" t="str">
        <f>IFNA(VLOOKUP(E167,'Location Table'!A:C,2,false),"")</f>
        <v/>
      </c>
      <c r="D167" s="6" t="s">
        <v>189</v>
      </c>
      <c r="E167" s="6"/>
      <c r="F167" s="6" t="s">
        <v>183</v>
      </c>
      <c r="G167" s="7" t="s">
        <v>873</v>
      </c>
      <c r="H167" s="8" t="str">
        <f>IFNA(VLOOKUP(F167,Driver!A:C,3,false),"")</f>
        <v>c4530791c2db2b8572ca</v>
      </c>
      <c r="I167" s="9">
        <v>0.2916666666666667</v>
      </c>
      <c r="J167" s="9">
        <v>0.6666666666666666</v>
      </c>
    </row>
    <row r="168" hidden="1">
      <c r="A168" s="5" t="str">
        <f>IFNA(VLOOKUP(D168,'Location Table'!A:C,2,false),"")</f>
        <v>897f5fea-335c-11ee-a126-506b8d9879b5</v>
      </c>
      <c r="B168" s="5" t="str">
        <f>IFNA(VLOOKUP(F168,Driver!A:C,2,false),"")</f>
        <v>d442fba0-37c6-11ed-ab29-506b8dbc8dfb</v>
      </c>
      <c r="C168" s="5" t="str">
        <f>IFNA(VLOOKUP(E168,'Location Table'!A:C,2,false),"")</f>
        <v/>
      </c>
      <c r="D168" s="6" t="s">
        <v>190</v>
      </c>
      <c r="E168" s="6"/>
      <c r="F168" s="6" t="s">
        <v>183</v>
      </c>
      <c r="G168" s="7" t="s">
        <v>873</v>
      </c>
      <c r="H168" s="8" t="str">
        <f>IFNA(VLOOKUP(F168,Driver!A:C,3,false),"")</f>
        <v>c4530791c2db2b8572ca</v>
      </c>
      <c r="I168" s="9">
        <v>0.2916666666666667</v>
      </c>
      <c r="J168" s="9">
        <v>0.6666666666666666</v>
      </c>
    </row>
    <row r="169" hidden="1">
      <c r="A169" s="5" t="str">
        <f>IFNA(VLOOKUP(D169,'Location Table'!A:C,2,false),"")</f>
        <v>e172d860-08d9-11ee-84c9-506b8dbc8dfb</v>
      </c>
      <c r="B169" s="5" t="str">
        <f>IFNA(VLOOKUP(F169,Driver!A:C,2,false),"")</f>
        <v>d442fba0-37c6-11ed-ab29-506b8dbc8dfb</v>
      </c>
      <c r="C169" s="5" t="str">
        <f>IFNA(VLOOKUP(E169,'Location Table'!A:C,2,false),"")</f>
        <v/>
      </c>
      <c r="D169" s="6" t="s">
        <v>191</v>
      </c>
      <c r="E169" s="6"/>
      <c r="F169" s="6" t="s">
        <v>183</v>
      </c>
      <c r="G169" s="7" t="s">
        <v>873</v>
      </c>
      <c r="H169" s="8" t="str">
        <f>IFNA(VLOOKUP(F169,Driver!A:C,3,false),"")</f>
        <v>c4530791c2db2b8572ca</v>
      </c>
      <c r="I169" s="9">
        <v>0.2916666666666667</v>
      </c>
      <c r="J169" s="9">
        <v>0.6666666666666666</v>
      </c>
    </row>
    <row r="170" hidden="1">
      <c r="A170" s="5" t="str">
        <f>IFNA(VLOOKUP(D170,'Location Table'!A:C,2,false),"")</f>
        <v>653308f6-803e-11ee-8092-506b8d9879b5</v>
      </c>
      <c r="B170" s="5" t="str">
        <f>IFNA(VLOOKUP(F170,Driver!A:C,2,false),"")</f>
        <v>d442fba0-37c6-11ed-ab29-506b8dbc8dfb</v>
      </c>
      <c r="C170" s="5" t="str">
        <f>IFNA(VLOOKUP(E170,'Location Table'!A:C,2,false),"")</f>
        <v/>
      </c>
      <c r="D170" s="6" t="s">
        <v>192</v>
      </c>
      <c r="E170" s="6"/>
      <c r="F170" s="6" t="s">
        <v>183</v>
      </c>
      <c r="G170" s="7" t="s">
        <v>873</v>
      </c>
      <c r="H170" s="8" t="str">
        <f>IFNA(VLOOKUP(F170,Driver!A:C,3,false),"")</f>
        <v>c4530791c2db2b8572ca</v>
      </c>
      <c r="I170" s="9">
        <v>0.2916666666666667</v>
      </c>
      <c r="J170" s="9">
        <v>0.6666666666666666</v>
      </c>
    </row>
    <row r="171" hidden="1">
      <c r="A171" s="5" t="str">
        <f>IFNA(VLOOKUP(D171,'Location Table'!A:C,2,false),"")</f>
        <v>70254dc0-7ebf-11ef-8703-506b8d9879b5</v>
      </c>
      <c r="B171" s="5" t="str">
        <f>IFNA(VLOOKUP(F171,Driver!A:C,2,false),"")</f>
        <v>d442fba0-37c6-11ed-ab29-506b8dbc8dfb</v>
      </c>
      <c r="C171" s="5" t="str">
        <f>IFNA(VLOOKUP(E171,'Location Table'!A:C,2,false),"")</f>
        <v/>
      </c>
      <c r="D171" s="6" t="s">
        <v>193</v>
      </c>
      <c r="E171" s="6"/>
      <c r="F171" s="6" t="s">
        <v>183</v>
      </c>
      <c r="G171" s="7" t="s">
        <v>873</v>
      </c>
      <c r="H171" s="8" t="str">
        <f>IFNA(VLOOKUP(F171,Driver!A:C,3,false),"")</f>
        <v>c4530791c2db2b8572ca</v>
      </c>
      <c r="I171" s="9">
        <v>0.2916666666666667</v>
      </c>
      <c r="J171" s="9">
        <v>0.6666666666666666</v>
      </c>
    </row>
    <row r="172" hidden="1">
      <c r="A172" s="5" t="str">
        <f>IFNA(VLOOKUP(D172,'Location Table'!A:C,2,false),"")</f>
        <v>546e7350-25d7-11ee-89eb-506b8d9879b5</v>
      </c>
      <c r="B172" s="5" t="str">
        <f>IFNA(VLOOKUP(F172,Driver!A:C,2,false),"")</f>
        <v>d442fba0-37c6-11ed-ab29-506b8dbc8dfb</v>
      </c>
      <c r="C172" s="5" t="str">
        <f>IFNA(VLOOKUP(E172,'Location Table'!A:C,2,false),"")</f>
        <v/>
      </c>
      <c r="D172" s="6" t="s">
        <v>194</v>
      </c>
      <c r="E172" s="6"/>
      <c r="F172" s="6" t="s">
        <v>183</v>
      </c>
      <c r="G172" s="7" t="s">
        <v>873</v>
      </c>
      <c r="H172" s="8" t="str">
        <f>IFNA(VLOOKUP(F172,Driver!A:C,3,false),"")</f>
        <v>c4530791c2db2b8572ca</v>
      </c>
      <c r="I172" s="9">
        <v>0.2916666666666667</v>
      </c>
      <c r="J172" s="9">
        <v>0.6666666666666666</v>
      </c>
    </row>
    <row r="173" hidden="1">
      <c r="A173" s="5" t="str">
        <f>IFNA(VLOOKUP(D173,'Location Table'!A:C,2,false),"")</f>
        <v>f4329dc6-3658-11ee-9fcc-506b8d9879b5</v>
      </c>
      <c r="B173" s="5" t="str">
        <f>IFNA(VLOOKUP(F173,Driver!A:C,2,false),"")</f>
        <v>d442fba0-37c6-11ed-ab29-506b8dbc8dfb</v>
      </c>
      <c r="C173" s="5" t="str">
        <f>IFNA(VLOOKUP(E173,'Location Table'!A:C,2,false),"")</f>
        <v/>
      </c>
      <c r="D173" s="6" t="s">
        <v>195</v>
      </c>
      <c r="E173" s="6"/>
      <c r="F173" s="6" t="s">
        <v>183</v>
      </c>
      <c r="G173" s="7" t="s">
        <v>873</v>
      </c>
      <c r="H173" s="8" t="str">
        <f>IFNA(VLOOKUP(F173,Driver!A:C,3,false),"")</f>
        <v>c4530791c2db2b8572ca</v>
      </c>
      <c r="I173" s="9">
        <v>0.2916666666666667</v>
      </c>
      <c r="J173" s="9">
        <v>0.6666666666666666</v>
      </c>
    </row>
    <row r="174" hidden="1">
      <c r="A174" s="5" t="str">
        <f>IFNA(VLOOKUP(D174,'Location Table'!A:C,2,false),"")</f>
        <v>32c10ebc-b4ae-11f0-9d95-506b8d982279</v>
      </c>
      <c r="B174" s="5" t="str">
        <f>IFNA(VLOOKUP(F174,Driver!A:C,2,false),"")</f>
        <v>d442fba0-37c6-11ed-ab29-506b8dbc8dfb</v>
      </c>
      <c r="C174" s="5" t="str">
        <f>IFNA(VLOOKUP(E174,'Location Table'!A:C,2,false),"")</f>
        <v/>
      </c>
      <c r="D174" s="6" t="s">
        <v>196</v>
      </c>
      <c r="E174" s="6"/>
      <c r="F174" s="6" t="s">
        <v>183</v>
      </c>
      <c r="G174" s="7" t="s">
        <v>873</v>
      </c>
      <c r="H174" s="8" t="str">
        <f>IFNA(VLOOKUP(F174,Driver!A:C,3,false),"")</f>
        <v>c4530791c2db2b8572ca</v>
      </c>
      <c r="I174" s="9">
        <v>0.2916666666666667</v>
      </c>
      <c r="J174" s="9">
        <v>0.6666666666666666</v>
      </c>
    </row>
    <row r="175" hidden="1">
      <c r="A175" s="5" t="str">
        <f>IFNA(VLOOKUP(D175,'Location Table'!A:C,2,false),"")</f>
        <v>c0bc1f88-ebef-11ee-ac17-506b8d9879b5</v>
      </c>
      <c r="B175" s="5" t="str">
        <f>IFNA(VLOOKUP(F175,Driver!A:C,2,false),"")</f>
        <v>d442fba0-37c6-11ed-ab29-506b8dbc8dfb</v>
      </c>
      <c r="C175" s="5" t="str">
        <f>IFNA(VLOOKUP(E175,'Location Table'!A:C,2,false),"")</f>
        <v/>
      </c>
      <c r="D175" s="6" t="s">
        <v>197</v>
      </c>
      <c r="E175" s="6"/>
      <c r="F175" s="6" t="s">
        <v>183</v>
      </c>
      <c r="G175" s="7" t="s">
        <v>873</v>
      </c>
      <c r="H175" s="8" t="str">
        <f>IFNA(VLOOKUP(F175,Driver!A:C,3,false),"")</f>
        <v>c4530791c2db2b8572ca</v>
      </c>
      <c r="I175" s="9">
        <v>0.2916666666666667</v>
      </c>
      <c r="J175" s="9">
        <v>0.6666666666666666</v>
      </c>
    </row>
    <row r="176" hidden="1">
      <c r="A176" s="5" t="str">
        <f>IFNA(VLOOKUP(D176,'Location Table'!A:C,2,false),"")</f>
        <v>e008d078-537b-11ee-bc3a-506b8d9879b5</v>
      </c>
      <c r="B176" s="5" t="str">
        <f>IFNA(VLOOKUP(F176,Driver!A:C,2,false),"")</f>
        <v>d442fba0-37c6-11ed-ab29-506b8dbc8dfb</v>
      </c>
      <c r="C176" s="5" t="str">
        <f>IFNA(VLOOKUP(E176,'Location Table'!A:C,2,false),"")</f>
        <v/>
      </c>
      <c r="D176" s="6" t="s">
        <v>198</v>
      </c>
      <c r="E176" s="6"/>
      <c r="F176" s="6" t="s">
        <v>183</v>
      </c>
      <c r="G176" s="7" t="s">
        <v>873</v>
      </c>
      <c r="H176" s="8" t="str">
        <f>IFNA(VLOOKUP(F176,Driver!A:C,3,false),"")</f>
        <v>c4530791c2db2b8572ca</v>
      </c>
      <c r="I176" s="9">
        <v>0.2916666666666667</v>
      </c>
      <c r="J176" s="9">
        <v>0.6666666666666666</v>
      </c>
    </row>
    <row r="177" hidden="1">
      <c r="A177" s="5" t="str">
        <f>IFNA(VLOOKUP(D177,'Location Table'!A:C,2,false),"")</f>
        <v>b4655b48-4188-11ef-9349-506b8d9879b5</v>
      </c>
      <c r="B177" s="5" t="str">
        <f>IFNA(VLOOKUP(F177,Driver!A:C,2,false),"")</f>
        <v>d442fba0-37c6-11ed-ab29-506b8dbc8dfb</v>
      </c>
      <c r="C177" s="5" t="str">
        <f>IFNA(VLOOKUP(E177,'Location Table'!A:C,2,false),"")</f>
        <v/>
      </c>
      <c r="D177" s="6" t="s">
        <v>199</v>
      </c>
      <c r="E177" s="6"/>
      <c r="F177" s="6" t="s">
        <v>183</v>
      </c>
      <c r="G177" s="7" t="s">
        <v>873</v>
      </c>
      <c r="H177" s="8" t="str">
        <f>IFNA(VLOOKUP(F177,Driver!A:C,3,false),"")</f>
        <v>c4530791c2db2b8572ca</v>
      </c>
      <c r="I177" s="9">
        <v>0.2916666666666667</v>
      </c>
      <c r="J177" s="9">
        <v>0.6666666666666666</v>
      </c>
    </row>
    <row r="178" hidden="1">
      <c r="A178" s="5" t="str">
        <f>IFNA(VLOOKUP(D178,'Location Table'!A:C,2,false),"")</f>
        <v>31dd1354-cfa1-11ee-8171-506b8d9879b5</v>
      </c>
      <c r="B178" s="5" t="str">
        <f>IFNA(VLOOKUP(F178,Driver!A:C,2,false),"")</f>
        <v>d442fba0-37c6-11ed-ab29-506b8dbc8dfb</v>
      </c>
      <c r="C178" s="5" t="str">
        <f>IFNA(VLOOKUP(E178,'Location Table'!A:C,2,false),"")</f>
        <v/>
      </c>
      <c r="D178" s="6" t="s">
        <v>200</v>
      </c>
      <c r="E178" s="6"/>
      <c r="F178" s="6" t="s">
        <v>183</v>
      </c>
      <c r="G178" s="7" t="s">
        <v>873</v>
      </c>
      <c r="H178" s="8" t="str">
        <f>IFNA(VLOOKUP(F178,Driver!A:C,3,false),"")</f>
        <v>c4530791c2db2b8572ca</v>
      </c>
      <c r="I178" s="9">
        <v>0.2916666666666667</v>
      </c>
      <c r="J178" s="9">
        <v>0.6666666666666666</v>
      </c>
    </row>
    <row r="179" hidden="1">
      <c r="A179" s="5" t="str">
        <f>IFNA(VLOOKUP(D179,'Location Table'!A:C,2,false),"")</f>
        <v>67c52c1c-f248-11ee-a75f-506b8d9879b5</v>
      </c>
      <c r="B179" s="5" t="str">
        <f>IFNA(VLOOKUP(F179,Driver!A:C,2,false),"")</f>
        <v>d442fba0-37c6-11ed-ab29-506b8dbc8dfb</v>
      </c>
      <c r="C179" s="5" t="str">
        <f>IFNA(VLOOKUP(E179,'Location Table'!A:C,2,false),"")</f>
        <v/>
      </c>
      <c r="D179" s="6" t="s">
        <v>201</v>
      </c>
      <c r="E179" s="6"/>
      <c r="F179" s="6" t="s">
        <v>183</v>
      </c>
      <c r="G179" s="7" t="s">
        <v>873</v>
      </c>
      <c r="H179" s="8" t="str">
        <f>IFNA(VLOOKUP(F179,Driver!A:C,3,false),"")</f>
        <v>c4530791c2db2b8572ca</v>
      </c>
      <c r="I179" s="9">
        <v>0.2916666666666667</v>
      </c>
      <c r="J179" s="9">
        <v>0.6666666666666666</v>
      </c>
    </row>
    <row r="180" hidden="1">
      <c r="A180" s="5" t="str">
        <f>IFNA(VLOOKUP(D180,'Location Table'!A:C,2,false),"")</f>
        <v>dbd07d9c-14b1-11ef-aad1-506b8d9879b5</v>
      </c>
      <c r="B180" s="5" t="str">
        <f>IFNA(VLOOKUP(F180,Driver!A:C,2,false),"")</f>
        <v>b2c9b066-9445-11f0-b1db-506b8d982279</v>
      </c>
      <c r="C180" s="5" t="str">
        <f>IFNA(VLOOKUP(E180,'Location Table'!A:C,2,false),"")</f>
        <v/>
      </c>
      <c r="D180" s="6" t="s">
        <v>202</v>
      </c>
      <c r="E180" s="6"/>
      <c r="F180" s="6" t="s">
        <v>874</v>
      </c>
      <c r="G180" s="7" t="s">
        <v>873</v>
      </c>
      <c r="H180" s="8" t="str">
        <f>IFNA(VLOOKUP(F180,Driver!A:C,3,false),"")</f>
        <v>59fa514f510cb852e11d</v>
      </c>
      <c r="I180" s="9">
        <v>0.2916666666666667</v>
      </c>
      <c r="J180" s="9">
        <v>0.6666666666666666</v>
      </c>
    </row>
    <row r="181" hidden="1">
      <c r="A181" s="5" t="str">
        <f>IFNA(VLOOKUP(D181,'Location Table'!A:C,2,false),"")</f>
        <v>290bbe50-5e22-11ef-aba5-506b8d9879b5</v>
      </c>
      <c r="B181" s="5" t="str">
        <f>IFNA(VLOOKUP(F181,Driver!A:C,2,false),"")</f>
        <v>d442fba0-37c6-11ed-ab29-506b8dbc8dfb</v>
      </c>
      <c r="C181" s="5" t="str">
        <f>IFNA(VLOOKUP(E181,'Location Table'!A:C,2,false),"")</f>
        <v/>
      </c>
      <c r="D181" s="6" t="s">
        <v>203</v>
      </c>
      <c r="E181" s="6"/>
      <c r="F181" s="6" t="s">
        <v>183</v>
      </c>
      <c r="G181" s="7" t="s">
        <v>873</v>
      </c>
      <c r="H181" s="8" t="str">
        <f>IFNA(VLOOKUP(F181,Driver!A:C,3,false),"")</f>
        <v>c4530791c2db2b8572ca</v>
      </c>
      <c r="I181" s="9">
        <v>0.2916666666666667</v>
      </c>
      <c r="J181" s="9">
        <v>0.6666666666666666</v>
      </c>
    </row>
    <row r="182" hidden="1">
      <c r="A182" s="5" t="str">
        <f>IFNA(VLOOKUP(D182,'Location Table'!A:C,2,false),"")</f>
        <v>cf29f9ca-102c-11f0-9d35-506b8d982279</v>
      </c>
      <c r="B182" s="5" t="str">
        <f>IFNA(VLOOKUP(F182,Driver!A:C,2,false),"")</f>
        <v>d442fba0-37c6-11ed-ab29-506b8dbc8dfb</v>
      </c>
      <c r="C182" s="5" t="str">
        <f>IFNA(VLOOKUP(E182,'Location Table'!A:C,2,false),"")</f>
        <v/>
      </c>
      <c r="D182" s="6" t="s">
        <v>204</v>
      </c>
      <c r="E182" s="6"/>
      <c r="F182" s="6" t="s">
        <v>183</v>
      </c>
      <c r="G182" s="7" t="s">
        <v>873</v>
      </c>
      <c r="H182" s="8" t="str">
        <f>IFNA(VLOOKUP(F182,Driver!A:C,3,false),"")</f>
        <v>c4530791c2db2b8572ca</v>
      </c>
      <c r="I182" s="9">
        <v>0.2916666666666667</v>
      </c>
      <c r="J182" s="9">
        <v>0.6666666666666666</v>
      </c>
    </row>
    <row r="183" hidden="1">
      <c r="A183" s="5" t="str">
        <f>IFNA(VLOOKUP(D183,'Location Table'!A:C,2,false),"")</f>
        <v>7f7b4db8-b90a-11ee-a2a8-506b8d9879b5</v>
      </c>
      <c r="B183" s="5" t="str">
        <f>IFNA(VLOOKUP(F183,Driver!A:C,2,false),"")</f>
        <v>d442fba0-37c6-11ed-ab29-506b8dbc8dfb</v>
      </c>
      <c r="C183" s="5" t="str">
        <f>IFNA(VLOOKUP(E183,'Location Table'!A:C,2,false),"")</f>
        <v/>
      </c>
      <c r="D183" s="6" t="s">
        <v>205</v>
      </c>
      <c r="E183" s="6"/>
      <c r="F183" s="6" t="s">
        <v>183</v>
      </c>
      <c r="G183" s="7" t="s">
        <v>873</v>
      </c>
      <c r="H183" s="8" t="str">
        <f>IFNA(VLOOKUP(F183,Driver!A:C,3,false),"")</f>
        <v>c4530791c2db2b8572ca</v>
      </c>
      <c r="I183" s="9">
        <v>0.2916666666666667</v>
      </c>
      <c r="J183" s="9">
        <v>0.6666666666666666</v>
      </c>
    </row>
    <row r="184" hidden="1">
      <c r="A184" s="5" t="str">
        <f>IFNA(VLOOKUP(D184,'Location Table'!A:C,2,false),"")</f>
        <v>06ff12ae-d3f6-11ef-a69f-506b8d9879b5</v>
      </c>
      <c r="B184" s="5" t="str">
        <f>IFNA(VLOOKUP(F184,Driver!A:C,2,false),"")</f>
        <v>d442fba0-37c6-11ed-ab29-506b8dbc8dfb</v>
      </c>
      <c r="C184" s="5" t="str">
        <f>IFNA(VLOOKUP(E184,'Location Table'!A:C,2,false),"")</f>
        <v/>
      </c>
      <c r="D184" s="6" t="s">
        <v>206</v>
      </c>
      <c r="E184" s="6"/>
      <c r="F184" s="6" t="s">
        <v>183</v>
      </c>
      <c r="G184" s="7" t="s">
        <v>873</v>
      </c>
      <c r="H184" s="8" t="str">
        <f>IFNA(VLOOKUP(F184,Driver!A:C,3,false),"")</f>
        <v>c4530791c2db2b8572ca</v>
      </c>
      <c r="I184" s="9">
        <v>0.2916666666666667</v>
      </c>
      <c r="J184" s="9">
        <v>0.6666666666666666</v>
      </c>
    </row>
    <row r="185" hidden="1">
      <c r="A185" s="5" t="str">
        <f>IFNA(VLOOKUP(D185,'Location Table'!A:C,2,false),"")</f>
        <v>c83677f6-17c7-11ee-bfd0-506b8d9879b5</v>
      </c>
      <c r="B185" s="5" t="str">
        <f>IFNA(VLOOKUP(F185,Driver!A:C,2,false),"")</f>
        <v>d442fba0-37c6-11ed-ab29-506b8dbc8dfb</v>
      </c>
      <c r="C185" s="5" t="str">
        <f>IFNA(VLOOKUP(E185,'Location Table'!A:C,2,false),"")</f>
        <v/>
      </c>
      <c r="D185" s="6" t="s">
        <v>207</v>
      </c>
      <c r="E185" s="6"/>
      <c r="F185" s="6" t="s">
        <v>183</v>
      </c>
      <c r="G185" s="7" t="s">
        <v>873</v>
      </c>
      <c r="H185" s="8" t="str">
        <f>IFNA(VLOOKUP(F185,Driver!A:C,3,false),"")</f>
        <v>c4530791c2db2b8572ca</v>
      </c>
      <c r="I185" s="9">
        <v>0.2916666666666667</v>
      </c>
      <c r="J185" s="9">
        <v>0.6666666666666666</v>
      </c>
    </row>
    <row r="186" hidden="1">
      <c r="A186" s="5" t="str">
        <f>IFNA(VLOOKUP(D186,'Location Table'!A:C,2,false),"")</f>
        <v>5e0615a2-93e2-11ee-b54c-506b8d9879b5</v>
      </c>
      <c r="B186" s="5" t="str">
        <f>IFNA(VLOOKUP(F186,Driver!A:C,2,false),"")</f>
        <v>d442fba0-37c6-11ed-ab29-506b8dbc8dfb</v>
      </c>
      <c r="C186" s="5" t="str">
        <f>IFNA(VLOOKUP(E186,'Location Table'!A:C,2,false),"")</f>
        <v/>
      </c>
      <c r="D186" s="6" t="s">
        <v>208</v>
      </c>
      <c r="E186" s="6"/>
      <c r="F186" s="6" t="s">
        <v>183</v>
      </c>
      <c r="G186" s="7" t="s">
        <v>873</v>
      </c>
      <c r="H186" s="8" t="str">
        <f>IFNA(VLOOKUP(F186,Driver!A:C,3,false),"")</f>
        <v>c4530791c2db2b8572ca</v>
      </c>
      <c r="I186" s="9">
        <v>0.2916666666666667</v>
      </c>
      <c r="J186" s="9">
        <v>0.6666666666666666</v>
      </c>
    </row>
    <row r="187" hidden="1">
      <c r="A187" s="5" t="str">
        <f>IFNA(VLOOKUP(D187,'Location Table'!A:C,2,false),"")</f>
        <v>5a41e340-ad5b-11ef-bdc2-506b8d9879b5</v>
      </c>
      <c r="B187" s="5" t="str">
        <f>IFNA(VLOOKUP(F187,Driver!A:C,2,false),"")</f>
        <v>d442fba0-37c6-11ed-ab29-506b8dbc8dfb</v>
      </c>
      <c r="C187" s="5" t="str">
        <f>IFNA(VLOOKUP(E187,'Location Table'!A:C,2,false),"")</f>
        <v/>
      </c>
      <c r="D187" s="6" t="s">
        <v>209</v>
      </c>
      <c r="E187" s="6"/>
      <c r="F187" s="6" t="s">
        <v>183</v>
      </c>
      <c r="G187" s="7" t="s">
        <v>873</v>
      </c>
      <c r="H187" s="8" t="str">
        <f>IFNA(VLOOKUP(F187,Driver!A:C,3,false),"")</f>
        <v>c4530791c2db2b8572ca</v>
      </c>
      <c r="I187" s="9">
        <v>0.2916666666666667</v>
      </c>
      <c r="J187" s="9">
        <v>0.6666666666666666</v>
      </c>
    </row>
    <row r="188" hidden="1">
      <c r="A188" s="5" t="str">
        <f>IFNA(VLOOKUP(D188,'Location Table'!A:C,2,false),"")</f>
        <v>5732b7fc-902c-11ef-8bd2-506b8d9879b5</v>
      </c>
      <c r="B188" s="5" t="str">
        <f>IFNA(VLOOKUP(F188,Driver!A:C,2,false),"")</f>
        <v>d442fba0-37c6-11ed-ab29-506b8dbc8dfb</v>
      </c>
      <c r="C188" s="5" t="str">
        <f>IFNA(VLOOKUP(E188,'Location Table'!A:C,2,false),"")</f>
        <v/>
      </c>
      <c r="D188" s="6" t="s">
        <v>210</v>
      </c>
      <c r="E188" s="6"/>
      <c r="F188" s="6" t="s">
        <v>183</v>
      </c>
      <c r="G188" s="7" t="s">
        <v>873</v>
      </c>
      <c r="H188" s="8" t="str">
        <f>IFNA(VLOOKUP(F188,Driver!A:C,3,false),"")</f>
        <v>c4530791c2db2b8572ca</v>
      </c>
      <c r="I188" s="9">
        <v>0.2916666666666667</v>
      </c>
      <c r="J188" s="9">
        <v>0.6666666666666666</v>
      </c>
    </row>
    <row r="189" hidden="1">
      <c r="A189" s="5" t="str">
        <f>IFNA(VLOOKUP(D189,'Location Table'!A:C,2,false),"")</f>
        <v>5af8a98e-9999-11ef-a973-506b8d9879b5</v>
      </c>
      <c r="B189" s="5" t="str">
        <f>IFNA(VLOOKUP(F189,Driver!A:C,2,false),"")</f>
        <v>d442fba0-37c6-11ed-ab29-506b8dbc8dfb</v>
      </c>
      <c r="C189" s="5" t="str">
        <f>IFNA(VLOOKUP(E189,'Location Table'!A:C,2,false),"")</f>
        <v/>
      </c>
      <c r="D189" s="6" t="s">
        <v>211</v>
      </c>
      <c r="E189" s="6"/>
      <c r="F189" s="6" t="s">
        <v>183</v>
      </c>
      <c r="G189" s="7" t="s">
        <v>873</v>
      </c>
      <c r="H189" s="8" t="str">
        <f>IFNA(VLOOKUP(F189,Driver!A:C,3,false),"")</f>
        <v>c4530791c2db2b8572ca</v>
      </c>
      <c r="I189" s="9">
        <v>0.2916666666666667</v>
      </c>
      <c r="J189" s="9">
        <v>0.6666666666666666</v>
      </c>
    </row>
    <row r="190" hidden="1">
      <c r="A190" s="5" t="str">
        <f>IFNA(VLOOKUP(D190,'Location Table'!A:C,2,false),"")</f>
        <v>d5d45af4-91dc-11f0-9af6-506b8d982279</v>
      </c>
      <c r="B190" s="5" t="str">
        <f>IFNA(VLOOKUP(F190,Driver!A:C,2,false),"")</f>
        <v>d442fba0-37c6-11ed-ab29-506b8dbc8dfb</v>
      </c>
      <c r="C190" s="5" t="str">
        <f>IFNA(VLOOKUP(E190,'Location Table'!A:C,2,false),"")</f>
        <v/>
      </c>
      <c r="D190" s="6" t="s">
        <v>212</v>
      </c>
      <c r="E190" s="6"/>
      <c r="F190" s="6" t="s">
        <v>183</v>
      </c>
      <c r="G190" s="7" t="s">
        <v>873</v>
      </c>
      <c r="H190" s="8" t="str">
        <f>IFNA(VLOOKUP(F190,Driver!A:C,3,false),"")</f>
        <v>c4530791c2db2b8572ca</v>
      </c>
      <c r="I190" s="9">
        <v>0.2916666666666667</v>
      </c>
      <c r="J190" s="9">
        <v>0.6666666666666666</v>
      </c>
    </row>
    <row r="191" hidden="1">
      <c r="A191" s="5" t="str">
        <f>IFNA(VLOOKUP(D191,'Location Table'!A:C,2,false),"")</f>
        <v>c5e2def6-ac6b-11ef-9515-506b8d9879b5</v>
      </c>
      <c r="B191" s="5" t="str">
        <f>IFNA(VLOOKUP(F191,Driver!A:C,2,false),"")</f>
        <v>d442fba0-37c6-11ed-ab29-506b8dbc8dfb</v>
      </c>
      <c r="C191" s="5" t="str">
        <f>IFNA(VLOOKUP(E191,'Location Table'!A:C,2,false),"")</f>
        <v/>
      </c>
      <c r="D191" s="6" t="s">
        <v>213</v>
      </c>
      <c r="E191" s="6"/>
      <c r="F191" s="6" t="s">
        <v>183</v>
      </c>
      <c r="G191" s="7" t="s">
        <v>873</v>
      </c>
      <c r="H191" s="8" t="str">
        <f>IFNA(VLOOKUP(F191,Driver!A:C,3,false),"")</f>
        <v>c4530791c2db2b8572ca</v>
      </c>
      <c r="I191" s="9">
        <v>0.2916666666666667</v>
      </c>
      <c r="J191" s="9">
        <v>0.6666666666666666</v>
      </c>
    </row>
    <row r="192" hidden="1">
      <c r="A192" s="5" t="str">
        <f>IFNA(VLOOKUP(D192,'Location Table'!A:C,2,false),"")</f>
        <v>ad7c3d8e-4514-11f0-b1fa-506b8d982279</v>
      </c>
      <c r="B192" s="5" t="str">
        <f>IFNA(VLOOKUP(F192,Driver!A:C,2,false),"")</f>
        <v>d442fba0-37c6-11ed-ab29-506b8dbc8dfb</v>
      </c>
      <c r="C192" s="5" t="str">
        <f>IFNA(VLOOKUP(E192,'Location Table'!A:C,2,false),"")</f>
        <v/>
      </c>
      <c r="D192" s="6" t="s">
        <v>214</v>
      </c>
      <c r="E192" s="6"/>
      <c r="F192" s="6" t="s">
        <v>183</v>
      </c>
      <c r="G192" s="7" t="s">
        <v>873</v>
      </c>
      <c r="H192" s="8" t="str">
        <f>IFNA(VLOOKUP(F192,Driver!A:C,3,false),"")</f>
        <v>c4530791c2db2b8572ca</v>
      </c>
      <c r="I192" s="9">
        <v>0.2916666666666667</v>
      </c>
      <c r="J192" s="9">
        <v>0.6666666666666666</v>
      </c>
    </row>
    <row r="193" hidden="1">
      <c r="A193" s="5" t="str">
        <f>IFNA(VLOOKUP(D193,'Location Table'!A:C,2,false),"")</f>
        <v>6e8d3dc6-d655-11f0-b393-506b8d982279</v>
      </c>
      <c r="B193" s="5" t="str">
        <f>IFNA(VLOOKUP(F193,Driver!A:C,2,false),"")</f>
        <v>d442fba0-37c6-11ed-ab29-506b8dbc8dfb</v>
      </c>
      <c r="C193" s="5" t="str">
        <f>IFNA(VLOOKUP(E193,'Location Table'!A:C,2,false),"")</f>
        <v/>
      </c>
      <c r="D193" s="6" t="s">
        <v>215</v>
      </c>
      <c r="E193" s="6"/>
      <c r="F193" s="6" t="s">
        <v>183</v>
      </c>
      <c r="G193" s="7" t="s">
        <v>873</v>
      </c>
      <c r="H193" s="8" t="str">
        <f>IFNA(VLOOKUP(F193,Driver!A:C,3,false),"")</f>
        <v>c4530791c2db2b8572ca</v>
      </c>
      <c r="I193" s="9">
        <v>0.2916666666666667</v>
      </c>
      <c r="J193" s="9">
        <v>0.6666666666666666</v>
      </c>
    </row>
    <row r="194" hidden="1">
      <c r="A194" s="5" t="str">
        <f>IFNA(VLOOKUP(D194,'Location Table'!A:C,2,false),"")</f>
        <v>5c5788d6-ad57-11f0-af0c-506b8d982279</v>
      </c>
      <c r="B194" s="5" t="str">
        <f>IFNA(VLOOKUP(F194,Driver!A:C,2,false),"")</f>
        <v>d442fba0-37c6-11ed-ab29-506b8dbc8dfb</v>
      </c>
      <c r="C194" s="5" t="str">
        <f>IFNA(VLOOKUP(E194,'Location Table'!A:C,2,false),"")</f>
        <v/>
      </c>
      <c r="D194" s="6" t="s">
        <v>216</v>
      </c>
      <c r="E194" s="6"/>
      <c r="F194" s="6" t="s">
        <v>183</v>
      </c>
      <c r="G194" s="7" t="s">
        <v>873</v>
      </c>
      <c r="H194" s="8" t="str">
        <f>IFNA(VLOOKUP(F194,Driver!A:C,3,false),"")</f>
        <v>c4530791c2db2b8572ca</v>
      </c>
      <c r="I194" s="9">
        <v>0.2916666666666667</v>
      </c>
      <c r="J194" s="9">
        <v>0.6666666666666666</v>
      </c>
    </row>
    <row r="195" hidden="1">
      <c r="A195" s="5" t="str">
        <f>IFNA(VLOOKUP(D195,'Location Table'!A:C,2,false),"")</f>
        <v>28570ae4-d0ce-11f0-9e59-506b8d982279</v>
      </c>
      <c r="B195" s="5" t="str">
        <f>IFNA(VLOOKUP(F195,Driver!A:C,2,false),"")</f>
        <v>d442fba0-37c6-11ed-ab29-506b8dbc8dfb</v>
      </c>
      <c r="C195" s="5" t="str">
        <f>IFNA(VLOOKUP(E195,'Location Table'!A:C,2,false),"")</f>
        <v/>
      </c>
      <c r="D195" s="6" t="s">
        <v>217</v>
      </c>
      <c r="E195" s="6"/>
      <c r="F195" s="6" t="s">
        <v>183</v>
      </c>
      <c r="G195" s="7" t="s">
        <v>873</v>
      </c>
      <c r="H195" s="8" t="str">
        <f>IFNA(VLOOKUP(F195,Driver!A:C,3,false),"")</f>
        <v>c4530791c2db2b8572ca</v>
      </c>
      <c r="I195" s="9">
        <v>0.2916666666666667</v>
      </c>
      <c r="J195" s="9">
        <v>0.6666666666666666</v>
      </c>
    </row>
    <row r="196" hidden="1">
      <c r="A196" s="5" t="str">
        <f>IFNA(VLOOKUP(D196,'Location Table'!A:C,2,false),"")</f>
        <v>d739b44c-e84a-11f0-beec-506b8d982279</v>
      </c>
      <c r="B196" s="5" t="str">
        <f>IFNA(VLOOKUP(F196,Driver!A:C,2,false),"")</f>
        <v>d442fba0-37c6-11ed-ab29-506b8dbc8dfb</v>
      </c>
      <c r="C196" s="5" t="str">
        <f>IFNA(VLOOKUP(E196,'Location Table'!A:C,2,false),"")</f>
        <v/>
      </c>
      <c r="D196" s="6" t="s">
        <v>218</v>
      </c>
      <c r="E196" s="6"/>
      <c r="F196" s="6" t="s">
        <v>183</v>
      </c>
      <c r="G196" s="7" t="s">
        <v>873</v>
      </c>
      <c r="H196" s="8" t="str">
        <f>IFNA(VLOOKUP(F196,Driver!A:C,3,false),"")</f>
        <v>c4530791c2db2b8572ca</v>
      </c>
      <c r="I196" s="9">
        <v>0.2916666666666667</v>
      </c>
      <c r="J196" s="9">
        <v>0.6666666666666666</v>
      </c>
    </row>
    <row r="197" hidden="1">
      <c r="A197" s="5" t="str">
        <f>IFNA(VLOOKUP(D197,'Location Table'!A:C,2,false),"")</f>
        <v>0704bb3e-ea14-11f0-9a4d-506b8d982279</v>
      </c>
      <c r="B197" s="5" t="str">
        <f>IFNA(VLOOKUP(F197,Driver!A:C,2,false),"")</f>
        <v>d442fba0-37c6-11ed-ab29-506b8dbc8dfb</v>
      </c>
      <c r="C197" s="5" t="str">
        <f>IFNA(VLOOKUP(E197,'Location Table'!A:C,2,false),"")</f>
        <v/>
      </c>
      <c r="D197" s="6" t="s">
        <v>219</v>
      </c>
      <c r="E197" s="6"/>
      <c r="F197" s="6" t="s">
        <v>183</v>
      </c>
      <c r="G197" s="7" t="s">
        <v>873</v>
      </c>
      <c r="H197" s="8" t="str">
        <f>IFNA(VLOOKUP(F197,Driver!A:C,3,false),"")</f>
        <v>c4530791c2db2b8572ca</v>
      </c>
      <c r="I197" s="9">
        <v>0.2916666666666667</v>
      </c>
      <c r="J197" s="9">
        <v>0.6666666666666666</v>
      </c>
    </row>
    <row r="198" hidden="1">
      <c r="A198" s="5" t="str">
        <f>IFNA(VLOOKUP(D198,'Location Table'!A:C,2,false),"")</f>
        <v>7d53a110-f90f-11f0-9378-fa163ee8d8ac</v>
      </c>
      <c r="B198" s="5" t="str">
        <f>IFNA(VLOOKUP(F198,Driver!A:C,2,false),"")</f>
        <v>d442fba0-37c6-11ed-ab29-506b8dbc8dfb</v>
      </c>
      <c r="C198" s="5" t="str">
        <f>IFNA(VLOOKUP(E198,'Location Table'!A:C,2,false),"")</f>
        <v/>
      </c>
      <c r="D198" s="6" t="s">
        <v>220</v>
      </c>
      <c r="E198" s="6"/>
      <c r="F198" s="6" t="s">
        <v>183</v>
      </c>
      <c r="G198" s="7" t="s">
        <v>873</v>
      </c>
      <c r="H198" s="8" t="str">
        <f>IFNA(VLOOKUP(F198,Driver!A:C,3,false),"")</f>
        <v>c4530791c2db2b8572ca</v>
      </c>
      <c r="I198" s="9">
        <v>0.2916666666666667</v>
      </c>
      <c r="J198" s="9">
        <v>0.6666666666666666</v>
      </c>
    </row>
    <row r="199" hidden="1">
      <c r="A199" s="5" t="str">
        <f>IFNA(VLOOKUP(D199,'Location Table'!A:C,2,false),"")</f>
        <v>a741cc82-e09a-11f0-a44c-506b8d982279</v>
      </c>
      <c r="B199" s="5" t="str">
        <f>IFNA(VLOOKUP(F199,Driver!A:C,2,false),"")</f>
        <v>d442fba0-37c6-11ed-ab29-506b8dbc8dfb</v>
      </c>
      <c r="C199" s="5" t="str">
        <f>IFNA(VLOOKUP(E199,'Location Table'!A:C,2,false),"")</f>
        <v/>
      </c>
      <c r="D199" s="6" t="s">
        <v>221</v>
      </c>
      <c r="E199" s="6"/>
      <c r="F199" s="6" t="s">
        <v>183</v>
      </c>
      <c r="G199" s="7" t="s">
        <v>873</v>
      </c>
      <c r="H199" s="8" t="str">
        <f>IFNA(VLOOKUP(F199,Driver!A:C,3,false),"")</f>
        <v>c4530791c2db2b8572ca</v>
      </c>
      <c r="I199" s="9">
        <v>0.2916666666666667</v>
      </c>
      <c r="J199" s="9">
        <v>0.6666666666666666</v>
      </c>
    </row>
    <row r="200" hidden="1">
      <c r="A200" s="5" t="str">
        <f>IFNA(VLOOKUP(D200,'Location Table'!A:C,2,false),"")</f>
        <v>d1aa759a-6fc3-11ee-981c-506b8d9879b5</v>
      </c>
      <c r="B200" s="5" t="str">
        <f>IFNA(VLOOKUP(F200,Driver!A:C,2,false),"")</f>
        <v>d442fba0-37c6-11ed-ab29-506b8dbc8dfb</v>
      </c>
      <c r="C200" s="5" t="str">
        <f>IFNA(VLOOKUP(E200,'Location Table'!A:C,2,false),"")</f>
        <v/>
      </c>
      <c r="D200" s="6" t="s">
        <v>222</v>
      </c>
      <c r="E200" s="6"/>
      <c r="F200" s="6" t="s">
        <v>183</v>
      </c>
      <c r="G200" s="7" t="s">
        <v>873</v>
      </c>
      <c r="H200" s="8" t="str">
        <f>IFNA(VLOOKUP(F200,Driver!A:C,3,false),"")</f>
        <v>c4530791c2db2b8572ca</v>
      </c>
      <c r="I200" s="9">
        <v>0.2916666666666667</v>
      </c>
      <c r="J200" s="9">
        <v>0.6666666666666666</v>
      </c>
    </row>
    <row r="201" hidden="1">
      <c r="A201" s="5" t="str">
        <f>IFNA(VLOOKUP(D201,'Location Table'!A:C,2,false),"")</f>
        <v>9cac571c-bf73-11f0-bb12-506b8d982279</v>
      </c>
      <c r="B201" s="5" t="str">
        <f>IFNA(VLOOKUP(F201,Driver!A:C,2,false),"")</f>
        <v>b2c9b066-9445-11f0-b1db-506b8d982279</v>
      </c>
      <c r="C201" s="5" t="str">
        <f>IFNA(VLOOKUP(E201,'Location Table'!A:C,2,false),"")</f>
        <v/>
      </c>
      <c r="D201" s="6" t="s">
        <v>223</v>
      </c>
      <c r="E201" s="6"/>
      <c r="F201" s="6" t="s">
        <v>874</v>
      </c>
      <c r="G201" s="7" t="s">
        <v>873</v>
      </c>
      <c r="H201" s="8" t="str">
        <f>IFNA(VLOOKUP(F201,Driver!A:C,3,false),"")</f>
        <v>59fa514f510cb852e11d</v>
      </c>
      <c r="I201" s="9">
        <v>0.2916666666666667</v>
      </c>
      <c r="J201" s="9">
        <v>0.6666666666666666</v>
      </c>
    </row>
    <row r="202" hidden="1">
      <c r="A202" s="5" t="str">
        <f>IFNA(VLOOKUP(D202,'Location Table'!A:C,2,false),"")</f>
        <v>2cf996e2-1b14-11ee-91a0-506b8d9879b5</v>
      </c>
      <c r="B202" s="5" t="str">
        <f>IFNA(VLOOKUP(F202,Driver!A:C,2,false),"")</f>
        <v>d442fba0-37c6-11ed-ab29-506b8dbc8dfb</v>
      </c>
      <c r="C202" s="5" t="str">
        <f>IFNA(VLOOKUP(E202,'Location Table'!A:C,2,false),"")</f>
        <v/>
      </c>
      <c r="D202" s="6" t="s">
        <v>224</v>
      </c>
      <c r="E202" s="6"/>
      <c r="F202" s="6" t="s">
        <v>183</v>
      </c>
      <c r="G202" s="7" t="s">
        <v>873</v>
      </c>
      <c r="H202" s="8" t="str">
        <f>IFNA(VLOOKUP(F202,Driver!A:C,3,false),"")</f>
        <v>c4530791c2db2b8572ca</v>
      </c>
      <c r="I202" s="9">
        <v>0.2916666666666667</v>
      </c>
      <c r="J202" s="9">
        <v>0.6666666666666666</v>
      </c>
    </row>
    <row r="203" hidden="1">
      <c r="A203" s="5" t="str">
        <f>IFNA(VLOOKUP(D203,'Location Table'!A:C,2,false),"")</f>
        <v>556dbe26-2129-11ee-a592-506b8d9879b5</v>
      </c>
      <c r="B203" s="5" t="str">
        <f>IFNA(VLOOKUP(F203,Driver!A:C,2,false),"")</f>
        <v>d442fba0-37c6-11ed-ab29-506b8dbc8dfb</v>
      </c>
      <c r="C203" s="5" t="str">
        <f>IFNA(VLOOKUP(E203,'Location Table'!A:C,2,false),"")</f>
        <v/>
      </c>
      <c r="D203" s="6" t="s">
        <v>225</v>
      </c>
      <c r="E203" s="6"/>
      <c r="F203" s="6" t="s">
        <v>183</v>
      </c>
      <c r="G203" s="7" t="s">
        <v>873</v>
      </c>
      <c r="H203" s="8" t="str">
        <f>IFNA(VLOOKUP(F203,Driver!A:C,3,false),"")</f>
        <v>c4530791c2db2b8572ca</v>
      </c>
      <c r="I203" s="9">
        <v>0.2916666666666667</v>
      </c>
      <c r="J203" s="9">
        <v>0.6666666666666666</v>
      </c>
    </row>
    <row r="204" hidden="1">
      <c r="A204" s="5" t="str">
        <f>IFNA(VLOOKUP(D204,'Location Table'!A:C,2,false),"")</f>
        <v>8bd366aa-447f-11ed-9a1c-506b8dbc8dfb</v>
      </c>
      <c r="B204" s="5" t="str">
        <f>IFNA(VLOOKUP(F204,Driver!A:C,2,false),"")</f>
        <v>d442fba0-37c6-11ed-ab29-506b8dbc8dfb</v>
      </c>
      <c r="C204" s="5" t="str">
        <f>IFNA(VLOOKUP(E204,'Location Table'!A:C,2,false),"")</f>
        <v/>
      </c>
      <c r="D204" s="6" t="s">
        <v>226</v>
      </c>
      <c r="E204" s="6"/>
      <c r="F204" s="6" t="s">
        <v>183</v>
      </c>
      <c r="G204" s="7" t="s">
        <v>873</v>
      </c>
      <c r="H204" s="8" t="str">
        <f>IFNA(VLOOKUP(F204,Driver!A:C,3,false),"")</f>
        <v>c4530791c2db2b8572ca</v>
      </c>
      <c r="I204" s="9">
        <v>0.2916666666666667</v>
      </c>
      <c r="J204" s="9">
        <v>0.6666666666666666</v>
      </c>
    </row>
    <row r="205" hidden="1">
      <c r="A205" s="5" t="str">
        <f>IFNA(VLOOKUP(D205,'Location Table'!A:C,2,false),"")</f>
        <v>a79a4c0a-447f-11ed-b11a-506b8dbc8dfb</v>
      </c>
      <c r="B205" s="5" t="str">
        <f>IFNA(VLOOKUP(F205,Driver!A:C,2,false),"")</f>
        <v>d442fba0-37c6-11ed-ab29-506b8dbc8dfb</v>
      </c>
      <c r="C205" s="5" t="str">
        <f>IFNA(VLOOKUP(E205,'Location Table'!A:C,2,false),"")</f>
        <v/>
      </c>
      <c r="D205" s="6" t="s">
        <v>227</v>
      </c>
      <c r="E205" s="6"/>
      <c r="F205" s="6" t="s">
        <v>183</v>
      </c>
      <c r="G205" s="7" t="s">
        <v>873</v>
      </c>
      <c r="H205" s="8" t="str">
        <f>IFNA(VLOOKUP(F205,Driver!A:C,3,false),"")</f>
        <v>c4530791c2db2b8572ca</v>
      </c>
      <c r="I205" s="9">
        <v>0.2916666666666667</v>
      </c>
      <c r="J205" s="9">
        <v>0.6666666666666666</v>
      </c>
    </row>
    <row r="206" hidden="1">
      <c r="A206" s="5" t="str">
        <f>IFNA(VLOOKUP(D206,'Location Table'!A:C,2,false),"")</f>
        <v>e5c655b2-4a0d-11ed-92c7-506b8dbc8dfb</v>
      </c>
      <c r="B206" s="5" t="str">
        <f>IFNA(VLOOKUP(F206,Driver!A:C,2,false),"")</f>
        <v>d442fba0-37c6-11ed-ab29-506b8dbc8dfb</v>
      </c>
      <c r="C206" s="5" t="str">
        <f>IFNA(VLOOKUP(E206,'Location Table'!A:C,2,false),"")</f>
        <v/>
      </c>
      <c r="D206" s="6" t="s">
        <v>229</v>
      </c>
      <c r="E206" s="6"/>
      <c r="F206" s="6" t="s">
        <v>183</v>
      </c>
      <c r="G206" s="7" t="s">
        <v>873</v>
      </c>
      <c r="H206" s="8" t="str">
        <f>IFNA(VLOOKUP(F206,Driver!A:C,3,false),"")</f>
        <v>c4530791c2db2b8572ca</v>
      </c>
      <c r="I206" s="9">
        <v>0.2916666666666667</v>
      </c>
      <c r="J206" s="9">
        <v>0.6666666666666666</v>
      </c>
    </row>
    <row r="207" hidden="1">
      <c r="A207" s="5" t="str">
        <f>IFNA(VLOOKUP(D207,'Location Table'!A:C,2,false),"")</f>
        <v>2fde8600-4252-11ee-8362-506b8d9879b5</v>
      </c>
      <c r="B207" s="5" t="str">
        <f>IFNA(VLOOKUP(F207,Driver!A:C,2,false),"")</f>
        <v>d442fba0-37c6-11ed-ab29-506b8dbc8dfb</v>
      </c>
      <c r="C207" s="5" t="str">
        <f>IFNA(VLOOKUP(E207,'Location Table'!A:C,2,false),"")</f>
        <v/>
      </c>
      <c r="D207" s="6" t="s">
        <v>230</v>
      </c>
      <c r="E207" s="6"/>
      <c r="F207" s="6" t="s">
        <v>183</v>
      </c>
      <c r="G207" s="7" t="s">
        <v>873</v>
      </c>
      <c r="H207" s="8" t="str">
        <f>IFNA(VLOOKUP(F207,Driver!A:C,3,false),"")</f>
        <v>c4530791c2db2b8572ca</v>
      </c>
      <c r="I207" s="9">
        <v>0.2916666666666667</v>
      </c>
      <c r="J207" s="9">
        <v>0.6666666666666666</v>
      </c>
    </row>
    <row r="208" hidden="1">
      <c r="A208" s="5" t="str">
        <f>IFNA(VLOOKUP(D208,'Location Table'!A:C,2,false),"")</f>
        <v>37af7d88-4624-11ed-b5b0-506b8dbc8dfb</v>
      </c>
      <c r="B208" s="5" t="str">
        <f>IFNA(VLOOKUP(F208,Driver!A:C,2,false),"")</f>
        <v>d442fba0-37c6-11ed-ab29-506b8dbc8dfb</v>
      </c>
      <c r="C208" s="5" t="str">
        <f>IFNA(VLOOKUP(E208,'Location Table'!A:C,2,false),"")</f>
        <v/>
      </c>
      <c r="D208" s="6" t="s">
        <v>231</v>
      </c>
      <c r="E208" s="6"/>
      <c r="F208" s="6" t="s">
        <v>183</v>
      </c>
      <c r="G208" s="7" t="s">
        <v>873</v>
      </c>
      <c r="H208" s="8" t="str">
        <f>IFNA(VLOOKUP(F208,Driver!A:C,3,false),"")</f>
        <v>c4530791c2db2b8572ca</v>
      </c>
      <c r="I208" s="9">
        <v>0.2916666666666667</v>
      </c>
      <c r="J208" s="9">
        <v>0.6666666666666666</v>
      </c>
    </row>
    <row r="209" hidden="1">
      <c r="A209" s="5" t="str">
        <f>IFNA(VLOOKUP(D209,'Location Table'!A:C,2,false),"")</f>
        <v>61781582-47b1-11ee-9053-506b8d9879b5</v>
      </c>
      <c r="B209" s="5" t="str">
        <f>IFNA(VLOOKUP(F209,Driver!A:C,2,false),"")</f>
        <v>d442fba0-37c6-11ed-ab29-506b8dbc8dfb</v>
      </c>
      <c r="C209" s="5" t="str">
        <f>IFNA(VLOOKUP(E209,'Location Table'!A:C,2,false),"")</f>
        <v/>
      </c>
      <c r="D209" s="6" t="s">
        <v>232</v>
      </c>
      <c r="E209" s="6"/>
      <c r="F209" s="6" t="s">
        <v>183</v>
      </c>
      <c r="G209" s="7" t="s">
        <v>873</v>
      </c>
      <c r="H209" s="8" t="str">
        <f>IFNA(VLOOKUP(F209,Driver!A:C,3,false),"")</f>
        <v>c4530791c2db2b8572ca</v>
      </c>
      <c r="I209" s="9">
        <v>0.2916666666666667</v>
      </c>
      <c r="J209" s="9">
        <v>0.6666666666666666</v>
      </c>
    </row>
    <row r="210" hidden="1">
      <c r="A210" s="5" t="str">
        <f>IFNA(VLOOKUP(D210,'Location Table'!A:C,2,false),"")</f>
        <v>01e0ec98-cf06-11ee-b4d1-506b8d9879b5</v>
      </c>
      <c r="B210" s="5" t="str">
        <f>IFNA(VLOOKUP(F210,Driver!A:C,2,false),"")</f>
        <v>d442fba0-37c6-11ed-ab29-506b8dbc8dfb</v>
      </c>
      <c r="C210" s="5" t="str">
        <f>IFNA(VLOOKUP(E210,'Location Table'!A:C,2,false),"")</f>
        <v/>
      </c>
      <c r="D210" s="6" t="s">
        <v>233</v>
      </c>
      <c r="E210" s="6"/>
      <c r="F210" s="6" t="s">
        <v>183</v>
      </c>
      <c r="G210" s="7" t="s">
        <v>873</v>
      </c>
      <c r="H210" s="8" t="str">
        <f>IFNA(VLOOKUP(F210,Driver!A:C,3,false),"")</f>
        <v>c4530791c2db2b8572ca</v>
      </c>
      <c r="I210" s="9">
        <v>0.2916666666666667</v>
      </c>
      <c r="J210" s="9">
        <v>0.6666666666666666</v>
      </c>
    </row>
    <row r="211" hidden="1">
      <c r="A211" s="5" t="str">
        <f>IFNA(VLOOKUP(D211,'Location Table'!A:C,2,false),"")</f>
        <v>93b73574-49ff-11ed-81c1-506b8dbc8dfb</v>
      </c>
      <c r="B211" s="5" t="str">
        <f>IFNA(VLOOKUP(F211,Driver!A:C,2,false),"")</f>
        <v>d442fba0-37c6-11ed-ab29-506b8dbc8dfb</v>
      </c>
      <c r="C211" s="5" t="str">
        <f>IFNA(VLOOKUP(E211,'Location Table'!A:C,2,false),"")</f>
        <v/>
      </c>
      <c r="D211" s="6" t="s">
        <v>234</v>
      </c>
      <c r="E211" s="6"/>
      <c r="F211" s="6" t="s">
        <v>183</v>
      </c>
      <c r="G211" s="7" t="s">
        <v>873</v>
      </c>
      <c r="H211" s="8" t="str">
        <f>IFNA(VLOOKUP(F211,Driver!A:C,3,false),"")</f>
        <v>c4530791c2db2b8572ca</v>
      </c>
      <c r="I211" s="9">
        <v>0.2916666666666667</v>
      </c>
      <c r="J211" s="9">
        <v>0.6666666666666666</v>
      </c>
    </row>
    <row r="212" hidden="1">
      <c r="A212" s="5" t="str">
        <f>IFNA(VLOOKUP(D212,'Location Table'!A:C,2,false),"")</f>
        <v>7ec93b68-16fe-11ee-932a-506b8d9879b5</v>
      </c>
      <c r="B212" s="5" t="str">
        <f>IFNA(VLOOKUP(F212,Driver!A:C,2,false),"")</f>
        <v>d442fba0-37c6-11ed-ab29-506b8dbc8dfb</v>
      </c>
      <c r="C212" s="5" t="str">
        <f>IFNA(VLOOKUP(E212,'Location Table'!A:C,2,false),"")</f>
        <v/>
      </c>
      <c r="D212" s="6" t="s">
        <v>235</v>
      </c>
      <c r="E212" s="6"/>
      <c r="F212" s="6" t="s">
        <v>183</v>
      </c>
      <c r="G212" s="7" t="s">
        <v>873</v>
      </c>
      <c r="H212" s="8" t="str">
        <f>IFNA(VLOOKUP(F212,Driver!A:C,3,false),"")</f>
        <v>c4530791c2db2b8572ca</v>
      </c>
      <c r="I212" s="9">
        <v>0.2916666666666667</v>
      </c>
      <c r="J212" s="9">
        <v>0.6666666666666666</v>
      </c>
    </row>
    <row r="213" hidden="1">
      <c r="A213" s="5" t="str">
        <f>IFNA(VLOOKUP(D213,'Location Table'!A:C,2,false),"")</f>
        <v>3d8510ae-219d-11f0-8f8e-506b8d982279</v>
      </c>
      <c r="B213" s="5" t="str">
        <f>IFNA(VLOOKUP(F213,Driver!A:C,2,false),"")</f>
        <v>d442fba0-37c6-11ed-ab29-506b8dbc8dfb</v>
      </c>
      <c r="C213" s="5" t="str">
        <f>IFNA(VLOOKUP(E213,'Location Table'!A:C,2,false),"")</f>
        <v/>
      </c>
      <c r="D213" s="6" t="s">
        <v>236</v>
      </c>
      <c r="E213" s="6"/>
      <c r="F213" s="6" t="s">
        <v>183</v>
      </c>
      <c r="G213" s="7" t="s">
        <v>873</v>
      </c>
      <c r="H213" s="8" t="str">
        <f>IFNA(VLOOKUP(F213,Driver!A:C,3,false),"")</f>
        <v>c4530791c2db2b8572ca</v>
      </c>
      <c r="I213" s="9">
        <v>0.2916666666666667</v>
      </c>
      <c r="J213" s="9">
        <v>0.6666666666666666</v>
      </c>
    </row>
    <row r="214" hidden="1">
      <c r="A214" s="5" t="str">
        <f>IFNA(VLOOKUP(D214,'Location Table'!A:C,2,false),"")</f>
        <v>e88b0718-dba5-11ee-b0a0-506b8d9879b5</v>
      </c>
      <c r="B214" s="5" t="str">
        <f>IFNA(VLOOKUP(F214,Driver!A:C,2,false),"")</f>
        <v>d442fba0-37c6-11ed-ab29-506b8dbc8dfb</v>
      </c>
      <c r="C214" s="5" t="str">
        <f>IFNA(VLOOKUP(E214,'Location Table'!A:C,2,false),"")</f>
        <v/>
      </c>
      <c r="D214" s="6" t="s">
        <v>237</v>
      </c>
      <c r="E214" s="6"/>
      <c r="F214" s="6" t="s">
        <v>183</v>
      </c>
      <c r="G214" s="7" t="s">
        <v>873</v>
      </c>
      <c r="H214" s="8" t="str">
        <f>IFNA(VLOOKUP(F214,Driver!A:C,3,false),"")</f>
        <v>c4530791c2db2b8572ca</v>
      </c>
      <c r="I214" s="9">
        <v>0.2916666666666667</v>
      </c>
      <c r="J214" s="9">
        <v>0.6666666666666666</v>
      </c>
    </row>
    <row r="215" hidden="1">
      <c r="A215" s="5" t="str">
        <f>IFNA(VLOOKUP(D215,'Location Table'!A:C,2,false),"")</f>
        <v>bb622ab6-8b35-11ee-8453-506b8d9879b5</v>
      </c>
      <c r="B215" s="5" t="str">
        <f>IFNA(VLOOKUP(F215,Driver!A:C,2,false),"")</f>
        <v>d442fba0-37c6-11ed-ab29-506b8dbc8dfb</v>
      </c>
      <c r="C215" s="5" t="str">
        <f>IFNA(VLOOKUP(E215,'Location Table'!A:C,2,false),"")</f>
        <v/>
      </c>
      <c r="D215" s="6" t="s">
        <v>238</v>
      </c>
      <c r="E215" s="6"/>
      <c r="F215" s="6" t="s">
        <v>183</v>
      </c>
      <c r="G215" s="7" t="s">
        <v>873</v>
      </c>
      <c r="H215" s="8" t="str">
        <f>IFNA(VLOOKUP(F215,Driver!A:C,3,false),"")</f>
        <v>c4530791c2db2b8572ca</v>
      </c>
      <c r="I215" s="9">
        <v>0.2916666666666667</v>
      </c>
      <c r="J215" s="9">
        <v>0.6666666666666666</v>
      </c>
    </row>
    <row r="216" hidden="1">
      <c r="A216" s="5" t="str">
        <f>IFNA(VLOOKUP(D216,'Location Table'!A:C,2,false),"")</f>
        <v>2dbcf8fe-842c-11ee-969a-506b8d9879b5</v>
      </c>
      <c r="B216" s="5" t="str">
        <f>IFNA(VLOOKUP(F216,Driver!A:C,2,false),"")</f>
        <v>d442fba0-37c6-11ed-ab29-506b8dbc8dfb</v>
      </c>
      <c r="C216" s="5" t="str">
        <f>IFNA(VLOOKUP(E216,'Location Table'!A:C,2,false),"")</f>
        <v/>
      </c>
      <c r="D216" s="6" t="s">
        <v>239</v>
      </c>
      <c r="E216" s="6"/>
      <c r="F216" s="6" t="s">
        <v>183</v>
      </c>
      <c r="G216" s="7" t="s">
        <v>873</v>
      </c>
      <c r="H216" s="8" t="str">
        <f>IFNA(VLOOKUP(F216,Driver!A:C,3,false),"")</f>
        <v>c4530791c2db2b8572ca</v>
      </c>
      <c r="I216" s="9">
        <v>0.2916666666666667</v>
      </c>
      <c r="J216" s="9">
        <v>0.6666666666666666</v>
      </c>
    </row>
    <row r="217" hidden="1">
      <c r="A217" s="5" t="str">
        <f>IFNA(VLOOKUP(D217,'Location Table'!A:C,2,false),"")</f>
        <v>4063cc96-6051-11f0-95b5-506b8d982279</v>
      </c>
      <c r="B217" s="5" t="str">
        <f>IFNA(VLOOKUP(F217,Driver!A:C,2,false),"")</f>
        <v>d442fba0-37c6-11ed-ab29-506b8dbc8dfb</v>
      </c>
      <c r="C217" s="5" t="str">
        <f>IFNA(VLOOKUP(E217,'Location Table'!A:C,2,false),"")</f>
        <v/>
      </c>
      <c r="D217" s="6" t="s">
        <v>240</v>
      </c>
      <c r="E217" s="6"/>
      <c r="F217" s="6" t="s">
        <v>183</v>
      </c>
      <c r="G217" s="7" t="s">
        <v>873</v>
      </c>
      <c r="H217" s="8" t="str">
        <f>IFNA(VLOOKUP(F217,Driver!A:C,3,false),"")</f>
        <v>c4530791c2db2b8572ca</v>
      </c>
      <c r="I217" s="9">
        <v>0.2916666666666667</v>
      </c>
      <c r="J217" s="9">
        <v>0.6666666666666666</v>
      </c>
    </row>
    <row r="218" hidden="1">
      <c r="A218" s="5" t="str">
        <f>IFNA(VLOOKUP(D218,'Location Table'!A:C,2,false),"")</f>
        <v>7282a9a6-49fa-11ed-a652-506b8dbc8dfb</v>
      </c>
      <c r="B218" s="5" t="str">
        <f>IFNA(VLOOKUP(F218,Driver!A:C,2,false),"")</f>
        <v>d442fba0-37c6-11ed-ab29-506b8dbc8dfb</v>
      </c>
      <c r="C218" s="5" t="str">
        <f>IFNA(VLOOKUP(E218,'Location Table'!A:C,2,false),"")</f>
        <v/>
      </c>
      <c r="D218" s="6" t="s">
        <v>241</v>
      </c>
      <c r="E218" s="6"/>
      <c r="F218" s="6" t="s">
        <v>183</v>
      </c>
      <c r="G218" s="7" t="s">
        <v>873</v>
      </c>
      <c r="H218" s="8" t="str">
        <f>IFNA(VLOOKUP(F218,Driver!A:C,3,false),"")</f>
        <v>c4530791c2db2b8572ca</v>
      </c>
      <c r="I218" s="9">
        <v>0.2916666666666667</v>
      </c>
      <c r="J218" s="9">
        <v>0.6666666666666666</v>
      </c>
    </row>
    <row r="219" hidden="1">
      <c r="A219" s="5" t="str">
        <f>IFNA(VLOOKUP(D219,'Location Table'!A:C,2,false),"")</f>
        <v>d380223a-4480-11ed-8d02-506b8dbc8dfb</v>
      </c>
      <c r="B219" s="5" t="str">
        <f>IFNA(VLOOKUP(F219,Driver!A:C,2,false),"")</f>
        <v>d442fba0-37c6-11ed-ab29-506b8dbc8dfb</v>
      </c>
      <c r="C219" s="5" t="str">
        <f>IFNA(VLOOKUP(E219,'Location Table'!A:C,2,false),"")</f>
        <v/>
      </c>
      <c r="D219" s="6" t="s">
        <v>242</v>
      </c>
      <c r="E219" s="6"/>
      <c r="F219" s="6" t="s">
        <v>183</v>
      </c>
      <c r="G219" s="7" t="s">
        <v>873</v>
      </c>
      <c r="H219" s="8" t="str">
        <f>IFNA(VLOOKUP(F219,Driver!A:C,3,false),"")</f>
        <v>c4530791c2db2b8572ca</v>
      </c>
      <c r="I219" s="9">
        <v>0.2916666666666667</v>
      </c>
      <c r="J219" s="9">
        <v>0.6666666666666666</v>
      </c>
    </row>
    <row r="220" hidden="1">
      <c r="A220" s="5" t="str">
        <f>IFNA(VLOOKUP(D220,'Location Table'!A:C,2,false),"")</f>
        <v>fa2ed10e-1f7e-11ee-a677-506b8d9879b5</v>
      </c>
      <c r="B220" s="5" t="str">
        <f>IFNA(VLOOKUP(F220,Driver!A:C,2,false),"")</f>
        <v>d442fba0-37c6-11ed-ab29-506b8dbc8dfb</v>
      </c>
      <c r="C220" s="5" t="str">
        <f>IFNA(VLOOKUP(E220,'Location Table'!A:C,2,false),"")</f>
        <v/>
      </c>
      <c r="D220" s="6" t="s">
        <v>243</v>
      </c>
      <c r="E220" s="6"/>
      <c r="F220" s="6" t="s">
        <v>183</v>
      </c>
      <c r="G220" s="7" t="s">
        <v>873</v>
      </c>
      <c r="H220" s="8" t="str">
        <f>IFNA(VLOOKUP(F220,Driver!A:C,3,false),"")</f>
        <v>c4530791c2db2b8572ca</v>
      </c>
      <c r="I220" s="9">
        <v>0.2916666666666667</v>
      </c>
      <c r="J220" s="9">
        <v>0.6666666666666666</v>
      </c>
    </row>
    <row r="221" hidden="1">
      <c r="A221" s="5" t="str">
        <f>IFNA(VLOOKUP(D221,'Location Table'!A:C,2,false),"")</f>
        <v>72e3a2d4-8fba-11f0-a93c-506b8d982279</v>
      </c>
      <c r="B221" s="5" t="str">
        <f>IFNA(VLOOKUP(F221,Driver!A:C,2,false),"")</f>
        <v>d442fba0-37c6-11ed-ab29-506b8dbc8dfb</v>
      </c>
      <c r="C221" s="5" t="str">
        <f>IFNA(VLOOKUP(E221,'Location Table'!A:C,2,false),"")</f>
        <v/>
      </c>
      <c r="D221" s="6" t="s">
        <v>244</v>
      </c>
      <c r="E221" s="6"/>
      <c r="F221" s="6" t="s">
        <v>183</v>
      </c>
      <c r="G221" s="7" t="s">
        <v>873</v>
      </c>
      <c r="H221" s="8" t="str">
        <f>IFNA(VLOOKUP(F221,Driver!A:C,3,false),"")</f>
        <v>c4530791c2db2b8572ca</v>
      </c>
      <c r="I221" s="9">
        <v>0.2916666666666667</v>
      </c>
      <c r="J221" s="9">
        <v>0.6666666666666666</v>
      </c>
    </row>
    <row r="222" hidden="1">
      <c r="A222" s="5" t="str">
        <f>IFNA(VLOOKUP(D222,'Location Table'!A:C,2,false),"")</f>
        <v>08b826b6-938d-11ef-911f-506b8d9879b5</v>
      </c>
      <c r="B222" s="5" t="str">
        <f>IFNA(VLOOKUP(F222,Driver!A:C,2,false),"")</f>
        <v/>
      </c>
      <c r="C222" s="5" t="str">
        <f>IFNA(VLOOKUP(E222,'Location Table'!A:C,2,false),"")</f>
        <v/>
      </c>
      <c r="D222" s="6" t="s">
        <v>245</v>
      </c>
      <c r="E222" s="6"/>
      <c r="F222" s="6" t="s">
        <v>877</v>
      </c>
      <c r="G222" s="7" t="s">
        <v>873</v>
      </c>
      <c r="H222" s="8" t="str">
        <f>IFNA(VLOOKUP(F222,Driver!A:C,3,false),"")</f>
        <v/>
      </c>
      <c r="I222" s="9">
        <v>0.25</v>
      </c>
      <c r="J222" s="9">
        <v>0.4583333333333333</v>
      </c>
    </row>
    <row r="223" hidden="1">
      <c r="A223" s="5" t="str">
        <f>IFNA(VLOOKUP(D223,'Location Table'!A:C,2,false),"")</f>
        <v>d9e8fcd4-48f5-11ef-86ca-506b8d9879b5</v>
      </c>
      <c r="B223" s="5" t="str">
        <f>IFNA(VLOOKUP(F223,Driver!A:C,2,false),"")</f>
        <v/>
      </c>
      <c r="C223" s="5" t="str">
        <f>IFNA(VLOOKUP(E223,'Location Table'!A:C,2,false),"")</f>
        <v/>
      </c>
      <c r="D223" s="6" t="s">
        <v>247</v>
      </c>
      <c r="E223" s="6"/>
      <c r="F223" s="6" t="s">
        <v>877</v>
      </c>
      <c r="G223" s="7" t="s">
        <v>873</v>
      </c>
      <c r="H223" s="8" t="str">
        <f>IFNA(VLOOKUP(F223,Driver!A:C,3,false),"")</f>
        <v/>
      </c>
      <c r="I223" s="9">
        <v>0.25</v>
      </c>
      <c r="J223" s="9">
        <v>0.4583333333333333</v>
      </c>
    </row>
    <row r="224" hidden="1">
      <c r="A224" s="5" t="str">
        <f>IFNA(VLOOKUP(D224,'Location Table'!A:C,2,false),"")</f>
        <v>86fbb8bc-a919-11ee-abe3-506b8d9879b5</v>
      </c>
      <c r="B224" s="5" t="str">
        <f>IFNA(VLOOKUP(F224,Driver!A:C,2,false),"")</f>
        <v/>
      </c>
      <c r="C224" s="5" t="str">
        <f>IFNA(VLOOKUP(E224,'Location Table'!A:C,2,false),"")</f>
        <v/>
      </c>
      <c r="D224" s="6" t="s">
        <v>248</v>
      </c>
      <c r="E224" s="6"/>
      <c r="F224" s="6" t="s">
        <v>877</v>
      </c>
      <c r="G224" s="7" t="s">
        <v>873</v>
      </c>
      <c r="H224" s="8" t="str">
        <f>IFNA(VLOOKUP(F224,Driver!A:C,3,false),"")</f>
        <v/>
      </c>
      <c r="I224" s="9">
        <v>0.25</v>
      </c>
      <c r="J224" s="9">
        <v>0.4583333333333333</v>
      </c>
    </row>
    <row r="225" hidden="1">
      <c r="A225" s="5" t="str">
        <f>IFNA(VLOOKUP(D225,'Location Table'!A:C,2,false),"")</f>
        <v>ff38cebe-2c19-11ee-9481-506b8d9879b5</v>
      </c>
      <c r="B225" s="5" t="str">
        <f>IFNA(VLOOKUP(F225,Driver!A:C,2,false),"")</f>
        <v/>
      </c>
      <c r="C225" s="5" t="str">
        <f>IFNA(VLOOKUP(E225,'Location Table'!A:C,2,false),"")</f>
        <v/>
      </c>
      <c r="D225" s="6" t="s">
        <v>249</v>
      </c>
      <c r="E225" s="6"/>
      <c r="F225" s="6" t="s">
        <v>877</v>
      </c>
      <c r="G225" s="7" t="s">
        <v>873</v>
      </c>
      <c r="H225" s="8" t="str">
        <f>IFNA(VLOOKUP(F225,Driver!A:C,3,false),"")</f>
        <v/>
      </c>
      <c r="I225" s="9">
        <v>0.25</v>
      </c>
      <c r="J225" s="9">
        <v>0.4583333333333333</v>
      </c>
    </row>
    <row r="226" hidden="1">
      <c r="A226" s="5" t="str">
        <f>IFNA(VLOOKUP(D226,'Location Table'!A:C,2,false),"")</f>
        <v>7db8159c-8e53-11ee-8ddf-506b8d9879b5</v>
      </c>
      <c r="B226" s="5" t="str">
        <f>IFNA(VLOOKUP(F226,Driver!A:C,2,false),"")</f>
        <v/>
      </c>
      <c r="C226" s="5" t="str">
        <f>IFNA(VLOOKUP(E226,'Location Table'!A:C,2,false),"")</f>
        <v/>
      </c>
      <c r="D226" s="6" t="s">
        <v>250</v>
      </c>
      <c r="E226" s="6"/>
      <c r="F226" s="6" t="s">
        <v>877</v>
      </c>
      <c r="G226" s="7" t="s">
        <v>873</v>
      </c>
      <c r="H226" s="8" t="str">
        <f>IFNA(VLOOKUP(F226,Driver!A:C,3,false),"")</f>
        <v/>
      </c>
      <c r="I226" s="9">
        <v>0.25</v>
      </c>
      <c r="J226" s="9">
        <v>0.4583333333333333</v>
      </c>
    </row>
    <row r="227" hidden="1">
      <c r="A227" s="5" t="str">
        <f>IFNA(VLOOKUP(D227,'Location Table'!A:C,2,false),"")</f>
        <v>289fdcc2-7573-11ef-964f-506b8d9879b5</v>
      </c>
      <c r="B227" s="5" t="str">
        <f>IFNA(VLOOKUP(F227,Driver!A:C,2,false),"")</f>
        <v/>
      </c>
      <c r="C227" s="5" t="str">
        <f>IFNA(VLOOKUP(E227,'Location Table'!A:C,2,false),"")</f>
        <v/>
      </c>
      <c r="D227" s="6" t="s">
        <v>251</v>
      </c>
      <c r="E227" s="6"/>
      <c r="F227" s="6" t="s">
        <v>877</v>
      </c>
      <c r="G227" s="7" t="s">
        <v>873</v>
      </c>
      <c r="H227" s="8" t="str">
        <f>IFNA(VLOOKUP(F227,Driver!A:C,3,false),"")</f>
        <v/>
      </c>
      <c r="I227" s="9">
        <v>0.25</v>
      </c>
      <c r="J227" s="9">
        <v>0.4583333333333333</v>
      </c>
    </row>
    <row r="228" hidden="1">
      <c r="A228" s="5" t="str">
        <f>IFNA(VLOOKUP(D228,'Location Table'!A:C,2,false),"")</f>
        <v>7c7323ba-ec19-11ee-9b92-506b8d9879b5</v>
      </c>
      <c r="B228" s="5" t="str">
        <f>IFNA(VLOOKUP(F228,Driver!A:C,2,false),"")</f>
        <v/>
      </c>
      <c r="C228" s="5" t="str">
        <f>IFNA(VLOOKUP(E228,'Location Table'!A:C,2,false),"")</f>
        <v/>
      </c>
      <c r="D228" s="6" t="s">
        <v>252</v>
      </c>
      <c r="E228" s="6"/>
      <c r="F228" s="6" t="s">
        <v>877</v>
      </c>
      <c r="G228" s="7" t="s">
        <v>873</v>
      </c>
      <c r="H228" s="8" t="str">
        <f>IFNA(VLOOKUP(F228,Driver!A:C,3,false),"")</f>
        <v/>
      </c>
      <c r="I228" s="9">
        <v>0.25</v>
      </c>
      <c r="J228" s="9">
        <v>0.4583333333333333</v>
      </c>
    </row>
    <row r="229" hidden="1">
      <c r="A229" s="5" t="str">
        <f>IFNA(VLOOKUP(D229,'Location Table'!A:C,2,false),"")</f>
        <v>12435506-ed6d-11ed-babc-506b8dbc8dfb</v>
      </c>
      <c r="B229" s="5" t="str">
        <f>IFNA(VLOOKUP(F229,Driver!A:C,2,false),"")</f>
        <v/>
      </c>
      <c r="C229" s="5" t="str">
        <f>IFNA(VLOOKUP(E229,'Location Table'!A:C,2,false),"")</f>
        <v/>
      </c>
      <c r="D229" s="6" t="s">
        <v>253</v>
      </c>
      <c r="E229" s="6"/>
      <c r="F229" s="6" t="s">
        <v>877</v>
      </c>
      <c r="G229" s="7" t="s">
        <v>873</v>
      </c>
      <c r="H229" s="8" t="str">
        <f>IFNA(VLOOKUP(F229,Driver!A:C,3,false),"")</f>
        <v/>
      </c>
      <c r="I229" s="9">
        <v>0.25</v>
      </c>
      <c r="J229" s="9">
        <v>0.4583333333333333</v>
      </c>
    </row>
    <row r="230" hidden="1">
      <c r="A230" s="5" t="str">
        <f>IFNA(VLOOKUP(D230,'Location Table'!A:C,2,false),"")</f>
        <v>8cdac450-1498-11ee-af35-506b8dbc8dfb</v>
      </c>
      <c r="B230" s="5" t="str">
        <f>IFNA(VLOOKUP(F230,Driver!A:C,2,false),"")</f>
        <v/>
      </c>
      <c r="C230" s="5" t="str">
        <f>IFNA(VLOOKUP(E230,'Location Table'!A:C,2,false),"")</f>
        <v/>
      </c>
      <c r="D230" s="6" t="s">
        <v>254</v>
      </c>
      <c r="E230" s="6"/>
      <c r="F230" s="6" t="s">
        <v>877</v>
      </c>
      <c r="G230" s="7" t="s">
        <v>873</v>
      </c>
      <c r="H230" s="8" t="str">
        <f>IFNA(VLOOKUP(F230,Driver!A:C,3,false),"")</f>
        <v/>
      </c>
      <c r="I230" s="9">
        <v>0.25</v>
      </c>
      <c r="J230" s="9">
        <v>0.4583333333333333</v>
      </c>
    </row>
    <row r="231" hidden="1">
      <c r="A231" s="5" t="str">
        <f>IFNA(VLOOKUP(D231,'Location Table'!A:C,2,false),"")</f>
        <v>39e63c4e-010f-11ee-ba33-506b8dbc8dfb</v>
      </c>
      <c r="B231" s="5" t="str">
        <f>IFNA(VLOOKUP(F231,Driver!A:C,2,false),"")</f>
        <v/>
      </c>
      <c r="C231" s="5" t="str">
        <f>IFNA(VLOOKUP(E231,'Location Table'!A:C,2,false),"")</f>
        <v/>
      </c>
      <c r="D231" s="6" t="s">
        <v>255</v>
      </c>
      <c r="E231" s="6"/>
      <c r="F231" s="6" t="s">
        <v>877</v>
      </c>
      <c r="G231" s="7" t="s">
        <v>873</v>
      </c>
      <c r="H231" s="8" t="str">
        <f>IFNA(VLOOKUP(F231,Driver!A:C,3,false),"")</f>
        <v/>
      </c>
      <c r="I231" s="9">
        <v>0.25</v>
      </c>
      <c r="J231" s="9">
        <v>0.4583333333333333</v>
      </c>
    </row>
    <row r="232" hidden="1">
      <c r="A232" s="5" t="str">
        <f>IFNA(VLOOKUP(D232,'Location Table'!A:C,2,false),"")</f>
        <v>fa87ff92-4ac0-11ed-b0dd-506b8dbc8dfb</v>
      </c>
      <c r="B232" s="5" t="str">
        <f>IFNA(VLOOKUP(F232,Driver!A:C,2,false),"")</f>
        <v/>
      </c>
      <c r="C232" s="5" t="str">
        <f>IFNA(VLOOKUP(E232,'Location Table'!A:C,2,false),"")</f>
        <v/>
      </c>
      <c r="D232" s="6" t="s">
        <v>256</v>
      </c>
      <c r="E232" s="6"/>
      <c r="F232" s="6" t="s">
        <v>877</v>
      </c>
      <c r="G232" s="7" t="s">
        <v>873</v>
      </c>
      <c r="H232" s="8" t="str">
        <f>IFNA(VLOOKUP(F232,Driver!A:C,3,false),"")</f>
        <v/>
      </c>
      <c r="I232" s="9">
        <v>0.25</v>
      </c>
      <c r="J232" s="9">
        <v>0.4583333333333333</v>
      </c>
    </row>
    <row r="233" hidden="1">
      <c r="A233" s="5" t="str">
        <f>IFNA(VLOOKUP(D233,'Location Table'!A:C,2,false),"")</f>
        <v>e92ad1f8-0112-11ee-80ef-506b8dbc8dfb</v>
      </c>
      <c r="B233" s="5" t="str">
        <f>IFNA(VLOOKUP(F233,Driver!A:C,2,false),"")</f>
        <v/>
      </c>
      <c r="C233" s="5" t="str">
        <f>IFNA(VLOOKUP(E233,'Location Table'!A:C,2,false),"")</f>
        <v/>
      </c>
      <c r="D233" s="6" t="s">
        <v>257</v>
      </c>
      <c r="E233" s="6"/>
      <c r="F233" s="6" t="s">
        <v>877</v>
      </c>
      <c r="G233" s="7" t="s">
        <v>873</v>
      </c>
      <c r="H233" s="8" t="str">
        <f>IFNA(VLOOKUP(F233,Driver!A:C,3,false),"")</f>
        <v/>
      </c>
      <c r="I233" s="9">
        <v>0.25</v>
      </c>
      <c r="J233" s="9">
        <v>0.4583333333333333</v>
      </c>
    </row>
    <row r="234" hidden="1">
      <c r="A234" s="5" t="str">
        <f>IFNA(VLOOKUP(D234,'Location Table'!A:C,2,false),"")</f>
        <v>0ff3fbda-0aa9-11ee-948b-506b8dbc8dfb</v>
      </c>
      <c r="B234" s="5" t="str">
        <f>IFNA(VLOOKUP(F234,Driver!A:C,2,false),"")</f>
        <v/>
      </c>
      <c r="C234" s="5" t="str">
        <f>IFNA(VLOOKUP(E234,'Location Table'!A:C,2,false),"")</f>
        <v/>
      </c>
      <c r="D234" s="6" t="s">
        <v>258</v>
      </c>
      <c r="E234" s="6"/>
      <c r="F234" s="6" t="s">
        <v>877</v>
      </c>
      <c r="G234" s="7" t="s">
        <v>873</v>
      </c>
      <c r="H234" s="8" t="str">
        <f>IFNA(VLOOKUP(F234,Driver!A:C,3,false),"")</f>
        <v/>
      </c>
      <c r="I234" s="9">
        <v>0.25</v>
      </c>
      <c r="J234" s="9">
        <v>0.4583333333333333</v>
      </c>
    </row>
    <row r="235" hidden="1">
      <c r="A235" s="5" t="str">
        <f>IFNA(VLOOKUP(D235,'Location Table'!A:C,2,false),"")</f>
        <v>085d5048-26a0-11ee-a5a4-506b8d9879b5</v>
      </c>
      <c r="B235" s="5" t="str">
        <f>IFNA(VLOOKUP(F235,Driver!A:C,2,false),"")</f>
        <v/>
      </c>
      <c r="C235" s="5" t="str">
        <f>IFNA(VLOOKUP(E235,'Location Table'!A:C,2,false),"")</f>
        <v/>
      </c>
      <c r="D235" s="6" t="s">
        <v>259</v>
      </c>
      <c r="E235" s="6"/>
      <c r="F235" s="6" t="s">
        <v>877</v>
      </c>
      <c r="G235" s="7" t="s">
        <v>873</v>
      </c>
      <c r="H235" s="8" t="str">
        <f>IFNA(VLOOKUP(F235,Driver!A:C,3,false),"")</f>
        <v/>
      </c>
      <c r="I235" s="9">
        <v>0.25</v>
      </c>
      <c r="J235" s="9">
        <v>0.4583333333333333</v>
      </c>
    </row>
    <row r="236" hidden="1">
      <c r="A236" s="5" t="str">
        <f>IFNA(VLOOKUP(D236,'Location Table'!A:C,2,false),"")</f>
        <v>8fca3d12-fec7-11ed-aba6-506b8dbc8dfb</v>
      </c>
      <c r="B236" s="5" t="str">
        <f>IFNA(VLOOKUP(F236,Driver!A:C,2,false),"")</f>
        <v/>
      </c>
      <c r="C236" s="5" t="str">
        <f>IFNA(VLOOKUP(E236,'Location Table'!A:C,2,false),"")</f>
        <v/>
      </c>
      <c r="D236" s="6" t="s">
        <v>260</v>
      </c>
      <c r="E236" s="6"/>
      <c r="F236" s="6" t="s">
        <v>877</v>
      </c>
      <c r="G236" s="7" t="s">
        <v>873</v>
      </c>
      <c r="H236" s="8" t="str">
        <f>IFNA(VLOOKUP(F236,Driver!A:C,3,false),"")</f>
        <v/>
      </c>
      <c r="I236" s="9">
        <v>0.25</v>
      </c>
      <c r="J236" s="9">
        <v>0.4583333333333333</v>
      </c>
    </row>
    <row r="237" hidden="1">
      <c r="A237" s="5" t="str">
        <f>IFNA(VLOOKUP(D237,'Location Table'!A:C,2,false),"")</f>
        <v>ae88c2bc-48b5-11ef-94b2-506b8d9879b5</v>
      </c>
      <c r="B237" s="5" t="str">
        <f>IFNA(VLOOKUP(F237,Driver!A:C,2,false),"")</f>
        <v/>
      </c>
      <c r="C237" s="5" t="str">
        <f>IFNA(VLOOKUP(E237,'Location Table'!A:C,2,false),"")</f>
        <v/>
      </c>
      <c r="D237" s="6" t="s">
        <v>261</v>
      </c>
      <c r="E237" s="6"/>
      <c r="F237" s="6" t="s">
        <v>877</v>
      </c>
      <c r="G237" s="7" t="s">
        <v>873</v>
      </c>
      <c r="H237" s="8" t="str">
        <f>IFNA(VLOOKUP(F237,Driver!A:C,3,false),"")</f>
        <v/>
      </c>
      <c r="I237" s="9">
        <v>0.25</v>
      </c>
      <c r="J237" s="9">
        <v>0.4583333333333333</v>
      </c>
    </row>
    <row r="238" hidden="1">
      <c r="A238" s="5" t="str">
        <f>IFNA(VLOOKUP(D238,'Location Table'!A:C,2,false),"")</f>
        <v>7566c8b0-f731-11ee-b3f8-506b8d9879b5</v>
      </c>
      <c r="B238" s="5" t="str">
        <f>IFNA(VLOOKUP(F238,Driver!A:C,2,false),"")</f>
        <v/>
      </c>
      <c r="C238" s="5" t="str">
        <f>IFNA(VLOOKUP(E238,'Location Table'!A:C,2,false),"")</f>
        <v/>
      </c>
      <c r="D238" s="6" t="s">
        <v>262</v>
      </c>
      <c r="E238" s="6"/>
      <c r="F238" s="6" t="s">
        <v>877</v>
      </c>
      <c r="G238" s="7" t="s">
        <v>873</v>
      </c>
      <c r="H238" s="8" t="str">
        <f>IFNA(VLOOKUP(F238,Driver!A:C,3,false),"")</f>
        <v/>
      </c>
      <c r="I238" s="9">
        <v>0.25</v>
      </c>
      <c r="J238" s="9">
        <v>0.4583333333333333</v>
      </c>
    </row>
    <row r="239" hidden="1">
      <c r="A239" s="5" t="str">
        <f>IFNA(VLOOKUP(D239,'Location Table'!A:C,2,false),"")</f>
        <v>ee4e8802-05bf-11ef-9a97-506b8d9879b5</v>
      </c>
      <c r="B239" s="5" t="str">
        <f>IFNA(VLOOKUP(F239,Driver!A:C,2,false),"")</f>
        <v/>
      </c>
      <c r="C239" s="5" t="str">
        <f>IFNA(VLOOKUP(E239,'Location Table'!A:C,2,false),"")</f>
        <v/>
      </c>
      <c r="D239" s="6" t="s">
        <v>263</v>
      </c>
      <c r="E239" s="6"/>
      <c r="F239" s="6" t="s">
        <v>877</v>
      </c>
      <c r="G239" s="7" t="s">
        <v>873</v>
      </c>
      <c r="H239" s="8" t="str">
        <f>IFNA(VLOOKUP(F239,Driver!A:C,3,false),"")</f>
        <v/>
      </c>
      <c r="I239" s="9">
        <v>0.25</v>
      </c>
      <c r="J239" s="9">
        <v>0.4583333333333333</v>
      </c>
    </row>
    <row r="240" hidden="1">
      <c r="A240" s="5" t="str">
        <f>IFNA(VLOOKUP(D240,'Location Table'!A:C,2,false),"")</f>
        <v>9e0e7402-492b-11ee-8dd8-506b8d9879b5</v>
      </c>
      <c r="B240" s="5" t="str">
        <f>IFNA(VLOOKUP(F240,Driver!A:C,2,false),"")</f>
        <v/>
      </c>
      <c r="C240" s="5" t="str">
        <f>IFNA(VLOOKUP(E240,'Location Table'!A:C,2,false),"")</f>
        <v/>
      </c>
      <c r="D240" s="6" t="s">
        <v>264</v>
      </c>
      <c r="E240" s="6"/>
      <c r="F240" s="6" t="s">
        <v>877</v>
      </c>
      <c r="G240" s="7" t="s">
        <v>873</v>
      </c>
      <c r="H240" s="8" t="str">
        <f>IFNA(VLOOKUP(F240,Driver!A:C,3,false),"")</f>
        <v/>
      </c>
      <c r="I240" s="9">
        <v>0.25</v>
      </c>
      <c r="J240" s="9">
        <v>0.4583333333333333</v>
      </c>
    </row>
    <row r="241" hidden="1">
      <c r="A241" s="5" t="str">
        <f>IFNA(VLOOKUP(D241,'Location Table'!A:C,2,false),"")</f>
        <v>bbf1a054-67ce-11ee-91d9-506b8d9879b5</v>
      </c>
      <c r="B241" s="5" t="str">
        <f>IFNA(VLOOKUP(F241,Driver!A:C,2,false),"")</f>
        <v/>
      </c>
      <c r="C241" s="5" t="str">
        <f>IFNA(VLOOKUP(E241,'Location Table'!A:C,2,false),"")</f>
        <v/>
      </c>
      <c r="D241" s="6" t="s">
        <v>265</v>
      </c>
      <c r="E241" s="6"/>
      <c r="F241" s="6" t="s">
        <v>877</v>
      </c>
      <c r="G241" s="7" t="s">
        <v>873</v>
      </c>
      <c r="H241" s="8" t="str">
        <f>IFNA(VLOOKUP(F241,Driver!A:C,3,false),"")</f>
        <v/>
      </c>
      <c r="I241" s="9">
        <v>0.25</v>
      </c>
      <c r="J241" s="9">
        <v>0.4583333333333333</v>
      </c>
    </row>
    <row r="242" hidden="1">
      <c r="A242" s="5" t="str">
        <f>IFNA(VLOOKUP(D242,'Location Table'!A:C,2,false),"")</f>
        <v>7e2d9ace-9ee3-11ee-8906-506b8d9879b5</v>
      </c>
      <c r="B242" s="5" t="str">
        <f>IFNA(VLOOKUP(F242,Driver!A:C,2,false),"")</f>
        <v/>
      </c>
      <c r="C242" s="5" t="str">
        <f>IFNA(VLOOKUP(E242,'Location Table'!A:C,2,false),"")</f>
        <v/>
      </c>
      <c r="D242" s="6" t="s">
        <v>266</v>
      </c>
      <c r="E242" s="6"/>
      <c r="F242" s="6" t="s">
        <v>877</v>
      </c>
      <c r="G242" s="7" t="s">
        <v>873</v>
      </c>
      <c r="H242" s="8" t="str">
        <f>IFNA(VLOOKUP(F242,Driver!A:C,3,false),"")</f>
        <v/>
      </c>
      <c r="I242" s="9">
        <v>0.25</v>
      </c>
      <c r="J242" s="9">
        <v>0.4583333333333333</v>
      </c>
    </row>
    <row r="243" hidden="1">
      <c r="A243" s="5" t="str">
        <f>IFNA(VLOOKUP(D243,'Location Table'!A:C,2,false),"")</f>
        <v>3b012e74-90aa-11ee-8f6f-506b8d9879b5</v>
      </c>
      <c r="B243" s="5" t="str">
        <f>IFNA(VLOOKUP(F243,Driver!A:C,2,false),"")</f>
        <v/>
      </c>
      <c r="C243" s="5" t="str">
        <f>IFNA(VLOOKUP(E243,'Location Table'!A:C,2,false),"")</f>
        <v/>
      </c>
      <c r="D243" s="6" t="s">
        <v>267</v>
      </c>
      <c r="E243" s="6"/>
      <c r="F243" s="6" t="s">
        <v>877</v>
      </c>
      <c r="G243" s="7" t="s">
        <v>873</v>
      </c>
      <c r="H243" s="8" t="str">
        <f>IFNA(VLOOKUP(F243,Driver!A:C,3,false),"")</f>
        <v/>
      </c>
      <c r="I243" s="9">
        <v>0.25</v>
      </c>
      <c r="J243" s="9">
        <v>0.4583333333333333</v>
      </c>
    </row>
    <row r="244" hidden="1">
      <c r="A244" s="5" t="str">
        <f>IFNA(VLOOKUP(D244,'Location Table'!A:C,2,false),"")</f>
        <v>a2f4ec9c-1561-11ee-a153-506b8dbc8dfb</v>
      </c>
      <c r="B244" s="5" t="str">
        <f>IFNA(VLOOKUP(F244,Driver!A:C,2,false),"")</f>
        <v/>
      </c>
      <c r="C244" s="5" t="str">
        <f>IFNA(VLOOKUP(E244,'Location Table'!A:C,2,false),"")</f>
        <v/>
      </c>
      <c r="D244" s="6" t="s">
        <v>268</v>
      </c>
      <c r="E244" s="6"/>
      <c r="F244" s="6" t="s">
        <v>877</v>
      </c>
      <c r="G244" s="7" t="s">
        <v>873</v>
      </c>
      <c r="H244" s="8" t="str">
        <f>IFNA(VLOOKUP(F244,Driver!A:C,3,false),"")</f>
        <v/>
      </c>
      <c r="I244" s="9">
        <v>0.25</v>
      </c>
      <c r="J244" s="9">
        <v>0.4583333333333333</v>
      </c>
    </row>
    <row r="245" hidden="1">
      <c r="A245" s="5" t="str">
        <f>IFNA(VLOOKUP(D245,'Location Table'!A:C,2,false),"")</f>
        <v>1af85000-6cc2-11ee-a53a-506b8d9879b5</v>
      </c>
      <c r="B245" s="5" t="str">
        <f>IFNA(VLOOKUP(F245,Driver!A:C,2,false),"")</f>
        <v/>
      </c>
      <c r="C245" s="5" t="str">
        <f>IFNA(VLOOKUP(E245,'Location Table'!A:C,2,false),"")</f>
        <v/>
      </c>
      <c r="D245" s="6" t="s">
        <v>269</v>
      </c>
      <c r="E245" s="6"/>
      <c r="F245" s="6" t="s">
        <v>877</v>
      </c>
      <c r="G245" s="7" t="s">
        <v>873</v>
      </c>
      <c r="H245" s="8" t="str">
        <f>IFNA(VLOOKUP(F245,Driver!A:C,3,false),"")</f>
        <v/>
      </c>
      <c r="I245" s="9">
        <v>0.25</v>
      </c>
      <c r="J245" s="9">
        <v>0.4583333333333333</v>
      </c>
    </row>
    <row r="246" hidden="1">
      <c r="A246" s="5" t="str">
        <f>IFNA(VLOOKUP(D246,'Location Table'!A:C,2,false),"")</f>
        <v>97d16b52-0110-11ee-b15c-506b8dbc8dfb</v>
      </c>
      <c r="B246" s="5" t="str">
        <f>IFNA(VLOOKUP(F246,Driver!A:C,2,false),"")</f>
        <v/>
      </c>
      <c r="C246" s="5" t="str">
        <f>IFNA(VLOOKUP(E246,'Location Table'!A:C,2,false),"")</f>
        <v/>
      </c>
      <c r="D246" s="6" t="s">
        <v>270</v>
      </c>
      <c r="E246" s="6"/>
      <c r="F246" s="6" t="s">
        <v>877</v>
      </c>
      <c r="G246" s="7" t="s">
        <v>873</v>
      </c>
      <c r="H246" s="8" t="str">
        <f>IFNA(VLOOKUP(F246,Driver!A:C,3,false),"")</f>
        <v/>
      </c>
      <c r="I246" s="9">
        <v>0.25</v>
      </c>
      <c r="J246" s="9">
        <v>0.4583333333333333</v>
      </c>
    </row>
    <row r="247" hidden="1">
      <c r="A247" s="5" t="str">
        <f>IFNA(VLOOKUP(D247,'Location Table'!A:C,2,false),"")</f>
        <v>f4fbe052-4088-11ee-a498-506b8d9879b5</v>
      </c>
      <c r="B247" s="5" t="str">
        <f>IFNA(VLOOKUP(F247,Driver!A:C,2,false),"")</f>
        <v/>
      </c>
      <c r="C247" s="5" t="str">
        <f>IFNA(VLOOKUP(E247,'Location Table'!A:C,2,false),"")</f>
        <v/>
      </c>
      <c r="D247" s="6" t="s">
        <v>271</v>
      </c>
      <c r="E247" s="6"/>
      <c r="F247" s="6" t="s">
        <v>877</v>
      </c>
      <c r="G247" s="7" t="s">
        <v>873</v>
      </c>
      <c r="H247" s="8" t="str">
        <f>IFNA(VLOOKUP(F247,Driver!A:C,3,false),"")</f>
        <v/>
      </c>
      <c r="I247" s="9">
        <v>0.25</v>
      </c>
      <c r="J247" s="9">
        <v>0.4583333333333333</v>
      </c>
    </row>
    <row r="248" hidden="1">
      <c r="A248" s="5" t="str">
        <f>IFNA(VLOOKUP(D248,'Location Table'!A:C,2,false),"")</f>
        <v>d53b00de-6a38-11ee-98e0-506b8d9879b5</v>
      </c>
      <c r="B248" s="5" t="str">
        <f>IFNA(VLOOKUP(F248,Driver!A:C,2,false),"")</f>
        <v/>
      </c>
      <c r="C248" s="5" t="str">
        <f>IFNA(VLOOKUP(E248,'Location Table'!A:C,2,false),"")</f>
        <v/>
      </c>
      <c r="D248" s="6" t="s">
        <v>272</v>
      </c>
      <c r="E248" s="6"/>
      <c r="F248" s="6" t="s">
        <v>877</v>
      </c>
      <c r="G248" s="7" t="s">
        <v>873</v>
      </c>
      <c r="H248" s="8" t="str">
        <f>IFNA(VLOOKUP(F248,Driver!A:C,3,false),"")</f>
        <v/>
      </c>
      <c r="I248" s="9">
        <v>0.25</v>
      </c>
      <c r="J248" s="9">
        <v>0.4583333333333333</v>
      </c>
    </row>
    <row r="249" hidden="1">
      <c r="A249" s="5" t="str">
        <f>IFNA(VLOOKUP(D249,'Location Table'!A:C,2,false),"")</f>
        <v>aebc13a0-0113-11ee-b1c8-506b8dbc8dfb</v>
      </c>
      <c r="B249" s="5" t="str">
        <f>IFNA(VLOOKUP(F249,Driver!A:C,2,false),"")</f>
        <v/>
      </c>
      <c r="C249" s="5" t="str">
        <f>IFNA(VLOOKUP(E249,'Location Table'!A:C,2,false),"")</f>
        <v/>
      </c>
      <c r="D249" s="6" t="s">
        <v>273</v>
      </c>
      <c r="E249" s="6"/>
      <c r="F249" s="6" t="s">
        <v>877</v>
      </c>
      <c r="G249" s="7" t="s">
        <v>873</v>
      </c>
      <c r="H249" s="8" t="str">
        <f>IFNA(VLOOKUP(F249,Driver!A:C,3,false),"")</f>
        <v/>
      </c>
      <c r="I249" s="9">
        <v>0.25</v>
      </c>
      <c r="J249" s="9">
        <v>0.4583333333333333</v>
      </c>
    </row>
    <row r="250" hidden="1">
      <c r="A250" s="5" t="str">
        <f>IFNA(VLOOKUP(D250,'Location Table'!A:C,2,false),"")</f>
        <v>4ca8a4a8-456f-11ee-af67-506b8d9879b5</v>
      </c>
      <c r="B250" s="5" t="str">
        <f>IFNA(VLOOKUP(F250,Driver!A:C,2,false),"")</f>
        <v/>
      </c>
      <c r="C250" s="5" t="str">
        <f>IFNA(VLOOKUP(E250,'Location Table'!A:C,2,false),"")</f>
        <v/>
      </c>
      <c r="D250" s="6" t="s">
        <v>274</v>
      </c>
      <c r="E250" s="6"/>
      <c r="F250" s="6" t="s">
        <v>877</v>
      </c>
      <c r="G250" s="7" t="s">
        <v>873</v>
      </c>
      <c r="H250" s="8" t="str">
        <f>IFNA(VLOOKUP(F250,Driver!A:C,3,false),"")</f>
        <v/>
      </c>
      <c r="I250" s="9">
        <v>0.25</v>
      </c>
      <c r="J250" s="9">
        <v>0.4583333333333333</v>
      </c>
    </row>
    <row r="251" hidden="1">
      <c r="A251" s="5" t="str">
        <f>IFNA(VLOOKUP(D251,'Location Table'!A:C,2,false),"")</f>
        <v>fafc59d2-3b41-11ef-a36a-506b8d9879b5</v>
      </c>
      <c r="B251" s="5" t="str">
        <f>IFNA(VLOOKUP(F251,Driver!A:C,2,false),"")</f>
        <v/>
      </c>
      <c r="C251" s="5" t="str">
        <f>IFNA(VLOOKUP(E251,'Location Table'!A:C,2,false),"")</f>
        <v/>
      </c>
      <c r="D251" s="6" t="s">
        <v>275</v>
      </c>
      <c r="E251" s="6"/>
      <c r="F251" s="6" t="s">
        <v>877</v>
      </c>
      <c r="G251" s="7" t="s">
        <v>873</v>
      </c>
      <c r="H251" s="8" t="str">
        <f>IFNA(VLOOKUP(F251,Driver!A:C,3,false),"")</f>
        <v/>
      </c>
      <c r="I251" s="9">
        <v>0.25</v>
      </c>
      <c r="J251" s="9">
        <v>0.4583333333333333</v>
      </c>
    </row>
    <row r="252" hidden="1">
      <c r="A252" s="5" t="str">
        <f>IFNA(VLOOKUP(D252,'Location Table'!A:C,2,false),"")</f>
        <v>7e1b0ed8-1c64-11ee-a44a-506b8d9879b5</v>
      </c>
      <c r="B252" s="5" t="str">
        <f>IFNA(VLOOKUP(F252,Driver!A:C,2,false),"")</f>
        <v/>
      </c>
      <c r="C252" s="5" t="str">
        <f>IFNA(VLOOKUP(E252,'Location Table'!A:C,2,false),"")</f>
        <v/>
      </c>
      <c r="D252" s="6" t="s">
        <v>276</v>
      </c>
      <c r="E252" s="6"/>
      <c r="F252" s="6" t="s">
        <v>877</v>
      </c>
      <c r="G252" s="7" t="s">
        <v>873</v>
      </c>
      <c r="H252" s="8" t="str">
        <f>IFNA(VLOOKUP(F252,Driver!A:C,3,false),"")</f>
        <v/>
      </c>
      <c r="I252" s="9">
        <v>0.25</v>
      </c>
      <c r="J252" s="9">
        <v>0.4583333333333333</v>
      </c>
    </row>
    <row r="253" hidden="1">
      <c r="A253" s="5" t="str">
        <f>IFNA(VLOOKUP(D253,'Location Table'!A:C,2,false),"")</f>
        <v>afcfc01c-bf57-11ef-9985-506b8d9879b5</v>
      </c>
      <c r="B253" s="5" t="str">
        <f>IFNA(VLOOKUP(F253,Driver!A:C,2,false),"")</f>
        <v/>
      </c>
      <c r="C253" s="5" t="str">
        <f>IFNA(VLOOKUP(E253,'Location Table'!A:C,2,false),"")</f>
        <v/>
      </c>
      <c r="D253" s="6" t="s">
        <v>277</v>
      </c>
      <c r="E253" s="6"/>
      <c r="F253" s="6" t="s">
        <v>877</v>
      </c>
      <c r="G253" s="7" t="s">
        <v>873</v>
      </c>
      <c r="H253" s="8" t="str">
        <f>IFNA(VLOOKUP(F253,Driver!A:C,3,false),"")</f>
        <v/>
      </c>
      <c r="I253" s="9">
        <v>0.25</v>
      </c>
      <c r="J253" s="9">
        <v>0.4583333333333333</v>
      </c>
    </row>
    <row r="254" hidden="1">
      <c r="A254" s="5" t="str">
        <f>IFNA(VLOOKUP(D254,'Location Table'!A:C,2,false),"")</f>
        <v>35a70e9e-50bc-11ef-bbb1-506b8d9879b5</v>
      </c>
      <c r="B254" s="5" t="str">
        <f>IFNA(VLOOKUP(F254,Driver!A:C,2,false),"")</f>
        <v/>
      </c>
      <c r="C254" s="5" t="str">
        <f>IFNA(VLOOKUP(E254,'Location Table'!A:C,2,false),"")</f>
        <v/>
      </c>
      <c r="D254" s="6" t="s">
        <v>278</v>
      </c>
      <c r="E254" s="6"/>
      <c r="F254" s="6" t="s">
        <v>877</v>
      </c>
      <c r="G254" s="7" t="s">
        <v>873</v>
      </c>
      <c r="H254" s="8" t="str">
        <f>IFNA(VLOOKUP(F254,Driver!A:C,3,false),"")</f>
        <v/>
      </c>
      <c r="I254" s="9">
        <v>0.25</v>
      </c>
      <c r="J254" s="9">
        <v>0.4583333333333333</v>
      </c>
    </row>
    <row r="255" hidden="1">
      <c r="A255" s="5" t="str">
        <f>IFNA(VLOOKUP(D255,'Location Table'!A:C,2,false),"")</f>
        <v>c78fdb82-6805-11ef-bf49-506b8d9879b5</v>
      </c>
      <c r="B255" s="5" t="str">
        <f>IFNA(VLOOKUP(F255,Driver!A:C,2,false),"")</f>
        <v/>
      </c>
      <c r="C255" s="5" t="str">
        <f>IFNA(VLOOKUP(E255,'Location Table'!A:C,2,false),"")</f>
        <v/>
      </c>
      <c r="D255" s="6" t="s">
        <v>279</v>
      </c>
      <c r="E255" s="6"/>
      <c r="F255" s="6" t="s">
        <v>877</v>
      </c>
      <c r="G255" s="7" t="s">
        <v>873</v>
      </c>
      <c r="H255" s="8" t="str">
        <f>IFNA(VLOOKUP(F255,Driver!A:C,3,false),"")</f>
        <v/>
      </c>
      <c r="I255" s="9">
        <v>0.25</v>
      </c>
      <c r="J255" s="9">
        <v>0.4583333333333333</v>
      </c>
    </row>
    <row r="256" hidden="1">
      <c r="A256" s="5" t="str">
        <f>IFNA(VLOOKUP(D256,'Location Table'!A:C,2,false),"")</f>
        <v>4f54e06a-77e0-11ee-91f6-506b8d9879b5</v>
      </c>
      <c r="B256" s="5" t="str">
        <f>IFNA(VLOOKUP(F256,Driver!A:C,2,false),"")</f>
        <v/>
      </c>
      <c r="C256" s="5" t="str">
        <f>IFNA(VLOOKUP(E256,'Location Table'!A:C,2,false),"")</f>
        <v/>
      </c>
      <c r="D256" s="6" t="s">
        <v>280</v>
      </c>
      <c r="E256" s="6"/>
      <c r="F256" s="6" t="s">
        <v>877</v>
      </c>
      <c r="G256" s="7" t="s">
        <v>873</v>
      </c>
      <c r="H256" s="8" t="str">
        <f>IFNA(VLOOKUP(F256,Driver!A:C,3,false),"")</f>
        <v/>
      </c>
      <c r="I256" s="9">
        <v>0.25</v>
      </c>
      <c r="J256" s="9">
        <v>0.4583333333333333</v>
      </c>
    </row>
    <row r="257" hidden="1">
      <c r="A257" s="5" t="str">
        <f>IFNA(VLOOKUP(D257,'Location Table'!A:C,2,false),"")</f>
        <v>ad47e07c-dae5-11f0-9e7c-506b8d982279</v>
      </c>
      <c r="B257" s="5" t="str">
        <f>IFNA(VLOOKUP(F257,Driver!A:C,2,false),"")</f>
        <v/>
      </c>
      <c r="C257" s="5" t="str">
        <f>IFNA(VLOOKUP(E257,'Location Table'!A:C,2,false),"")</f>
        <v/>
      </c>
      <c r="D257" s="6" t="s">
        <v>281</v>
      </c>
      <c r="E257" s="6"/>
      <c r="F257" s="6" t="s">
        <v>877</v>
      </c>
      <c r="G257" s="7" t="s">
        <v>873</v>
      </c>
      <c r="H257" s="8" t="str">
        <f>IFNA(VLOOKUP(F257,Driver!A:C,3,false),"")</f>
        <v/>
      </c>
      <c r="I257" s="9">
        <v>0.25</v>
      </c>
      <c r="J257" s="9">
        <v>0.4583333333333333</v>
      </c>
    </row>
    <row r="258" hidden="1">
      <c r="A258" s="5" t="str">
        <f>IFNA(VLOOKUP(D258,'Location Table'!A:C,2,false),"")</f>
        <v>fcd0a9f6-ad20-11ef-90e1-506b8d9879b5</v>
      </c>
      <c r="B258" s="5" t="str">
        <f>IFNA(VLOOKUP(F258,Driver!A:C,2,false),"")</f>
        <v/>
      </c>
      <c r="C258" s="5" t="str">
        <f>IFNA(VLOOKUP(E258,'Location Table'!A:C,2,false),"")</f>
        <v/>
      </c>
      <c r="D258" s="6" t="s">
        <v>282</v>
      </c>
      <c r="E258" s="6"/>
      <c r="F258" s="6" t="s">
        <v>877</v>
      </c>
      <c r="G258" s="7" t="s">
        <v>873</v>
      </c>
      <c r="H258" s="8" t="str">
        <f>IFNA(VLOOKUP(F258,Driver!A:C,3,false),"")</f>
        <v/>
      </c>
      <c r="I258" s="9">
        <v>0.25</v>
      </c>
      <c r="J258" s="9">
        <v>0.4583333333333333</v>
      </c>
    </row>
    <row r="259" hidden="1">
      <c r="A259" s="5" t="str">
        <f>IFNA(VLOOKUP(D259,'Location Table'!A:C,2,false),"")</f>
        <v>1e43d74c-8901-11ee-a635-506b8d9879b5</v>
      </c>
      <c r="B259" s="5" t="str">
        <f>IFNA(VLOOKUP(F259,Driver!A:C,2,false),"")</f>
        <v/>
      </c>
      <c r="C259" s="5" t="str">
        <f>IFNA(VLOOKUP(E259,'Location Table'!A:C,2,false),"")</f>
        <v/>
      </c>
      <c r="D259" s="6" t="s">
        <v>283</v>
      </c>
      <c r="E259" s="6"/>
      <c r="F259" s="6" t="s">
        <v>877</v>
      </c>
      <c r="G259" s="7" t="s">
        <v>873</v>
      </c>
      <c r="H259" s="8" t="str">
        <f>IFNA(VLOOKUP(F259,Driver!A:C,3,false),"")</f>
        <v/>
      </c>
      <c r="I259" s="9">
        <v>0.25</v>
      </c>
      <c r="J259" s="9">
        <v>0.4583333333333333</v>
      </c>
    </row>
    <row r="260" hidden="1">
      <c r="A260" s="5" t="str">
        <f>IFNA(VLOOKUP(D260,'Location Table'!A:C,2,false),"")</f>
        <v>0d699b42-97d3-11ee-9e8a-506b8d9879b5</v>
      </c>
      <c r="B260" s="5" t="str">
        <f>IFNA(VLOOKUP(F260,Driver!A:C,2,false),"")</f>
        <v/>
      </c>
      <c r="C260" s="5" t="str">
        <f>IFNA(VLOOKUP(E260,'Location Table'!A:C,2,false),"")</f>
        <v/>
      </c>
      <c r="D260" s="6" t="s">
        <v>284</v>
      </c>
      <c r="E260" s="6"/>
      <c r="F260" s="6" t="s">
        <v>877</v>
      </c>
      <c r="G260" s="7" t="s">
        <v>873</v>
      </c>
      <c r="H260" s="8" t="str">
        <f>IFNA(VLOOKUP(F260,Driver!A:C,3,false),"")</f>
        <v/>
      </c>
      <c r="I260" s="9">
        <v>0.25</v>
      </c>
      <c r="J260" s="9">
        <v>0.4583333333333333</v>
      </c>
    </row>
    <row r="261" hidden="1">
      <c r="A261" s="5" t="str">
        <f>IFNA(VLOOKUP(D261,'Location Table'!A:C,2,false),"")</f>
        <v>f94adc10-13de-11ef-8481-506b8d9879b5</v>
      </c>
      <c r="B261" s="5" t="str">
        <f>IFNA(VLOOKUP(F261,Driver!A:C,2,false),"")</f>
        <v/>
      </c>
      <c r="C261" s="5" t="str">
        <f>IFNA(VLOOKUP(E261,'Location Table'!A:C,2,false),"")</f>
        <v/>
      </c>
      <c r="D261" s="6" t="s">
        <v>285</v>
      </c>
      <c r="E261" s="6"/>
      <c r="F261" s="6" t="s">
        <v>877</v>
      </c>
      <c r="G261" s="7" t="s">
        <v>873</v>
      </c>
      <c r="H261" s="8" t="str">
        <f>IFNA(VLOOKUP(F261,Driver!A:C,3,false),"")</f>
        <v/>
      </c>
      <c r="I261" s="9">
        <v>0.25</v>
      </c>
      <c r="J261" s="9">
        <v>0.4583333333333333</v>
      </c>
    </row>
    <row r="262" hidden="1">
      <c r="A262" s="5" t="str">
        <f>IFNA(VLOOKUP(D262,'Location Table'!A:C,2,false),"")</f>
        <v>323b0f74-7d10-11ee-b82b-506b8d9879b5</v>
      </c>
      <c r="B262" s="5" t="str">
        <f>IFNA(VLOOKUP(F262,Driver!A:C,2,false),"")</f>
        <v/>
      </c>
      <c r="C262" s="5" t="str">
        <f>IFNA(VLOOKUP(E262,'Location Table'!A:C,2,false),"")</f>
        <v/>
      </c>
      <c r="D262" s="6" t="s">
        <v>286</v>
      </c>
      <c r="E262" s="6"/>
      <c r="F262" s="6" t="s">
        <v>877</v>
      </c>
      <c r="G262" s="7" t="s">
        <v>873</v>
      </c>
      <c r="H262" s="8" t="str">
        <f>IFNA(VLOOKUP(F262,Driver!A:C,3,false),"")</f>
        <v/>
      </c>
      <c r="I262" s="9">
        <v>0.25</v>
      </c>
      <c r="J262" s="9">
        <v>0.4583333333333333</v>
      </c>
    </row>
    <row r="263" hidden="1">
      <c r="A263" s="5" t="str">
        <f>IFNA(VLOOKUP(D263,'Location Table'!A:C,2,false),"")</f>
        <v>1b46fb96-02b9-11ef-8bdd-506b8d9879b5</v>
      </c>
      <c r="B263" s="5" t="str">
        <f>IFNA(VLOOKUP(F263,Driver!A:C,2,false),"")</f>
        <v/>
      </c>
      <c r="C263" s="5" t="str">
        <f>IFNA(VLOOKUP(E263,'Location Table'!A:C,2,false),"")</f>
        <v/>
      </c>
      <c r="D263" s="6" t="s">
        <v>287</v>
      </c>
      <c r="E263" s="6"/>
      <c r="F263" s="6" t="s">
        <v>877</v>
      </c>
      <c r="G263" s="7" t="s">
        <v>873</v>
      </c>
      <c r="H263" s="8" t="str">
        <f>IFNA(VLOOKUP(F263,Driver!A:C,3,false),"")</f>
        <v/>
      </c>
      <c r="I263" s="9">
        <v>0.25</v>
      </c>
      <c r="J263" s="9">
        <v>0.4583333333333333</v>
      </c>
    </row>
    <row r="264" hidden="1">
      <c r="A264" s="5" t="str">
        <f>IFNA(VLOOKUP(D264,'Location Table'!A:C,2,false),"")</f>
        <v>d8d6e692-4531-11f0-a968-506b8d982279</v>
      </c>
      <c r="B264" s="5" t="str">
        <f>IFNA(VLOOKUP(F264,Driver!A:C,2,false),"")</f>
        <v/>
      </c>
      <c r="C264" s="5" t="str">
        <f>IFNA(VLOOKUP(E264,'Location Table'!A:C,2,false),"")</f>
        <v/>
      </c>
      <c r="D264" s="6" t="s">
        <v>288</v>
      </c>
      <c r="E264" s="6"/>
      <c r="F264" s="6" t="s">
        <v>877</v>
      </c>
      <c r="G264" s="7" t="s">
        <v>873</v>
      </c>
      <c r="H264" s="8" t="str">
        <f>IFNA(VLOOKUP(F264,Driver!A:C,3,false),"")</f>
        <v/>
      </c>
      <c r="I264" s="9">
        <v>0.25</v>
      </c>
      <c r="J264" s="9">
        <v>0.4583333333333333</v>
      </c>
    </row>
    <row r="265" hidden="1">
      <c r="A265" s="5" t="str">
        <f>IFNA(VLOOKUP(D265,'Location Table'!A:C,2,false),"")</f>
        <v>8e7dd344-c9bc-11ef-ad21-506b8d9879b5</v>
      </c>
      <c r="B265" s="5" t="str">
        <f>IFNA(VLOOKUP(F265,Driver!A:C,2,false),"")</f>
        <v/>
      </c>
      <c r="C265" s="5" t="str">
        <f>IFNA(VLOOKUP(E265,'Location Table'!A:C,2,false),"")</f>
        <v/>
      </c>
      <c r="D265" s="6" t="s">
        <v>289</v>
      </c>
      <c r="E265" s="6"/>
      <c r="F265" s="6" t="s">
        <v>877</v>
      </c>
      <c r="G265" s="7" t="s">
        <v>873</v>
      </c>
      <c r="H265" s="8" t="str">
        <f>IFNA(VLOOKUP(F265,Driver!A:C,3,false),"")</f>
        <v/>
      </c>
      <c r="I265" s="9">
        <v>0.25</v>
      </c>
      <c r="J265" s="9">
        <v>0.4583333333333333</v>
      </c>
    </row>
    <row r="266" hidden="1">
      <c r="A266" s="5" t="str">
        <f>IFNA(VLOOKUP(D266,'Location Table'!A:C,2,false),"")</f>
        <v>051eba38-cf32-11f0-b412-506b8d982279</v>
      </c>
      <c r="B266" s="5" t="str">
        <f>IFNA(VLOOKUP(F266,Driver!A:C,2,false),"")</f>
        <v/>
      </c>
      <c r="C266" s="5" t="str">
        <f>IFNA(VLOOKUP(E266,'Location Table'!A:C,2,false),"")</f>
        <v/>
      </c>
      <c r="D266" s="6" t="s">
        <v>290</v>
      </c>
      <c r="E266" s="6"/>
      <c r="F266" s="6" t="s">
        <v>877</v>
      </c>
      <c r="G266" s="7" t="s">
        <v>873</v>
      </c>
      <c r="H266" s="8" t="str">
        <f>IFNA(VLOOKUP(F266,Driver!A:C,3,false),"")</f>
        <v/>
      </c>
      <c r="I266" s="9">
        <v>0.25</v>
      </c>
      <c r="J266" s="9">
        <v>0.4583333333333333</v>
      </c>
    </row>
    <row r="267" hidden="1">
      <c r="A267" s="5" t="str">
        <f>IFNA(VLOOKUP(D267,'Location Table'!A:C,2,false),"")</f>
        <v>35ffceee-7baf-11ef-916b-506b8d9879b5</v>
      </c>
      <c r="B267" s="5" t="str">
        <f>IFNA(VLOOKUP(F267,Driver!A:C,2,false),"")</f>
        <v/>
      </c>
      <c r="C267" s="5" t="str">
        <f>IFNA(VLOOKUP(E267,'Location Table'!A:C,2,false),"")</f>
        <v/>
      </c>
      <c r="D267" s="6" t="s">
        <v>291</v>
      </c>
      <c r="E267" s="6"/>
      <c r="F267" s="6" t="s">
        <v>877</v>
      </c>
      <c r="G267" s="7" t="s">
        <v>873</v>
      </c>
      <c r="H267" s="8" t="str">
        <f>IFNA(VLOOKUP(F267,Driver!A:C,3,false),"")</f>
        <v/>
      </c>
      <c r="I267" s="9">
        <v>0.25</v>
      </c>
      <c r="J267" s="9">
        <v>0.4583333333333333</v>
      </c>
    </row>
    <row r="268" hidden="1">
      <c r="A268" s="5" t="str">
        <f>IFNA(VLOOKUP(D268,'Location Table'!A:C,2,false),"")</f>
        <v>44225afc-0a96-11f0-b7f4-506b8d982279</v>
      </c>
      <c r="B268" s="5" t="str">
        <f>IFNA(VLOOKUP(F268,Driver!A:C,2,false),"")</f>
        <v/>
      </c>
      <c r="C268" s="5" t="str">
        <f>IFNA(VLOOKUP(E268,'Location Table'!A:C,2,false),"")</f>
        <v/>
      </c>
      <c r="D268" s="6" t="s">
        <v>292</v>
      </c>
      <c r="E268" s="6"/>
      <c r="F268" s="6" t="s">
        <v>877</v>
      </c>
      <c r="G268" s="7" t="s">
        <v>873</v>
      </c>
      <c r="H268" s="8" t="str">
        <f>IFNA(VLOOKUP(F268,Driver!A:C,3,false),"")</f>
        <v/>
      </c>
      <c r="I268" s="9">
        <v>0.25</v>
      </c>
      <c r="J268" s="9">
        <v>0.4583333333333333</v>
      </c>
    </row>
    <row r="269" hidden="1">
      <c r="A269" s="5" t="str">
        <f>IFNA(VLOOKUP(D269,'Location Table'!A:C,2,false),"")</f>
        <v>70d6804e-4b44-11ef-abeb-506b8d9879b5</v>
      </c>
      <c r="B269" s="5" t="str">
        <f>IFNA(VLOOKUP(F269,Driver!A:C,2,false),"")</f>
        <v/>
      </c>
      <c r="C269" s="5" t="str">
        <f>IFNA(VLOOKUP(E269,'Location Table'!A:C,2,false),"")</f>
        <v/>
      </c>
      <c r="D269" s="6" t="s">
        <v>293</v>
      </c>
      <c r="E269" s="6"/>
      <c r="F269" s="6" t="s">
        <v>877</v>
      </c>
      <c r="G269" s="7" t="s">
        <v>873</v>
      </c>
      <c r="H269" s="8" t="str">
        <f>IFNA(VLOOKUP(F269,Driver!A:C,3,false),"")</f>
        <v/>
      </c>
      <c r="I269" s="9">
        <v>0.25</v>
      </c>
      <c r="J269" s="9">
        <v>0.4583333333333333</v>
      </c>
    </row>
    <row r="270" hidden="1">
      <c r="A270" s="5" t="str">
        <f>IFNA(VLOOKUP(D270,'Location Table'!A:C,2,false),"")</f>
        <v>fa0f6060-4f9f-11ef-bb9f-506b8d9879b5</v>
      </c>
      <c r="B270" s="5" t="str">
        <f>IFNA(VLOOKUP(F270,Driver!A:C,2,false),"")</f>
        <v/>
      </c>
      <c r="C270" s="5" t="str">
        <f>IFNA(VLOOKUP(E270,'Location Table'!A:C,2,false),"")</f>
        <v/>
      </c>
      <c r="D270" s="6" t="s">
        <v>294</v>
      </c>
      <c r="E270" s="6"/>
      <c r="F270" s="6" t="s">
        <v>877</v>
      </c>
      <c r="G270" s="7" t="s">
        <v>873</v>
      </c>
      <c r="H270" s="8" t="str">
        <f>IFNA(VLOOKUP(F270,Driver!A:C,3,false),"")</f>
        <v/>
      </c>
      <c r="I270" s="9">
        <v>0.25</v>
      </c>
      <c r="J270" s="9">
        <v>0.4583333333333333</v>
      </c>
    </row>
    <row r="271" hidden="1">
      <c r="A271" s="5" t="str">
        <f>IFNA(VLOOKUP(D271,'Location Table'!A:C,2,false),"")</f>
        <v>22679c14-52e6-11ef-a589-506b8d9879b5</v>
      </c>
      <c r="B271" s="5" t="str">
        <f>IFNA(VLOOKUP(F271,Driver!A:C,2,false),"")</f>
        <v/>
      </c>
      <c r="C271" s="5" t="str">
        <f>IFNA(VLOOKUP(E271,'Location Table'!A:C,2,false),"")</f>
        <v/>
      </c>
      <c r="D271" s="6" t="s">
        <v>295</v>
      </c>
      <c r="E271" s="6"/>
      <c r="F271" s="6" t="s">
        <v>877</v>
      </c>
      <c r="G271" s="7" t="s">
        <v>873</v>
      </c>
      <c r="H271" s="8" t="str">
        <f>IFNA(VLOOKUP(F271,Driver!A:C,3,false),"")</f>
        <v/>
      </c>
      <c r="I271" s="9">
        <v>0.25</v>
      </c>
      <c r="J271" s="9">
        <v>0.4583333333333333</v>
      </c>
    </row>
    <row r="272" hidden="1">
      <c r="A272" s="5" t="str">
        <f>IFNA(VLOOKUP(D272,'Location Table'!A:C,2,false),"")</f>
        <v>d9fd5fe8-6f0c-11ef-a4aa-506b8d9879b5</v>
      </c>
      <c r="B272" s="5" t="str">
        <f>IFNA(VLOOKUP(F272,Driver!A:C,2,false),"")</f>
        <v/>
      </c>
      <c r="C272" s="5" t="str">
        <f>IFNA(VLOOKUP(E272,'Location Table'!A:C,2,false),"")</f>
        <v/>
      </c>
      <c r="D272" s="6" t="s">
        <v>296</v>
      </c>
      <c r="E272" s="6"/>
      <c r="F272" s="6" t="s">
        <v>877</v>
      </c>
      <c r="G272" s="7" t="s">
        <v>873</v>
      </c>
      <c r="H272" s="8" t="str">
        <f>IFNA(VLOOKUP(F272,Driver!A:C,3,false),"")</f>
        <v/>
      </c>
      <c r="I272" s="9">
        <v>0.25</v>
      </c>
      <c r="J272" s="9">
        <v>0.4583333333333333</v>
      </c>
    </row>
    <row r="273" hidden="1">
      <c r="A273" s="5" t="str">
        <f>IFNA(VLOOKUP(D273,'Location Table'!A:C,2,false),"")</f>
        <v>425ab5b8-765b-11ef-b8d8-506b8d9879b5</v>
      </c>
      <c r="B273" s="5" t="str">
        <f>IFNA(VLOOKUP(F273,Driver!A:C,2,false),"")</f>
        <v/>
      </c>
      <c r="C273" s="5" t="str">
        <f>IFNA(VLOOKUP(E273,'Location Table'!A:C,2,false),"")</f>
        <v/>
      </c>
      <c r="D273" s="6" t="s">
        <v>297</v>
      </c>
      <c r="E273" s="6"/>
      <c r="F273" s="6" t="s">
        <v>877</v>
      </c>
      <c r="G273" s="7" t="s">
        <v>873</v>
      </c>
      <c r="H273" s="8" t="str">
        <f>IFNA(VLOOKUP(F273,Driver!A:C,3,false),"")</f>
        <v/>
      </c>
      <c r="I273" s="9">
        <v>0.25</v>
      </c>
      <c r="J273" s="9">
        <v>0.4583333333333333</v>
      </c>
    </row>
    <row r="274" hidden="1">
      <c r="A274" s="5" t="str">
        <f>IFNA(VLOOKUP(D274,'Location Table'!A:C,2,false),"")</f>
        <v>d758c56e-a546-11ef-801d-506b8d9879b5</v>
      </c>
      <c r="B274" s="5" t="str">
        <f>IFNA(VLOOKUP(F274,Driver!A:C,2,false),"")</f>
        <v/>
      </c>
      <c r="C274" s="5" t="str">
        <f>IFNA(VLOOKUP(E274,'Location Table'!A:C,2,false),"")</f>
        <v/>
      </c>
      <c r="D274" s="6" t="s">
        <v>298</v>
      </c>
      <c r="E274" s="6"/>
      <c r="F274" s="6" t="s">
        <v>877</v>
      </c>
      <c r="G274" s="7" t="s">
        <v>873</v>
      </c>
      <c r="H274" s="8" t="str">
        <f>IFNA(VLOOKUP(F274,Driver!A:C,3,false),"")</f>
        <v/>
      </c>
      <c r="I274" s="9">
        <v>0.25</v>
      </c>
      <c r="J274" s="9">
        <v>0.4583333333333333</v>
      </c>
    </row>
    <row r="275" hidden="1">
      <c r="A275" s="5" t="str">
        <f>IFNA(VLOOKUP(D275,'Location Table'!A:C,2,false),"")</f>
        <v>799b3e00-b38a-11ef-b4d3-506b8d9879b5</v>
      </c>
      <c r="B275" s="5" t="str">
        <f>IFNA(VLOOKUP(F275,Driver!A:C,2,false),"")</f>
        <v/>
      </c>
      <c r="C275" s="5" t="str">
        <f>IFNA(VLOOKUP(E275,'Location Table'!A:C,2,false),"")</f>
        <v/>
      </c>
      <c r="D275" s="6" t="s">
        <v>299</v>
      </c>
      <c r="E275" s="6"/>
      <c r="F275" s="6" t="s">
        <v>877</v>
      </c>
      <c r="G275" s="7" t="s">
        <v>873</v>
      </c>
      <c r="H275" s="8" t="str">
        <f>IFNA(VLOOKUP(F275,Driver!A:C,3,false),"")</f>
        <v/>
      </c>
      <c r="I275" s="9">
        <v>0.25</v>
      </c>
      <c r="J275" s="9">
        <v>0.4583333333333333</v>
      </c>
    </row>
    <row r="276" hidden="1">
      <c r="A276" s="5" t="str">
        <f>IFNA(VLOOKUP(D276,'Location Table'!A:C,2,false),"")</f>
        <v>baf592d8-9dae-11f0-81c0-506b8d982279</v>
      </c>
      <c r="B276" s="5" t="str">
        <f>IFNA(VLOOKUP(F276,Driver!A:C,2,false),"")</f>
        <v/>
      </c>
      <c r="C276" s="5" t="str">
        <f>IFNA(VLOOKUP(E276,'Location Table'!A:C,2,false),"")</f>
        <v/>
      </c>
      <c r="D276" s="6" t="s">
        <v>300</v>
      </c>
      <c r="E276" s="6"/>
      <c r="F276" s="6" t="s">
        <v>877</v>
      </c>
      <c r="G276" s="7" t="s">
        <v>873</v>
      </c>
      <c r="H276" s="8" t="str">
        <f>IFNA(VLOOKUP(F276,Driver!A:C,3,false),"")</f>
        <v/>
      </c>
      <c r="I276" s="9">
        <v>0.25</v>
      </c>
      <c r="J276" s="9">
        <v>0.4583333333333333</v>
      </c>
    </row>
    <row r="277" hidden="1">
      <c r="A277" s="5" t="str">
        <f>IFNA(VLOOKUP(D277,'Location Table'!A:C,2,false),"")</f>
        <v>4061af16-d620-11f0-b121-506b8d982279</v>
      </c>
      <c r="B277" s="5" t="str">
        <f>IFNA(VLOOKUP(F277,Driver!A:C,2,false),"")</f>
        <v/>
      </c>
      <c r="C277" s="5" t="str">
        <f>IFNA(VLOOKUP(E277,'Location Table'!A:C,2,false),"")</f>
        <v/>
      </c>
      <c r="D277" s="6" t="s">
        <v>301</v>
      </c>
      <c r="E277" s="6"/>
      <c r="F277" s="6" t="s">
        <v>877</v>
      </c>
      <c r="G277" s="7" t="s">
        <v>873</v>
      </c>
      <c r="H277" s="8" t="str">
        <f>IFNA(VLOOKUP(F277,Driver!A:C,3,false),"")</f>
        <v/>
      </c>
      <c r="I277" s="9">
        <v>0.25</v>
      </c>
      <c r="J277" s="9">
        <v>0.4583333333333333</v>
      </c>
    </row>
    <row r="278" hidden="1">
      <c r="A278" s="5" t="str">
        <f>IFNA(VLOOKUP(D278,'Location Table'!A:C,2,false),"")</f>
        <v>3e36323e-a975-11f0-a790-506b8d982279</v>
      </c>
      <c r="B278" s="5" t="str">
        <f>IFNA(VLOOKUP(F278,Driver!A:C,2,false),"")</f>
        <v/>
      </c>
      <c r="C278" s="5" t="str">
        <f>IFNA(VLOOKUP(E278,'Location Table'!A:C,2,false),"")</f>
        <v/>
      </c>
      <c r="D278" s="6" t="s">
        <v>302</v>
      </c>
      <c r="E278" s="6"/>
      <c r="F278" s="6" t="s">
        <v>877</v>
      </c>
      <c r="G278" s="7" t="s">
        <v>873</v>
      </c>
      <c r="H278" s="8" t="str">
        <f>IFNA(VLOOKUP(F278,Driver!A:C,3,false),"")</f>
        <v/>
      </c>
      <c r="I278" s="9">
        <v>0.25</v>
      </c>
      <c r="J278" s="9">
        <v>0.4583333333333333</v>
      </c>
    </row>
    <row r="279" hidden="1">
      <c r="A279" s="5" t="str">
        <f>IFNA(VLOOKUP(D279,'Location Table'!A:C,2,false),"")</f>
        <v>d79450a8-ca70-11ef-a888-506b8d9879b5</v>
      </c>
      <c r="B279" s="5" t="str">
        <f>IFNA(VLOOKUP(F279,Driver!A:C,2,false),"")</f>
        <v/>
      </c>
      <c r="C279" s="5" t="str">
        <f>IFNA(VLOOKUP(E279,'Location Table'!A:C,2,false),"")</f>
        <v/>
      </c>
      <c r="D279" s="6" t="s">
        <v>303</v>
      </c>
      <c r="E279" s="6"/>
      <c r="F279" s="6" t="s">
        <v>877</v>
      </c>
      <c r="G279" s="7" t="s">
        <v>873</v>
      </c>
      <c r="H279" s="8" t="str">
        <f>IFNA(VLOOKUP(F279,Driver!A:C,3,false),"")</f>
        <v/>
      </c>
      <c r="I279" s="9">
        <v>0.25</v>
      </c>
      <c r="J279" s="9">
        <v>0.4583333333333333</v>
      </c>
    </row>
    <row r="280" hidden="1">
      <c r="A280" s="5" t="str">
        <f>IFNA(VLOOKUP(D280,'Location Table'!A:C,2,false),"")</f>
        <v>dd3d2fcc-0111-11ee-96ed-506b8dbc8dfb</v>
      </c>
      <c r="B280" s="5" t="str">
        <f>IFNA(VLOOKUP(F280,Driver!A:C,2,false),"")</f>
        <v/>
      </c>
      <c r="C280" s="5" t="str">
        <f>IFNA(VLOOKUP(E280,'Location Table'!A:C,2,false),"")</f>
        <v/>
      </c>
      <c r="D280" s="6" t="s">
        <v>304</v>
      </c>
      <c r="E280" s="6"/>
      <c r="F280" s="6" t="s">
        <v>877</v>
      </c>
      <c r="G280" s="7" t="s">
        <v>873</v>
      </c>
      <c r="H280" s="8" t="str">
        <f>IFNA(VLOOKUP(F280,Driver!A:C,3,false),"")</f>
        <v/>
      </c>
      <c r="I280" s="9">
        <v>0.25</v>
      </c>
      <c r="J280" s="9">
        <v>0.4583333333333333</v>
      </c>
    </row>
    <row r="281" hidden="1">
      <c r="A281" s="5" t="str">
        <f>IFNA(VLOOKUP(D281,'Location Table'!A:C,2,false),"")</f>
        <v>b4c275cc-8070-11ef-83a4-506b8d9879b5</v>
      </c>
      <c r="B281" s="5" t="str">
        <f>IFNA(VLOOKUP(F281,Driver!A:C,2,false),"")</f>
        <v/>
      </c>
      <c r="C281" s="5" t="str">
        <f>IFNA(VLOOKUP(E281,'Location Table'!A:C,2,false),"")</f>
        <v/>
      </c>
      <c r="D281" s="6" t="s">
        <v>305</v>
      </c>
      <c r="E281" s="6"/>
      <c r="F281" s="6" t="s">
        <v>877</v>
      </c>
      <c r="G281" s="7" t="s">
        <v>873</v>
      </c>
      <c r="H281" s="8" t="str">
        <f>IFNA(VLOOKUP(F281,Driver!A:C,3,false),"")</f>
        <v/>
      </c>
      <c r="I281" s="9">
        <v>0.25</v>
      </c>
      <c r="J281" s="9">
        <v>0.4583333333333333</v>
      </c>
    </row>
    <row r="282" hidden="1">
      <c r="A282" s="5" t="str">
        <f>IFNA(VLOOKUP(D282,'Location Table'!A:C,2,false),"")</f>
        <v>f6cf48fa-2a03-11ef-86e0-506b8d9879b5</v>
      </c>
      <c r="B282" s="5" t="str">
        <f>IFNA(VLOOKUP(F282,Driver!A:C,2,false),"")</f>
        <v/>
      </c>
      <c r="C282" s="5" t="str">
        <f>IFNA(VLOOKUP(E282,'Location Table'!A:C,2,false),"")</f>
        <v/>
      </c>
      <c r="D282" s="6" t="s">
        <v>306</v>
      </c>
      <c r="E282" s="6"/>
      <c r="F282" s="6" t="s">
        <v>877</v>
      </c>
      <c r="G282" s="7" t="s">
        <v>873</v>
      </c>
      <c r="H282" s="8" t="str">
        <f>IFNA(VLOOKUP(F282,Driver!A:C,3,false),"")</f>
        <v/>
      </c>
      <c r="I282" s="9">
        <v>0.25</v>
      </c>
      <c r="J282" s="9">
        <v>0.4583333333333333</v>
      </c>
    </row>
    <row r="283" hidden="1">
      <c r="A283" s="5" t="str">
        <f>IFNA(VLOOKUP(D283,'Location Table'!A:C,2,false),"")</f>
        <v>c0c4459e-010f-11ee-a6cd-506b8dbc8dfb</v>
      </c>
      <c r="B283" s="5" t="str">
        <f>IFNA(VLOOKUP(F283,Driver!A:C,2,false),"")</f>
        <v/>
      </c>
      <c r="C283" s="5" t="str">
        <f>IFNA(VLOOKUP(E283,'Location Table'!A:C,2,false),"")</f>
        <v/>
      </c>
      <c r="D283" s="6" t="s">
        <v>307</v>
      </c>
      <c r="E283" s="6"/>
      <c r="F283" s="6" t="s">
        <v>877</v>
      </c>
      <c r="G283" s="7" t="s">
        <v>873</v>
      </c>
      <c r="H283" s="8" t="str">
        <f>IFNA(VLOOKUP(F283,Driver!A:C,3,false),"")</f>
        <v/>
      </c>
      <c r="I283" s="9">
        <v>0.25</v>
      </c>
      <c r="J283" s="9">
        <v>0.4583333333333333</v>
      </c>
    </row>
    <row r="284" hidden="1">
      <c r="A284" s="5" t="str">
        <f>IFNA(VLOOKUP(D284,'Location Table'!A:C,2,false),"")</f>
        <v>407d272e-0110-11ee-b0a3-506b8dbc8dfb</v>
      </c>
      <c r="B284" s="5" t="str">
        <f>IFNA(VLOOKUP(F284,Driver!A:C,2,false),"")</f>
        <v/>
      </c>
      <c r="C284" s="5" t="str">
        <f>IFNA(VLOOKUP(E284,'Location Table'!A:C,2,false),"")</f>
        <v/>
      </c>
      <c r="D284" s="6" t="s">
        <v>308</v>
      </c>
      <c r="E284" s="6"/>
      <c r="F284" s="6" t="s">
        <v>877</v>
      </c>
      <c r="G284" s="7" t="s">
        <v>873</v>
      </c>
      <c r="H284" s="8" t="str">
        <f>IFNA(VLOOKUP(F284,Driver!A:C,3,false),"")</f>
        <v/>
      </c>
      <c r="I284" s="9">
        <v>0.25</v>
      </c>
      <c r="J284" s="9">
        <v>0.4583333333333333</v>
      </c>
    </row>
    <row r="285" hidden="1">
      <c r="A285" s="5" t="str">
        <f>IFNA(VLOOKUP(D285,'Location Table'!A:C,2,false),"")</f>
        <v>c320f744-4a06-11ed-adc5-506b8dbc8dfb</v>
      </c>
      <c r="B285" s="5" t="str">
        <f>IFNA(VLOOKUP(F285,Driver!A:C,2,false),"")</f>
        <v/>
      </c>
      <c r="C285" s="5" t="str">
        <f>IFNA(VLOOKUP(E285,'Location Table'!A:C,2,false),"")</f>
        <v/>
      </c>
      <c r="D285" s="6" t="s">
        <v>309</v>
      </c>
      <c r="E285" s="6"/>
      <c r="F285" s="6" t="s">
        <v>877</v>
      </c>
      <c r="G285" s="7" t="s">
        <v>873</v>
      </c>
      <c r="H285" s="8" t="str">
        <f>IFNA(VLOOKUP(F285,Driver!A:C,3,false),"")</f>
        <v/>
      </c>
      <c r="I285" s="9">
        <v>0.25</v>
      </c>
      <c r="J285" s="9">
        <v>0.4583333333333333</v>
      </c>
    </row>
    <row r="286" hidden="1">
      <c r="A286" s="5" t="str">
        <f>IFNA(VLOOKUP(D286,'Location Table'!A:C,2,false),"")</f>
        <v>29c1bb04-4a08-11ed-9d26-506b8dbc8dfb</v>
      </c>
      <c r="B286" s="5" t="str">
        <f>IFNA(VLOOKUP(F286,Driver!A:C,2,false),"")</f>
        <v/>
      </c>
      <c r="C286" s="5" t="str">
        <f>IFNA(VLOOKUP(E286,'Location Table'!A:C,2,false),"")</f>
        <v/>
      </c>
      <c r="D286" s="6" t="s">
        <v>310</v>
      </c>
      <c r="E286" s="6"/>
      <c r="F286" s="6" t="s">
        <v>877</v>
      </c>
      <c r="G286" s="7" t="s">
        <v>873</v>
      </c>
      <c r="H286" s="8" t="str">
        <f>IFNA(VLOOKUP(F286,Driver!A:C,3,false),"")</f>
        <v/>
      </c>
      <c r="I286" s="9">
        <v>0.25</v>
      </c>
      <c r="J286" s="9">
        <v>0.4583333333333333</v>
      </c>
    </row>
    <row r="287" hidden="1">
      <c r="A287" s="5" t="str">
        <f>IFNA(VLOOKUP(D287,'Location Table'!A:C,2,false),"")</f>
        <v>e9b61bae-005d-11f0-afd2-506b8d9879b5</v>
      </c>
      <c r="B287" s="5" t="str">
        <f>IFNA(VLOOKUP(F287,Driver!A:C,2,false),"")</f>
        <v/>
      </c>
      <c r="C287" s="5" t="str">
        <f>IFNA(VLOOKUP(E287,'Location Table'!A:C,2,false),"")</f>
        <v/>
      </c>
      <c r="D287" s="6" t="s">
        <v>311</v>
      </c>
      <c r="E287" s="6"/>
      <c r="F287" s="6" t="s">
        <v>877</v>
      </c>
      <c r="G287" s="7" t="s">
        <v>873</v>
      </c>
      <c r="H287" s="8" t="str">
        <f>IFNA(VLOOKUP(F287,Driver!A:C,3,false),"")</f>
        <v/>
      </c>
      <c r="I287" s="9">
        <v>0.25</v>
      </c>
      <c r="J287" s="9">
        <v>0.4583333333333333</v>
      </c>
    </row>
    <row r="288" hidden="1">
      <c r="A288" s="5" t="str">
        <f>IFNA(VLOOKUP(D288,'Location Table'!A:C,2,false),"")</f>
        <v>79fe49a8-0113-11ee-bb47-506b8dbc8dfb</v>
      </c>
      <c r="B288" s="5" t="str">
        <f>IFNA(VLOOKUP(F288,Driver!A:C,2,false),"")</f>
        <v/>
      </c>
      <c r="C288" s="5" t="str">
        <f>IFNA(VLOOKUP(E288,'Location Table'!A:C,2,false),"")</f>
        <v/>
      </c>
      <c r="D288" s="6" t="s">
        <v>312</v>
      </c>
      <c r="E288" s="6"/>
      <c r="F288" s="6" t="s">
        <v>877</v>
      </c>
      <c r="G288" s="7" t="s">
        <v>873</v>
      </c>
      <c r="H288" s="8" t="str">
        <f>IFNA(VLOOKUP(F288,Driver!A:C,3,false),"")</f>
        <v/>
      </c>
      <c r="I288" s="9">
        <v>0.25</v>
      </c>
      <c r="J288" s="9">
        <v>0.4583333333333333</v>
      </c>
    </row>
    <row r="289" hidden="1">
      <c r="A289" s="5" t="str">
        <f>IFNA(VLOOKUP(D289,'Location Table'!A:C,2,false),"")</f>
        <v>56eabc04-8eaf-11f0-a814-506b8d982279</v>
      </c>
      <c r="B289" s="5" t="str">
        <f>IFNA(VLOOKUP(F289,Driver!A:C,2,false),"")</f>
        <v>f5993946-37cf-11ed-a3fc-506b8dbc8dfb</v>
      </c>
      <c r="C289" s="5" t="str">
        <f>IFNA(VLOOKUP(E289,'Location Table'!A:C,2,false),"")</f>
        <v/>
      </c>
      <c r="D289" s="6" t="s">
        <v>313</v>
      </c>
      <c r="E289" s="6"/>
      <c r="F289" s="6" t="s">
        <v>314</v>
      </c>
      <c r="G289" s="7" t="s">
        <v>873</v>
      </c>
      <c r="H289" s="8" t="str">
        <f>IFNA(VLOOKUP(F289,Driver!A:C,3,false),"")</f>
        <v/>
      </c>
      <c r="I289" s="9">
        <v>0.2916666666666667</v>
      </c>
      <c r="J289" s="9">
        <v>0.6875</v>
      </c>
    </row>
    <row r="290" hidden="1">
      <c r="A290" s="5" t="str">
        <f>IFNA(VLOOKUP(D290,'Location Table'!A:C,2,false),"")</f>
        <v>c0f4fa12-4626-11ed-8f3f-506b8dbc8dfb</v>
      </c>
      <c r="B290" s="5" t="str">
        <f>IFNA(VLOOKUP(F290,Driver!A:C,2,false),"")</f>
        <v>51b847ba-37cd-11ed-a5f6-506b8dbc8dfb</v>
      </c>
      <c r="C290" s="5" t="str">
        <f>IFNA(VLOOKUP(E290,'Location Table'!A:C,2,false),"")</f>
        <v/>
      </c>
      <c r="D290" s="6" t="s">
        <v>315</v>
      </c>
      <c r="E290" s="6"/>
      <c r="F290" s="6" t="s">
        <v>94</v>
      </c>
      <c r="G290" s="7" t="s">
        <v>873</v>
      </c>
      <c r="H290" s="8" t="str">
        <f>IFNA(VLOOKUP(F290,Driver!A:C,3,false),"")</f>
        <v>3d1fec9027dcce8297cd</v>
      </c>
      <c r="I290" s="9">
        <v>0.2916666666666667</v>
      </c>
      <c r="J290" s="9">
        <v>0.6875</v>
      </c>
    </row>
    <row r="291" hidden="1">
      <c r="A291" s="5" t="str">
        <f>IFNA(VLOOKUP(D291,'Location Table'!A:C,2,false),"")</f>
        <v>ddd9ae3e-4626-11ed-bb97-506b8dbc8dfb</v>
      </c>
      <c r="B291" s="5" t="str">
        <f>IFNA(VLOOKUP(F291,Driver!A:C,2,false),"")</f>
        <v>51b847ba-37cd-11ed-a5f6-506b8dbc8dfb</v>
      </c>
      <c r="C291" s="5" t="str">
        <f>IFNA(VLOOKUP(E291,'Location Table'!A:C,2,false),"")</f>
        <v/>
      </c>
      <c r="D291" s="6" t="s">
        <v>316</v>
      </c>
      <c r="E291" s="6"/>
      <c r="F291" s="6" t="s">
        <v>94</v>
      </c>
      <c r="G291" s="7" t="s">
        <v>873</v>
      </c>
      <c r="H291" s="8" t="str">
        <f>IFNA(VLOOKUP(F291,Driver!A:C,3,false),"")</f>
        <v>3d1fec9027dcce8297cd</v>
      </c>
      <c r="I291" s="9">
        <v>0.2916666666666667</v>
      </c>
      <c r="J291" s="9">
        <v>0.6875</v>
      </c>
    </row>
    <row r="292" hidden="1">
      <c r="A292" s="5" t="str">
        <f>IFNA(VLOOKUP(D292,'Location Table'!A:C,2,false),"")</f>
        <v>6ea5cc10-32b0-11ee-b2df-506b8d9879b5</v>
      </c>
      <c r="B292" s="5" t="str">
        <f>IFNA(VLOOKUP(F292,Driver!A:C,2,false),"")</f>
        <v>f5993946-37cf-11ed-a3fc-506b8dbc8dfb</v>
      </c>
      <c r="C292" s="5" t="str">
        <f>IFNA(VLOOKUP(E292,'Location Table'!A:C,2,false),"")</f>
        <v/>
      </c>
      <c r="D292" s="6" t="s">
        <v>317</v>
      </c>
      <c r="E292" s="6"/>
      <c r="F292" s="6" t="s">
        <v>314</v>
      </c>
      <c r="G292" s="7" t="s">
        <v>873</v>
      </c>
      <c r="H292" s="8" t="str">
        <f>IFNA(VLOOKUP(F292,Driver!A:C,3,false),"")</f>
        <v/>
      </c>
      <c r="I292" s="9">
        <v>0.2916666666666667</v>
      </c>
      <c r="J292" s="9">
        <v>0.6875</v>
      </c>
    </row>
    <row r="293" hidden="1">
      <c r="A293" s="5" t="str">
        <f>IFNA(VLOOKUP(D293,'Location Table'!A:C,2,false),"")</f>
        <v>f9134f28-14e0-11ee-9d74-506b8dbc8dfb</v>
      </c>
      <c r="B293" s="5" t="str">
        <f>IFNA(VLOOKUP(F293,Driver!A:C,2,false),"")</f>
        <v>cdb1dc1a-3655-11ed-a124-506b8dbc8dfb</v>
      </c>
      <c r="C293" s="5" t="str">
        <f>IFNA(VLOOKUP(E293,'Location Table'!A:C,2,false),"")</f>
        <v/>
      </c>
      <c r="D293" s="6" t="s">
        <v>318</v>
      </c>
      <c r="E293" s="6"/>
      <c r="F293" s="6" t="s">
        <v>319</v>
      </c>
      <c r="G293" s="7" t="s">
        <v>873</v>
      </c>
      <c r="H293" s="8" t="str">
        <f>IFNA(VLOOKUP(F293,Driver!A:C,3,false),"")</f>
        <v>b57751bd28f2c1ac98e3</v>
      </c>
      <c r="I293" s="9">
        <v>0.2916666666666667</v>
      </c>
      <c r="J293" s="9">
        <v>0.75</v>
      </c>
    </row>
    <row r="294" hidden="1">
      <c r="A294" s="5" t="str">
        <f>IFNA(VLOOKUP(D294,'Location Table'!A:C,2,false),"")</f>
        <v>3c3f0394-1745-11ee-81df-506b8d9879b5</v>
      </c>
      <c r="B294" s="5" t="str">
        <f>IFNA(VLOOKUP(F294,Driver!A:C,2,false),"")</f>
        <v>ec034796-8970-11f0-bdfa-506b8d982279</v>
      </c>
      <c r="C294" s="5" t="str">
        <f>IFNA(VLOOKUP(E294,'Location Table'!A:C,2,false),"")</f>
        <v/>
      </c>
      <c r="D294" s="6" t="s">
        <v>320</v>
      </c>
      <c r="E294" s="6"/>
      <c r="F294" s="6" t="s">
        <v>321</v>
      </c>
      <c r="G294" s="7" t="s">
        <v>873</v>
      </c>
      <c r="H294" s="8" t="str">
        <f>IFNA(VLOOKUP(F294,Driver!A:C,3,false),"")</f>
        <v>e4fed8071e4af714ae5b</v>
      </c>
      <c r="I294" s="9">
        <v>0.2916666666666667</v>
      </c>
      <c r="J294" s="9">
        <v>0.75</v>
      </c>
    </row>
    <row r="295" hidden="1">
      <c r="A295" s="5" t="str">
        <f>IFNA(VLOOKUP(D295,'Location Table'!A:C,2,false),"")</f>
        <v>c3edb45e-3b9f-11f0-99d0-506b8d982279</v>
      </c>
      <c r="B295" s="5" t="str">
        <f>IFNA(VLOOKUP(F295,Driver!A:C,2,false),"")</f>
        <v>cdb1dc1a-3655-11ed-a124-506b8dbc8dfb</v>
      </c>
      <c r="C295" s="5" t="str">
        <f>IFNA(VLOOKUP(E295,'Location Table'!A:C,2,false),"")</f>
        <v/>
      </c>
      <c r="D295" s="6" t="s">
        <v>322</v>
      </c>
      <c r="E295" s="6"/>
      <c r="F295" s="6" t="s">
        <v>319</v>
      </c>
      <c r="G295" s="7" t="s">
        <v>873</v>
      </c>
      <c r="H295" s="8" t="str">
        <f>IFNA(VLOOKUP(F295,Driver!A:C,3,false),"")</f>
        <v>b57751bd28f2c1ac98e3</v>
      </c>
      <c r="I295" s="9">
        <v>0.2916666666666667</v>
      </c>
      <c r="J295" s="9">
        <v>0.75</v>
      </c>
    </row>
    <row r="296" hidden="1">
      <c r="A296" s="5" t="str">
        <f>IFNA(VLOOKUP(D296,'Location Table'!A:C,2,false),"")</f>
        <v>b0725974-ba9b-11ee-bffa-506b8d9879b5</v>
      </c>
      <c r="B296" s="5" t="str">
        <f>IFNA(VLOOKUP(F296,Driver!A:C,2,false),"")</f>
        <v>f5993946-37cf-11ed-a3fc-506b8dbc8dfb</v>
      </c>
      <c r="C296" s="5" t="str">
        <f>IFNA(VLOOKUP(E296,'Location Table'!A:C,2,false),"")</f>
        <v/>
      </c>
      <c r="D296" s="6" t="s">
        <v>323</v>
      </c>
      <c r="E296" s="6"/>
      <c r="F296" s="6" t="s">
        <v>314</v>
      </c>
      <c r="G296" s="7" t="s">
        <v>873</v>
      </c>
      <c r="H296" s="8" t="str">
        <f>IFNA(VLOOKUP(F296,Driver!A:C,3,false),"")</f>
        <v/>
      </c>
      <c r="I296" s="9">
        <v>0.2916666666666667</v>
      </c>
      <c r="J296" s="9">
        <v>0.6875</v>
      </c>
    </row>
    <row r="297" hidden="1">
      <c r="A297" s="5" t="str">
        <f>IFNA(VLOOKUP(D297,'Location Table'!A:C,2,false),"")</f>
        <v>8d7c8f4c-4626-11ed-b4de-506b8dbc8dfb</v>
      </c>
      <c r="B297" s="5" t="str">
        <f>IFNA(VLOOKUP(F297,Driver!A:C,2,false),"")</f>
        <v>f5993946-37cf-11ed-a3fc-506b8dbc8dfb</v>
      </c>
      <c r="C297" s="5" t="str">
        <f>IFNA(VLOOKUP(E297,'Location Table'!A:C,2,false),"")</f>
        <v/>
      </c>
      <c r="D297" s="6" t="s">
        <v>324</v>
      </c>
      <c r="E297" s="6"/>
      <c r="F297" s="6" t="s">
        <v>314</v>
      </c>
      <c r="G297" s="7" t="s">
        <v>873</v>
      </c>
      <c r="H297" s="8" t="str">
        <f>IFNA(VLOOKUP(F297,Driver!A:C,3,false),"")</f>
        <v/>
      </c>
      <c r="I297" s="9">
        <v>0.2916666666666667</v>
      </c>
      <c r="J297" s="9">
        <v>0.6875</v>
      </c>
    </row>
    <row r="298" hidden="1">
      <c r="A298" s="5" t="str">
        <f>IFNA(VLOOKUP(D298,'Location Table'!A:C,2,false),"")</f>
        <v>43ac08be-380d-11ee-800b-506b8d9879b5</v>
      </c>
      <c r="B298" s="5" t="str">
        <f>IFNA(VLOOKUP(F298,Driver!A:C,2,false),"")</f>
        <v>b74e3178-7caf-11f0-a9c3-506b8d982279</v>
      </c>
      <c r="C298" s="5" t="str">
        <f>IFNA(VLOOKUP(E298,'Location Table'!A:C,2,false),"")</f>
        <v/>
      </c>
      <c r="D298" s="6" t="s">
        <v>325</v>
      </c>
      <c r="E298" s="6"/>
      <c r="F298" s="6" t="s">
        <v>326</v>
      </c>
      <c r="G298" s="7" t="s">
        <v>873</v>
      </c>
      <c r="H298" s="8" t="str">
        <f>IFNA(VLOOKUP(F298,Driver!A:C,3,false),"")</f>
        <v>473ef1d8329bdbc5828a</v>
      </c>
      <c r="I298" s="9">
        <v>0.2916666666666667</v>
      </c>
      <c r="J298" s="9">
        <v>0.6666666666666666</v>
      </c>
    </row>
    <row r="299" hidden="1">
      <c r="A299" s="5" t="str">
        <f>IFNA(VLOOKUP(D299,'Location Table'!A:C,2,false),"")</f>
        <v>68682bea-755d-11ef-9d29-506b8d9879b5</v>
      </c>
      <c r="B299" s="5" t="str">
        <f>IFNA(VLOOKUP(F299,Driver!A:C,2,false),"")</f>
        <v>f580f2a4-1966-11ee-a4c6-506b8d9879b5</v>
      </c>
      <c r="C299" s="5" t="str">
        <f>IFNA(VLOOKUP(E299,'Location Table'!A:C,2,false),"")</f>
        <v/>
      </c>
      <c r="D299" s="6" t="s">
        <v>327</v>
      </c>
      <c r="E299" s="6"/>
      <c r="F299" s="6" t="s">
        <v>878</v>
      </c>
      <c r="G299" s="7" t="s">
        <v>873</v>
      </c>
      <c r="H299" s="8" t="str">
        <f>IFNA(VLOOKUP(F299,Driver!A:C,3,false),"")</f>
        <v>557c6317f65c1f02464d</v>
      </c>
      <c r="I299" s="9">
        <v>0.2916666666666667</v>
      </c>
      <c r="J299" s="9">
        <v>0.7916666666666666</v>
      </c>
    </row>
    <row r="300" hidden="1">
      <c r="A300" s="5" t="str">
        <f>IFNA(VLOOKUP(D300,'Location Table'!A:C,2,false),"")</f>
        <v>323821e8-59e6-11ef-bc31-506b8d9879b5</v>
      </c>
      <c r="B300" s="5" t="str">
        <f>IFNA(VLOOKUP(F300,Driver!A:C,2,false),"")</f>
        <v>987568fa-37c7-11ed-aac2-506b8dbc8dfb</v>
      </c>
      <c r="C300" s="5" t="str">
        <f>IFNA(VLOOKUP(E300,'Location Table'!A:C,2,false),"")</f>
        <v/>
      </c>
      <c r="D300" s="6" t="s">
        <v>329</v>
      </c>
      <c r="E300" s="6"/>
      <c r="F300" s="6" t="s">
        <v>849</v>
      </c>
      <c r="G300" s="7" t="s">
        <v>873</v>
      </c>
      <c r="H300" s="8" t="str">
        <f>IFNA(VLOOKUP(F300,Driver!A:C,3,false),"")</f>
        <v>fb399a0ae5460c185557</v>
      </c>
      <c r="I300" s="9">
        <v>0.2916666666666667</v>
      </c>
      <c r="J300" s="9">
        <v>0.7083333333333334</v>
      </c>
    </row>
    <row r="301" hidden="1">
      <c r="A301" s="5" t="str">
        <f>IFNA(VLOOKUP(D301,'Location Table'!A:C,2,false),"")</f>
        <v>fd168f54-e9ef-11f0-a0fb-506b8d982279</v>
      </c>
      <c r="B301" s="5" t="str">
        <f>IFNA(VLOOKUP(F301,Driver!A:C,2,false),"")</f>
        <v>9ba6de4c-37d0-11ed-90bb-506b8dbc8dfb</v>
      </c>
      <c r="C301" s="5" t="str">
        <f>IFNA(VLOOKUP(E301,'Location Table'!A:C,2,false),"")</f>
        <v/>
      </c>
      <c r="D301" s="6" t="s">
        <v>332</v>
      </c>
      <c r="E301" s="6"/>
      <c r="F301" s="6" t="s">
        <v>330</v>
      </c>
      <c r="G301" s="7" t="s">
        <v>873</v>
      </c>
      <c r="H301" s="8" t="str">
        <f>IFNA(VLOOKUP(F301,Driver!A:C,3,false),"")</f>
        <v>d0ce770b76499f17c658</v>
      </c>
      <c r="I301" s="9">
        <v>0.2916666666666667</v>
      </c>
      <c r="J301" s="9">
        <v>0.7083333333333334</v>
      </c>
    </row>
    <row r="302" hidden="1">
      <c r="A302" s="5" t="str">
        <f>IFNA(VLOOKUP(D302,'Location Table'!A:C,2,false),"")</f>
        <v>e07c49a2-0e9a-11ee-84f9-506b8dbc8dfb</v>
      </c>
      <c r="B302" s="5" t="str">
        <f>IFNA(VLOOKUP(F302,Driver!A:C,2,false),"")</f>
        <v>987568fa-37c7-11ed-aac2-506b8dbc8dfb</v>
      </c>
      <c r="C302" s="5" t="str">
        <f>IFNA(VLOOKUP(E302,'Location Table'!A:C,2,false),"")</f>
        <v/>
      </c>
      <c r="D302" s="6" t="s">
        <v>333</v>
      </c>
      <c r="E302" s="6"/>
      <c r="F302" s="6" t="s">
        <v>849</v>
      </c>
      <c r="G302" s="7" t="s">
        <v>873</v>
      </c>
      <c r="H302" s="8" t="str">
        <f>IFNA(VLOOKUP(F302,Driver!A:C,3,false),"")</f>
        <v>fb399a0ae5460c185557</v>
      </c>
      <c r="I302" s="9">
        <v>0.2916666666666667</v>
      </c>
      <c r="J302" s="9">
        <v>0.7083333333333334</v>
      </c>
    </row>
    <row r="303" hidden="1">
      <c r="A303" s="5" t="str">
        <f>IFNA(VLOOKUP(D303,'Location Table'!A:C,2,false),"")</f>
        <v>56e967fc-4626-11ed-99f2-506b8dbc8dfb</v>
      </c>
      <c r="B303" s="5" t="str">
        <f>IFNA(VLOOKUP(F303,Driver!A:C,2,false),"")</f>
        <v>c34fdbc2-ea4c-11ed-a5e2-506b8dbc8dfb</v>
      </c>
      <c r="C303" s="5" t="str">
        <f>IFNA(VLOOKUP(E303,'Location Table'!A:C,2,false),"")</f>
        <v/>
      </c>
      <c r="D303" s="6" t="s">
        <v>334</v>
      </c>
      <c r="E303" s="6"/>
      <c r="F303" s="6" t="s">
        <v>335</v>
      </c>
      <c r="G303" s="7" t="s">
        <v>873</v>
      </c>
      <c r="H303" s="8" t="str">
        <f>IFNA(VLOOKUP(F303,Driver!A:C,3,false),"")</f>
        <v>671c6e0f3741de1f8750</v>
      </c>
      <c r="I303" s="9">
        <v>0.2916666666666667</v>
      </c>
      <c r="J303" s="9">
        <v>0.7916666666666666</v>
      </c>
    </row>
    <row r="304" hidden="1">
      <c r="A304" s="5" t="str">
        <f>IFNA(VLOOKUP(D304,'Location Table'!A:C,2,false),"")</f>
        <v>ce820dc0-cf03-11ee-894e-506b8d9879b5</v>
      </c>
      <c r="B304" s="5" t="str">
        <f>IFNA(VLOOKUP(F304,Driver!A:C,2,false),"")</f>
        <v>353f3686-dcc8-11f0-82b8-506b8d982279</v>
      </c>
      <c r="C304" s="5" t="str">
        <f>IFNA(VLOOKUP(E304,'Location Table'!A:C,2,false),"")</f>
        <v/>
      </c>
      <c r="D304" s="6" t="s">
        <v>336</v>
      </c>
      <c r="E304" s="6"/>
      <c r="F304" s="6" t="s">
        <v>96</v>
      </c>
      <c r="G304" s="7" t="s">
        <v>873</v>
      </c>
      <c r="H304" s="8" t="str">
        <f>IFNA(VLOOKUP(F304,Driver!A:C,3,false),"")</f>
        <v>e7ce6d37cc7f25217c6e</v>
      </c>
      <c r="I304" s="9">
        <v>0.2916666666666667</v>
      </c>
      <c r="J304" s="9">
        <v>0.7083333333333334</v>
      </c>
    </row>
    <row r="305" hidden="1">
      <c r="A305" s="5" t="str">
        <f>IFNA(VLOOKUP(D305,'Location Table'!A:C,2,false),"")</f>
        <v>e8cd6044-4b22-11ef-902f-506b8d9879b5</v>
      </c>
      <c r="B305" s="5" t="str">
        <f>IFNA(VLOOKUP(F305,Driver!A:C,2,false),"")</f>
        <v>a2f538f8-37ce-11ed-a5cf-506b8dbc8dfb</v>
      </c>
      <c r="C305" s="5" t="str">
        <f>IFNA(VLOOKUP(E305,'Location Table'!A:C,2,false),"")</f>
        <v/>
      </c>
      <c r="D305" s="6" t="s">
        <v>337</v>
      </c>
      <c r="E305" s="6"/>
      <c r="F305" s="6" t="s">
        <v>338</v>
      </c>
      <c r="G305" s="7" t="s">
        <v>873</v>
      </c>
      <c r="H305" s="8" t="str">
        <f>IFNA(VLOOKUP(F305,Driver!A:C,3,false),"")</f>
        <v>c0d10f02724a9b14c25b</v>
      </c>
      <c r="I305" s="9">
        <v>0.2916666666666667</v>
      </c>
      <c r="J305" s="9">
        <v>0.6875</v>
      </c>
    </row>
    <row r="306" hidden="1">
      <c r="A306" s="5" t="str">
        <f>IFNA(VLOOKUP(D306,'Location Table'!A:C,2,false),"")</f>
        <v>702f6dc4-4626-11ed-88ba-506b8dbc8dfb</v>
      </c>
      <c r="B306" s="5" t="str">
        <f>IFNA(VLOOKUP(F306,Driver!A:C,2,false),"")</f>
        <v>a2f538f8-37ce-11ed-a5cf-506b8dbc8dfb</v>
      </c>
      <c r="C306" s="5" t="str">
        <f>IFNA(VLOOKUP(E306,'Location Table'!A:C,2,false),"")</f>
        <v/>
      </c>
      <c r="D306" s="6" t="s">
        <v>339</v>
      </c>
      <c r="E306" s="6"/>
      <c r="F306" s="6" t="s">
        <v>338</v>
      </c>
      <c r="G306" s="7" t="s">
        <v>873</v>
      </c>
      <c r="H306" s="8" t="str">
        <f>IFNA(VLOOKUP(F306,Driver!A:C,3,false),"")</f>
        <v>c0d10f02724a9b14c25b</v>
      </c>
      <c r="I306" s="9">
        <v>0.2916666666666667</v>
      </c>
      <c r="J306" s="9">
        <v>0.6875</v>
      </c>
    </row>
    <row r="307" hidden="1">
      <c r="A307" s="5" t="str">
        <f>IFNA(VLOOKUP(D307,'Location Table'!A:C,2,false),"")</f>
        <v>542902da-21f8-11ee-bcde-506b8d9879b5</v>
      </c>
      <c r="B307" s="5" t="str">
        <f>IFNA(VLOOKUP(F307,Driver!A:C,2,false),"")</f>
        <v>a2f538f8-37ce-11ed-a5cf-506b8dbc8dfb</v>
      </c>
      <c r="C307" s="5" t="str">
        <f>IFNA(VLOOKUP(E307,'Location Table'!A:C,2,false),"")</f>
        <v/>
      </c>
      <c r="D307" s="6" t="s">
        <v>340</v>
      </c>
      <c r="E307" s="6"/>
      <c r="F307" s="6" t="s">
        <v>338</v>
      </c>
      <c r="G307" s="7" t="s">
        <v>873</v>
      </c>
      <c r="H307" s="8" t="str">
        <f>IFNA(VLOOKUP(F307,Driver!A:C,3,false),"")</f>
        <v>c0d10f02724a9b14c25b</v>
      </c>
      <c r="I307" s="9">
        <v>0.2916666666666667</v>
      </c>
      <c r="J307" s="9">
        <v>0.6875</v>
      </c>
    </row>
    <row r="308" hidden="1">
      <c r="A308" s="5" t="str">
        <f>IFNA(VLOOKUP(D308,'Location Table'!A:C,2,false),"")</f>
        <v>7e60488c-9b1b-11ee-8ad8-506b8d9879b5</v>
      </c>
      <c r="B308" s="5" t="str">
        <f>IFNA(VLOOKUP(F308,Driver!A:C,2,false),"")</f>
        <v>a2f538f8-37ce-11ed-a5cf-506b8dbc8dfb</v>
      </c>
      <c r="C308" s="5" t="str">
        <f>IFNA(VLOOKUP(E308,'Location Table'!A:C,2,false),"")</f>
        <v/>
      </c>
      <c r="D308" s="6" t="s">
        <v>341</v>
      </c>
      <c r="E308" s="6"/>
      <c r="F308" s="6" t="s">
        <v>338</v>
      </c>
      <c r="G308" s="7" t="s">
        <v>873</v>
      </c>
      <c r="H308" s="8" t="str">
        <f>IFNA(VLOOKUP(F308,Driver!A:C,3,false),"")</f>
        <v>c0d10f02724a9b14c25b</v>
      </c>
      <c r="I308" s="9">
        <v>0.2916666666666667</v>
      </c>
      <c r="J308" s="9">
        <v>0.6875</v>
      </c>
    </row>
    <row r="309" hidden="1">
      <c r="A309" s="5" t="str">
        <f>IFNA(VLOOKUP(D309,'Location Table'!A:C,2,false),"")</f>
        <v>31419a48-09d9-11ee-8601-506b8dbc8dfb</v>
      </c>
      <c r="B309" s="5" t="str">
        <f>IFNA(VLOOKUP(F309,Driver!A:C,2,false),"")</f>
        <v>1d4786cc-12f7-11f1-9378-fa163ee8d8ac</v>
      </c>
      <c r="C309" s="5" t="str">
        <f>IFNA(VLOOKUP(E309,'Location Table'!A:C,2,false),"")</f>
        <v/>
      </c>
      <c r="D309" s="6" t="s">
        <v>342</v>
      </c>
      <c r="E309" s="6"/>
      <c r="F309" s="10" t="s">
        <v>343</v>
      </c>
      <c r="G309" s="7" t="s">
        <v>873</v>
      </c>
      <c r="H309" s="8" t="str">
        <f>IFNA(VLOOKUP(F309,Driver!A:C,3,false),"")</f>
        <v>85d2de46a91b4045190a</v>
      </c>
      <c r="I309" s="9">
        <v>0.2916666666666667</v>
      </c>
      <c r="J309" s="9">
        <v>0.75</v>
      </c>
    </row>
    <row r="310" hidden="1">
      <c r="A310" s="5" t="str">
        <f>IFNA(VLOOKUP(D310,'Location Table'!A:C,2,false),"")</f>
        <v>de879fd6-4625-11ed-94a6-506b8dbc8dfb</v>
      </c>
      <c r="B310" s="5" t="str">
        <f>IFNA(VLOOKUP(F310,Driver!A:C,2,false),"")</f>
        <v>51b847ba-37cd-11ed-a5f6-506b8dbc8dfb</v>
      </c>
      <c r="C310" s="5" t="str">
        <f>IFNA(VLOOKUP(E310,'Location Table'!A:C,2,false),"")</f>
        <v/>
      </c>
      <c r="D310" s="6" t="s">
        <v>344</v>
      </c>
      <c r="E310" s="6"/>
      <c r="F310" s="6" t="s">
        <v>94</v>
      </c>
      <c r="G310" s="7" t="s">
        <v>873</v>
      </c>
      <c r="H310" s="8" t="str">
        <f>IFNA(VLOOKUP(F310,Driver!A:C,3,false),"")</f>
        <v>3d1fec9027dcce8297cd</v>
      </c>
      <c r="I310" s="9">
        <v>0.2916666666666667</v>
      </c>
      <c r="J310" s="9">
        <v>0.6875</v>
      </c>
    </row>
    <row r="311" hidden="1">
      <c r="A311" s="5" t="str">
        <f>IFNA(VLOOKUP(D311,'Location Table'!A:C,2,false),"")</f>
        <v>f80a7e92-4625-11ed-8ccf-506b8dbc8dfb</v>
      </c>
      <c r="B311" s="5" t="str">
        <f>IFNA(VLOOKUP(F311,Driver!A:C,2,false),"")</f>
        <v>061bd7aa-35a6-11ed-9426-506b8dbc8dfb</v>
      </c>
      <c r="C311" s="5" t="str">
        <f>IFNA(VLOOKUP(E311,'Location Table'!A:C,2,false),"")</f>
        <v/>
      </c>
      <c r="D311" s="6" t="s">
        <v>345</v>
      </c>
      <c r="E311" s="6"/>
      <c r="F311" s="6" t="s">
        <v>346</v>
      </c>
      <c r="G311" s="7" t="s">
        <v>873</v>
      </c>
      <c r="H311" s="8" t="str">
        <f>IFNA(VLOOKUP(F311,Driver!A:C,3,false),"")</f>
        <v>a6d70e0cd7463e186757</v>
      </c>
      <c r="I311" s="9">
        <v>0.2916666666666667</v>
      </c>
      <c r="J311" s="9">
        <v>0.6666666666666666</v>
      </c>
    </row>
    <row r="312" hidden="1">
      <c r="A312" s="5" t="str">
        <f>IFNA(VLOOKUP(D312,'Location Table'!A:C,2,false),"")</f>
        <v>0f308a76-4626-11ed-b728-506b8dbc8dfb</v>
      </c>
      <c r="B312" s="5" t="str">
        <f>IFNA(VLOOKUP(F312,Driver!A:C,2,false),"")</f>
        <v>65871f10-7671-11f0-9d16-506b8d982279</v>
      </c>
      <c r="C312" s="5" t="str">
        <f>IFNA(VLOOKUP(E312,'Location Table'!A:C,2,false),"")</f>
        <v/>
      </c>
      <c r="D312" s="6" t="s">
        <v>347</v>
      </c>
      <c r="E312" s="6"/>
      <c r="F312" s="6" t="s">
        <v>348</v>
      </c>
      <c r="G312" s="7" t="s">
        <v>873</v>
      </c>
      <c r="H312" s="8" t="str">
        <f>IFNA(VLOOKUP(F312,Driver!A:C,3,false),"")</f>
        <v>03bb8b129d5c74022d4d</v>
      </c>
      <c r="I312" s="9">
        <v>0.2916666666666667</v>
      </c>
      <c r="J312" s="9">
        <v>0.75</v>
      </c>
    </row>
    <row r="313" hidden="1">
      <c r="A313" s="5" t="str">
        <f>IFNA(VLOOKUP(D313,'Location Table'!A:C,2,false),"")</f>
        <v>ac6236cc-47b1-11ee-8d67-506b8d9879b5</v>
      </c>
      <c r="B313" s="5" t="str">
        <f>IFNA(VLOOKUP(F313,Driver!A:C,2,false),"")</f>
        <v>9e9376b6-37c5-11ed-a1d5-506b8dbc8dfb</v>
      </c>
      <c r="C313" s="5" t="str">
        <f>IFNA(VLOOKUP(E313,'Location Table'!A:C,2,false),"")</f>
        <v/>
      </c>
      <c r="D313" s="6" t="s">
        <v>349</v>
      </c>
      <c r="E313" s="6"/>
      <c r="F313" s="6" t="s">
        <v>350</v>
      </c>
      <c r="G313" s="7" t="s">
        <v>873</v>
      </c>
      <c r="H313" s="8" t="str">
        <f>IFNA(VLOOKUP(F313,Driver!A:C,3,false),"")</f>
        <v>26f3924da71c4e42170d</v>
      </c>
      <c r="I313" s="9">
        <v>0.2916666666666667</v>
      </c>
      <c r="J313" s="9">
        <v>0.75</v>
      </c>
    </row>
    <row r="314" hidden="1">
      <c r="A314" s="5" t="str">
        <f>IFNA(VLOOKUP(D314,'Location Table'!A:C,2,false),"")</f>
        <v>c7fafdda-21f8-11ee-b604-506b8d9879b5</v>
      </c>
      <c r="B314" s="5" t="str">
        <f>IFNA(VLOOKUP(F314,Driver!A:C,2,false),"")</f>
        <v>232be490-35a4-11ed-88b7-506b8dbc8dfb</v>
      </c>
      <c r="C314" s="5" t="str">
        <f>IFNA(VLOOKUP(E314,'Location Table'!A:C,2,false),"")</f>
        <v/>
      </c>
      <c r="D314" s="6" t="s">
        <v>351</v>
      </c>
      <c r="E314" s="6"/>
      <c r="F314" s="10" t="s">
        <v>110</v>
      </c>
      <c r="G314" s="7" t="s">
        <v>873</v>
      </c>
      <c r="H314" s="8" t="str">
        <f>IFNA(VLOOKUP(F314,Driver!A:C,3,false),"")</f>
        <v>d9fc37dd4093a9cdf082</v>
      </c>
      <c r="I314" s="9">
        <v>0.2916666666666667</v>
      </c>
      <c r="J314" s="9">
        <v>0.6875</v>
      </c>
    </row>
    <row r="315" hidden="1">
      <c r="A315" s="5" t="str">
        <f>IFNA(VLOOKUP(D315,'Location Table'!A:C,2,false),"")</f>
        <v>f1da5514-4626-11ed-b3bb-506b8dbc8dfb</v>
      </c>
      <c r="B315" s="5" t="str">
        <f>IFNA(VLOOKUP(F315,Driver!A:C,2,false),"")</f>
        <v>232be490-35a4-11ed-88b7-506b8dbc8dfb</v>
      </c>
      <c r="C315" s="5" t="str">
        <f>IFNA(VLOOKUP(E315,'Location Table'!A:C,2,false),"")</f>
        <v/>
      </c>
      <c r="D315" s="6" t="s">
        <v>352</v>
      </c>
      <c r="E315" s="6"/>
      <c r="F315" s="10" t="s">
        <v>110</v>
      </c>
      <c r="G315" s="7" t="s">
        <v>873</v>
      </c>
      <c r="H315" s="8" t="str">
        <f>IFNA(VLOOKUP(F315,Driver!A:C,3,false),"")</f>
        <v>d9fc37dd4093a9cdf082</v>
      </c>
      <c r="I315" s="9">
        <v>0.2916666666666667</v>
      </c>
      <c r="J315" s="9">
        <v>0.6875</v>
      </c>
    </row>
    <row r="316" hidden="1">
      <c r="A316" s="5" t="str">
        <f>IFNA(VLOOKUP(D316,'Location Table'!A:C,2,false),"")</f>
        <v>806f01ba-5cab-11f0-9f9a-506b8d982279</v>
      </c>
      <c r="B316" s="5" t="str">
        <f>IFNA(VLOOKUP(F316,Driver!A:C,2,false),"")</f>
        <v>232be490-35a4-11ed-88b7-506b8dbc8dfb</v>
      </c>
      <c r="C316" s="5" t="str">
        <f>IFNA(VLOOKUP(E316,'Location Table'!A:C,2,false),"")</f>
        <v/>
      </c>
      <c r="D316" s="6" t="s">
        <v>353</v>
      </c>
      <c r="E316" s="6"/>
      <c r="F316" s="10" t="s">
        <v>110</v>
      </c>
      <c r="G316" s="7" t="s">
        <v>873</v>
      </c>
      <c r="H316" s="8" t="str">
        <f>IFNA(VLOOKUP(F316,Driver!A:C,3,false),"")</f>
        <v>d9fc37dd4093a9cdf082</v>
      </c>
      <c r="I316" s="9">
        <v>0.2916666666666667</v>
      </c>
      <c r="J316" s="9">
        <v>0.6875</v>
      </c>
    </row>
    <row r="317" hidden="1">
      <c r="A317" s="5" t="str">
        <f>IFNA(VLOOKUP(D317,'Location Table'!A:C,2,false),"")</f>
        <v>bd3dc6d2-4627-11ed-b309-506b8dbc8dfb</v>
      </c>
      <c r="B317" s="5" t="str">
        <f>IFNA(VLOOKUP(F317,Driver!A:C,2,false),"")</f>
        <v>586fa64a-37d0-11ed-b5ef-506b8dbc8dfb</v>
      </c>
      <c r="C317" s="5" t="str">
        <f>IFNA(VLOOKUP(E317,'Location Table'!A:C,2,false),"")</f>
        <v/>
      </c>
      <c r="D317" s="6" t="s">
        <v>354</v>
      </c>
      <c r="E317" s="6"/>
      <c r="F317" s="6" t="s">
        <v>355</v>
      </c>
      <c r="G317" s="7" t="s">
        <v>873</v>
      </c>
      <c r="H317" s="8" t="str">
        <f>IFNA(VLOOKUP(F317,Driver!A:C,3,false),"")</f>
        <v>cb12ddfaeea707f95eb6</v>
      </c>
      <c r="I317" s="9">
        <v>0.2916666666666667</v>
      </c>
      <c r="J317" s="9">
        <v>0.75</v>
      </c>
    </row>
    <row r="318" hidden="1">
      <c r="A318" s="5" t="str">
        <f>IFNA(VLOOKUP(D318,'Location Table'!A:C,2,false),"")</f>
        <v>a8ce9492-32d4-11ef-9466-506b8d9879b5</v>
      </c>
      <c r="B318" s="5" t="str">
        <f>IFNA(VLOOKUP(F318,Driver!A:C,2,false),"")</f>
        <v>586fa64a-37d0-11ed-b5ef-506b8dbc8dfb</v>
      </c>
      <c r="C318" s="5" t="str">
        <f>IFNA(VLOOKUP(E318,'Location Table'!A:C,2,false),"")</f>
        <v/>
      </c>
      <c r="D318" s="6" t="s">
        <v>356</v>
      </c>
      <c r="E318" s="6"/>
      <c r="F318" s="6" t="s">
        <v>355</v>
      </c>
      <c r="G318" s="7" t="s">
        <v>873</v>
      </c>
      <c r="H318" s="8" t="str">
        <f>IFNA(VLOOKUP(F318,Driver!A:C,3,false),"")</f>
        <v>cb12ddfaeea707f95eb6</v>
      </c>
      <c r="I318" s="9">
        <v>0.2916666666666667</v>
      </c>
      <c r="J318" s="9">
        <v>0.75</v>
      </c>
    </row>
    <row r="319" hidden="1">
      <c r="A319" s="5" t="str">
        <f>IFNA(VLOOKUP(D319,'Location Table'!A:C,2,false),"")</f>
        <v>7bd9c268-4627-11ed-9d8d-506b8dbc8dfb</v>
      </c>
      <c r="B319" s="5" t="str">
        <f>IFNA(VLOOKUP(F319,Driver!A:C,2,false),"")</f>
        <v>a2f538f8-37ce-11ed-a5cf-506b8dbc8dfb</v>
      </c>
      <c r="C319" s="5" t="str">
        <f>IFNA(VLOOKUP(E319,'Location Table'!A:C,2,false),"")</f>
        <v/>
      </c>
      <c r="D319" s="6" t="s">
        <v>357</v>
      </c>
      <c r="E319" s="6"/>
      <c r="F319" s="6" t="s">
        <v>338</v>
      </c>
      <c r="G319" s="7" t="s">
        <v>873</v>
      </c>
      <c r="H319" s="8" t="str">
        <f>IFNA(VLOOKUP(F319,Driver!A:C,3,false),"")</f>
        <v>c0d10f02724a9b14c25b</v>
      </c>
      <c r="I319" s="9">
        <v>0.2916666666666667</v>
      </c>
      <c r="J319" s="9">
        <v>0.6875</v>
      </c>
    </row>
    <row r="320" hidden="1">
      <c r="A320" s="5" t="str">
        <f>IFNA(VLOOKUP(D320,'Location Table'!A:C,2,false),"")</f>
        <v>e6c1ed7a-31cd-11ee-963e-506b8d9879b5</v>
      </c>
      <c r="B320" s="5" t="str">
        <f>IFNA(VLOOKUP(F320,Driver!A:C,2,false),"")</f>
        <v>586fa64a-37d0-11ed-b5ef-506b8dbc8dfb</v>
      </c>
      <c r="C320" s="5" t="str">
        <f>IFNA(VLOOKUP(E320,'Location Table'!A:C,2,false),"")</f>
        <v/>
      </c>
      <c r="D320" s="6" t="s">
        <v>358</v>
      </c>
      <c r="E320" s="6"/>
      <c r="F320" s="6" t="s">
        <v>355</v>
      </c>
      <c r="G320" s="7" t="s">
        <v>873</v>
      </c>
      <c r="H320" s="8" t="str">
        <f>IFNA(VLOOKUP(F320,Driver!A:C,3,false),"")</f>
        <v>cb12ddfaeea707f95eb6</v>
      </c>
      <c r="I320" s="9">
        <v>0.2916666666666667</v>
      </c>
      <c r="J320" s="9">
        <v>0.75</v>
      </c>
    </row>
    <row r="321" hidden="1">
      <c r="A321" s="5" t="str">
        <f>IFNA(VLOOKUP(D321,'Location Table'!A:C,2,false),"")</f>
        <v>c828ca08-32b0-11ee-b9b6-506b8d9879b5</v>
      </c>
      <c r="B321" s="5" t="str">
        <f>IFNA(VLOOKUP(F321,Driver!A:C,2,false),"")</f>
        <v>a2f538f8-37ce-11ed-a5cf-506b8dbc8dfb</v>
      </c>
      <c r="C321" s="5" t="str">
        <f>IFNA(VLOOKUP(E321,'Location Table'!A:C,2,false),"")</f>
        <v/>
      </c>
      <c r="D321" s="6" t="s">
        <v>359</v>
      </c>
      <c r="E321" s="6"/>
      <c r="F321" s="6" t="s">
        <v>338</v>
      </c>
      <c r="G321" s="7" t="s">
        <v>873</v>
      </c>
      <c r="H321" s="8" t="str">
        <f>IFNA(VLOOKUP(F321,Driver!A:C,3,false),"")</f>
        <v>c0d10f02724a9b14c25b</v>
      </c>
      <c r="I321" s="9">
        <v>0.2916666666666667</v>
      </c>
      <c r="J321" s="9">
        <v>0.6875</v>
      </c>
    </row>
    <row r="322" hidden="1">
      <c r="A322" s="5" t="str">
        <f>IFNA(VLOOKUP(D322,'Location Table'!A:C,2,false),"")</f>
        <v>4dba51fe-e91d-11ef-b1f0-506b8d9879b5</v>
      </c>
      <c r="B322" s="5" t="str">
        <f>IFNA(VLOOKUP(F322,Driver!A:C,2,false),"")</f>
        <v>717fa61c-3654-11ed-b103-506b8dbc8dfb</v>
      </c>
      <c r="C322" s="5" t="str">
        <f>IFNA(VLOOKUP(E322,'Location Table'!A:C,2,false),"")</f>
        <v/>
      </c>
      <c r="D322" s="6" t="s">
        <v>360</v>
      </c>
      <c r="E322" s="6"/>
      <c r="F322" s="6" t="s">
        <v>361</v>
      </c>
      <c r="G322" s="7" t="s">
        <v>873</v>
      </c>
      <c r="H322" s="8" t="str">
        <f>IFNA(VLOOKUP(F322,Driver!A:C,3,false),"")</f>
        <v>fbc73b7bb6385f660629</v>
      </c>
      <c r="I322" s="9">
        <v>0.2916666666666667</v>
      </c>
      <c r="J322" s="9">
        <v>0.5833333333333334</v>
      </c>
    </row>
    <row r="323" hidden="1">
      <c r="A323" s="5" t="str">
        <f>IFNA(VLOOKUP(D323,'Location Table'!A:C,2,false),"")</f>
        <v>d312de0c-4627-11ed-a9e7-506b8dbc8dfb</v>
      </c>
      <c r="B323" s="5" t="str">
        <f>IFNA(VLOOKUP(F323,Driver!A:C,2,false),"")</f>
        <v>717fa61c-3654-11ed-b103-506b8dbc8dfb</v>
      </c>
      <c r="C323" s="5" t="str">
        <f>IFNA(VLOOKUP(E323,'Location Table'!A:C,2,false),"")</f>
        <v/>
      </c>
      <c r="D323" s="6" t="s">
        <v>363</v>
      </c>
      <c r="E323" s="6"/>
      <c r="F323" s="6" t="s">
        <v>361</v>
      </c>
      <c r="G323" s="7" t="s">
        <v>873</v>
      </c>
      <c r="H323" s="8" t="str">
        <f>IFNA(VLOOKUP(F323,Driver!A:C,3,false),"")</f>
        <v>fbc73b7bb6385f660629</v>
      </c>
      <c r="I323" s="9">
        <v>0.2916666666666667</v>
      </c>
      <c r="J323" s="9">
        <v>0.5833333333333334</v>
      </c>
    </row>
    <row r="324" hidden="1">
      <c r="A324" s="5" t="str">
        <f>IFNA(VLOOKUP(D324,'Location Table'!A:C,2,false),"")</f>
        <v>ed4ce56e-d619-11ee-bf30-506b8d9879b5</v>
      </c>
      <c r="B324" s="5" t="str">
        <f>IFNA(VLOOKUP(F324,Driver!A:C,2,false),"")</f>
        <v>dff693c2-0371-11ee-90bc-506b8dbc8dfb</v>
      </c>
      <c r="C324" s="5" t="str">
        <f>IFNA(VLOOKUP(E324,'Location Table'!A:C,2,false),"")</f>
        <v/>
      </c>
      <c r="D324" s="6" t="s">
        <v>364</v>
      </c>
      <c r="E324" s="6"/>
      <c r="F324" s="10" t="s">
        <v>365</v>
      </c>
      <c r="G324" s="7" t="s">
        <v>873</v>
      </c>
      <c r="H324" s="8" t="str">
        <f>IFNA(VLOOKUP(F324,Driver!A:C,3,false),"")</f>
        <v>402ca9dc1194f8caa185</v>
      </c>
      <c r="I324" s="9">
        <v>0.2916666666666667</v>
      </c>
      <c r="J324" s="9">
        <v>0.5833333333333334</v>
      </c>
    </row>
    <row r="325" hidden="1">
      <c r="A325" s="5" t="str">
        <f>IFNA(VLOOKUP(D325,'Location Table'!A:C,2,false),"")</f>
        <v>6a2f822a-f578-11ef-a059-506b8d9879b5</v>
      </c>
      <c r="B325" s="5" t="str">
        <f>IFNA(VLOOKUP(F325,Driver!A:C,2,false),"")</f>
        <v>65871f10-7671-11f0-9d16-506b8d982279</v>
      </c>
      <c r="C325" s="5" t="str">
        <f>IFNA(VLOOKUP(E325,'Location Table'!A:C,2,false),"")</f>
        <v/>
      </c>
      <c r="D325" s="6" t="s">
        <v>366</v>
      </c>
      <c r="E325" s="6"/>
      <c r="F325" s="6" t="s">
        <v>348</v>
      </c>
      <c r="G325" s="7" t="s">
        <v>873</v>
      </c>
      <c r="H325" s="8" t="str">
        <f>IFNA(VLOOKUP(F325,Driver!A:C,3,false),"")</f>
        <v>03bb8b129d5c74022d4d</v>
      </c>
      <c r="I325" s="9">
        <v>0.2916666666666667</v>
      </c>
      <c r="J325" s="9">
        <v>0.75</v>
      </c>
    </row>
    <row r="326" hidden="1">
      <c r="A326" s="5" t="str">
        <f>IFNA(VLOOKUP(D326,'Location Table'!A:C,2,false),"")</f>
        <v>3bc054d0-4627-11ed-9e74-506b8dbc8dfb</v>
      </c>
      <c r="B326" s="5" t="str">
        <f>IFNA(VLOOKUP(F326,Driver!A:C,2,false),"")</f>
        <v>f580f2a4-1966-11ee-a4c6-506b8d9879b5</v>
      </c>
      <c r="C326" s="5" t="str">
        <f>IFNA(VLOOKUP(E326,'Location Table'!A:C,2,false),"")</f>
        <v/>
      </c>
      <c r="D326" s="6" t="s">
        <v>367</v>
      </c>
      <c r="E326" s="6"/>
      <c r="F326" s="6" t="s">
        <v>878</v>
      </c>
      <c r="G326" s="7" t="s">
        <v>873</v>
      </c>
      <c r="H326" s="8" t="str">
        <f>IFNA(VLOOKUP(F326,Driver!A:C,3,false),"")</f>
        <v>557c6317f65c1f02464d</v>
      </c>
      <c r="I326" s="9">
        <v>0.2916666666666667</v>
      </c>
      <c r="J326" s="9">
        <v>0.5833333333333334</v>
      </c>
    </row>
    <row r="327">
      <c r="A327" s="5" t="str">
        <f>IFNA(VLOOKUP(D327,'Location Table'!A:C,2,false),"")</f>
        <v>a1be066c-21f8-11ee-b5fb-506b8d9879b5</v>
      </c>
      <c r="B327" s="5" t="str">
        <f>IFNA(VLOOKUP(F327,Driver!A:C,2,false),"")</f>
        <v/>
      </c>
      <c r="C327" s="5" t="str">
        <f>IFNA(VLOOKUP(E327,'Location Table'!A:C,2,false),"")</f>
        <v/>
      </c>
      <c r="D327" s="6" t="s">
        <v>368</v>
      </c>
      <c r="E327" s="6"/>
      <c r="F327" s="10" t="s">
        <v>875</v>
      </c>
      <c r="G327" s="7" t="s">
        <v>873</v>
      </c>
      <c r="H327" s="8" t="str">
        <f>IFNA(VLOOKUP(F327,Driver!A:C,3,false),"")</f>
        <v/>
      </c>
      <c r="I327" s="9">
        <v>0.2916666666666667</v>
      </c>
      <c r="J327" s="9">
        <v>0.6875</v>
      </c>
    </row>
    <row r="328">
      <c r="A328" s="5" t="str">
        <f>IFNA(VLOOKUP(D328,'Location Table'!A:C,2,false),"")</f>
        <v>1b89cbc6-4d4f-11ee-9f11-506b8d9879b5</v>
      </c>
      <c r="B328" s="5" t="str">
        <f>IFNA(VLOOKUP(F328,Driver!A:C,2,false),"")</f>
        <v/>
      </c>
      <c r="C328" s="5" t="str">
        <f>IFNA(VLOOKUP(E328,'Location Table'!A:C,2,false),"")</f>
        <v/>
      </c>
      <c r="D328" s="6" t="s">
        <v>369</v>
      </c>
      <c r="E328" s="6"/>
      <c r="F328" s="10" t="s">
        <v>875</v>
      </c>
      <c r="G328" s="7" t="s">
        <v>873</v>
      </c>
      <c r="H328" s="8" t="str">
        <f>IFNA(VLOOKUP(F328,Driver!A:C,3,false),"")</f>
        <v/>
      </c>
      <c r="I328" s="9">
        <v>0.2916666666666667</v>
      </c>
      <c r="J328" s="9">
        <v>0.6875</v>
      </c>
    </row>
    <row r="329">
      <c r="A329" s="5" t="str">
        <f>IFNA(VLOOKUP(D329,'Location Table'!A:C,2,false),"")</f>
        <v>d538c282-3761-11ef-92b6-506b8d9879b5</v>
      </c>
      <c r="B329" s="5" t="str">
        <f>IFNA(VLOOKUP(F329,Driver!A:C,2,false),"")</f>
        <v/>
      </c>
      <c r="C329" s="5" t="str">
        <f>IFNA(VLOOKUP(E329,'Location Table'!A:C,2,false),"")</f>
        <v/>
      </c>
      <c r="D329" s="6" t="s">
        <v>370</v>
      </c>
      <c r="E329" s="6"/>
      <c r="F329" s="10" t="s">
        <v>875</v>
      </c>
      <c r="G329" s="7" t="s">
        <v>873</v>
      </c>
      <c r="H329" s="8" t="str">
        <f>IFNA(VLOOKUP(F329,Driver!A:C,3,false),"")</f>
        <v/>
      </c>
      <c r="I329" s="9">
        <v>0.2916666666666667</v>
      </c>
      <c r="J329" s="9">
        <v>0.6875</v>
      </c>
    </row>
    <row r="330">
      <c r="A330" s="5" t="str">
        <f>IFNA(VLOOKUP(D330,'Location Table'!A:C,2,false),"")</f>
        <v>d04814d6-dc2f-11ee-96ca-506b8d9879b5</v>
      </c>
      <c r="B330" s="5" t="str">
        <f>IFNA(VLOOKUP(F330,Driver!A:C,2,false),"")</f>
        <v/>
      </c>
      <c r="C330" s="5" t="str">
        <f>IFNA(VLOOKUP(E330,'Location Table'!A:C,2,false),"")</f>
        <v/>
      </c>
      <c r="D330" s="6" t="s">
        <v>371</v>
      </c>
      <c r="E330" s="6"/>
      <c r="F330" s="10" t="s">
        <v>875</v>
      </c>
      <c r="G330" s="7" t="s">
        <v>873</v>
      </c>
      <c r="H330" s="8" t="str">
        <f>IFNA(VLOOKUP(F330,Driver!A:C,3,false),"")</f>
        <v/>
      </c>
      <c r="I330" s="9">
        <v>0.2916666666666667</v>
      </c>
      <c r="J330" s="9">
        <v>0.6875</v>
      </c>
    </row>
    <row r="331">
      <c r="A331" s="5" t="str">
        <f>IFNA(VLOOKUP(D331,'Location Table'!A:C,2,false),"")</f>
        <v>073c12b6-0f63-11ee-837c-506b8dbc8dfb</v>
      </c>
      <c r="B331" s="5" t="str">
        <f>IFNA(VLOOKUP(F331,Driver!A:C,2,false),"")</f>
        <v/>
      </c>
      <c r="C331" s="5" t="str">
        <f>IFNA(VLOOKUP(E331,'Location Table'!A:C,2,false),"")</f>
        <v/>
      </c>
      <c r="D331" s="6" t="s">
        <v>372</v>
      </c>
      <c r="E331" s="6"/>
      <c r="F331" s="10" t="s">
        <v>875</v>
      </c>
      <c r="G331" s="7" t="s">
        <v>873</v>
      </c>
      <c r="H331" s="8" t="str">
        <f>IFNA(VLOOKUP(F331,Driver!A:C,3,false),"")</f>
        <v/>
      </c>
      <c r="I331" s="9">
        <v>0.2916666666666667</v>
      </c>
      <c r="J331" s="9">
        <v>0.6875</v>
      </c>
    </row>
    <row r="332" hidden="1">
      <c r="A332" s="5" t="str">
        <f>IFNA(VLOOKUP(D332,'Location Table'!A:C,2,false),"")</f>
        <v>027cd410-2275-11ef-b4a3-506b8d9879b5</v>
      </c>
      <c r="B332" s="5" t="str">
        <f>IFNA(VLOOKUP(F332,Driver!A:C,2,false),"")</f>
        <v>232be490-35a4-11ed-88b7-506b8dbc8dfb</v>
      </c>
      <c r="C332" s="5" t="str">
        <f>IFNA(VLOOKUP(E332,'Location Table'!A:C,2,false),"")</f>
        <v/>
      </c>
      <c r="D332" s="6" t="s">
        <v>373</v>
      </c>
      <c r="E332" s="6"/>
      <c r="F332" s="10" t="s">
        <v>110</v>
      </c>
      <c r="G332" s="7" t="s">
        <v>873</v>
      </c>
      <c r="H332" s="8" t="str">
        <f>IFNA(VLOOKUP(F332,Driver!A:C,3,false),"")</f>
        <v>d9fc37dd4093a9cdf082</v>
      </c>
      <c r="I332" s="9">
        <v>0.2916666666666667</v>
      </c>
      <c r="J332" s="9">
        <v>0.6875</v>
      </c>
    </row>
    <row r="333" hidden="1">
      <c r="A333" s="5" t="str">
        <f>IFNA(VLOOKUP(D333,'Location Table'!A:C,2,false),"")</f>
        <v>98465eea-93ea-11ee-9af5-506b8d9879b5</v>
      </c>
      <c r="B333" s="5" t="str">
        <f>IFNA(VLOOKUP(F333,Driver!A:C,2,false),"")</f>
        <v>232be490-35a4-11ed-88b7-506b8dbc8dfb</v>
      </c>
      <c r="C333" s="5" t="str">
        <f>IFNA(VLOOKUP(E333,'Location Table'!A:C,2,false),"")</f>
        <v/>
      </c>
      <c r="D333" s="6" t="s">
        <v>374</v>
      </c>
      <c r="E333" s="6"/>
      <c r="F333" s="10" t="s">
        <v>110</v>
      </c>
      <c r="G333" s="7" t="s">
        <v>873</v>
      </c>
      <c r="H333" s="8" t="str">
        <f>IFNA(VLOOKUP(F333,Driver!A:C,3,false),"")</f>
        <v>d9fc37dd4093a9cdf082</v>
      </c>
      <c r="I333" s="9">
        <v>0.2916666666666667</v>
      </c>
      <c r="J333" s="9">
        <v>0.6875</v>
      </c>
    </row>
    <row r="334" hidden="1">
      <c r="A334" s="5" t="str">
        <f>IFNA(VLOOKUP(D334,'Location Table'!A:C,2,false),"")</f>
        <v>be36be84-3528-11f0-89ed-506b8d982279</v>
      </c>
      <c r="B334" s="5" t="str">
        <f>IFNA(VLOOKUP(F334,Driver!A:C,2,false),"")</f>
        <v>f5993946-37cf-11ed-a3fc-506b8dbc8dfb</v>
      </c>
      <c r="C334" s="5" t="str">
        <f>IFNA(VLOOKUP(E334,'Location Table'!A:C,2,false),"")</f>
        <v/>
      </c>
      <c r="D334" s="6" t="s">
        <v>375</v>
      </c>
      <c r="E334" s="6"/>
      <c r="F334" s="6" t="s">
        <v>314</v>
      </c>
      <c r="G334" s="7" t="s">
        <v>873</v>
      </c>
      <c r="H334" s="8" t="str">
        <f>IFNA(VLOOKUP(F334,Driver!A:C,3,false),"")</f>
        <v/>
      </c>
      <c r="I334" s="9">
        <v>0.2916666666666667</v>
      </c>
      <c r="J334" s="9">
        <v>0.6875</v>
      </c>
    </row>
    <row r="335" hidden="1">
      <c r="A335" s="5" t="str">
        <f>IFNA(VLOOKUP(D335,'Location Table'!A:C,2,false),"")</f>
        <v>a4f0de66-8a3a-11f0-98af-506b8d982279</v>
      </c>
      <c r="B335" s="5" t="str">
        <f>IFNA(VLOOKUP(F335,Driver!A:C,2,false),"")</f>
        <v>f5993946-37cf-11ed-a3fc-506b8dbc8dfb</v>
      </c>
      <c r="C335" s="5" t="str">
        <f>IFNA(VLOOKUP(E335,'Location Table'!A:C,2,false),"")</f>
        <v/>
      </c>
      <c r="D335" s="6" t="s">
        <v>376</v>
      </c>
      <c r="E335" s="6"/>
      <c r="F335" s="6" t="s">
        <v>314</v>
      </c>
      <c r="G335" s="7" t="s">
        <v>873</v>
      </c>
      <c r="H335" s="8" t="str">
        <f>IFNA(VLOOKUP(F335,Driver!A:C,3,false),"")</f>
        <v/>
      </c>
      <c r="I335" s="9">
        <v>0.2916666666666667</v>
      </c>
      <c r="J335" s="9">
        <v>0.6875</v>
      </c>
    </row>
    <row r="336" hidden="1">
      <c r="A336" s="5" t="str">
        <f>IFNA(VLOOKUP(D336,'Location Table'!A:C,2,false),"")</f>
        <v>5b63341e-4623-11ed-a460-506b8dbc8dfb</v>
      </c>
      <c r="B336" s="5" t="str">
        <f>IFNA(VLOOKUP(F336,Driver!A:C,2,false),"")</f>
        <v>51b847ba-37cd-11ed-a5f6-506b8dbc8dfb</v>
      </c>
      <c r="C336" s="5" t="str">
        <f>IFNA(VLOOKUP(E336,'Location Table'!A:C,2,false),"")</f>
        <v/>
      </c>
      <c r="D336" s="6" t="s">
        <v>377</v>
      </c>
      <c r="E336" s="6"/>
      <c r="F336" s="6" t="s">
        <v>94</v>
      </c>
      <c r="G336" s="7" t="s">
        <v>873</v>
      </c>
      <c r="H336" s="8" t="str">
        <f>IFNA(VLOOKUP(F336,Driver!A:C,3,false),"")</f>
        <v>3d1fec9027dcce8297cd</v>
      </c>
      <c r="I336" s="9">
        <v>0.2916666666666667</v>
      </c>
      <c r="J336" s="9">
        <v>0.6875</v>
      </c>
    </row>
    <row r="337" hidden="1">
      <c r="A337" s="5" t="str">
        <f>IFNA(VLOOKUP(D337,'Location Table'!A:C,2,false),"")</f>
        <v>0cfb7cc4-4550-11ed-8c98-506b8dbc8dfb</v>
      </c>
      <c r="B337" s="5" t="str">
        <f>IFNA(VLOOKUP(F337,Driver!A:C,2,false),"")</f>
        <v>51b847ba-37cd-11ed-a5f6-506b8dbc8dfb</v>
      </c>
      <c r="C337" s="5" t="str">
        <f>IFNA(VLOOKUP(E337,'Location Table'!A:C,2,false),"")</f>
        <v/>
      </c>
      <c r="D337" s="6" t="s">
        <v>378</v>
      </c>
      <c r="E337" s="6"/>
      <c r="F337" s="6" t="s">
        <v>94</v>
      </c>
      <c r="G337" s="7" t="s">
        <v>873</v>
      </c>
      <c r="H337" s="8" t="str">
        <f>IFNA(VLOOKUP(F337,Driver!A:C,3,false),"")</f>
        <v>3d1fec9027dcce8297cd</v>
      </c>
      <c r="I337" s="9">
        <v>0.2916666666666667</v>
      </c>
      <c r="J337" s="9">
        <v>0.6875</v>
      </c>
    </row>
    <row r="338" hidden="1">
      <c r="A338" s="5" t="str">
        <f>IFNA(VLOOKUP(D338,'Location Table'!A:C,2,false),"")</f>
        <v>d8610906-8140-11ee-abb7-506b8d9879b5</v>
      </c>
      <c r="B338" s="5" t="str">
        <f>IFNA(VLOOKUP(F338,Driver!A:C,2,false),"")</f>
        <v>f5993946-37cf-11ed-a3fc-506b8dbc8dfb</v>
      </c>
      <c r="C338" s="5" t="str">
        <f>IFNA(VLOOKUP(E338,'Location Table'!A:C,2,false),"")</f>
        <v/>
      </c>
      <c r="D338" s="6" t="s">
        <v>379</v>
      </c>
      <c r="E338" s="6"/>
      <c r="F338" s="6" t="s">
        <v>314</v>
      </c>
      <c r="G338" s="7" t="s">
        <v>873</v>
      </c>
      <c r="H338" s="8" t="str">
        <f>IFNA(VLOOKUP(F338,Driver!A:C,3,false),"")</f>
        <v/>
      </c>
      <c r="I338" s="9">
        <v>0.2916666666666667</v>
      </c>
      <c r="J338" s="9">
        <v>0.6875</v>
      </c>
    </row>
    <row r="339" hidden="1">
      <c r="A339" s="5" t="str">
        <f>IFNA(VLOOKUP(D339,'Location Table'!A:C,2,false),"")</f>
        <v>0d517404-4621-11ed-8c7f-506b8dbc8dfb</v>
      </c>
      <c r="B339" s="5" t="str">
        <f>IFNA(VLOOKUP(F339,Driver!A:C,2,false),"")</f>
        <v>cdb1dc1a-3655-11ed-a124-506b8dbc8dfb</v>
      </c>
      <c r="C339" s="5" t="str">
        <f>IFNA(VLOOKUP(E339,'Location Table'!A:C,2,false),"")</f>
        <v/>
      </c>
      <c r="D339" s="6" t="s">
        <v>380</v>
      </c>
      <c r="E339" s="6"/>
      <c r="F339" s="6" t="s">
        <v>319</v>
      </c>
      <c r="G339" s="7" t="s">
        <v>873</v>
      </c>
      <c r="H339" s="8" t="str">
        <f>IFNA(VLOOKUP(F339,Driver!A:C,3,false),"")</f>
        <v>b57751bd28f2c1ac98e3</v>
      </c>
      <c r="I339" s="9">
        <v>0.2916666666666667</v>
      </c>
      <c r="J339" s="9">
        <v>0.75</v>
      </c>
    </row>
    <row r="340" hidden="1">
      <c r="A340" s="5" t="str">
        <f>IFNA(VLOOKUP(D340,'Location Table'!A:C,2,false),"")</f>
        <v>8a866508-0a7d-11ee-9b14-506b8dbc8dfb</v>
      </c>
      <c r="B340" s="5" t="str">
        <f>IFNA(VLOOKUP(F340,Driver!A:C,2,false),"")</f>
        <v>ec034796-8970-11f0-bdfa-506b8d982279</v>
      </c>
      <c r="C340" s="5" t="str">
        <f>IFNA(VLOOKUP(E340,'Location Table'!A:C,2,false),"")</f>
        <v/>
      </c>
      <c r="D340" s="6" t="s">
        <v>381</v>
      </c>
      <c r="E340" s="6"/>
      <c r="F340" s="6" t="s">
        <v>321</v>
      </c>
      <c r="G340" s="7" t="s">
        <v>873</v>
      </c>
      <c r="H340" s="8" t="str">
        <f>IFNA(VLOOKUP(F340,Driver!A:C,3,false),"")</f>
        <v>e4fed8071e4af714ae5b</v>
      </c>
      <c r="I340" s="9">
        <v>0.2916666666666667</v>
      </c>
      <c r="J340" s="9">
        <v>0.75</v>
      </c>
    </row>
    <row r="341" hidden="1">
      <c r="A341" s="5" t="str">
        <f>IFNA(VLOOKUP(D341,'Location Table'!A:C,2,false),"")</f>
        <v>46bb67d6-4621-11ed-908d-506b8dbc8dfb</v>
      </c>
      <c r="B341" s="5" t="str">
        <f>IFNA(VLOOKUP(F341,Driver!A:C,2,false),"")</f>
        <v>f5993946-37cf-11ed-a3fc-506b8dbc8dfb</v>
      </c>
      <c r="C341" s="5" t="str">
        <f>IFNA(VLOOKUP(E341,'Location Table'!A:C,2,false),"")</f>
        <v/>
      </c>
      <c r="D341" s="6" t="s">
        <v>382</v>
      </c>
      <c r="E341" s="6"/>
      <c r="F341" s="6" t="s">
        <v>314</v>
      </c>
      <c r="G341" s="7" t="s">
        <v>873</v>
      </c>
      <c r="H341" s="8" t="str">
        <f>IFNA(VLOOKUP(F341,Driver!A:C,3,false),"")</f>
        <v/>
      </c>
      <c r="I341" s="9">
        <v>0.2916666666666667</v>
      </c>
      <c r="J341" s="9">
        <v>0.6875</v>
      </c>
    </row>
    <row r="342" hidden="1">
      <c r="A342" s="5" t="str">
        <f>IFNA(VLOOKUP(D342,'Location Table'!A:C,2,false),"")</f>
        <v>9575b00e-ba9f-11ee-86c0-506b8d9879b5</v>
      </c>
      <c r="B342" s="5" t="str">
        <f>IFNA(VLOOKUP(F342,Driver!A:C,2,false),"")</f>
        <v>f5993946-37cf-11ed-a3fc-506b8dbc8dfb</v>
      </c>
      <c r="C342" s="5" t="str">
        <f>IFNA(VLOOKUP(E342,'Location Table'!A:C,2,false),"")</f>
        <v/>
      </c>
      <c r="D342" s="6" t="s">
        <v>383</v>
      </c>
      <c r="E342" s="6"/>
      <c r="F342" s="6" t="s">
        <v>314</v>
      </c>
      <c r="G342" s="7" t="s">
        <v>873</v>
      </c>
      <c r="H342" s="8" t="str">
        <f>IFNA(VLOOKUP(F342,Driver!A:C,3,false),"")</f>
        <v/>
      </c>
      <c r="I342" s="9">
        <v>0.2916666666666667</v>
      </c>
      <c r="J342" s="9">
        <v>0.6875</v>
      </c>
    </row>
    <row r="343" hidden="1">
      <c r="A343" s="5" t="str">
        <f>IFNA(VLOOKUP(D343,'Location Table'!A:C,2,false),"")</f>
        <v>31d94d60-4621-11ed-a164-506b8dbc8dfb</v>
      </c>
      <c r="B343" s="5" t="str">
        <f>IFNA(VLOOKUP(F343,Driver!A:C,2,false),"")</f>
        <v>f5993946-37cf-11ed-a3fc-506b8dbc8dfb</v>
      </c>
      <c r="C343" s="5" t="str">
        <f>IFNA(VLOOKUP(E343,'Location Table'!A:C,2,false),"")</f>
        <v/>
      </c>
      <c r="D343" s="6" t="s">
        <v>384</v>
      </c>
      <c r="E343" s="6"/>
      <c r="F343" s="6" t="s">
        <v>314</v>
      </c>
      <c r="G343" s="7" t="s">
        <v>873</v>
      </c>
      <c r="H343" s="8" t="str">
        <f>IFNA(VLOOKUP(F343,Driver!A:C,3,false),"")</f>
        <v/>
      </c>
      <c r="I343" s="9">
        <v>0.2916666666666667</v>
      </c>
      <c r="J343" s="9">
        <v>0.6875</v>
      </c>
    </row>
    <row r="344" hidden="1">
      <c r="A344" s="5" t="str">
        <f>IFNA(VLOOKUP(D344,'Location Table'!A:C,2,false),"")</f>
        <v>f9b7b020-4620-11ed-a3ea-506b8dbc8dfb</v>
      </c>
      <c r="B344" s="5" t="str">
        <f>IFNA(VLOOKUP(F344,Driver!A:C,2,false),"")</f>
        <v>f5993946-37cf-11ed-a3fc-506b8dbc8dfb</v>
      </c>
      <c r="C344" s="5" t="str">
        <f>IFNA(VLOOKUP(E344,'Location Table'!A:C,2,false),"")</f>
        <v/>
      </c>
      <c r="D344" s="6" t="s">
        <v>385</v>
      </c>
      <c r="E344" s="6"/>
      <c r="F344" s="6" t="s">
        <v>314</v>
      </c>
      <c r="G344" s="7" t="s">
        <v>873</v>
      </c>
      <c r="H344" s="8" t="str">
        <f>IFNA(VLOOKUP(F344,Driver!A:C,3,false),"")</f>
        <v/>
      </c>
      <c r="I344" s="9">
        <v>0.2916666666666667</v>
      </c>
      <c r="J344" s="9">
        <v>0.6875</v>
      </c>
    </row>
    <row r="345" hidden="1">
      <c r="A345" s="5" t="str">
        <f>IFNA(VLOOKUP(D345,'Location Table'!A:C,2,false),"")</f>
        <v>b15b569a-447e-11ed-98ce-506b8dbc8dfb</v>
      </c>
      <c r="B345" s="5" t="str">
        <f>IFNA(VLOOKUP(F345,Driver!A:C,2,false),"")</f>
        <v>b74e3178-7caf-11f0-a9c3-506b8d982279</v>
      </c>
      <c r="C345" s="5" t="str">
        <f>IFNA(VLOOKUP(E345,'Location Table'!A:C,2,false),"")</f>
        <v/>
      </c>
      <c r="D345" s="6" t="s">
        <v>386</v>
      </c>
      <c r="E345" s="6"/>
      <c r="F345" s="6" t="s">
        <v>326</v>
      </c>
      <c r="G345" s="7" t="s">
        <v>873</v>
      </c>
      <c r="H345" s="8" t="str">
        <f>IFNA(VLOOKUP(F345,Driver!A:C,3,false),"")</f>
        <v>473ef1d8329bdbc5828a</v>
      </c>
      <c r="I345" s="9">
        <v>0.2916666666666667</v>
      </c>
      <c r="J345" s="9">
        <v>0.6666666666666666</v>
      </c>
    </row>
    <row r="346" hidden="1">
      <c r="A346" s="5" t="str">
        <f>IFNA(VLOOKUP(D346,'Location Table'!A:C,2,false),"")</f>
        <v>b69e3ad8-4621-11ed-8baa-506b8dbc8dfb</v>
      </c>
      <c r="B346" s="5" t="str">
        <f>IFNA(VLOOKUP(F346,Driver!A:C,2,false),"")</f>
        <v>f580f2a4-1966-11ee-a4c6-506b8d9879b5</v>
      </c>
      <c r="C346" s="5" t="str">
        <f>IFNA(VLOOKUP(E346,'Location Table'!A:C,2,false),"")</f>
        <v/>
      </c>
      <c r="D346" s="6" t="s">
        <v>387</v>
      </c>
      <c r="E346" s="6"/>
      <c r="F346" s="6" t="s">
        <v>878</v>
      </c>
      <c r="G346" s="7" t="s">
        <v>873</v>
      </c>
      <c r="H346" s="8" t="str">
        <f>IFNA(VLOOKUP(F346,Driver!A:C,3,false),"")</f>
        <v>557c6317f65c1f02464d</v>
      </c>
      <c r="I346" s="9">
        <v>0.2916666666666667</v>
      </c>
      <c r="J346" s="9">
        <v>0.7916666666666666</v>
      </c>
    </row>
    <row r="347" hidden="1">
      <c r="A347" s="5" t="str">
        <f>IFNA(VLOOKUP(D347,'Location Table'!A:C,2,false),"")</f>
        <v>cdfd8daa-1736-11ee-9478-506b8d9879b5</v>
      </c>
      <c r="B347" s="5" t="str">
        <f>IFNA(VLOOKUP(F347,Driver!A:C,2,false),"")</f>
        <v>f580f2a4-1966-11ee-a4c6-506b8d9879b5</v>
      </c>
      <c r="C347" s="5" t="str">
        <f>IFNA(VLOOKUP(E347,'Location Table'!A:C,2,false),"")</f>
        <v/>
      </c>
      <c r="D347" s="6" t="s">
        <v>388</v>
      </c>
      <c r="E347" s="6"/>
      <c r="F347" s="6" t="s">
        <v>878</v>
      </c>
      <c r="G347" s="7" t="s">
        <v>873</v>
      </c>
      <c r="H347" s="8" t="str">
        <f>IFNA(VLOOKUP(F347,Driver!A:C,3,false),"")</f>
        <v>557c6317f65c1f02464d</v>
      </c>
      <c r="I347" s="9">
        <v>0.2916666666666667</v>
      </c>
      <c r="J347" s="9">
        <v>0.7916666666666666</v>
      </c>
    </row>
    <row r="348" hidden="1">
      <c r="A348" s="5" t="str">
        <f>IFNA(VLOOKUP(D348,'Location Table'!A:C,2,false),"")</f>
        <v>7eade5f2-b5e1-11ee-a194-506b8d9879b5</v>
      </c>
      <c r="B348" s="5" t="str">
        <f>IFNA(VLOOKUP(F348,Driver!A:C,2,false),"")</f>
        <v>987568fa-37c7-11ed-aac2-506b8dbc8dfb</v>
      </c>
      <c r="C348" s="5" t="str">
        <f>IFNA(VLOOKUP(E348,'Location Table'!A:C,2,false),"")</f>
        <v/>
      </c>
      <c r="D348" s="6" t="s">
        <v>389</v>
      </c>
      <c r="E348" s="6"/>
      <c r="F348" s="6" t="s">
        <v>849</v>
      </c>
      <c r="G348" s="7" t="s">
        <v>873</v>
      </c>
      <c r="H348" s="8" t="str">
        <f>IFNA(VLOOKUP(F348,Driver!A:C,3,false),"")</f>
        <v>fb399a0ae5460c185557</v>
      </c>
      <c r="I348" s="9">
        <v>0.2916666666666667</v>
      </c>
      <c r="J348" s="9">
        <v>0.7083333333333334</v>
      </c>
    </row>
    <row r="349" hidden="1">
      <c r="A349" s="5" t="str">
        <f>IFNA(VLOOKUP(D349,'Location Table'!A:C,2,false),"")</f>
        <v>3edbf400-4625-11ed-9c1b-506b8dbc8dfb</v>
      </c>
      <c r="B349" s="5" t="str">
        <f>IFNA(VLOOKUP(F349,Driver!A:C,2,false),"")</f>
        <v>987568fa-37c7-11ed-aac2-506b8dbc8dfb</v>
      </c>
      <c r="C349" s="5" t="str">
        <f>IFNA(VLOOKUP(E349,'Location Table'!A:C,2,false),"")</f>
        <v/>
      </c>
      <c r="D349" s="6" t="s">
        <v>390</v>
      </c>
      <c r="E349" s="6"/>
      <c r="F349" s="6" t="s">
        <v>849</v>
      </c>
      <c r="G349" s="7" t="s">
        <v>873</v>
      </c>
      <c r="H349" s="8" t="str">
        <f>IFNA(VLOOKUP(F349,Driver!A:C,3,false),"")</f>
        <v>fb399a0ae5460c185557</v>
      </c>
      <c r="I349" s="9">
        <v>0.2916666666666667</v>
      </c>
      <c r="J349" s="9">
        <v>0.7083333333333334</v>
      </c>
    </row>
    <row r="350" hidden="1">
      <c r="A350" s="5" t="str">
        <f>IFNA(VLOOKUP(D350,'Location Table'!A:C,2,false),"")</f>
        <v>38c9c1aa-4620-11ed-9196-506b8dbc8dfb</v>
      </c>
      <c r="B350" s="5" t="str">
        <f>IFNA(VLOOKUP(F350,Driver!A:C,2,false),"")</f>
        <v>a9bf91b4-00e4-11f1-9378-fa163ee8d8ac</v>
      </c>
      <c r="C350" s="5" t="str">
        <f>IFNA(VLOOKUP(E350,'Location Table'!A:C,2,false),"")</f>
        <v/>
      </c>
      <c r="D350" s="6" t="s">
        <v>391</v>
      </c>
      <c r="E350" s="6"/>
      <c r="F350" s="6" t="s">
        <v>142</v>
      </c>
      <c r="G350" s="7" t="s">
        <v>873</v>
      </c>
      <c r="H350" s="8" t="str">
        <f>IFNA(VLOOKUP(F350,Driver!A:C,3,false),"")</f>
        <v/>
      </c>
      <c r="I350" s="9">
        <v>0.2916666666666667</v>
      </c>
      <c r="J350" s="9">
        <v>0.5</v>
      </c>
    </row>
    <row r="351" hidden="1">
      <c r="A351" s="5" t="str">
        <f>IFNA(VLOOKUP(D351,'Location Table'!A:C,2,false),"")</f>
        <v>2e371346-21f8-11ee-a792-506b8d9879b5</v>
      </c>
      <c r="B351" s="5" t="str">
        <f>IFNA(VLOOKUP(F351,Driver!A:C,2,false),"")</f>
        <v>061bd7aa-35a6-11ed-9426-506b8dbc8dfb</v>
      </c>
      <c r="C351" s="5" t="str">
        <f>IFNA(VLOOKUP(E351,'Location Table'!A:C,2,false),"")</f>
        <v/>
      </c>
      <c r="D351" s="6" t="s">
        <v>392</v>
      </c>
      <c r="E351" s="6"/>
      <c r="F351" s="6" t="s">
        <v>346</v>
      </c>
      <c r="G351" s="7" t="s">
        <v>873</v>
      </c>
      <c r="H351" s="8" t="str">
        <f>IFNA(VLOOKUP(F351,Driver!A:C,3,false),"")</f>
        <v>a6d70e0cd7463e186757</v>
      </c>
      <c r="I351" s="9">
        <v>0.2916666666666667</v>
      </c>
      <c r="J351" s="9">
        <v>0.6666666666666666</v>
      </c>
    </row>
    <row r="352" hidden="1">
      <c r="A352" s="5" t="str">
        <f>IFNA(VLOOKUP(D352,'Location Table'!A:C,2,false),"")</f>
        <v>6e28b82a-8c67-11f0-9f5d-506b8d982279</v>
      </c>
      <c r="B352" s="5" t="str">
        <f>IFNA(VLOOKUP(F352,Driver!A:C,2,false),"")</f>
        <v>a2f538f8-37ce-11ed-a5cf-506b8dbc8dfb</v>
      </c>
      <c r="C352" s="5" t="str">
        <f>IFNA(VLOOKUP(E352,'Location Table'!A:C,2,false),"")</f>
        <v/>
      </c>
      <c r="D352" s="6" t="s">
        <v>393</v>
      </c>
      <c r="E352" s="6"/>
      <c r="F352" s="6" t="s">
        <v>338</v>
      </c>
      <c r="G352" s="7" t="s">
        <v>873</v>
      </c>
      <c r="H352" s="8" t="str">
        <f>IFNA(VLOOKUP(F352,Driver!A:C,3,false),"")</f>
        <v>c0d10f02724a9b14c25b</v>
      </c>
      <c r="I352" s="9">
        <v>0.2916666666666667</v>
      </c>
      <c r="J352" s="9">
        <v>0.6666666666666666</v>
      </c>
    </row>
    <row r="353" hidden="1">
      <c r="A353" s="5" t="str">
        <f>IFNA(VLOOKUP(D353,'Location Table'!A:C,2,false),"")</f>
        <v>08dc27ae-4d84-11ef-ba5f-506b8d9879b5</v>
      </c>
      <c r="B353" s="5" t="str">
        <f>IFNA(VLOOKUP(F353,Driver!A:C,2,false),"")</f>
        <v>a2f538f8-37ce-11ed-a5cf-506b8dbc8dfb</v>
      </c>
      <c r="C353" s="5" t="str">
        <f>IFNA(VLOOKUP(E353,'Location Table'!A:C,2,false),"")</f>
        <v/>
      </c>
      <c r="D353" s="6" t="s">
        <v>394</v>
      </c>
      <c r="E353" s="6"/>
      <c r="F353" s="6" t="s">
        <v>338</v>
      </c>
      <c r="G353" s="7" t="s">
        <v>873</v>
      </c>
      <c r="H353" s="8" t="str">
        <f>IFNA(VLOOKUP(F353,Driver!A:C,3,false),"")</f>
        <v>c0d10f02724a9b14c25b</v>
      </c>
      <c r="I353" s="9">
        <v>0.2916666666666667</v>
      </c>
      <c r="J353" s="9">
        <v>0.6666666666666666</v>
      </c>
    </row>
    <row r="354" hidden="1">
      <c r="A354" s="5" t="str">
        <f>IFNA(VLOOKUP(D354,'Location Table'!A:C,2,false),"")</f>
        <v>c9c4cd62-4620-11ed-a198-506b8dbc8dfb</v>
      </c>
      <c r="B354" s="5" t="str">
        <f>IFNA(VLOOKUP(F354,Driver!A:C,2,false),"")</f>
        <v>a2f538f8-37ce-11ed-a5cf-506b8dbc8dfb</v>
      </c>
      <c r="C354" s="5" t="str">
        <f>IFNA(VLOOKUP(E354,'Location Table'!A:C,2,false),"")</f>
        <v/>
      </c>
      <c r="D354" s="6" t="s">
        <v>395</v>
      </c>
      <c r="E354" s="6"/>
      <c r="F354" s="6" t="s">
        <v>338</v>
      </c>
      <c r="G354" s="7" t="s">
        <v>873</v>
      </c>
      <c r="H354" s="8" t="str">
        <f>IFNA(VLOOKUP(F354,Driver!A:C,3,false),"")</f>
        <v>c0d10f02724a9b14c25b</v>
      </c>
      <c r="I354" s="9">
        <v>0.2916666666666667</v>
      </c>
      <c r="J354" s="9">
        <v>0.6666666666666666</v>
      </c>
    </row>
    <row r="355" hidden="1">
      <c r="A355" s="5" t="str">
        <f>IFNA(VLOOKUP(D355,'Location Table'!A:C,2,false),"")</f>
        <v>acdc38c0-4620-11ed-88dd-506b8dbc8dfb</v>
      </c>
      <c r="B355" s="5" t="str">
        <f>IFNA(VLOOKUP(F355,Driver!A:C,2,false),"")</f>
        <v>a2f538f8-37ce-11ed-a5cf-506b8dbc8dfb</v>
      </c>
      <c r="C355" s="5" t="str">
        <f>IFNA(VLOOKUP(E355,'Location Table'!A:C,2,false),"")</f>
        <v/>
      </c>
      <c r="D355" s="6" t="s">
        <v>396</v>
      </c>
      <c r="E355" s="6"/>
      <c r="F355" s="6" t="s">
        <v>338</v>
      </c>
      <c r="G355" s="7" t="s">
        <v>873</v>
      </c>
      <c r="H355" s="8" t="str">
        <f>IFNA(VLOOKUP(F355,Driver!A:C,3,false),"")</f>
        <v>c0d10f02724a9b14c25b</v>
      </c>
      <c r="I355" s="9">
        <v>0.2916666666666667</v>
      </c>
      <c r="J355" s="9">
        <v>0.6666666666666666</v>
      </c>
    </row>
    <row r="356" hidden="1">
      <c r="A356" s="5" t="str">
        <f>IFNA(VLOOKUP(D356,'Location Table'!A:C,2,false),"")</f>
        <v>7645c48a-4d84-11ef-ad7f-506b8d9879b5</v>
      </c>
      <c r="B356" s="5" t="str">
        <f>IFNA(VLOOKUP(F356,Driver!A:C,2,false),"")</f>
        <v>a2f538f8-37ce-11ed-a5cf-506b8dbc8dfb</v>
      </c>
      <c r="C356" s="5" t="str">
        <f>IFNA(VLOOKUP(E356,'Location Table'!A:C,2,false),"")</f>
        <v/>
      </c>
      <c r="D356" s="6" t="s">
        <v>397</v>
      </c>
      <c r="E356" s="6"/>
      <c r="F356" s="6" t="s">
        <v>338</v>
      </c>
      <c r="G356" s="7" t="s">
        <v>873</v>
      </c>
      <c r="H356" s="8" t="str">
        <f>IFNA(VLOOKUP(F356,Driver!A:C,3,false),"")</f>
        <v>c0d10f02724a9b14c25b</v>
      </c>
      <c r="I356" s="9">
        <v>0.2916666666666667</v>
      </c>
      <c r="J356" s="9">
        <v>0.6666666666666666</v>
      </c>
    </row>
    <row r="357" hidden="1">
      <c r="A357" s="5" t="str">
        <f>IFNA(VLOOKUP(D357,'Location Table'!A:C,2,false),"")</f>
        <v>a283fb2c-93e2-11ee-958b-506b8d9879b5</v>
      </c>
      <c r="B357" s="5" t="str">
        <f>IFNA(VLOOKUP(F357,Driver!A:C,2,false),"")</f>
        <v>a2f538f8-37ce-11ed-a5cf-506b8dbc8dfb</v>
      </c>
      <c r="C357" s="5" t="str">
        <f>IFNA(VLOOKUP(E357,'Location Table'!A:C,2,false),"")</f>
        <v/>
      </c>
      <c r="D357" s="6" t="s">
        <v>398</v>
      </c>
      <c r="E357" s="6"/>
      <c r="F357" s="6" t="s">
        <v>338</v>
      </c>
      <c r="G357" s="7" t="s">
        <v>873</v>
      </c>
      <c r="H357" s="8" t="str">
        <f>IFNA(VLOOKUP(F357,Driver!A:C,3,false),"")</f>
        <v>c0d10f02724a9b14c25b</v>
      </c>
      <c r="I357" s="9">
        <v>0.2916666666666667</v>
      </c>
      <c r="J357" s="9">
        <v>0.6666666666666666</v>
      </c>
    </row>
    <row r="358" hidden="1">
      <c r="A358" s="5" t="str">
        <f>IFNA(VLOOKUP(D358,'Location Table'!A:C,2,false),"")</f>
        <v>efaf92da-5588-11f0-88a4-506b8d982279</v>
      </c>
      <c r="B358" s="5" t="str">
        <f>IFNA(VLOOKUP(F358,Driver!A:C,2,false),"")</f>
        <v>a2f538f8-37ce-11ed-a5cf-506b8dbc8dfb</v>
      </c>
      <c r="C358" s="5" t="str">
        <f>IFNA(VLOOKUP(E358,'Location Table'!A:C,2,false),"")</f>
        <v/>
      </c>
      <c r="D358" s="6" t="s">
        <v>399</v>
      </c>
      <c r="E358" s="6"/>
      <c r="F358" s="6" t="s">
        <v>338</v>
      </c>
      <c r="G358" s="7" t="s">
        <v>873</v>
      </c>
      <c r="H358" s="8" t="str">
        <f>IFNA(VLOOKUP(F358,Driver!A:C,3,false),"")</f>
        <v>c0d10f02724a9b14c25b</v>
      </c>
      <c r="I358" s="9">
        <v>0.2916666666666667</v>
      </c>
      <c r="J358" s="9">
        <v>0.6666666666666666</v>
      </c>
    </row>
    <row r="359" hidden="1">
      <c r="A359" s="5" t="str">
        <f>IFNA(VLOOKUP(D359,'Location Table'!A:C,2,false),"")</f>
        <v>f622b542-be20-11f0-95e7-506b8d982279</v>
      </c>
      <c r="B359" s="5" t="str">
        <f>IFNA(VLOOKUP(F359,Driver!A:C,2,false),"")</f>
        <v>a2f538f8-37ce-11ed-a5cf-506b8dbc8dfb</v>
      </c>
      <c r="C359" s="5" t="str">
        <f>IFNA(VLOOKUP(E359,'Location Table'!A:C,2,false),"")</f>
        <v/>
      </c>
      <c r="D359" s="6" t="s">
        <v>400</v>
      </c>
      <c r="E359" s="6"/>
      <c r="F359" s="6" t="s">
        <v>338</v>
      </c>
      <c r="G359" s="7" t="s">
        <v>873</v>
      </c>
      <c r="H359" s="8" t="str">
        <f>IFNA(VLOOKUP(F359,Driver!A:C,3,false),"")</f>
        <v>c0d10f02724a9b14c25b</v>
      </c>
      <c r="I359" s="9">
        <v>0.2916666666666667</v>
      </c>
      <c r="J359" s="9">
        <v>0.6666666666666666</v>
      </c>
    </row>
    <row r="360" hidden="1">
      <c r="A360" s="5" t="str">
        <f>IFNA(VLOOKUP(D360,'Location Table'!A:C,2,false),"")</f>
        <v>f864d386-461d-11ed-a4b7-506b8dbc8dfb</v>
      </c>
      <c r="B360" s="5" t="str">
        <f>IFNA(VLOOKUP(F360,Driver!A:C,2,false),"")</f>
        <v>b74e3178-7caf-11f0-a9c3-506b8d982279</v>
      </c>
      <c r="C360" s="5" t="str">
        <f>IFNA(VLOOKUP(E360,'Location Table'!A:C,2,false),"")</f>
        <v/>
      </c>
      <c r="D360" s="6" t="s">
        <v>401</v>
      </c>
      <c r="E360" s="6"/>
      <c r="F360" s="6" t="s">
        <v>326</v>
      </c>
      <c r="G360" s="7" t="s">
        <v>873</v>
      </c>
      <c r="H360" s="8" t="str">
        <f>IFNA(VLOOKUP(F360,Driver!A:C,3,false),"")</f>
        <v>473ef1d8329bdbc5828a</v>
      </c>
      <c r="I360" s="9">
        <v>0.2916666666666667</v>
      </c>
      <c r="J360" s="9">
        <v>0.6666666666666666</v>
      </c>
    </row>
    <row r="361" hidden="1">
      <c r="A361" s="5" t="str">
        <f>IFNA(VLOOKUP(D361,'Location Table'!A:C,2,false),"")</f>
        <v>66cbf49e-461e-11ed-8092-506b8dbc8dfb</v>
      </c>
      <c r="B361" s="5" t="str">
        <f>IFNA(VLOOKUP(F361,Driver!A:C,2,false),"")</f>
        <v>d442fba0-37c6-11ed-ab29-506b8dbc8dfb</v>
      </c>
      <c r="C361" s="5" t="str">
        <f>IFNA(VLOOKUP(E361,'Location Table'!A:C,2,false),"")</f>
        <v/>
      </c>
      <c r="D361" s="6" t="s">
        <v>402</v>
      </c>
      <c r="E361" s="6"/>
      <c r="F361" s="6" t="s">
        <v>183</v>
      </c>
      <c r="G361" s="7" t="s">
        <v>873</v>
      </c>
      <c r="H361" s="8" t="str">
        <f>IFNA(VLOOKUP(F361,Driver!A:C,3,false),"")</f>
        <v>c4530791c2db2b8572ca</v>
      </c>
      <c r="I361" s="9">
        <v>0.2916666666666667</v>
      </c>
      <c r="J361" s="9">
        <v>0.6666666666666666</v>
      </c>
    </row>
    <row r="362" hidden="1">
      <c r="A362" s="5" t="str">
        <f>IFNA(VLOOKUP(D362,'Location Table'!A:C,2,false),"")</f>
        <v>c444e4a0-461e-11ed-9831-506b8dbc8dfb</v>
      </c>
      <c r="B362" s="5" t="str">
        <f>IFNA(VLOOKUP(F362,Driver!A:C,2,false),"")</f>
        <v>1d4786cc-12f7-11f1-9378-fa163ee8d8ac</v>
      </c>
      <c r="C362" s="5" t="str">
        <f>IFNA(VLOOKUP(E362,'Location Table'!A:C,2,false),"")</f>
        <v/>
      </c>
      <c r="D362" s="6" t="s">
        <v>403</v>
      </c>
      <c r="E362" s="6"/>
      <c r="F362" s="10" t="s">
        <v>343</v>
      </c>
      <c r="G362" s="7" t="s">
        <v>873</v>
      </c>
      <c r="H362" s="8" t="str">
        <f>IFNA(VLOOKUP(F362,Driver!A:C,3,false),"")</f>
        <v>85d2de46a91b4045190a</v>
      </c>
      <c r="I362" s="9">
        <v>0.2916666666666667</v>
      </c>
      <c r="J362" s="9">
        <v>0.75</v>
      </c>
    </row>
    <row r="363" hidden="1">
      <c r="A363" s="5" t="str">
        <f>IFNA(VLOOKUP(D363,'Location Table'!A:C,2,false),"")</f>
        <v>81144800-461f-11ed-beba-506b8dbc8dfb</v>
      </c>
      <c r="B363" s="5" t="str">
        <f>IFNA(VLOOKUP(F363,Driver!A:C,2,false),"")</f>
        <v>51b847ba-37cd-11ed-a5f6-506b8dbc8dfb</v>
      </c>
      <c r="C363" s="5" t="str">
        <f>IFNA(VLOOKUP(E363,'Location Table'!A:C,2,false),"")</f>
        <v/>
      </c>
      <c r="D363" s="6" t="s">
        <v>404</v>
      </c>
      <c r="E363" s="6"/>
      <c r="F363" s="6" t="s">
        <v>94</v>
      </c>
      <c r="G363" s="7" t="s">
        <v>873</v>
      </c>
      <c r="H363" s="8" t="str">
        <f>IFNA(VLOOKUP(F363,Driver!A:C,3,false),"")</f>
        <v>3d1fec9027dcce8297cd</v>
      </c>
      <c r="I363" s="9">
        <v>0.2916666666666667</v>
      </c>
      <c r="J363" s="9">
        <v>0.6666666666666666</v>
      </c>
    </row>
    <row r="364" hidden="1">
      <c r="A364" s="5" t="str">
        <f>IFNA(VLOOKUP(D364,'Location Table'!A:C,2,false),"")</f>
        <v>b53f8874-461f-11ed-ac01-506b8dbc8dfb</v>
      </c>
      <c r="B364" s="5" t="str">
        <f>IFNA(VLOOKUP(F364,Driver!A:C,2,false),"")</f>
        <v>061bd7aa-35a6-11ed-9426-506b8dbc8dfb</v>
      </c>
      <c r="C364" s="5" t="str">
        <f>IFNA(VLOOKUP(E364,'Location Table'!A:C,2,false),"")</f>
        <v/>
      </c>
      <c r="D364" s="6" t="s">
        <v>405</v>
      </c>
      <c r="E364" s="6"/>
      <c r="F364" s="6" t="s">
        <v>346</v>
      </c>
      <c r="G364" s="7" t="s">
        <v>873</v>
      </c>
      <c r="H364" s="8" t="str">
        <f>IFNA(VLOOKUP(F364,Driver!A:C,3,false),"")</f>
        <v>a6d70e0cd7463e186757</v>
      </c>
      <c r="I364" s="9">
        <v>0.2916666666666667</v>
      </c>
      <c r="J364" s="9">
        <v>0.6666666666666666</v>
      </c>
    </row>
    <row r="365" hidden="1">
      <c r="A365" s="5" t="str">
        <f>IFNA(VLOOKUP(D365,'Location Table'!A:C,2,false),"")</f>
        <v>cc4cf010-461f-11ed-8f40-506b8dbc8dfb</v>
      </c>
      <c r="B365" s="5" t="str">
        <f>IFNA(VLOOKUP(F365,Driver!A:C,2,false),"")</f>
        <v>061bd7aa-35a6-11ed-9426-506b8dbc8dfb</v>
      </c>
      <c r="C365" s="5" t="str">
        <f>IFNA(VLOOKUP(E365,'Location Table'!A:C,2,false),"")</f>
        <v/>
      </c>
      <c r="D365" s="6" t="s">
        <v>406</v>
      </c>
      <c r="E365" s="6"/>
      <c r="F365" s="6" t="s">
        <v>346</v>
      </c>
      <c r="G365" s="7" t="s">
        <v>873</v>
      </c>
      <c r="H365" s="8" t="str">
        <f>IFNA(VLOOKUP(F365,Driver!A:C,3,false),"")</f>
        <v>a6d70e0cd7463e186757</v>
      </c>
      <c r="I365" s="9">
        <v>0.2916666666666667</v>
      </c>
      <c r="J365" s="9">
        <v>0.6666666666666666</v>
      </c>
    </row>
    <row r="366" hidden="1">
      <c r="A366" s="5" t="str">
        <f>IFNA(VLOOKUP(D366,'Location Table'!A:C,2,false),"")</f>
        <v>d1ac161c-8097-11ef-b9ab-506b8d9879b5</v>
      </c>
      <c r="B366" s="5" t="str">
        <f>IFNA(VLOOKUP(F366,Driver!A:C,2,false),"")</f>
        <v>65871f10-7671-11f0-9d16-506b8d982279</v>
      </c>
      <c r="C366" s="5" t="str">
        <f>IFNA(VLOOKUP(E366,'Location Table'!A:C,2,false),"")</f>
        <v/>
      </c>
      <c r="D366" s="6" t="s">
        <v>407</v>
      </c>
      <c r="E366" s="6"/>
      <c r="F366" s="6" t="s">
        <v>348</v>
      </c>
      <c r="G366" s="7" t="s">
        <v>873</v>
      </c>
      <c r="H366" s="8" t="str">
        <f>IFNA(VLOOKUP(F366,Driver!A:C,3,false),"")</f>
        <v>03bb8b129d5c74022d4d</v>
      </c>
      <c r="I366" s="9">
        <v>0.2916666666666667</v>
      </c>
      <c r="J366" s="9">
        <v>0.75</v>
      </c>
    </row>
    <row r="367" hidden="1">
      <c r="A367" s="5" t="str">
        <f>IFNA(VLOOKUP(D367,'Location Table'!A:C,2,false),"")</f>
        <v>ac335b00-7f6e-11ee-9967-506b8d9879b5</v>
      </c>
      <c r="B367" s="5" t="str">
        <f>IFNA(VLOOKUP(F367,Driver!A:C,2,false),"")</f>
        <v>103090f4-37c8-11ed-9333-506b8dbc8dfb</v>
      </c>
      <c r="C367" s="5" t="str">
        <f>IFNA(VLOOKUP(E367,'Location Table'!A:C,2,false),"")</f>
        <v/>
      </c>
      <c r="D367" s="6" t="s">
        <v>408</v>
      </c>
      <c r="E367" s="6"/>
      <c r="F367" s="6" t="s">
        <v>130</v>
      </c>
      <c r="G367" s="7" t="s">
        <v>873</v>
      </c>
      <c r="H367" s="8" t="str">
        <f>IFNA(VLOOKUP(F367,Driver!A:C,3,false),"")</f>
        <v>77085b30147bfd25a46a</v>
      </c>
      <c r="I367" s="9">
        <v>0.2916666666666667</v>
      </c>
      <c r="J367" s="9">
        <v>0.75</v>
      </c>
    </row>
    <row r="368" hidden="1">
      <c r="A368" s="5" t="str">
        <f>IFNA(VLOOKUP(D368,'Location Table'!A:C,2,false),"")</f>
        <v>f3a91ab0-6191-11ee-8062-506b8d9879b5</v>
      </c>
      <c r="B368" s="5" t="str">
        <f>IFNA(VLOOKUP(F368,Driver!A:C,2,false),"")</f>
        <v>9e9376b6-37c5-11ed-a1d5-506b8dbc8dfb</v>
      </c>
      <c r="C368" s="5" t="str">
        <f>IFNA(VLOOKUP(E368,'Location Table'!A:C,2,false),"")</f>
        <v/>
      </c>
      <c r="D368" s="6" t="s">
        <v>409</v>
      </c>
      <c r="E368" s="6"/>
      <c r="F368" s="6" t="s">
        <v>350</v>
      </c>
      <c r="G368" s="7" t="s">
        <v>873</v>
      </c>
      <c r="H368" s="8" t="str">
        <f>IFNA(VLOOKUP(F368,Driver!A:C,3,false),"")</f>
        <v>26f3924da71c4e42170d</v>
      </c>
      <c r="I368" s="9">
        <v>0.2916666666666667</v>
      </c>
      <c r="J368" s="9">
        <v>0.75</v>
      </c>
    </row>
    <row r="369" hidden="1">
      <c r="A369" s="5" t="str">
        <f>IFNA(VLOOKUP(D369,'Location Table'!A:C,2,false),"")</f>
        <v>15f046d6-4620-11ed-92e1-506b8dbc8dfb</v>
      </c>
      <c r="B369" s="5" t="str">
        <f>IFNA(VLOOKUP(F369,Driver!A:C,2,false),"")</f>
        <v>51b847ba-37cd-11ed-a5f6-506b8dbc8dfb</v>
      </c>
      <c r="C369" s="5" t="str">
        <f>IFNA(VLOOKUP(E369,'Location Table'!A:C,2,false),"")</f>
        <v/>
      </c>
      <c r="D369" s="6" t="s">
        <v>410</v>
      </c>
      <c r="E369" s="6"/>
      <c r="F369" s="6" t="s">
        <v>94</v>
      </c>
      <c r="G369" s="7" t="s">
        <v>873</v>
      </c>
      <c r="H369" s="8" t="str">
        <f>IFNA(VLOOKUP(F369,Driver!A:C,3,false),"")</f>
        <v>3d1fec9027dcce8297cd</v>
      </c>
      <c r="I369" s="9">
        <v>0.2916666666666667</v>
      </c>
      <c r="J369" s="9">
        <v>0.6666666666666666</v>
      </c>
    </row>
    <row r="370" hidden="1">
      <c r="A370" s="5" t="str">
        <f>IFNA(VLOOKUP(D370,'Location Table'!A:C,2,false),"")</f>
        <v>a4ca13c4-4624-11ed-a72e-506b8dbc8dfb</v>
      </c>
      <c r="B370" s="5" t="str">
        <f>IFNA(VLOOKUP(F370,Driver!A:C,2,false),"")</f>
        <v>232be490-35a4-11ed-88b7-506b8dbc8dfb</v>
      </c>
      <c r="C370" s="5" t="str">
        <f>IFNA(VLOOKUP(E370,'Location Table'!A:C,2,false),"")</f>
        <v/>
      </c>
      <c r="D370" s="6" t="s">
        <v>411</v>
      </c>
      <c r="E370" s="6"/>
      <c r="F370" s="10" t="s">
        <v>110</v>
      </c>
      <c r="G370" s="7" t="s">
        <v>873</v>
      </c>
      <c r="H370" s="8" t="str">
        <f>IFNA(VLOOKUP(F370,Driver!A:C,3,false),"")</f>
        <v>d9fc37dd4093a9cdf082</v>
      </c>
      <c r="I370" s="9">
        <v>0.2916666666666667</v>
      </c>
      <c r="J370" s="9">
        <v>0.6666666666666666</v>
      </c>
    </row>
    <row r="371" hidden="1">
      <c r="A371" s="5" t="str">
        <f>IFNA(VLOOKUP(D371,'Location Table'!A:C,2,false),"")</f>
        <v>217168cc-bad6-11f0-b824-506b8d982279</v>
      </c>
      <c r="B371" s="5" t="str">
        <f>IFNA(VLOOKUP(F371,Driver!A:C,2,false),"")</f>
        <v>232be490-35a4-11ed-88b7-506b8dbc8dfb</v>
      </c>
      <c r="C371" s="5" t="str">
        <f>IFNA(VLOOKUP(E371,'Location Table'!A:C,2,false),"")</f>
        <v/>
      </c>
      <c r="D371" s="6" t="s">
        <v>412</v>
      </c>
      <c r="E371" s="6"/>
      <c r="F371" s="10" t="s">
        <v>110</v>
      </c>
      <c r="G371" s="7" t="s">
        <v>873</v>
      </c>
      <c r="H371" s="8" t="str">
        <f>IFNA(VLOOKUP(F371,Driver!A:C,3,false),"")</f>
        <v>d9fc37dd4093a9cdf082</v>
      </c>
      <c r="I371" s="9">
        <v>0.2916666666666667</v>
      </c>
      <c r="J371" s="9">
        <v>0.6666666666666666</v>
      </c>
    </row>
    <row r="372" hidden="1">
      <c r="A372" s="5" t="str">
        <f>IFNA(VLOOKUP(D372,'Location Table'!A:C,2,false),"")</f>
        <v>b57674f6-4624-11ed-9100-506b8dbc8dfb</v>
      </c>
      <c r="B372" s="5" t="str">
        <f>IFNA(VLOOKUP(F372,Driver!A:C,2,false),"")</f>
        <v>232be490-35a4-11ed-88b7-506b8dbc8dfb</v>
      </c>
      <c r="C372" s="5" t="str">
        <f>IFNA(VLOOKUP(E372,'Location Table'!A:C,2,false),"")</f>
        <v/>
      </c>
      <c r="D372" s="6" t="s">
        <v>413</v>
      </c>
      <c r="E372" s="6"/>
      <c r="F372" s="10" t="s">
        <v>110</v>
      </c>
      <c r="G372" s="7" t="s">
        <v>873</v>
      </c>
      <c r="H372" s="8" t="str">
        <f>IFNA(VLOOKUP(F372,Driver!A:C,3,false),"")</f>
        <v>d9fc37dd4093a9cdf082</v>
      </c>
      <c r="I372" s="9">
        <v>0.2916666666666667</v>
      </c>
      <c r="J372" s="9">
        <v>0.6666666666666666</v>
      </c>
    </row>
    <row r="373" hidden="1">
      <c r="A373" s="5" t="str">
        <f>IFNA(VLOOKUP(D373,'Location Table'!A:C,2,false),"")</f>
        <v>79755906-47b1-11ee-a628-506b8d9879b5</v>
      </c>
      <c r="B373" s="5" t="str">
        <f>IFNA(VLOOKUP(F373,Driver!A:C,2,false),"")</f>
        <v>f580f2a4-1966-11ee-a4c6-506b8d9879b5</v>
      </c>
      <c r="C373" s="5" t="str">
        <f>IFNA(VLOOKUP(E373,'Location Table'!A:C,2,false),"")</f>
        <v/>
      </c>
      <c r="D373" s="6" t="s">
        <v>414</v>
      </c>
      <c r="E373" s="6"/>
      <c r="F373" s="6" t="s">
        <v>878</v>
      </c>
      <c r="G373" s="7" t="s">
        <v>873</v>
      </c>
      <c r="H373" s="8" t="str">
        <f>IFNA(VLOOKUP(F373,Driver!A:C,3,false),"")</f>
        <v>557c6317f65c1f02464d</v>
      </c>
      <c r="I373" s="9">
        <v>0.2916666666666667</v>
      </c>
      <c r="J373" s="9">
        <v>0.75</v>
      </c>
    </row>
    <row r="374" hidden="1">
      <c r="A374" s="5" t="str">
        <f>IFNA(VLOOKUP(D374,'Location Table'!A:C,2,false),"")</f>
        <v>dc4c537a-4624-11ed-b116-506b8dbc8dfb</v>
      </c>
      <c r="B374" s="5" t="str">
        <f>IFNA(VLOOKUP(F374,Driver!A:C,2,false),"")</f>
        <v>586fa64a-37d0-11ed-b5ef-506b8dbc8dfb</v>
      </c>
      <c r="C374" s="5" t="str">
        <f>IFNA(VLOOKUP(E374,'Location Table'!A:C,2,false),"")</f>
        <v/>
      </c>
      <c r="D374" s="6" t="s">
        <v>415</v>
      </c>
      <c r="E374" s="6"/>
      <c r="F374" s="6" t="s">
        <v>355</v>
      </c>
      <c r="G374" s="7" t="s">
        <v>873</v>
      </c>
      <c r="H374" s="8" t="str">
        <f>IFNA(VLOOKUP(F374,Driver!A:C,3,false),"")</f>
        <v>cb12ddfaeea707f95eb6</v>
      </c>
      <c r="I374" s="9">
        <v>0.2916666666666667</v>
      </c>
      <c r="J374" s="9">
        <v>0.75</v>
      </c>
    </row>
    <row r="375" hidden="1">
      <c r="A375" s="5" t="str">
        <f>IFNA(VLOOKUP(D375,'Location Table'!A:C,2,false),"")</f>
        <v>cb5e725a-4624-11ed-9796-506b8dbc8dfb</v>
      </c>
      <c r="B375" s="5" t="str">
        <f>IFNA(VLOOKUP(F375,Driver!A:C,2,false),"")</f>
        <v>a2f538f8-37ce-11ed-a5cf-506b8dbc8dfb</v>
      </c>
      <c r="C375" s="5" t="str">
        <f>IFNA(VLOOKUP(E375,'Location Table'!A:C,2,false),"")</f>
        <v/>
      </c>
      <c r="D375" s="6" t="s">
        <v>416</v>
      </c>
      <c r="E375" s="6"/>
      <c r="F375" s="6" t="s">
        <v>338</v>
      </c>
      <c r="G375" s="7" t="s">
        <v>873</v>
      </c>
      <c r="H375" s="8" t="str">
        <f>IFNA(VLOOKUP(F375,Driver!A:C,3,false),"")</f>
        <v>c0d10f02724a9b14c25b</v>
      </c>
      <c r="I375" s="9">
        <v>0.2916666666666667</v>
      </c>
      <c r="J375" s="9">
        <v>0.6666666666666666</v>
      </c>
    </row>
    <row r="376" hidden="1">
      <c r="A376" s="5" t="str">
        <f>IFNA(VLOOKUP(D376,'Location Table'!A:C,2,false),"")</f>
        <v>a94ef2b0-32b0-11ee-9251-506b8d9879b5</v>
      </c>
      <c r="B376" s="5" t="str">
        <f>IFNA(VLOOKUP(F376,Driver!A:C,2,false),"")</f>
        <v>a2f538f8-37ce-11ed-a5cf-506b8dbc8dfb</v>
      </c>
      <c r="C376" s="5" t="str">
        <f>IFNA(VLOOKUP(E376,'Location Table'!A:C,2,false),"")</f>
        <v/>
      </c>
      <c r="D376" s="6" t="s">
        <v>417</v>
      </c>
      <c r="E376" s="6"/>
      <c r="F376" s="6" t="s">
        <v>338</v>
      </c>
      <c r="G376" s="7" t="s">
        <v>873</v>
      </c>
      <c r="H376" s="8" t="str">
        <f>IFNA(VLOOKUP(F376,Driver!A:C,3,false),"")</f>
        <v>c0d10f02724a9b14c25b</v>
      </c>
      <c r="I376" s="9">
        <v>0.2916666666666667</v>
      </c>
      <c r="J376" s="9">
        <v>0.6666666666666666</v>
      </c>
    </row>
    <row r="377" hidden="1">
      <c r="A377" s="5" t="str">
        <f>IFNA(VLOOKUP(D377,'Location Table'!A:C,2,false),"")</f>
        <v>3a2b645e-32b0-11ee-b21d-506b8d9879b5</v>
      </c>
      <c r="B377" s="5" t="str">
        <f>IFNA(VLOOKUP(F377,Driver!A:C,2,false),"")</f>
        <v>a2f538f8-37ce-11ed-a5cf-506b8dbc8dfb</v>
      </c>
      <c r="C377" s="5" t="str">
        <f>IFNA(VLOOKUP(E377,'Location Table'!A:C,2,false),"")</f>
        <v/>
      </c>
      <c r="D377" s="6" t="s">
        <v>418</v>
      </c>
      <c r="E377" s="6"/>
      <c r="F377" s="6" t="s">
        <v>338</v>
      </c>
      <c r="G377" s="7" t="s">
        <v>873</v>
      </c>
      <c r="H377" s="8" t="str">
        <f>IFNA(VLOOKUP(F377,Driver!A:C,3,false),"")</f>
        <v>c0d10f02724a9b14c25b</v>
      </c>
      <c r="I377" s="9">
        <v>0.2916666666666667</v>
      </c>
      <c r="J377" s="9">
        <v>0.6666666666666666</v>
      </c>
    </row>
    <row r="378" hidden="1">
      <c r="A378" s="5" t="str">
        <f>IFNA(VLOOKUP(D378,'Location Table'!A:C,2,false),"")</f>
        <v>16874f0a-c8c2-11ef-aced-506b8d9879b5</v>
      </c>
      <c r="B378" s="5" t="str">
        <f>IFNA(VLOOKUP(F378,Driver!A:C,2,false),"")</f>
        <v>717fa61c-3654-11ed-b103-506b8dbc8dfb</v>
      </c>
      <c r="C378" s="5" t="str">
        <f>IFNA(VLOOKUP(E378,'Location Table'!A:C,2,false),"")</f>
        <v/>
      </c>
      <c r="D378" s="6" t="s">
        <v>419</v>
      </c>
      <c r="E378" s="6"/>
      <c r="F378" s="6" t="s">
        <v>361</v>
      </c>
      <c r="G378" s="7" t="s">
        <v>873</v>
      </c>
      <c r="H378" s="8" t="str">
        <f>IFNA(VLOOKUP(F378,Driver!A:C,3,false),"")</f>
        <v>fbc73b7bb6385f660629</v>
      </c>
      <c r="I378" s="9">
        <v>0.2916666666666667</v>
      </c>
      <c r="J378" s="9">
        <v>0.5833333333333334</v>
      </c>
    </row>
    <row r="379" hidden="1">
      <c r="A379" s="5" t="str">
        <f>IFNA(VLOOKUP(D379,'Location Table'!A:C,2,false),"")</f>
        <v>1eb8a47a-4625-11ed-a856-506b8dbc8dfb</v>
      </c>
      <c r="B379" s="5" t="str">
        <f>IFNA(VLOOKUP(F379,Driver!A:C,2,false),"")</f>
        <v>717fa61c-3654-11ed-b103-506b8dbc8dfb</v>
      </c>
      <c r="C379" s="5" t="str">
        <f>IFNA(VLOOKUP(E379,'Location Table'!A:C,2,false),"")</f>
        <v/>
      </c>
      <c r="D379" s="6" t="s">
        <v>420</v>
      </c>
      <c r="E379" s="6"/>
      <c r="F379" s="6" t="s">
        <v>361</v>
      </c>
      <c r="G379" s="7" t="s">
        <v>873</v>
      </c>
      <c r="H379" s="8" t="str">
        <f>IFNA(VLOOKUP(F379,Driver!A:C,3,false),"")</f>
        <v>fbc73b7bb6385f660629</v>
      </c>
      <c r="I379" s="9">
        <v>0.2916666666666667</v>
      </c>
      <c r="J379" s="9">
        <v>0.5833333333333334</v>
      </c>
    </row>
    <row r="380" hidden="1">
      <c r="A380" s="5" t="str">
        <f>IFNA(VLOOKUP(D380,'Location Table'!A:C,2,false),"")</f>
        <v>0b8b3520-4625-11ed-aaa4-506b8dbc8dfb</v>
      </c>
      <c r="B380" s="5" t="str">
        <f>IFNA(VLOOKUP(F380,Driver!A:C,2,false),"")</f>
        <v>717fa61c-3654-11ed-b103-506b8dbc8dfb</v>
      </c>
      <c r="C380" s="5" t="str">
        <f>IFNA(VLOOKUP(E380,'Location Table'!A:C,2,false),"")</f>
        <v/>
      </c>
      <c r="D380" s="6" t="s">
        <v>421</v>
      </c>
      <c r="E380" s="6"/>
      <c r="F380" s="6" t="s">
        <v>361</v>
      </c>
      <c r="G380" s="7" t="s">
        <v>873</v>
      </c>
      <c r="H380" s="8" t="str">
        <f>IFNA(VLOOKUP(F380,Driver!A:C,3,false),"")</f>
        <v>fbc73b7bb6385f660629</v>
      </c>
      <c r="I380" s="9">
        <v>0.2916666666666667</v>
      </c>
      <c r="J380" s="9">
        <v>0.5833333333333334</v>
      </c>
    </row>
    <row r="381" hidden="1">
      <c r="A381" s="5" t="str">
        <f>IFNA(VLOOKUP(D381,'Location Table'!A:C,2,false),"")</f>
        <v>b7e27baa-37fe-11ee-8340-506b8d9879b5</v>
      </c>
      <c r="B381" s="5" t="str">
        <f>IFNA(VLOOKUP(F381,Driver!A:C,2,false),"")</f>
        <v>dff693c2-0371-11ee-90bc-506b8dbc8dfb</v>
      </c>
      <c r="C381" s="5" t="str">
        <f>IFNA(VLOOKUP(E381,'Location Table'!A:C,2,false),"")</f>
        <v/>
      </c>
      <c r="D381" s="6" t="s">
        <v>422</v>
      </c>
      <c r="E381" s="6"/>
      <c r="F381" s="10" t="s">
        <v>365</v>
      </c>
      <c r="G381" s="7" t="s">
        <v>873</v>
      </c>
      <c r="H381" s="8" t="str">
        <f>IFNA(VLOOKUP(F381,Driver!A:C,3,false),"")</f>
        <v>402ca9dc1194f8caa185</v>
      </c>
      <c r="I381" s="9">
        <v>0.2916666666666667</v>
      </c>
      <c r="J381" s="9">
        <v>0.5833333333333334</v>
      </c>
    </row>
    <row r="382" hidden="1">
      <c r="A382" s="5" t="str">
        <f>IFNA(VLOOKUP(D382,'Location Table'!A:C,2,false),"")</f>
        <v>2da9c09a-4625-11ed-bd6e-506b8dbc8dfb</v>
      </c>
      <c r="B382" s="5" t="str">
        <f>IFNA(VLOOKUP(F382,Driver!A:C,2,false),"")</f>
        <v>717fa61c-3654-11ed-b103-506b8dbc8dfb</v>
      </c>
      <c r="C382" s="5" t="str">
        <f>IFNA(VLOOKUP(E382,'Location Table'!A:C,2,false),"")</f>
        <v/>
      </c>
      <c r="D382" s="6" t="s">
        <v>423</v>
      </c>
      <c r="E382" s="6"/>
      <c r="F382" s="6" t="s">
        <v>361</v>
      </c>
      <c r="G382" s="7" t="s">
        <v>873</v>
      </c>
      <c r="H382" s="8" t="str">
        <f>IFNA(VLOOKUP(F382,Driver!A:C,3,false),"")</f>
        <v>fbc73b7bb6385f660629</v>
      </c>
      <c r="I382" s="9">
        <v>0.2916666666666667</v>
      </c>
      <c r="J382" s="9">
        <v>0.5833333333333334</v>
      </c>
    </row>
    <row r="383" hidden="1">
      <c r="A383" s="5" t="str">
        <f>IFNA(VLOOKUP(D383,'Location Table'!A:C,2,false),"")</f>
        <v>b275e594-511e-11f1-9378-fa163ee8d8ac</v>
      </c>
      <c r="B383" s="5" t="str">
        <f>IFNA(VLOOKUP(F383,Driver!A:C,2,false),"")</f>
        <v>65871f10-7671-11f0-9d16-506b8d982279</v>
      </c>
      <c r="C383" s="5" t="str">
        <f>IFNA(VLOOKUP(E383,'Location Table'!A:C,2,false),"")</f>
        <v/>
      </c>
      <c r="D383" s="6" t="s">
        <v>424</v>
      </c>
      <c r="E383" s="6"/>
      <c r="F383" s="6" t="s">
        <v>348</v>
      </c>
      <c r="G383" s="7" t="s">
        <v>873</v>
      </c>
      <c r="H383" s="8" t="str">
        <f>IFNA(VLOOKUP(F383,Driver!A:C,3,false),"")</f>
        <v>03bb8b129d5c74022d4d</v>
      </c>
      <c r="I383" s="9">
        <v>0.2916666666666667</v>
      </c>
      <c r="J383" s="9">
        <v>0.75</v>
      </c>
    </row>
    <row r="384" hidden="1">
      <c r="A384" s="5" t="str">
        <f>IFNA(VLOOKUP(D384,'Location Table'!A:C,2,false),"")</f>
        <v>dc1cec40-ef44-11ef-b4d7-506b8d9879b5</v>
      </c>
      <c r="B384" s="5" t="str">
        <f>IFNA(VLOOKUP(F384,Driver!A:C,2,false),"")</f>
        <v>103090f4-37c8-11ed-9333-506b8dbc8dfb</v>
      </c>
      <c r="C384" s="5" t="str">
        <f>IFNA(VLOOKUP(E384,'Location Table'!A:C,2,false),"")</f>
        <v/>
      </c>
      <c r="D384" s="6" t="s">
        <v>425</v>
      </c>
      <c r="E384" s="6"/>
      <c r="F384" s="6" t="s">
        <v>130</v>
      </c>
      <c r="G384" s="7" t="s">
        <v>873</v>
      </c>
      <c r="H384" s="8" t="str">
        <f>IFNA(VLOOKUP(F384,Driver!A:C,3,false),"")</f>
        <v>77085b30147bfd25a46a</v>
      </c>
      <c r="I384" s="9">
        <v>0.2916666666666667</v>
      </c>
      <c r="J384" s="9">
        <v>0.75</v>
      </c>
    </row>
    <row r="385" hidden="1">
      <c r="A385" s="5" t="str">
        <f>IFNA(VLOOKUP(D385,'Location Table'!A:C,2,false),"")</f>
        <v>13f99116-21f8-11ee-87d0-506b8d9879b5</v>
      </c>
      <c r="B385" s="5" t="str">
        <f>IFNA(VLOOKUP(F385,Driver!A:C,2,false),"")</f>
        <v>f580f2a4-1966-11ee-a4c6-506b8d9879b5</v>
      </c>
      <c r="C385" s="5" t="str">
        <f>IFNA(VLOOKUP(E385,'Location Table'!A:C,2,false),"")</f>
        <v/>
      </c>
      <c r="D385" s="6" t="s">
        <v>426</v>
      </c>
      <c r="E385" s="6"/>
      <c r="F385" s="6" t="s">
        <v>878</v>
      </c>
      <c r="G385" s="7" t="s">
        <v>873</v>
      </c>
      <c r="H385" s="8" t="str">
        <f>IFNA(VLOOKUP(F385,Driver!A:C,3,false),"")</f>
        <v>557c6317f65c1f02464d</v>
      </c>
      <c r="I385" s="9">
        <v>0.2916666666666667</v>
      </c>
      <c r="J385" s="9">
        <v>0.5833333333333334</v>
      </c>
    </row>
    <row r="386" hidden="1">
      <c r="A386" s="5" t="str">
        <f>IFNA(VLOOKUP(D386,'Location Table'!A:C,2,false),"")</f>
        <v>eb0acfc0-47b0-11ee-9a76-506b8d9879b5</v>
      </c>
      <c r="B386" s="5" t="str">
        <f>IFNA(VLOOKUP(F386,Driver!A:C,2,false),"")</f>
        <v>f580f2a4-1966-11ee-a4c6-506b8d9879b5</v>
      </c>
      <c r="C386" s="5" t="str">
        <f>IFNA(VLOOKUP(E386,'Location Table'!A:C,2,false),"")</f>
        <v/>
      </c>
      <c r="D386" s="6" t="s">
        <v>427</v>
      </c>
      <c r="E386" s="6"/>
      <c r="F386" s="6" t="s">
        <v>878</v>
      </c>
      <c r="G386" s="7" t="s">
        <v>873</v>
      </c>
      <c r="H386" s="8" t="str">
        <f>IFNA(VLOOKUP(F386,Driver!A:C,3,false),"")</f>
        <v>557c6317f65c1f02464d</v>
      </c>
      <c r="I386" s="9">
        <v>0.2916666666666667</v>
      </c>
      <c r="J386" s="9">
        <v>0.5833333333333334</v>
      </c>
    </row>
    <row r="387">
      <c r="A387" s="5" t="str">
        <f>IFNA(VLOOKUP(D387,'Location Table'!A:C,2,false),"")</f>
        <v>f936c402-4d4e-11ee-b7b9-506b8d9879b5</v>
      </c>
      <c r="B387" s="5" t="str">
        <f>IFNA(VLOOKUP(F387,Driver!A:C,2,false),"")</f>
        <v/>
      </c>
      <c r="C387" s="5" t="str">
        <f>IFNA(VLOOKUP(E387,'Location Table'!A:C,2,false),"")</f>
        <v/>
      </c>
      <c r="D387" s="6" t="s">
        <v>428</v>
      </c>
      <c r="E387" s="6"/>
      <c r="F387" s="10" t="s">
        <v>875</v>
      </c>
      <c r="G387" s="7" t="s">
        <v>873</v>
      </c>
      <c r="H387" s="8" t="str">
        <f>IFNA(VLOOKUP(F387,Driver!A:C,3,false),"")</f>
        <v/>
      </c>
      <c r="I387" s="9">
        <v>0.2916666666666667</v>
      </c>
      <c r="J387" s="9">
        <v>0.6875</v>
      </c>
    </row>
    <row r="388">
      <c r="A388" s="5" t="str">
        <f>IFNA(VLOOKUP(D388,'Location Table'!A:C,2,false),"")</f>
        <v>90798798-454c-11ed-b675-506b8dbc8dfb</v>
      </c>
      <c r="B388" s="5" t="str">
        <f>IFNA(VLOOKUP(F388,Driver!A:C,2,false),"")</f>
        <v/>
      </c>
      <c r="C388" s="5" t="str">
        <f>IFNA(VLOOKUP(E388,'Location Table'!A:C,2,false),"")</f>
        <v/>
      </c>
      <c r="D388" s="6" t="s">
        <v>429</v>
      </c>
      <c r="E388" s="6"/>
      <c r="F388" s="10" t="s">
        <v>875</v>
      </c>
      <c r="G388" s="7" t="s">
        <v>873</v>
      </c>
      <c r="H388" s="8" t="str">
        <f>IFNA(VLOOKUP(F388,Driver!A:C,3,false),"")</f>
        <v/>
      </c>
      <c r="I388" s="9">
        <v>0.2916666666666667</v>
      </c>
      <c r="J388" s="9">
        <v>0.6875</v>
      </c>
    </row>
    <row r="389">
      <c r="A389" s="5" t="str">
        <f>IFNA(VLOOKUP(D389,'Location Table'!A:C,2,false),"")</f>
        <v>87b6cc22-a916-11ee-9507-506b8d9879b5</v>
      </c>
      <c r="B389" s="5" t="str">
        <f>IFNA(VLOOKUP(F389,Driver!A:C,2,false),"")</f>
        <v/>
      </c>
      <c r="C389" s="5" t="str">
        <f>IFNA(VLOOKUP(E389,'Location Table'!A:C,2,false),"")</f>
        <v/>
      </c>
      <c r="D389" s="6" t="s">
        <v>430</v>
      </c>
      <c r="E389" s="6"/>
      <c r="F389" s="10" t="s">
        <v>875</v>
      </c>
      <c r="G389" s="7" t="s">
        <v>873</v>
      </c>
      <c r="H389" s="8" t="str">
        <f>IFNA(VLOOKUP(F389,Driver!A:C,3,false),"")</f>
        <v/>
      </c>
      <c r="I389" s="9">
        <v>0.2916666666666667</v>
      </c>
      <c r="J389" s="9">
        <v>0.6875</v>
      </c>
    </row>
    <row r="390" hidden="1">
      <c r="A390" s="5" t="str">
        <f>IFNA(VLOOKUP(D390,'Location Table'!A:C,2,false),"")</f>
        <v>1dbb8184-4ac4-11ed-8962-506b8dbc8dfb</v>
      </c>
      <c r="B390" s="5" t="str">
        <f>IFNA(VLOOKUP(F390,Driver!A:C,2,false),"")</f>
        <v>c34fdbc2-ea4c-11ed-a5e2-506b8dbc8dfb</v>
      </c>
      <c r="C390" s="5" t="str">
        <f>IFNA(VLOOKUP(E390,'Location Table'!A:C,2,false),"")</f>
        <v/>
      </c>
      <c r="D390" s="6" t="s">
        <v>431</v>
      </c>
      <c r="E390" s="6"/>
      <c r="F390" s="6" t="s">
        <v>335</v>
      </c>
      <c r="G390" s="7" t="s">
        <v>873</v>
      </c>
      <c r="H390" s="8" t="str">
        <f>IFNA(VLOOKUP(F390,Driver!A:C,3,false),"")</f>
        <v>671c6e0f3741de1f8750</v>
      </c>
      <c r="I390" s="9">
        <v>0.2916666666666667</v>
      </c>
      <c r="J390" s="9">
        <v>0.7916666666666666</v>
      </c>
    </row>
    <row r="391" hidden="1">
      <c r="A391" s="5" t="str">
        <f>IFNA(VLOOKUP(D391,'Location Table'!A:C,2,false),"")</f>
        <v>543998ac-f753-11ef-ab07-506b8d9879b5</v>
      </c>
      <c r="B391" s="5" t="str">
        <f>IFNA(VLOOKUP(F391,Driver!A:C,2,false),"")</f>
        <v>a2f538f8-37ce-11ed-a5cf-506b8dbc8dfb</v>
      </c>
      <c r="C391" s="5" t="str">
        <f>IFNA(VLOOKUP(E391,'Location Table'!A:C,2,false),"")</f>
        <v/>
      </c>
      <c r="D391" s="6" t="s">
        <v>432</v>
      </c>
      <c r="E391" s="6"/>
      <c r="F391" s="6" t="s">
        <v>338</v>
      </c>
      <c r="G391" s="7" t="s">
        <v>873</v>
      </c>
      <c r="H391" s="8" t="str">
        <f>IFNA(VLOOKUP(F391,Driver!A:C,3,false),"")</f>
        <v>c0d10f02724a9b14c25b</v>
      </c>
      <c r="I391" s="9">
        <v>0.2916666666666667</v>
      </c>
      <c r="J391" s="9">
        <v>0.6666666666666666</v>
      </c>
    </row>
    <row r="392">
      <c r="A392" s="5" t="str">
        <f>IFNA(VLOOKUP(D392,'Location Table'!A:C,2,false),"")</f>
        <v>ed7827b2-4621-11ed-9c75-506b8dbc8dfb</v>
      </c>
      <c r="B392" s="5" t="str">
        <f>IFNA(VLOOKUP(F392,Driver!A:C,2,false),"")</f>
        <v/>
      </c>
      <c r="C392" s="5" t="str">
        <f>IFNA(VLOOKUP(E392,'Location Table'!A:C,2,false),"")</f>
        <v/>
      </c>
      <c r="D392" s="6" t="s">
        <v>433</v>
      </c>
      <c r="E392" s="6"/>
      <c r="F392" s="10" t="s">
        <v>875</v>
      </c>
      <c r="G392" s="7" t="s">
        <v>873</v>
      </c>
      <c r="H392" s="8" t="str">
        <f>IFNA(VLOOKUP(F392,Driver!A:C,3,false),"")</f>
        <v/>
      </c>
      <c r="I392" s="9">
        <v>0.2916666666666667</v>
      </c>
      <c r="J392" s="9">
        <v>0.6875</v>
      </c>
    </row>
    <row r="393" hidden="1">
      <c r="A393" s="5" t="str">
        <f>IFNA(VLOOKUP(D393,'Location Table'!A:C,2,false),"")</f>
        <v>4f7acefe-4624-11ed-8c39-506b8dbc8dfb</v>
      </c>
      <c r="B393" s="5" t="str">
        <f>IFNA(VLOOKUP(F393,Driver!A:C,2,false),"")</f>
        <v>232be490-35a4-11ed-88b7-506b8dbc8dfb</v>
      </c>
      <c r="C393" s="5" t="str">
        <f>IFNA(VLOOKUP(E393,'Location Table'!A:C,2,false),"")</f>
        <v/>
      </c>
      <c r="D393" s="6" t="s">
        <v>434</v>
      </c>
      <c r="E393" s="6"/>
      <c r="F393" s="10" t="s">
        <v>110</v>
      </c>
      <c r="G393" s="7" t="s">
        <v>873</v>
      </c>
      <c r="H393" s="8" t="str">
        <f>IFNA(VLOOKUP(F393,Driver!A:C,3,false),"")</f>
        <v>d9fc37dd4093a9cdf082</v>
      </c>
      <c r="I393" s="9">
        <v>0.2916666666666667</v>
      </c>
      <c r="J393" s="9">
        <v>0.6666666666666666</v>
      </c>
    </row>
    <row r="394" hidden="1">
      <c r="A394" s="5" t="str">
        <f>IFNA(VLOOKUP(D394,'Location Table'!A:C,2,false),"")</f>
        <v>6b207712-4624-11ed-ace2-506b8dbc8dfb</v>
      </c>
      <c r="B394" s="5" t="str">
        <f>IFNA(VLOOKUP(F394,Driver!A:C,2,false),"")</f>
        <v>232be490-35a4-11ed-88b7-506b8dbc8dfb</v>
      </c>
      <c r="C394" s="5" t="str">
        <f>IFNA(VLOOKUP(E394,'Location Table'!A:C,2,false),"")</f>
        <v/>
      </c>
      <c r="D394" s="6" t="s">
        <v>435</v>
      </c>
      <c r="E394" s="6"/>
      <c r="F394" s="10" t="s">
        <v>110</v>
      </c>
      <c r="G394" s="7" t="s">
        <v>873</v>
      </c>
      <c r="H394" s="8" t="str">
        <f>IFNA(VLOOKUP(F394,Driver!A:C,3,false),"")</f>
        <v>d9fc37dd4093a9cdf082</v>
      </c>
      <c r="I394" s="9">
        <v>0.2916666666666667</v>
      </c>
      <c r="J394" s="9">
        <v>0.6666666666666666</v>
      </c>
    </row>
    <row r="395" hidden="1">
      <c r="A395" s="5" t="str">
        <f>IFNA(VLOOKUP(D395,'Location Table'!A:C,2,false),"")</f>
        <v>724b7d56-a0ab-11ee-bfe2-506b8d9879b5</v>
      </c>
      <c r="B395" s="5" t="str">
        <f>IFNA(VLOOKUP(F395,Driver!A:C,2,false),"")</f>
        <v>51b847ba-37cd-11ed-a5f6-506b8dbc8dfb</v>
      </c>
      <c r="C395" s="5" t="str">
        <f>IFNA(VLOOKUP(E395,'Location Table'!A:C,2,false),"")</f>
        <v/>
      </c>
      <c r="D395" s="6" t="s">
        <v>436</v>
      </c>
      <c r="E395" s="6"/>
      <c r="F395" s="6" t="s">
        <v>94</v>
      </c>
      <c r="G395" s="7" t="s">
        <v>873</v>
      </c>
      <c r="H395" s="8" t="str">
        <f>IFNA(VLOOKUP(F395,Driver!A:C,3,false),"")</f>
        <v>3d1fec9027dcce8297cd</v>
      </c>
      <c r="I395" s="9">
        <v>0.2916666666666667</v>
      </c>
      <c r="J395" s="9">
        <v>0.6666666666666666</v>
      </c>
    </row>
    <row r="396" hidden="1">
      <c r="A396" s="5" t="str">
        <f>IFNA(VLOOKUP(D396,'Location Table'!A:C,2,false),"")</f>
        <v>b52b729a-2449-11ee-8a70-506b8d9879b5</v>
      </c>
      <c r="B396" s="5" t="str">
        <f>IFNA(VLOOKUP(F396,Driver!A:C,2,false),"")</f>
        <v>cdb1dc1a-3655-11ed-a124-506b8dbc8dfb</v>
      </c>
      <c r="C396" s="5" t="str">
        <f>IFNA(VLOOKUP(E396,'Location Table'!A:C,2,false),"")</f>
        <v/>
      </c>
      <c r="D396" s="6" t="s">
        <v>437</v>
      </c>
      <c r="E396" s="6"/>
      <c r="F396" s="6" t="s">
        <v>319</v>
      </c>
      <c r="G396" s="7" t="s">
        <v>873</v>
      </c>
      <c r="H396" s="8" t="str">
        <f>IFNA(VLOOKUP(F396,Driver!A:C,3,false),"")</f>
        <v>b57751bd28f2c1ac98e3</v>
      </c>
      <c r="I396" s="9">
        <v>0.2916666666666667</v>
      </c>
      <c r="J396" s="9">
        <v>0.75</v>
      </c>
    </row>
    <row r="397" hidden="1">
      <c r="A397" s="5" t="str">
        <f>IFNA(VLOOKUP(D397,'Location Table'!A:C,2,false),"")</f>
        <v>74ba6576-270f-11ef-ae03-506b8d9879b5</v>
      </c>
      <c r="B397" s="5" t="str">
        <f>IFNA(VLOOKUP(F397,Driver!A:C,2,false),"")</f>
        <v>a9bf91b4-00e4-11f1-9378-fa163ee8d8ac</v>
      </c>
      <c r="C397" s="5" t="str">
        <f>IFNA(VLOOKUP(E397,'Location Table'!A:C,2,false),"")</f>
        <v/>
      </c>
      <c r="D397" s="6" t="s">
        <v>438</v>
      </c>
      <c r="E397" s="6"/>
      <c r="F397" s="6" t="s">
        <v>142</v>
      </c>
      <c r="G397" s="7" t="s">
        <v>873</v>
      </c>
      <c r="H397" s="8" t="str">
        <f>IFNA(VLOOKUP(F397,Driver!A:C,3,false),"")</f>
        <v/>
      </c>
      <c r="I397" s="9">
        <v>0.2916666666666667</v>
      </c>
      <c r="J397" s="9">
        <v>0.5</v>
      </c>
    </row>
    <row r="398" hidden="1">
      <c r="A398" s="5" t="str">
        <f>IFNA(VLOOKUP(D398,'Location Table'!A:C,2,false),"")</f>
        <v>a1370236-312d-11ee-9841-506b8d9879b5</v>
      </c>
      <c r="B398" s="5" t="str">
        <f>IFNA(VLOOKUP(F398,Driver!A:C,2,false),"")</f>
        <v>a2f538f8-37ce-11ed-a5cf-506b8dbc8dfb</v>
      </c>
      <c r="C398" s="5" t="str">
        <f>IFNA(VLOOKUP(E398,'Location Table'!A:C,2,false),"")</f>
        <v/>
      </c>
      <c r="D398" s="6" t="s">
        <v>439</v>
      </c>
      <c r="E398" s="6"/>
      <c r="F398" s="6" t="s">
        <v>338</v>
      </c>
      <c r="G398" s="7" t="s">
        <v>873</v>
      </c>
      <c r="H398" s="8" t="str">
        <f>IFNA(VLOOKUP(F398,Driver!A:C,3,false),"")</f>
        <v>c0d10f02724a9b14c25b</v>
      </c>
      <c r="I398" s="9">
        <v>0.2916666666666667</v>
      </c>
      <c r="J398" s="9">
        <v>0.6666666666666666</v>
      </c>
    </row>
    <row r="399" hidden="1">
      <c r="A399" s="5" t="str">
        <f>IFNA(VLOOKUP(D399,'Location Table'!A:C,2,false),"")</f>
        <v>3d99ca00-54a0-11ef-92b7-506b8d9879b5</v>
      </c>
      <c r="B399" s="5" t="str">
        <f>IFNA(VLOOKUP(F399,Driver!A:C,2,false),"")</f>
        <v>a2f538f8-37ce-11ed-a5cf-506b8dbc8dfb</v>
      </c>
      <c r="C399" s="5" t="str">
        <f>IFNA(VLOOKUP(E399,'Location Table'!A:C,2,false),"")</f>
        <v/>
      </c>
      <c r="D399" s="6" t="s">
        <v>440</v>
      </c>
      <c r="E399" s="6"/>
      <c r="F399" s="6" t="s">
        <v>338</v>
      </c>
      <c r="G399" s="7" t="s">
        <v>873</v>
      </c>
      <c r="H399" s="8" t="str">
        <f>IFNA(VLOOKUP(F399,Driver!A:C,3,false),"")</f>
        <v>c0d10f02724a9b14c25b</v>
      </c>
      <c r="I399" s="9">
        <v>0.2916666666666667</v>
      </c>
      <c r="J399" s="9">
        <v>0.6666666666666666</v>
      </c>
    </row>
    <row r="400" hidden="1">
      <c r="A400" s="5" t="str">
        <f>IFNA(VLOOKUP(D400,'Location Table'!A:C,2,false),"")</f>
        <v>afe4e912-5ffc-11ee-a935-506b8d9879b5</v>
      </c>
      <c r="B400" s="5" t="str">
        <f>IFNA(VLOOKUP(F400,Driver!A:C,2,false),"")</f>
        <v>103090f4-37c8-11ed-9333-506b8dbc8dfb</v>
      </c>
      <c r="C400" s="5" t="str">
        <f>IFNA(VLOOKUP(E400,'Location Table'!A:C,2,false),"")</f>
        <v/>
      </c>
      <c r="D400" s="6" t="s">
        <v>441</v>
      </c>
      <c r="E400" s="6"/>
      <c r="F400" s="6" t="s">
        <v>130</v>
      </c>
      <c r="G400" s="7" t="s">
        <v>873</v>
      </c>
      <c r="H400" s="8" t="str">
        <f>IFNA(VLOOKUP(F400,Driver!A:C,3,false),"")</f>
        <v>77085b30147bfd25a46a</v>
      </c>
      <c r="I400" s="9">
        <v>0.2916666666666667</v>
      </c>
      <c r="J400" s="9">
        <v>0.75</v>
      </c>
    </row>
    <row r="401" hidden="1">
      <c r="A401" s="5" t="str">
        <f>IFNA(VLOOKUP(D401,'Location Table'!A:C,2,false),"")</f>
        <v>a44407ce-7bed-11ef-b6a7-506b8d9879b5</v>
      </c>
      <c r="B401" s="5" t="str">
        <f>IFNA(VLOOKUP(F401,Driver!A:C,2,false),"")</f>
        <v>232be490-35a4-11ed-88b7-506b8dbc8dfb</v>
      </c>
      <c r="C401" s="5" t="str">
        <f>IFNA(VLOOKUP(E401,'Location Table'!A:C,2,false),"")</f>
        <v/>
      </c>
      <c r="D401" s="6" t="s">
        <v>442</v>
      </c>
      <c r="E401" s="6"/>
      <c r="F401" s="10" t="s">
        <v>110</v>
      </c>
      <c r="G401" s="7" t="s">
        <v>873</v>
      </c>
      <c r="H401" s="8" t="str">
        <f>IFNA(VLOOKUP(F401,Driver!A:C,3,false),"")</f>
        <v>d9fc37dd4093a9cdf082</v>
      </c>
      <c r="I401" s="9">
        <v>0.2916666666666667</v>
      </c>
      <c r="J401" s="9">
        <v>0.6666666666666666</v>
      </c>
    </row>
    <row r="402" hidden="1">
      <c r="A402" s="5" t="str">
        <f>IFNA(VLOOKUP(D402,'Location Table'!A:C,2,false),"")</f>
        <v>e4c438d6-27bb-11ef-b969-506b8d9879b5</v>
      </c>
      <c r="B402" s="5" t="str">
        <f>IFNA(VLOOKUP(F402,Driver!A:C,2,false),"")</f>
        <v>a2f538f8-37ce-11ed-a5cf-506b8dbc8dfb</v>
      </c>
      <c r="C402" s="5" t="str">
        <f>IFNA(VLOOKUP(E402,'Location Table'!A:C,2,false),"")</f>
        <v/>
      </c>
      <c r="D402" s="6" t="s">
        <v>443</v>
      </c>
      <c r="E402" s="6"/>
      <c r="F402" s="6" t="s">
        <v>338</v>
      </c>
      <c r="G402" s="7" t="s">
        <v>873</v>
      </c>
      <c r="H402" s="8" t="str">
        <f>IFNA(VLOOKUP(F402,Driver!A:C,3,false),"")</f>
        <v>c0d10f02724a9b14c25b</v>
      </c>
      <c r="I402" s="9">
        <v>0.2916666666666667</v>
      </c>
      <c r="J402" s="9">
        <v>0.6666666666666666</v>
      </c>
    </row>
    <row r="403" hidden="1">
      <c r="A403" s="5" t="str">
        <f>IFNA(VLOOKUP(D403,'Location Table'!A:C,2,false),"")</f>
        <v>b615381e-a3c7-11ee-9343-506b8d9879b5</v>
      </c>
      <c r="B403" s="5" t="str">
        <f>IFNA(VLOOKUP(F403,Driver!A:C,2,false),"")</f>
        <v>dff693c2-0371-11ee-90bc-506b8dbc8dfb</v>
      </c>
      <c r="C403" s="5" t="str">
        <f>IFNA(VLOOKUP(E403,'Location Table'!A:C,2,false),"")</f>
        <v/>
      </c>
      <c r="D403" s="6" t="s">
        <v>444</v>
      </c>
      <c r="E403" s="6"/>
      <c r="F403" s="10" t="s">
        <v>365</v>
      </c>
      <c r="G403" s="7" t="s">
        <v>873</v>
      </c>
      <c r="H403" s="8" t="str">
        <f>IFNA(VLOOKUP(F403,Driver!A:C,3,false),"")</f>
        <v>402ca9dc1194f8caa185</v>
      </c>
      <c r="I403" s="9">
        <v>0.2916666666666667</v>
      </c>
      <c r="J403" s="9">
        <v>0.5833333333333334</v>
      </c>
    </row>
    <row r="404" hidden="1">
      <c r="A404" s="5" t="str">
        <f>IFNA(VLOOKUP(D404,'Location Table'!A:C,2,false),"")</f>
        <v>f88dfab6-b522-11ee-bb52-506b8d9879b5</v>
      </c>
      <c r="B404" s="5" t="str">
        <f>IFNA(VLOOKUP(F404,Driver!A:C,2,false),"")</f>
        <v>222b5bca-37cf-11ed-bee5-506b8dbc8dfb</v>
      </c>
      <c r="C404" s="5" t="str">
        <f>IFNA(VLOOKUP(E404,'Location Table'!A:C,2,false),"")</f>
        <v/>
      </c>
      <c r="D404" s="6" t="s">
        <v>445</v>
      </c>
      <c r="E404" s="6"/>
      <c r="F404" s="6" t="s">
        <v>446</v>
      </c>
      <c r="G404" s="7" t="s">
        <v>873</v>
      </c>
      <c r="H404" s="8" t="str">
        <f>IFNA(VLOOKUP(F404,Driver!A:C,3,false),"")</f>
        <v>a258dbc5a48f4dd1149e</v>
      </c>
      <c r="I404" s="9">
        <v>0.2916666666666667</v>
      </c>
      <c r="J404" s="9">
        <v>0.4583333333333333</v>
      </c>
    </row>
    <row r="405" hidden="1">
      <c r="A405" s="5" t="str">
        <f>IFNA(VLOOKUP(D405,'Location Table'!A:C,2,false),"")</f>
        <v>974045e8-717f-11ee-b588-506b8d9879b5</v>
      </c>
      <c r="B405" s="5" t="str">
        <f>IFNA(VLOOKUP(F405,Driver!A:C,2,false),"")</f>
        <v>9e9376b6-37c5-11ed-a1d5-506b8dbc8dfb</v>
      </c>
      <c r="C405" s="5" t="str">
        <f>IFNA(VLOOKUP(E405,'Location Table'!A:C,2,false),"")</f>
        <v/>
      </c>
      <c r="D405" s="6" t="s">
        <v>447</v>
      </c>
      <c r="E405" s="6"/>
      <c r="F405" s="6" t="s">
        <v>350</v>
      </c>
      <c r="G405" s="7" t="s">
        <v>873</v>
      </c>
      <c r="H405" s="8" t="str">
        <f>IFNA(VLOOKUP(F405,Driver!A:C,3,false),"")</f>
        <v>26f3924da71c4e42170d</v>
      </c>
      <c r="I405" s="9">
        <v>0.2916666666666667</v>
      </c>
      <c r="J405" s="9">
        <v>0.75</v>
      </c>
    </row>
    <row r="406" hidden="1">
      <c r="A406" s="5" t="str">
        <f>IFNA(VLOOKUP(D406,'Location Table'!A:C,2,false),"")</f>
        <v>b9c5ae90-0731-11ee-a942-506b8dbc8dfb</v>
      </c>
      <c r="B406" s="5" t="str">
        <f>IFNA(VLOOKUP(F406,Driver!A:C,2,false),"")</f>
        <v>353f3686-dcc8-11f0-82b8-506b8d982279</v>
      </c>
      <c r="C406" s="5" t="str">
        <f>IFNA(VLOOKUP(E406,'Location Table'!A:C,2,false),"")</f>
        <v/>
      </c>
      <c r="D406" s="6" t="s">
        <v>448</v>
      </c>
      <c r="E406" s="6"/>
      <c r="F406" s="6" t="s">
        <v>96</v>
      </c>
      <c r="G406" s="7" t="s">
        <v>873</v>
      </c>
      <c r="H406" s="8" t="str">
        <f>IFNA(VLOOKUP(F406,Driver!A:C,3,false),"")</f>
        <v>e7ce6d37cc7f25217c6e</v>
      </c>
      <c r="I406" s="9">
        <v>0.2916666666666667</v>
      </c>
      <c r="J406" s="9">
        <v>0.75</v>
      </c>
    </row>
    <row r="407" hidden="1">
      <c r="A407" s="5" t="str">
        <f>IFNA(VLOOKUP(D407,'Location Table'!A:C,2,false),"")</f>
        <v>831f639e-9999-11ef-b44e-506b8d9879b5</v>
      </c>
      <c r="B407" s="5" t="str">
        <f>IFNA(VLOOKUP(F407,Driver!A:C,2,false),"")</f>
        <v>b74e3178-7caf-11f0-a9c3-506b8d982279</v>
      </c>
      <c r="C407" s="5" t="str">
        <f>IFNA(VLOOKUP(E407,'Location Table'!A:C,2,false),"")</f>
        <v/>
      </c>
      <c r="D407" s="6" t="s">
        <v>450</v>
      </c>
      <c r="E407" s="6"/>
      <c r="F407" s="6" t="s">
        <v>326</v>
      </c>
      <c r="G407" s="7" t="s">
        <v>873</v>
      </c>
      <c r="H407" s="8" t="str">
        <f>IFNA(VLOOKUP(F407,Driver!A:C,3,false),"")</f>
        <v>473ef1d8329bdbc5828a</v>
      </c>
      <c r="I407" s="9">
        <v>0.2916666666666667</v>
      </c>
      <c r="J407" s="9">
        <v>0.6666666666666666</v>
      </c>
    </row>
    <row r="408" hidden="1">
      <c r="A408" s="5" t="str">
        <f>IFNA(VLOOKUP(D408,'Location Table'!A:C,2,false),"")</f>
        <v>d28c2b68-87b7-11ef-9468-506b8d9879b5</v>
      </c>
      <c r="B408" s="5" t="str">
        <f>IFNA(VLOOKUP(F408,Driver!A:C,2,false),"")</f>
        <v>aa436cae-e9f3-11ef-bd94-506b8d9879b5</v>
      </c>
      <c r="C408" s="5" t="str">
        <f>IFNA(VLOOKUP(E408,'Location Table'!A:C,2,false),"")</f>
        <v/>
      </c>
      <c r="D408" s="6" t="s">
        <v>451</v>
      </c>
      <c r="E408" s="6"/>
      <c r="F408" s="6" t="s">
        <v>452</v>
      </c>
      <c r="G408" s="7" t="s">
        <v>873</v>
      </c>
      <c r="H408" s="8" t="str">
        <f>IFNA(VLOOKUP(F408,Driver!A:C,3,false),"")</f>
        <v>f07b253084796d273468</v>
      </c>
      <c r="I408" s="9">
        <v>0.2916666666666667</v>
      </c>
      <c r="J408" s="9">
        <v>0.4166666666666667</v>
      </c>
    </row>
    <row r="409" hidden="1">
      <c r="A409" s="5" t="str">
        <f>IFNA(VLOOKUP(D409,'Location Table'!A:C,2,false),"")</f>
        <v>69604404-7f9c-11ee-ac0e-506b8d9879b5</v>
      </c>
      <c r="B409" s="5" t="str">
        <f>IFNA(VLOOKUP(F409,Driver!A:C,2,false),"")</f>
        <v>a5947f58-7342-11f0-a217-506b8d982279</v>
      </c>
      <c r="C409" s="5" t="str">
        <f>IFNA(VLOOKUP(E409,'Location Table'!A:C,2,false),"")</f>
        <v/>
      </c>
      <c r="D409" s="6" t="s">
        <v>453</v>
      </c>
      <c r="E409" s="6"/>
      <c r="F409" s="6" t="s">
        <v>454</v>
      </c>
      <c r="G409" s="7" t="s">
        <v>873</v>
      </c>
      <c r="H409" s="8" t="str">
        <f>IFNA(VLOOKUP(F409,Driver!A:C,3,false),"")</f>
        <v>92652419354ddc13855c</v>
      </c>
      <c r="I409" s="9">
        <v>0.2916666666666667</v>
      </c>
      <c r="J409" s="9">
        <v>0.4166666666666667</v>
      </c>
    </row>
    <row r="410" hidden="1">
      <c r="A410" s="5" t="str">
        <f>IFNA(VLOOKUP(D410,'Location Table'!A:C,2,false),"")</f>
        <v>8da5fd32-1bea-11ef-a915-506b8d9879b5</v>
      </c>
      <c r="B410" s="5" t="str">
        <f>IFNA(VLOOKUP(F410,Driver!A:C,2,false),"")</f>
        <v>353f3686-dcc8-11f0-82b8-506b8d982279</v>
      </c>
      <c r="C410" s="5" t="str">
        <f>IFNA(VLOOKUP(E410,'Location Table'!A:C,2,false),"")</f>
        <v/>
      </c>
      <c r="D410" s="6" t="s">
        <v>455</v>
      </c>
      <c r="E410" s="6"/>
      <c r="F410" s="6" t="s">
        <v>96</v>
      </c>
      <c r="G410" s="7" t="s">
        <v>873</v>
      </c>
      <c r="H410" s="8" t="str">
        <f>IFNA(VLOOKUP(F410,Driver!A:C,3,false),"")</f>
        <v>e7ce6d37cc7f25217c6e</v>
      </c>
      <c r="I410" s="9">
        <v>0.2916666666666667</v>
      </c>
      <c r="J410" s="9">
        <v>0.75</v>
      </c>
    </row>
    <row r="411" hidden="1">
      <c r="A411" s="5" t="str">
        <f>IFNA(VLOOKUP(D411,'Location Table'!A:C,2,false),"")</f>
        <v>ba7452ba-50d1-11f0-a00e-506b8d982279</v>
      </c>
      <c r="B411" s="5" t="str">
        <f>IFNA(VLOOKUP(F411,Driver!A:C,2,false),"")</f>
        <v>222b5bca-37cf-11ed-bee5-506b8dbc8dfb</v>
      </c>
      <c r="C411" s="5" t="str">
        <f>IFNA(VLOOKUP(E411,'Location Table'!A:C,2,false),"")</f>
        <v/>
      </c>
      <c r="D411" s="6" t="s">
        <v>456</v>
      </c>
      <c r="E411" s="6"/>
      <c r="F411" s="6" t="s">
        <v>446</v>
      </c>
      <c r="G411" s="7" t="s">
        <v>873</v>
      </c>
      <c r="H411" s="8" t="str">
        <f>IFNA(VLOOKUP(F411,Driver!A:C,3,false),"")</f>
        <v>a258dbc5a48f4dd1149e</v>
      </c>
      <c r="I411" s="9">
        <v>0.2916666666666667</v>
      </c>
      <c r="J411" s="9">
        <v>0.4583333333333333</v>
      </c>
    </row>
    <row r="412" hidden="1">
      <c r="A412" s="5" t="str">
        <f>IFNA(VLOOKUP(D412,'Location Table'!A:C,2,false),"")</f>
        <v>d98568e2-c9ad-11f0-8c1e-506b8d982279</v>
      </c>
      <c r="B412" s="5" t="str">
        <f>IFNA(VLOOKUP(F412,Driver!A:C,2,false),"")</f>
        <v>51b847ba-37cd-11ed-a5f6-506b8dbc8dfb</v>
      </c>
      <c r="C412" s="5" t="str">
        <f>IFNA(VLOOKUP(E412,'Location Table'!A:C,2,false),"")</f>
        <v/>
      </c>
      <c r="D412" s="6" t="s">
        <v>457</v>
      </c>
      <c r="E412" s="6"/>
      <c r="F412" s="6" t="s">
        <v>94</v>
      </c>
      <c r="G412" s="7" t="s">
        <v>873</v>
      </c>
      <c r="H412" s="8" t="str">
        <f>IFNA(VLOOKUP(F412,Driver!A:C,3,false),"")</f>
        <v>3d1fec9027dcce8297cd</v>
      </c>
      <c r="I412" s="9">
        <v>0.2916666666666667</v>
      </c>
      <c r="J412" s="9">
        <v>0.6666666666666666</v>
      </c>
    </row>
    <row r="413" hidden="1">
      <c r="A413" s="5" t="str">
        <f>IFNA(VLOOKUP(D413,'Location Table'!A:C,2,false),"")</f>
        <v>e05dd2f2-befa-11f0-a698-506b8d982279</v>
      </c>
      <c r="B413" s="5" t="str">
        <f>IFNA(VLOOKUP(F413,Driver!A:C,2,false),"")</f>
        <v>51b847ba-37cd-11ed-a5f6-506b8dbc8dfb</v>
      </c>
      <c r="C413" s="5" t="str">
        <f>IFNA(VLOOKUP(E413,'Location Table'!A:C,2,false),"")</f>
        <v/>
      </c>
      <c r="D413" s="6" t="s">
        <v>458</v>
      </c>
      <c r="E413" s="6"/>
      <c r="F413" s="6" t="s">
        <v>94</v>
      </c>
      <c r="G413" s="7" t="s">
        <v>873</v>
      </c>
      <c r="H413" s="8" t="str">
        <f>IFNA(VLOOKUP(F413,Driver!A:C,3,false),"")</f>
        <v>3d1fec9027dcce8297cd</v>
      </c>
      <c r="I413" s="9">
        <v>0.2916666666666667</v>
      </c>
      <c r="J413" s="9">
        <v>0.6666666666666666</v>
      </c>
    </row>
    <row r="414" hidden="1">
      <c r="A414" s="5" t="str">
        <f>IFNA(VLOOKUP(D414,'Location Table'!A:C,2,false),"")</f>
        <v>3a019f18-8590-11f0-83a8-506b8d982279</v>
      </c>
      <c r="B414" s="5" t="str">
        <f>IFNA(VLOOKUP(F414,Driver!A:C,2,false),"")</f>
        <v>ee94ca62-729f-11f0-8cd5-506b8d982279</v>
      </c>
      <c r="C414" s="5" t="str">
        <f>IFNA(VLOOKUP(E414,'Location Table'!A:C,2,false),"")</f>
        <v/>
      </c>
      <c r="D414" s="6" t="s">
        <v>459</v>
      </c>
      <c r="E414" s="6"/>
      <c r="F414" s="6" t="s">
        <v>104</v>
      </c>
      <c r="G414" s="7" t="s">
        <v>873</v>
      </c>
      <c r="H414" s="8" t="str">
        <f>IFNA(VLOOKUP(F414,Driver!A:C,3,false),"")</f>
        <v>f4d2e910814c6812315d</v>
      </c>
      <c r="I414" s="9">
        <v>0.2916666666666667</v>
      </c>
      <c r="J414" s="9">
        <v>0.75</v>
      </c>
    </row>
    <row r="415" hidden="1">
      <c r="A415" s="5" t="str">
        <f>IFNA(VLOOKUP(D415,'Location Table'!A:C,2,false),"")</f>
        <v>b0b197ac-bea4-11ef-8ee7-506b8d9879b5</v>
      </c>
      <c r="B415" s="5" t="str">
        <f>IFNA(VLOOKUP(F415,Driver!A:C,2,false),"")</f>
        <v>b74e3178-7caf-11f0-a9c3-506b8d982279</v>
      </c>
      <c r="C415" s="5" t="str">
        <f>IFNA(VLOOKUP(E415,'Location Table'!A:C,2,false),"")</f>
        <v/>
      </c>
      <c r="D415" s="6" t="s">
        <v>460</v>
      </c>
      <c r="E415" s="6"/>
      <c r="F415" s="6" t="s">
        <v>326</v>
      </c>
      <c r="G415" s="7" t="s">
        <v>873</v>
      </c>
      <c r="H415" s="8" t="str">
        <f>IFNA(VLOOKUP(F415,Driver!A:C,3,false),"")</f>
        <v>473ef1d8329bdbc5828a</v>
      </c>
      <c r="I415" s="9">
        <v>0.2916666666666667</v>
      </c>
      <c r="J415" s="9">
        <v>0.6666666666666666</v>
      </c>
    </row>
    <row r="416" hidden="1">
      <c r="A416" s="5" t="str">
        <f>IFNA(VLOOKUP(D416,'Location Table'!A:C,2,false),"")</f>
        <v>6a0525ea-669c-11ef-9bd6-506b8d9879b5</v>
      </c>
      <c r="B416" s="5" t="str">
        <f>IFNA(VLOOKUP(F416,Driver!A:C,2,false),"")</f>
        <v>f5993946-37cf-11ed-a3fc-506b8dbc8dfb</v>
      </c>
      <c r="C416" s="5" t="str">
        <f>IFNA(VLOOKUP(E416,'Location Table'!A:C,2,false),"")</f>
        <v/>
      </c>
      <c r="D416" s="6" t="s">
        <v>461</v>
      </c>
      <c r="E416" s="6"/>
      <c r="F416" s="6" t="s">
        <v>314</v>
      </c>
      <c r="G416" s="7" t="s">
        <v>873</v>
      </c>
      <c r="H416" s="8" t="str">
        <f>IFNA(VLOOKUP(F416,Driver!A:C,3,false),"")</f>
        <v/>
      </c>
      <c r="I416" s="9">
        <v>0.2916666666666667</v>
      </c>
      <c r="J416" s="9">
        <v>0.6666666666666666</v>
      </c>
    </row>
    <row r="417" hidden="1">
      <c r="A417" s="5" t="str">
        <f>IFNA(VLOOKUP(D417,'Location Table'!A:C,2,false),"")</f>
        <v>87c8718a-4548-11ed-9a79-506b8dbc8dfb</v>
      </c>
      <c r="B417" s="5" t="str">
        <f>IFNA(VLOOKUP(F417,Driver!A:C,2,false),"")</f>
        <v>f580f2a4-1966-11ee-a4c6-506b8d9879b5</v>
      </c>
      <c r="C417" s="5" t="str">
        <f>IFNA(VLOOKUP(E417,'Location Table'!A:C,2,false),"")</f>
        <v/>
      </c>
      <c r="D417" s="6" t="s">
        <v>462</v>
      </c>
      <c r="E417" s="6"/>
      <c r="F417" s="6" t="s">
        <v>878</v>
      </c>
      <c r="G417" s="7" t="s">
        <v>873</v>
      </c>
      <c r="H417" s="8" t="str">
        <f>IFNA(VLOOKUP(F417,Driver!A:C,3,false),"")</f>
        <v>557c6317f65c1f02464d</v>
      </c>
      <c r="I417" s="9">
        <v>0.2916666666666667</v>
      </c>
      <c r="J417" s="9">
        <v>0.5833333333333334</v>
      </c>
    </row>
    <row r="418" hidden="1">
      <c r="A418" s="5" t="str">
        <f>IFNA(VLOOKUP(D418,'Location Table'!A:C,2,false),"")</f>
        <v>3537446e-15a4-11ee-bf00-506b8dbc8dfb</v>
      </c>
      <c r="B418" s="5" t="str">
        <f>IFNA(VLOOKUP(F418,Driver!A:C,2,false),"")</f>
        <v>b74e3178-7caf-11f0-a9c3-506b8d982279</v>
      </c>
      <c r="C418" s="5" t="str">
        <f>IFNA(VLOOKUP(E418,'Location Table'!A:C,2,false),"")</f>
        <v/>
      </c>
      <c r="D418" s="6" t="s">
        <v>463</v>
      </c>
      <c r="E418" s="6"/>
      <c r="F418" s="6" t="s">
        <v>326</v>
      </c>
      <c r="G418" s="7" t="s">
        <v>873</v>
      </c>
      <c r="H418" s="8" t="str">
        <f>IFNA(VLOOKUP(F418,Driver!A:C,3,false),"")</f>
        <v>473ef1d8329bdbc5828a</v>
      </c>
      <c r="I418" s="9">
        <v>0.2916666666666667</v>
      </c>
      <c r="J418" s="9">
        <v>0.6666666666666666</v>
      </c>
    </row>
    <row r="419" hidden="1">
      <c r="A419" s="5" t="str">
        <f>IFNA(VLOOKUP(D419,'Location Table'!A:C,2,false),"")</f>
        <v>544395bc-a191-11f0-8165-506b8d982279</v>
      </c>
      <c r="B419" s="5" t="str">
        <f>IFNA(VLOOKUP(F419,Driver!A:C,2,false),"")</f>
        <v>51b847ba-37cd-11ed-a5f6-506b8dbc8dfb</v>
      </c>
      <c r="C419" s="5" t="str">
        <f>IFNA(VLOOKUP(E419,'Location Table'!A:C,2,false),"")</f>
        <v/>
      </c>
      <c r="D419" s="6" t="s">
        <v>464</v>
      </c>
      <c r="E419" s="6"/>
      <c r="F419" s="6" t="s">
        <v>94</v>
      </c>
      <c r="G419" s="7" t="s">
        <v>873</v>
      </c>
      <c r="H419" s="8" t="str">
        <f>IFNA(VLOOKUP(F419,Driver!A:C,3,false),"")</f>
        <v>3d1fec9027dcce8297cd</v>
      </c>
      <c r="I419" s="9">
        <v>0.2916666666666667</v>
      </c>
      <c r="J419" s="9">
        <v>0.6666666666666666</v>
      </c>
    </row>
    <row r="420" hidden="1">
      <c r="A420" s="5" t="str">
        <f>IFNA(VLOOKUP(D420,'Location Table'!A:C,2,false),"")</f>
        <v>0f249710-bc37-11ee-a241-506b8d9879b5</v>
      </c>
      <c r="B420" s="5" t="str">
        <f>IFNA(VLOOKUP(F420,Driver!A:C,2,false),"")</f>
        <v>f5993946-37cf-11ed-a3fc-506b8dbc8dfb</v>
      </c>
      <c r="C420" s="5" t="str">
        <f>IFNA(VLOOKUP(E420,'Location Table'!A:C,2,false),"")</f>
        <v/>
      </c>
      <c r="D420" s="6" t="s">
        <v>465</v>
      </c>
      <c r="E420" s="6"/>
      <c r="F420" s="6" t="s">
        <v>314</v>
      </c>
      <c r="G420" s="7" t="s">
        <v>873</v>
      </c>
      <c r="H420" s="8" t="str">
        <f>IFNA(VLOOKUP(F420,Driver!A:C,3,false),"")</f>
        <v/>
      </c>
      <c r="I420" s="9">
        <v>0.2916666666666667</v>
      </c>
      <c r="J420" s="9">
        <v>0.6666666666666666</v>
      </c>
    </row>
    <row r="421" hidden="1">
      <c r="A421" s="5" t="str">
        <f>IFNA(VLOOKUP(D421,'Location Table'!A:C,2,false),"")</f>
        <v>4a2a0bca-776f-11f0-84a1-506b8d982279</v>
      </c>
      <c r="B421" s="5" t="str">
        <f>IFNA(VLOOKUP(F421,Driver!A:C,2,false),"")</f>
        <v>b2c9b066-9445-11f0-b1db-506b8d982279</v>
      </c>
      <c r="C421" s="5" t="str">
        <f>IFNA(VLOOKUP(E421,'Location Table'!A:C,2,false),"")</f>
        <v/>
      </c>
      <c r="D421" s="6" t="s">
        <v>466</v>
      </c>
      <c r="E421" s="6"/>
      <c r="F421" s="6" t="s">
        <v>874</v>
      </c>
      <c r="G421" s="7" t="s">
        <v>873</v>
      </c>
      <c r="H421" s="8" t="str">
        <f>IFNA(VLOOKUP(F421,Driver!A:C,3,false),"")</f>
        <v>59fa514f510cb852e11d</v>
      </c>
      <c r="I421" s="9">
        <v>0.2916666666666667</v>
      </c>
      <c r="J421" s="9">
        <v>0.75</v>
      </c>
    </row>
    <row r="422" hidden="1">
      <c r="A422" s="5" t="str">
        <f>IFNA(VLOOKUP(D422,'Location Table'!A:C,2,false),"")</f>
        <v>2a66cc5e-1594-11ee-bea6-506b8dbc8dfb</v>
      </c>
      <c r="B422" s="5" t="str">
        <f>IFNA(VLOOKUP(F422,Driver!A:C,2,false),"")</f>
        <v>c2cc021a-35a3-11ed-bd3c-506b8dbc8dfb</v>
      </c>
      <c r="C422" s="5" t="str">
        <f>IFNA(VLOOKUP(E422,'Location Table'!A:C,2,false),"")</f>
        <v/>
      </c>
      <c r="D422" s="6" t="s">
        <v>467</v>
      </c>
      <c r="E422" s="6"/>
      <c r="F422" s="6" t="s">
        <v>468</v>
      </c>
      <c r="G422" s="7" t="s">
        <v>873</v>
      </c>
      <c r="H422" s="8" t="str">
        <f>IFNA(VLOOKUP(F422,Driver!A:C,3,false),"")</f>
        <v>859d14288b6b62353b7a</v>
      </c>
      <c r="I422" s="9">
        <v>0.2916666666666667</v>
      </c>
      <c r="J422" s="9">
        <v>0.5833333333333334</v>
      </c>
    </row>
    <row r="423" hidden="1">
      <c r="A423" s="5" t="str">
        <f>IFNA(VLOOKUP(D423,'Location Table'!A:C,2,false),"")</f>
        <v>0d52804c-95b1-11ef-a68d-506b8d9879b5</v>
      </c>
      <c r="B423" s="5" t="str">
        <f>IFNA(VLOOKUP(F423,Driver!A:C,2,false),"")</f>
        <v>f61678a4-3656-11ed-9310-506b8dbc8dfb</v>
      </c>
      <c r="C423" s="5" t="str">
        <f>IFNA(VLOOKUP(E423,'Location Table'!A:C,2,false),"")</f>
        <v/>
      </c>
      <c r="D423" s="6" t="s">
        <v>469</v>
      </c>
      <c r="E423" s="6"/>
      <c r="F423" s="6" t="s">
        <v>470</v>
      </c>
      <c r="G423" s="7" t="s">
        <v>873</v>
      </c>
      <c r="H423" s="8" t="str">
        <f>IFNA(VLOOKUP(F423,Driver!A:C,3,false),"")</f>
        <v>551b71e8ffa616f84fb7</v>
      </c>
      <c r="I423" s="9">
        <v>0.4166666666666667</v>
      </c>
      <c r="J423" s="9">
        <v>0.75</v>
      </c>
    </row>
    <row r="424" hidden="1">
      <c r="A424" s="5" t="str">
        <f>IFNA(VLOOKUP(D424,'Location Table'!A:C,2,false),"")</f>
        <v>ec4bb76e-8b76-11ee-909c-506b8d9879b5</v>
      </c>
      <c r="B424" s="5" t="str">
        <f>IFNA(VLOOKUP(F424,Driver!A:C,2,false),"")</f>
        <v>b2c9b066-9445-11f0-b1db-506b8d982279</v>
      </c>
      <c r="C424" s="5" t="str">
        <f>IFNA(VLOOKUP(E424,'Location Table'!A:C,2,false),"")</f>
        <v/>
      </c>
      <c r="D424" s="6" t="s">
        <v>471</v>
      </c>
      <c r="E424" s="6"/>
      <c r="F424" s="6" t="s">
        <v>874</v>
      </c>
      <c r="G424" s="7" t="s">
        <v>873</v>
      </c>
      <c r="H424" s="8" t="str">
        <f>IFNA(VLOOKUP(F424,Driver!A:C,3,false),"")</f>
        <v>59fa514f510cb852e11d</v>
      </c>
      <c r="I424" s="9">
        <v>0.2916666666666667</v>
      </c>
      <c r="J424" s="9">
        <v>0.75</v>
      </c>
    </row>
    <row r="425" hidden="1">
      <c r="A425" s="5" t="str">
        <f>IFNA(VLOOKUP(D425,'Location Table'!A:C,2,false),"")</f>
        <v>1c2f6a70-14c1-11ee-aef1-506b8dbc8dfb</v>
      </c>
      <c r="B425" s="5" t="str">
        <f>IFNA(VLOOKUP(F425,Driver!A:C,2,false),"")</f>
        <v>a01fefe6-3653-11ed-8128-506b8dbc8dfb</v>
      </c>
      <c r="C425" s="5" t="str">
        <f>IFNA(VLOOKUP(E425,'Location Table'!A:C,2,false),"")</f>
        <v/>
      </c>
      <c r="D425" s="6" t="s">
        <v>472</v>
      </c>
      <c r="E425" s="6"/>
      <c r="F425" s="6" t="s">
        <v>128</v>
      </c>
      <c r="G425" s="7" t="s">
        <v>873</v>
      </c>
      <c r="H425" s="8" t="str">
        <f>IFNA(VLOOKUP(F425,Driver!A:C,3,false),"")</f>
        <v/>
      </c>
      <c r="I425" s="9">
        <v>0.2916666666666667</v>
      </c>
      <c r="J425" s="9">
        <v>0.5</v>
      </c>
    </row>
    <row r="426" hidden="1">
      <c r="A426" s="5" t="str">
        <f>IFNA(VLOOKUP(D426,'Location Table'!A:C,2,false),"")</f>
        <v>3c422a6c-2e3e-11f0-88f0-506b8d982279</v>
      </c>
      <c r="B426" s="5" t="str">
        <f>IFNA(VLOOKUP(F426,Driver!A:C,2,false),"")</f>
        <v>a01fefe6-3653-11ed-8128-506b8dbc8dfb</v>
      </c>
      <c r="C426" s="5" t="str">
        <f>IFNA(VLOOKUP(E426,'Location Table'!A:C,2,false),"")</f>
        <v/>
      </c>
      <c r="D426" s="6" t="s">
        <v>473</v>
      </c>
      <c r="E426" s="6"/>
      <c r="F426" s="6" t="s">
        <v>128</v>
      </c>
      <c r="G426" s="7" t="s">
        <v>873</v>
      </c>
      <c r="H426" s="8" t="str">
        <f>IFNA(VLOOKUP(F426,Driver!A:C,3,false),"")</f>
        <v/>
      </c>
      <c r="I426" s="9">
        <v>0.2916666666666667</v>
      </c>
      <c r="J426" s="9">
        <v>0.5</v>
      </c>
    </row>
    <row r="427" hidden="1">
      <c r="A427" s="5" t="str">
        <f>IFNA(VLOOKUP(D427,'Location Table'!A:C,2,false),"")</f>
        <v>c543ce02-051c-11ef-9692-506b8d9879b5</v>
      </c>
      <c r="B427" s="5" t="str">
        <f>IFNA(VLOOKUP(F427,Driver!A:C,2,false),"")</f>
        <v>a9bf91b4-00e4-11f1-9378-fa163ee8d8ac</v>
      </c>
      <c r="C427" s="5" t="str">
        <f>IFNA(VLOOKUP(E427,'Location Table'!A:C,2,false),"")</f>
        <v/>
      </c>
      <c r="D427" s="6" t="s">
        <v>474</v>
      </c>
      <c r="E427" s="6"/>
      <c r="F427" s="6" t="s">
        <v>142</v>
      </c>
      <c r="G427" s="7" t="s">
        <v>873</v>
      </c>
      <c r="H427" s="8" t="str">
        <f>IFNA(VLOOKUP(F427,Driver!A:C,3,false),"")</f>
        <v/>
      </c>
      <c r="I427" s="9">
        <v>0.2916666666666667</v>
      </c>
      <c r="J427" s="9">
        <v>0.5</v>
      </c>
    </row>
    <row r="428" hidden="1">
      <c r="A428" s="5" t="str">
        <f>IFNA(VLOOKUP(D428,'Location Table'!A:C,2,false),"")</f>
        <v>865f5ec8-a16f-11ef-9efd-506b8d9879b5</v>
      </c>
      <c r="B428" s="5" t="str">
        <f>IFNA(VLOOKUP(F428,Driver!A:C,2,false),"")</f>
        <v>a01fefe6-3653-11ed-8128-506b8dbc8dfb</v>
      </c>
      <c r="C428" s="5" t="str">
        <f>IFNA(VLOOKUP(E428,'Location Table'!A:C,2,false),"")</f>
        <v/>
      </c>
      <c r="D428" s="6" t="s">
        <v>475</v>
      </c>
      <c r="E428" s="6"/>
      <c r="F428" s="6" t="s">
        <v>128</v>
      </c>
      <c r="G428" s="7" t="s">
        <v>873</v>
      </c>
      <c r="H428" s="8" t="str">
        <f>IFNA(VLOOKUP(F428,Driver!A:C,3,false),"")</f>
        <v/>
      </c>
      <c r="I428" s="9">
        <v>0.2916666666666667</v>
      </c>
      <c r="J428" s="9">
        <v>0.5</v>
      </c>
    </row>
    <row r="429" hidden="1">
      <c r="A429" s="5" t="str">
        <f>IFNA(VLOOKUP(D429,'Location Table'!A:C,2,false),"")</f>
        <v>a152221e-1c74-11ee-a1ed-506b8d9879b5</v>
      </c>
      <c r="B429" s="5" t="str">
        <f>IFNA(VLOOKUP(F429,Driver!A:C,2,false),"")</f>
        <v>a01fefe6-3653-11ed-8128-506b8dbc8dfb</v>
      </c>
      <c r="C429" s="5" t="str">
        <f>IFNA(VLOOKUP(E429,'Location Table'!A:C,2,false),"")</f>
        <v/>
      </c>
      <c r="D429" s="6" t="s">
        <v>476</v>
      </c>
      <c r="E429" s="6"/>
      <c r="F429" s="6" t="s">
        <v>128</v>
      </c>
      <c r="G429" s="7" t="s">
        <v>873</v>
      </c>
      <c r="H429" s="8" t="str">
        <f>IFNA(VLOOKUP(F429,Driver!A:C,3,false),"")</f>
        <v/>
      </c>
      <c r="I429" s="9">
        <v>0.2916666666666667</v>
      </c>
      <c r="J429" s="9">
        <v>0.5</v>
      </c>
    </row>
    <row r="430" hidden="1">
      <c r="A430" s="5" t="str">
        <f>IFNA(VLOOKUP(D430,'Location Table'!A:C,2,false),"")</f>
        <v>348b9524-c034-11ef-9e8b-506b8d9879b5</v>
      </c>
      <c r="B430" s="5" t="str">
        <f>IFNA(VLOOKUP(F430,Driver!A:C,2,false),"")</f>
        <v>a9bf91b4-00e4-11f1-9378-fa163ee8d8ac</v>
      </c>
      <c r="C430" s="5" t="str">
        <f>IFNA(VLOOKUP(E430,'Location Table'!A:C,2,false),"")</f>
        <v/>
      </c>
      <c r="D430" s="6" t="s">
        <v>477</v>
      </c>
      <c r="E430" s="6"/>
      <c r="F430" s="6" t="s">
        <v>142</v>
      </c>
      <c r="G430" s="7" t="s">
        <v>873</v>
      </c>
      <c r="H430" s="8" t="str">
        <f>IFNA(VLOOKUP(F430,Driver!A:C,3,false),"")</f>
        <v/>
      </c>
      <c r="I430" s="9">
        <v>0.2916666666666667</v>
      </c>
      <c r="J430" s="9">
        <v>0.5</v>
      </c>
    </row>
    <row r="431" hidden="1">
      <c r="A431" s="5" t="str">
        <f>IFNA(VLOOKUP(D431,'Location Table'!A:C,2,false),"")</f>
        <v>25a3a9f6-5a22-11f0-8592-506b8d982279</v>
      </c>
      <c r="B431" s="5" t="str">
        <f>IFNA(VLOOKUP(F431,Driver!A:C,2,false),"")</f>
        <v>a9bf91b4-00e4-11f1-9378-fa163ee8d8ac</v>
      </c>
      <c r="C431" s="5" t="str">
        <f>IFNA(VLOOKUP(E431,'Location Table'!A:C,2,false),"")</f>
        <v/>
      </c>
      <c r="D431" s="6" t="s">
        <v>478</v>
      </c>
      <c r="E431" s="6"/>
      <c r="F431" s="6" t="s">
        <v>142</v>
      </c>
      <c r="G431" s="7" t="s">
        <v>873</v>
      </c>
      <c r="H431" s="8" t="str">
        <f>IFNA(VLOOKUP(F431,Driver!A:C,3,false),"")</f>
        <v/>
      </c>
      <c r="I431" s="9">
        <v>0.2916666666666667</v>
      </c>
      <c r="J431" s="9">
        <v>0.5</v>
      </c>
    </row>
    <row r="432" hidden="1">
      <c r="A432" s="5" t="str">
        <f>IFNA(VLOOKUP(D432,'Location Table'!A:C,2,false),"")</f>
        <v>9d84404a-766d-11f0-9777-506b8d982279</v>
      </c>
      <c r="B432" s="5" t="str">
        <f>IFNA(VLOOKUP(F432,Driver!A:C,2,false),"")</f>
        <v>232be490-35a4-11ed-88b7-506b8dbc8dfb</v>
      </c>
      <c r="C432" s="5" t="str">
        <f>IFNA(VLOOKUP(E432,'Location Table'!A:C,2,false),"")</f>
        <v/>
      </c>
      <c r="D432" s="6" t="s">
        <v>479</v>
      </c>
      <c r="E432" s="6"/>
      <c r="F432" s="10" t="s">
        <v>110</v>
      </c>
      <c r="G432" s="7" t="s">
        <v>873</v>
      </c>
      <c r="H432" s="8" t="str">
        <f>IFNA(VLOOKUP(F432,Driver!A:C,3,false),"")</f>
        <v>d9fc37dd4093a9cdf082</v>
      </c>
      <c r="I432" s="9">
        <v>0.2916666666666667</v>
      </c>
      <c r="J432" s="9">
        <v>0.6666666666666666</v>
      </c>
    </row>
    <row r="433" hidden="1">
      <c r="A433" s="5" t="str">
        <f>IFNA(VLOOKUP(D433,'Location Table'!A:C,2,false),"")</f>
        <v>d220372a-71ed-11f0-a7df-506b8d982279</v>
      </c>
      <c r="B433" s="5" t="str">
        <f>IFNA(VLOOKUP(F433,Driver!A:C,2,false),"")</f>
        <v>232be490-35a4-11ed-88b7-506b8dbc8dfb</v>
      </c>
      <c r="C433" s="5" t="str">
        <f>IFNA(VLOOKUP(E433,'Location Table'!A:C,2,false),"")</f>
        <v/>
      </c>
      <c r="D433" s="6" t="s">
        <v>480</v>
      </c>
      <c r="E433" s="6"/>
      <c r="F433" s="10" t="s">
        <v>110</v>
      </c>
      <c r="G433" s="7" t="s">
        <v>873</v>
      </c>
      <c r="H433" s="8" t="str">
        <f>IFNA(VLOOKUP(F433,Driver!A:C,3,false),"")</f>
        <v>d9fc37dd4093a9cdf082</v>
      </c>
      <c r="I433" s="9">
        <v>0.2916666666666667</v>
      </c>
      <c r="J433" s="9">
        <v>0.6666666666666666</v>
      </c>
    </row>
    <row r="434" hidden="1">
      <c r="A434" s="5" t="str">
        <f>IFNA(VLOOKUP(D434,'Location Table'!A:C,2,false),"")</f>
        <v>9e804122-4a03-11ed-a843-506b8dbc8dfb</v>
      </c>
      <c r="B434" s="5" t="str">
        <f>IFNA(VLOOKUP(F434,Driver!A:C,2,false),"")</f>
        <v>232be490-35a4-11ed-88b7-506b8dbc8dfb</v>
      </c>
      <c r="C434" s="5" t="str">
        <f>IFNA(VLOOKUP(E434,'Location Table'!A:C,2,false),"")</f>
        <v/>
      </c>
      <c r="D434" s="6" t="s">
        <v>481</v>
      </c>
      <c r="E434" s="6"/>
      <c r="F434" s="10" t="s">
        <v>110</v>
      </c>
      <c r="G434" s="7" t="s">
        <v>873</v>
      </c>
      <c r="H434" s="8" t="str">
        <f>IFNA(VLOOKUP(F434,Driver!A:C,3,false),"")</f>
        <v>d9fc37dd4093a9cdf082</v>
      </c>
      <c r="I434" s="9">
        <v>0.2916666666666667</v>
      </c>
      <c r="J434" s="9">
        <v>0.6666666666666666</v>
      </c>
    </row>
    <row r="435" hidden="1">
      <c r="A435" s="5" t="str">
        <f>IFNA(VLOOKUP(D435,'Location Table'!A:C,2,false),"")</f>
        <v>b4d7bbf4-2d3f-11f0-9f74-506b8d982279</v>
      </c>
      <c r="B435" s="5" t="str">
        <f>IFNA(VLOOKUP(F435,Driver!A:C,2,false),"")</f>
        <v>232be490-35a4-11ed-88b7-506b8dbc8dfb</v>
      </c>
      <c r="C435" s="5" t="str">
        <f>IFNA(VLOOKUP(E435,'Location Table'!A:C,2,false),"")</f>
        <v/>
      </c>
      <c r="D435" s="6" t="s">
        <v>482</v>
      </c>
      <c r="E435" s="6"/>
      <c r="F435" s="10" t="s">
        <v>110</v>
      </c>
      <c r="G435" s="7" t="s">
        <v>873</v>
      </c>
      <c r="H435" s="8" t="str">
        <f>IFNA(VLOOKUP(F435,Driver!A:C,3,false),"")</f>
        <v>d9fc37dd4093a9cdf082</v>
      </c>
      <c r="I435" s="9">
        <v>0.2916666666666667</v>
      </c>
      <c r="J435" s="9">
        <v>0.6666666666666666</v>
      </c>
    </row>
    <row r="436" hidden="1">
      <c r="A436" s="5" t="str">
        <f>IFNA(VLOOKUP(D436,'Location Table'!A:C,2,false),"")</f>
        <v>86916f9c-f378-11f0-9378-fa163ee8d8ac</v>
      </c>
      <c r="B436" s="5" t="str">
        <f>IFNA(VLOOKUP(F436,Driver!A:C,2,false),"")</f>
        <v>232be490-35a4-11ed-88b7-506b8dbc8dfb</v>
      </c>
      <c r="C436" s="5" t="str">
        <f>IFNA(VLOOKUP(E436,'Location Table'!A:C,2,false),"")</f>
        <v/>
      </c>
      <c r="D436" s="6" t="s">
        <v>483</v>
      </c>
      <c r="E436" s="6"/>
      <c r="F436" s="10" t="s">
        <v>110</v>
      </c>
      <c r="G436" s="7" t="s">
        <v>873</v>
      </c>
      <c r="H436" s="8" t="str">
        <f>IFNA(VLOOKUP(F436,Driver!A:C,3,false),"")</f>
        <v>d9fc37dd4093a9cdf082</v>
      </c>
      <c r="I436" s="9">
        <v>0.2916666666666667</v>
      </c>
      <c r="J436" s="9">
        <v>0.6666666666666666</v>
      </c>
    </row>
    <row r="437" hidden="1">
      <c r="A437" s="5" t="str">
        <f>IFNA(VLOOKUP(D437,'Location Table'!A:C,2,false),"")</f>
        <v>3a86599e-127f-11f0-a16b-506b8d982279</v>
      </c>
      <c r="B437" s="5" t="str">
        <f>IFNA(VLOOKUP(F437,Driver!A:C,2,false),"")</f>
        <v>232be490-35a4-11ed-88b7-506b8dbc8dfb</v>
      </c>
      <c r="C437" s="5" t="str">
        <f>IFNA(VLOOKUP(E437,'Location Table'!A:C,2,false),"")</f>
        <v/>
      </c>
      <c r="D437" s="6" t="s">
        <v>484</v>
      </c>
      <c r="E437" s="6"/>
      <c r="F437" s="10" t="s">
        <v>110</v>
      </c>
      <c r="G437" s="7" t="s">
        <v>873</v>
      </c>
      <c r="H437" s="8" t="str">
        <f>IFNA(VLOOKUP(F437,Driver!A:C,3,false),"")</f>
        <v>d9fc37dd4093a9cdf082</v>
      </c>
      <c r="I437" s="9">
        <v>0.2916666666666667</v>
      </c>
      <c r="J437" s="9">
        <v>0.6666666666666666</v>
      </c>
    </row>
    <row r="438" hidden="1">
      <c r="A438" s="5" t="str">
        <f>IFNA(VLOOKUP(D438,'Location Table'!A:C,2,false),"")</f>
        <v>5c78d8c6-887a-11f0-92fa-506b8d982279</v>
      </c>
      <c r="B438" s="5" t="str">
        <f>IFNA(VLOOKUP(F438,Driver!A:C,2,false),"")</f>
        <v>232be490-35a4-11ed-88b7-506b8dbc8dfb</v>
      </c>
      <c r="C438" s="5" t="str">
        <f>IFNA(VLOOKUP(E438,'Location Table'!A:C,2,false),"")</f>
        <v/>
      </c>
      <c r="D438" s="6" t="s">
        <v>485</v>
      </c>
      <c r="E438" s="6"/>
      <c r="F438" s="10" t="s">
        <v>110</v>
      </c>
      <c r="G438" s="7" t="s">
        <v>873</v>
      </c>
      <c r="H438" s="8" t="str">
        <f>IFNA(VLOOKUP(F438,Driver!A:C,3,false),"")</f>
        <v>d9fc37dd4093a9cdf082</v>
      </c>
      <c r="I438" s="9">
        <v>0.2916666666666667</v>
      </c>
      <c r="J438" s="9">
        <v>0.6666666666666666</v>
      </c>
    </row>
    <row r="439" hidden="1">
      <c r="A439" s="5" t="str">
        <f>IFNA(VLOOKUP(D439,'Location Table'!A:C,2,false),"")</f>
        <v>b9c0d130-65e5-11f0-afb8-506b8d982279</v>
      </c>
      <c r="B439" s="5" t="str">
        <f>IFNA(VLOOKUP(F439,Driver!A:C,2,false),"")</f>
        <v>232be490-35a4-11ed-88b7-506b8dbc8dfb</v>
      </c>
      <c r="C439" s="5" t="str">
        <f>IFNA(VLOOKUP(E439,'Location Table'!A:C,2,false),"")</f>
        <v/>
      </c>
      <c r="D439" s="6" t="s">
        <v>486</v>
      </c>
      <c r="E439" s="6"/>
      <c r="F439" s="10" t="s">
        <v>110</v>
      </c>
      <c r="G439" s="7" t="s">
        <v>873</v>
      </c>
      <c r="H439" s="8" t="str">
        <f>IFNA(VLOOKUP(F439,Driver!A:C,3,false),"")</f>
        <v>d9fc37dd4093a9cdf082</v>
      </c>
      <c r="I439" s="9">
        <v>0.2916666666666667</v>
      </c>
      <c r="J439" s="9">
        <v>0.6666666666666666</v>
      </c>
    </row>
    <row r="440" hidden="1">
      <c r="A440" s="5" t="str">
        <f>IFNA(VLOOKUP(D440,'Location Table'!A:C,2,false),"")</f>
        <v>8b214fbe-cb29-11ef-adf4-506b8d9879b5</v>
      </c>
      <c r="B440" s="5" t="str">
        <f>IFNA(VLOOKUP(F440,Driver!A:C,2,false),"")</f>
        <v>232be490-35a4-11ed-88b7-506b8dbc8dfb</v>
      </c>
      <c r="C440" s="5" t="str">
        <f>IFNA(VLOOKUP(E440,'Location Table'!A:C,2,false),"")</f>
        <v/>
      </c>
      <c r="D440" s="6" t="s">
        <v>487</v>
      </c>
      <c r="E440" s="6"/>
      <c r="F440" s="10" t="s">
        <v>110</v>
      </c>
      <c r="G440" s="7" t="s">
        <v>873</v>
      </c>
      <c r="H440" s="8" t="str">
        <f>IFNA(VLOOKUP(F440,Driver!A:C,3,false),"")</f>
        <v>d9fc37dd4093a9cdf082</v>
      </c>
      <c r="I440" s="9">
        <v>0.2916666666666667</v>
      </c>
      <c r="J440" s="9">
        <v>0.6666666666666666</v>
      </c>
    </row>
    <row r="441" hidden="1">
      <c r="A441" s="5" t="str">
        <f>IFNA(VLOOKUP(D441,'Location Table'!A:C,2,false),"")</f>
        <v>043ae9d6-2be8-11f0-82f9-506b8d982279</v>
      </c>
      <c r="B441" s="5" t="str">
        <f>IFNA(VLOOKUP(F441,Driver!A:C,2,false),"")</f>
        <v>232be490-35a4-11ed-88b7-506b8dbc8dfb</v>
      </c>
      <c r="C441" s="5" t="str">
        <f>IFNA(VLOOKUP(E441,'Location Table'!A:C,2,false),"")</f>
        <v/>
      </c>
      <c r="D441" s="6" t="s">
        <v>488</v>
      </c>
      <c r="E441" s="6"/>
      <c r="F441" s="10" t="s">
        <v>110</v>
      </c>
      <c r="G441" s="7" t="s">
        <v>873</v>
      </c>
      <c r="H441" s="8" t="str">
        <f>IFNA(VLOOKUP(F441,Driver!A:C,3,false),"")</f>
        <v>d9fc37dd4093a9cdf082</v>
      </c>
      <c r="I441" s="9">
        <v>0.2916666666666667</v>
      </c>
      <c r="J441" s="9">
        <v>0.6666666666666666</v>
      </c>
    </row>
    <row r="442" hidden="1">
      <c r="A442" s="5" t="str">
        <f>IFNA(VLOOKUP(D442,'Location Table'!A:C,2,false),"")</f>
        <v>d2229a02-c02f-11f0-951d-506b8d982279</v>
      </c>
      <c r="B442" s="5" t="str">
        <f>IFNA(VLOOKUP(F442,Driver!A:C,2,false),"")</f>
        <v>a01fefe6-3653-11ed-8128-506b8dbc8dfb</v>
      </c>
      <c r="C442" s="5" t="str">
        <f>IFNA(VLOOKUP(E442,'Location Table'!A:C,2,false),"")</f>
        <v/>
      </c>
      <c r="D442" s="6" t="s">
        <v>489</v>
      </c>
      <c r="E442" s="6"/>
      <c r="F442" s="6" t="s">
        <v>128</v>
      </c>
      <c r="G442" s="7" t="s">
        <v>873</v>
      </c>
      <c r="H442" s="8" t="str">
        <f>IFNA(VLOOKUP(F442,Driver!A:C,3,false),"")</f>
        <v/>
      </c>
      <c r="I442" s="9">
        <v>0.2916666666666667</v>
      </c>
      <c r="J442" s="9">
        <v>0.5</v>
      </c>
    </row>
    <row r="443" hidden="1">
      <c r="A443" s="5" t="str">
        <f>IFNA(VLOOKUP(D443,'Location Table'!A:C,2,false),"")</f>
        <v>c53f193c-f73e-11f0-9378-fa163ee8d8ac</v>
      </c>
      <c r="B443" s="5" t="str">
        <f>IFNA(VLOOKUP(F443,Driver!A:C,2,false),"")</f>
        <v>232be490-35a4-11ed-88b7-506b8dbc8dfb</v>
      </c>
      <c r="C443" s="5" t="str">
        <f>IFNA(VLOOKUP(E443,'Location Table'!A:C,2,false),"")</f>
        <v/>
      </c>
      <c r="D443" s="6" t="s">
        <v>490</v>
      </c>
      <c r="E443" s="6"/>
      <c r="F443" s="10" t="s">
        <v>110</v>
      </c>
      <c r="G443" s="7" t="s">
        <v>873</v>
      </c>
      <c r="H443" s="8" t="str">
        <f>IFNA(VLOOKUP(F443,Driver!A:C,3,false),"")</f>
        <v>d9fc37dd4093a9cdf082</v>
      </c>
      <c r="I443" s="9">
        <v>0.2916666666666667</v>
      </c>
      <c r="J443" s="9">
        <v>0.6666666666666666</v>
      </c>
    </row>
    <row r="444" hidden="1">
      <c r="A444" s="5" t="str">
        <f>IFNA(VLOOKUP(D444,'Location Table'!A:C,2,false),"")</f>
        <v>4e6db408-85b7-11ee-8c15-506b8d9879b5</v>
      </c>
      <c r="B444" s="5" t="str">
        <f>IFNA(VLOOKUP(F444,Driver!A:C,2,false),"")</f>
        <v>232be490-35a4-11ed-88b7-506b8dbc8dfb</v>
      </c>
      <c r="C444" s="5" t="str">
        <f>IFNA(VLOOKUP(E444,'Location Table'!A:C,2,false),"")</f>
        <v/>
      </c>
      <c r="D444" s="6" t="s">
        <v>491</v>
      </c>
      <c r="E444" s="6"/>
      <c r="F444" s="10" t="s">
        <v>110</v>
      </c>
      <c r="G444" s="7" t="s">
        <v>873</v>
      </c>
      <c r="H444" s="8" t="str">
        <f>IFNA(VLOOKUP(F444,Driver!A:C,3,false),"")</f>
        <v>d9fc37dd4093a9cdf082</v>
      </c>
      <c r="I444" s="9">
        <v>0.2916666666666667</v>
      </c>
      <c r="J444" s="9">
        <v>0.6666666666666666</v>
      </c>
    </row>
    <row r="445" hidden="1">
      <c r="A445" s="5" t="str">
        <f>IFNA(VLOOKUP(D445,'Location Table'!A:C,2,false),"")</f>
        <v>7137d374-94d4-11ef-bdaf-506b8d9879b5</v>
      </c>
      <c r="B445" s="5" t="str">
        <f>IFNA(VLOOKUP(F445,Driver!A:C,2,false),"")</f>
        <v>232be490-35a4-11ed-88b7-506b8dbc8dfb</v>
      </c>
      <c r="C445" s="5" t="str">
        <f>IFNA(VLOOKUP(E445,'Location Table'!A:C,2,false),"")</f>
        <v/>
      </c>
      <c r="D445" s="6" t="s">
        <v>492</v>
      </c>
      <c r="E445" s="6"/>
      <c r="F445" s="10" t="s">
        <v>110</v>
      </c>
      <c r="G445" s="7" t="s">
        <v>873</v>
      </c>
      <c r="H445" s="8" t="str">
        <f>IFNA(VLOOKUP(F445,Driver!A:C,3,false),"")</f>
        <v>d9fc37dd4093a9cdf082</v>
      </c>
      <c r="I445" s="9">
        <v>0.2916666666666667</v>
      </c>
      <c r="J445" s="9">
        <v>0.6666666666666666</v>
      </c>
    </row>
    <row r="446" hidden="1">
      <c r="A446" s="5" t="str">
        <f>IFNA(VLOOKUP(D446,'Location Table'!A:C,2,false),"")</f>
        <v>7b081f0c-442b-11ef-9ff8-506b8d9879b5</v>
      </c>
      <c r="B446" s="5" t="str">
        <f>IFNA(VLOOKUP(F446,Driver!A:C,2,false),"")</f>
        <v>660cb676-e32e-11ed-9e6c-506b8dbc8dfb</v>
      </c>
      <c r="C446" s="5" t="str">
        <f>IFNA(VLOOKUP(E446,'Location Table'!A:C,2,false),"")</f>
        <v/>
      </c>
      <c r="D446" s="6" t="s">
        <v>493</v>
      </c>
      <c r="E446" s="6"/>
      <c r="F446" s="6" t="s">
        <v>494</v>
      </c>
      <c r="G446" s="7" t="s">
        <v>873</v>
      </c>
      <c r="H446" s="8" t="str">
        <f>IFNA(VLOOKUP(F446,Driver!A:C,3,false),"")</f>
        <v>656e49d39f9a76c42f8b</v>
      </c>
      <c r="I446" s="9">
        <v>0.2916666666666667</v>
      </c>
      <c r="J446" s="9">
        <v>0.75</v>
      </c>
    </row>
    <row r="447" hidden="1">
      <c r="A447" s="5" t="str">
        <f>IFNA(VLOOKUP(D447,'Location Table'!A:C,2,false),"")</f>
        <v>c7059358-2b0c-11f0-967c-506b8d982279</v>
      </c>
      <c r="B447" s="5" t="str">
        <f>IFNA(VLOOKUP(F447,Driver!A:C,2,false),"")</f>
        <v>a9bf91b4-00e4-11f1-9378-fa163ee8d8ac</v>
      </c>
      <c r="C447" s="5" t="str">
        <f>IFNA(VLOOKUP(E447,'Location Table'!A:C,2,false),"")</f>
        <v/>
      </c>
      <c r="D447" s="6" t="s">
        <v>495</v>
      </c>
      <c r="E447" s="6"/>
      <c r="F447" s="6" t="s">
        <v>142</v>
      </c>
      <c r="G447" s="7" t="s">
        <v>873</v>
      </c>
      <c r="H447" s="8" t="str">
        <f>IFNA(VLOOKUP(F447,Driver!A:C,3,false),"")</f>
        <v/>
      </c>
      <c r="I447" s="9">
        <v>0.2916666666666667</v>
      </c>
      <c r="J447" s="9">
        <v>0.5</v>
      </c>
    </row>
    <row r="448" hidden="1">
      <c r="A448" s="5" t="str">
        <f>IFNA(VLOOKUP(D448,'Location Table'!A:C,2,false),"")</f>
        <v>51bfb168-446f-11ed-888f-506b8dbc8dfb</v>
      </c>
      <c r="B448" s="5" t="str">
        <f>IFNA(VLOOKUP(F448,Driver!A:C,2,false),"")</f>
        <v>222b5bca-37cf-11ed-bee5-506b8dbc8dfb</v>
      </c>
      <c r="C448" s="5" t="str">
        <f>IFNA(VLOOKUP(E448,'Location Table'!A:C,2,false),"")</f>
        <v/>
      </c>
      <c r="D448" s="6" t="s">
        <v>496</v>
      </c>
      <c r="E448" s="6"/>
      <c r="F448" s="6" t="s">
        <v>446</v>
      </c>
      <c r="G448" s="7" t="s">
        <v>873</v>
      </c>
      <c r="H448" s="8" t="str">
        <f>IFNA(VLOOKUP(F448,Driver!A:C,3,false),"")</f>
        <v>a258dbc5a48f4dd1149e</v>
      </c>
      <c r="I448" s="9">
        <v>0.2916666666666667</v>
      </c>
      <c r="J448" s="9">
        <v>0.5</v>
      </c>
    </row>
    <row r="449" hidden="1">
      <c r="A449" s="5" t="str">
        <f>IFNA(VLOOKUP(D449,'Location Table'!A:C,2,false),"")</f>
        <v>43db0062-1e38-11ef-b952-506b8d9879b5</v>
      </c>
      <c r="B449" s="5" t="str">
        <f>IFNA(VLOOKUP(F449,Driver!A:C,2,false),"")</f>
        <v>1163ad80-d96e-11f0-b637-506b8d982279</v>
      </c>
      <c r="C449" s="5" t="str">
        <f>IFNA(VLOOKUP(E449,'Location Table'!A:C,2,false),"")</f>
        <v/>
      </c>
      <c r="D449" s="6" t="s">
        <v>497</v>
      </c>
      <c r="E449" s="6"/>
      <c r="F449" s="6" t="s">
        <v>498</v>
      </c>
      <c r="G449" s="7" t="s">
        <v>873</v>
      </c>
      <c r="H449" s="8" t="str">
        <f>IFNA(VLOOKUP(F449,Driver!A:C,3,false),"")</f>
        <v>76599ccdde8e37d06e9f</v>
      </c>
      <c r="I449" s="9">
        <v>0.2916666666666667</v>
      </c>
      <c r="J449" s="9">
        <v>0.75</v>
      </c>
    </row>
    <row r="450" hidden="1">
      <c r="A450" s="5" t="str">
        <f>IFNA(VLOOKUP(D450,'Location Table'!A:C,2,false),"")</f>
        <v>8fcd43b2-52dd-11ee-ac1e-506b8d9879b5</v>
      </c>
      <c r="B450" s="5" t="str">
        <f>IFNA(VLOOKUP(F450,Driver!A:C,2,false),"")</f>
        <v>a9bf91b4-00e4-11f1-9378-fa163ee8d8ac</v>
      </c>
      <c r="C450" s="5" t="str">
        <f>IFNA(VLOOKUP(E450,'Location Table'!A:C,2,false),"")</f>
        <v/>
      </c>
      <c r="D450" s="6" t="s">
        <v>499</v>
      </c>
      <c r="E450" s="6"/>
      <c r="F450" s="6" t="s">
        <v>142</v>
      </c>
      <c r="G450" s="7" t="s">
        <v>873</v>
      </c>
      <c r="H450" s="8" t="str">
        <f>IFNA(VLOOKUP(F450,Driver!A:C,3,false),"")</f>
        <v/>
      </c>
      <c r="I450" s="9">
        <v>0.2916666666666667</v>
      </c>
      <c r="J450" s="9">
        <v>0.5</v>
      </c>
    </row>
    <row r="451" hidden="1">
      <c r="A451" s="5" t="str">
        <f>IFNA(VLOOKUP(D451,'Location Table'!A:C,2,false),"")</f>
        <v>6aec0b28-c8f2-11ef-a575-506b8d9879b5</v>
      </c>
      <c r="B451" s="5" t="str">
        <f>IFNA(VLOOKUP(F451,Driver!A:C,2,false),"")</f>
        <v>a9bf91b4-00e4-11f1-9378-fa163ee8d8ac</v>
      </c>
      <c r="C451" s="5" t="str">
        <f>IFNA(VLOOKUP(E451,'Location Table'!A:C,2,false),"")</f>
        <v/>
      </c>
      <c r="D451" s="6" t="s">
        <v>500</v>
      </c>
      <c r="E451" s="6"/>
      <c r="F451" s="6" t="s">
        <v>142</v>
      </c>
      <c r="G451" s="7" t="s">
        <v>873</v>
      </c>
      <c r="H451" s="8" t="str">
        <f>IFNA(VLOOKUP(F451,Driver!A:C,3,false),"")</f>
        <v/>
      </c>
      <c r="I451" s="9">
        <v>0.2916666666666667</v>
      </c>
      <c r="J451" s="9">
        <v>0.5</v>
      </c>
    </row>
    <row r="452" hidden="1">
      <c r="A452" s="5" t="str">
        <f>IFNA(VLOOKUP(D452,'Location Table'!A:C,2,false),"")</f>
        <v>7565eee6-ba77-11ee-bbec-506b8d9879b5</v>
      </c>
      <c r="B452" s="5" t="str">
        <f>IFNA(VLOOKUP(F452,Driver!A:C,2,false),"")</f>
        <v>103090f4-37c8-11ed-9333-506b8dbc8dfb</v>
      </c>
      <c r="C452" s="5" t="str">
        <f>IFNA(VLOOKUP(E452,'Location Table'!A:C,2,false),"")</f>
        <v/>
      </c>
      <c r="D452" s="6" t="s">
        <v>501</v>
      </c>
      <c r="E452" s="6"/>
      <c r="F452" s="6" t="s">
        <v>130</v>
      </c>
      <c r="G452" s="7" t="s">
        <v>873</v>
      </c>
      <c r="H452" s="8" t="str">
        <f>IFNA(VLOOKUP(F452,Driver!A:C,3,false),"")</f>
        <v>77085b30147bfd25a46a</v>
      </c>
      <c r="I452" s="9">
        <v>0.2916666666666667</v>
      </c>
      <c r="J452" s="9">
        <v>0.75</v>
      </c>
    </row>
    <row r="453" hidden="1">
      <c r="A453" s="5" t="str">
        <f>IFNA(VLOOKUP(D453,'Location Table'!A:C,2,false),"")</f>
        <v>12b8540a-a008-11f0-a6d4-506b8d982279</v>
      </c>
      <c r="B453" s="5" t="str">
        <f>IFNA(VLOOKUP(F453,Driver!A:C,2,false),"")</f>
        <v>f0937694-37c7-11ed-a013-506b8dbc8dfb</v>
      </c>
      <c r="C453" s="5" t="str">
        <f>IFNA(VLOOKUP(E453,'Location Table'!A:C,2,false),"")</f>
        <v/>
      </c>
      <c r="D453" s="6" t="s">
        <v>502</v>
      </c>
      <c r="E453" s="6"/>
      <c r="F453" s="6" t="s">
        <v>503</v>
      </c>
      <c r="G453" s="7" t="s">
        <v>873</v>
      </c>
      <c r="H453" s="8" t="str">
        <f>IFNA(VLOOKUP(F453,Driver!A:C,3,false),"")</f>
        <v/>
      </c>
      <c r="I453" s="9">
        <v>0.2916666666666667</v>
      </c>
      <c r="J453" s="9">
        <v>0.5</v>
      </c>
    </row>
    <row r="454" hidden="1">
      <c r="A454" s="5" t="str">
        <f>IFNA(VLOOKUP(D454,'Location Table'!A:C,2,false),"")</f>
        <v>6f11bae4-b894-11f0-954c-506b8d982279</v>
      </c>
      <c r="B454" s="5" t="str">
        <f>IFNA(VLOOKUP(F454,Driver!A:C,2,false),"")</f>
        <v>f0937694-37c7-11ed-a013-506b8dbc8dfb</v>
      </c>
      <c r="C454" s="5" t="str">
        <f>IFNA(VLOOKUP(E454,'Location Table'!A:C,2,false),"")</f>
        <v/>
      </c>
      <c r="D454" s="6" t="s">
        <v>504</v>
      </c>
      <c r="E454" s="6"/>
      <c r="F454" s="6" t="s">
        <v>503</v>
      </c>
      <c r="G454" s="7" t="s">
        <v>873</v>
      </c>
      <c r="H454" s="8" t="str">
        <f>IFNA(VLOOKUP(F454,Driver!A:C,3,false),"")</f>
        <v/>
      </c>
      <c r="I454" s="9">
        <v>0.2916666666666667</v>
      </c>
      <c r="J454" s="9">
        <v>0.5</v>
      </c>
    </row>
    <row r="455" hidden="1">
      <c r="A455" s="5" t="str">
        <f>IFNA(VLOOKUP(D455,'Location Table'!A:C,2,false),"")</f>
        <v>6c9c33de-8745-11ee-98f4-506b8d9879b5</v>
      </c>
      <c r="B455" s="5" t="str">
        <f>IFNA(VLOOKUP(F455,Driver!A:C,2,false),"")</f>
        <v>a9bf91b4-00e4-11f1-9378-fa163ee8d8ac</v>
      </c>
      <c r="C455" s="5" t="str">
        <f>IFNA(VLOOKUP(E455,'Location Table'!A:C,2,false),"")</f>
        <v/>
      </c>
      <c r="D455" s="6" t="s">
        <v>505</v>
      </c>
      <c r="E455" s="6"/>
      <c r="F455" s="6" t="s">
        <v>142</v>
      </c>
      <c r="G455" s="7" t="s">
        <v>873</v>
      </c>
      <c r="H455" s="8" t="str">
        <f>IFNA(VLOOKUP(F455,Driver!A:C,3,false),"")</f>
        <v/>
      </c>
      <c r="I455" s="9">
        <v>0.2916666666666667</v>
      </c>
      <c r="J455" s="9">
        <v>0.5</v>
      </c>
    </row>
    <row r="456" hidden="1">
      <c r="A456" s="5" t="str">
        <f>IFNA(VLOOKUP(D456,'Location Table'!A:C,2,false),"")</f>
        <v>b5eb7202-4542-11ed-b44a-506b8dbc8dfb</v>
      </c>
      <c r="B456" s="5" t="str">
        <f>IFNA(VLOOKUP(F456,Driver!A:C,2,false),"")</f>
        <v>f5993946-37cf-11ed-a3fc-506b8dbc8dfb</v>
      </c>
      <c r="C456" s="5" t="str">
        <f>IFNA(VLOOKUP(E456,'Location Table'!A:C,2,false),"")</f>
        <v/>
      </c>
      <c r="D456" s="6" t="s">
        <v>506</v>
      </c>
      <c r="E456" s="6"/>
      <c r="F456" s="6" t="s">
        <v>314</v>
      </c>
      <c r="G456" s="7" t="s">
        <v>873</v>
      </c>
      <c r="H456" s="8" t="str">
        <f>IFNA(VLOOKUP(F456,Driver!A:C,3,false),"")</f>
        <v/>
      </c>
      <c r="I456" s="9">
        <v>0.2916666666666667</v>
      </c>
      <c r="J456" s="9">
        <v>0.6666666666666666</v>
      </c>
    </row>
    <row r="457" hidden="1">
      <c r="A457" s="5" t="str">
        <f>IFNA(VLOOKUP(D457,'Location Table'!A:C,2,false),"")</f>
        <v>f70ce146-a9b5-11f0-b361-506b8d982279</v>
      </c>
      <c r="B457" s="5" t="str">
        <f>IFNA(VLOOKUP(F457,Driver!A:C,2,false),"")</f>
        <v/>
      </c>
      <c r="C457" s="5" t="str">
        <f>IFNA(VLOOKUP(E457,'Location Table'!A:C,2,false),"")</f>
        <v/>
      </c>
      <c r="D457" s="6" t="s">
        <v>507</v>
      </c>
      <c r="E457" s="6"/>
      <c r="F457" s="6" t="s">
        <v>877</v>
      </c>
      <c r="G457" s="7" t="s">
        <v>873</v>
      </c>
      <c r="H457" s="8" t="str">
        <f>IFNA(VLOOKUP(F457,Driver!A:C,3,false),"")</f>
        <v/>
      </c>
      <c r="I457" s="9">
        <v>0.25</v>
      </c>
      <c r="J457" s="9">
        <v>0.4583333333333333</v>
      </c>
    </row>
    <row r="458" hidden="1">
      <c r="A458" s="5" t="str">
        <f>IFNA(VLOOKUP(D458,'Location Table'!A:C,2,false),"")</f>
        <v>ab7abd4e-8ec0-11f0-8996-506b8d982279</v>
      </c>
      <c r="B458" s="5" t="str">
        <f>IFNA(VLOOKUP(F458,Driver!A:C,2,false),"")</f>
        <v>f580f2a4-1966-11ee-a4c6-506b8d9879b5</v>
      </c>
      <c r="C458" s="5" t="str">
        <f>IFNA(VLOOKUP(E458,'Location Table'!A:C,2,false),"")</f>
        <v/>
      </c>
      <c r="D458" s="6" t="s">
        <v>508</v>
      </c>
      <c r="E458" s="6"/>
      <c r="F458" s="6" t="s">
        <v>878</v>
      </c>
      <c r="G458" s="7" t="s">
        <v>873</v>
      </c>
      <c r="H458" s="8" t="str">
        <f>IFNA(VLOOKUP(F458,Driver!A:C,3,false),"")</f>
        <v>557c6317f65c1f02464d</v>
      </c>
      <c r="I458" s="9">
        <v>0.2916666666666667</v>
      </c>
      <c r="J458" s="9">
        <v>0.5833333333333334</v>
      </c>
    </row>
    <row r="459" hidden="1">
      <c r="A459" s="5" t="str">
        <f>IFNA(VLOOKUP(D459,'Location Table'!A:C,2,false),"")</f>
        <v>67c52c1c-f248-11ee-a75f-506b8d9879b5</v>
      </c>
      <c r="B459" s="5" t="str">
        <f>IFNA(VLOOKUP(F459,Driver!A:C,2,false),"")</f>
        <v>c1149922-ecea-11ef-a670-506b8d9879b5</v>
      </c>
      <c r="C459" s="5" t="str">
        <f>IFNA(VLOOKUP(E459,'Location Table'!A:C,2,false),"")</f>
        <v/>
      </c>
      <c r="D459" s="6" t="s">
        <v>201</v>
      </c>
      <c r="E459" s="6"/>
      <c r="F459" s="6" t="s">
        <v>509</v>
      </c>
      <c r="G459" s="7" t="s">
        <v>873</v>
      </c>
      <c r="H459" s="8" t="str">
        <f>IFNA(VLOOKUP(F459,Driver!A:C,3,false),"")</f>
        <v/>
      </c>
      <c r="I459" s="9">
        <v>0.6666666666666666</v>
      </c>
      <c r="J459" s="9">
        <v>0.7916666666666666</v>
      </c>
    </row>
    <row r="460" hidden="1">
      <c r="A460" s="5" t="str">
        <f>IFNA(VLOOKUP(D460,'Location Table'!A:C,2,false),"")</f>
        <v>08b826b6-938d-11ef-911f-506b8d9879b5</v>
      </c>
      <c r="B460" s="5" t="str">
        <f>IFNA(VLOOKUP(F460,Driver!A:C,2,false),"")</f>
        <v>f3cef536-7671-11f0-84d2-506b8d982279</v>
      </c>
      <c r="C460" s="5" t="str">
        <f>IFNA(VLOOKUP(E460,'Location Table'!A:C,2,false),"")</f>
        <v/>
      </c>
      <c r="D460" s="6" t="s">
        <v>245</v>
      </c>
      <c r="E460" s="6"/>
      <c r="F460" s="6" t="s">
        <v>112</v>
      </c>
      <c r="G460" s="7" t="s">
        <v>873</v>
      </c>
      <c r="H460" s="8" t="str">
        <f>IFNA(VLOOKUP(F460,Driver!A:C,3,false),"")</f>
        <v/>
      </c>
      <c r="I460" s="9">
        <v>0.4583333333333333</v>
      </c>
      <c r="J460" s="9">
        <v>0.8333333333333334</v>
      </c>
    </row>
    <row r="461" hidden="1">
      <c r="A461" s="5" t="str">
        <f>IFNA(VLOOKUP(D461,'Location Table'!A:C,2,false),"")</f>
        <v>d9e8fcd4-48f5-11ef-86ca-506b8d9879b5</v>
      </c>
      <c r="B461" s="5" t="str">
        <f>IFNA(VLOOKUP(F461,Driver!A:C,2,false),"")</f>
        <v>f3cef536-7671-11f0-84d2-506b8d982279</v>
      </c>
      <c r="C461" s="5" t="str">
        <f>IFNA(VLOOKUP(E461,'Location Table'!A:C,2,false),"")</f>
        <v/>
      </c>
      <c r="D461" s="6" t="s">
        <v>247</v>
      </c>
      <c r="E461" s="6"/>
      <c r="F461" s="6" t="s">
        <v>112</v>
      </c>
      <c r="G461" s="7" t="s">
        <v>873</v>
      </c>
      <c r="H461" s="8" t="str">
        <f>IFNA(VLOOKUP(F461,Driver!A:C,3,false),"")</f>
        <v/>
      </c>
      <c r="I461" s="9">
        <v>0.4583333333333333</v>
      </c>
      <c r="J461" s="9">
        <v>0.8333333333333334</v>
      </c>
    </row>
    <row r="462" hidden="1">
      <c r="A462" s="5" t="str">
        <f>IFNA(VLOOKUP(D462,'Location Table'!A:C,2,false),"")</f>
        <v>86fbb8bc-a919-11ee-abe3-506b8d9879b5</v>
      </c>
      <c r="B462" s="5" t="str">
        <f>IFNA(VLOOKUP(F462,Driver!A:C,2,false),"")</f>
        <v>f3cef536-7671-11f0-84d2-506b8d982279</v>
      </c>
      <c r="C462" s="5" t="str">
        <f>IFNA(VLOOKUP(E462,'Location Table'!A:C,2,false),"")</f>
        <v/>
      </c>
      <c r="D462" s="6" t="s">
        <v>248</v>
      </c>
      <c r="E462" s="6"/>
      <c r="F462" s="6" t="s">
        <v>112</v>
      </c>
      <c r="G462" s="7" t="s">
        <v>873</v>
      </c>
      <c r="H462" s="8" t="str">
        <f>IFNA(VLOOKUP(F462,Driver!A:C,3,false),"")</f>
        <v/>
      </c>
      <c r="I462" s="9">
        <v>0.4583333333333333</v>
      </c>
      <c r="J462" s="9">
        <v>0.8333333333333334</v>
      </c>
    </row>
    <row r="463" hidden="1">
      <c r="A463" s="5" t="str">
        <f>IFNA(VLOOKUP(D463,'Location Table'!A:C,2,false),"")</f>
        <v>ff38cebe-2c19-11ee-9481-506b8d9879b5</v>
      </c>
      <c r="B463" s="5" t="str">
        <f>IFNA(VLOOKUP(F463,Driver!A:C,2,false),"")</f>
        <v>f3cef536-7671-11f0-84d2-506b8d982279</v>
      </c>
      <c r="C463" s="5" t="str">
        <f>IFNA(VLOOKUP(E463,'Location Table'!A:C,2,false),"")</f>
        <v/>
      </c>
      <c r="D463" s="6" t="s">
        <v>249</v>
      </c>
      <c r="E463" s="6"/>
      <c r="F463" s="6" t="s">
        <v>112</v>
      </c>
      <c r="G463" s="7" t="s">
        <v>873</v>
      </c>
      <c r="H463" s="8" t="str">
        <f>IFNA(VLOOKUP(F463,Driver!A:C,3,false),"")</f>
        <v/>
      </c>
      <c r="I463" s="9">
        <v>0.4583333333333333</v>
      </c>
      <c r="J463" s="9">
        <v>0.8333333333333334</v>
      </c>
    </row>
    <row r="464" hidden="1">
      <c r="A464" s="5" t="str">
        <f>IFNA(VLOOKUP(D464,'Location Table'!A:C,2,false),"")</f>
        <v>7db8159c-8e53-11ee-8ddf-506b8d9879b5</v>
      </c>
      <c r="B464" s="5" t="str">
        <f>IFNA(VLOOKUP(F464,Driver!A:C,2,false),"")</f>
        <v>f3cef536-7671-11f0-84d2-506b8d982279</v>
      </c>
      <c r="C464" s="5" t="str">
        <f>IFNA(VLOOKUP(E464,'Location Table'!A:C,2,false),"")</f>
        <v/>
      </c>
      <c r="D464" s="6" t="s">
        <v>250</v>
      </c>
      <c r="E464" s="6"/>
      <c r="F464" s="6" t="s">
        <v>112</v>
      </c>
      <c r="G464" s="7" t="s">
        <v>873</v>
      </c>
      <c r="H464" s="8" t="str">
        <f>IFNA(VLOOKUP(F464,Driver!A:C,3,false),"")</f>
        <v/>
      </c>
      <c r="I464" s="9">
        <v>0.4583333333333333</v>
      </c>
      <c r="J464" s="9">
        <v>0.8333333333333334</v>
      </c>
    </row>
    <row r="465" hidden="1">
      <c r="A465" s="5" t="str">
        <f>IFNA(VLOOKUP(D465,'Location Table'!A:C,2,false),"")</f>
        <v>289fdcc2-7573-11ef-964f-506b8d9879b5</v>
      </c>
      <c r="B465" s="5" t="str">
        <f>IFNA(VLOOKUP(F465,Driver!A:C,2,false),"")</f>
        <v>f3cef536-7671-11f0-84d2-506b8d982279</v>
      </c>
      <c r="C465" s="5" t="str">
        <f>IFNA(VLOOKUP(E465,'Location Table'!A:C,2,false),"")</f>
        <v/>
      </c>
      <c r="D465" s="6" t="s">
        <v>251</v>
      </c>
      <c r="E465" s="6"/>
      <c r="F465" s="6" t="s">
        <v>112</v>
      </c>
      <c r="G465" s="7" t="s">
        <v>873</v>
      </c>
      <c r="H465" s="8" t="str">
        <f>IFNA(VLOOKUP(F465,Driver!A:C,3,false),"")</f>
        <v/>
      </c>
      <c r="I465" s="9">
        <v>0.4583333333333333</v>
      </c>
      <c r="J465" s="9">
        <v>0.8333333333333334</v>
      </c>
    </row>
    <row r="466" hidden="1">
      <c r="A466" s="5" t="str">
        <f>IFNA(VLOOKUP(D466,'Location Table'!A:C,2,false),"")</f>
        <v>7c7323ba-ec19-11ee-9b92-506b8d9879b5</v>
      </c>
      <c r="B466" s="5" t="str">
        <f>IFNA(VLOOKUP(F466,Driver!A:C,2,false),"")</f>
        <v>f3cef536-7671-11f0-84d2-506b8d982279</v>
      </c>
      <c r="C466" s="5" t="str">
        <f>IFNA(VLOOKUP(E466,'Location Table'!A:C,2,false),"")</f>
        <v/>
      </c>
      <c r="D466" s="6" t="s">
        <v>252</v>
      </c>
      <c r="E466" s="6"/>
      <c r="F466" s="6" t="s">
        <v>112</v>
      </c>
      <c r="G466" s="7" t="s">
        <v>873</v>
      </c>
      <c r="H466" s="8" t="str">
        <f>IFNA(VLOOKUP(F466,Driver!A:C,3,false),"")</f>
        <v/>
      </c>
      <c r="I466" s="9">
        <v>0.4583333333333333</v>
      </c>
      <c r="J466" s="9">
        <v>0.8333333333333334</v>
      </c>
    </row>
    <row r="467" hidden="1">
      <c r="A467" s="5" t="str">
        <f>IFNA(VLOOKUP(D467,'Location Table'!A:C,2,false),"")</f>
        <v>12435506-ed6d-11ed-babc-506b8dbc8dfb</v>
      </c>
      <c r="B467" s="5" t="str">
        <f>IFNA(VLOOKUP(F467,Driver!A:C,2,false),"")</f>
        <v>f3cef536-7671-11f0-84d2-506b8d982279</v>
      </c>
      <c r="C467" s="5" t="str">
        <f>IFNA(VLOOKUP(E467,'Location Table'!A:C,2,false),"")</f>
        <v/>
      </c>
      <c r="D467" s="6" t="s">
        <v>253</v>
      </c>
      <c r="E467" s="6"/>
      <c r="F467" s="6" t="s">
        <v>112</v>
      </c>
      <c r="G467" s="7" t="s">
        <v>873</v>
      </c>
      <c r="H467" s="8" t="str">
        <f>IFNA(VLOOKUP(F467,Driver!A:C,3,false),"")</f>
        <v/>
      </c>
      <c r="I467" s="9">
        <v>0.4583333333333333</v>
      </c>
      <c r="J467" s="9">
        <v>0.8333333333333334</v>
      </c>
    </row>
    <row r="468" hidden="1">
      <c r="A468" s="5" t="str">
        <f>IFNA(VLOOKUP(D468,'Location Table'!A:C,2,false),"")</f>
        <v>8cdac450-1498-11ee-af35-506b8dbc8dfb</v>
      </c>
      <c r="B468" s="5" t="str">
        <f>IFNA(VLOOKUP(F468,Driver!A:C,2,false),"")</f>
        <v>f3cef536-7671-11f0-84d2-506b8d982279</v>
      </c>
      <c r="C468" s="5" t="str">
        <f>IFNA(VLOOKUP(E468,'Location Table'!A:C,2,false),"")</f>
        <v/>
      </c>
      <c r="D468" s="6" t="s">
        <v>254</v>
      </c>
      <c r="E468" s="6"/>
      <c r="F468" s="6" t="s">
        <v>112</v>
      </c>
      <c r="G468" s="7" t="s">
        <v>873</v>
      </c>
      <c r="H468" s="8" t="str">
        <f>IFNA(VLOOKUP(F468,Driver!A:C,3,false),"")</f>
        <v/>
      </c>
      <c r="I468" s="9">
        <v>0.4583333333333333</v>
      </c>
      <c r="J468" s="9">
        <v>0.8333333333333334</v>
      </c>
    </row>
    <row r="469" hidden="1">
      <c r="A469" s="5" t="str">
        <f>IFNA(VLOOKUP(D469,'Location Table'!A:C,2,false),"")</f>
        <v>39e63c4e-010f-11ee-ba33-506b8dbc8dfb</v>
      </c>
      <c r="B469" s="5" t="str">
        <f>IFNA(VLOOKUP(F469,Driver!A:C,2,false),"")</f>
        <v>f3cef536-7671-11f0-84d2-506b8d982279</v>
      </c>
      <c r="C469" s="5" t="str">
        <f>IFNA(VLOOKUP(E469,'Location Table'!A:C,2,false),"")</f>
        <v/>
      </c>
      <c r="D469" s="6" t="s">
        <v>255</v>
      </c>
      <c r="E469" s="6"/>
      <c r="F469" s="6" t="s">
        <v>112</v>
      </c>
      <c r="G469" s="7" t="s">
        <v>873</v>
      </c>
      <c r="H469" s="8" t="str">
        <f>IFNA(VLOOKUP(F469,Driver!A:C,3,false),"")</f>
        <v/>
      </c>
      <c r="I469" s="9">
        <v>0.4583333333333333</v>
      </c>
      <c r="J469" s="9">
        <v>0.8333333333333334</v>
      </c>
    </row>
    <row r="470" hidden="1">
      <c r="A470" s="5" t="str">
        <f>IFNA(VLOOKUP(D470,'Location Table'!A:C,2,false),"")</f>
        <v>fa87ff92-4ac0-11ed-b0dd-506b8dbc8dfb</v>
      </c>
      <c r="B470" s="5" t="str">
        <f>IFNA(VLOOKUP(F470,Driver!A:C,2,false),"")</f>
        <v>f3cef536-7671-11f0-84d2-506b8d982279</v>
      </c>
      <c r="C470" s="5" t="str">
        <f>IFNA(VLOOKUP(E470,'Location Table'!A:C,2,false),"")</f>
        <v/>
      </c>
      <c r="D470" s="6" t="s">
        <v>256</v>
      </c>
      <c r="E470" s="6"/>
      <c r="F470" s="6" t="s">
        <v>112</v>
      </c>
      <c r="G470" s="7" t="s">
        <v>873</v>
      </c>
      <c r="H470" s="8" t="str">
        <f>IFNA(VLOOKUP(F470,Driver!A:C,3,false),"")</f>
        <v/>
      </c>
      <c r="I470" s="9">
        <v>0.4583333333333333</v>
      </c>
      <c r="J470" s="9">
        <v>0.8333333333333334</v>
      </c>
    </row>
    <row r="471" hidden="1">
      <c r="A471" s="5" t="str">
        <f>IFNA(VLOOKUP(D471,'Location Table'!A:C,2,false),"")</f>
        <v>e92ad1f8-0112-11ee-80ef-506b8dbc8dfb</v>
      </c>
      <c r="B471" s="5" t="str">
        <f>IFNA(VLOOKUP(F471,Driver!A:C,2,false),"")</f>
        <v>f3cef536-7671-11f0-84d2-506b8d982279</v>
      </c>
      <c r="C471" s="5" t="str">
        <f>IFNA(VLOOKUP(E471,'Location Table'!A:C,2,false),"")</f>
        <v/>
      </c>
      <c r="D471" s="6" t="s">
        <v>257</v>
      </c>
      <c r="E471" s="6"/>
      <c r="F471" s="6" t="s">
        <v>112</v>
      </c>
      <c r="G471" s="7" t="s">
        <v>873</v>
      </c>
      <c r="H471" s="8" t="str">
        <f>IFNA(VLOOKUP(F471,Driver!A:C,3,false),"")</f>
        <v/>
      </c>
      <c r="I471" s="9">
        <v>0.4583333333333333</v>
      </c>
      <c r="J471" s="9">
        <v>0.8333333333333334</v>
      </c>
    </row>
    <row r="472" hidden="1">
      <c r="A472" s="5" t="str">
        <f>IFNA(VLOOKUP(D472,'Location Table'!A:C,2,false),"")</f>
        <v>0ff3fbda-0aa9-11ee-948b-506b8dbc8dfb</v>
      </c>
      <c r="B472" s="5" t="str">
        <f>IFNA(VLOOKUP(F472,Driver!A:C,2,false),"")</f>
        <v>f3cef536-7671-11f0-84d2-506b8d982279</v>
      </c>
      <c r="C472" s="5" t="str">
        <f>IFNA(VLOOKUP(E472,'Location Table'!A:C,2,false),"")</f>
        <v/>
      </c>
      <c r="D472" s="6" t="s">
        <v>258</v>
      </c>
      <c r="E472" s="6"/>
      <c r="F472" s="6" t="s">
        <v>112</v>
      </c>
      <c r="G472" s="7" t="s">
        <v>873</v>
      </c>
      <c r="H472" s="8" t="str">
        <f>IFNA(VLOOKUP(F472,Driver!A:C,3,false),"")</f>
        <v/>
      </c>
      <c r="I472" s="9">
        <v>0.4583333333333333</v>
      </c>
      <c r="J472" s="9">
        <v>0.8333333333333334</v>
      </c>
    </row>
    <row r="473" hidden="1">
      <c r="A473" s="5" t="str">
        <f>IFNA(VLOOKUP(D473,'Location Table'!A:C,2,false),"")</f>
        <v>085d5048-26a0-11ee-a5a4-506b8d9879b5</v>
      </c>
      <c r="B473" s="5" t="str">
        <f>IFNA(VLOOKUP(F473,Driver!A:C,2,false),"")</f>
        <v>f3cef536-7671-11f0-84d2-506b8d982279</v>
      </c>
      <c r="C473" s="5" t="str">
        <f>IFNA(VLOOKUP(E473,'Location Table'!A:C,2,false),"")</f>
        <v/>
      </c>
      <c r="D473" s="6" t="s">
        <v>259</v>
      </c>
      <c r="E473" s="6"/>
      <c r="F473" s="6" t="s">
        <v>112</v>
      </c>
      <c r="G473" s="7" t="s">
        <v>873</v>
      </c>
      <c r="H473" s="8" t="str">
        <f>IFNA(VLOOKUP(F473,Driver!A:C,3,false),"")</f>
        <v/>
      </c>
      <c r="I473" s="9">
        <v>0.4583333333333333</v>
      </c>
      <c r="J473" s="9">
        <v>0.8333333333333334</v>
      </c>
    </row>
    <row r="474" hidden="1">
      <c r="A474" s="5" t="str">
        <f>IFNA(VLOOKUP(D474,'Location Table'!A:C,2,false),"")</f>
        <v>8fca3d12-fec7-11ed-aba6-506b8dbc8dfb</v>
      </c>
      <c r="B474" s="5" t="str">
        <f>IFNA(VLOOKUP(F474,Driver!A:C,2,false),"")</f>
        <v>f3cef536-7671-11f0-84d2-506b8d982279</v>
      </c>
      <c r="C474" s="5" t="str">
        <f>IFNA(VLOOKUP(E474,'Location Table'!A:C,2,false),"")</f>
        <v/>
      </c>
      <c r="D474" s="6" t="s">
        <v>260</v>
      </c>
      <c r="E474" s="6"/>
      <c r="F474" s="6" t="s">
        <v>112</v>
      </c>
      <c r="G474" s="7" t="s">
        <v>873</v>
      </c>
      <c r="H474" s="8" t="str">
        <f>IFNA(VLOOKUP(F474,Driver!A:C,3,false),"")</f>
        <v/>
      </c>
      <c r="I474" s="9">
        <v>0.4583333333333333</v>
      </c>
      <c r="J474" s="9">
        <v>0.8333333333333334</v>
      </c>
    </row>
    <row r="475" hidden="1">
      <c r="A475" s="5" t="str">
        <f>IFNA(VLOOKUP(D475,'Location Table'!A:C,2,false),"")</f>
        <v>ae88c2bc-48b5-11ef-94b2-506b8d9879b5</v>
      </c>
      <c r="B475" s="5" t="str">
        <f>IFNA(VLOOKUP(F475,Driver!A:C,2,false),"")</f>
        <v>f3cef536-7671-11f0-84d2-506b8d982279</v>
      </c>
      <c r="C475" s="5" t="str">
        <f>IFNA(VLOOKUP(E475,'Location Table'!A:C,2,false),"")</f>
        <v/>
      </c>
      <c r="D475" s="6" t="s">
        <v>261</v>
      </c>
      <c r="E475" s="6"/>
      <c r="F475" s="6" t="s">
        <v>112</v>
      </c>
      <c r="G475" s="7" t="s">
        <v>873</v>
      </c>
      <c r="H475" s="8" t="str">
        <f>IFNA(VLOOKUP(F475,Driver!A:C,3,false),"")</f>
        <v/>
      </c>
      <c r="I475" s="9">
        <v>0.4583333333333333</v>
      </c>
      <c r="J475" s="9">
        <v>0.8333333333333334</v>
      </c>
    </row>
    <row r="476" hidden="1">
      <c r="A476" s="5" t="str">
        <f>IFNA(VLOOKUP(D476,'Location Table'!A:C,2,false),"")</f>
        <v>7566c8b0-f731-11ee-b3f8-506b8d9879b5</v>
      </c>
      <c r="B476" s="5" t="str">
        <f>IFNA(VLOOKUP(F476,Driver!A:C,2,false),"")</f>
        <v>f3cef536-7671-11f0-84d2-506b8d982279</v>
      </c>
      <c r="C476" s="5" t="str">
        <f>IFNA(VLOOKUP(E476,'Location Table'!A:C,2,false),"")</f>
        <v/>
      </c>
      <c r="D476" s="6" t="s">
        <v>262</v>
      </c>
      <c r="E476" s="6"/>
      <c r="F476" s="6" t="s">
        <v>112</v>
      </c>
      <c r="G476" s="7" t="s">
        <v>873</v>
      </c>
      <c r="H476" s="8" t="str">
        <f>IFNA(VLOOKUP(F476,Driver!A:C,3,false),"")</f>
        <v/>
      </c>
      <c r="I476" s="9">
        <v>0.4583333333333333</v>
      </c>
      <c r="J476" s="9">
        <v>0.8333333333333334</v>
      </c>
    </row>
    <row r="477" hidden="1">
      <c r="A477" s="5" t="str">
        <f>IFNA(VLOOKUP(D477,'Location Table'!A:C,2,false),"")</f>
        <v>ee4e8802-05bf-11ef-9a97-506b8d9879b5</v>
      </c>
      <c r="B477" s="5" t="str">
        <f>IFNA(VLOOKUP(F477,Driver!A:C,2,false),"")</f>
        <v>f3cef536-7671-11f0-84d2-506b8d982279</v>
      </c>
      <c r="C477" s="5" t="str">
        <f>IFNA(VLOOKUP(E477,'Location Table'!A:C,2,false),"")</f>
        <v/>
      </c>
      <c r="D477" s="6" t="s">
        <v>263</v>
      </c>
      <c r="E477" s="6"/>
      <c r="F477" s="6" t="s">
        <v>112</v>
      </c>
      <c r="G477" s="7" t="s">
        <v>873</v>
      </c>
      <c r="H477" s="8" t="str">
        <f>IFNA(VLOOKUP(F477,Driver!A:C,3,false),"")</f>
        <v/>
      </c>
      <c r="I477" s="9">
        <v>0.4583333333333333</v>
      </c>
      <c r="J477" s="9">
        <v>0.8333333333333334</v>
      </c>
    </row>
    <row r="478" hidden="1">
      <c r="A478" s="5" t="str">
        <f>IFNA(VLOOKUP(D478,'Location Table'!A:C,2,false),"")</f>
        <v>9e0e7402-492b-11ee-8dd8-506b8d9879b5</v>
      </c>
      <c r="B478" s="5" t="str">
        <f>IFNA(VLOOKUP(F478,Driver!A:C,2,false),"")</f>
        <v>f3cef536-7671-11f0-84d2-506b8d982279</v>
      </c>
      <c r="C478" s="5" t="str">
        <f>IFNA(VLOOKUP(E478,'Location Table'!A:C,2,false),"")</f>
        <v/>
      </c>
      <c r="D478" s="6" t="s">
        <v>264</v>
      </c>
      <c r="E478" s="6"/>
      <c r="F478" s="6" t="s">
        <v>112</v>
      </c>
      <c r="G478" s="7" t="s">
        <v>873</v>
      </c>
      <c r="H478" s="8" t="str">
        <f>IFNA(VLOOKUP(F478,Driver!A:C,3,false),"")</f>
        <v/>
      </c>
      <c r="I478" s="9">
        <v>0.4583333333333333</v>
      </c>
      <c r="J478" s="9">
        <v>0.8333333333333334</v>
      </c>
    </row>
    <row r="479" hidden="1">
      <c r="A479" s="5" t="str">
        <f>IFNA(VLOOKUP(D479,'Location Table'!A:C,2,false),"")</f>
        <v>bbf1a054-67ce-11ee-91d9-506b8d9879b5</v>
      </c>
      <c r="B479" s="5" t="str">
        <f>IFNA(VLOOKUP(F479,Driver!A:C,2,false),"")</f>
        <v>f3cef536-7671-11f0-84d2-506b8d982279</v>
      </c>
      <c r="C479" s="5" t="str">
        <f>IFNA(VLOOKUP(E479,'Location Table'!A:C,2,false),"")</f>
        <v/>
      </c>
      <c r="D479" s="6" t="s">
        <v>265</v>
      </c>
      <c r="E479" s="6"/>
      <c r="F479" s="6" t="s">
        <v>112</v>
      </c>
      <c r="G479" s="7" t="s">
        <v>873</v>
      </c>
      <c r="H479" s="8" t="str">
        <f>IFNA(VLOOKUP(F479,Driver!A:C,3,false),"")</f>
        <v/>
      </c>
      <c r="I479" s="9">
        <v>0.4583333333333333</v>
      </c>
      <c r="J479" s="9">
        <v>0.8333333333333334</v>
      </c>
    </row>
    <row r="480" hidden="1">
      <c r="A480" s="5" t="str">
        <f>IFNA(VLOOKUP(D480,'Location Table'!A:C,2,false),"")</f>
        <v>7e2d9ace-9ee3-11ee-8906-506b8d9879b5</v>
      </c>
      <c r="B480" s="5" t="str">
        <f>IFNA(VLOOKUP(F480,Driver!A:C,2,false),"")</f>
        <v>f3cef536-7671-11f0-84d2-506b8d982279</v>
      </c>
      <c r="C480" s="5" t="str">
        <f>IFNA(VLOOKUP(E480,'Location Table'!A:C,2,false),"")</f>
        <v/>
      </c>
      <c r="D480" s="6" t="s">
        <v>266</v>
      </c>
      <c r="E480" s="6"/>
      <c r="F480" s="6" t="s">
        <v>112</v>
      </c>
      <c r="G480" s="7" t="s">
        <v>873</v>
      </c>
      <c r="H480" s="8" t="str">
        <f>IFNA(VLOOKUP(F480,Driver!A:C,3,false),"")</f>
        <v/>
      </c>
      <c r="I480" s="9">
        <v>0.4583333333333333</v>
      </c>
      <c r="J480" s="9">
        <v>0.8333333333333334</v>
      </c>
    </row>
    <row r="481" hidden="1">
      <c r="A481" s="5" t="str">
        <f>IFNA(VLOOKUP(D481,'Location Table'!A:C,2,false),"")</f>
        <v>3b012e74-90aa-11ee-8f6f-506b8d9879b5</v>
      </c>
      <c r="B481" s="5" t="str">
        <f>IFNA(VLOOKUP(F481,Driver!A:C,2,false),"")</f>
        <v>f3cef536-7671-11f0-84d2-506b8d982279</v>
      </c>
      <c r="C481" s="5" t="str">
        <f>IFNA(VLOOKUP(E481,'Location Table'!A:C,2,false),"")</f>
        <v/>
      </c>
      <c r="D481" s="6" t="s">
        <v>267</v>
      </c>
      <c r="E481" s="6"/>
      <c r="F481" s="6" t="s">
        <v>112</v>
      </c>
      <c r="G481" s="7" t="s">
        <v>873</v>
      </c>
      <c r="H481" s="8" t="str">
        <f>IFNA(VLOOKUP(F481,Driver!A:C,3,false),"")</f>
        <v/>
      </c>
      <c r="I481" s="9">
        <v>0.4583333333333333</v>
      </c>
      <c r="J481" s="9">
        <v>0.8333333333333334</v>
      </c>
    </row>
    <row r="482" hidden="1">
      <c r="A482" s="5" t="str">
        <f>IFNA(VLOOKUP(D482,'Location Table'!A:C,2,false),"")</f>
        <v>a2f4ec9c-1561-11ee-a153-506b8dbc8dfb</v>
      </c>
      <c r="B482" s="5" t="str">
        <f>IFNA(VLOOKUP(F482,Driver!A:C,2,false),"")</f>
        <v>f3cef536-7671-11f0-84d2-506b8d982279</v>
      </c>
      <c r="C482" s="5" t="str">
        <f>IFNA(VLOOKUP(E482,'Location Table'!A:C,2,false),"")</f>
        <v/>
      </c>
      <c r="D482" s="6" t="s">
        <v>268</v>
      </c>
      <c r="E482" s="6"/>
      <c r="F482" s="6" t="s">
        <v>112</v>
      </c>
      <c r="G482" s="7" t="s">
        <v>873</v>
      </c>
      <c r="H482" s="8" t="str">
        <f>IFNA(VLOOKUP(F482,Driver!A:C,3,false),"")</f>
        <v/>
      </c>
      <c r="I482" s="9">
        <v>0.4583333333333333</v>
      </c>
      <c r="J482" s="9">
        <v>0.8333333333333334</v>
      </c>
    </row>
    <row r="483" hidden="1">
      <c r="A483" s="5" t="str">
        <f>IFNA(VLOOKUP(D483,'Location Table'!A:C,2,false),"")</f>
        <v>1af85000-6cc2-11ee-a53a-506b8d9879b5</v>
      </c>
      <c r="B483" s="5" t="str">
        <f>IFNA(VLOOKUP(F483,Driver!A:C,2,false),"")</f>
        <v>f3cef536-7671-11f0-84d2-506b8d982279</v>
      </c>
      <c r="C483" s="5" t="str">
        <f>IFNA(VLOOKUP(E483,'Location Table'!A:C,2,false),"")</f>
        <v/>
      </c>
      <c r="D483" s="6" t="s">
        <v>269</v>
      </c>
      <c r="E483" s="6"/>
      <c r="F483" s="6" t="s">
        <v>112</v>
      </c>
      <c r="G483" s="7" t="s">
        <v>873</v>
      </c>
      <c r="H483" s="8" t="str">
        <f>IFNA(VLOOKUP(F483,Driver!A:C,3,false),"")</f>
        <v/>
      </c>
      <c r="I483" s="9">
        <v>0.4583333333333333</v>
      </c>
      <c r="J483" s="9">
        <v>0.8333333333333334</v>
      </c>
    </row>
    <row r="484" hidden="1">
      <c r="A484" s="5" t="str">
        <f>IFNA(VLOOKUP(D484,'Location Table'!A:C,2,false),"")</f>
        <v>97d16b52-0110-11ee-b15c-506b8dbc8dfb</v>
      </c>
      <c r="B484" s="5" t="str">
        <f>IFNA(VLOOKUP(F484,Driver!A:C,2,false),"")</f>
        <v>f3cef536-7671-11f0-84d2-506b8d982279</v>
      </c>
      <c r="C484" s="5" t="str">
        <f>IFNA(VLOOKUP(E484,'Location Table'!A:C,2,false),"")</f>
        <v/>
      </c>
      <c r="D484" s="6" t="s">
        <v>270</v>
      </c>
      <c r="E484" s="6"/>
      <c r="F484" s="6" t="s">
        <v>112</v>
      </c>
      <c r="G484" s="7" t="s">
        <v>873</v>
      </c>
      <c r="H484" s="8" t="str">
        <f>IFNA(VLOOKUP(F484,Driver!A:C,3,false),"")</f>
        <v/>
      </c>
      <c r="I484" s="9">
        <v>0.4583333333333333</v>
      </c>
      <c r="J484" s="9">
        <v>0.8333333333333334</v>
      </c>
    </row>
    <row r="485" hidden="1">
      <c r="A485" s="5" t="str">
        <f>IFNA(VLOOKUP(D485,'Location Table'!A:C,2,false),"")</f>
        <v>f4fbe052-4088-11ee-a498-506b8d9879b5</v>
      </c>
      <c r="B485" s="5" t="str">
        <f>IFNA(VLOOKUP(F485,Driver!A:C,2,false),"")</f>
        <v>f3cef536-7671-11f0-84d2-506b8d982279</v>
      </c>
      <c r="C485" s="5" t="str">
        <f>IFNA(VLOOKUP(E485,'Location Table'!A:C,2,false),"")</f>
        <v/>
      </c>
      <c r="D485" s="6" t="s">
        <v>271</v>
      </c>
      <c r="E485" s="6"/>
      <c r="F485" s="6" t="s">
        <v>112</v>
      </c>
      <c r="G485" s="7" t="s">
        <v>873</v>
      </c>
      <c r="H485" s="8" t="str">
        <f>IFNA(VLOOKUP(F485,Driver!A:C,3,false),"")</f>
        <v/>
      </c>
      <c r="I485" s="9">
        <v>0.4583333333333333</v>
      </c>
      <c r="J485" s="9">
        <v>0.8333333333333334</v>
      </c>
    </row>
    <row r="486" hidden="1">
      <c r="A486" s="5" t="str">
        <f>IFNA(VLOOKUP(D486,'Location Table'!A:C,2,false),"")</f>
        <v>d53b00de-6a38-11ee-98e0-506b8d9879b5</v>
      </c>
      <c r="B486" s="5" t="str">
        <f>IFNA(VLOOKUP(F486,Driver!A:C,2,false),"")</f>
        <v>f3cef536-7671-11f0-84d2-506b8d982279</v>
      </c>
      <c r="C486" s="5" t="str">
        <f>IFNA(VLOOKUP(E486,'Location Table'!A:C,2,false),"")</f>
        <v/>
      </c>
      <c r="D486" s="6" t="s">
        <v>272</v>
      </c>
      <c r="E486" s="6"/>
      <c r="F486" s="6" t="s">
        <v>112</v>
      </c>
      <c r="G486" s="7" t="s">
        <v>873</v>
      </c>
      <c r="H486" s="8" t="str">
        <f>IFNA(VLOOKUP(F486,Driver!A:C,3,false),"")</f>
        <v/>
      </c>
      <c r="I486" s="9">
        <v>0.4583333333333333</v>
      </c>
      <c r="J486" s="9">
        <v>0.8333333333333334</v>
      </c>
    </row>
    <row r="487" hidden="1">
      <c r="A487" s="5" t="str">
        <f>IFNA(VLOOKUP(D487,'Location Table'!A:C,2,false),"")</f>
        <v>aebc13a0-0113-11ee-b1c8-506b8dbc8dfb</v>
      </c>
      <c r="B487" s="5" t="str">
        <f>IFNA(VLOOKUP(F487,Driver!A:C,2,false),"")</f>
        <v>f3cef536-7671-11f0-84d2-506b8d982279</v>
      </c>
      <c r="C487" s="5" t="str">
        <f>IFNA(VLOOKUP(E487,'Location Table'!A:C,2,false),"")</f>
        <v/>
      </c>
      <c r="D487" s="6" t="s">
        <v>273</v>
      </c>
      <c r="E487" s="6"/>
      <c r="F487" s="6" t="s">
        <v>112</v>
      </c>
      <c r="G487" s="7" t="s">
        <v>873</v>
      </c>
      <c r="H487" s="8" t="str">
        <f>IFNA(VLOOKUP(F487,Driver!A:C,3,false),"")</f>
        <v/>
      </c>
      <c r="I487" s="9">
        <v>0.4583333333333333</v>
      </c>
      <c r="J487" s="9">
        <v>0.8333333333333334</v>
      </c>
    </row>
    <row r="488" hidden="1">
      <c r="A488" s="5" t="str">
        <f>IFNA(VLOOKUP(D488,'Location Table'!A:C,2,false),"")</f>
        <v>4ca8a4a8-456f-11ee-af67-506b8d9879b5</v>
      </c>
      <c r="B488" s="5" t="str">
        <f>IFNA(VLOOKUP(F488,Driver!A:C,2,false),"")</f>
        <v>f3cef536-7671-11f0-84d2-506b8d982279</v>
      </c>
      <c r="C488" s="5" t="str">
        <f>IFNA(VLOOKUP(E488,'Location Table'!A:C,2,false),"")</f>
        <v/>
      </c>
      <c r="D488" s="6" t="s">
        <v>274</v>
      </c>
      <c r="E488" s="6"/>
      <c r="F488" s="6" t="s">
        <v>112</v>
      </c>
      <c r="G488" s="7" t="s">
        <v>873</v>
      </c>
      <c r="H488" s="8" t="str">
        <f>IFNA(VLOOKUP(F488,Driver!A:C,3,false),"")</f>
        <v/>
      </c>
      <c r="I488" s="9">
        <v>0.4583333333333333</v>
      </c>
      <c r="J488" s="9">
        <v>0.8333333333333334</v>
      </c>
    </row>
    <row r="489" hidden="1">
      <c r="A489" s="5" t="str">
        <f>IFNA(VLOOKUP(D489,'Location Table'!A:C,2,false),"")</f>
        <v>fafc59d2-3b41-11ef-a36a-506b8d9879b5</v>
      </c>
      <c r="B489" s="5" t="str">
        <f>IFNA(VLOOKUP(F489,Driver!A:C,2,false),"")</f>
        <v>f3cef536-7671-11f0-84d2-506b8d982279</v>
      </c>
      <c r="C489" s="5" t="str">
        <f>IFNA(VLOOKUP(E489,'Location Table'!A:C,2,false),"")</f>
        <v/>
      </c>
      <c r="D489" s="6" t="s">
        <v>275</v>
      </c>
      <c r="E489" s="6"/>
      <c r="F489" s="6" t="s">
        <v>112</v>
      </c>
      <c r="G489" s="7" t="s">
        <v>873</v>
      </c>
      <c r="H489" s="8" t="str">
        <f>IFNA(VLOOKUP(F489,Driver!A:C,3,false),"")</f>
        <v/>
      </c>
      <c r="I489" s="9">
        <v>0.4583333333333333</v>
      </c>
      <c r="J489" s="9">
        <v>0.8333333333333334</v>
      </c>
    </row>
    <row r="490" hidden="1">
      <c r="A490" s="5" t="str">
        <f>IFNA(VLOOKUP(D490,'Location Table'!A:C,2,false),"")</f>
        <v>7e1b0ed8-1c64-11ee-a44a-506b8d9879b5</v>
      </c>
      <c r="B490" s="5" t="str">
        <f>IFNA(VLOOKUP(F490,Driver!A:C,2,false),"")</f>
        <v>f3cef536-7671-11f0-84d2-506b8d982279</v>
      </c>
      <c r="C490" s="5" t="str">
        <f>IFNA(VLOOKUP(E490,'Location Table'!A:C,2,false),"")</f>
        <v/>
      </c>
      <c r="D490" s="6" t="s">
        <v>276</v>
      </c>
      <c r="E490" s="6"/>
      <c r="F490" s="6" t="s">
        <v>112</v>
      </c>
      <c r="G490" s="7" t="s">
        <v>873</v>
      </c>
      <c r="H490" s="8" t="str">
        <f>IFNA(VLOOKUP(F490,Driver!A:C,3,false),"")</f>
        <v/>
      </c>
      <c r="I490" s="9">
        <v>0.4583333333333333</v>
      </c>
      <c r="J490" s="9">
        <v>0.8333333333333334</v>
      </c>
    </row>
    <row r="491" hidden="1">
      <c r="A491" s="5" t="str">
        <f>IFNA(VLOOKUP(D491,'Location Table'!A:C,2,false),"")</f>
        <v>afcfc01c-bf57-11ef-9985-506b8d9879b5</v>
      </c>
      <c r="B491" s="5" t="str">
        <f>IFNA(VLOOKUP(F491,Driver!A:C,2,false),"")</f>
        <v>f3cef536-7671-11f0-84d2-506b8d982279</v>
      </c>
      <c r="C491" s="5" t="str">
        <f>IFNA(VLOOKUP(E491,'Location Table'!A:C,2,false),"")</f>
        <v/>
      </c>
      <c r="D491" s="6" t="s">
        <v>277</v>
      </c>
      <c r="E491" s="6"/>
      <c r="F491" s="6" t="s">
        <v>112</v>
      </c>
      <c r="G491" s="7" t="s">
        <v>873</v>
      </c>
      <c r="H491" s="8" t="str">
        <f>IFNA(VLOOKUP(F491,Driver!A:C,3,false),"")</f>
        <v/>
      </c>
      <c r="I491" s="9">
        <v>0.4583333333333333</v>
      </c>
      <c r="J491" s="9">
        <v>0.8333333333333334</v>
      </c>
    </row>
    <row r="492" hidden="1">
      <c r="A492" s="5" t="str">
        <f>IFNA(VLOOKUP(D492,'Location Table'!A:C,2,false),"")</f>
        <v>35a70e9e-50bc-11ef-bbb1-506b8d9879b5</v>
      </c>
      <c r="B492" s="5" t="str">
        <f>IFNA(VLOOKUP(F492,Driver!A:C,2,false),"")</f>
        <v>f3cef536-7671-11f0-84d2-506b8d982279</v>
      </c>
      <c r="C492" s="5" t="str">
        <f>IFNA(VLOOKUP(E492,'Location Table'!A:C,2,false),"")</f>
        <v/>
      </c>
      <c r="D492" s="6" t="s">
        <v>278</v>
      </c>
      <c r="E492" s="6"/>
      <c r="F492" s="6" t="s">
        <v>112</v>
      </c>
      <c r="G492" s="7" t="s">
        <v>873</v>
      </c>
      <c r="H492" s="8" t="str">
        <f>IFNA(VLOOKUP(F492,Driver!A:C,3,false),"")</f>
        <v/>
      </c>
      <c r="I492" s="9">
        <v>0.4583333333333333</v>
      </c>
      <c r="J492" s="9">
        <v>0.8333333333333334</v>
      </c>
    </row>
    <row r="493" hidden="1">
      <c r="A493" s="5" t="str">
        <f>IFNA(VLOOKUP(D493,'Location Table'!A:C,2,false),"")</f>
        <v>c78fdb82-6805-11ef-bf49-506b8d9879b5</v>
      </c>
      <c r="B493" s="5" t="str">
        <f>IFNA(VLOOKUP(F493,Driver!A:C,2,false),"")</f>
        <v>f3cef536-7671-11f0-84d2-506b8d982279</v>
      </c>
      <c r="C493" s="5" t="str">
        <f>IFNA(VLOOKUP(E493,'Location Table'!A:C,2,false),"")</f>
        <v/>
      </c>
      <c r="D493" s="6" t="s">
        <v>279</v>
      </c>
      <c r="E493" s="6"/>
      <c r="F493" s="6" t="s">
        <v>112</v>
      </c>
      <c r="G493" s="7" t="s">
        <v>873</v>
      </c>
      <c r="H493" s="8" t="str">
        <f>IFNA(VLOOKUP(F493,Driver!A:C,3,false),"")</f>
        <v/>
      </c>
      <c r="I493" s="9">
        <v>0.4583333333333333</v>
      </c>
      <c r="J493" s="9">
        <v>0.8333333333333334</v>
      </c>
    </row>
    <row r="494" hidden="1">
      <c r="A494" s="5" t="str">
        <f>IFNA(VLOOKUP(D494,'Location Table'!A:C,2,false),"")</f>
        <v>4f54e06a-77e0-11ee-91f6-506b8d9879b5</v>
      </c>
      <c r="B494" s="5" t="str">
        <f>IFNA(VLOOKUP(F494,Driver!A:C,2,false),"")</f>
        <v>f3cef536-7671-11f0-84d2-506b8d982279</v>
      </c>
      <c r="C494" s="5" t="str">
        <f>IFNA(VLOOKUP(E494,'Location Table'!A:C,2,false),"")</f>
        <v/>
      </c>
      <c r="D494" s="6" t="s">
        <v>280</v>
      </c>
      <c r="E494" s="6"/>
      <c r="F494" s="6" t="s">
        <v>112</v>
      </c>
      <c r="G494" s="7" t="s">
        <v>873</v>
      </c>
      <c r="H494" s="8" t="str">
        <f>IFNA(VLOOKUP(F494,Driver!A:C,3,false),"")</f>
        <v/>
      </c>
      <c r="I494" s="9">
        <v>0.4583333333333333</v>
      </c>
      <c r="J494" s="9">
        <v>0.8333333333333334</v>
      </c>
    </row>
    <row r="495" hidden="1">
      <c r="A495" s="5" t="str">
        <f>IFNA(VLOOKUP(D495,'Location Table'!A:C,2,false),"")</f>
        <v>ad47e07c-dae5-11f0-9e7c-506b8d982279</v>
      </c>
      <c r="B495" s="5" t="str">
        <f>IFNA(VLOOKUP(F495,Driver!A:C,2,false),"")</f>
        <v>f3cef536-7671-11f0-84d2-506b8d982279</v>
      </c>
      <c r="C495" s="5" t="str">
        <f>IFNA(VLOOKUP(E495,'Location Table'!A:C,2,false),"")</f>
        <v/>
      </c>
      <c r="D495" s="6" t="s">
        <v>281</v>
      </c>
      <c r="E495" s="6"/>
      <c r="F495" s="6" t="s">
        <v>112</v>
      </c>
      <c r="G495" s="7" t="s">
        <v>873</v>
      </c>
      <c r="H495" s="8" t="str">
        <f>IFNA(VLOOKUP(F495,Driver!A:C,3,false),"")</f>
        <v/>
      </c>
      <c r="I495" s="9">
        <v>0.4583333333333333</v>
      </c>
      <c r="J495" s="9">
        <v>0.8333333333333334</v>
      </c>
    </row>
    <row r="496" hidden="1">
      <c r="A496" s="5" t="str">
        <f>IFNA(VLOOKUP(D496,'Location Table'!A:C,2,false),"")</f>
        <v>fcd0a9f6-ad20-11ef-90e1-506b8d9879b5</v>
      </c>
      <c r="B496" s="5" t="str">
        <f>IFNA(VLOOKUP(F496,Driver!A:C,2,false),"")</f>
        <v>f3cef536-7671-11f0-84d2-506b8d982279</v>
      </c>
      <c r="C496" s="5" t="str">
        <f>IFNA(VLOOKUP(E496,'Location Table'!A:C,2,false),"")</f>
        <v/>
      </c>
      <c r="D496" s="6" t="s">
        <v>282</v>
      </c>
      <c r="E496" s="6"/>
      <c r="F496" s="6" t="s">
        <v>112</v>
      </c>
      <c r="G496" s="7" t="s">
        <v>873</v>
      </c>
      <c r="H496" s="8" t="str">
        <f>IFNA(VLOOKUP(F496,Driver!A:C,3,false),"")</f>
        <v/>
      </c>
      <c r="I496" s="9">
        <v>0.4583333333333333</v>
      </c>
      <c r="J496" s="9">
        <v>0.8333333333333334</v>
      </c>
    </row>
    <row r="497" hidden="1">
      <c r="A497" s="5" t="str">
        <f>IFNA(VLOOKUP(D497,'Location Table'!A:C,2,false),"")</f>
        <v>1e43d74c-8901-11ee-a635-506b8d9879b5</v>
      </c>
      <c r="B497" s="5" t="str">
        <f>IFNA(VLOOKUP(F497,Driver!A:C,2,false),"")</f>
        <v>f3cef536-7671-11f0-84d2-506b8d982279</v>
      </c>
      <c r="C497" s="5" t="str">
        <f>IFNA(VLOOKUP(E497,'Location Table'!A:C,2,false),"")</f>
        <v/>
      </c>
      <c r="D497" s="6" t="s">
        <v>283</v>
      </c>
      <c r="E497" s="6"/>
      <c r="F497" s="6" t="s">
        <v>112</v>
      </c>
      <c r="G497" s="7" t="s">
        <v>873</v>
      </c>
      <c r="H497" s="8" t="str">
        <f>IFNA(VLOOKUP(F497,Driver!A:C,3,false),"")</f>
        <v/>
      </c>
      <c r="I497" s="9">
        <v>0.4583333333333333</v>
      </c>
      <c r="J497" s="9">
        <v>0.8333333333333334</v>
      </c>
    </row>
    <row r="498" hidden="1">
      <c r="A498" s="5" t="str">
        <f>IFNA(VLOOKUP(D498,'Location Table'!A:C,2,false),"")</f>
        <v>0d699b42-97d3-11ee-9e8a-506b8d9879b5</v>
      </c>
      <c r="B498" s="5" t="str">
        <f>IFNA(VLOOKUP(F498,Driver!A:C,2,false),"")</f>
        <v>f3cef536-7671-11f0-84d2-506b8d982279</v>
      </c>
      <c r="C498" s="5" t="str">
        <f>IFNA(VLOOKUP(E498,'Location Table'!A:C,2,false),"")</f>
        <v/>
      </c>
      <c r="D498" s="6" t="s">
        <v>284</v>
      </c>
      <c r="E498" s="6"/>
      <c r="F498" s="6" t="s">
        <v>112</v>
      </c>
      <c r="G498" s="7" t="s">
        <v>873</v>
      </c>
      <c r="H498" s="8" t="str">
        <f>IFNA(VLOOKUP(F498,Driver!A:C,3,false),"")</f>
        <v/>
      </c>
      <c r="I498" s="9">
        <v>0.4583333333333333</v>
      </c>
      <c r="J498" s="9">
        <v>0.8333333333333334</v>
      </c>
    </row>
    <row r="499" hidden="1">
      <c r="A499" s="5" t="str">
        <f>IFNA(VLOOKUP(D499,'Location Table'!A:C,2,false),"")</f>
        <v>f94adc10-13de-11ef-8481-506b8d9879b5</v>
      </c>
      <c r="B499" s="5" t="str">
        <f>IFNA(VLOOKUP(F499,Driver!A:C,2,false),"")</f>
        <v>f3cef536-7671-11f0-84d2-506b8d982279</v>
      </c>
      <c r="C499" s="5" t="str">
        <f>IFNA(VLOOKUP(E499,'Location Table'!A:C,2,false),"")</f>
        <v/>
      </c>
      <c r="D499" s="6" t="s">
        <v>285</v>
      </c>
      <c r="E499" s="6"/>
      <c r="F499" s="6" t="s">
        <v>112</v>
      </c>
      <c r="G499" s="7" t="s">
        <v>873</v>
      </c>
      <c r="H499" s="8" t="str">
        <f>IFNA(VLOOKUP(F499,Driver!A:C,3,false),"")</f>
        <v/>
      </c>
      <c r="I499" s="9">
        <v>0.4583333333333333</v>
      </c>
      <c r="J499" s="9">
        <v>0.8333333333333334</v>
      </c>
    </row>
    <row r="500" hidden="1">
      <c r="A500" s="5" t="str">
        <f>IFNA(VLOOKUP(D500,'Location Table'!A:C,2,false),"")</f>
        <v>323b0f74-7d10-11ee-b82b-506b8d9879b5</v>
      </c>
      <c r="B500" s="5" t="str">
        <f>IFNA(VLOOKUP(F500,Driver!A:C,2,false),"")</f>
        <v>f3cef536-7671-11f0-84d2-506b8d982279</v>
      </c>
      <c r="C500" s="5" t="str">
        <f>IFNA(VLOOKUP(E500,'Location Table'!A:C,2,false),"")</f>
        <v/>
      </c>
      <c r="D500" s="6" t="s">
        <v>286</v>
      </c>
      <c r="E500" s="6"/>
      <c r="F500" s="6" t="s">
        <v>112</v>
      </c>
      <c r="G500" s="7" t="s">
        <v>873</v>
      </c>
      <c r="H500" s="8" t="str">
        <f>IFNA(VLOOKUP(F500,Driver!A:C,3,false),"")</f>
        <v/>
      </c>
      <c r="I500" s="9">
        <v>0.4583333333333333</v>
      </c>
      <c r="J500" s="9">
        <v>0.8333333333333334</v>
      </c>
    </row>
    <row r="501" hidden="1">
      <c r="A501" s="5" t="str">
        <f>IFNA(VLOOKUP(D501,'Location Table'!A:C,2,false),"")</f>
        <v>1b46fb96-02b9-11ef-8bdd-506b8d9879b5</v>
      </c>
      <c r="B501" s="5" t="str">
        <f>IFNA(VLOOKUP(F501,Driver!A:C,2,false),"")</f>
        <v>f3cef536-7671-11f0-84d2-506b8d982279</v>
      </c>
      <c r="C501" s="5" t="str">
        <f>IFNA(VLOOKUP(E501,'Location Table'!A:C,2,false),"")</f>
        <v/>
      </c>
      <c r="D501" s="6" t="s">
        <v>287</v>
      </c>
      <c r="E501" s="6"/>
      <c r="F501" s="6" t="s">
        <v>112</v>
      </c>
      <c r="G501" s="7" t="s">
        <v>873</v>
      </c>
      <c r="H501" s="8" t="str">
        <f>IFNA(VLOOKUP(F501,Driver!A:C,3,false),"")</f>
        <v/>
      </c>
      <c r="I501" s="9">
        <v>0.4583333333333333</v>
      </c>
      <c r="J501" s="9">
        <v>0.8333333333333334</v>
      </c>
    </row>
    <row r="502" hidden="1">
      <c r="A502" s="5" t="str">
        <f>IFNA(VLOOKUP(D502,'Location Table'!A:C,2,false),"")</f>
        <v>d8d6e692-4531-11f0-a968-506b8d982279</v>
      </c>
      <c r="B502" s="5" t="str">
        <f>IFNA(VLOOKUP(F502,Driver!A:C,2,false),"")</f>
        <v>f3cef536-7671-11f0-84d2-506b8d982279</v>
      </c>
      <c r="C502" s="5" t="str">
        <f>IFNA(VLOOKUP(E502,'Location Table'!A:C,2,false),"")</f>
        <v/>
      </c>
      <c r="D502" s="6" t="s">
        <v>288</v>
      </c>
      <c r="E502" s="6"/>
      <c r="F502" s="6" t="s">
        <v>112</v>
      </c>
      <c r="G502" s="7" t="s">
        <v>873</v>
      </c>
      <c r="H502" s="8" t="str">
        <f>IFNA(VLOOKUP(F502,Driver!A:C,3,false),"")</f>
        <v/>
      </c>
      <c r="I502" s="9">
        <v>0.4583333333333333</v>
      </c>
      <c r="J502" s="9">
        <v>0.8333333333333334</v>
      </c>
    </row>
    <row r="503" hidden="1">
      <c r="A503" s="5" t="str">
        <f>IFNA(VLOOKUP(D503,'Location Table'!A:C,2,false),"")</f>
        <v>8e7dd344-c9bc-11ef-ad21-506b8d9879b5</v>
      </c>
      <c r="B503" s="5" t="str">
        <f>IFNA(VLOOKUP(F503,Driver!A:C,2,false),"")</f>
        <v>f3cef536-7671-11f0-84d2-506b8d982279</v>
      </c>
      <c r="C503" s="5" t="str">
        <f>IFNA(VLOOKUP(E503,'Location Table'!A:C,2,false),"")</f>
        <v/>
      </c>
      <c r="D503" s="6" t="s">
        <v>289</v>
      </c>
      <c r="E503" s="6"/>
      <c r="F503" s="6" t="s">
        <v>112</v>
      </c>
      <c r="G503" s="7" t="s">
        <v>873</v>
      </c>
      <c r="H503" s="8" t="str">
        <f>IFNA(VLOOKUP(F503,Driver!A:C,3,false),"")</f>
        <v/>
      </c>
      <c r="I503" s="9">
        <v>0.4583333333333333</v>
      </c>
      <c r="J503" s="9">
        <v>0.8333333333333334</v>
      </c>
    </row>
    <row r="504" hidden="1">
      <c r="A504" s="5" t="str">
        <f>IFNA(VLOOKUP(D504,'Location Table'!A:C,2,false),"")</f>
        <v>051eba38-cf32-11f0-b412-506b8d982279</v>
      </c>
      <c r="B504" s="5" t="str">
        <f>IFNA(VLOOKUP(F504,Driver!A:C,2,false),"")</f>
        <v>f3cef536-7671-11f0-84d2-506b8d982279</v>
      </c>
      <c r="C504" s="5" t="str">
        <f>IFNA(VLOOKUP(E504,'Location Table'!A:C,2,false),"")</f>
        <v/>
      </c>
      <c r="D504" s="6" t="s">
        <v>290</v>
      </c>
      <c r="E504" s="6"/>
      <c r="F504" s="6" t="s">
        <v>112</v>
      </c>
      <c r="G504" s="7" t="s">
        <v>873</v>
      </c>
      <c r="H504" s="8" t="str">
        <f>IFNA(VLOOKUP(F504,Driver!A:C,3,false),"")</f>
        <v/>
      </c>
      <c r="I504" s="9">
        <v>0.4583333333333333</v>
      </c>
      <c r="J504" s="9">
        <v>0.8333333333333334</v>
      </c>
    </row>
    <row r="505" hidden="1">
      <c r="A505" s="5" t="str">
        <f>IFNA(VLOOKUP(D505,'Location Table'!A:C,2,false),"")</f>
        <v>35ffceee-7baf-11ef-916b-506b8d9879b5</v>
      </c>
      <c r="B505" s="5" t="str">
        <f>IFNA(VLOOKUP(F505,Driver!A:C,2,false),"")</f>
        <v>f3cef536-7671-11f0-84d2-506b8d982279</v>
      </c>
      <c r="C505" s="5" t="str">
        <f>IFNA(VLOOKUP(E505,'Location Table'!A:C,2,false),"")</f>
        <v/>
      </c>
      <c r="D505" s="6" t="s">
        <v>291</v>
      </c>
      <c r="E505" s="6"/>
      <c r="F505" s="6" t="s">
        <v>112</v>
      </c>
      <c r="G505" s="7" t="s">
        <v>873</v>
      </c>
      <c r="H505" s="8" t="str">
        <f>IFNA(VLOOKUP(F505,Driver!A:C,3,false),"")</f>
        <v/>
      </c>
      <c r="I505" s="9">
        <v>0.4583333333333333</v>
      </c>
      <c r="J505" s="9">
        <v>0.8333333333333334</v>
      </c>
    </row>
    <row r="506" hidden="1">
      <c r="A506" s="5" t="str">
        <f>IFNA(VLOOKUP(D506,'Location Table'!A:C,2,false),"")</f>
        <v>44225afc-0a96-11f0-b7f4-506b8d982279</v>
      </c>
      <c r="B506" s="5" t="str">
        <f>IFNA(VLOOKUP(F506,Driver!A:C,2,false),"")</f>
        <v>f3cef536-7671-11f0-84d2-506b8d982279</v>
      </c>
      <c r="C506" s="5" t="str">
        <f>IFNA(VLOOKUP(E506,'Location Table'!A:C,2,false),"")</f>
        <v/>
      </c>
      <c r="D506" s="6" t="s">
        <v>292</v>
      </c>
      <c r="E506" s="6"/>
      <c r="F506" s="6" t="s">
        <v>112</v>
      </c>
      <c r="G506" s="7" t="s">
        <v>873</v>
      </c>
      <c r="H506" s="8" t="str">
        <f>IFNA(VLOOKUP(F506,Driver!A:C,3,false),"")</f>
        <v/>
      </c>
      <c r="I506" s="9">
        <v>0.4583333333333333</v>
      </c>
      <c r="J506" s="9">
        <v>0.8333333333333334</v>
      </c>
    </row>
    <row r="507" hidden="1">
      <c r="A507" s="5" t="str">
        <f>IFNA(VLOOKUP(D507,'Location Table'!A:C,2,false),"")</f>
        <v>70d6804e-4b44-11ef-abeb-506b8d9879b5</v>
      </c>
      <c r="B507" s="5" t="str">
        <f>IFNA(VLOOKUP(F507,Driver!A:C,2,false),"")</f>
        <v>f3cef536-7671-11f0-84d2-506b8d982279</v>
      </c>
      <c r="C507" s="5" t="str">
        <f>IFNA(VLOOKUP(E507,'Location Table'!A:C,2,false),"")</f>
        <v/>
      </c>
      <c r="D507" s="6" t="s">
        <v>293</v>
      </c>
      <c r="E507" s="6"/>
      <c r="F507" s="6" t="s">
        <v>112</v>
      </c>
      <c r="G507" s="7" t="s">
        <v>873</v>
      </c>
      <c r="H507" s="8" t="str">
        <f>IFNA(VLOOKUP(F507,Driver!A:C,3,false),"")</f>
        <v/>
      </c>
      <c r="I507" s="9">
        <v>0.4583333333333333</v>
      </c>
      <c r="J507" s="9">
        <v>0.8333333333333334</v>
      </c>
    </row>
    <row r="508" hidden="1">
      <c r="A508" s="5" t="str">
        <f>IFNA(VLOOKUP(D508,'Location Table'!A:C,2,false),"")</f>
        <v>fa0f6060-4f9f-11ef-bb9f-506b8d9879b5</v>
      </c>
      <c r="B508" s="5" t="str">
        <f>IFNA(VLOOKUP(F508,Driver!A:C,2,false),"")</f>
        <v>f3cef536-7671-11f0-84d2-506b8d982279</v>
      </c>
      <c r="C508" s="5" t="str">
        <f>IFNA(VLOOKUP(E508,'Location Table'!A:C,2,false),"")</f>
        <v/>
      </c>
      <c r="D508" s="6" t="s">
        <v>294</v>
      </c>
      <c r="E508" s="6"/>
      <c r="F508" s="6" t="s">
        <v>112</v>
      </c>
      <c r="G508" s="7" t="s">
        <v>873</v>
      </c>
      <c r="H508" s="8" t="str">
        <f>IFNA(VLOOKUP(F508,Driver!A:C,3,false),"")</f>
        <v/>
      </c>
      <c r="I508" s="9">
        <v>0.4583333333333333</v>
      </c>
      <c r="J508" s="9">
        <v>0.8333333333333334</v>
      </c>
    </row>
    <row r="509" hidden="1">
      <c r="A509" s="5" t="str">
        <f>IFNA(VLOOKUP(D509,'Location Table'!A:C,2,false),"")</f>
        <v>22679c14-52e6-11ef-a589-506b8d9879b5</v>
      </c>
      <c r="B509" s="5" t="str">
        <f>IFNA(VLOOKUP(F509,Driver!A:C,2,false),"")</f>
        <v>f3cef536-7671-11f0-84d2-506b8d982279</v>
      </c>
      <c r="C509" s="5" t="str">
        <f>IFNA(VLOOKUP(E509,'Location Table'!A:C,2,false),"")</f>
        <v/>
      </c>
      <c r="D509" s="6" t="s">
        <v>295</v>
      </c>
      <c r="E509" s="6"/>
      <c r="F509" s="6" t="s">
        <v>112</v>
      </c>
      <c r="G509" s="7" t="s">
        <v>873</v>
      </c>
      <c r="H509" s="8" t="str">
        <f>IFNA(VLOOKUP(F509,Driver!A:C,3,false),"")</f>
        <v/>
      </c>
      <c r="I509" s="9">
        <v>0.4583333333333333</v>
      </c>
      <c r="J509" s="9">
        <v>0.8333333333333334</v>
      </c>
    </row>
    <row r="510" hidden="1">
      <c r="A510" s="5" t="str">
        <f>IFNA(VLOOKUP(D510,'Location Table'!A:C,2,false),"")</f>
        <v>d9fd5fe8-6f0c-11ef-a4aa-506b8d9879b5</v>
      </c>
      <c r="B510" s="5" t="str">
        <f>IFNA(VLOOKUP(F510,Driver!A:C,2,false),"")</f>
        <v>f3cef536-7671-11f0-84d2-506b8d982279</v>
      </c>
      <c r="C510" s="5" t="str">
        <f>IFNA(VLOOKUP(E510,'Location Table'!A:C,2,false),"")</f>
        <v/>
      </c>
      <c r="D510" s="6" t="s">
        <v>296</v>
      </c>
      <c r="E510" s="6"/>
      <c r="F510" s="6" t="s">
        <v>112</v>
      </c>
      <c r="G510" s="7" t="s">
        <v>873</v>
      </c>
      <c r="H510" s="8" t="str">
        <f>IFNA(VLOOKUP(F510,Driver!A:C,3,false),"")</f>
        <v/>
      </c>
      <c r="I510" s="9">
        <v>0.4583333333333333</v>
      </c>
      <c r="J510" s="9">
        <v>0.8333333333333334</v>
      </c>
    </row>
    <row r="511" hidden="1">
      <c r="A511" s="5" t="str">
        <f>IFNA(VLOOKUP(D511,'Location Table'!A:C,2,false),"")</f>
        <v>425ab5b8-765b-11ef-b8d8-506b8d9879b5</v>
      </c>
      <c r="B511" s="5" t="str">
        <f>IFNA(VLOOKUP(F511,Driver!A:C,2,false),"")</f>
        <v>f3cef536-7671-11f0-84d2-506b8d982279</v>
      </c>
      <c r="C511" s="5" t="str">
        <f>IFNA(VLOOKUP(E511,'Location Table'!A:C,2,false),"")</f>
        <v/>
      </c>
      <c r="D511" s="6" t="s">
        <v>297</v>
      </c>
      <c r="E511" s="6"/>
      <c r="F511" s="6" t="s">
        <v>112</v>
      </c>
      <c r="G511" s="7" t="s">
        <v>873</v>
      </c>
      <c r="H511" s="8" t="str">
        <f>IFNA(VLOOKUP(F511,Driver!A:C,3,false),"")</f>
        <v/>
      </c>
      <c r="I511" s="9">
        <v>0.4583333333333333</v>
      </c>
      <c r="J511" s="9">
        <v>0.8333333333333334</v>
      </c>
    </row>
    <row r="512" hidden="1">
      <c r="A512" s="5" t="str">
        <f>IFNA(VLOOKUP(D512,'Location Table'!A:C,2,false),"")</f>
        <v>d758c56e-a546-11ef-801d-506b8d9879b5</v>
      </c>
      <c r="B512" s="5" t="str">
        <f>IFNA(VLOOKUP(F512,Driver!A:C,2,false),"")</f>
        <v>f3cef536-7671-11f0-84d2-506b8d982279</v>
      </c>
      <c r="C512" s="5" t="str">
        <f>IFNA(VLOOKUP(E512,'Location Table'!A:C,2,false),"")</f>
        <v/>
      </c>
      <c r="D512" s="6" t="s">
        <v>298</v>
      </c>
      <c r="E512" s="6"/>
      <c r="F512" s="6" t="s">
        <v>112</v>
      </c>
      <c r="G512" s="7" t="s">
        <v>873</v>
      </c>
      <c r="H512" s="8" t="str">
        <f>IFNA(VLOOKUP(F512,Driver!A:C,3,false),"")</f>
        <v/>
      </c>
      <c r="I512" s="9">
        <v>0.4583333333333333</v>
      </c>
      <c r="J512" s="9">
        <v>0.8333333333333334</v>
      </c>
    </row>
    <row r="513" hidden="1">
      <c r="A513" s="5" t="str">
        <f>IFNA(VLOOKUP(D513,'Location Table'!A:C,2,false),"")</f>
        <v>799b3e00-b38a-11ef-b4d3-506b8d9879b5</v>
      </c>
      <c r="B513" s="5" t="str">
        <f>IFNA(VLOOKUP(F513,Driver!A:C,2,false),"")</f>
        <v>f3cef536-7671-11f0-84d2-506b8d982279</v>
      </c>
      <c r="C513" s="5" t="str">
        <f>IFNA(VLOOKUP(E513,'Location Table'!A:C,2,false),"")</f>
        <v/>
      </c>
      <c r="D513" s="6" t="s">
        <v>299</v>
      </c>
      <c r="E513" s="6"/>
      <c r="F513" s="6" t="s">
        <v>112</v>
      </c>
      <c r="G513" s="7" t="s">
        <v>873</v>
      </c>
      <c r="H513" s="8" t="str">
        <f>IFNA(VLOOKUP(F513,Driver!A:C,3,false),"")</f>
        <v/>
      </c>
      <c r="I513" s="9">
        <v>0.4583333333333333</v>
      </c>
      <c r="J513" s="9">
        <v>0.8333333333333334</v>
      </c>
    </row>
    <row r="514" hidden="1">
      <c r="A514" s="5" t="str">
        <f>IFNA(VLOOKUP(D514,'Location Table'!A:C,2,false),"")</f>
        <v>baf592d8-9dae-11f0-81c0-506b8d982279</v>
      </c>
      <c r="B514" s="5" t="str">
        <f>IFNA(VLOOKUP(F514,Driver!A:C,2,false),"")</f>
        <v>f3cef536-7671-11f0-84d2-506b8d982279</v>
      </c>
      <c r="C514" s="5" t="str">
        <f>IFNA(VLOOKUP(E514,'Location Table'!A:C,2,false),"")</f>
        <v/>
      </c>
      <c r="D514" s="6" t="s">
        <v>300</v>
      </c>
      <c r="E514" s="6"/>
      <c r="F514" s="6" t="s">
        <v>112</v>
      </c>
      <c r="G514" s="7" t="s">
        <v>873</v>
      </c>
      <c r="H514" s="8" t="str">
        <f>IFNA(VLOOKUP(F514,Driver!A:C,3,false),"")</f>
        <v/>
      </c>
      <c r="I514" s="9">
        <v>0.4583333333333333</v>
      </c>
      <c r="J514" s="9">
        <v>0.8333333333333334</v>
      </c>
    </row>
    <row r="515" hidden="1">
      <c r="A515" s="5" t="str">
        <f>IFNA(VLOOKUP(D515,'Location Table'!A:C,2,false),"")</f>
        <v>4061af16-d620-11f0-b121-506b8d982279</v>
      </c>
      <c r="B515" s="5" t="str">
        <f>IFNA(VLOOKUP(F515,Driver!A:C,2,false),"")</f>
        <v>f3cef536-7671-11f0-84d2-506b8d982279</v>
      </c>
      <c r="C515" s="5" t="str">
        <f>IFNA(VLOOKUP(E515,'Location Table'!A:C,2,false),"")</f>
        <v/>
      </c>
      <c r="D515" s="6" t="s">
        <v>301</v>
      </c>
      <c r="E515" s="6"/>
      <c r="F515" s="6" t="s">
        <v>112</v>
      </c>
      <c r="G515" s="7" t="s">
        <v>873</v>
      </c>
      <c r="H515" s="8" t="str">
        <f>IFNA(VLOOKUP(F515,Driver!A:C,3,false),"")</f>
        <v/>
      </c>
      <c r="I515" s="9">
        <v>0.4583333333333333</v>
      </c>
      <c r="J515" s="9">
        <v>0.8333333333333334</v>
      </c>
    </row>
    <row r="516" hidden="1">
      <c r="A516" s="5" t="str">
        <f>IFNA(VLOOKUP(D516,'Location Table'!A:C,2,false),"")</f>
        <v>3e36323e-a975-11f0-a790-506b8d982279</v>
      </c>
      <c r="B516" s="5" t="str">
        <f>IFNA(VLOOKUP(F516,Driver!A:C,2,false),"")</f>
        <v>f3cef536-7671-11f0-84d2-506b8d982279</v>
      </c>
      <c r="C516" s="5" t="str">
        <f>IFNA(VLOOKUP(E516,'Location Table'!A:C,2,false),"")</f>
        <v/>
      </c>
      <c r="D516" s="6" t="s">
        <v>302</v>
      </c>
      <c r="E516" s="6"/>
      <c r="F516" s="6" t="s">
        <v>112</v>
      </c>
      <c r="G516" s="7" t="s">
        <v>873</v>
      </c>
      <c r="H516" s="8" t="str">
        <f>IFNA(VLOOKUP(F516,Driver!A:C,3,false),"")</f>
        <v/>
      </c>
      <c r="I516" s="9">
        <v>0.4583333333333333</v>
      </c>
      <c r="J516" s="9">
        <v>0.8333333333333334</v>
      </c>
    </row>
    <row r="517" hidden="1">
      <c r="A517" s="5" t="str">
        <f>IFNA(VLOOKUP(D517,'Location Table'!A:C,2,false),"")</f>
        <v>d79450a8-ca70-11ef-a888-506b8d9879b5</v>
      </c>
      <c r="B517" s="5" t="str">
        <f>IFNA(VLOOKUP(F517,Driver!A:C,2,false),"")</f>
        <v>f3cef536-7671-11f0-84d2-506b8d982279</v>
      </c>
      <c r="C517" s="5" t="str">
        <f>IFNA(VLOOKUP(E517,'Location Table'!A:C,2,false),"")</f>
        <v/>
      </c>
      <c r="D517" s="6" t="s">
        <v>303</v>
      </c>
      <c r="E517" s="6"/>
      <c r="F517" s="6" t="s">
        <v>112</v>
      </c>
      <c r="G517" s="7" t="s">
        <v>873</v>
      </c>
      <c r="H517" s="8" t="str">
        <f>IFNA(VLOOKUP(F517,Driver!A:C,3,false),"")</f>
        <v/>
      </c>
      <c r="I517" s="9">
        <v>0.4583333333333333</v>
      </c>
      <c r="J517" s="9">
        <v>0.8333333333333334</v>
      </c>
    </row>
    <row r="518" hidden="1">
      <c r="A518" s="5" t="str">
        <f>IFNA(VLOOKUP(D518,'Location Table'!A:C,2,false),"")</f>
        <v>dd3d2fcc-0111-11ee-96ed-506b8dbc8dfb</v>
      </c>
      <c r="B518" s="5" t="str">
        <f>IFNA(VLOOKUP(F518,Driver!A:C,2,false),"")</f>
        <v>f3cef536-7671-11f0-84d2-506b8d982279</v>
      </c>
      <c r="C518" s="5" t="str">
        <f>IFNA(VLOOKUP(E518,'Location Table'!A:C,2,false),"")</f>
        <v/>
      </c>
      <c r="D518" s="6" t="s">
        <v>304</v>
      </c>
      <c r="E518" s="6"/>
      <c r="F518" s="6" t="s">
        <v>112</v>
      </c>
      <c r="G518" s="7" t="s">
        <v>873</v>
      </c>
      <c r="H518" s="8" t="str">
        <f>IFNA(VLOOKUP(F518,Driver!A:C,3,false),"")</f>
        <v/>
      </c>
      <c r="I518" s="9">
        <v>0.4583333333333333</v>
      </c>
      <c r="J518" s="9">
        <v>0.8333333333333334</v>
      </c>
    </row>
    <row r="519" hidden="1">
      <c r="A519" s="5" t="str">
        <f>IFNA(VLOOKUP(D519,'Location Table'!A:C,2,false),"")</f>
        <v>b4c275cc-8070-11ef-83a4-506b8d9879b5</v>
      </c>
      <c r="B519" s="5" t="str">
        <f>IFNA(VLOOKUP(F519,Driver!A:C,2,false),"")</f>
        <v>f3cef536-7671-11f0-84d2-506b8d982279</v>
      </c>
      <c r="C519" s="5" t="str">
        <f>IFNA(VLOOKUP(E519,'Location Table'!A:C,2,false),"")</f>
        <v/>
      </c>
      <c r="D519" s="6" t="s">
        <v>305</v>
      </c>
      <c r="E519" s="6"/>
      <c r="F519" s="6" t="s">
        <v>112</v>
      </c>
      <c r="G519" s="7" t="s">
        <v>873</v>
      </c>
      <c r="H519" s="8" t="str">
        <f>IFNA(VLOOKUP(F519,Driver!A:C,3,false),"")</f>
        <v/>
      </c>
      <c r="I519" s="9">
        <v>0.4583333333333333</v>
      </c>
      <c r="J519" s="9">
        <v>0.8333333333333334</v>
      </c>
    </row>
    <row r="520" hidden="1">
      <c r="A520" s="5" t="str">
        <f>IFNA(VLOOKUP(D520,'Location Table'!A:C,2,false),"")</f>
        <v>f6cf48fa-2a03-11ef-86e0-506b8d9879b5</v>
      </c>
      <c r="B520" s="5" t="str">
        <f>IFNA(VLOOKUP(F520,Driver!A:C,2,false),"")</f>
        <v>f3cef536-7671-11f0-84d2-506b8d982279</v>
      </c>
      <c r="C520" s="5" t="str">
        <f>IFNA(VLOOKUP(E520,'Location Table'!A:C,2,false),"")</f>
        <v/>
      </c>
      <c r="D520" s="6" t="s">
        <v>306</v>
      </c>
      <c r="E520" s="6"/>
      <c r="F520" s="6" t="s">
        <v>112</v>
      </c>
      <c r="G520" s="7" t="s">
        <v>873</v>
      </c>
      <c r="H520" s="8" t="str">
        <f>IFNA(VLOOKUP(F520,Driver!A:C,3,false),"")</f>
        <v/>
      </c>
      <c r="I520" s="9">
        <v>0.4583333333333333</v>
      </c>
      <c r="J520" s="9">
        <v>0.8333333333333334</v>
      </c>
    </row>
    <row r="521" hidden="1">
      <c r="A521" s="5" t="str">
        <f>IFNA(VLOOKUP(D521,'Location Table'!A:C,2,false),"")</f>
        <v>c0c4459e-010f-11ee-a6cd-506b8dbc8dfb</v>
      </c>
      <c r="B521" s="5" t="str">
        <f>IFNA(VLOOKUP(F521,Driver!A:C,2,false),"")</f>
        <v>f3cef536-7671-11f0-84d2-506b8d982279</v>
      </c>
      <c r="C521" s="5" t="str">
        <f>IFNA(VLOOKUP(E521,'Location Table'!A:C,2,false),"")</f>
        <v/>
      </c>
      <c r="D521" s="6" t="s">
        <v>307</v>
      </c>
      <c r="E521" s="6"/>
      <c r="F521" s="6" t="s">
        <v>112</v>
      </c>
      <c r="G521" s="7" t="s">
        <v>873</v>
      </c>
      <c r="H521" s="8" t="str">
        <f>IFNA(VLOOKUP(F521,Driver!A:C,3,false),"")</f>
        <v/>
      </c>
      <c r="I521" s="9">
        <v>0.4583333333333333</v>
      </c>
      <c r="J521" s="9">
        <v>0.8333333333333334</v>
      </c>
    </row>
    <row r="522" hidden="1">
      <c r="A522" s="5" t="str">
        <f>IFNA(VLOOKUP(D522,'Location Table'!A:C,2,false),"")</f>
        <v>407d272e-0110-11ee-b0a3-506b8dbc8dfb</v>
      </c>
      <c r="B522" s="5" t="str">
        <f>IFNA(VLOOKUP(F522,Driver!A:C,2,false),"")</f>
        <v>f3cef536-7671-11f0-84d2-506b8d982279</v>
      </c>
      <c r="C522" s="5" t="str">
        <f>IFNA(VLOOKUP(E522,'Location Table'!A:C,2,false),"")</f>
        <v/>
      </c>
      <c r="D522" s="6" t="s">
        <v>308</v>
      </c>
      <c r="E522" s="6"/>
      <c r="F522" s="6" t="s">
        <v>112</v>
      </c>
      <c r="G522" s="7" t="s">
        <v>873</v>
      </c>
      <c r="H522" s="8" t="str">
        <f>IFNA(VLOOKUP(F522,Driver!A:C,3,false),"")</f>
        <v/>
      </c>
      <c r="I522" s="9">
        <v>0.4583333333333333</v>
      </c>
      <c r="J522" s="9">
        <v>0.8333333333333334</v>
      </c>
    </row>
    <row r="523" hidden="1">
      <c r="A523" s="5" t="str">
        <f>IFNA(VLOOKUP(D523,'Location Table'!A:C,2,false),"")</f>
        <v>c320f744-4a06-11ed-adc5-506b8dbc8dfb</v>
      </c>
      <c r="B523" s="5" t="str">
        <f>IFNA(VLOOKUP(F523,Driver!A:C,2,false),"")</f>
        <v>f3cef536-7671-11f0-84d2-506b8d982279</v>
      </c>
      <c r="C523" s="5" t="str">
        <f>IFNA(VLOOKUP(E523,'Location Table'!A:C,2,false),"")</f>
        <v/>
      </c>
      <c r="D523" s="6" t="s">
        <v>309</v>
      </c>
      <c r="E523" s="6"/>
      <c r="F523" s="6" t="s">
        <v>112</v>
      </c>
      <c r="G523" s="7" t="s">
        <v>873</v>
      </c>
      <c r="H523" s="8" t="str">
        <f>IFNA(VLOOKUP(F523,Driver!A:C,3,false),"")</f>
        <v/>
      </c>
      <c r="I523" s="9">
        <v>0.4583333333333333</v>
      </c>
      <c r="J523" s="9">
        <v>0.8333333333333334</v>
      </c>
    </row>
    <row r="524" hidden="1">
      <c r="A524" s="5" t="str">
        <f>IFNA(VLOOKUP(D524,'Location Table'!A:C,2,false),"")</f>
        <v>29c1bb04-4a08-11ed-9d26-506b8dbc8dfb</v>
      </c>
      <c r="B524" s="5" t="str">
        <f>IFNA(VLOOKUP(F524,Driver!A:C,2,false),"")</f>
        <v>f3cef536-7671-11f0-84d2-506b8d982279</v>
      </c>
      <c r="C524" s="5" t="str">
        <f>IFNA(VLOOKUP(E524,'Location Table'!A:C,2,false),"")</f>
        <v/>
      </c>
      <c r="D524" s="6" t="s">
        <v>310</v>
      </c>
      <c r="E524" s="6"/>
      <c r="F524" s="6" t="s">
        <v>112</v>
      </c>
      <c r="G524" s="7" t="s">
        <v>873</v>
      </c>
      <c r="H524" s="8" t="str">
        <f>IFNA(VLOOKUP(F524,Driver!A:C,3,false),"")</f>
        <v/>
      </c>
      <c r="I524" s="9">
        <v>0.4583333333333333</v>
      </c>
      <c r="J524" s="9">
        <v>0.8333333333333334</v>
      </c>
    </row>
    <row r="525" hidden="1">
      <c r="A525" s="5" t="str">
        <f>IFNA(VLOOKUP(D525,'Location Table'!A:C,2,false),"")</f>
        <v>e9b61bae-005d-11f0-afd2-506b8d9879b5</v>
      </c>
      <c r="B525" s="5" t="str">
        <f>IFNA(VLOOKUP(F525,Driver!A:C,2,false),"")</f>
        <v>f3cef536-7671-11f0-84d2-506b8d982279</v>
      </c>
      <c r="C525" s="5" t="str">
        <f>IFNA(VLOOKUP(E525,'Location Table'!A:C,2,false),"")</f>
        <v/>
      </c>
      <c r="D525" s="6" t="s">
        <v>311</v>
      </c>
      <c r="E525" s="6"/>
      <c r="F525" s="6" t="s">
        <v>112</v>
      </c>
      <c r="G525" s="7" t="s">
        <v>873</v>
      </c>
      <c r="H525" s="8" t="str">
        <f>IFNA(VLOOKUP(F525,Driver!A:C,3,false),"")</f>
        <v/>
      </c>
      <c r="I525" s="9">
        <v>0.4583333333333333</v>
      </c>
      <c r="J525" s="9">
        <v>0.8333333333333334</v>
      </c>
    </row>
    <row r="526" hidden="1">
      <c r="A526" s="5" t="str">
        <f>IFNA(VLOOKUP(D526,'Location Table'!A:C,2,false),"")</f>
        <v>79fe49a8-0113-11ee-bb47-506b8dbc8dfb</v>
      </c>
      <c r="B526" s="5" t="str">
        <f>IFNA(VLOOKUP(F526,Driver!A:C,2,false),"")</f>
        <v>f3cef536-7671-11f0-84d2-506b8d982279</v>
      </c>
      <c r="C526" s="5" t="str">
        <f>IFNA(VLOOKUP(E526,'Location Table'!A:C,2,false),"")</f>
        <v/>
      </c>
      <c r="D526" s="6" t="s">
        <v>312</v>
      </c>
      <c r="E526" s="6"/>
      <c r="F526" s="6" t="s">
        <v>112</v>
      </c>
      <c r="G526" s="7" t="s">
        <v>873</v>
      </c>
      <c r="H526" s="8" t="str">
        <f>IFNA(VLOOKUP(F526,Driver!A:C,3,false),"")</f>
        <v/>
      </c>
      <c r="I526" s="9">
        <v>0.4583333333333333</v>
      </c>
      <c r="J526" s="9">
        <v>0.8333333333333334</v>
      </c>
    </row>
    <row r="527" hidden="1">
      <c r="A527" s="5" t="str">
        <f>IFNA(VLOOKUP(D527,'Location Table'!A:C,2,false),"")</f>
        <v>56eabc04-8eaf-11f0-a814-506b8d982279</v>
      </c>
      <c r="B527" s="5" t="str">
        <f>IFNA(VLOOKUP(F527,Driver!A:C,2,false),"")</f>
        <v>feb9afca-fcce-11f0-9378-fa163ee8d8ac</v>
      </c>
      <c r="C527" s="5" t="str">
        <f>IFNA(VLOOKUP(E527,'Location Table'!A:C,2,false),"")</f>
        <v/>
      </c>
      <c r="D527" s="6" t="s">
        <v>313</v>
      </c>
      <c r="E527" s="6"/>
      <c r="F527" s="6" t="s">
        <v>879</v>
      </c>
      <c r="G527" s="7" t="s">
        <v>873</v>
      </c>
      <c r="H527" s="8" t="str">
        <f>IFNA(VLOOKUP(F527,Driver!A:C,3,false),"")</f>
        <v/>
      </c>
      <c r="I527" s="9">
        <v>0.6875</v>
      </c>
      <c r="J527" s="9">
        <v>0.7916666666666666</v>
      </c>
    </row>
    <row r="528" hidden="1">
      <c r="A528" s="5" t="str">
        <f>IFNA(VLOOKUP(D528,'Location Table'!A:C,2,false),"")</f>
        <v>c0f4fa12-4626-11ed-8f3f-506b8dbc8dfb</v>
      </c>
      <c r="B528" s="5" t="str">
        <f>IFNA(VLOOKUP(F528,Driver!A:C,2,false),"")</f>
        <v>4e1ad614-6cdb-11ef-807b-506b8d9879b5</v>
      </c>
      <c r="C528" s="5" t="str">
        <f>IFNA(VLOOKUP(E528,'Location Table'!A:C,2,false),"")</f>
        <v/>
      </c>
      <c r="D528" s="6" t="s">
        <v>315</v>
      </c>
      <c r="E528" s="6"/>
      <c r="F528" s="6" t="s">
        <v>512</v>
      </c>
      <c r="G528" s="7" t="s">
        <v>873</v>
      </c>
      <c r="H528" s="8" t="str">
        <f>IFNA(VLOOKUP(F528,Driver!A:C,3,false),"")</f>
        <v>65a6581b624a8b14d25b</v>
      </c>
      <c r="I528" s="9">
        <v>0.6875</v>
      </c>
      <c r="J528" s="9">
        <v>0.7708333333333334</v>
      </c>
    </row>
    <row r="529" hidden="1">
      <c r="A529" s="5" t="str">
        <f>IFNA(VLOOKUP(D529,'Location Table'!A:C,2,false),"")</f>
        <v>ddd9ae3e-4626-11ed-bb97-506b8dbc8dfb</v>
      </c>
      <c r="B529" s="5" t="str">
        <f>IFNA(VLOOKUP(F529,Driver!A:C,2,false),"")</f>
        <v>4e1ad614-6cdb-11ef-807b-506b8d9879b5</v>
      </c>
      <c r="C529" s="5" t="str">
        <f>IFNA(VLOOKUP(E529,'Location Table'!A:C,2,false),"")</f>
        <v/>
      </c>
      <c r="D529" s="6" t="s">
        <v>316</v>
      </c>
      <c r="E529" s="6"/>
      <c r="F529" s="6" t="s">
        <v>512</v>
      </c>
      <c r="G529" s="7" t="s">
        <v>873</v>
      </c>
      <c r="H529" s="8" t="str">
        <f>IFNA(VLOOKUP(F529,Driver!A:C,3,false),"")</f>
        <v>65a6581b624a8b14d25b</v>
      </c>
      <c r="I529" s="9">
        <v>0.6875</v>
      </c>
      <c r="J529" s="9">
        <v>0.7708333333333334</v>
      </c>
    </row>
    <row r="530" hidden="1">
      <c r="A530" s="5" t="str">
        <f>IFNA(VLOOKUP(D530,'Location Table'!A:C,2,false),"")</f>
        <v>6ea5cc10-32b0-11ee-b2df-506b8d9879b5</v>
      </c>
      <c r="B530" s="5" t="str">
        <f>IFNA(VLOOKUP(F530,Driver!A:C,2,false),"")</f>
        <v>feb9afca-fcce-11f0-9378-fa163ee8d8ac</v>
      </c>
      <c r="C530" s="5" t="str">
        <f>IFNA(VLOOKUP(E530,'Location Table'!A:C,2,false),"")</f>
        <v/>
      </c>
      <c r="D530" s="6" t="s">
        <v>317</v>
      </c>
      <c r="E530" s="6"/>
      <c r="F530" s="6" t="s">
        <v>879</v>
      </c>
      <c r="G530" s="7" t="s">
        <v>873</v>
      </c>
      <c r="H530" s="8" t="str">
        <f>IFNA(VLOOKUP(F530,Driver!A:C,3,false),"")</f>
        <v/>
      </c>
      <c r="I530" s="9">
        <v>0.6875</v>
      </c>
      <c r="J530" s="9">
        <v>0.7916666666666666</v>
      </c>
    </row>
    <row r="531" hidden="1">
      <c r="A531" s="5" t="str">
        <f>IFNA(VLOOKUP(D531,'Location Table'!A:C,2,false),"")</f>
        <v>f9134f28-14e0-11ee-9d74-506b8dbc8dfb</v>
      </c>
      <c r="B531" s="5" t="str">
        <f>IFNA(VLOOKUP(F531,Driver!A:C,2,false),"")</f>
        <v>feb9afca-fcce-11f0-9378-fa163ee8d8ac</v>
      </c>
      <c r="C531" s="5" t="str">
        <f>IFNA(VLOOKUP(E531,'Location Table'!A:C,2,false),"")</f>
        <v/>
      </c>
      <c r="D531" s="6" t="s">
        <v>318</v>
      </c>
      <c r="E531" s="6"/>
      <c r="F531" s="6" t="s">
        <v>879</v>
      </c>
      <c r="G531" s="7" t="s">
        <v>873</v>
      </c>
      <c r="H531" s="8" t="str">
        <f>IFNA(VLOOKUP(F531,Driver!A:C,3,false),"")</f>
        <v/>
      </c>
      <c r="I531" s="9">
        <v>0.75</v>
      </c>
      <c r="J531" s="9">
        <v>0.7916666666666666</v>
      </c>
    </row>
    <row r="532" hidden="1">
      <c r="A532" s="5" t="str">
        <f>IFNA(VLOOKUP(D532,'Location Table'!A:C,2,false),"")</f>
        <v>c3edb45e-3b9f-11f0-99d0-506b8d982279</v>
      </c>
      <c r="B532" s="5" t="str">
        <f>IFNA(VLOOKUP(F532,Driver!A:C,2,false),"")</f>
        <v>feb9afca-fcce-11f0-9378-fa163ee8d8ac</v>
      </c>
      <c r="C532" s="5" t="str">
        <f>IFNA(VLOOKUP(E532,'Location Table'!A:C,2,false),"")</f>
        <v/>
      </c>
      <c r="D532" s="6" t="s">
        <v>322</v>
      </c>
      <c r="E532" s="6"/>
      <c r="F532" s="6" t="s">
        <v>879</v>
      </c>
      <c r="G532" s="7" t="s">
        <v>873</v>
      </c>
      <c r="H532" s="8" t="str">
        <f>IFNA(VLOOKUP(F532,Driver!A:C,3,false),"")</f>
        <v/>
      </c>
      <c r="I532" s="9">
        <v>0.6666666666666666</v>
      </c>
      <c r="J532" s="9">
        <v>0.7916666666666666</v>
      </c>
    </row>
    <row r="533" hidden="1">
      <c r="A533" s="5" t="str">
        <f>IFNA(VLOOKUP(D533,'Location Table'!A:C,2,false),"")</f>
        <v>b0725974-ba9b-11ee-bffa-506b8d9879b5</v>
      </c>
      <c r="B533" s="5" t="str">
        <f>IFNA(VLOOKUP(F533,Driver!A:C,2,false),"")</f>
        <v>feb9afca-fcce-11f0-9378-fa163ee8d8ac</v>
      </c>
      <c r="C533" s="5" t="str">
        <f>IFNA(VLOOKUP(E533,'Location Table'!A:C,2,false),"")</f>
        <v/>
      </c>
      <c r="D533" s="6" t="s">
        <v>323</v>
      </c>
      <c r="E533" s="6"/>
      <c r="F533" s="6" t="s">
        <v>879</v>
      </c>
      <c r="G533" s="7" t="s">
        <v>873</v>
      </c>
      <c r="H533" s="8" t="str">
        <f>IFNA(VLOOKUP(F533,Driver!A:C,3,false),"")</f>
        <v/>
      </c>
      <c r="I533" s="9">
        <v>0.6875</v>
      </c>
      <c r="J533" s="9">
        <v>0.7916666666666666</v>
      </c>
    </row>
    <row r="534" hidden="1">
      <c r="A534" s="5" t="str">
        <f>IFNA(VLOOKUP(D534,'Location Table'!A:C,2,false),"")</f>
        <v>8d7c8f4c-4626-11ed-b4de-506b8dbc8dfb</v>
      </c>
      <c r="B534" s="5" t="str">
        <f>IFNA(VLOOKUP(F534,Driver!A:C,2,false),"")</f>
        <v>feb9afca-fcce-11f0-9378-fa163ee8d8ac</v>
      </c>
      <c r="C534" s="5" t="str">
        <f>IFNA(VLOOKUP(E534,'Location Table'!A:C,2,false),"")</f>
        <v/>
      </c>
      <c r="D534" s="6" t="s">
        <v>324</v>
      </c>
      <c r="E534" s="6"/>
      <c r="F534" s="6" t="s">
        <v>879</v>
      </c>
      <c r="G534" s="7" t="s">
        <v>873</v>
      </c>
      <c r="H534" s="8" t="str">
        <f>IFNA(VLOOKUP(F534,Driver!A:C,3,false),"")</f>
        <v/>
      </c>
      <c r="I534" s="9">
        <v>0.6875</v>
      </c>
      <c r="J534" s="9">
        <v>0.7916666666666666</v>
      </c>
    </row>
    <row r="535" hidden="1">
      <c r="A535" s="5" t="str">
        <f>IFNA(VLOOKUP(D535,'Location Table'!A:C,2,false),"")</f>
        <v>43ac08be-380d-11ee-800b-506b8d9879b5</v>
      </c>
      <c r="B535" s="5" t="str">
        <f>IFNA(VLOOKUP(F535,Driver!A:C,2,false),"")</f>
        <v>c1149922-ecea-11ef-a670-506b8d9879b5</v>
      </c>
      <c r="C535" s="5" t="str">
        <f>IFNA(VLOOKUP(E535,'Location Table'!A:C,2,false),"")</f>
        <v/>
      </c>
      <c r="D535" s="6" t="s">
        <v>325</v>
      </c>
      <c r="E535" s="6"/>
      <c r="F535" s="6" t="s">
        <v>509</v>
      </c>
      <c r="G535" s="7" t="s">
        <v>873</v>
      </c>
      <c r="H535" s="8" t="str">
        <f>IFNA(VLOOKUP(F535,Driver!A:C,3,false),"")</f>
        <v/>
      </c>
      <c r="I535" s="9">
        <v>0.6666666666666666</v>
      </c>
      <c r="J535" s="9">
        <v>0.7916666666666666</v>
      </c>
    </row>
    <row r="536" hidden="1">
      <c r="A536" s="5" t="str">
        <f>IFNA(VLOOKUP(D536,'Location Table'!A:C,2,false),"")</f>
        <v>e8cd6044-4b22-11ef-902f-506b8d9879b5</v>
      </c>
      <c r="B536" s="5" t="str">
        <f>IFNA(VLOOKUP(F536,Driver!A:C,2,false),"")</f>
        <v>443c5016-3017-11ee-a6b5-506b8d9879b5</v>
      </c>
      <c r="C536" s="5" t="str">
        <f>IFNA(VLOOKUP(E536,'Location Table'!A:C,2,false),"")</f>
        <v/>
      </c>
      <c r="D536" s="6" t="s">
        <v>337</v>
      </c>
      <c r="E536" s="6"/>
      <c r="F536" s="6" t="s">
        <v>513</v>
      </c>
      <c r="G536" s="7" t="s">
        <v>873</v>
      </c>
      <c r="H536" s="8" t="str">
        <f>IFNA(VLOOKUP(F536,Driver!A:C,3,false),"")</f>
        <v>430767465e0cb752ee1d</v>
      </c>
      <c r="I536" s="9">
        <v>0.6875</v>
      </c>
      <c r="J536" s="9">
        <v>0.7916666666666666</v>
      </c>
    </row>
    <row r="537" hidden="1">
      <c r="A537" s="5" t="str">
        <f>IFNA(VLOOKUP(D537,'Location Table'!A:C,2,false),"")</f>
        <v>702f6dc4-4626-11ed-88ba-506b8dbc8dfb</v>
      </c>
      <c r="B537" s="5" t="str">
        <f>IFNA(VLOOKUP(F537,Driver!A:C,2,false),"")</f>
        <v>443c5016-3017-11ee-a6b5-506b8d9879b5</v>
      </c>
      <c r="C537" s="5" t="str">
        <f>IFNA(VLOOKUP(E537,'Location Table'!A:C,2,false),"")</f>
        <v/>
      </c>
      <c r="D537" s="6" t="s">
        <v>339</v>
      </c>
      <c r="E537" s="6"/>
      <c r="F537" s="6" t="s">
        <v>513</v>
      </c>
      <c r="G537" s="7" t="s">
        <v>873</v>
      </c>
      <c r="H537" s="8" t="str">
        <f>IFNA(VLOOKUP(F537,Driver!A:C,3,false),"")</f>
        <v>430767465e0cb752ee1d</v>
      </c>
      <c r="I537" s="9">
        <v>0.6875</v>
      </c>
      <c r="J537" s="9">
        <v>0.7916666666666666</v>
      </c>
    </row>
    <row r="538" hidden="1">
      <c r="A538" s="5" t="str">
        <f>IFNA(VLOOKUP(D538,'Location Table'!A:C,2,false),"")</f>
        <v>542902da-21f8-11ee-bcde-506b8d9879b5</v>
      </c>
      <c r="B538" s="5" t="str">
        <f>IFNA(VLOOKUP(F538,Driver!A:C,2,false),"")</f>
        <v>443c5016-3017-11ee-a6b5-506b8d9879b5</v>
      </c>
      <c r="C538" s="5" t="str">
        <f>IFNA(VLOOKUP(E538,'Location Table'!A:C,2,false),"")</f>
        <v/>
      </c>
      <c r="D538" s="6" t="s">
        <v>340</v>
      </c>
      <c r="E538" s="6"/>
      <c r="F538" s="6" t="s">
        <v>513</v>
      </c>
      <c r="G538" s="7" t="s">
        <v>873</v>
      </c>
      <c r="H538" s="8" t="str">
        <f>IFNA(VLOOKUP(F538,Driver!A:C,3,false),"")</f>
        <v>430767465e0cb752ee1d</v>
      </c>
      <c r="I538" s="9">
        <v>0.6875</v>
      </c>
      <c r="J538" s="9">
        <v>0.7916666666666666</v>
      </c>
    </row>
    <row r="539" hidden="1">
      <c r="A539" s="5" t="str">
        <f>IFNA(VLOOKUP(D539,'Location Table'!A:C,2,false),"")</f>
        <v>7e60488c-9b1b-11ee-8ad8-506b8d9879b5</v>
      </c>
      <c r="B539" s="5" t="str">
        <f>IFNA(VLOOKUP(F539,Driver!A:C,2,false),"")</f>
        <v>443c5016-3017-11ee-a6b5-506b8d9879b5</v>
      </c>
      <c r="C539" s="5" t="str">
        <f>IFNA(VLOOKUP(E539,'Location Table'!A:C,2,false),"")</f>
        <v/>
      </c>
      <c r="D539" s="6" t="s">
        <v>341</v>
      </c>
      <c r="E539" s="6"/>
      <c r="F539" s="6" t="s">
        <v>513</v>
      </c>
      <c r="G539" s="7" t="s">
        <v>873</v>
      </c>
      <c r="H539" s="8" t="str">
        <f>IFNA(VLOOKUP(F539,Driver!A:C,3,false),"")</f>
        <v>430767465e0cb752ee1d</v>
      </c>
      <c r="I539" s="9">
        <v>0.6875</v>
      </c>
      <c r="J539" s="9">
        <v>0.7916666666666666</v>
      </c>
    </row>
    <row r="540" hidden="1">
      <c r="A540" s="5" t="str">
        <f>IFNA(VLOOKUP(D540,'Location Table'!A:C,2,false),"")</f>
        <v>de879fd6-4625-11ed-94a6-506b8dbc8dfb</v>
      </c>
      <c r="B540" s="5" t="str">
        <f>IFNA(VLOOKUP(F540,Driver!A:C,2,false),"")</f>
        <v>1f4f6cae-37cd-11ed-a84d-506b8dbc8dfb</v>
      </c>
      <c r="C540" s="5" t="str">
        <f>IFNA(VLOOKUP(E540,'Location Table'!A:C,2,false),"")</f>
        <v/>
      </c>
      <c r="D540" s="6" t="s">
        <v>344</v>
      </c>
      <c r="E540" s="6"/>
      <c r="F540" s="6" t="s">
        <v>514</v>
      </c>
      <c r="G540" s="7" t="s">
        <v>873</v>
      </c>
      <c r="H540" s="8" t="str">
        <f>IFNA(VLOOKUP(F540,Driver!A:C,3,false),"")</f>
        <v>595aed435d09b457ed18</v>
      </c>
      <c r="I540" s="9">
        <v>0.6875</v>
      </c>
      <c r="J540" s="9">
        <v>0.7916666666666666</v>
      </c>
    </row>
    <row r="541" hidden="1">
      <c r="A541" s="5" t="str">
        <f>IFNA(VLOOKUP(D541,'Location Table'!A:C,2,false),"")</f>
        <v>f80a7e92-4625-11ed-8ccf-506b8dbc8dfb</v>
      </c>
      <c r="B541" s="5" t="str">
        <f>IFNA(VLOOKUP(F541,Driver!A:C,2,false),"")</f>
        <v>feb9afca-fcce-11f0-9378-fa163ee8d8ac</v>
      </c>
      <c r="C541" s="5" t="str">
        <f>IFNA(VLOOKUP(E541,'Location Table'!A:C,2,false),"")</f>
        <v/>
      </c>
      <c r="D541" s="6" t="s">
        <v>345</v>
      </c>
      <c r="E541" s="6"/>
      <c r="F541" s="6" t="s">
        <v>879</v>
      </c>
      <c r="G541" s="7" t="s">
        <v>873</v>
      </c>
      <c r="H541" s="8" t="str">
        <f>IFNA(VLOOKUP(F541,Driver!A:C,3,false),"")</f>
        <v/>
      </c>
      <c r="I541" s="9">
        <v>0.6666666666666666</v>
      </c>
      <c r="J541" s="9">
        <v>0.7916666666666666</v>
      </c>
    </row>
    <row r="542" hidden="1">
      <c r="A542" s="5" t="str">
        <f>IFNA(VLOOKUP(D542,'Location Table'!A:C,2,false),"")</f>
        <v>c7fafdda-21f8-11ee-b604-506b8d9879b5</v>
      </c>
      <c r="B542" s="5" t="str">
        <f>IFNA(VLOOKUP(F542,Driver!A:C,2,false),"")</f>
        <v>af57dfcc-782d-11f0-b407-506b8d982279</v>
      </c>
      <c r="C542" s="5" t="str">
        <f>IFNA(VLOOKUP(E542,'Location Table'!A:C,2,false),"")</f>
        <v/>
      </c>
      <c r="D542" s="6" t="s">
        <v>351</v>
      </c>
      <c r="E542" s="6"/>
      <c r="F542" s="6" t="s">
        <v>515</v>
      </c>
      <c r="G542" s="7" t="s">
        <v>873</v>
      </c>
      <c r="H542" s="8" t="str">
        <f>IFNA(VLOOKUP(F542,Driver!A:C,3,false),"")</f>
        <v>d9fc37dd4093a9cdf082</v>
      </c>
      <c r="I542" s="9">
        <v>0.6875</v>
      </c>
      <c r="J542" s="9">
        <v>0.7916666666666666</v>
      </c>
    </row>
    <row r="543" hidden="1">
      <c r="A543" s="5" t="str">
        <f>IFNA(VLOOKUP(D543,'Location Table'!A:C,2,false),"")</f>
        <v>f1da5514-4626-11ed-b3bb-506b8dbc8dfb</v>
      </c>
      <c r="B543" s="5" t="str">
        <f>IFNA(VLOOKUP(F543,Driver!A:C,2,false),"")</f>
        <v>af57dfcc-782d-11f0-b407-506b8d982279</v>
      </c>
      <c r="C543" s="5" t="str">
        <f>IFNA(VLOOKUP(E543,'Location Table'!A:C,2,false),"")</f>
        <v/>
      </c>
      <c r="D543" s="6" t="s">
        <v>352</v>
      </c>
      <c r="E543" s="6"/>
      <c r="F543" s="6" t="s">
        <v>515</v>
      </c>
      <c r="G543" s="7" t="s">
        <v>873</v>
      </c>
      <c r="H543" s="8" t="str">
        <f>IFNA(VLOOKUP(F543,Driver!A:C,3,false),"")</f>
        <v>d9fc37dd4093a9cdf082</v>
      </c>
      <c r="I543" s="9">
        <v>0.6875</v>
      </c>
      <c r="J543" s="9">
        <v>0.7916666666666666</v>
      </c>
    </row>
    <row r="544" hidden="1">
      <c r="A544" s="5" t="str">
        <f>IFNA(VLOOKUP(D544,'Location Table'!A:C,2,false),"")</f>
        <v>806f01ba-5cab-11f0-9f9a-506b8d982279</v>
      </c>
      <c r="B544" s="5" t="str">
        <f>IFNA(VLOOKUP(F544,Driver!A:C,2,false),"")</f>
        <v>af57dfcc-782d-11f0-b407-506b8d982279</v>
      </c>
      <c r="C544" s="5" t="str">
        <f>IFNA(VLOOKUP(E544,'Location Table'!A:C,2,false),"")</f>
        <v/>
      </c>
      <c r="D544" s="6" t="s">
        <v>353</v>
      </c>
      <c r="E544" s="6"/>
      <c r="F544" s="6" t="s">
        <v>515</v>
      </c>
      <c r="G544" s="7" t="s">
        <v>873</v>
      </c>
      <c r="H544" s="8" t="str">
        <f>IFNA(VLOOKUP(F544,Driver!A:C,3,false),"")</f>
        <v>d9fc37dd4093a9cdf082</v>
      </c>
      <c r="I544" s="9">
        <v>0.6875</v>
      </c>
      <c r="J544" s="9">
        <v>0.7916666666666666</v>
      </c>
    </row>
    <row r="545" hidden="1">
      <c r="A545" s="5" t="str">
        <f>IFNA(VLOOKUP(D545,'Location Table'!A:C,2,false),"")</f>
        <v>7bd9c268-4627-11ed-9d8d-506b8dbc8dfb</v>
      </c>
      <c r="B545" s="5" t="str">
        <f>IFNA(VLOOKUP(F545,Driver!A:C,2,false),"")</f>
        <v>443c5016-3017-11ee-a6b5-506b8d9879b5</v>
      </c>
      <c r="C545" s="5" t="str">
        <f>IFNA(VLOOKUP(E545,'Location Table'!A:C,2,false),"")</f>
        <v/>
      </c>
      <c r="D545" s="6" t="s">
        <v>357</v>
      </c>
      <c r="E545" s="6"/>
      <c r="F545" s="6" t="s">
        <v>513</v>
      </c>
      <c r="G545" s="7" t="s">
        <v>873</v>
      </c>
      <c r="H545" s="8" t="str">
        <f>IFNA(VLOOKUP(F545,Driver!A:C,3,false),"")</f>
        <v>430767465e0cb752ee1d</v>
      </c>
      <c r="I545" s="9">
        <v>0.6875</v>
      </c>
      <c r="J545" s="9">
        <v>0.7916666666666666</v>
      </c>
    </row>
    <row r="546" hidden="1">
      <c r="A546" s="5" t="str">
        <f>IFNA(VLOOKUP(D546,'Location Table'!A:C,2,false),"")</f>
        <v>c828ca08-32b0-11ee-b9b6-506b8d9879b5</v>
      </c>
      <c r="B546" s="5" t="str">
        <f>IFNA(VLOOKUP(F546,Driver!A:C,2,false),"")</f>
        <v>443c5016-3017-11ee-a6b5-506b8d9879b5</v>
      </c>
      <c r="C546" s="5" t="str">
        <f>IFNA(VLOOKUP(E546,'Location Table'!A:C,2,false),"")</f>
        <v/>
      </c>
      <c r="D546" s="6" t="s">
        <v>359</v>
      </c>
      <c r="E546" s="6"/>
      <c r="F546" s="6" t="s">
        <v>513</v>
      </c>
      <c r="G546" s="7" t="s">
        <v>873</v>
      </c>
      <c r="H546" s="8" t="str">
        <f>IFNA(VLOOKUP(F546,Driver!A:C,3,false),"")</f>
        <v>430767465e0cb752ee1d</v>
      </c>
      <c r="I546" s="9">
        <v>0.6875</v>
      </c>
      <c r="J546" s="9">
        <v>0.7916666666666666</v>
      </c>
    </row>
    <row r="547" hidden="1">
      <c r="A547" s="5" t="str">
        <f>IFNA(VLOOKUP(D547,'Location Table'!A:C,2,false),"")</f>
        <v>4dba51fe-e91d-11ef-b1f0-506b8d9879b5</v>
      </c>
      <c r="B547" s="5" t="str">
        <f>IFNA(VLOOKUP(F547,Driver!A:C,2,false),"")</f>
        <v>02d08390-37cf-11ed-865f-506b8dbc8dfb</v>
      </c>
      <c r="C547" s="5" t="str">
        <f>IFNA(VLOOKUP(E547,'Location Table'!A:C,2,false),"")</f>
        <v/>
      </c>
      <c r="D547" s="6" t="s">
        <v>360</v>
      </c>
      <c r="E547" s="6"/>
      <c r="F547" s="6" t="s">
        <v>516</v>
      </c>
      <c r="G547" s="7" t="s">
        <v>873</v>
      </c>
      <c r="H547" s="8" t="str">
        <f>IFNA(VLOOKUP(F547,Driver!A:C,3,false),"")</f>
        <v>7b7d76055846b118e857</v>
      </c>
      <c r="I547" s="9">
        <v>0.625</v>
      </c>
      <c r="J547" s="9">
        <v>0.7916666666666666</v>
      </c>
    </row>
    <row r="548" hidden="1">
      <c r="A548" s="5" t="str">
        <f>IFNA(VLOOKUP(D548,'Location Table'!A:C,2,false),"")</f>
        <v>d312de0c-4627-11ed-a9e7-506b8dbc8dfb</v>
      </c>
      <c r="B548" s="5" t="str">
        <f>IFNA(VLOOKUP(F548,Driver!A:C,2,false),"")</f>
        <v>02d08390-37cf-11ed-865f-506b8dbc8dfb</v>
      </c>
      <c r="C548" s="5" t="str">
        <f>IFNA(VLOOKUP(E548,'Location Table'!A:C,2,false),"")</f>
        <v/>
      </c>
      <c r="D548" s="6" t="s">
        <v>363</v>
      </c>
      <c r="E548" s="6"/>
      <c r="F548" s="6" t="s">
        <v>516</v>
      </c>
      <c r="G548" s="7" t="s">
        <v>873</v>
      </c>
      <c r="H548" s="8" t="str">
        <f>IFNA(VLOOKUP(F548,Driver!A:C,3,false),"")</f>
        <v>7b7d76055846b118e857</v>
      </c>
      <c r="I548" s="9">
        <v>0.625</v>
      </c>
      <c r="J548" s="9">
        <v>0.7916666666666666</v>
      </c>
    </row>
    <row r="549" hidden="1">
      <c r="A549" s="5" t="str">
        <f>IFNA(VLOOKUP(D549,'Location Table'!A:C,2,false),"")</f>
        <v>ed4ce56e-d619-11ee-bf30-506b8d9879b5</v>
      </c>
      <c r="B549" s="5" t="str">
        <f>IFNA(VLOOKUP(F549,Driver!A:C,2,false),"")</f>
        <v>02d08390-37cf-11ed-865f-506b8dbc8dfb</v>
      </c>
      <c r="C549" s="5" t="str">
        <f>IFNA(VLOOKUP(E549,'Location Table'!A:C,2,false),"")</f>
        <v/>
      </c>
      <c r="D549" s="6" t="s">
        <v>364</v>
      </c>
      <c r="E549" s="6"/>
      <c r="F549" s="6" t="s">
        <v>516</v>
      </c>
      <c r="G549" s="7" t="s">
        <v>873</v>
      </c>
      <c r="H549" s="8" t="str">
        <f>IFNA(VLOOKUP(F549,Driver!A:C,3,false),"")</f>
        <v>7b7d76055846b118e857</v>
      </c>
      <c r="I549" s="9">
        <v>0.625</v>
      </c>
      <c r="J549" s="9">
        <v>0.7916666666666666</v>
      </c>
    </row>
    <row r="550" hidden="1">
      <c r="A550" s="5" t="str">
        <f>IFNA(VLOOKUP(D550,'Location Table'!A:C,2,false),"")</f>
        <v>3bc054d0-4627-11ed-9e74-506b8dbc8dfb</v>
      </c>
      <c r="B550" s="5" t="str">
        <f>IFNA(VLOOKUP(F550,Driver!A:C,2,false),"")</f>
        <v>efbf243a-37c6-11ed-93fb-506b8dbc8dfb</v>
      </c>
      <c r="C550" s="5" t="str">
        <f>IFNA(VLOOKUP(E550,'Location Table'!A:C,2,false),"")</f>
        <v/>
      </c>
      <c r="D550" s="6" t="s">
        <v>367</v>
      </c>
      <c r="E550" s="6"/>
      <c r="F550" s="6" t="s">
        <v>517</v>
      </c>
      <c r="G550" s="7" t="s">
        <v>873</v>
      </c>
      <c r="H550" s="8" t="str">
        <f>IFNA(VLOOKUP(F550,Driver!A:C,3,false),"")</f>
        <v>c73df7953cd9d5878cc8</v>
      </c>
      <c r="I550" s="9">
        <v>0.5833333333333334</v>
      </c>
      <c r="J550" s="9">
        <v>0.7916666666666666</v>
      </c>
    </row>
    <row r="551" hidden="1">
      <c r="A551" s="5" t="str">
        <f>IFNA(VLOOKUP(D551,'Location Table'!A:C,2,false),"")</f>
        <v>a1be066c-21f8-11ee-b5fb-506b8d9879b5</v>
      </c>
      <c r="B551" s="5" t="str">
        <f>IFNA(VLOOKUP(F551,Driver!A:C,2,false),"")</f>
        <v>f5993946-37cf-11ed-a3fc-506b8dbc8dfb</v>
      </c>
      <c r="C551" s="5" t="str">
        <f>IFNA(VLOOKUP(E551,'Location Table'!A:C,2,false),"")</f>
        <v/>
      </c>
      <c r="D551" s="6" t="s">
        <v>368</v>
      </c>
      <c r="E551" s="6"/>
      <c r="F551" s="6" t="s">
        <v>314</v>
      </c>
      <c r="G551" s="7" t="s">
        <v>873</v>
      </c>
      <c r="H551" s="8" t="str">
        <f>IFNA(VLOOKUP(F551,Driver!A:C,3,false),"")</f>
        <v/>
      </c>
      <c r="I551" s="9">
        <v>0.6875</v>
      </c>
      <c r="J551" s="9">
        <v>0.7916666666666666</v>
      </c>
    </row>
    <row r="552" hidden="1">
      <c r="A552" s="5" t="str">
        <f>IFNA(VLOOKUP(D552,'Location Table'!A:C,2,false),"")</f>
        <v>1b89cbc6-4d4f-11ee-9f11-506b8d9879b5</v>
      </c>
      <c r="B552" s="5" t="str">
        <f>IFNA(VLOOKUP(F552,Driver!A:C,2,false),"")</f>
        <v>f5993946-37cf-11ed-a3fc-506b8dbc8dfb</v>
      </c>
      <c r="C552" s="5" t="str">
        <f>IFNA(VLOOKUP(E552,'Location Table'!A:C,2,false),"")</f>
        <v/>
      </c>
      <c r="D552" s="6" t="s">
        <v>369</v>
      </c>
      <c r="E552" s="6"/>
      <c r="F552" s="6" t="s">
        <v>314</v>
      </c>
      <c r="G552" s="7" t="s">
        <v>873</v>
      </c>
      <c r="H552" s="8" t="str">
        <f>IFNA(VLOOKUP(F552,Driver!A:C,3,false),"")</f>
        <v/>
      </c>
      <c r="I552" s="9">
        <v>0.6875</v>
      </c>
      <c r="J552" s="9">
        <v>0.7916666666666666</v>
      </c>
    </row>
    <row r="553" hidden="1">
      <c r="A553" s="5" t="str">
        <f>IFNA(VLOOKUP(D553,'Location Table'!A:C,2,false),"")</f>
        <v>d538c282-3761-11ef-92b6-506b8d9879b5</v>
      </c>
      <c r="B553" s="5" t="str">
        <f>IFNA(VLOOKUP(F553,Driver!A:C,2,false),"")</f>
        <v>f5993946-37cf-11ed-a3fc-506b8dbc8dfb</v>
      </c>
      <c r="C553" s="5" t="str">
        <f>IFNA(VLOOKUP(E553,'Location Table'!A:C,2,false),"")</f>
        <v/>
      </c>
      <c r="D553" s="6" t="s">
        <v>370</v>
      </c>
      <c r="E553" s="6"/>
      <c r="F553" s="6" t="s">
        <v>314</v>
      </c>
      <c r="G553" s="7" t="s">
        <v>873</v>
      </c>
      <c r="H553" s="8" t="str">
        <f>IFNA(VLOOKUP(F553,Driver!A:C,3,false),"")</f>
        <v/>
      </c>
      <c r="I553" s="9">
        <v>0.6875</v>
      </c>
      <c r="J553" s="9">
        <v>0.7916666666666666</v>
      </c>
    </row>
    <row r="554" hidden="1">
      <c r="A554" s="5" t="str">
        <f>IFNA(VLOOKUP(D554,'Location Table'!A:C,2,false),"")</f>
        <v>d04814d6-dc2f-11ee-96ca-506b8d9879b5</v>
      </c>
      <c r="B554" s="5" t="str">
        <f>IFNA(VLOOKUP(F554,Driver!A:C,2,false),"")</f>
        <v>f5993946-37cf-11ed-a3fc-506b8dbc8dfb</v>
      </c>
      <c r="C554" s="5" t="str">
        <f>IFNA(VLOOKUP(E554,'Location Table'!A:C,2,false),"")</f>
        <v/>
      </c>
      <c r="D554" s="6" t="s">
        <v>371</v>
      </c>
      <c r="E554" s="6"/>
      <c r="F554" s="6" t="s">
        <v>314</v>
      </c>
      <c r="G554" s="7" t="s">
        <v>873</v>
      </c>
      <c r="H554" s="8" t="str">
        <f>IFNA(VLOOKUP(F554,Driver!A:C,3,false),"")</f>
        <v/>
      </c>
      <c r="I554" s="9">
        <v>0.6875</v>
      </c>
      <c r="J554" s="9">
        <v>0.7916666666666666</v>
      </c>
    </row>
    <row r="555" hidden="1">
      <c r="A555" s="5" t="str">
        <f>IFNA(VLOOKUP(D555,'Location Table'!A:C,2,false),"")</f>
        <v>073c12b6-0f63-11ee-837c-506b8dbc8dfb</v>
      </c>
      <c r="B555" s="5" t="str">
        <f>IFNA(VLOOKUP(F555,Driver!A:C,2,false),"")</f>
        <v>f5993946-37cf-11ed-a3fc-506b8dbc8dfb</v>
      </c>
      <c r="C555" s="5" t="str">
        <f>IFNA(VLOOKUP(E555,'Location Table'!A:C,2,false),"")</f>
        <v/>
      </c>
      <c r="D555" s="6" t="s">
        <v>372</v>
      </c>
      <c r="E555" s="6"/>
      <c r="F555" s="6" t="s">
        <v>314</v>
      </c>
      <c r="G555" s="7" t="s">
        <v>873</v>
      </c>
      <c r="H555" s="8" t="str">
        <f>IFNA(VLOOKUP(F555,Driver!A:C,3,false),"")</f>
        <v/>
      </c>
      <c r="I555" s="9">
        <v>0.6875</v>
      </c>
      <c r="J555" s="9">
        <v>0.7916666666666666</v>
      </c>
    </row>
    <row r="556" hidden="1">
      <c r="A556" s="5" t="str">
        <f>IFNA(VLOOKUP(D556,'Location Table'!A:C,2,false),"")</f>
        <v>027cd410-2275-11ef-b4a3-506b8d9879b5</v>
      </c>
      <c r="B556" s="5" t="str">
        <f>IFNA(VLOOKUP(F556,Driver!A:C,2,false),"")</f>
        <v>af57dfcc-782d-11f0-b407-506b8d982279</v>
      </c>
      <c r="C556" s="5" t="str">
        <f>IFNA(VLOOKUP(E556,'Location Table'!A:C,2,false),"")</f>
        <v/>
      </c>
      <c r="D556" s="6" t="s">
        <v>373</v>
      </c>
      <c r="E556" s="6"/>
      <c r="F556" s="6" t="s">
        <v>515</v>
      </c>
      <c r="G556" s="7" t="s">
        <v>873</v>
      </c>
      <c r="H556" s="8" t="str">
        <f>IFNA(VLOOKUP(F556,Driver!A:C,3,false),"")</f>
        <v>d9fc37dd4093a9cdf082</v>
      </c>
      <c r="I556" s="9">
        <v>0.6875</v>
      </c>
      <c r="J556" s="9">
        <v>0.7916666666666666</v>
      </c>
    </row>
    <row r="557" hidden="1">
      <c r="A557" s="5" t="str">
        <f>IFNA(VLOOKUP(D557,'Location Table'!A:C,2,false),"")</f>
        <v>98465eea-93ea-11ee-9af5-506b8d9879b5</v>
      </c>
      <c r="B557" s="5" t="str">
        <f>IFNA(VLOOKUP(F557,Driver!A:C,2,false),"")</f>
        <v>af57dfcc-782d-11f0-b407-506b8d982279</v>
      </c>
      <c r="C557" s="5" t="str">
        <f>IFNA(VLOOKUP(E557,'Location Table'!A:C,2,false),"")</f>
        <v/>
      </c>
      <c r="D557" s="6" t="s">
        <v>374</v>
      </c>
      <c r="E557" s="6"/>
      <c r="F557" s="6" t="s">
        <v>515</v>
      </c>
      <c r="G557" s="7" t="s">
        <v>873</v>
      </c>
      <c r="H557" s="8" t="str">
        <f>IFNA(VLOOKUP(F557,Driver!A:C,3,false),"")</f>
        <v>d9fc37dd4093a9cdf082</v>
      </c>
      <c r="I557" s="9">
        <v>0.6875</v>
      </c>
      <c r="J557" s="9">
        <v>0.7916666666666666</v>
      </c>
    </row>
    <row r="558" hidden="1">
      <c r="A558" s="5" t="str">
        <f>IFNA(VLOOKUP(D558,'Location Table'!A:C,2,false),"")</f>
        <v>be36be84-3528-11f0-89ed-506b8d982279</v>
      </c>
      <c r="B558" s="5" t="str">
        <f>IFNA(VLOOKUP(F558,Driver!A:C,2,false),"")</f>
        <v>feb9afca-fcce-11f0-9378-fa163ee8d8ac</v>
      </c>
      <c r="C558" s="5" t="str">
        <f>IFNA(VLOOKUP(E558,'Location Table'!A:C,2,false),"")</f>
        <v/>
      </c>
      <c r="D558" s="6" t="s">
        <v>375</v>
      </c>
      <c r="E558" s="6"/>
      <c r="F558" s="6" t="s">
        <v>879</v>
      </c>
      <c r="G558" s="7" t="s">
        <v>873</v>
      </c>
      <c r="H558" s="8" t="str">
        <f>IFNA(VLOOKUP(F558,Driver!A:C,3,false),"")</f>
        <v/>
      </c>
      <c r="I558" s="9">
        <v>0.6875</v>
      </c>
      <c r="J558" s="9">
        <v>0.7916666666666666</v>
      </c>
    </row>
    <row r="559" hidden="1">
      <c r="A559" s="5" t="str">
        <f>IFNA(VLOOKUP(D559,'Location Table'!A:C,2,false),"")</f>
        <v>a4f0de66-8a3a-11f0-98af-506b8d982279</v>
      </c>
      <c r="B559" s="5" t="str">
        <f>IFNA(VLOOKUP(F559,Driver!A:C,2,false),"")</f>
        <v>feb9afca-fcce-11f0-9378-fa163ee8d8ac</v>
      </c>
      <c r="C559" s="5" t="str">
        <f>IFNA(VLOOKUP(E559,'Location Table'!A:C,2,false),"")</f>
        <v/>
      </c>
      <c r="D559" s="6" t="s">
        <v>376</v>
      </c>
      <c r="E559" s="6"/>
      <c r="F559" s="6" t="s">
        <v>879</v>
      </c>
      <c r="G559" s="7" t="s">
        <v>873</v>
      </c>
      <c r="H559" s="8" t="str">
        <f>IFNA(VLOOKUP(F559,Driver!A:C,3,false),"")</f>
        <v/>
      </c>
      <c r="I559" s="9">
        <v>0.6875</v>
      </c>
      <c r="J559" s="9">
        <v>0.7916666666666666</v>
      </c>
    </row>
    <row r="560" hidden="1">
      <c r="A560" s="5" t="str">
        <f>IFNA(VLOOKUP(D560,'Location Table'!A:C,2,false),"")</f>
        <v>5b63341e-4623-11ed-a460-506b8dbc8dfb</v>
      </c>
      <c r="B560" s="5" t="str">
        <f>IFNA(VLOOKUP(F560,Driver!A:C,2,false),"")</f>
        <v>4e1ad614-6cdb-11ef-807b-506b8d9879b5</v>
      </c>
      <c r="C560" s="5" t="str">
        <f>IFNA(VLOOKUP(E560,'Location Table'!A:C,2,false),"")</f>
        <v/>
      </c>
      <c r="D560" s="6" t="s">
        <v>377</v>
      </c>
      <c r="E560" s="6"/>
      <c r="F560" s="6" t="s">
        <v>512</v>
      </c>
      <c r="G560" s="7" t="s">
        <v>873</v>
      </c>
      <c r="H560" s="8" t="str">
        <f>IFNA(VLOOKUP(F560,Driver!A:C,3,false),"")</f>
        <v>65a6581b624a8b14d25b</v>
      </c>
      <c r="I560" s="9">
        <v>0.6875</v>
      </c>
      <c r="J560" s="9">
        <v>0.7708333333333334</v>
      </c>
    </row>
    <row r="561" hidden="1">
      <c r="A561" s="5" t="str">
        <f>IFNA(VLOOKUP(D561,'Location Table'!A:C,2,false),"")</f>
        <v>0cfb7cc4-4550-11ed-8c98-506b8dbc8dfb</v>
      </c>
      <c r="B561" s="5" t="str">
        <f>IFNA(VLOOKUP(F561,Driver!A:C,2,false),"")</f>
        <v>4e1ad614-6cdb-11ef-807b-506b8d9879b5</v>
      </c>
      <c r="C561" s="5" t="str">
        <f>IFNA(VLOOKUP(E561,'Location Table'!A:C,2,false),"")</f>
        <v/>
      </c>
      <c r="D561" s="6" t="s">
        <v>378</v>
      </c>
      <c r="E561" s="6"/>
      <c r="F561" s="6" t="s">
        <v>512</v>
      </c>
      <c r="G561" s="7" t="s">
        <v>873</v>
      </c>
      <c r="H561" s="8" t="str">
        <f>IFNA(VLOOKUP(F561,Driver!A:C,3,false),"")</f>
        <v>65a6581b624a8b14d25b</v>
      </c>
      <c r="I561" s="9">
        <v>0.6875</v>
      </c>
      <c r="J561" s="9">
        <v>0.7708333333333334</v>
      </c>
    </row>
    <row r="562" hidden="1">
      <c r="A562" s="5" t="str">
        <f>IFNA(VLOOKUP(D562,'Location Table'!A:C,2,false),"")</f>
        <v>d8610906-8140-11ee-abb7-506b8d9879b5</v>
      </c>
      <c r="B562" s="5" t="str">
        <f>IFNA(VLOOKUP(F562,Driver!A:C,2,false),"")</f>
        <v>feb9afca-fcce-11f0-9378-fa163ee8d8ac</v>
      </c>
      <c r="C562" s="5" t="str">
        <f>IFNA(VLOOKUP(E562,'Location Table'!A:C,2,false),"")</f>
        <v/>
      </c>
      <c r="D562" s="6" t="s">
        <v>379</v>
      </c>
      <c r="E562" s="6"/>
      <c r="F562" s="6" t="s">
        <v>879</v>
      </c>
      <c r="G562" s="7" t="s">
        <v>873</v>
      </c>
      <c r="H562" s="8" t="str">
        <f>IFNA(VLOOKUP(F562,Driver!A:C,3,false),"")</f>
        <v/>
      </c>
      <c r="I562" s="9">
        <v>0.6875</v>
      </c>
      <c r="J562" s="9">
        <v>0.7916666666666666</v>
      </c>
    </row>
    <row r="563" hidden="1">
      <c r="A563" s="5" t="str">
        <f>IFNA(VLOOKUP(D563,'Location Table'!A:C,2,false),"")</f>
        <v>0d517404-4621-11ed-8c7f-506b8dbc8dfb</v>
      </c>
      <c r="B563" s="5" t="str">
        <f>IFNA(VLOOKUP(F563,Driver!A:C,2,false),"")</f>
        <v>feb9afca-fcce-11f0-9378-fa163ee8d8ac</v>
      </c>
      <c r="C563" s="5" t="str">
        <f>IFNA(VLOOKUP(E563,'Location Table'!A:C,2,false),"")</f>
        <v>c4f51f56-1ba8-11f1-9378-fa163ee8d8ac</v>
      </c>
      <c r="D563" s="6" t="s">
        <v>380</v>
      </c>
      <c r="E563" s="10" t="s">
        <v>518</v>
      </c>
      <c r="F563" s="6" t="s">
        <v>879</v>
      </c>
      <c r="G563" s="7" t="s">
        <v>873</v>
      </c>
      <c r="H563" s="8" t="str">
        <f>IFNA(VLOOKUP(F563,Driver!A:C,3,false),"")</f>
        <v/>
      </c>
      <c r="I563" s="9">
        <v>0.75</v>
      </c>
      <c r="J563" s="9">
        <v>0.7916666666666666</v>
      </c>
    </row>
    <row r="564" hidden="1">
      <c r="A564" s="5" t="str">
        <f>IFNA(VLOOKUP(D564,'Location Table'!A:C,2,false),"")</f>
        <v>8a866508-0a7d-11ee-9b14-506b8dbc8dfb</v>
      </c>
      <c r="B564" s="5" t="str">
        <f>IFNA(VLOOKUP(F564,Driver!A:C,2,false),"")</f>
        <v>f5993946-37cf-11ed-a3fc-506b8dbc8dfb</v>
      </c>
      <c r="C564" s="5" t="str">
        <f>IFNA(VLOOKUP(E564,'Location Table'!A:C,2,false),"")</f>
        <v/>
      </c>
      <c r="D564" s="6" t="s">
        <v>381</v>
      </c>
      <c r="E564" s="6"/>
      <c r="F564" s="6" t="s">
        <v>314</v>
      </c>
      <c r="G564" s="7" t="s">
        <v>873</v>
      </c>
      <c r="H564" s="8" t="str">
        <f>IFNA(VLOOKUP(F564,Driver!A:C,3,false),"")</f>
        <v/>
      </c>
      <c r="I564" s="9">
        <v>0.75</v>
      </c>
      <c r="J564" s="9">
        <v>0.7916666666666666</v>
      </c>
    </row>
    <row r="565" hidden="1">
      <c r="A565" s="5" t="str">
        <f>IFNA(VLOOKUP(D565,'Location Table'!A:C,2,false),"")</f>
        <v>46bb67d6-4621-11ed-908d-506b8dbc8dfb</v>
      </c>
      <c r="B565" s="5" t="str">
        <f>IFNA(VLOOKUP(F565,Driver!A:C,2,false),"")</f>
        <v>feb9afca-fcce-11f0-9378-fa163ee8d8ac</v>
      </c>
      <c r="C565" s="5" t="str">
        <f>IFNA(VLOOKUP(E565,'Location Table'!A:C,2,false),"")</f>
        <v/>
      </c>
      <c r="D565" s="6" t="s">
        <v>382</v>
      </c>
      <c r="E565" s="6"/>
      <c r="F565" s="6" t="s">
        <v>879</v>
      </c>
      <c r="G565" s="7" t="s">
        <v>873</v>
      </c>
      <c r="H565" s="8" t="str">
        <f>IFNA(VLOOKUP(F565,Driver!A:C,3,false),"")</f>
        <v/>
      </c>
      <c r="I565" s="9">
        <v>0.6875</v>
      </c>
      <c r="J565" s="9">
        <v>0.7916666666666666</v>
      </c>
    </row>
    <row r="566" hidden="1">
      <c r="A566" s="5" t="str">
        <f>IFNA(VLOOKUP(D566,'Location Table'!A:C,2,false),"")</f>
        <v>9575b00e-ba9f-11ee-86c0-506b8d9879b5</v>
      </c>
      <c r="B566" s="5" t="str">
        <f>IFNA(VLOOKUP(F566,Driver!A:C,2,false),"")</f>
        <v>feb9afca-fcce-11f0-9378-fa163ee8d8ac</v>
      </c>
      <c r="C566" s="5" t="str">
        <f>IFNA(VLOOKUP(E566,'Location Table'!A:C,2,false),"")</f>
        <v/>
      </c>
      <c r="D566" s="6" t="s">
        <v>383</v>
      </c>
      <c r="E566" s="6"/>
      <c r="F566" s="6" t="s">
        <v>879</v>
      </c>
      <c r="G566" s="7" t="s">
        <v>873</v>
      </c>
      <c r="H566" s="8" t="str">
        <f>IFNA(VLOOKUP(F566,Driver!A:C,3,false),"")</f>
        <v/>
      </c>
      <c r="I566" s="9">
        <v>0.6875</v>
      </c>
      <c r="J566" s="9">
        <v>0.7916666666666666</v>
      </c>
    </row>
    <row r="567" hidden="1">
      <c r="A567" s="5" t="str">
        <f>IFNA(VLOOKUP(D567,'Location Table'!A:C,2,false),"")</f>
        <v>31d94d60-4621-11ed-a164-506b8dbc8dfb</v>
      </c>
      <c r="B567" s="5" t="str">
        <f>IFNA(VLOOKUP(F567,Driver!A:C,2,false),"")</f>
        <v>feb9afca-fcce-11f0-9378-fa163ee8d8ac</v>
      </c>
      <c r="C567" s="5" t="str">
        <f>IFNA(VLOOKUP(E567,'Location Table'!A:C,2,false),"")</f>
        <v/>
      </c>
      <c r="D567" s="6" t="s">
        <v>384</v>
      </c>
      <c r="E567" s="6"/>
      <c r="F567" s="6" t="s">
        <v>879</v>
      </c>
      <c r="G567" s="7" t="s">
        <v>873</v>
      </c>
      <c r="H567" s="8" t="str">
        <f>IFNA(VLOOKUP(F567,Driver!A:C,3,false),"")</f>
        <v/>
      </c>
      <c r="I567" s="9">
        <v>0.6875</v>
      </c>
      <c r="J567" s="9">
        <v>0.7916666666666666</v>
      </c>
    </row>
    <row r="568" hidden="1">
      <c r="A568" s="5" t="str">
        <f>IFNA(VLOOKUP(D568,'Location Table'!A:C,2,false),"")</f>
        <v>f9b7b020-4620-11ed-a3ea-506b8dbc8dfb</v>
      </c>
      <c r="B568" s="5" t="str">
        <f>IFNA(VLOOKUP(F568,Driver!A:C,2,false),"")</f>
        <v>feb9afca-fcce-11f0-9378-fa163ee8d8ac</v>
      </c>
      <c r="C568" s="5" t="str">
        <f>IFNA(VLOOKUP(E568,'Location Table'!A:C,2,false),"")</f>
        <v/>
      </c>
      <c r="D568" s="6" t="s">
        <v>385</v>
      </c>
      <c r="E568" s="6"/>
      <c r="F568" s="6" t="s">
        <v>879</v>
      </c>
      <c r="G568" s="7" t="s">
        <v>873</v>
      </c>
      <c r="H568" s="8" t="str">
        <f>IFNA(VLOOKUP(F568,Driver!A:C,3,false),"")</f>
        <v/>
      </c>
      <c r="I568" s="9">
        <v>0.6875</v>
      </c>
      <c r="J568" s="9">
        <v>0.7916666666666666</v>
      </c>
    </row>
    <row r="569" hidden="1">
      <c r="A569" s="5" t="str">
        <f>IFNA(VLOOKUP(D569,'Location Table'!A:C,2,false),"")</f>
        <v>b15b569a-447e-11ed-98ce-506b8dbc8dfb</v>
      </c>
      <c r="B569" s="5" t="str">
        <f>IFNA(VLOOKUP(F569,Driver!A:C,2,false),"")</f>
        <v>c1149922-ecea-11ef-a670-506b8d9879b5</v>
      </c>
      <c r="C569" s="5" t="str">
        <f>IFNA(VLOOKUP(E569,'Location Table'!A:C,2,false),"")</f>
        <v/>
      </c>
      <c r="D569" s="6" t="s">
        <v>386</v>
      </c>
      <c r="E569" s="6"/>
      <c r="F569" s="6" t="s">
        <v>509</v>
      </c>
      <c r="G569" s="7" t="s">
        <v>873</v>
      </c>
      <c r="H569" s="8" t="str">
        <f>IFNA(VLOOKUP(F569,Driver!A:C,3,false),"")</f>
        <v/>
      </c>
      <c r="I569" s="9">
        <v>0.6666666666666666</v>
      </c>
      <c r="J569" s="9">
        <v>0.7916666666666666</v>
      </c>
    </row>
    <row r="570" hidden="1">
      <c r="A570" s="5" t="str">
        <f>IFNA(VLOOKUP(D570,'Location Table'!A:C,2,false),"")</f>
        <v>38c9c1aa-4620-11ed-9196-506b8dbc8dfb</v>
      </c>
      <c r="B570" s="5" t="str">
        <f>IFNA(VLOOKUP(F570,Driver!A:C,2,false),"")</f>
        <v>f61678a4-3656-11ed-9310-506b8dbc8dfb</v>
      </c>
      <c r="C570" s="5" t="str">
        <f>IFNA(VLOOKUP(E570,'Location Table'!A:C,2,false),"")</f>
        <v/>
      </c>
      <c r="D570" s="6" t="s">
        <v>391</v>
      </c>
      <c r="E570" s="6"/>
      <c r="F570" s="6" t="s">
        <v>470</v>
      </c>
      <c r="G570" s="7" t="s">
        <v>873</v>
      </c>
      <c r="H570" s="8" t="str">
        <f>IFNA(VLOOKUP(F570,Driver!A:C,3,false),"")</f>
        <v>551b71e8ffa616f84fb7</v>
      </c>
      <c r="I570" s="9">
        <v>0.5</v>
      </c>
      <c r="J570" s="9">
        <v>0.7916666666666666</v>
      </c>
    </row>
    <row r="571" hidden="1">
      <c r="A571" s="5" t="str">
        <f>IFNA(VLOOKUP(D571,'Location Table'!A:C,2,false),"")</f>
        <v>2e371346-21f8-11ee-a792-506b8d9879b5</v>
      </c>
      <c r="B571" s="5" t="str">
        <f>IFNA(VLOOKUP(F571,Driver!A:C,2,false),"")</f>
        <v>feb9afca-fcce-11f0-9378-fa163ee8d8ac</v>
      </c>
      <c r="C571" s="5" t="str">
        <f>IFNA(VLOOKUP(E571,'Location Table'!A:C,2,false),"")</f>
        <v/>
      </c>
      <c r="D571" s="6" t="s">
        <v>392</v>
      </c>
      <c r="E571" s="6"/>
      <c r="F571" s="6" t="s">
        <v>879</v>
      </c>
      <c r="G571" s="7" t="s">
        <v>873</v>
      </c>
      <c r="H571" s="8" t="str">
        <f>IFNA(VLOOKUP(F571,Driver!A:C,3,false),"")</f>
        <v/>
      </c>
      <c r="I571" s="9">
        <v>0.6666666666666666</v>
      </c>
      <c r="J571" s="9">
        <v>0.7916666666666666</v>
      </c>
    </row>
    <row r="572" hidden="1">
      <c r="A572" s="5" t="str">
        <f>IFNA(VLOOKUP(D572,'Location Table'!A:C,2,false),"")</f>
        <v>6e28b82a-8c67-11f0-9f5d-506b8d982279</v>
      </c>
      <c r="B572" s="5" t="str">
        <f>IFNA(VLOOKUP(F572,Driver!A:C,2,false),"")</f>
        <v>443c5016-3017-11ee-a6b5-506b8d9879b5</v>
      </c>
      <c r="C572" s="5" t="str">
        <f>IFNA(VLOOKUP(E572,'Location Table'!A:C,2,false),"")</f>
        <v/>
      </c>
      <c r="D572" s="6" t="s">
        <v>393</v>
      </c>
      <c r="E572" s="6"/>
      <c r="F572" s="6" t="s">
        <v>513</v>
      </c>
      <c r="G572" s="7" t="s">
        <v>873</v>
      </c>
      <c r="H572" s="8" t="str">
        <f>IFNA(VLOOKUP(F572,Driver!A:C,3,false),"")</f>
        <v>430767465e0cb752ee1d</v>
      </c>
      <c r="I572" s="9">
        <v>0.6666666666666666</v>
      </c>
      <c r="J572" s="9">
        <v>0.7916666666666666</v>
      </c>
    </row>
    <row r="573" hidden="1">
      <c r="A573" s="5" t="str">
        <f>IFNA(VLOOKUP(D573,'Location Table'!A:C,2,false),"")</f>
        <v>08dc27ae-4d84-11ef-ba5f-506b8d9879b5</v>
      </c>
      <c r="B573" s="5" t="str">
        <f>IFNA(VLOOKUP(F573,Driver!A:C,2,false),"")</f>
        <v>443c5016-3017-11ee-a6b5-506b8d9879b5</v>
      </c>
      <c r="C573" s="5" t="str">
        <f>IFNA(VLOOKUP(E573,'Location Table'!A:C,2,false),"")</f>
        <v/>
      </c>
      <c r="D573" s="6" t="s">
        <v>394</v>
      </c>
      <c r="E573" s="6"/>
      <c r="F573" s="6" t="s">
        <v>513</v>
      </c>
      <c r="G573" s="7" t="s">
        <v>873</v>
      </c>
      <c r="H573" s="8" t="str">
        <f>IFNA(VLOOKUP(F573,Driver!A:C,3,false),"")</f>
        <v>430767465e0cb752ee1d</v>
      </c>
      <c r="I573" s="9">
        <v>0.6666666666666666</v>
      </c>
      <c r="J573" s="9">
        <v>0.7916666666666666</v>
      </c>
    </row>
    <row r="574" hidden="1">
      <c r="A574" s="5" t="str">
        <f>IFNA(VLOOKUP(D574,'Location Table'!A:C,2,false),"")</f>
        <v>c9c4cd62-4620-11ed-a198-506b8dbc8dfb</v>
      </c>
      <c r="B574" s="5" t="str">
        <f>IFNA(VLOOKUP(F574,Driver!A:C,2,false),"")</f>
        <v>443c5016-3017-11ee-a6b5-506b8d9879b5</v>
      </c>
      <c r="C574" s="5" t="str">
        <f>IFNA(VLOOKUP(E574,'Location Table'!A:C,2,false),"")</f>
        <v/>
      </c>
      <c r="D574" s="6" t="s">
        <v>395</v>
      </c>
      <c r="E574" s="6"/>
      <c r="F574" s="6" t="s">
        <v>513</v>
      </c>
      <c r="G574" s="7" t="s">
        <v>873</v>
      </c>
      <c r="H574" s="8" t="str">
        <f>IFNA(VLOOKUP(F574,Driver!A:C,3,false),"")</f>
        <v>430767465e0cb752ee1d</v>
      </c>
      <c r="I574" s="9">
        <v>0.6666666666666666</v>
      </c>
      <c r="J574" s="9">
        <v>0.7916666666666666</v>
      </c>
    </row>
    <row r="575" hidden="1">
      <c r="A575" s="5" t="str">
        <f>IFNA(VLOOKUP(D575,'Location Table'!A:C,2,false),"")</f>
        <v>acdc38c0-4620-11ed-88dd-506b8dbc8dfb</v>
      </c>
      <c r="B575" s="5" t="str">
        <f>IFNA(VLOOKUP(F575,Driver!A:C,2,false),"")</f>
        <v>443c5016-3017-11ee-a6b5-506b8d9879b5</v>
      </c>
      <c r="C575" s="5" t="str">
        <f>IFNA(VLOOKUP(E575,'Location Table'!A:C,2,false),"")</f>
        <v/>
      </c>
      <c r="D575" s="6" t="s">
        <v>396</v>
      </c>
      <c r="E575" s="6"/>
      <c r="F575" s="6" t="s">
        <v>513</v>
      </c>
      <c r="G575" s="7" t="s">
        <v>873</v>
      </c>
      <c r="H575" s="8" t="str">
        <f>IFNA(VLOOKUP(F575,Driver!A:C,3,false),"")</f>
        <v>430767465e0cb752ee1d</v>
      </c>
      <c r="I575" s="9">
        <v>0.6666666666666666</v>
      </c>
      <c r="J575" s="9">
        <v>0.7916666666666666</v>
      </c>
    </row>
    <row r="576" hidden="1">
      <c r="A576" s="5" t="str">
        <f>IFNA(VLOOKUP(D576,'Location Table'!A:C,2,false),"")</f>
        <v>7645c48a-4d84-11ef-ad7f-506b8d9879b5</v>
      </c>
      <c r="B576" s="5" t="str">
        <f>IFNA(VLOOKUP(F576,Driver!A:C,2,false),"")</f>
        <v>443c5016-3017-11ee-a6b5-506b8d9879b5</v>
      </c>
      <c r="C576" s="5" t="str">
        <f>IFNA(VLOOKUP(E576,'Location Table'!A:C,2,false),"")</f>
        <v/>
      </c>
      <c r="D576" s="6" t="s">
        <v>397</v>
      </c>
      <c r="E576" s="6"/>
      <c r="F576" s="6" t="s">
        <v>513</v>
      </c>
      <c r="G576" s="7" t="s">
        <v>873</v>
      </c>
      <c r="H576" s="8" t="str">
        <f>IFNA(VLOOKUP(F576,Driver!A:C,3,false),"")</f>
        <v>430767465e0cb752ee1d</v>
      </c>
      <c r="I576" s="9">
        <v>0.6666666666666666</v>
      </c>
      <c r="J576" s="9">
        <v>0.7916666666666666</v>
      </c>
    </row>
    <row r="577" hidden="1">
      <c r="A577" s="5" t="str">
        <f>IFNA(VLOOKUP(D577,'Location Table'!A:C,2,false),"")</f>
        <v>a283fb2c-93e2-11ee-958b-506b8d9879b5</v>
      </c>
      <c r="B577" s="5" t="str">
        <f>IFNA(VLOOKUP(F577,Driver!A:C,2,false),"")</f>
        <v>443c5016-3017-11ee-a6b5-506b8d9879b5</v>
      </c>
      <c r="C577" s="5" t="str">
        <f>IFNA(VLOOKUP(E577,'Location Table'!A:C,2,false),"")</f>
        <v/>
      </c>
      <c r="D577" s="6" t="s">
        <v>398</v>
      </c>
      <c r="E577" s="6"/>
      <c r="F577" s="6" t="s">
        <v>513</v>
      </c>
      <c r="G577" s="7" t="s">
        <v>873</v>
      </c>
      <c r="H577" s="8" t="str">
        <f>IFNA(VLOOKUP(F577,Driver!A:C,3,false),"")</f>
        <v>430767465e0cb752ee1d</v>
      </c>
      <c r="I577" s="9">
        <v>0.6666666666666666</v>
      </c>
      <c r="J577" s="9">
        <v>0.7916666666666666</v>
      </c>
    </row>
    <row r="578" hidden="1">
      <c r="A578" s="5" t="str">
        <f>IFNA(VLOOKUP(D578,'Location Table'!A:C,2,false),"")</f>
        <v>efaf92da-5588-11f0-88a4-506b8d982279</v>
      </c>
      <c r="B578" s="5" t="str">
        <f>IFNA(VLOOKUP(F578,Driver!A:C,2,false),"")</f>
        <v>443c5016-3017-11ee-a6b5-506b8d9879b5</v>
      </c>
      <c r="C578" s="5" t="str">
        <f>IFNA(VLOOKUP(E578,'Location Table'!A:C,2,false),"")</f>
        <v/>
      </c>
      <c r="D578" s="6" t="s">
        <v>399</v>
      </c>
      <c r="E578" s="6"/>
      <c r="F578" s="6" t="s">
        <v>513</v>
      </c>
      <c r="G578" s="7" t="s">
        <v>873</v>
      </c>
      <c r="H578" s="8" t="str">
        <f>IFNA(VLOOKUP(F578,Driver!A:C,3,false),"")</f>
        <v>430767465e0cb752ee1d</v>
      </c>
      <c r="I578" s="9">
        <v>0.6666666666666666</v>
      </c>
      <c r="J578" s="9">
        <v>0.7916666666666666</v>
      </c>
    </row>
    <row r="579" hidden="1">
      <c r="A579" s="5" t="str">
        <f>IFNA(VLOOKUP(D579,'Location Table'!A:C,2,false),"")</f>
        <v>f622b542-be20-11f0-95e7-506b8d982279</v>
      </c>
      <c r="B579" s="5" t="str">
        <f>IFNA(VLOOKUP(F579,Driver!A:C,2,false),"")</f>
        <v>443c5016-3017-11ee-a6b5-506b8d9879b5</v>
      </c>
      <c r="C579" s="5" t="str">
        <f>IFNA(VLOOKUP(E579,'Location Table'!A:C,2,false),"")</f>
        <v/>
      </c>
      <c r="D579" s="6" t="s">
        <v>400</v>
      </c>
      <c r="E579" s="6"/>
      <c r="F579" s="6" t="s">
        <v>513</v>
      </c>
      <c r="G579" s="7" t="s">
        <v>873</v>
      </c>
      <c r="H579" s="8" t="str">
        <f>IFNA(VLOOKUP(F579,Driver!A:C,3,false),"")</f>
        <v>430767465e0cb752ee1d</v>
      </c>
      <c r="I579" s="9">
        <v>0.6666666666666666</v>
      </c>
      <c r="J579" s="9">
        <v>0.7916666666666666</v>
      </c>
    </row>
    <row r="580" hidden="1">
      <c r="A580" s="5" t="str">
        <f>IFNA(VLOOKUP(D580,'Location Table'!A:C,2,false),"")</f>
        <v>f864d386-461d-11ed-a4b7-506b8dbc8dfb</v>
      </c>
      <c r="B580" s="5" t="str">
        <f>IFNA(VLOOKUP(F580,Driver!A:C,2,false),"")</f>
        <v>cf90a04a-ed64-11ed-8947-506b8dbc8dfb</v>
      </c>
      <c r="C580" s="5" t="str">
        <f>IFNA(VLOOKUP(E580,'Location Table'!A:C,2,false),"")</f>
        <v/>
      </c>
      <c r="D580" s="6" t="s">
        <v>401</v>
      </c>
      <c r="E580" s="6"/>
      <c r="F580" s="6" t="s">
        <v>519</v>
      </c>
      <c r="G580" s="7" t="s">
        <v>873</v>
      </c>
      <c r="H580" s="8" t="str">
        <f>IFNA(VLOOKUP(F580,Driver!A:C,3,false),"")</f>
        <v>c68359c32e95c7cb9e84</v>
      </c>
      <c r="I580" s="9">
        <v>0.6666666666666666</v>
      </c>
      <c r="J580" s="9">
        <v>0.7916666666666666</v>
      </c>
    </row>
    <row r="581" hidden="1">
      <c r="A581" s="5" t="str">
        <f>IFNA(VLOOKUP(D581,'Location Table'!A:C,2,false),"")</f>
        <v>66cbf49e-461e-11ed-8092-506b8dbc8dfb</v>
      </c>
      <c r="B581" s="5" t="str">
        <f>IFNA(VLOOKUP(F581,Driver!A:C,2,false),"")</f>
        <v>c1149922-ecea-11ef-a670-506b8d9879b5</v>
      </c>
      <c r="C581" s="5" t="str">
        <f>IFNA(VLOOKUP(E581,'Location Table'!A:C,2,false),"")</f>
        <v/>
      </c>
      <c r="D581" s="6" t="s">
        <v>402</v>
      </c>
      <c r="E581" s="6"/>
      <c r="F581" s="6" t="s">
        <v>509</v>
      </c>
      <c r="G581" s="7" t="s">
        <v>873</v>
      </c>
      <c r="H581" s="8" t="str">
        <f>IFNA(VLOOKUP(F581,Driver!A:C,3,false),"")</f>
        <v/>
      </c>
      <c r="I581" s="9">
        <v>0.6666666666666666</v>
      </c>
      <c r="J581" s="9">
        <v>0.7916666666666666</v>
      </c>
    </row>
    <row r="582" hidden="1">
      <c r="A582" s="5" t="str">
        <f>IFNA(VLOOKUP(D582,'Location Table'!A:C,2,false),"")</f>
        <v>81144800-461f-11ed-beba-506b8dbc8dfb</v>
      </c>
      <c r="B582" s="5" t="str">
        <f>IFNA(VLOOKUP(F582,Driver!A:C,2,false),"")</f>
        <v>1f4f6cae-37cd-11ed-a84d-506b8dbc8dfb</v>
      </c>
      <c r="C582" s="5" t="str">
        <f>IFNA(VLOOKUP(E582,'Location Table'!A:C,2,false),"")</f>
        <v/>
      </c>
      <c r="D582" s="6" t="s">
        <v>404</v>
      </c>
      <c r="E582" s="6"/>
      <c r="F582" s="6" t="s">
        <v>514</v>
      </c>
      <c r="G582" s="7" t="s">
        <v>873</v>
      </c>
      <c r="H582" s="8" t="str">
        <f>IFNA(VLOOKUP(F582,Driver!A:C,3,false),"")</f>
        <v>595aed435d09b457ed18</v>
      </c>
      <c r="I582" s="9">
        <v>0.6875</v>
      </c>
      <c r="J582" s="9">
        <v>0.7916666666666666</v>
      </c>
    </row>
    <row r="583" hidden="1">
      <c r="A583" s="5" t="str">
        <f>IFNA(VLOOKUP(D583,'Location Table'!A:C,2,false),"")</f>
        <v>b53f8874-461f-11ed-ac01-506b8dbc8dfb</v>
      </c>
      <c r="B583" s="5" t="str">
        <f>IFNA(VLOOKUP(F583,Driver!A:C,2,false),"")</f>
        <v>feb9afca-fcce-11f0-9378-fa163ee8d8ac</v>
      </c>
      <c r="C583" s="5" t="str">
        <f>IFNA(VLOOKUP(E583,'Location Table'!A:C,2,false),"")</f>
        <v/>
      </c>
      <c r="D583" s="6" t="s">
        <v>405</v>
      </c>
      <c r="E583" s="6"/>
      <c r="F583" s="6" t="s">
        <v>879</v>
      </c>
      <c r="G583" s="7" t="s">
        <v>873</v>
      </c>
      <c r="H583" s="8" t="str">
        <f>IFNA(VLOOKUP(F583,Driver!A:C,3,false),"")</f>
        <v/>
      </c>
      <c r="I583" s="9">
        <v>0.6666666666666666</v>
      </c>
      <c r="J583" s="9">
        <v>0.7916666666666666</v>
      </c>
    </row>
    <row r="584" hidden="1">
      <c r="A584" s="5" t="str">
        <f>IFNA(VLOOKUP(D584,'Location Table'!A:C,2,false),"")</f>
        <v>cc4cf010-461f-11ed-8f40-506b8dbc8dfb</v>
      </c>
      <c r="B584" s="5" t="str">
        <f>IFNA(VLOOKUP(F584,Driver!A:C,2,false),"")</f>
        <v>feb9afca-fcce-11f0-9378-fa163ee8d8ac</v>
      </c>
      <c r="C584" s="5" t="str">
        <f>IFNA(VLOOKUP(E584,'Location Table'!A:C,2,false),"")</f>
        <v/>
      </c>
      <c r="D584" s="6" t="s">
        <v>406</v>
      </c>
      <c r="E584" s="6"/>
      <c r="F584" s="6" t="s">
        <v>879</v>
      </c>
      <c r="G584" s="7" t="s">
        <v>873</v>
      </c>
      <c r="H584" s="8" t="str">
        <f>IFNA(VLOOKUP(F584,Driver!A:C,3,false),"")</f>
        <v/>
      </c>
      <c r="I584" s="9">
        <v>0.6666666666666666</v>
      </c>
      <c r="J584" s="9">
        <v>0.7916666666666666</v>
      </c>
    </row>
    <row r="585" hidden="1">
      <c r="A585" s="5" t="str">
        <f>IFNA(VLOOKUP(D585,'Location Table'!A:C,2,false),"")</f>
        <v>a4ca13c4-4624-11ed-a72e-506b8dbc8dfb</v>
      </c>
      <c r="B585" s="5" t="str">
        <f>IFNA(VLOOKUP(F585,Driver!A:C,2,false),"")</f>
        <v>af57dfcc-782d-11f0-b407-506b8d982279</v>
      </c>
      <c r="C585" s="5" t="str">
        <f>IFNA(VLOOKUP(E585,'Location Table'!A:C,2,false),"")</f>
        <v/>
      </c>
      <c r="D585" s="6" t="s">
        <v>411</v>
      </c>
      <c r="E585" s="6"/>
      <c r="F585" s="6" t="s">
        <v>515</v>
      </c>
      <c r="G585" s="7" t="s">
        <v>873</v>
      </c>
      <c r="H585" s="8" t="str">
        <f>IFNA(VLOOKUP(F585,Driver!A:C,3,false),"")</f>
        <v>d9fc37dd4093a9cdf082</v>
      </c>
      <c r="I585" s="9">
        <v>0.6666666666666666</v>
      </c>
      <c r="J585" s="9">
        <v>0.7916666666666666</v>
      </c>
    </row>
    <row r="586" hidden="1">
      <c r="A586" s="5" t="str">
        <f>IFNA(VLOOKUP(D586,'Location Table'!A:C,2,false),"")</f>
        <v>217168cc-bad6-11f0-b824-506b8d982279</v>
      </c>
      <c r="B586" s="5" t="str">
        <f>IFNA(VLOOKUP(F586,Driver!A:C,2,false),"")</f>
        <v>af57dfcc-782d-11f0-b407-506b8d982279</v>
      </c>
      <c r="C586" s="5" t="str">
        <f>IFNA(VLOOKUP(E586,'Location Table'!A:C,2,false),"")</f>
        <v/>
      </c>
      <c r="D586" s="6" t="s">
        <v>412</v>
      </c>
      <c r="E586" s="6"/>
      <c r="F586" s="6" t="s">
        <v>515</v>
      </c>
      <c r="G586" s="7" t="s">
        <v>873</v>
      </c>
      <c r="H586" s="8" t="str">
        <f>IFNA(VLOOKUP(F586,Driver!A:C,3,false),"")</f>
        <v>d9fc37dd4093a9cdf082</v>
      </c>
      <c r="I586" s="9">
        <v>0.6666666666666666</v>
      </c>
      <c r="J586" s="9">
        <v>0.7916666666666666</v>
      </c>
    </row>
    <row r="587" hidden="1">
      <c r="A587" s="5" t="str">
        <f>IFNA(VLOOKUP(D587,'Location Table'!A:C,2,false),"")</f>
        <v>b57674f6-4624-11ed-9100-506b8dbc8dfb</v>
      </c>
      <c r="B587" s="5" t="str">
        <f>IFNA(VLOOKUP(F587,Driver!A:C,2,false),"")</f>
        <v>af57dfcc-782d-11f0-b407-506b8d982279</v>
      </c>
      <c r="C587" s="5" t="str">
        <f>IFNA(VLOOKUP(E587,'Location Table'!A:C,2,false),"")</f>
        <v/>
      </c>
      <c r="D587" s="6" t="s">
        <v>413</v>
      </c>
      <c r="E587" s="6"/>
      <c r="F587" s="6" t="s">
        <v>515</v>
      </c>
      <c r="G587" s="7" t="s">
        <v>873</v>
      </c>
      <c r="H587" s="8" t="str">
        <f>IFNA(VLOOKUP(F587,Driver!A:C,3,false),"")</f>
        <v>d9fc37dd4093a9cdf082</v>
      </c>
      <c r="I587" s="9">
        <v>0.6666666666666666</v>
      </c>
      <c r="J587" s="9">
        <v>0.7916666666666666</v>
      </c>
    </row>
    <row r="588" hidden="1">
      <c r="A588" s="5" t="str">
        <f>IFNA(VLOOKUP(D588,'Location Table'!A:C,2,false),"")</f>
        <v>cb5e725a-4624-11ed-9796-506b8dbc8dfb</v>
      </c>
      <c r="B588" s="5" t="str">
        <f>IFNA(VLOOKUP(F588,Driver!A:C,2,false),"")</f>
        <v>443c5016-3017-11ee-a6b5-506b8d9879b5</v>
      </c>
      <c r="C588" s="5" t="str">
        <f>IFNA(VLOOKUP(E588,'Location Table'!A:C,2,false),"")</f>
        <v/>
      </c>
      <c r="D588" s="6" t="s">
        <v>416</v>
      </c>
      <c r="E588" s="6"/>
      <c r="F588" s="6" t="s">
        <v>513</v>
      </c>
      <c r="G588" s="7" t="s">
        <v>873</v>
      </c>
      <c r="H588" s="8" t="str">
        <f>IFNA(VLOOKUP(F588,Driver!A:C,3,false),"")</f>
        <v>430767465e0cb752ee1d</v>
      </c>
      <c r="I588" s="9">
        <v>0.6666666666666666</v>
      </c>
      <c r="J588" s="9">
        <v>0.7916666666666666</v>
      </c>
    </row>
    <row r="589" hidden="1">
      <c r="A589" s="5" t="str">
        <f>IFNA(VLOOKUP(D589,'Location Table'!A:C,2,false),"")</f>
        <v>a94ef2b0-32b0-11ee-9251-506b8d9879b5</v>
      </c>
      <c r="B589" s="5" t="str">
        <f>IFNA(VLOOKUP(F589,Driver!A:C,2,false),"")</f>
        <v>443c5016-3017-11ee-a6b5-506b8d9879b5</v>
      </c>
      <c r="C589" s="5" t="str">
        <f>IFNA(VLOOKUP(E589,'Location Table'!A:C,2,false),"")</f>
        <v/>
      </c>
      <c r="D589" s="6" t="s">
        <v>417</v>
      </c>
      <c r="E589" s="6"/>
      <c r="F589" s="6" t="s">
        <v>513</v>
      </c>
      <c r="G589" s="7" t="s">
        <v>873</v>
      </c>
      <c r="H589" s="8" t="str">
        <f>IFNA(VLOOKUP(F589,Driver!A:C,3,false),"")</f>
        <v>430767465e0cb752ee1d</v>
      </c>
      <c r="I589" s="9">
        <v>0.6666666666666666</v>
      </c>
      <c r="J589" s="9">
        <v>0.7916666666666666</v>
      </c>
    </row>
    <row r="590" hidden="1">
      <c r="A590" s="5" t="str">
        <f>IFNA(VLOOKUP(D590,'Location Table'!A:C,2,false),"")</f>
        <v>3a2b645e-32b0-11ee-b21d-506b8d9879b5</v>
      </c>
      <c r="B590" s="5" t="str">
        <f>IFNA(VLOOKUP(F590,Driver!A:C,2,false),"")</f>
        <v>443c5016-3017-11ee-a6b5-506b8d9879b5</v>
      </c>
      <c r="C590" s="5" t="str">
        <f>IFNA(VLOOKUP(E590,'Location Table'!A:C,2,false),"")</f>
        <v/>
      </c>
      <c r="D590" s="6" t="s">
        <v>418</v>
      </c>
      <c r="E590" s="6"/>
      <c r="F590" s="6" t="s">
        <v>513</v>
      </c>
      <c r="G590" s="7" t="s">
        <v>873</v>
      </c>
      <c r="H590" s="8" t="str">
        <f>IFNA(VLOOKUP(F590,Driver!A:C,3,false),"")</f>
        <v>430767465e0cb752ee1d</v>
      </c>
      <c r="I590" s="9">
        <v>0.6666666666666666</v>
      </c>
      <c r="J590" s="9">
        <v>0.7916666666666666</v>
      </c>
    </row>
    <row r="591" hidden="1">
      <c r="A591" s="5" t="str">
        <f>IFNA(VLOOKUP(D591,'Location Table'!A:C,2,false),"")</f>
        <v>16874f0a-c8c2-11ef-aced-506b8d9879b5</v>
      </c>
      <c r="B591" s="5" t="str">
        <f>IFNA(VLOOKUP(F591,Driver!A:C,2,false),"")</f>
        <v>02d08390-37cf-11ed-865f-506b8dbc8dfb</v>
      </c>
      <c r="C591" s="5" t="str">
        <f>IFNA(VLOOKUP(E591,'Location Table'!A:C,2,false),"")</f>
        <v/>
      </c>
      <c r="D591" s="6" t="s">
        <v>419</v>
      </c>
      <c r="E591" s="6"/>
      <c r="F591" s="6" t="s">
        <v>516</v>
      </c>
      <c r="G591" s="7" t="s">
        <v>873</v>
      </c>
      <c r="H591" s="8" t="str">
        <f>IFNA(VLOOKUP(F591,Driver!A:C,3,false),"")</f>
        <v>7b7d76055846b118e857</v>
      </c>
      <c r="I591" s="9">
        <v>0.625</v>
      </c>
      <c r="J591" s="9">
        <v>0.7916666666666666</v>
      </c>
    </row>
    <row r="592" hidden="1">
      <c r="A592" s="5" t="str">
        <f>IFNA(VLOOKUP(D592,'Location Table'!A:C,2,false),"")</f>
        <v>1eb8a47a-4625-11ed-a856-506b8dbc8dfb</v>
      </c>
      <c r="B592" s="5" t="str">
        <f>IFNA(VLOOKUP(F592,Driver!A:C,2,false),"")</f>
        <v>02d08390-37cf-11ed-865f-506b8dbc8dfb</v>
      </c>
      <c r="C592" s="5" t="str">
        <f>IFNA(VLOOKUP(E592,'Location Table'!A:C,2,false),"")</f>
        <v/>
      </c>
      <c r="D592" s="6" t="s">
        <v>420</v>
      </c>
      <c r="E592" s="6"/>
      <c r="F592" s="6" t="s">
        <v>516</v>
      </c>
      <c r="G592" s="7" t="s">
        <v>873</v>
      </c>
      <c r="H592" s="8" t="str">
        <f>IFNA(VLOOKUP(F592,Driver!A:C,3,false),"")</f>
        <v>7b7d76055846b118e857</v>
      </c>
      <c r="I592" s="9">
        <v>0.625</v>
      </c>
      <c r="J592" s="9">
        <v>0.7916666666666666</v>
      </c>
    </row>
    <row r="593" hidden="1">
      <c r="A593" s="5" t="str">
        <f>IFNA(VLOOKUP(D593,'Location Table'!A:C,2,false),"")</f>
        <v>0b8b3520-4625-11ed-aaa4-506b8dbc8dfb</v>
      </c>
      <c r="B593" s="5" t="str">
        <f>IFNA(VLOOKUP(F593,Driver!A:C,2,false),"")</f>
        <v>02d08390-37cf-11ed-865f-506b8dbc8dfb</v>
      </c>
      <c r="C593" s="5" t="str">
        <f>IFNA(VLOOKUP(E593,'Location Table'!A:C,2,false),"")</f>
        <v/>
      </c>
      <c r="D593" s="6" t="s">
        <v>421</v>
      </c>
      <c r="E593" s="6"/>
      <c r="F593" s="6" t="s">
        <v>516</v>
      </c>
      <c r="G593" s="7" t="s">
        <v>873</v>
      </c>
      <c r="H593" s="8" t="str">
        <f>IFNA(VLOOKUP(F593,Driver!A:C,3,false),"")</f>
        <v>7b7d76055846b118e857</v>
      </c>
      <c r="I593" s="9">
        <v>0.625</v>
      </c>
      <c r="J593" s="9">
        <v>0.7916666666666666</v>
      </c>
    </row>
    <row r="594" hidden="1">
      <c r="A594" s="5" t="str">
        <f>IFNA(VLOOKUP(D594,'Location Table'!A:C,2,false),"")</f>
        <v>b7e27baa-37fe-11ee-8340-506b8d9879b5</v>
      </c>
      <c r="B594" s="5" t="str">
        <f>IFNA(VLOOKUP(F594,Driver!A:C,2,false),"")</f>
        <v>02d08390-37cf-11ed-865f-506b8dbc8dfb</v>
      </c>
      <c r="C594" s="5" t="str">
        <f>IFNA(VLOOKUP(E594,'Location Table'!A:C,2,false),"")</f>
        <v/>
      </c>
      <c r="D594" s="6" t="s">
        <v>422</v>
      </c>
      <c r="E594" s="6"/>
      <c r="F594" s="6" t="s">
        <v>516</v>
      </c>
      <c r="G594" s="7" t="s">
        <v>873</v>
      </c>
      <c r="H594" s="8" t="str">
        <f>IFNA(VLOOKUP(F594,Driver!A:C,3,false),"")</f>
        <v>7b7d76055846b118e857</v>
      </c>
      <c r="I594" s="9">
        <v>0.625</v>
      </c>
      <c r="J594" s="9">
        <v>0.7916666666666666</v>
      </c>
    </row>
    <row r="595" hidden="1">
      <c r="A595" s="5" t="str">
        <f>IFNA(VLOOKUP(D595,'Location Table'!A:C,2,false),"")</f>
        <v>2da9c09a-4625-11ed-bd6e-506b8dbc8dfb</v>
      </c>
      <c r="B595" s="5" t="str">
        <f>IFNA(VLOOKUP(F595,Driver!A:C,2,false),"")</f>
        <v>02d08390-37cf-11ed-865f-506b8dbc8dfb</v>
      </c>
      <c r="C595" s="5" t="str">
        <f>IFNA(VLOOKUP(E595,'Location Table'!A:C,2,false),"")</f>
        <v/>
      </c>
      <c r="D595" s="6" t="s">
        <v>423</v>
      </c>
      <c r="E595" s="6"/>
      <c r="F595" s="6" t="s">
        <v>516</v>
      </c>
      <c r="G595" s="7" t="s">
        <v>873</v>
      </c>
      <c r="H595" s="8" t="str">
        <f>IFNA(VLOOKUP(F595,Driver!A:C,3,false),"")</f>
        <v>7b7d76055846b118e857</v>
      </c>
      <c r="I595" s="9">
        <v>0.625</v>
      </c>
      <c r="J595" s="9">
        <v>0.7916666666666666</v>
      </c>
    </row>
    <row r="596" hidden="1">
      <c r="A596" s="5" t="str">
        <f>IFNA(VLOOKUP(D596,'Location Table'!A:C,2,false),"")</f>
        <v>13f99116-21f8-11ee-87d0-506b8d9879b5</v>
      </c>
      <c r="B596" s="5" t="str">
        <f>IFNA(VLOOKUP(F596,Driver!A:C,2,false),"")</f>
        <v>efbf243a-37c6-11ed-93fb-506b8dbc8dfb</v>
      </c>
      <c r="C596" s="5" t="str">
        <f>IFNA(VLOOKUP(E596,'Location Table'!A:C,2,false),"")</f>
        <v/>
      </c>
      <c r="D596" s="6" t="s">
        <v>426</v>
      </c>
      <c r="E596" s="6"/>
      <c r="F596" s="6" t="s">
        <v>517</v>
      </c>
      <c r="G596" s="7" t="s">
        <v>873</v>
      </c>
      <c r="H596" s="8" t="str">
        <f>IFNA(VLOOKUP(F596,Driver!A:C,3,false),"")</f>
        <v>c73df7953cd9d5878cc8</v>
      </c>
      <c r="I596" s="9">
        <v>0.5833333333333334</v>
      </c>
      <c r="J596" s="9">
        <v>0.7916666666666666</v>
      </c>
    </row>
    <row r="597" hidden="1">
      <c r="A597" s="5" t="str">
        <f>IFNA(VLOOKUP(D597,'Location Table'!A:C,2,false),"")</f>
        <v>eb0acfc0-47b0-11ee-9a76-506b8d9879b5</v>
      </c>
      <c r="B597" s="5" t="str">
        <f>IFNA(VLOOKUP(F597,Driver!A:C,2,false),"")</f>
        <v>efbf243a-37c6-11ed-93fb-506b8dbc8dfb</v>
      </c>
      <c r="C597" s="5" t="str">
        <f>IFNA(VLOOKUP(E597,'Location Table'!A:C,2,false),"")</f>
        <v/>
      </c>
      <c r="D597" s="6" t="s">
        <v>427</v>
      </c>
      <c r="E597" s="6"/>
      <c r="F597" s="6" t="s">
        <v>517</v>
      </c>
      <c r="G597" s="7" t="s">
        <v>873</v>
      </c>
      <c r="H597" s="8" t="str">
        <f>IFNA(VLOOKUP(F597,Driver!A:C,3,false),"")</f>
        <v>c73df7953cd9d5878cc8</v>
      </c>
      <c r="I597" s="9">
        <v>0.5833333333333334</v>
      </c>
      <c r="J597" s="9">
        <v>0.7916666666666666</v>
      </c>
    </row>
    <row r="598" hidden="1">
      <c r="A598" s="5" t="str">
        <f>IFNA(VLOOKUP(D598,'Location Table'!A:C,2,false),"")</f>
        <v>f936c402-4d4e-11ee-b7b9-506b8d9879b5</v>
      </c>
      <c r="B598" s="5" t="str">
        <f>IFNA(VLOOKUP(F598,Driver!A:C,2,false),"")</f>
        <v>f5993946-37cf-11ed-a3fc-506b8dbc8dfb</v>
      </c>
      <c r="C598" s="5" t="str">
        <f>IFNA(VLOOKUP(E598,'Location Table'!A:C,2,false),"")</f>
        <v/>
      </c>
      <c r="D598" s="6" t="s">
        <v>428</v>
      </c>
      <c r="E598" s="6"/>
      <c r="F598" s="6" t="s">
        <v>314</v>
      </c>
      <c r="G598" s="7" t="s">
        <v>873</v>
      </c>
      <c r="H598" s="8" t="str">
        <f>IFNA(VLOOKUP(F598,Driver!A:C,3,false),"")</f>
        <v/>
      </c>
      <c r="I598" s="9">
        <v>0.6875</v>
      </c>
      <c r="J598" s="9">
        <v>0.7916666666666666</v>
      </c>
    </row>
    <row r="599" hidden="1">
      <c r="A599" s="5" t="str">
        <f>IFNA(VLOOKUP(D599,'Location Table'!A:C,2,false),"")</f>
        <v>90798798-454c-11ed-b675-506b8dbc8dfb</v>
      </c>
      <c r="B599" s="5" t="str">
        <f>IFNA(VLOOKUP(F599,Driver!A:C,2,false),"")</f>
        <v>f5993946-37cf-11ed-a3fc-506b8dbc8dfb</v>
      </c>
      <c r="C599" s="5" t="str">
        <f>IFNA(VLOOKUP(E599,'Location Table'!A:C,2,false),"")</f>
        <v/>
      </c>
      <c r="D599" s="6" t="s">
        <v>429</v>
      </c>
      <c r="E599" s="6"/>
      <c r="F599" s="6" t="s">
        <v>314</v>
      </c>
      <c r="G599" s="7" t="s">
        <v>873</v>
      </c>
      <c r="H599" s="8" t="str">
        <f>IFNA(VLOOKUP(F599,Driver!A:C,3,false),"")</f>
        <v/>
      </c>
      <c r="I599" s="9">
        <v>0.6875</v>
      </c>
      <c r="J599" s="9">
        <v>0.7916666666666666</v>
      </c>
    </row>
    <row r="600" hidden="1">
      <c r="A600" s="5" t="str">
        <f>IFNA(VLOOKUP(D600,'Location Table'!A:C,2,false),"")</f>
        <v>87b6cc22-a916-11ee-9507-506b8d9879b5</v>
      </c>
      <c r="B600" s="5" t="str">
        <f>IFNA(VLOOKUP(F600,Driver!A:C,2,false),"")</f>
        <v>f5993946-37cf-11ed-a3fc-506b8dbc8dfb</v>
      </c>
      <c r="C600" s="5" t="str">
        <f>IFNA(VLOOKUP(E600,'Location Table'!A:C,2,false),"")</f>
        <v/>
      </c>
      <c r="D600" s="6" t="s">
        <v>430</v>
      </c>
      <c r="E600" s="6"/>
      <c r="F600" s="6" t="s">
        <v>314</v>
      </c>
      <c r="G600" s="7" t="s">
        <v>873</v>
      </c>
      <c r="H600" s="8" t="str">
        <f>IFNA(VLOOKUP(F600,Driver!A:C,3,false),"")</f>
        <v/>
      </c>
      <c r="I600" s="9">
        <v>0.6875</v>
      </c>
      <c r="J600" s="9">
        <v>0.7916666666666666</v>
      </c>
    </row>
    <row r="601" hidden="1">
      <c r="A601" s="5" t="str">
        <f>IFNA(VLOOKUP(D601,'Location Table'!A:C,2,false),"")</f>
        <v>543998ac-f753-11ef-ab07-506b8d9879b5</v>
      </c>
      <c r="B601" s="5" t="str">
        <f>IFNA(VLOOKUP(F601,Driver!A:C,2,false),"")</f>
        <v>443c5016-3017-11ee-a6b5-506b8d9879b5</v>
      </c>
      <c r="C601" s="5" t="str">
        <f>IFNA(VLOOKUP(E601,'Location Table'!A:C,2,false),"")</f>
        <v/>
      </c>
      <c r="D601" s="6" t="s">
        <v>432</v>
      </c>
      <c r="E601" s="6"/>
      <c r="F601" s="6" t="s">
        <v>513</v>
      </c>
      <c r="G601" s="7" t="s">
        <v>873</v>
      </c>
      <c r="H601" s="8" t="str">
        <f>IFNA(VLOOKUP(F601,Driver!A:C,3,false),"")</f>
        <v>430767465e0cb752ee1d</v>
      </c>
      <c r="I601" s="9">
        <v>0.6666666666666666</v>
      </c>
      <c r="J601" s="9">
        <v>0.7916666666666666</v>
      </c>
    </row>
    <row r="602" hidden="1">
      <c r="A602" s="5" t="str">
        <f>IFNA(VLOOKUP(D602,'Location Table'!A:C,2,false),"")</f>
        <v>ed7827b2-4621-11ed-9c75-506b8dbc8dfb</v>
      </c>
      <c r="B602" s="5" t="str">
        <f>IFNA(VLOOKUP(F602,Driver!A:C,2,false),"")</f>
        <v>f5993946-37cf-11ed-a3fc-506b8dbc8dfb</v>
      </c>
      <c r="C602" s="5" t="str">
        <f>IFNA(VLOOKUP(E602,'Location Table'!A:C,2,false),"")</f>
        <v/>
      </c>
      <c r="D602" s="6" t="s">
        <v>433</v>
      </c>
      <c r="E602" s="6"/>
      <c r="F602" s="6" t="s">
        <v>314</v>
      </c>
      <c r="G602" s="7" t="s">
        <v>873</v>
      </c>
      <c r="H602" s="8" t="str">
        <f>IFNA(VLOOKUP(F602,Driver!A:C,3,false),"")</f>
        <v/>
      </c>
      <c r="I602" s="9">
        <v>0.6875</v>
      </c>
      <c r="J602" s="9">
        <v>0.7916666666666666</v>
      </c>
    </row>
    <row r="603" hidden="1">
      <c r="A603" s="5" t="str">
        <f>IFNA(VLOOKUP(D603,'Location Table'!A:C,2,false),"")</f>
        <v>4f7acefe-4624-11ed-8c39-506b8dbc8dfb</v>
      </c>
      <c r="B603" s="5" t="str">
        <f>IFNA(VLOOKUP(F603,Driver!A:C,2,false),"")</f>
        <v>af57dfcc-782d-11f0-b407-506b8d982279</v>
      </c>
      <c r="C603" s="5" t="str">
        <f>IFNA(VLOOKUP(E603,'Location Table'!A:C,2,false),"")</f>
        <v/>
      </c>
      <c r="D603" s="6" t="s">
        <v>434</v>
      </c>
      <c r="E603" s="6"/>
      <c r="F603" s="6" t="s">
        <v>515</v>
      </c>
      <c r="G603" s="7" t="s">
        <v>873</v>
      </c>
      <c r="H603" s="8" t="str">
        <f>IFNA(VLOOKUP(F603,Driver!A:C,3,false),"")</f>
        <v>d9fc37dd4093a9cdf082</v>
      </c>
      <c r="I603" s="9">
        <v>0.6666666666666666</v>
      </c>
      <c r="J603" s="9">
        <v>0.7916666666666666</v>
      </c>
    </row>
    <row r="604" hidden="1">
      <c r="A604" s="5" t="str">
        <f>IFNA(VLOOKUP(D604,'Location Table'!A:C,2,false),"")</f>
        <v>6b207712-4624-11ed-ace2-506b8dbc8dfb</v>
      </c>
      <c r="B604" s="5" t="str">
        <f>IFNA(VLOOKUP(F604,Driver!A:C,2,false),"")</f>
        <v>af57dfcc-782d-11f0-b407-506b8d982279</v>
      </c>
      <c r="C604" s="5" t="str">
        <f>IFNA(VLOOKUP(E604,'Location Table'!A:C,2,false),"")</f>
        <v/>
      </c>
      <c r="D604" s="6" t="s">
        <v>435</v>
      </c>
      <c r="E604" s="6"/>
      <c r="F604" s="6" t="s">
        <v>515</v>
      </c>
      <c r="G604" s="7" t="s">
        <v>873</v>
      </c>
      <c r="H604" s="8" t="str">
        <f>IFNA(VLOOKUP(F604,Driver!A:C,3,false),"")</f>
        <v>d9fc37dd4093a9cdf082</v>
      </c>
      <c r="I604" s="9">
        <v>0.6666666666666666</v>
      </c>
      <c r="J604" s="9">
        <v>0.7916666666666666</v>
      </c>
    </row>
    <row r="605" hidden="1">
      <c r="A605" s="5" t="str">
        <f>IFNA(VLOOKUP(D605,'Location Table'!A:C,2,false),"")</f>
        <v>724b7d56-a0ab-11ee-bfe2-506b8d9879b5</v>
      </c>
      <c r="B605" s="5" t="str">
        <f>IFNA(VLOOKUP(F605,Driver!A:C,2,false),"")</f>
        <v>4e1ad614-6cdb-11ef-807b-506b8d9879b5</v>
      </c>
      <c r="C605" s="5" t="str">
        <f>IFNA(VLOOKUP(E605,'Location Table'!A:C,2,false),"")</f>
        <v/>
      </c>
      <c r="D605" s="6" t="s">
        <v>436</v>
      </c>
      <c r="E605" s="6"/>
      <c r="F605" s="6" t="s">
        <v>512</v>
      </c>
      <c r="G605" s="7" t="s">
        <v>873</v>
      </c>
      <c r="H605" s="8" t="str">
        <f>IFNA(VLOOKUP(F605,Driver!A:C,3,false),"")</f>
        <v>65a6581b624a8b14d25b</v>
      </c>
      <c r="I605" s="9">
        <v>0.6666666666666666</v>
      </c>
      <c r="J605" s="9">
        <v>0.7708333333333334</v>
      </c>
    </row>
    <row r="606" hidden="1">
      <c r="A606" s="5" t="str">
        <f>IFNA(VLOOKUP(D606,'Location Table'!A:C,2,false),"")</f>
        <v>b52b729a-2449-11ee-8a70-506b8d9879b5</v>
      </c>
      <c r="B606" s="5" t="str">
        <f>IFNA(VLOOKUP(F606,Driver!A:C,2,false),"")</f>
        <v>feb9afca-fcce-11f0-9378-fa163ee8d8ac</v>
      </c>
      <c r="C606" s="5" t="str">
        <f>IFNA(VLOOKUP(E606,'Location Table'!A:C,2,false),"")</f>
        <v>c4f51f56-1ba8-11f1-9378-fa163ee8d8ac</v>
      </c>
      <c r="D606" s="6" t="s">
        <v>437</v>
      </c>
      <c r="E606" s="10" t="s">
        <v>518</v>
      </c>
      <c r="F606" s="6" t="s">
        <v>879</v>
      </c>
      <c r="G606" s="7" t="s">
        <v>873</v>
      </c>
      <c r="H606" s="8" t="str">
        <f>IFNA(VLOOKUP(F606,Driver!A:C,3,false),"")</f>
        <v/>
      </c>
      <c r="I606" s="9">
        <v>0.75</v>
      </c>
      <c r="J606" s="9">
        <v>0.7916666666666666</v>
      </c>
    </row>
    <row r="607" hidden="1">
      <c r="A607" s="5" t="str">
        <f>IFNA(VLOOKUP(D607,'Location Table'!A:C,2,false),"")</f>
        <v>74ba6576-270f-11ef-ae03-506b8d9879b5</v>
      </c>
      <c r="B607" s="5" t="str">
        <f>IFNA(VLOOKUP(F607,Driver!A:C,2,false),"")</f>
        <v>f61678a4-3656-11ed-9310-506b8dbc8dfb</v>
      </c>
      <c r="C607" s="5" t="str">
        <f>IFNA(VLOOKUP(E607,'Location Table'!A:C,2,false),"")</f>
        <v/>
      </c>
      <c r="D607" s="6" t="s">
        <v>438</v>
      </c>
      <c r="E607" s="6"/>
      <c r="F607" s="6" t="s">
        <v>470</v>
      </c>
      <c r="G607" s="7" t="s">
        <v>873</v>
      </c>
      <c r="H607" s="8" t="str">
        <f>IFNA(VLOOKUP(F607,Driver!A:C,3,false),"")</f>
        <v>551b71e8ffa616f84fb7</v>
      </c>
      <c r="I607" s="9">
        <v>0.5</v>
      </c>
      <c r="J607" s="9">
        <v>0.7916666666666666</v>
      </c>
    </row>
    <row r="608" hidden="1">
      <c r="A608" s="5" t="str">
        <f>IFNA(VLOOKUP(D608,'Location Table'!A:C,2,false),"")</f>
        <v>a1370236-312d-11ee-9841-506b8d9879b5</v>
      </c>
      <c r="B608" s="5" t="str">
        <f>IFNA(VLOOKUP(F608,Driver!A:C,2,false),"")</f>
        <v>443c5016-3017-11ee-a6b5-506b8d9879b5</v>
      </c>
      <c r="C608" s="5" t="str">
        <f>IFNA(VLOOKUP(E608,'Location Table'!A:C,2,false),"")</f>
        <v/>
      </c>
      <c r="D608" s="6" t="s">
        <v>439</v>
      </c>
      <c r="E608" s="6"/>
      <c r="F608" s="6" t="s">
        <v>513</v>
      </c>
      <c r="G608" s="7" t="s">
        <v>873</v>
      </c>
      <c r="H608" s="8" t="str">
        <f>IFNA(VLOOKUP(F608,Driver!A:C,3,false),"")</f>
        <v>430767465e0cb752ee1d</v>
      </c>
      <c r="I608" s="9">
        <v>0.6666666666666666</v>
      </c>
      <c r="J608" s="9">
        <v>0.7916666666666666</v>
      </c>
    </row>
    <row r="609" hidden="1">
      <c r="A609" s="5" t="str">
        <f>IFNA(VLOOKUP(D609,'Location Table'!A:C,2,false),"")</f>
        <v>3d99ca00-54a0-11ef-92b7-506b8d9879b5</v>
      </c>
      <c r="B609" s="5" t="str">
        <f>IFNA(VLOOKUP(F609,Driver!A:C,2,false),"")</f>
        <v>443c5016-3017-11ee-a6b5-506b8d9879b5</v>
      </c>
      <c r="C609" s="5" t="str">
        <f>IFNA(VLOOKUP(E609,'Location Table'!A:C,2,false),"")</f>
        <v/>
      </c>
      <c r="D609" s="6" t="s">
        <v>440</v>
      </c>
      <c r="E609" s="6"/>
      <c r="F609" s="6" t="s">
        <v>513</v>
      </c>
      <c r="G609" s="7" t="s">
        <v>873</v>
      </c>
      <c r="H609" s="8" t="str">
        <f>IFNA(VLOOKUP(F609,Driver!A:C,3,false),"")</f>
        <v>430767465e0cb752ee1d</v>
      </c>
      <c r="I609" s="9">
        <v>0.6666666666666666</v>
      </c>
      <c r="J609" s="9">
        <v>0.7916666666666666</v>
      </c>
    </row>
    <row r="610" hidden="1">
      <c r="A610" s="5" t="str">
        <f>IFNA(VLOOKUP(D610,'Location Table'!A:C,2,false),"")</f>
        <v>a44407ce-7bed-11ef-b6a7-506b8d9879b5</v>
      </c>
      <c r="B610" s="5" t="str">
        <f>IFNA(VLOOKUP(F610,Driver!A:C,2,false),"")</f>
        <v>af57dfcc-782d-11f0-b407-506b8d982279</v>
      </c>
      <c r="C610" s="5" t="str">
        <f>IFNA(VLOOKUP(E610,'Location Table'!A:C,2,false),"")</f>
        <v/>
      </c>
      <c r="D610" s="6" t="s">
        <v>442</v>
      </c>
      <c r="E610" s="6"/>
      <c r="F610" s="6" t="s">
        <v>515</v>
      </c>
      <c r="G610" s="7" t="s">
        <v>873</v>
      </c>
      <c r="H610" s="8" t="str">
        <f>IFNA(VLOOKUP(F610,Driver!A:C,3,false),"")</f>
        <v>d9fc37dd4093a9cdf082</v>
      </c>
      <c r="I610" s="9">
        <v>0.6666666666666666</v>
      </c>
      <c r="J610" s="9">
        <v>0.7916666666666666</v>
      </c>
    </row>
    <row r="611" hidden="1">
      <c r="A611" s="5" t="str">
        <f>IFNA(VLOOKUP(D611,'Location Table'!A:C,2,false),"")</f>
        <v>e4c438d6-27bb-11ef-b969-506b8d9879b5</v>
      </c>
      <c r="B611" s="5" t="str">
        <f>IFNA(VLOOKUP(F611,Driver!A:C,2,false),"")</f>
        <v>443c5016-3017-11ee-a6b5-506b8d9879b5</v>
      </c>
      <c r="C611" s="5" t="str">
        <f>IFNA(VLOOKUP(E611,'Location Table'!A:C,2,false),"")</f>
        <v/>
      </c>
      <c r="D611" s="6" t="s">
        <v>443</v>
      </c>
      <c r="E611" s="6"/>
      <c r="F611" s="6" t="s">
        <v>513</v>
      </c>
      <c r="G611" s="7" t="s">
        <v>873</v>
      </c>
      <c r="H611" s="8" t="str">
        <f>IFNA(VLOOKUP(F611,Driver!A:C,3,false),"")</f>
        <v>430767465e0cb752ee1d</v>
      </c>
      <c r="I611" s="9">
        <v>0.6666666666666666</v>
      </c>
      <c r="J611" s="9">
        <v>0.7916666666666666</v>
      </c>
    </row>
    <row r="612" hidden="1">
      <c r="A612" s="5" t="str">
        <f>IFNA(VLOOKUP(D612,'Location Table'!A:C,2,false),"")</f>
        <v>b615381e-a3c7-11ee-9343-506b8d9879b5</v>
      </c>
      <c r="B612" s="5" t="str">
        <f>IFNA(VLOOKUP(F612,Driver!A:C,2,false),"")</f>
        <v>02d08390-37cf-11ed-865f-506b8dbc8dfb</v>
      </c>
      <c r="C612" s="5" t="str">
        <f>IFNA(VLOOKUP(E612,'Location Table'!A:C,2,false),"")</f>
        <v/>
      </c>
      <c r="D612" s="6" t="s">
        <v>444</v>
      </c>
      <c r="E612" s="6"/>
      <c r="F612" s="6" t="s">
        <v>516</v>
      </c>
      <c r="G612" s="7" t="s">
        <v>873</v>
      </c>
      <c r="H612" s="8" t="str">
        <f>IFNA(VLOOKUP(F612,Driver!A:C,3,false),"")</f>
        <v>7b7d76055846b118e857</v>
      </c>
      <c r="I612" s="9">
        <v>0.625</v>
      </c>
      <c r="J612" s="9">
        <v>0.7916666666666666</v>
      </c>
    </row>
    <row r="613" hidden="1">
      <c r="A613" s="5" t="str">
        <f>IFNA(VLOOKUP(D613,'Location Table'!A:C,2,false),"")</f>
        <v>f88dfab6-b522-11ee-bb52-506b8d9879b5</v>
      </c>
      <c r="B613" s="5" t="str">
        <f>IFNA(VLOOKUP(F613,Driver!A:C,2,false),"")</f>
        <v>f61678a4-3656-11ed-9310-506b8dbc8dfb</v>
      </c>
      <c r="C613" s="5" t="str">
        <f>IFNA(VLOOKUP(E613,'Location Table'!A:C,2,false),"")</f>
        <v/>
      </c>
      <c r="D613" s="6" t="s">
        <v>445</v>
      </c>
      <c r="E613" s="6"/>
      <c r="F613" s="6" t="s">
        <v>470</v>
      </c>
      <c r="G613" s="7" t="s">
        <v>873</v>
      </c>
      <c r="H613" s="8" t="str">
        <f>IFNA(VLOOKUP(F613,Driver!A:C,3,false),"")</f>
        <v>551b71e8ffa616f84fb7</v>
      </c>
      <c r="I613" s="9">
        <v>0.5</v>
      </c>
      <c r="J613" s="9">
        <v>0.7916666666666666</v>
      </c>
    </row>
    <row r="614" hidden="1">
      <c r="A614" s="5" t="str">
        <f>IFNA(VLOOKUP(D614,'Location Table'!A:C,2,false),"")</f>
        <v>d98568e2-c9ad-11f0-8c1e-506b8d982279</v>
      </c>
      <c r="B614" s="5" t="str">
        <f>IFNA(VLOOKUP(F614,Driver!A:C,2,false),"")</f>
        <v>1f4f6cae-37cd-11ed-a84d-506b8dbc8dfb</v>
      </c>
      <c r="C614" s="5" t="str">
        <f>IFNA(VLOOKUP(E614,'Location Table'!A:C,2,false),"")</f>
        <v/>
      </c>
      <c r="D614" s="6" t="s">
        <v>457</v>
      </c>
      <c r="E614" s="6"/>
      <c r="F614" s="6" t="s">
        <v>514</v>
      </c>
      <c r="G614" s="7" t="s">
        <v>873</v>
      </c>
      <c r="H614" s="8" t="str">
        <f>IFNA(VLOOKUP(F614,Driver!A:C,3,false),"")</f>
        <v>595aed435d09b457ed18</v>
      </c>
      <c r="I614" s="9">
        <v>0.6666666666666666</v>
      </c>
      <c r="J614" s="9">
        <v>0.7916666666666666</v>
      </c>
    </row>
    <row r="615" hidden="1">
      <c r="A615" s="5" t="str">
        <f>IFNA(VLOOKUP(D615,'Location Table'!A:C,2,false),"")</f>
        <v>e05dd2f2-befa-11f0-a698-506b8d982279</v>
      </c>
      <c r="B615" s="5" t="str">
        <f>IFNA(VLOOKUP(F615,Driver!A:C,2,false),"")</f>
        <v>1f4f6cae-37cd-11ed-a84d-506b8dbc8dfb</v>
      </c>
      <c r="C615" s="5" t="str">
        <f>IFNA(VLOOKUP(E615,'Location Table'!A:C,2,false),"")</f>
        <v/>
      </c>
      <c r="D615" s="6" t="s">
        <v>458</v>
      </c>
      <c r="E615" s="6"/>
      <c r="F615" s="6" t="s">
        <v>514</v>
      </c>
      <c r="G615" s="7" t="s">
        <v>873</v>
      </c>
      <c r="H615" s="8" t="str">
        <f>IFNA(VLOOKUP(F615,Driver!A:C,3,false),"")</f>
        <v>595aed435d09b457ed18</v>
      </c>
      <c r="I615" s="9">
        <v>0.6666666666666666</v>
      </c>
      <c r="J615" s="9">
        <v>0.7916666666666666</v>
      </c>
    </row>
    <row r="616" hidden="1">
      <c r="A616" s="5" t="str">
        <f>IFNA(VLOOKUP(D616,'Location Table'!A:C,2,false),"")</f>
        <v>6a0525ea-669c-11ef-9bd6-506b8d9879b5</v>
      </c>
      <c r="B616" s="5" t="str">
        <f>IFNA(VLOOKUP(F616,Driver!A:C,2,false),"")</f>
        <v>feb9afca-fcce-11f0-9378-fa163ee8d8ac</v>
      </c>
      <c r="C616" s="5" t="str">
        <f>IFNA(VLOOKUP(E616,'Location Table'!A:C,2,false),"")</f>
        <v/>
      </c>
      <c r="D616" s="6" t="s">
        <v>461</v>
      </c>
      <c r="E616" s="6"/>
      <c r="F616" s="6" t="s">
        <v>879</v>
      </c>
      <c r="G616" s="7" t="s">
        <v>873</v>
      </c>
      <c r="H616" s="8" t="str">
        <f>IFNA(VLOOKUP(F616,Driver!A:C,3,false),"")</f>
        <v/>
      </c>
      <c r="I616" s="9">
        <v>0.6666666666666666</v>
      </c>
      <c r="J616" s="9">
        <v>0.7916666666666666</v>
      </c>
    </row>
    <row r="617" hidden="1">
      <c r="A617" s="5" t="str">
        <f>IFNA(VLOOKUP(D617,'Location Table'!A:C,2,false),"")</f>
        <v>544395bc-a191-11f0-8165-506b8d982279</v>
      </c>
      <c r="B617" s="5" t="str">
        <f>IFNA(VLOOKUP(F617,Driver!A:C,2,false),"")</f>
        <v>4e1ad614-6cdb-11ef-807b-506b8d9879b5</v>
      </c>
      <c r="C617" s="5" t="str">
        <f>IFNA(VLOOKUP(E617,'Location Table'!A:C,2,false),"")</f>
        <v/>
      </c>
      <c r="D617" s="6" t="s">
        <v>464</v>
      </c>
      <c r="E617" s="6"/>
      <c r="F617" s="6" t="s">
        <v>512</v>
      </c>
      <c r="G617" s="7" t="s">
        <v>873</v>
      </c>
      <c r="H617" s="8" t="str">
        <f>IFNA(VLOOKUP(F617,Driver!A:C,3,false),"")</f>
        <v>65a6581b624a8b14d25b</v>
      </c>
      <c r="I617" s="9">
        <v>0.6666666666666666</v>
      </c>
      <c r="J617" s="9">
        <v>0.7708333333333334</v>
      </c>
    </row>
    <row r="618" hidden="1">
      <c r="A618" s="5" t="str">
        <f>IFNA(VLOOKUP(D618,'Location Table'!A:C,2,false),"")</f>
        <v>0f249710-bc37-11ee-a241-506b8d9879b5</v>
      </c>
      <c r="B618" s="5" t="str">
        <f>IFNA(VLOOKUP(F618,Driver!A:C,2,false),"")</f>
        <v>feb9afca-fcce-11f0-9378-fa163ee8d8ac</v>
      </c>
      <c r="C618" s="5" t="str">
        <f>IFNA(VLOOKUP(E618,'Location Table'!A:C,2,false),"")</f>
        <v/>
      </c>
      <c r="D618" s="6" t="s">
        <v>465</v>
      </c>
      <c r="E618" s="6"/>
      <c r="F618" s="6" t="s">
        <v>879</v>
      </c>
      <c r="G618" s="7" t="s">
        <v>873</v>
      </c>
      <c r="H618" s="8" t="str">
        <f>IFNA(VLOOKUP(F618,Driver!A:C,3,false),"")</f>
        <v/>
      </c>
      <c r="I618" s="9">
        <v>0.6666666666666666</v>
      </c>
      <c r="J618" s="9">
        <v>0.7916666666666666</v>
      </c>
    </row>
    <row r="619" hidden="1">
      <c r="A619" s="5" t="str">
        <f>IFNA(VLOOKUP(D619,'Location Table'!A:C,2,false),"")</f>
        <v>1c2f6a70-14c1-11ee-aef1-506b8dbc8dfb</v>
      </c>
      <c r="B619" s="5" t="str">
        <f>IFNA(VLOOKUP(F619,Driver!A:C,2,false),"")</f>
        <v>f61678a4-3656-11ed-9310-506b8dbc8dfb</v>
      </c>
      <c r="C619" s="5" t="str">
        <f>IFNA(VLOOKUP(E619,'Location Table'!A:C,2,false),"")</f>
        <v/>
      </c>
      <c r="D619" s="6" t="s">
        <v>472</v>
      </c>
      <c r="E619" s="6"/>
      <c r="F619" s="6" t="s">
        <v>470</v>
      </c>
      <c r="G619" s="7" t="s">
        <v>873</v>
      </c>
      <c r="H619" s="8" t="str">
        <f>IFNA(VLOOKUP(F619,Driver!A:C,3,false),"")</f>
        <v>551b71e8ffa616f84fb7</v>
      </c>
      <c r="I619" s="9">
        <v>0.5</v>
      </c>
      <c r="J619" s="9">
        <v>0.7916666666666666</v>
      </c>
    </row>
    <row r="620" hidden="1">
      <c r="A620" s="5" t="str">
        <f>IFNA(VLOOKUP(D620,'Location Table'!A:C,2,false),"")</f>
        <v>3c422a6c-2e3e-11f0-88f0-506b8d982279</v>
      </c>
      <c r="B620" s="5" t="str">
        <f>IFNA(VLOOKUP(F620,Driver!A:C,2,false),"")</f>
        <v>f61678a4-3656-11ed-9310-506b8dbc8dfb</v>
      </c>
      <c r="C620" s="5" t="str">
        <f>IFNA(VLOOKUP(E620,'Location Table'!A:C,2,false),"")</f>
        <v/>
      </c>
      <c r="D620" s="6" t="s">
        <v>473</v>
      </c>
      <c r="E620" s="6"/>
      <c r="F620" s="6" t="s">
        <v>470</v>
      </c>
      <c r="G620" s="7" t="s">
        <v>873</v>
      </c>
      <c r="H620" s="8" t="str">
        <f>IFNA(VLOOKUP(F620,Driver!A:C,3,false),"")</f>
        <v>551b71e8ffa616f84fb7</v>
      </c>
      <c r="I620" s="9">
        <v>0.5</v>
      </c>
      <c r="J620" s="9">
        <v>0.7916666666666666</v>
      </c>
    </row>
    <row r="621" hidden="1">
      <c r="A621" s="5" t="str">
        <f>IFNA(VLOOKUP(D621,'Location Table'!A:C,2,false),"")</f>
        <v>c543ce02-051c-11ef-9692-506b8d9879b5</v>
      </c>
      <c r="B621" s="5" t="str">
        <f>IFNA(VLOOKUP(F621,Driver!A:C,2,false),"")</f>
        <v>f61678a4-3656-11ed-9310-506b8dbc8dfb</v>
      </c>
      <c r="C621" s="5" t="str">
        <f>IFNA(VLOOKUP(E621,'Location Table'!A:C,2,false),"")</f>
        <v/>
      </c>
      <c r="D621" s="6" t="s">
        <v>474</v>
      </c>
      <c r="E621" s="6"/>
      <c r="F621" s="6" t="s">
        <v>470</v>
      </c>
      <c r="G621" s="7" t="s">
        <v>873</v>
      </c>
      <c r="H621" s="8" t="str">
        <f>IFNA(VLOOKUP(F621,Driver!A:C,3,false),"")</f>
        <v>551b71e8ffa616f84fb7</v>
      </c>
      <c r="I621" s="9">
        <v>0.5</v>
      </c>
      <c r="J621" s="9">
        <v>0.7916666666666666</v>
      </c>
    </row>
    <row r="622" hidden="1">
      <c r="A622" s="5" t="str">
        <f>IFNA(VLOOKUP(D622,'Location Table'!A:C,2,false),"")</f>
        <v>865f5ec8-a16f-11ef-9efd-506b8d9879b5</v>
      </c>
      <c r="B622" s="5" t="str">
        <f>IFNA(VLOOKUP(F622,Driver!A:C,2,false),"")</f>
        <v>f61678a4-3656-11ed-9310-506b8dbc8dfb</v>
      </c>
      <c r="C622" s="5" t="str">
        <f>IFNA(VLOOKUP(E622,'Location Table'!A:C,2,false),"")</f>
        <v/>
      </c>
      <c r="D622" s="6" t="s">
        <v>475</v>
      </c>
      <c r="E622" s="6"/>
      <c r="F622" s="6" t="s">
        <v>470</v>
      </c>
      <c r="G622" s="7" t="s">
        <v>873</v>
      </c>
      <c r="H622" s="8" t="str">
        <f>IFNA(VLOOKUP(F622,Driver!A:C,3,false),"")</f>
        <v>551b71e8ffa616f84fb7</v>
      </c>
      <c r="I622" s="9">
        <v>0.5</v>
      </c>
      <c r="J622" s="9">
        <v>0.7916666666666666</v>
      </c>
    </row>
    <row r="623" hidden="1">
      <c r="A623" s="5" t="str">
        <f>IFNA(VLOOKUP(D623,'Location Table'!A:C,2,false),"")</f>
        <v>a152221e-1c74-11ee-a1ed-506b8d9879b5</v>
      </c>
      <c r="B623" s="5" t="str">
        <f>IFNA(VLOOKUP(F623,Driver!A:C,2,false),"")</f>
        <v>f61678a4-3656-11ed-9310-506b8dbc8dfb</v>
      </c>
      <c r="C623" s="5" t="str">
        <f>IFNA(VLOOKUP(E623,'Location Table'!A:C,2,false),"")</f>
        <v/>
      </c>
      <c r="D623" s="6" t="s">
        <v>476</v>
      </c>
      <c r="E623" s="6"/>
      <c r="F623" s="6" t="s">
        <v>470</v>
      </c>
      <c r="G623" s="7" t="s">
        <v>873</v>
      </c>
      <c r="H623" s="8" t="str">
        <f>IFNA(VLOOKUP(F623,Driver!A:C,3,false),"")</f>
        <v>551b71e8ffa616f84fb7</v>
      </c>
      <c r="I623" s="9">
        <v>0.5</v>
      </c>
      <c r="J623" s="9">
        <v>0.7916666666666666</v>
      </c>
    </row>
    <row r="624" hidden="1">
      <c r="A624" s="5" t="str">
        <f>IFNA(VLOOKUP(D624,'Location Table'!A:C,2,false),"")</f>
        <v>348b9524-c034-11ef-9e8b-506b8d9879b5</v>
      </c>
      <c r="B624" s="5" t="str">
        <f>IFNA(VLOOKUP(F624,Driver!A:C,2,false),"")</f>
        <v>f61678a4-3656-11ed-9310-506b8dbc8dfb</v>
      </c>
      <c r="C624" s="5" t="str">
        <f>IFNA(VLOOKUP(E624,'Location Table'!A:C,2,false),"")</f>
        <v/>
      </c>
      <c r="D624" s="6" t="s">
        <v>477</v>
      </c>
      <c r="E624" s="6"/>
      <c r="F624" s="6" t="s">
        <v>470</v>
      </c>
      <c r="G624" s="7" t="s">
        <v>873</v>
      </c>
      <c r="H624" s="8" t="str">
        <f>IFNA(VLOOKUP(F624,Driver!A:C,3,false),"")</f>
        <v>551b71e8ffa616f84fb7</v>
      </c>
      <c r="I624" s="9">
        <v>0.5</v>
      </c>
      <c r="J624" s="9">
        <v>0.7916666666666666</v>
      </c>
    </row>
    <row r="625" hidden="1">
      <c r="A625" s="5" t="str">
        <f>IFNA(VLOOKUP(D625,'Location Table'!A:C,2,false),"")</f>
        <v>25a3a9f6-5a22-11f0-8592-506b8d982279</v>
      </c>
      <c r="B625" s="5" t="str">
        <f>IFNA(VLOOKUP(F625,Driver!A:C,2,false),"")</f>
        <v>f61678a4-3656-11ed-9310-506b8dbc8dfb</v>
      </c>
      <c r="C625" s="5" t="str">
        <f>IFNA(VLOOKUP(E625,'Location Table'!A:C,2,false),"")</f>
        <v/>
      </c>
      <c r="D625" s="6" t="s">
        <v>478</v>
      </c>
      <c r="E625" s="6"/>
      <c r="F625" s="6" t="s">
        <v>470</v>
      </c>
      <c r="G625" s="7" t="s">
        <v>873</v>
      </c>
      <c r="H625" s="8" t="str">
        <f>IFNA(VLOOKUP(F625,Driver!A:C,3,false),"")</f>
        <v>551b71e8ffa616f84fb7</v>
      </c>
      <c r="I625" s="9">
        <v>0.5</v>
      </c>
      <c r="J625" s="9">
        <v>0.7916666666666666</v>
      </c>
    </row>
    <row r="626" hidden="1">
      <c r="A626" s="5" t="str">
        <f>IFNA(VLOOKUP(D626,'Location Table'!A:C,2,false),"")</f>
        <v>9d84404a-766d-11f0-9777-506b8d982279</v>
      </c>
      <c r="B626" s="5" t="str">
        <f>IFNA(VLOOKUP(F626,Driver!A:C,2,false),"")</f>
        <v>af57dfcc-782d-11f0-b407-506b8d982279</v>
      </c>
      <c r="C626" s="5" t="str">
        <f>IFNA(VLOOKUP(E626,'Location Table'!A:C,2,false),"")</f>
        <v/>
      </c>
      <c r="D626" s="6" t="s">
        <v>479</v>
      </c>
      <c r="E626" s="6"/>
      <c r="F626" s="6" t="s">
        <v>515</v>
      </c>
      <c r="G626" s="7" t="s">
        <v>873</v>
      </c>
      <c r="H626" s="8" t="str">
        <f>IFNA(VLOOKUP(F626,Driver!A:C,3,false),"")</f>
        <v>d9fc37dd4093a9cdf082</v>
      </c>
      <c r="I626" s="9">
        <v>0.6666666666666666</v>
      </c>
      <c r="J626" s="9">
        <v>0.7916666666666666</v>
      </c>
    </row>
    <row r="627" hidden="1">
      <c r="A627" s="5" t="str">
        <f>IFNA(VLOOKUP(D627,'Location Table'!A:C,2,false),"")</f>
        <v>d220372a-71ed-11f0-a7df-506b8d982279</v>
      </c>
      <c r="B627" s="5" t="str">
        <f>IFNA(VLOOKUP(F627,Driver!A:C,2,false),"")</f>
        <v>af57dfcc-782d-11f0-b407-506b8d982279</v>
      </c>
      <c r="C627" s="5" t="str">
        <f>IFNA(VLOOKUP(E627,'Location Table'!A:C,2,false),"")</f>
        <v/>
      </c>
      <c r="D627" s="6" t="s">
        <v>480</v>
      </c>
      <c r="E627" s="6"/>
      <c r="F627" s="6" t="s">
        <v>515</v>
      </c>
      <c r="G627" s="7" t="s">
        <v>873</v>
      </c>
      <c r="H627" s="8" t="str">
        <f>IFNA(VLOOKUP(F627,Driver!A:C,3,false),"")</f>
        <v>d9fc37dd4093a9cdf082</v>
      </c>
      <c r="I627" s="9">
        <v>0.6666666666666666</v>
      </c>
      <c r="J627" s="9">
        <v>0.7916666666666666</v>
      </c>
    </row>
    <row r="628" hidden="1">
      <c r="A628" s="5" t="str">
        <f>IFNA(VLOOKUP(D628,'Location Table'!A:C,2,false),"")</f>
        <v>9e804122-4a03-11ed-a843-506b8dbc8dfb</v>
      </c>
      <c r="B628" s="5" t="str">
        <f>IFNA(VLOOKUP(F628,Driver!A:C,2,false),"")</f>
        <v>af57dfcc-782d-11f0-b407-506b8d982279</v>
      </c>
      <c r="C628" s="5" t="str">
        <f>IFNA(VLOOKUP(E628,'Location Table'!A:C,2,false),"")</f>
        <v/>
      </c>
      <c r="D628" s="6" t="s">
        <v>481</v>
      </c>
      <c r="E628" s="6"/>
      <c r="F628" s="6" t="s">
        <v>515</v>
      </c>
      <c r="G628" s="7" t="s">
        <v>873</v>
      </c>
      <c r="H628" s="8" t="str">
        <f>IFNA(VLOOKUP(F628,Driver!A:C,3,false),"")</f>
        <v>d9fc37dd4093a9cdf082</v>
      </c>
      <c r="I628" s="9">
        <v>0.6666666666666666</v>
      </c>
      <c r="J628" s="9">
        <v>0.7916666666666666</v>
      </c>
    </row>
    <row r="629" hidden="1">
      <c r="A629" s="5" t="str">
        <f>IFNA(VLOOKUP(D629,'Location Table'!A:C,2,false),"")</f>
        <v>b4d7bbf4-2d3f-11f0-9f74-506b8d982279</v>
      </c>
      <c r="B629" s="5" t="str">
        <f>IFNA(VLOOKUP(F629,Driver!A:C,2,false),"")</f>
        <v>af57dfcc-782d-11f0-b407-506b8d982279</v>
      </c>
      <c r="C629" s="5" t="str">
        <f>IFNA(VLOOKUP(E629,'Location Table'!A:C,2,false),"")</f>
        <v/>
      </c>
      <c r="D629" s="6" t="s">
        <v>482</v>
      </c>
      <c r="E629" s="6"/>
      <c r="F629" s="6" t="s">
        <v>515</v>
      </c>
      <c r="G629" s="7" t="s">
        <v>873</v>
      </c>
      <c r="H629" s="8" t="str">
        <f>IFNA(VLOOKUP(F629,Driver!A:C,3,false),"")</f>
        <v>d9fc37dd4093a9cdf082</v>
      </c>
      <c r="I629" s="9">
        <v>0.6666666666666666</v>
      </c>
      <c r="J629" s="9">
        <v>0.7916666666666666</v>
      </c>
    </row>
    <row r="630" hidden="1">
      <c r="A630" s="5" t="str">
        <f>IFNA(VLOOKUP(D630,'Location Table'!A:C,2,false),"")</f>
        <v>86916f9c-f378-11f0-9378-fa163ee8d8ac</v>
      </c>
      <c r="B630" s="5" t="str">
        <f>IFNA(VLOOKUP(F630,Driver!A:C,2,false),"")</f>
        <v>af57dfcc-782d-11f0-b407-506b8d982279</v>
      </c>
      <c r="C630" s="5" t="str">
        <f>IFNA(VLOOKUP(E630,'Location Table'!A:C,2,false),"")</f>
        <v/>
      </c>
      <c r="D630" s="6" t="s">
        <v>483</v>
      </c>
      <c r="E630" s="6"/>
      <c r="F630" s="6" t="s">
        <v>515</v>
      </c>
      <c r="G630" s="7" t="s">
        <v>873</v>
      </c>
      <c r="H630" s="8" t="str">
        <f>IFNA(VLOOKUP(F630,Driver!A:C,3,false),"")</f>
        <v>d9fc37dd4093a9cdf082</v>
      </c>
      <c r="I630" s="9">
        <v>0.6666666666666666</v>
      </c>
      <c r="J630" s="9">
        <v>0.7916666666666666</v>
      </c>
    </row>
    <row r="631" hidden="1">
      <c r="A631" s="5" t="str">
        <f>IFNA(VLOOKUP(D631,'Location Table'!A:C,2,false),"")</f>
        <v>3a86599e-127f-11f0-a16b-506b8d982279</v>
      </c>
      <c r="B631" s="5" t="str">
        <f>IFNA(VLOOKUP(F631,Driver!A:C,2,false),"")</f>
        <v>af57dfcc-782d-11f0-b407-506b8d982279</v>
      </c>
      <c r="C631" s="5" t="str">
        <f>IFNA(VLOOKUP(E631,'Location Table'!A:C,2,false),"")</f>
        <v/>
      </c>
      <c r="D631" s="6" t="s">
        <v>484</v>
      </c>
      <c r="E631" s="6"/>
      <c r="F631" s="6" t="s">
        <v>515</v>
      </c>
      <c r="G631" s="7" t="s">
        <v>873</v>
      </c>
      <c r="H631" s="8" t="str">
        <f>IFNA(VLOOKUP(F631,Driver!A:C,3,false),"")</f>
        <v>d9fc37dd4093a9cdf082</v>
      </c>
      <c r="I631" s="9">
        <v>0.6666666666666666</v>
      </c>
      <c r="J631" s="9">
        <v>0.7916666666666666</v>
      </c>
    </row>
    <row r="632" hidden="1">
      <c r="A632" s="5" t="str">
        <f>IFNA(VLOOKUP(D632,'Location Table'!A:C,2,false),"")</f>
        <v>5c78d8c6-887a-11f0-92fa-506b8d982279</v>
      </c>
      <c r="B632" s="5" t="str">
        <f>IFNA(VLOOKUP(F632,Driver!A:C,2,false),"")</f>
        <v>af57dfcc-782d-11f0-b407-506b8d982279</v>
      </c>
      <c r="C632" s="5" t="str">
        <f>IFNA(VLOOKUP(E632,'Location Table'!A:C,2,false),"")</f>
        <v/>
      </c>
      <c r="D632" s="6" t="s">
        <v>485</v>
      </c>
      <c r="E632" s="6"/>
      <c r="F632" s="6" t="s">
        <v>515</v>
      </c>
      <c r="G632" s="7" t="s">
        <v>873</v>
      </c>
      <c r="H632" s="8" t="str">
        <f>IFNA(VLOOKUP(F632,Driver!A:C,3,false),"")</f>
        <v>d9fc37dd4093a9cdf082</v>
      </c>
      <c r="I632" s="9">
        <v>0.6666666666666666</v>
      </c>
      <c r="J632" s="9">
        <v>0.7916666666666666</v>
      </c>
    </row>
    <row r="633" hidden="1">
      <c r="A633" s="5" t="str">
        <f>IFNA(VLOOKUP(D633,'Location Table'!A:C,2,false),"")</f>
        <v>b9c0d130-65e5-11f0-afb8-506b8d982279</v>
      </c>
      <c r="B633" s="5" t="str">
        <f>IFNA(VLOOKUP(F633,Driver!A:C,2,false),"")</f>
        <v>af57dfcc-782d-11f0-b407-506b8d982279</v>
      </c>
      <c r="C633" s="5" t="str">
        <f>IFNA(VLOOKUP(E633,'Location Table'!A:C,2,false),"")</f>
        <v/>
      </c>
      <c r="D633" s="6" t="s">
        <v>486</v>
      </c>
      <c r="E633" s="6"/>
      <c r="F633" s="6" t="s">
        <v>515</v>
      </c>
      <c r="G633" s="7" t="s">
        <v>873</v>
      </c>
      <c r="H633" s="8" t="str">
        <f>IFNA(VLOOKUP(F633,Driver!A:C,3,false),"")</f>
        <v>d9fc37dd4093a9cdf082</v>
      </c>
      <c r="I633" s="9">
        <v>0.6666666666666666</v>
      </c>
      <c r="J633" s="9">
        <v>0.7916666666666666</v>
      </c>
    </row>
    <row r="634" hidden="1">
      <c r="A634" s="5" t="str">
        <f>IFNA(VLOOKUP(D634,'Location Table'!A:C,2,false),"")</f>
        <v>8b214fbe-cb29-11ef-adf4-506b8d9879b5</v>
      </c>
      <c r="B634" s="5" t="str">
        <f>IFNA(VLOOKUP(F634,Driver!A:C,2,false),"")</f>
        <v>af57dfcc-782d-11f0-b407-506b8d982279</v>
      </c>
      <c r="C634" s="5" t="str">
        <f>IFNA(VLOOKUP(E634,'Location Table'!A:C,2,false),"")</f>
        <v/>
      </c>
      <c r="D634" s="6" t="s">
        <v>487</v>
      </c>
      <c r="E634" s="6"/>
      <c r="F634" s="6" t="s">
        <v>515</v>
      </c>
      <c r="G634" s="7" t="s">
        <v>873</v>
      </c>
      <c r="H634" s="8" t="str">
        <f>IFNA(VLOOKUP(F634,Driver!A:C,3,false),"")</f>
        <v>d9fc37dd4093a9cdf082</v>
      </c>
      <c r="I634" s="9">
        <v>0.6666666666666666</v>
      </c>
      <c r="J634" s="9">
        <v>0.7916666666666666</v>
      </c>
    </row>
    <row r="635" hidden="1">
      <c r="A635" s="5" t="str">
        <f>IFNA(VLOOKUP(D635,'Location Table'!A:C,2,false),"")</f>
        <v>043ae9d6-2be8-11f0-82f9-506b8d982279</v>
      </c>
      <c r="B635" s="5" t="str">
        <f>IFNA(VLOOKUP(F635,Driver!A:C,2,false),"")</f>
        <v>af57dfcc-782d-11f0-b407-506b8d982279</v>
      </c>
      <c r="C635" s="5" t="str">
        <f>IFNA(VLOOKUP(E635,'Location Table'!A:C,2,false),"")</f>
        <v/>
      </c>
      <c r="D635" s="6" t="s">
        <v>488</v>
      </c>
      <c r="E635" s="6"/>
      <c r="F635" s="6" t="s">
        <v>515</v>
      </c>
      <c r="G635" s="7" t="s">
        <v>873</v>
      </c>
      <c r="H635" s="8" t="str">
        <f>IFNA(VLOOKUP(F635,Driver!A:C,3,false),"")</f>
        <v>d9fc37dd4093a9cdf082</v>
      </c>
      <c r="I635" s="9">
        <v>0.6666666666666666</v>
      </c>
      <c r="J635" s="9">
        <v>0.7916666666666666</v>
      </c>
    </row>
    <row r="636" hidden="1">
      <c r="A636" s="5" t="str">
        <f>IFNA(VLOOKUP(D636,'Location Table'!A:C,2,false),"")</f>
        <v>d2229a02-c02f-11f0-951d-506b8d982279</v>
      </c>
      <c r="B636" s="5" t="str">
        <f>IFNA(VLOOKUP(F636,Driver!A:C,2,false),"")</f>
        <v>f61678a4-3656-11ed-9310-506b8dbc8dfb</v>
      </c>
      <c r="C636" s="5" t="str">
        <f>IFNA(VLOOKUP(E636,'Location Table'!A:C,2,false),"")</f>
        <v/>
      </c>
      <c r="D636" s="6" t="s">
        <v>489</v>
      </c>
      <c r="E636" s="6"/>
      <c r="F636" s="6" t="s">
        <v>470</v>
      </c>
      <c r="G636" s="7" t="s">
        <v>873</v>
      </c>
      <c r="H636" s="8" t="str">
        <f>IFNA(VLOOKUP(F636,Driver!A:C,3,false),"")</f>
        <v>551b71e8ffa616f84fb7</v>
      </c>
      <c r="I636" s="9">
        <v>0.5</v>
      </c>
      <c r="J636" s="9">
        <v>0.7916666666666666</v>
      </c>
    </row>
    <row r="637" hidden="1">
      <c r="A637" s="5" t="str">
        <f>IFNA(VLOOKUP(D637,'Location Table'!A:C,2,false),"")</f>
        <v>c53f193c-f73e-11f0-9378-fa163ee8d8ac</v>
      </c>
      <c r="B637" s="5" t="str">
        <f>IFNA(VLOOKUP(F637,Driver!A:C,2,false),"")</f>
        <v>af57dfcc-782d-11f0-b407-506b8d982279</v>
      </c>
      <c r="C637" s="5" t="str">
        <f>IFNA(VLOOKUP(E637,'Location Table'!A:C,2,false),"")</f>
        <v/>
      </c>
      <c r="D637" s="6" t="s">
        <v>490</v>
      </c>
      <c r="E637" s="6"/>
      <c r="F637" s="6" t="s">
        <v>515</v>
      </c>
      <c r="G637" s="7" t="s">
        <v>873</v>
      </c>
      <c r="H637" s="8" t="str">
        <f>IFNA(VLOOKUP(F637,Driver!A:C,3,false),"")</f>
        <v>d9fc37dd4093a9cdf082</v>
      </c>
      <c r="I637" s="9">
        <v>0.6666666666666666</v>
      </c>
      <c r="J637" s="9">
        <v>0.7916666666666666</v>
      </c>
    </row>
    <row r="638" hidden="1">
      <c r="A638" s="5" t="str">
        <f>IFNA(VLOOKUP(D638,'Location Table'!A:C,2,false),"")</f>
        <v>4e6db408-85b7-11ee-8c15-506b8d9879b5</v>
      </c>
      <c r="B638" s="5" t="str">
        <f>IFNA(VLOOKUP(F638,Driver!A:C,2,false),"")</f>
        <v>af57dfcc-782d-11f0-b407-506b8d982279</v>
      </c>
      <c r="C638" s="5" t="str">
        <f>IFNA(VLOOKUP(E638,'Location Table'!A:C,2,false),"")</f>
        <v/>
      </c>
      <c r="D638" s="6" t="s">
        <v>491</v>
      </c>
      <c r="E638" s="6"/>
      <c r="F638" s="6" t="s">
        <v>515</v>
      </c>
      <c r="G638" s="7" t="s">
        <v>873</v>
      </c>
      <c r="H638" s="8" t="str">
        <f>IFNA(VLOOKUP(F638,Driver!A:C,3,false),"")</f>
        <v>d9fc37dd4093a9cdf082</v>
      </c>
      <c r="I638" s="9">
        <v>0.6666666666666666</v>
      </c>
      <c r="J638" s="9">
        <v>0.7916666666666666</v>
      </c>
    </row>
    <row r="639" hidden="1">
      <c r="A639" s="5" t="str">
        <f>IFNA(VLOOKUP(D639,'Location Table'!A:C,2,false),"")</f>
        <v>7137d374-94d4-11ef-bdaf-506b8d9879b5</v>
      </c>
      <c r="B639" s="5" t="str">
        <f>IFNA(VLOOKUP(F639,Driver!A:C,2,false),"")</f>
        <v>af57dfcc-782d-11f0-b407-506b8d982279</v>
      </c>
      <c r="C639" s="5" t="str">
        <f>IFNA(VLOOKUP(E639,'Location Table'!A:C,2,false),"")</f>
        <v/>
      </c>
      <c r="D639" s="6" t="s">
        <v>492</v>
      </c>
      <c r="E639" s="6"/>
      <c r="F639" s="6" t="s">
        <v>515</v>
      </c>
      <c r="G639" s="7" t="s">
        <v>873</v>
      </c>
      <c r="H639" s="8" t="str">
        <f>IFNA(VLOOKUP(F639,Driver!A:C,3,false),"")</f>
        <v>d9fc37dd4093a9cdf082</v>
      </c>
      <c r="I639" s="9">
        <v>0.6666666666666666</v>
      </c>
      <c r="J639" s="9">
        <v>0.7916666666666666</v>
      </c>
    </row>
    <row r="640" hidden="1">
      <c r="A640" s="5" t="str">
        <f>IFNA(VLOOKUP(D640,'Location Table'!A:C,2,false),"")</f>
        <v>c7059358-2b0c-11f0-967c-506b8d982279</v>
      </c>
      <c r="B640" s="5" t="str">
        <f>IFNA(VLOOKUP(F640,Driver!A:C,2,false),"")</f>
        <v>f61678a4-3656-11ed-9310-506b8dbc8dfb</v>
      </c>
      <c r="C640" s="5" t="str">
        <f>IFNA(VLOOKUP(E640,'Location Table'!A:C,2,false),"")</f>
        <v/>
      </c>
      <c r="D640" s="6" t="s">
        <v>495</v>
      </c>
      <c r="E640" s="6"/>
      <c r="F640" s="6" t="s">
        <v>470</v>
      </c>
      <c r="G640" s="7" t="s">
        <v>873</v>
      </c>
      <c r="H640" s="8" t="str">
        <f>IFNA(VLOOKUP(F640,Driver!A:C,3,false),"")</f>
        <v>551b71e8ffa616f84fb7</v>
      </c>
      <c r="I640" s="9">
        <v>0.5</v>
      </c>
      <c r="J640" s="9">
        <v>0.7916666666666666</v>
      </c>
    </row>
    <row r="641" hidden="1">
      <c r="A641" s="5" t="str">
        <f>IFNA(VLOOKUP(D641,'Location Table'!A:C,2,false),"")</f>
        <v>51bfb168-446f-11ed-888f-506b8dbc8dfb</v>
      </c>
      <c r="B641" s="5" t="str">
        <f>IFNA(VLOOKUP(F641,Driver!A:C,2,false),"")</f>
        <v>a4e52324-215e-11ee-afc5-506b8d9879b5</v>
      </c>
      <c r="C641" s="5" t="str">
        <f>IFNA(VLOOKUP(E641,'Location Table'!A:C,2,false),"")</f>
        <v/>
      </c>
      <c r="D641" s="6" t="s">
        <v>496</v>
      </c>
      <c r="E641" s="6"/>
      <c r="F641" s="6" t="s">
        <v>228</v>
      </c>
      <c r="G641" s="7" t="s">
        <v>873</v>
      </c>
      <c r="H641" s="8" t="str">
        <f>IFNA(VLOOKUP(F641,Driver!A:C,3,false),"")</f>
        <v>948d059b10d2f98ca0c3</v>
      </c>
      <c r="I641" s="9">
        <v>0.5</v>
      </c>
      <c r="J641" s="9">
        <v>0.7083333333333334</v>
      </c>
    </row>
    <row r="642" hidden="1">
      <c r="A642" s="5" t="str">
        <f>IFNA(VLOOKUP(D642,'Location Table'!A:C,2,false),"")</f>
        <v>8fcd43b2-52dd-11ee-ac1e-506b8d9879b5</v>
      </c>
      <c r="B642" s="5" t="str">
        <f>IFNA(VLOOKUP(F642,Driver!A:C,2,false),"")</f>
        <v>f61678a4-3656-11ed-9310-506b8dbc8dfb</v>
      </c>
      <c r="C642" s="5" t="str">
        <f>IFNA(VLOOKUP(E642,'Location Table'!A:C,2,false),"")</f>
        <v/>
      </c>
      <c r="D642" s="6" t="s">
        <v>499</v>
      </c>
      <c r="E642" s="6"/>
      <c r="F642" s="6" t="s">
        <v>470</v>
      </c>
      <c r="G642" s="7" t="s">
        <v>873</v>
      </c>
      <c r="H642" s="8" t="str">
        <f>IFNA(VLOOKUP(F642,Driver!A:C,3,false),"")</f>
        <v>551b71e8ffa616f84fb7</v>
      </c>
      <c r="I642" s="9">
        <v>0.5</v>
      </c>
      <c r="J642" s="9">
        <v>0.7916666666666666</v>
      </c>
    </row>
    <row r="643" hidden="1">
      <c r="A643" s="5" t="str">
        <f>IFNA(VLOOKUP(D643,'Location Table'!A:C,2,false),"")</f>
        <v>6aec0b28-c8f2-11ef-a575-506b8d9879b5</v>
      </c>
      <c r="B643" s="5" t="str">
        <f>IFNA(VLOOKUP(F643,Driver!A:C,2,false),"")</f>
        <v>f61678a4-3656-11ed-9310-506b8dbc8dfb</v>
      </c>
      <c r="C643" s="5" t="str">
        <f>IFNA(VLOOKUP(E643,'Location Table'!A:C,2,false),"")</f>
        <v/>
      </c>
      <c r="D643" s="6" t="s">
        <v>500</v>
      </c>
      <c r="E643" s="6"/>
      <c r="F643" s="6" t="s">
        <v>470</v>
      </c>
      <c r="G643" s="7" t="s">
        <v>873</v>
      </c>
      <c r="H643" s="8" t="str">
        <f>IFNA(VLOOKUP(F643,Driver!A:C,3,false),"")</f>
        <v>551b71e8ffa616f84fb7</v>
      </c>
      <c r="I643" s="9">
        <v>0.5</v>
      </c>
      <c r="J643" s="9">
        <v>0.7916666666666666</v>
      </c>
    </row>
    <row r="644" hidden="1">
      <c r="A644" s="5" t="str">
        <f>IFNA(VLOOKUP(D644,'Location Table'!A:C,2,false),"")</f>
        <v>12b8540a-a008-11f0-a6d4-506b8d982279</v>
      </c>
      <c r="B644" s="5" t="str">
        <f>IFNA(VLOOKUP(F644,Driver!A:C,2,false),"")</f>
        <v>f61678a4-3656-11ed-9310-506b8dbc8dfb</v>
      </c>
      <c r="C644" s="5" t="str">
        <f>IFNA(VLOOKUP(E644,'Location Table'!A:C,2,false),"")</f>
        <v/>
      </c>
      <c r="D644" s="6" t="s">
        <v>502</v>
      </c>
      <c r="E644" s="6"/>
      <c r="F644" s="6" t="s">
        <v>470</v>
      </c>
      <c r="G644" s="7" t="s">
        <v>873</v>
      </c>
      <c r="H644" s="8" t="str">
        <f>IFNA(VLOOKUP(F644,Driver!A:C,3,false),"")</f>
        <v>551b71e8ffa616f84fb7</v>
      </c>
      <c r="I644" s="9">
        <v>0.5</v>
      </c>
      <c r="J644" s="9">
        <v>0.7916666666666666</v>
      </c>
    </row>
    <row r="645" hidden="1">
      <c r="A645" s="5" t="str">
        <f>IFNA(VLOOKUP(D645,'Location Table'!A:C,2,false),"")</f>
        <v>6f11bae4-b894-11f0-954c-506b8d982279</v>
      </c>
      <c r="B645" s="5" t="str">
        <f>IFNA(VLOOKUP(F645,Driver!A:C,2,false),"")</f>
        <v>f61678a4-3656-11ed-9310-506b8dbc8dfb</v>
      </c>
      <c r="C645" s="5" t="str">
        <f>IFNA(VLOOKUP(E645,'Location Table'!A:C,2,false),"")</f>
        <v/>
      </c>
      <c r="D645" s="6" t="s">
        <v>504</v>
      </c>
      <c r="E645" s="6"/>
      <c r="F645" s="6" t="s">
        <v>470</v>
      </c>
      <c r="G645" s="7" t="s">
        <v>873</v>
      </c>
      <c r="H645" s="8" t="str">
        <f>IFNA(VLOOKUP(F645,Driver!A:C,3,false),"")</f>
        <v>551b71e8ffa616f84fb7</v>
      </c>
      <c r="I645" s="9">
        <v>0.5</v>
      </c>
      <c r="J645" s="9">
        <v>0.7916666666666666</v>
      </c>
    </row>
    <row r="646" hidden="1">
      <c r="A646" s="5" t="str">
        <f>IFNA(VLOOKUP(D646,'Location Table'!A:C,2,false),"")</f>
        <v>6c9c33de-8745-11ee-98f4-506b8d9879b5</v>
      </c>
      <c r="B646" s="5" t="str">
        <f>IFNA(VLOOKUP(F646,Driver!A:C,2,false),"")</f>
        <v>f61678a4-3656-11ed-9310-506b8dbc8dfb</v>
      </c>
      <c r="C646" s="5" t="str">
        <f>IFNA(VLOOKUP(E646,'Location Table'!A:C,2,false),"")</f>
        <v/>
      </c>
      <c r="D646" s="6" t="s">
        <v>505</v>
      </c>
      <c r="E646" s="6"/>
      <c r="F646" s="6" t="s">
        <v>470</v>
      </c>
      <c r="G646" s="7" t="s">
        <v>873</v>
      </c>
      <c r="H646" s="8" t="str">
        <f>IFNA(VLOOKUP(F646,Driver!A:C,3,false),"")</f>
        <v>551b71e8ffa616f84fb7</v>
      </c>
      <c r="I646" s="9">
        <v>0.5</v>
      </c>
      <c r="J646" s="9">
        <v>0.7916666666666666</v>
      </c>
    </row>
    <row r="647" hidden="1">
      <c r="A647" s="5" t="str">
        <f>IFNA(VLOOKUP(D647,'Location Table'!A:C,2,false),"")</f>
        <v>b5eb7202-4542-11ed-b44a-506b8dbc8dfb</v>
      </c>
      <c r="B647" s="5" t="str">
        <f>IFNA(VLOOKUP(F647,Driver!A:C,2,false),"")</f>
        <v>feb9afca-fcce-11f0-9378-fa163ee8d8ac</v>
      </c>
      <c r="C647" s="5" t="str">
        <f>IFNA(VLOOKUP(E647,'Location Table'!A:C,2,false),"")</f>
        <v/>
      </c>
      <c r="D647" s="6" t="s">
        <v>506</v>
      </c>
      <c r="E647" s="6"/>
      <c r="F647" s="6" t="s">
        <v>879</v>
      </c>
      <c r="G647" s="7" t="s">
        <v>873</v>
      </c>
      <c r="H647" s="8" t="str">
        <f>IFNA(VLOOKUP(F647,Driver!A:C,3,false),"")</f>
        <v/>
      </c>
      <c r="I647" s="9">
        <v>0.6666666666666666</v>
      </c>
      <c r="J647" s="9">
        <v>0.7916666666666666</v>
      </c>
    </row>
    <row r="648" hidden="1">
      <c r="A648" s="5" t="str">
        <f>IFNA(VLOOKUP(D648,'Location Table'!A:C,2,false),"")</f>
        <v>f70ce146-a9b5-11f0-b361-506b8d982279</v>
      </c>
      <c r="B648" s="5" t="str">
        <f>IFNA(VLOOKUP(F648,Driver!A:C,2,false),"")</f>
        <v>f3cef536-7671-11f0-84d2-506b8d982279</v>
      </c>
      <c r="C648" s="5" t="str">
        <f>IFNA(VLOOKUP(E648,'Location Table'!A:C,2,false),"")</f>
        <v/>
      </c>
      <c r="D648" s="6" t="s">
        <v>507</v>
      </c>
      <c r="E648" s="6"/>
      <c r="F648" s="6" t="s">
        <v>112</v>
      </c>
      <c r="G648" s="7" t="s">
        <v>873</v>
      </c>
      <c r="H648" s="8" t="str">
        <f>IFNA(VLOOKUP(F648,Driver!A:C,3,false),"")</f>
        <v/>
      </c>
      <c r="I648" s="9">
        <v>0.4583333333333333</v>
      </c>
      <c r="J648" s="9">
        <v>0.8333333333333334</v>
      </c>
    </row>
    <row r="649" hidden="1">
      <c r="A649" s="5" t="str">
        <f>IFNA(VLOOKUP(D649,'Location Table'!A:C,2,false),"")</f>
        <v>ab7abd4e-8ec0-11f0-8996-506b8d982279</v>
      </c>
      <c r="B649" s="5" t="str">
        <f>IFNA(VLOOKUP(F649,Driver!A:C,2,false),"")</f>
        <v>efbf243a-37c6-11ed-93fb-506b8dbc8dfb</v>
      </c>
      <c r="C649" s="5" t="str">
        <f>IFNA(VLOOKUP(E649,'Location Table'!A:C,2,false),"")</f>
        <v/>
      </c>
      <c r="D649" s="6" t="s">
        <v>508</v>
      </c>
      <c r="E649" s="6"/>
      <c r="F649" s="6" t="s">
        <v>517</v>
      </c>
      <c r="G649" s="7" t="s">
        <v>873</v>
      </c>
      <c r="H649" s="8" t="str">
        <f>IFNA(VLOOKUP(F649,Driver!A:C,3,false),"")</f>
        <v>c73df7953cd9d5878cc8</v>
      </c>
      <c r="I649" s="9">
        <v>0.5833333333333334</v>
      </c>
      <c r="J649" s="9">
        <v>0.7916666666666666</v>
      </c>
    </row>
    <row r="650" hidden="1">
      <c r="A650" s="5" t="str">
        <f>IFNA(VLOOKUP(D650,'Location Table'!A:C,2,false),"")</f>
        <v>387d2ed2-de5f-11f0-84a0-506b8d982279</v>
      </c>
      <c r="B650" s="5" t="str">
        <f>IFNA(VLOOKUP(F650,Driver!A:C,2,false),"")</f>
        <v>a9bf91b4-00e4-11f1-9378-fa163ee8d8ac</v>
      </c>
      <c r="C650" s="5" t="str">
        <f>IFNA(VLOOKUP(E650,'Location Table'!A:C,2,false),"")</f>
        <v/>
      </c>
      <c r="D650" s="6" t="s">
        <v>520</v>
      </c>
      <c r="E650" s="6"/>
      <c r="F650" s="6" t="s">
        <v>142</v>
      </c>
      <c r="G650" s="7" t="s">
        <v>873</v>
      </c>
      <c r="H650" s="8" t="str">
        <f>IFNA(VLOOKUP(F650,Driver!A:C,3,false),"")</f>
        <v/>
      </c>
      <c r="I650" s="9">
        <v>0.2916666666666667</v>
      </c>
      <c r="J650" s="9">
        <v>0.5</v>
      </c>
    </row>
    <row r="651" hidden="1">
      <c r="A651" s="5" t="str">
        <f>IFNA(VLOOKUP(D651,'Location Table'!A:C,2,false),"")</f>
        <v>5002514a-4470-11ed-92fa-506b8dbc8dfb</v>
      </c>
      <c r="B651" s="5" t="str">
        <f>IFNA(VLOOKUP(F651,Driver!A:C,2,false),"")</f>
        <v>a9bf91b4-00e4-11f1-9378-fa163ee8d8ac</v>
      </c>
      <c r="C651" s="5" t="str">
        <f>IFNA(VLOOKUP(E651,'Location Table'!A:C,2,false),"")</f>
        <v/>
      </c>
      <c r="D651" s="6" t="s">
        <v>521</v>
      </c>
      <c r="E651" s="6"/>
      <c r="F651" s="6" t="s">
        <v>142</v>
      </c>
      <c r="G651" s="7" t="s">
        <v>873</v>
      </c>
      <c r="H651" s="8" t="str">
        <f>IFNA(VLOOKUP(F651,Driver!A:C,3,false),"")</f>
        <v/>
      </c>
      <c r="I651" s="9">
        <v>0.2916666666666667</v>
      </c>
      <c r="J651" s="9">
        <v>0.5</v>
      </c>
    </row>
    <row r="652" hidden="1">
      <c r="A652" s="5" t="str">
        <f>IFNA(VLOOKUP(D652,'Location Table'!A:C,2,false),"")</f>
        <v>7c4334e8-73d7-11ef-9c0b-506b8d9879b5</v>
      </c>
      <c r="B652" s="5" t="str">
        <f>IFNA(VLOOKUP(F652,Driver!A:C,2,false),"")</f>
        <v>b2c9b066-9445-11f0-b1db-506b8d982279</v>
      </c>
      <c r="C652" s="5" t="str">
        <f>IFNA(VLOOKUP(E652,'Location Table'!A:C,2,false),"")</f>
        <v/>
      </c>
      <c r="D652" s="6" t="s">
        <v>522</v>
      </c>
      <c r="E652" s="6"/>
      <c r="F652" s="6" t="s">
        <v>874</v>
      </c>
      <c r="G652" s="7" t="s">
        <v>873</v>
      </c>
      <c r="H652" s="8" t="str">
        <f>IFNA(VLOOKUP(F652,Driver!A:C,3,false),"")</f>
        <v>59fa514f510cb852e11d</v>
      </c>
      <c r="I652" s="9">
        <v>0.2916666666666667</v>
      </c>
      <c r="J652" s="9">
        <v>0.75</v>
      </c>
    </row>
    <row r="653" hidden="1">
      <c r="A653" s="5" t="str">
        <f>IFNA(VLOOKUP(D653,'Location Table'!A:C,2,false),"")</f>
        <v>89e7cb20-e72f-11ee-b9fb-506b8d9879b5</v>
      </c>
      <c r="B653" s="5" t="str">
        <f>IFNA(VLOOKUP(F653,Driver!A:C,2,false),"")</f>
        <v>b2c9b066-9445-11f0-b1db-506b8d982279</v>
      </c>
      <c r="C653" s="5" t="str">
        <f>IFNA(VLOOKUP(E653,'Location Table'!A:C,2,false),"")</f>
        <v/>
      </c>
      <c r="D653" s="6" t="s">
        <v>523</v>
      </c>
      <c r="E653" s="6"/>
      <c r="F653" s="6" t="s">
        <v>874</v>
      </c>
      <c r="G653" s="7" t="s">
        <v>873</v>
      </c>
      <c r="H653" s="8" t="str">
        <f>IFNA(VLOOKUP(F653,Driver!A:C,3,false),"")</f>
        <v>59fa514f510cb852e11d</v>
      </c>
      <c r="I653" s="9">
        <v>0.2916666666666667</v>
      </c>
      <c r="J653" s="9">
        <v>0.75</v>
      </c>
    </row>
    <row r="654" hidden="1">
      <c r="A654" s="5" t="str">
        <f>IFNA(VLOOKUP(D654,'Location Table'!A:C,2,false),"")</f>
        <v>4a1e11b2-ed6a-11ed-b6af-506b8dbc8dfb</v>
      </c>
      <c r="B654" s="5" t="str">
        <f>IFNA(VLOOKUP(F654,Driver!A:C,2,false),"")</f>
        <v>717fa61c-3654-11ed-b103-506b8dbc8dfb</v>
      </c>
      <c r="C654" s="5" t="str">
        <f>IFNA(VLOOKUP(E654,'Location Table'!A:C,2,false),"")</f>
        <v/>
      </c>
      <c r="D654" s="6" t="s">
        <v>524</v>
      </c>
      <c r="E654" s="6"/>
      <c r="F654" s="6" t="s">
        <v>361</v>
      </c>
      <c r="G654" s="7" t="s">
        <v>873</v>
      </c>
      <c r="H654" s="8" t="str">
        <f>IFNA(VLOOKUP(F654,Driver!A:C,3,false),"")</f>
        <v>fbc73b7bb6385f660629</v>
      </c>
      <c r="I654" s="9">
        <v>0.2916666666666667</v>
      </c>
      <c r="J654" s="9">
        <v>0.5833333333333334</v>
      </c>
    </row>
    <row r="655" hidden="1">
      <c r="A655" s="5" t="str">
        <f>IFNA(VLOOKUP(D655,'Location Table'!A:C,2,false),"")</f>
        <v>ba9d31f0-6db2-11f0-9676-506b8d982279</v>
      </c>
      <c r="B655" s="5" t="str">
        <f>IFNA(VLOOKUP(F655,Driver!A:C,2,false),"")</f>
        <v>a9bf91b4-00e4-11f1-9378-fa163ee8d8ac</v>
      </c>
      <c r="C655" s="5" t="str">
        <f>IFNA(VLOOKUP(E655,'Location Table'!A:C,2,false),"")</f>
        <v/>
      </c>
      <c r="D655" s="6" t="s">
        <v>525</v>
      </c>
      <c r="E655" s="6"/>
      <c r="F655" s="6" t="s">
        <v>142</v>
      </c>
      <c r="G655" s="7" t="s">
        <v>873</v>
      </c>
      <c r="H655" s="8" t="str">
        <f>IFNA(VLOOKUP(F655,Driver!A:C,3,false),"")</f>
        <v/>
      </c>
      <c r="I655" s="9">
        <v>0.2916666666666667</v>
      </c>
      <c r="J655" s="9">
        <v>0.5</v>
      </c>
    </row>
    <row r="656" hidden="1">
      <c r="A656" s="5" t="str">
        <f>IFNA(VLOOKUP(D656,'Location Table'!A:C,2,false),"")</f>
        <v>36c095f4-d4bc-11f0-870d-506b8d982279</v>
      </c>
      <c r="B656" s="5" t="str">
        <f>IFNA(VLOOKUP(F656,Driver!A:C,2,false),"")</f>
        <v>a9bf91b4-00e4-11f1-9378-fa163ee8d8ac</v>
      </c>
      <c r="C656" s="5" t="str">
        <f>IFNA(VLOOKUP(E656,'Location Table'!A:C,2,false),"")</f>
        <v/>
      </c>
      <c r="D656" s="6" t="s">
        <v>526</v>
      </c>
      <c r="E656" s="6"/>
      <c r="F656" s="6" t="s">
        <v>142</v>
      </c>
      <c r="G656" s="7" t="s">
        <v>873</v>
      </c>
      <c r="H656" s="8" t="str">
        <f>IFNA(VLOOKUP(F656,Driver!A:C,3,false),"")</f>
        <v/>
      </c>
      <c r="I656" s="9">
        <v>0.2916666666666667</v>
      </c>
      <c r="J656" s="9">
        <v>0.5</v>
      </c>
    </row>
    <row r="657" hidden="1">
      <c r="A657" s="5" t="str">
        <f>IFNA(VLOOKUP(D657,'Location Table'!A:C,2,false),"")</f>
        <v>d16818aa-e428-11ef-b1fb-506b8d9879b5</v>
      </c>
      <c r="B657" s="5" t="str">
        <f>IFNA(VLOOKUP(F657,Driver!A:C,2,false),"")</f>
        <v>a2f538f8-37ce-11ed-a5cf-506b8dbc8dfb</v>
      </c>
      <c r="C657" s="5" t="str">
        <f>IFNA(VLOOKUP(E657,'Location Table'!A:C,2,false),"")</f>
        <v/>
      </c>
      <c r="D657" s="6" t="s">
        <v>527</v>
      </c>
      <c r="E657" s="6"/>
      <c r="F657" s="6" t="s">
        <v>338</v>
      </c>
      <c r="G657" s="7" t="s">
        <v>873</v>
      </c>
      <c r="H657" s="8" t="str">
        <f>IFNA(VLOOKUP(F657,Driver!A:C,3,false),"")</f>
        <v>c0d10f02724a9b14c25b</v>
      </c>
      <c r="I657" s="9">
        <v>0.2916666666666667</v>
      </c>
      <c r="J657" s="9">
        <v>0.6666666666666666</v>
      </c>
    </row>
    <row r="658" hidden="1">
      <c r="A658" s="5" t="str">
        <f>IFNA(VLOOKUP(D658,'Location Table'!A:C,2,false),"")</f>
        <v>317a6ace-0949-11ef-8625-506b8d9879b5</v>
      </c>
      <c r="B658" s="5" t="str">
        <f>IFNA(VLOOKUP(F658,Driver!A:C,2,false),"")</f>
        <v>51b847ba-37cd-11ed-a5f6-506b8dbc8dfb</v>
      </c>
      <c r="C658" s="5" t="str">
        <f>IFNA(VLOOKUP(E658,'Location Table'!A:C,2,false),"")</f>
        <v/>
      </c>
      <c r="D658" s="6" t="s">
        <v>528</v>
      </c>
      <c r="E658" s="6"/>
      <c r="F658" s="6" t="s">
        <v>94</v>
      </c>
      <c r="G658" s="7" t="s">
        <v>873</v>
      </c>
      <c r="H658" s="8" t="str">
        <f>IFNA(VLOOKUP(F658,Driver!A:C,3,false),"")</f>
        <v>3d1fec9027dcce8297cd</v>
      </c>
      <c r="I658" s="9">
        <v>0.2916666666666667</v>
      </c>
      <c r="J658" s="9">
        <v>0.6666666666666666</v>
      </c>
    </row>
    <row r="659" hidden="1">
      <c r="A659" s="5" t="str">
        <f>IFNA(VLOOKUP(D659,'Location Table'!A:C,2,false),"")</f>
        <v>6d5822f6-29da-11ee-bb13-506b8d9879b5</v>
      </c>
      <c r="B659" s="5" t="str">
        <f>IFNA(VLOOKUP(F659,Driver!A:C,2,false),"")</f>
        <v>51b847ba-37cd-11ed-a5f6-506b8dbc8dfb</v>
      </c>
      <c r="C659" s="5" t="str">
        <f>IFNA(VLOOKUP(E659,'Location Table'!A:C,2,false),"")</f>
        <v/>
      </c>
      <c r="D659" s="6" t="s">
        <v>529</v>
      </c>
      <c r="E659" s="6"/>
      <c r="F659" s="6" t="s">
        <v>94</v>
      </c>
      <c r="G659" s="7" t="s">
        <v>873</v>
      </c>
      <c r="H659" s="8" t="str">
        <f>IFNA(VLOOKUP(F659,Driver!A:C,3,false),"")</f>
        <v>3d1fec9027dcce8297cd</v>
      </c>
      <c r="I659" s="9">
        <v>0.2916666666666667</v>
      </c>
      <c r="J659" s="9">
        <v>0.6666666666666666</v>
      </c>
    </row>
    <row r="660" hidden="1">
      <c r="A660" s="5" t="str">
        <f>IFNA(VLOOKUP(D660,'Location Table'!A:C,2,false),"")</f>
        <v>a6ba7dee-38f4-11ef-99c0-506b8d9879b5</v>
      </c>
      <c r="B660" s="5" t="str">
        <f>IFNA(VLOOKUP(F660,Driver!A:C,2,false),"")</f>
        <v>f5993946-37cf-11ed-a3fc-506b8dbc8dfb</v>
      </c>
      <c r="C660" s="5" t="str">
        <f>IFNA(VLOOKUP(E660,'Location Table'!A:C,2,false),"")</f>
        <v/>
      </c>
      <c r="D660" s="6" t="s">
        <v>530</v>
      </c>
      <c r="E660" s="6"/>
      <c r="F660" s="6" t="s">
        <v>314</v>
      </c>
      <c r="G660" s="7" t="s">
        <v>873</v>
      </c>
      <c r="H660" s="8" t="str">
        <f>IFNA(VLOOKUP(F660,Driver!A:C,3,false),"")</f>
        <v/>
      </c>
      <c r="I660" s="9">
        <v>0.2916666666666667</v>
      </c>
      <c r="J660" s="9">
        <v>0.6666666666666666</v>
      </c>
    </row>
    <row r="661" hidden="1">
      <c r="A661" s="5" t="str">
        <f>IFNA(VLOOKUP(D661,'Location Table'!A:C,2,false),"")</f>
        <v>42197ace-1d88-11f0-904d-506b8d982279</v>
      </c>
      <c r="B661" s="5" t="str">
        <f>IFNA(VLOOKUP(F661,Driver!A:C,2,false),"")</f>
        <v>f5993946-37cf-11ed-a3fc-506b8dbc8dfb</v>
      </c>
      <c r="C661" s="5" t="str">
        <f>IFNA(VLOOKUP(E661,'Location Table'!A:C,2,false),"")</f>
        <v/>
      </c>
      <c r="D661" s="6" t="s">
        <v>531</v>
      </c>
      <c r="E661" s="6"/>
      <c r="F661" s="6" t="s">
        <v>314</v>
      </c>
      <c r="G661" s="7" t="s">
        <v>873</v>
      </c>
      <c r="H661" s="8" t="str">
        <f>IFNA(VLOOKUP(F661,Driver!A:C,3,false),"")</f>
        <v/>
      </c>
      <c r="I661" s="9">
        <v>0.2916666666666667</v>
      </c>
      <c r="J661" s="9">
        <v>0.6666666666666666</v>
      </c>
    </row>
    <row r="662" hidden="1">
      <c r="A662" s="5" t="str">
        <f>IFNA(VLOOKUP(D662,'Location Table'!A:C,2,false),"")</f>
        <v>9065c31a-49f3-11ed-af4a-506b8dbc8dfb</v>
      </c>
      <c r="B662" s="5" t="str">
        <f>IFNA(VLOOKUP(F662,Driver!A:C,2,false),"")</f>
        <v>f5993946-37cf-11ed-a3fc-506b8dbc8dfb</v>
      </c>
      <c r="C662" s="5" t="str">
        <f>IFNA(VLOOKUP(E662,'Location Table'!A:C,2,false),"")</f>
        <v/>
      </c>
      <c r="D662" s="6" t="s">
        <v>532</v>
      </c>
      <c r="E662" s="6"/>
      <c r="F662" s="6" t="s">
        <v>314</v>
      </c>
      <c r="G662" s="7" t="s">
        <v>873</v>
      </c>
      <c r="H662" s="8" t="str">
        <f>IFNA(VLOOKUP(F662,Driver!A:C,3,false),"")</f>
        <v/>
      </c>
      <c r="I662" s="9">
        <v>0.2916666666666667</v>
      </c>
      <c r="J662" s="9">
        <v>0.6666666666666666</v>
      </c>
    </row>
    <row r="663" hidden="1">
      <c r="A663" s="5" t="str">
        <f>IFNA(VLOOKUP(D663,'Location Table'!A:C,2,false),"")</f>
        <v>bf7aa49a-a013-11ef-9b5c-506b8d9879b5</v>
      </c>
      <c r="B663" s="5" t="str">
        <f>IFNA(VLOOKUP(F663,Driver!A:C,2,false),"")</f>
        <v>a9bf91b4-00e4-11f1-9378-fa163ee8d8ac</v>
      </c>
      <c r="C663" s="5" t="str">
        <f>IFNA(VLOOKUP(E663,'Location Table'!A:C,2,false),"")</f>
        <v/>
      </c>
      <c r="D663" s="6" t="s">
        <v>533</v>
      </c>
      <c r="E663" s="6"/>
      <c r="F663" s="6" t="s">
        <v>142</v>
      </c>
      <c r="G663" s="7" t="s">
        <v>873</v>
      </c>
      <c r="H663" s="8" t="str">
        <f>IFNA(VLOOKUP(F663,Driver!A:C,3,false),"")</f>
        <v/>
      </c>
      <c r="I663" s="9">
        <v>0.2916666666666667</v>
      </c>
      <c r="J663" s="9">
        <v>0.5</v>
      </c>
    </row>
    <row r="664" hidden="1">
      <c r="A664" s="5" t="str">
        <f>IFNA(VLOOKUP(D664,'Location Table'!A:C,2,false),"")</f>
        <v>921482ac-08b9-11ee-b7ca-506b8dbc8dfb</v>
      </c>
      <c r="B664" s="5" t="str">
        <f>IFNA(VLOOKUP(F664,Driver!A:C,2,false),"")</f>
        <v>b2c9b066-9445-11f0-b1db-506b8d982279</v>
      </c>
      <c r="C664" s="5" t="str">
        <f>IFNA(VLOOKUP(E664,'Location Table'!A:C,2,false),"")</f>
        <v/>
      </c>
      <c r="D664" s="6" t="s">
        <v>534</v>
      </c>
      <c r="E664" s="6"/>
      <c r="F664" s="6" t="s">
        <v>874</v>
      </c>
      <c r="G664" s="7" t="s">
        <v>873</v>
      </c>
      <c r="H664" s="8" t="str">
        <f>IFNA(VLOOKUP(F664,Driver!A:C,3,false),"")</f>
        <v>59fa514f510cb852e11d</v>
      </c>
      <c r="I664" s="9">
        <v>0.2916666666666667</v>
      </c>
      <c r="J664" s="9">
        <v>0.75</v>
      </c>
    </row>
    <row r="665" hidden="1">
      <c r="A665" s="5" t="str">
        <f>IFNA(VLOOKUP(D665,'Location Table'!A:C,2,false),"")</f>
        <v>fd67f1ba-b985-11ee-a109-506b8d9879b5</v>
      </c>
      <c r="B665" s="5" t="str">
        <f>IFNA(VLOOKUP(F665,Driver!A:C,2,false),"")</f>
        <v>b2c9b066-9445-11f0-b1db-506b8d982279</v>
      </c>
      <c r="C665" s="5" t="str">
        <f>IFNA(VLOOKUP(E665,'Location Table'!A:C,2,false),"")</f>
        <v/>
      </c>
      <c r="D665" s="6" t="s">
        <v>535</v>
      </c>
      <c r="E665" s="6"/>
      <c r="F665" s="6" t="s">
        <v>874</v>
      </c>
      <c r="G665" s="7" t="s">
        <v>873</v>
      </c>
      <c r="H665" s="8" t="str">
        <f>IFNA(VLOOKUP(F665,Driver!A:C,3,false),"")</f>
        <v>59fa514f510cb852e11d</v>
      </c>
      <c r="I665" s="9">
        <v>0.2916666666666667</v>
      </c>
      <c r="J665" s="9">
        <v>0.75</v>
      </c>
    </row>
    <row r="666" hidden="1">
      <c r="A666" s="5" t="str">
        <f>IFNA(VLOOKUP(D666,'Location Table'!A:C,2,false),"")</f>
        <v>bcc233d4-9002-11ee-a1bf-506b8d9879b5</v>
      </c>
      <c r="B666" s="5" t="str">
        <f>IFNA(VLOOKUP(F666,Driver!A:C,2,false),"")</f>
        <v>660cb676-e32e-11ed-9e6c-506b8dbc8dfb</v>
      </c>
      <c r="C666" s="5" t="str">
        <f>IFNA(VLOOKUP(E666,'Location Table'!A:C,2,false),"")</f>
        <v/>
      </c>
      <c r="D666" s="6" t="s">
        <v>536</v>
      </c>
      <c r="E666" s="6"/>
      <c r="F666" s="6" t="s">
        <v>494</v>
      </c>
      <c r="G666" s="7" t="s">
        <v>873</v>
      </c>
      <c r="H666" s="8" t="str">
        <f>IFNA(VLOOKUP(F666,Driver!A:C,3,false),"")</f>
        <v>656e49d39f9a76c42f8b</v>
      </c>
      <c r="I666" s="9">
        <v>0.2916666666666667</v>
      </c>
      <c r="J666" s="9">
        <v>0.75</v>
      </c>
    </row>
    <row r="667" hidden="1">
      <c r="A667" s="5" t="str">
        <f>IFNA(VLOOKUP(D667,'Location Table'!A:C,2,false),"")</f>
        <v>7f8c759c-85d0-11ee-bf16-506b8d9879b5</v>
      </c>
      <c r="B667" s="5" t="str">
        <f>IFNA(VLOOKUP(F667,Driver!A:C,2,false),"")</f>
        <v>660cb676-e32e-11ed-9e6c-506b8dbc8dfb</v>
      </c>
      <c r="C667" s="5" t="str">
        <f>IFNA(VLOOKUP(E667,'Location Table'!A:C,2,false),"")</f>
        <v/>
      </c>
      <c r="D667" s="6" t="s">
        <v>537</v>
      </c>
      <c r="E667" s="6"/>
      <c r="F667" s="6" t="s">
        <v>494</v>
      </c>
      <c r="G667" s="7" t="s">
        <v>873</v>
      </c>
      <c r="H667" s="8" t="str">
        <f>IFNA(VLOOKUP(F667,Driver!A:C,3,false),"")</f>
        <v>656e49d39f9a76c42f8b</v>
      </c>
      <c r="I667" s="9">
        <v>0.2916666666666667</v>
      </c>
      <c r="J667" s="9">
        <v>0.75</v>
      </c>
    </row>
    <row r="668" hidden="1">
      <c r="A668" s="5" t="str">
        <f>IFNA(VLOOKUP(D668,'Location Table'!A:C,2,false),"")</f>
        <v>2140d394-7411-11f0-a4f6-506b8d982279</v>
      </c>
      <c r="B668" s="5" t="str">
        <f>IFNA(VLOOKUP(F668,Driver!A:C,2,false),"")</f>
        <v>f580f2a4-1966-11ee-a4c6-506b8d9879b5</v>
      </c>
      <c r="C668" s="5" t="str">
        <f>IFNA(VLOOKUP(E668,'Location Table'!A:C,2,false),"")</f>
        <v/>
      </c>
      <c r="D668" s="6" t="s">
        <v>538</v>
      </c>
      <c r="E668" s="6"/>
      <c r="F668" s="6" t="s">
        <v>878</v>
      </c>
      <c r="G668" s="7" t="s">
        <v>873</v>
      </c>
      <c r="H668" s="8" t="str">
        <f>IFNA(VLOOKUP(F668,Driver!A:C,3,false),"")</f>
        <v>557c6317f65c1f02464d</v>
      </c>
      <c r="I668" s="9">
        <v>0.2916666666666667</v>
      </c>
      <c r="J668" s="9">
        <v>0.5833333333333334</v>
      </c>
    </row>
    <row r="669" hidden="1">
      <c r="A669" s="5" t="str">
        <f>IFNA(VLOOKUP(D669,'Location Table'!A:C,2,false),"")</f>
        <v>5c7ab7e0-6414-11ee-a599-506b8d9879b5</v>
      </c>
      <c r="B669" s="5" t="str">
        <f>IFNA(VLOOKUP(F669,Driver!A:C,2,false),"")</f>
        <v>a2f538f8-37ce-11ed-a5cf-506b8dbc8dfb</v>
      </c>
      <c r="C669" s="5" t="str">
        <f>IFNA(VLOOKUP(E669,'Location Table'!A:C,2,false),"")</f>
        <v/>
      </c>
      <c r="D669" s="6" t="s">
        <v>539</v>
      </c>
      <c r="E669" s="6"/>
      <c r="F669" s="6" t="s">
        <v>338</v>
      </c>
      <c r="G669" s="7" t="s">
        <v>873</v>
      </c>
      <c r="H669" s="8" t="str">
        <f>IFNA(VLOOKUP(F669,Driver!A:C,3,false),"")</f>
        <v>c0d10f02724a9b14c25b</v>
      </c>
      <c r="I669" s="9">
        <v>0.2916666666666667</v>
      </c>
      <c r="J669" s="9">
        <v>0.6666666666666666</v>
      </c>
    </row>
    <row r="670" hidden="1">
      <c r="A670" s="5" t="str">
        <f>IFNA(VLOOKUP(D670,'Location Table'!A:C,2,false),"")</f>
        <v>a307b03e-49fb-11ed-84f1-506b8dbc8dfb</v>
      </c>
      <c r="B670" s="5" t="str">
        <f>IFNA(VLOOKUP(F670,Driver!A:C,2,false),"")</f>
        <v>103090f4-37c8-11ed-9333-506b8dbc8dfb</v>
      </c>
      <c r="C670" s="5" t="str">
        <f>IFNA(VLOOKUP(E670,'Location Table'!A:C,2,false),"")</f>
        <v/>
      </c>
      <c r="D670" s="6" t="s">
        <v>540</v>
      </c>
      <c r="E670" s="6"/>
      <c r="F670" s="6" t="s">
        <v>130</v>
      </c>
      <c r="G670" s="7" t="s">
        <v>873</v>
      </c>
      <c r="H670" s="8" t="str">
        <f>IFNA(VLOOKUP(F670,Driver!A:C,3,false),"")</f>
        <v>77085b30147bfd25a46a</v>
      </c>
      <c r="I670" s="9">
        <v>0.2916666666666667</v>
      </c>
      <c r="J670" s="9">
        <v>0.75</v>
      </c>
    </row>
    <row r="671" hidden="1">
      <c r="A671" s="5" t="str">
        <f>IFNA(VLOOKUP(D671,'Location Table'!A:C,2,false),"")</f>
        <v>40f9f9c2-ed0b-11f0-ac9d-506b8d982279</v>
      </c>
      <c r="B671" s="5" t="str">
        <f>IFNA(VLOOKUP(F671,Driver!A:C,2,false),"")</f>
        <v>51b847ba-37cd-11ed-a5f6-506b8dbc8dfb</v>
      </c>
      <c r="C671" s="5" t="str">
        <f>IFNA(VLOOKUP(E671,'Location Table'!A:C,2,false),"")</f>
        <v/>
      </c>
      <c r="D671" s="6" t="s">
        <v>541</v>
      </c>
      <c r="E671" s="6"/>
      <c r="F671" s="6" t="s">
        <v>94</v>
      </c>
      <c r="G671" s="7" t="s">
        <v>873</v>
      </c>
      <c r="H671" s="8" t="str">
        <f>IFNA(VLOOKUP(F671,Driver!A:C,3,false),"")</f>
        <v>3d1fec9027dcce8297cd</v>
      </c>
      <c r="I671" s="9">
        <v>0.2916666666666667</v>
      </c>
      <c r="J671" s="9">
        <v>0.6666666666666666</v>
      </c>
    </row>
    <row r="672" hidden="1">
      <c r="A672" s="5" t="str">
        <f>IFNA(VLOOKUP(D672,'Location Table'!A:C,2,false),"")</f>
        <v>2289cb38-f734-11f0-9378-fa163ee8d8ac</v>
      </c>
      <c r="B672" s="5" t="str">
        <f>IFNA(VLOOKUP(F672,Driver!A:C,2,false),"")</f>
        <v>51b847ba-37cd-11ed-a5f6-506b8dbc8dfb</v>
      </c>
      <c r="C672" s="5" t="str">
        <f>IFNA(VLOOKUP(E672,'Location Table'!A:C,2,false),"")</f>
        <v/>
      </c>
      <c r="D672" s="6" t="s">
        <v>542</v>
      </c>
      <c r="E672" s="6"/>
      <c r="F672" s="6" t="s">
        <v>94</v>
      </c>
      <c r="G672" s="7" t="s">
        <v>873</v>
      </c>
      <c r="H672" s="8" t="str">
        <f>IFNA(VLOOKUP(F672,Driver!A:C,3,false),"")</f>
        <v>3d1fec9027dcce8297cd</v>
      </c>
      <c r="I672" s="9">
        <v>0.2916666666666667</v>
      </c>
      <c r="J672" s="9">
        <v>0.6666666666666666</v>
      </c>
    </row>
    <row r="673" hidden="1">
      <c r="A673" s="5" t="str">
        <f>IFNA(VLOOKUP(D673,'Location Table'!A:C,2,false),"")</f>
        <v>872a9ea6-4471-11ed-ba9b-506b8dbc8dfb</v>
      </c>
      <c r="B673" s="5" t="str">
        <f>IFNA(VLOOKUP(F673,Driver!A:C,2,false),"")</f>
        <v>51b847ba-37cd-11ed-a5f6-506b8dbc8dfb</v>
      </c>
      <c r="C673" s="5" t="str">
        <f>IFNA(VLOOKUP(E673,'Location Table'!A:C,2,false),"")</f>
        <v/>
      </c>
      <c r="D673" s="6" t="s">
        <v>543</v>
      </c>
      <c r="E673" s="6"/>
      <c r="F673" s="6" t="s">
        <v>94</v>
      </c>
      <c r="G673" s="7" t="s">
        <v>873</v>
      </c>
      <c r="H673" s="8" t="str">
        <f>IFNA(VLOOKUP(F673,Driver!A:C,3,false),"")</f>
        <v>3d1fec9027dcce8297cd</v>
      </c>
      <c r="I673" s="9">
        <v>0.2916666666666667</v>
      </c>
      <c r="J673" s="9">
        <v>0.6666666666666666</v>
      </c>
    </row>
    <row r="674" hidden="1">
      <c r="A674" s="5" t="str">
        <f>IFNA(VLOOKUP(D674,'Location Table'!A:C,2,false),"")</f>
        <v>ed754e2e-a0a8-11ee-8d61-506b8d9879b5</v>
      </c>
      <c r="B674" s="5" t="str">
        <f>IFNA(VLOOKUP(F674,Driver!A:C,2,false),"")</f>
        <v>51b847ba-37cd-11ed-a5f6-506b8dbc8dfb</v>
      </c>
      <c r="C674" s="5" t="str">
        <f>IFNA(VLOOKUP(E674,'Location Table'!A:C,2,false),"")</f>
        <v/>
      </c>
      <c r="D674" s="6" t="s">
        <v>544</v>
      </c>
      <c r="E674" s="6"/>
      <c r="F674" s="6" t="s">
        <v>94</v>
      </c>
      <c r="G674" s="7" t="s">
        <v>873</v>
      </c>
      <c r="H674" s="8" t="str">
        <f>IFNA(VLOOKUP(F674,Driver!A:C,3,false),"")</f>
        <v>3d1fec9027dcce8297cd</v>
      </c>
      <c r="I674" s="9">
        <v>0.2916666666666667</v>
      </c>
      <c r="J674" s="9">
        <v>0.6666666666666666</v>
      </c>
    </row>
    <row r="675" hidden="1">
      <c r="A675" s="5" t="str">
        <f>IFNA(VLOOKUP(D675,'Location Table'!A:C,2,false),"")</f>
        <v>693fa07a-fa8b-11f0-9378-fa163ee8d8ac</v>
      </c>
      <c r="B675" s="5" t="str">
        <f>IFNA(VLOOKUP(F675,Driver!A:C,2,false),"")</f>
        <v>51b847ba-37cd-11ed-a5f6-506b8dbc8dfb</v>
      </c>
      <c r="C675" s="5" t="str">
        <f>IFNA(VLOOKUP(E675,'Location Table'!A:C,2,false),"")</f>
        <v/>
      </c>
      <c r="D675" s="6" t="s">
        <v>545</v>
      </c>
      <c r="E675" s="6"/>
      <c r="F675" s="6" t="s">
        <v>94</v>
      </c>
      <c r="G675" s="7" t="s">
        <v>873</v>
      </c>
      <c r="H675" s="8" t="str">
        <f>IFNA(VLOOKUP(F675,Driver!A:C,3,false),"")</f>
        <v>3d1fec9027dcce8297cd</v>
      </c>
      <c r="I675" s="9">
        <v>0.2916666666666667</v>
      </c>
      <c r="J675" s="9">
        <v>0.6666666666666666</v>
      </c>
    </row>
    <row r="676" hidden="1">
      <c r="A676" s="5" t="str">
        <f>IFNA(VLOOKUP(D676,'Location Table'!A:C,2,false),"")</f>
        <v>afed19e2-771c-11ef-8b57-506b8d9879b5</v>
      </c>
      <c r="B676" s="5" t="str">
        <f>IFNA(VLOOKUP(F676,Driver!A:C,2,false),"")</f>
        <v>061bd7aa-35a6-11ed-9426-506b8dbc8dfb</v>
      </c>
      <c r="C676" s="5" t="str">
        <f>IFNA(VLOOKUP(E676,'Location Table'!A:C,2,false),"")</f>
        <v/>
      </c>
      <c r="D676" s="6" t="s">
        <v>546</v>
      </c>
      <c r="E676" s="6"/>
      <c r="F676" s="6" t="s">
        <v>346</v>
      </c>
      <c r="G676" s="7" t="s">
        <v>873</v>
      </c>
      <c r="H676" s="8" t="str">
        <f>IFNA(VLOOKUP(F676,Driver!A:C,3,false),"")</f>
        <v>a6d70e0cd7463e186757</v>
      </c>
      <c r="I676" s="9">
        <v>0.2916666666666667</v>
      </c>
      <c r="J676" s="9">
        <v>0.6666666666666666</v>
      </c>
    </row>
    <row r="677" hidden="1">
      <c r="A677" s="5" t="str">
        <f>IFNA(VLOOKUP(D677,'Location Table'!A:C,2,false),"")</f>
        <v>1f390568-aad6-11ee-97ff-506b8d9879b5</v>
      </c>
      <c r="B677" s="5" t="str">
        <f>IFNA(VLOOKUP(F677,Driver!A:C,2,false),"")</f>
        <v>f5993946-37cf-11ed-a3fc-506b8dbc8dfb</v>
      </c>
      <c r="C677" s="5" t="str">
        <f>IFNA(VLOOKUP(E677,'Location Table'!A:C,2,false),"")</f>
        <v/>
      </c>
      <c r="D677" s="6" t="s">
        <v>547</v>
      </c>
      <c r="E677" s="6"/>
      <c r="F677" s="6" t="s">
        <v>314</v>
      </c>
      <c r="G677" s="7" t="s">
        <v>873</v>
      </c>
      <c r="H677" s="8" t="str">
        <f>IFNA(VLOOKUP(F677,Driver!A:C,3,false),"")</f>
        <v/>
      </c>
      <c r="I677" s="9">
        <v>0.2916666666666667</v>
      </c>
      <c r="J677" s="9">
        <v>0.6666666666666666</v>
      </c>
    </row>
    <row r="678" hidden="1">
      <c r="A678" s="5" t="str">
        <f>IFNA(VLOOKUP(D678,'Location Table'!A:C,2,false),"")</f>
        <v>49941436-593e-11ee-9e3a-506b8d9879b5</v>
      </c>
      <c r="B678" s="5" t="str">
        <f>IFNA(VLOOKUP(F678,Driver!A:C,2,false),"")</f>
        <v>f5993946-37cf-11ed-a3fc-506b8dbc8dfb</v>
      </c>
      <c r="C678" s="5" t="str">
        <f>IFNA(VLOOKUP(E678,'Location Table'!A:C,2,false),"")</f>
        <v/>
      </c>
      <c r="D678" s="6" t="s">
        <v>548</v>
      </c>
      <c r="E678" s="6"/>
      <c r="F678" s="6" t="s">
        <v>314</v>
      </c>
      <c r="G678" s="7" t="s">
        <v>873</v>
      </c>
      <c r="H678" s="8" t="str">
        <f>IFNA(VLOOKUP(F678,Driver!A:C,3,false),"")</f>
        <v/>
      </c>
      <c r="I678" s="9">
        <v>0.2916666666666667</v>
      </c>
      <c r="J678" s="9">
        <v>0.6666666666666666</v>
      </c>
    </row>
    <row r="679" hidden="1">
      <c r="A679" s="5" t="str">
        <f>IFNA(VLOOKUP(D679,'Location Table'!A:C,2,false),"")</f>
        <v>243a81ea-4f44-11f0-88b2-506b8d982279</v>
      </c>
      <c r="B679" s="5" t="str">
        <f>IFNA(VLOOKUP(F679,Driver!A:C,2,false),"")</f>
        <v>b74e3178-7caf-11f0-a9c3-506b8d982279</v>
      </c>
      <c r="C679" s="5" t="str">
        <f>IFNA(VLOOKUP(E679,'Location Table'!A:C,2,false),"")</f>
        <v/>
      </c>
      <c r="D679" s="6" t="s">
        <v>549</v>
      </c>
      <c r="E679" s="6"/>
      <c r="F679" s="6" t="s">
        <v>326</v>
      </c>
      <c r="G679" s="7" t="s">
        <v>873</v>
      </c>
      <c r="H679" s="8" t="str">
        <f>IFNA(VLOOKUP(F679,Driver!A:C,3,false),"")</f>
        <v>473ef1d8329bdbc5828a</v>
      </c>
      <c r="I679" s="9">
        <v>0.2916666666666667</v>
      </c>
      <c r="J679" s="9">
        <v>0.6666666666666666</v>
      </c>
    </row>
    <row r="680" hidden="1">
      <c r="A680" s="5" t="str">
        <f>IFNA(VLOOKUP(D680,'Location Table'!A:C,2,false),"")</f>
        <v>ef3fc3ce-6b23-11ef-baed-506b8d9879b5</v>
      </c>
      <c r="B680" s="5" t="str">
        <f>IFNA(VLOOKUP(F680,Driver!A:C,2,false),"")</f>
        <v>b74e3178-7caf-11f0-a9c3-506b8d982279</v>
      </c>
      <c r="C680" s="5" t="str">
        <f>IFNA(VLOOKUP(E680,'Location Table'!A:C,2,false),"")</f>
        <v/>
      </c>
      <c r="D680" s="6" t="s">
        <v>550</v>
      </c>
      <c r="E680" s="6"/>
      <c r="F680" s="6" t="s">
        <v>326</v>
      </c>
      <c r="G680" s="7" t="s">
        <v>873</v>
      </c>
      <c r="H680" s="8" t="str">
        <f>IFNA(VLOOKUP(F680,Driver!A:C,3,false),"")</f>
        <v>473ef1d8329bdbc5828a</v>
      </c>
      <c r="I680" s="9">
        <v>0.2916666666666667</v>
      </c>
      <c r="J680" s="9">
        <v>0.6666666666666666</v>
      </c>
    </row>
    <row r="681" hidden="1">
      <c r="A681" s="5" t="str">
        <f>IFNA(VLOOKUP(D681,'Location Table'!A:C,2,false),"")</f>
        <v>83bf589c-1559-11ee-b4c1-506b8dbc8dfb</v>
      </c>
      <c r="B681" s="5" t="str">
        <f>IFNA(VLOOKUP(F681,Driver!A:C,2,false),"")</f>
        <v>8909168a-37c4-11ed-9647-506b8dbc8dfb</v>
      </c>
      <c r="C681" s="5" t="str">
        <f>IFNA(VLOOKUP(E681,'Location Table'!A:C,2,false),"")</f>
        <v/>
      </c>
      <c r="D681" s="6" t="s">
        <v>551</v>
      </c>
      <c r="E681" s="6"/>
      <c r="F681" s="6" t="s">
        <v>552</v>
      </c>
      <c r="G681" s="7" t="s">
        <v>873</v>
      </c>
      <c r="H681" s="8" t="str">
        <f>IFNA(VLOOKUP(F681,Driver!A:C,3,false),"")</f>
        <v>6f0424c9ec8505db5c94</v>
      </c>
      <c r="I681" s="9">
        <v>0.2916666666666667</v>
      </c>
      <c r="J681" s="9">
        <v>0.75</v>
      </c>
    </row>
    <row r="682" hidden="1">
      <c r="A682" s="5" t="str">
        <f>IFNA(VLOOKUP(D682,'Location Table'!A:C,2,false),"")</f>
        <v>4936ea3c-452f-11ed-84fc-506b8dbc8dfb</v>
      </c>
      <c r="B682" s="5" t="str">
        <f>IFNA(VLOOKUP(F682,Driver!A:C,2,false),"")</f>
        <v>ee94ca62-729f-11f0-8cd5-506b8d982279</v>
      </c>
      <c r="C682" s="5" t="str">
        <f>IFNA(VLOOKUP(E682,'Location Table'!A:C,2,false),"")</f>
        <v/>
      </c>
      <c r="D682" s="6" t="s">
        <v>553</v>
      </c>
      <c r="E682" s="6"/>
      <c r="F682" s="6" t="s">
        <v>104</v>
      </c>
      <c r="G682" s="7" t="s">
        <v>873</v>
      </c>
      <c r="H682" s="8" t="str">
        <f>IFNA(VLOOKUP(F682,Driver!A:C,3,false),"")</f>
        <v>f4d2e910814c6812315d</v>
      </c>
      <c r="I682" s="9">
        <v>0.2916666666666667</v>
      </c>
      <c r="J682" s="9">
        <v>0.75</v>
      </c>
    </row>
    <row r="683" hidden="1">
      <c r="A683" s="5" t="str">
        <f>IFNA(VLOOKUP(D683,'Location Table'!A:C,2,false),"")</f>
        <v>c9ec5262-10a8-11ee-a642-506b8dbc8dfb</v>
      </c>
      <c r="B683" s="5" t="str">
        <f>IFNA(VLOOKUP(F683,Driver!A:C,2,false),"")</f>
        <v>717fa61c-3654-11ed-b103-506b8dbc8dfb</v>
      </c>
      <c r="C683" s="5" t="str">
        <f>IFNA(VLOOKUP(E683,'Location Table'!A:C,2,false),"")</f>
        <v/>
      </c>
      <c r="D683" s="6" t="s">
        <v>554</v>
      </c>
      <c r="E683" s="6"/>
      <c r="F683" s="6" t="s">
        <v>361</v>
      </c>
      <c r="G683" s="7" t="s">
        <v>873</v>
      </c>
      <c r="H683" s="8" t="str">
        <f>IFNA(VLOOKUP(F683,Driver!A:C,3,false),"")</f>
        <v>fbc73b7bb6385f660629</v>
      </c>
      <c r="I683" s="9">
        <v>0.2916666666666667</v>
      </c>
      <c r="J683" s="9">
        <v>0.5833333333333334</v>
      </c>
    </row>
    <row r="684" hidden="1">
      <c r="A684" s="5" t="str">
        <f>IFNA(VLOOKUP(D684,'Location Table'!A:C,2,false),"")</f>
        <v>11b1ecfc-4538-11ed-ad57-506b8dbc8dfb</v>
      </c>
      <c r="B684" s="5" t="str">
        <f>IFNA(VLOOKUP(F684,Driver!A:C,2,false),"")</f>
        <v>ee94ca62-729f-11f0-8cd5-506b8d982279</v>
      </c>
      <c r="C684" s="5" t="str">
        <f>IFNA(VLOOKUP(E684,'Location Table'!A:C,2,false),"")</f>
        <v/>
      </c>
      <c r="D684" s="6" t="s">
        <v>555</v>
      </c>
      <c r="E684" s="6"/>
      <c r="F684" s="6" t="s">
        <v>104</v>
      </c>
      <c r="G684" s="7" t="s">
        <v>873</v>
      </c>
      <c r="H684" s="8" t="str">
        <f>IFNA(VLOOKUP(F684,Driver!A:C,3,false),"")</f>
        <v>f4d2e910814c6812315d</v>
      </c>
      <c r="I684" s="9">
        <v>0.2916666666666667</v>
      </c>
      <c r="J684" s="9">
        <v>0.75</v>
      </c>
    </row>
    <row r="685" hidden="1">
      <c r="A685" s="5" t="str">
        <f>IFNA(VLOOKUP(D685,'Location Table'!A:C,2,false),"")</f>
        <v>783885e0-dc62-11ee-ac1b-506b8d9879b5</v>
      </c>
      <c r="B685" s="5" t="str">
        <f>IFNA(VLOOKUP(F685,Driver!A:C,2,false),"")</f>
        <v>a2f538f8-37ce-11ed-a5cf-506b8dbc8dfb</v>
      </c>
      <c r="C685" s="5" t="str">
        <f>IFNA(VLOOKUP(E685,'Location Table'!A:C,2,false),"")</f>
        <v/>
      </c>
      <c r="D685" s="6" t="s">
        <v>556</v>
      </c>
      <c r="E685" s="6"/>
      <c r="F685" s="6" t="s">
        <v>338</v>
      </c>
      <c r="G685" s="7" t="s">
        <v>873</v>
      </c>
      <c r="H685" s="8" t="str">
        <f>IFNA(VLOOKUP(F685,Driver!A:C,3,false),"")</f>
        <v>c0d10f02724a9b14c25b</v>
      </c>
      <c r="I685" s="9">
        <v>0.2916666666666667</v>
      </c>
      <c r="J685" s="9">
        <v>0.6666666666666666</v>
      </c>
    </row>
    <row r="686" hidden="1">
      <c r="A686" s="5" t="str">
        <f>IFNA(VLOOKUP(D686,'Location Table'!A:C,2,false),"")</f>
        <v>50f77282-2c1f-11ee-8c5e-506b8d9879b5</v>
      </c>
      <c r="B686" s="5" t="str">
        <f>IFNA(VLOOKUP(F686,Driver!A:C,2,false),"")</f>
        <v>232be490-35a4-11ed-88b7-506b8dbc8dfb</v>
      </c>
      <c r="C686" s="5" t="str">
        <f>IFNA(VLOOKUP(E686,'Location Table'!A:C,2,false),"")</f>
        <v/>
      </c>
      <c r="D686" s="6" t="s">
        <v>557</v>
      </c>
      <c r="E686" s="6"/>
      <c r="F686" s="10" t="s">
        <v>110</v>
      </c>
      <c r="G686" s="7" t="s">
        <v>873</v>
      </c>
      <c r="H686" s="8" t="str">
        <f>IFNA(VLOOKUP(F686,Driver!A:C,3,false),"")</f>
        <v>d9fc37dd4093a9cdf082</v>
      </c>
      <c r="I686" s="9">
        <v>0.2916666666666667</v>
      </c>
      <c r="J686" s="9">
        <v>0.6666666666666666</v>
      </c>
    </row>
    <row r="687">
      <c r="A687" s="5" t="str">
        <f>IFNA(VLOOKUP(D687,'Location Table'!A:C,2,false),"")</f>
        <v>735c08ac-890b-11ef-b923-506b8d9879b5</v>
      </c>
      <c r="B687" s="5" t="str">
        <f>IFNA(VLOOKUP(F687,Driver!A:C,2,false),"")</f>
        <v/>
      </c>
      <c r="C687" s="5" t="str">
        <f>IFNA(VLOOKUP(E687,'Location Table'!A:C,2,false),"")</f>
        <v/>
      </c>
      <c r="D687" s="6" t="s">
        <v>558</v>
      </c>
      <c r="E687" s="6"/>
      <c r="F687" s="10" t="s">
        <v>875</v>
      </c>
      <c r="G687" s="7" t="s">
        <v>873</v>
      </c>
      <c r="H687" s="8" t="str">
        <f>IFNA(VLOOKUP(F687,Driver!A:C,3,false),"")</f>
        <v/>
      </c>
      <c r="I687" s="9">
        <v>0.2916666666666667</v>
      </c>
      <c r="J687" s="9">
        <v>0.6666666666666666</v>
      </c>
    </row>
    <row r="688">
      <c r="A688" s="5" t="str">
        <f>IFNA(VLOOKUP(D688,'Location Table'!A:C,2,false),"")</f>
        <v>111e2f12-e523-11ee-bde5-506b8d9879b5</v>
      </c>
      <c r="B688" s="5" t="str">
        <f>IFNA(VLOOKUP(F688,Driver!A:C,2,false),"")</f>
        <v/>
      </c>
      <c r="C688" s="5" t="str">
        <f>IFNA(VLOOKUP(E688,'Location Table'!A:C,2,false),"")</f>
        <v/>
      </c>
      <c r="D688" s="6" t="s">
        <v>559</v>
      </c>
      <c r="E688" s="6"/>
      <c r="F688" s="10" t="s">
        <v>875</v>
      </c>
      <c r="G688" s="7" t="s">
        <v>873</v>
      </c>
      <c r="H688" s="8" t="str">
        <f>IFNA(VLOOKUP(F688,Driver!A:C,3,false),"")</f>
        <v/>
      </c>
      <c r="I688" s="9">
        <v>0.2916666666666667</v>
      </c>
      <c r="J688" s="9">
        <v>0.6666666666666666</v>
      </c>
    </row>
    <row r="689">
      <c r="A689" s="5" t="str">
        <f>IFNA(VLOOKUP(D689,'Location Table'!A:C,2,false),"")</f>
        <v>08821918-737a-11f0-aae5-506b8d982279</v>
      </c>
      <c r="B689" s="5" t="str">
        <f>IFNA(VLOOKUP(F689,Driver!A:C,2,false),"")</f>
        <v/>
      </c>
      <c r="C689" s="5" t="str">
        <f>IFNA(VLOOKUP(E689,'Location Table'!A:C,2,false),"")</f>
        <v/>
      </c>
      <c r="D689" s="6" t="s">
        <v>560</v>
      </c>
      <c r="E689" s="6"/>
      <c r="F689" s="10" t="s">
        <v>875</v>
      </c>
      <c r="G689" s="7" t="s">
        <v>873</v>
      </c>
      <c r="H689" s="8" t="str">
        <f>IFNA(VLOOKUP(F689,Driver!A:C,3,false),"")</f>
        <v/>
      </c>
      <c r="I689" s="9">
        <v>0.2916666666666667</v>
      </c>
      <c r="J689" s="9">
        <v>0.6666666666666666</v>
      </c>
    </row>
    <row r="690" hidden="1">
      <c r="A690" s="5" t="str">
        <f>IFNA(VLOOKUP(D690,'Location Table'!A:C,2,false),"")</f>
        <v>f19e239a-d53b-11ef-9dff-506b8d9879b5</v>
      </c>
      <c r="B690" s="5" t="str">
        <f>IFNA(VLOOKUP(F690,Driver!A:C,2,false),"")</f>
        <v>232be490-35a4-11ed-88b7-506b8dbc8dfb</v>
      </c>
      <c r="C690" s="5" t="str">
        <f>IFNA(VLOOKUP(E690,'Location Table'!A:C,2,false),"")</f>
        <v/>
      </c>
      <c r="D690" s="6" t="s">
        <v>561</v>
      </c>
      <c r="E690" s="6"/>
      <c r="F690" s="10" t="s">
        <v>110</v>
      </c>
      <c r="G690" s="7" t="s">
        <v>873</v>
      </c>
      <c r="H690" s="8" t="str">
        <f>IFNA(VLOOKUP(F690,Driver!A:C,3,false),"")</f>
        <v>d9fc37dd4093a9cdf082</v>
      </c>
      <c r="I690" s="9">
        <v>0.2916666666666667</v>
      </c>
      <c r="J690" s="9">
        <v>0.6666666666666666</v>
      </c>
    </row>
    <row r="691" hidden="1">
      <c r="A691" s="5" t="str">
        <f>IFNA(VLOOKUP(D691,'Location Table'!A:C,2,false),"")</f>
        <v>5af08076-381c-11ef-81c3-506b8d9879b5</v>
      </c>
      <c r="B691" s="5" t="str">
        <f>IFNA(VLOOKUP(F691,Driver!A:C,2,false),"")</f>
        <v>103090f4-37c8-11ed-9333-506b8dbc8dfb</v>
      </c>
      <c r="C691" s="5" t="str">
        <f>IFNA(VLOOKUP(E691,'Location Table'!A:C,2,false),"")</f>
        <v/>
      </c>
      <c r="D691" s="6" t="s">
        <v>562</v>
      </c>
      <c r="E691" s="6"/>
      <c r="F691" s="6" t="s">
        <v>130</v>
      </c>
      <c r="G691" s="7" t="s">
        <v>873</v>
      </c>
      <c r="H691" s="8" t="str">
        <f>IFNA(VLOOKUP(F691,Driver!A:C,3,false),"")</f>
        <v>77085b30147bfd25a46a</v>
      </c>
      <c r="I691" s="9">
        <v>0.2916666666666667</v>
      </c>
      <c r="J691" s="9">
        <v>0.75</v>
      </c>
    </row>
    <row r="692" hidden="1">
      <c r="A692" s="5" t="str">
        <f>IFNA(VLOOKUP(D692,'Location Table'!A:C,2,false),"")</f>
        <v>a0aecc9e-0a5a-11ee-89e4-506b8dbc8dfb</v>
      </c>
      <c r="B692" s="5" t="str">
        <f>IFNA(VLOOKUP(F692,Driver!A:C,2,false),"")</f>
        <v>103090f4-37c8-11ed-9333-506b8dbc8dfb</v>
      </c>
      <c r="C692" s="5" t="str">
        <f>IFNA(VLOOKUP(E692,'Location Table'!A:C,2,false),"")</f>
        <v/>
      </c>
      <c r="D692" s="6" t="s">
        <v>563</v>
      </c>
      <c r="E692" s="6"/>
      <c r="F692" s="6" t="s">
        <v>130</v>
      </c>
      <c r="G692" s="7" t="s">
        <v>873</v>
      </c>
      <c r="H692" s="8" t="str">
        <f>IFNA(VLOOKUP(F692,Driver!A:C,3,false),"")</f>
        <v>77085b30147bfd25a46a</v>
      </c>
      <c r="I692" s="9">
        <v>0.2916666666666667</v>
      </c>
      <c r="J692" s="9">
        <v>0.75</v>
      </c>
    </row>
    <row r="693" hidden="1">
      <c r="A693" s="5" t="str">
        <f>IFNA(VLOOKUP(D693,'Location Table'!A:C,2,false),"")</f>
        <v>318a136a-da36-11f0-ac97-506b8d982279</v>
      </c>
      <c r="B693" s="5" t="str">
        <f>IFNA(VLOOKUP(F693,Driver!A:C,2,false),"")</f>
        <v>103090f4-37c8-11ed-9333-506b8dbc8dfb</v>
      </c>
      <c r="C693" s="5" t="str">
        <f>IFNA(VLOOKUP(E693,'Location Table'!A:C,2,false),"")</f>
        <v/>
      </c>
      <c r="D693" s="6" t="s">
        <v>564</v>
      </c>
      <c r="E693" s="6"/>
      <c r="F693" s="6" t="s">
        <v>130</v>
      </c>
      <c r="G693" s="7" t="s">
        <v>873</v>
      </c>
      <c r="H693" s="8" t="str">
        <f>IFNA(VLOOKUP(F693,Driver!A:C,3,false),"")</f>
        <v>77085b30147bfd25a46a</v>
      </c>
      <c r="I693" s="9">
        <v>0.2916666666666667</v>
      </c>
      <c r="J693" s="9">
        <v>0.75</v>
      </c>
    </row>
    <row r="694" hidden="1">
      <c r="A694" s="5" t="str">
        <f>IFNA(VLOOKUP(D694,'Location Table'!A:C,2,false),"")</f>
        <v>74eac478-6a6d-11ee-a53f-506b8d9879b5</v>
      </c>
      <c r="B694" s="5" t="str">
        <f>IFNA(VLOOKUP(F694,Driver!A:C,2,false),"")</f>
        <v>51b847ba-37cd-11ed-a5f6-506b8dbc8dfb</v>
      </c>
      <c r="C694" s="5" t="str">
        <f>IFNA(VLOOKUP(E694,'Location Table'!A:C,2,false),"")</f>
        <v/>
      </c>
      <c r="D694" s="6" t="s">
        <v>565</v>
      </c>
      <c r="E694" s="6"/>
      <c r="F694" s="6" t="s">
        <v>94</v>
      </c>
      <c r="G694" s="7" t="s">
        <v>873</v>
      </c>
      <c r="H694" s="8" t="str">
        <f>IFNA(VLOOKUP(F694,Driver!A:C,3,false),"")</f>
        <v>3d1fec9027dcce8297cd</v>
      </c>
      <c r="I694" s="9">
        <v>0.2916666666666667</v>
      </c>
      <c r="J694" s="9">
        <v>0.6666666666666666</v>
      </c>
    </row>
    <row r="695" hidden="1">
      <c r="A695" s="5" t="str">
        <f>IFNA(VLOOKUP(D695,'Location Table'!A:C,2,false),"")</f>
        <v>ea114924-37e7-11ee-b57b-506b8d9879b5</v>
      </c>
      <c r="B695" s="5" t="str">
        <f>IFNA(VLOOKUP(F695,Driver!A:C,2,false),"")</f>
        <v>51b847ba-37cd-11ed-a5f6-506b8dbc8dfb</v>
      </c>
      <c r="C695" s="5" t="str">
        <f>IFNA(VLOOKUP(E695,'Location Table'!A:C,2,false),"")</f>
        <v/>
      </c>
      <c r="D695" s="6" t="s">
        <v>566</v>
      </c>
      <c r="E695" s="6"/>
      <c r="F695" s="6" t="s">
        <v>94</v>
      </c>
      <c r="G695" s="7" t="s">
        <v>873</v>
      </c>
      <c r="H695" s="8" t="str">
        <f>IFNA(VLOOKUP(F695,Driver!A:C,3,false),"")</f>
        <v>3d1fec9027dcce8297cd</v>
      </c>
      <c r="I695" s="9">
        <v>0.2916666666666667</v>
      </c>
      <c r="J695" s="9">
        <v>0.6666666666666666</v>
      </c>
    </row>
    <row r="696" hidden="1">
      <c r="A696" s="5" t="str">
        <f>IFNA(VLOOKUP(D696,'Location Table'!A:C,2,false),"")</f>
        <v>ba79d6a2-d550-11ee-858c-506b8d9879b5</v>
      </c>
      <c r="B696" s="5" t="str">
        <f>IFNA(VLOOKUP(F696,Driver!A:C,2,false),"")</f>
        <v>51b847ba-37cd-11ed-a5f6-506b8dbc8dfb</v>
      </c>
      <c r="C696" s="5" t="str">
        <f>IFNA(VLOOKUP(E696,'Location Table'!A:C,2,false),"")</f>
        <v/>
      </c>
      <c r="D696" s="6" t="s">
        <v>567</v>
      </c>
      <c r="E696" s="6"/>
      <c r="F696" s="6" t="s">
        <v>94</v>
      </c>
      <c r="G696" s="7" t="s">
        <v>873</v>
      </c>
      <c r="H696" s="8" t="str">
        <f>IFNA(VLOOKUP(F696,Driver!A:C,3,false),"")</f>
        <v>3d1fec9027dcce8297cd</v>
      </c>
      <c r="I696" s="9">
        <v>0.2916666666666667</v>
      </c>
      <c r="J696" s="9">
        <v>0.6666666666666666</v>
      </c>
    </row>
    <row r="697" hidden="1">
      <c r="A697" s="5" t="str">
        <f>IFNA(VLOOKUP(D697,'Location Table'!A:C,2,false),"")</f>
        <v>6449120a-7407-11f0-9e36-506b8d982279</v>
      </c>
      <c r="B697" s="5" t="str">
        <f>IFNA(VLOOKUP(F697,Driver!A:C,2,false),"")</f>
        <v>51b847ba-37cd-11ed-a5f6-506b8dbc8dfb</v>
      </c>
      <c r="C697" s="5" t="str">
        <f>IFNA(VLOOKUP(E697,'Location Table'!A:C,2,false),"")</f>
        <v/>
      </c>
      <c r="D697" s="6" t="s">
        <v>568</v>
      </c>
      <c r="E697" s="6"/>
      <c r="F697" s="6" t="s">
        <v>94</v>
      </c>
      <c r="G697" s="7" t="s">
        <v>873</v>
      </c>
      <c r="H697" s="8" t="str">
        <f>IFNA(VLOOKUP(F697,Driver!A:C,3,false),"")</f>
        <v>3d1fec9027dcce8297cd</v>
      </c>
      <c r="I697" s="9">
        <v>0.2916666666666667</v>
      </c>
      <c r="J697" s="9">
        <v>0.6666666666666666</v>
      </c>
    </row>
    <row r="698" hidden="1">
      <c r="A698" s="5" t="str">
        <f>IFNA(VLOOKUP(D698,'Location Table'!A:C,2,false),"")</f>
        <v>b2a4e78c-a1c3-11f0-932c-506b8d982279</v>
      </c>
      <c r="B698" s="5" t="str">
        <f>IFNA(VLOOKUP(F698,Driver!A:C,2,false),"")</f>
        <v>51b847ba-37cd-11ed-a5f6-506b8dbc8dfb</v>
      </c>
      <c r="C698" s="5" t="str">
        <f>IFNA(VLOOKUP(E698,'Location Table'!A:C,2,false),"")</f>
        <v/>
      </c>
      <c r="D698" s="6" t="s">
        <v>569</v>
      </c>
      <c r="E698" s="6"/>
      <c r="F698" s="6" t="s">
        <v>94</v>
      </c>
      <c r="G698" s="7" t="s">
        <v>873</v>
      </c>
      <c r="H698" s="8" t="str">
        <f>IFNA(VLOOKUP(F698,Driver!A:C,3,false),"")</f>
        <v>3d1fec9027dcce8297cd</v>
      </c>
      <c r="I698" s="9">
        <v>0.2916666666666667</v>
      </c>
      <c r="J698" s="9">
        <v>0.6666666666666666</v>
      </c>
    </row>
    <row r="699" hidden="1">
      <c r="A699" s="5" t="str">
        <f>IFNA(VLOOKUP(D699,'Location Table'!A:C,2,false),"")</f>
        <v>d0ff53de-c8ac-11ef-ae8e-506b8d9879b5</v>
      </c>
      <c r="B699" s="5" t="str">
        <f>IFNA(VLOOKUP(F699,Driver!A:C,2,false),"")</f>
        <v>51b847ba-37cd-11ed-a5f6-506b8dbc8dfb</v>
      </c>
      <c r="C699" s="5" t="str">
        <f>IFNA(VLOOKUP(E699,'Location Table'!A:C,2,false),"")</f>
        <v/>
      </c>
      <c r="D699" s="6" t="s">
        <v>570</v>
      </c>
      <c r="E699" s="6"/>
      <c r="F699" s="6" t="s">
        <v>94</v>
      </c>
      <c r="G699" s="7" t="s">
        <v>873</v>
      </c>
      <c r="H699" s="8" t="str">
        <f>IFNA(VLOOKUP(F699,Driver!A:C,3,false),"")</f>
        <v>3d1fec9027dcce8297cd</v>
      </c>
      <c r="I699" s="9">
        <v>0.2916666666666667</v>
      </c>
      <c r="J699" s="9">
        <v>0.6666666666666666</v>
      </c>
    </row>
    <row r="700" hidden="1">
      <c r="A700" s="5" t="str">
        <f>IFNA(VLOOKUP(D700,'Location Table'!A:C,2,false),"")</f>
        <v>ffa6f530-165a-11ee-97c4-506b8dbc8dfb</v>
      </c>
      <c r="B700" s="5" t="str">
        <f>IFNA(VLOOKUP(F700,Driver!A:C,2,false),"")</f>
        <v>51b847ba-37cd-11ed-a5f6-506b8dbc8dfb</v>
      </c>
      <c r="C700" s="5" t="str">
        <f>IFNA(VLOOKUP(E700,'Location Table'!A:C,2,false),"")</f>
        <v/>
      </c>
      <c r="D700" s="6" t="s">
        <v>571</v>
      </c>
      <c r="E700" s="6"/>
      <c r="F700" s="6" t="s">
        <v>94</v>
      </c>
      <c r="G700" s="7" t="s">
        <v>873</v>
      </c>
      <c r="H700" s="8" t="str">
        <f>IFNA(VLOOKUP(F700,Driver!A:C,3,false),"")</f>
        <v>3d1fec9027dcce8297cd</v>
      </c>
      <c r="I700" s="9">
        <v>0.2916666666666667</v>
      </c>
      <c r="J700" s="9">
        <v>0.6666666666666666</v>
      </c>
    </row>
    <row r="701" hidden="1">
      <c r="A701" s="5" t="str">
        <f>IFNA(VLOOKUP(D701,'Location Table'!A:C,2,false),"")</f>
        <v>982ee11e-771c-11ef-bda9-506b8d9879b5</v>
      </c>
      <c r="B701" s="5" t="str">
        <f>IFNA(VLOOKUP(F701,Driver!A:C,2,false),"")</f>
        <v>061bd7aa-35a6-11ed-9426-506b8dbc8dfb</v>
      </c>
      <c r="C701" s="5" t="str">
        <f>IFNA(VLOOKUP(E701,'Location Table'!A:C,2,false),"")</f>
        <v/>
      </c>
      <c r="D701" s="6" t="s">
        <v>572</v>
      </c>
      <c r="E701" s="6"/>
      <c r="F701" s="6" t="s">
        <v>346</v>
      </c>
      <c r="G701" s="7" t="s">
        <v>873</v>
      </c>
      <c r="H701" s="8" t="str">
        <f>IFNA(VLOOKUP(F701,Driver!A:C,3,false),"")</f>
        <v>a6d70e0cd7463e186757</v>
      </c>
      <c r="I701" s="9">
        <v>0.2916666666666667</v>
      </c>
      <c r="J701" s="9">
        <v>0.6666666666666666</v>
      </c>
    </row>
    <row r="702" hidden="1">
      <c r="A702" s="5" t="str">
        <f>IFNA(VLOOKUP(D702,'Location Table'!A:C,2,false),"")</f>
        <v>f0b29d74-f1ca-11f0-9378-fa163ee8d8ac</v>
      </c>
      <c r="B702" s="5" t="str">
        <f>IFNA(VLOOKUP(F702,Driver!A:C,2,false),"")</f>
        <v>061bd7aa-35a6-11ed-9426-506b8dbc8dfb</v>
      </c>
      <c r="C702" s="5" t="str">
        <f>IFNA(VLOOKUP(E702,'Location Table'!A:C,2,false),"")</f>
        <v/>
      </c>
      <c r="D702" s="6" t="s">
        <v>573</v>
      </c>
      <c r="E702" s="6"/>
      <c r="F702" s="6" t="s">
        <v>346</v>
      </c>
      <c r="G702" s="7" t="s">
        <v>873</v>
      </c>
      <c r="H702" s="8" t="str">
        <f>IFNA(VLOOKUP(F702,Driver!A:C,3,false),"")</f>
        <v>a6d70e0cd7463e186757</v>
      </c>
      <c r="I702" s="9">
        <v>0.2916666666666667</v>
      </c>
      <c r="J702" s="9">
        <v>0.6666666666666666</v>
      </c>
    </row>
    <row r="703" hidden="1">
      <c r="A703" s="5" t="str">
        <f>IFNA(VLOOKUP(D703,'Location Table'!A:C,2,false),"")</f>
        <v>fe533c14-8358-11ee-a39c-506b8d9879b5</v>
      </c>
      <c r="B703" s="5" t="str">
        <f>IFNA(VLOOKUP(F703,Driver!A:C,2,false),"")</f>
        <v>f580f2a4-1966-11ee-a4c6-506b8d9879b5</v>
      </c>
      <c r="C703" s="5" t="str">
        <f>IFNA(VLOOKUP(E703,'Location Table'!A:C,2,false),"")</f>
        <v/>
      </c>
      <c r="D703" s="6" t="s">
        <v>574</v>
      </c>
      <c r="E703" s="6"/>
      <c r="F703" s="6" t="s">
        <v>878</v>
      </c>
      <c r="G703" s="7" t="s">
        <v>873</v>
      </c>
      <c r="H703" s="8" t="str">
        <f>IFNA(VLOOKUP(F703,Driver!A:C,3,false),"")</f>
        <v>557c6317f65c1f02464d</v>
      </c>
      <c r="I703" s="9">
        <v>0.2916666666666667</v>
      </c>
      <c r="J703" s="9">
        <v>0.75</v>
      </c>
    </row>
    <row r="704" hidden="1">
      <c r="A704" s="5" t="str">
        <f>IFNA(VLOOKUP(D704,'Location Table'!A:C,2,false),"")</f>
        <v>f0773008-0f51-11ee-951b-506b8dbc8dfb</v>
      </c>
      <c r="B704" s="5" t="str">
        <f>IFNA(VLOOKUP(F704,Driver!A:C,2,false),"")</f>
        <v>f580f2a4-1966-11ee-a4c6-506b8d9879b5</v>
      </c>
      <c r="C704" s="5" t="str">
        <f>IFNA(VLOOKUP(E704,'Location Table'!A:C,2,false),"")</f>
        <v/>
      </c>
      <c r="D704" s="6" t="s">
        <v>575</v>
      </c>
      <c r="E704" s="6"/>
      <c r="F704" s="6" t="s">
        <v>878</v>
      </c>
      <c r="G704" s="7" t="s">
        <v>873</v>
      </c>
      <c r="H704" s="8" t="str">
        <f>IFNA(VLOOKUP(F704,Driver!A:C,3,false),"")</f>
        <v>557c6317f65c1f02464d</v>
      </c>
      <c r="I704" s="9">
        <v>0.2916666666666667</v>
      </c>
      <c r="J704" s="9">
        <v>0.5833333333333334</v>
      </c>
    </row>
    <row r="705" hidden="1">
      <c r="A705" s="5" t="str">
        <f>IFNA(VLOOKUP(D705,'Location Table'!A:C,2,false),"")</f>
        <v>81999026-4170-11ee-abe4-506b8d9879b5</v>
      </c>
      <c r="B705" s="5" t="str">
        <f>IFNA(VLOOKUP(F705,Driver!A:C,2,false),"")</f>
        <v>a9bf91b4-00e4-11f1-9378-fa163ee8d8ac</v>
      </c>
      <c r="C705" s="5" t="str">
        <f>IFNA(VLOOKUP(E705,'Location Table'!A:C,2,false),"")</f>
        <v/>
      </c>
      <c r="D705" s="6" t="s">
        <v>576</v>
      </c>
      <c r="E705" s="6"/>
      <c r="F705" s="6" t="s">
        <v>142</v>
      </c>
      <c r="G705" s="7" t="s">
        <v>873</v>
      </c>
      <c r="H705" s="8" t="str">
        <f>IFNA(VLOOKUP(F705,Driver!A:C,3,false),"")</f>
        <v/>
      </c>
      <c r="I705" s="9">
        <v>0.2916666666666667</v>
      </c>
      <c r="J705" s="9">
        <v>0.5</v>
      </c>
    </row>
    <row r="706" hidden="1">
      <c r="A706" s="5" t="str">
        <f>IFNA(VLOOKUP(D706,'Location Table'!A:C,2,false),"")</f>
        <v>8e21ab30-e107-11ee-9e56-506b8d9879b5</v>
      </c>
      <c r="B706" s="5" t="str">
        <f>IFNA(VLOOKUP(F706,Driver!A:C,2,false),"")</f>
        <v>a9bf91b4-00e4-11f1-9378-fa163ee8d8ac</v>
      </c>
      <c r="C706" s="5" t="str">
        <f>IFNA(VLOOKUP(E706,'Location Table'!A:C,2,false),"")</f>
        <v/>
      </c>
      <c r="D706" s="6" t="s">
        <v>577</v>
      </c>
      <c r="E706" s="6"/>
      <c r="F706" s="6" t="s">
        <v>142</v>
      </c>
      <c r="G706" s="7" t="s">
        <v>873</v>
      </c>
      <c r="H706" s="8" t="str">
        <f>IFNA(VLOOKUP(F706,Driver!A:C,3,false),"")</f>
        <v/>
      </c>
      <c r="I706" s="9">
        <v>0.2916666666666667</v>
      </c>
      <c r="J706" s="9">
        <v>0.5</v>
      </c>
    </row>
    <row r="707" hidden="1">
      <c r="A707" s="5" t="str">
        <f>IFNA(VLOOKUP(D707,'Location Table'!A:C,2,false),"")</f>
        <v>8cee2ee0-7636-11ef-9feb-506b8d9879b5</v>
      </c>
      <c r="B707" s="5" t="str">
        <f>IFNA(VLOOKUP(F707,Driver!A:C,2,false),"")</f>
        <v>a9bf91b4-00e4-11f1-9378-fa163ee8d8ac</v>
      </c>
      <c r="C707" s="5" t="str">
        <f>IFNA(VLOOKUP(E707,'Location Table'!A:C,2,false),"")</f>
        <v/>
      </c>
      <c r="D707" s="6" t="s">
        <v>578</v>
      </c>
      <c r="E707" s="6"/>
      <c r="F707" s="6" t="s">
        <v>142</v>
      </c>
      <c r="G707" s="7" t="s">
        <v>873</v>
      </c>
      <c r="H707" s="8" t="str">
        <f>IFNA(VLOOKUP(F707,Driver!A:C,3,false),"")</f>
        <v/>
      </c>
      <c r="I707" s="9">
        <v>0.2916666666666667</v>
      </c>
      <c r="J707" s="9">
        <v>0.5</v>
      </c>
    </row>
    <row r="708" hidden="1">
      <c r="A708" s="5" t="str">
        <f>IFNA(VLOOKUP(D708,'Location Table'!A:C,2,false),"")</f>
        <v>560d5274-edd8-11ef-872f-506b8d9879b5</v>
      </c>
      <c r="B708" s="5" t="str">
        <f>IFNA(VLOOKUP(F708,Driver!A:C,2,false),"")</f>
        <v>8909168a-37c4-11ed-9647-506b8dbc8dfb</v>
      </c>
      <c r="C708" s="5" t="str">
        <f>IFNA(VLOOKUP(E708,'Location Table'!A:C,2,false),"")</f>
        <v/>
      </c>
      <c r="D708" s="6" t="s">
        <v>579</v>
      </c>
      <c r="E708" s="6"/>
      <c r="F708" s="6" t="s">
        <v>552</v>
      </c>
      <c r="G708" s="7" t="s">
        <v>873</v>
      </c>
      <c r="H708" s="8" t="str">
        <f>IFNA(VLOOKUP(F708,Driver!A:C,3,false),"")</f>
        <v>6f0424c9ec8505db5c94</v>
      </c>
      <c r="I708" s="9">
        <v>0.2916666666666667</v>
      </c>
      <c r="J708" s="9">
        <v>0.75</v>
      </c>
    </row>
    <row r="709" hidden="1">
      <c r="A709" s="5" t="str">
        <f>IFNA(VLOOKUP(D709,'Location Table'!A:C,2,false),"")</f>
        <v>31b408c0-5bcc-11f0-b8b7-506b8d982279</v>
      </c>
      <c r="B709" s="5" t="str">
        <f>IFNA(VLOOKUP(F709,Driver!A:C,2,false),"")</f>
        <v>a2f538f8-37ce-11ed-a5cf-506b8dbc8dfb</v>
      </c>
      <c r="C709" s="5" t="str">
        <f>IFNA(VLOOKUP(E709,'Location Table'!A:C,2,false),"")</f>
        <v/>
      </c>
      <c r="D709" s="6" t="s">
        <v>580</v>
      </c>
      <c r="E709" s="6"/>
      <c r="F709" s="6" t="s">
        <v>338</v>
      </c>
      <c r="G709" s="7" t="s">
        <v>873</v>
      </c>
      <c r="H709" s="8" t="str">
        <f>IFNA(VLOOKUP(F709,Driver!A:C,3,false),"")</f>
        <v>c0d10f02724a9b14c25b</v>
      </c>
      <c r="I709" s="9">
        <v>0.2916666666666667</v>
      </c>
      <c r="J709" s="9">
        <v>0.6666666666666666</v>
      </c>
    </row>
    <row r="710" hidden="1">
      <c r="A710" s="5" t="str">
        <f>IFNA(VLOOKUP(D710,'Location Table'!A:C,2,false),"")</f>
        <v>66fc6026-1efc-11ef-a481-506b8d9879b5</v>
      </c>
      <c r="B710" s="5" t="str">
        <f>IFNA(VLOOKUP(F710,Driver!A:C,2,false),"")</f>
        <v>d63f18ac-7342-11f0-be1a-506b8d982279</v>
      </c>
      <c r="C710" s="5" t="str">
        <f>IFNA(VLOOKUP(E710,'Location Table'!A:C,2,false),"")</f>
        <v/>
      </c>
      <c r="D710" s="6" t="s">
        <v>581</v>
      </c>
      <c r="E710" s="6"/>
      <c r="F710" s="6" t="s">
        <v>582</v>
      </c>
      <c r="G710" s="7" t="s">
        <v>873</v>
      </c>
      <c r="H710" s="8" t="str">
        <f>IFNA(VLOOKUP(F710,Driver!A:C,3,false),"")</f>
        <v/>
      </c>
      <c r="I710" s="9">
        <v>0.2916666666666667</v>
      </c>
      <c r="J710" s="9">
        <v>0.5833333333333334</v>
      </c>
    </row>
    <row r="711" hidden="1">
      <c r="A711" s="5" t="str">
        <f>IFNA(VLOOKUP(D711,'Location Table'!A:C,2,false),"")</f>
        <v>21883ffa-a8b3-11f0-8ee6-506b8d982279</v>
      </c>
      <c r="B711" s="5" t="str">
        <f>IFNA(VLOOKUP(F711,Driver!A:C,2,false),"")</f>
        <v>d63f18ac-7342-11f0-be1a-506b8d982279</v>
      </c>
      <c r="C711" s="5" t="str">
        <f>IFNA(VLOOKUP(E711,'Location Table'!A:C,2,false),"")</f>
        <v/>
      </c>
      <c r="D711" s="6" t="s">
        <v>583</v>
      </c>
      <c r="E711" s="6"/>
      <c r="F711" s="6" t="s">
        <v>582</v>
      </c>
      <c r="G711" s="7" t="s">
        <v>873</v>
      </c>
      <c r="H711" s="8" t="str">
        <f>IFNA(VLOOKUP(F711,Driver!A:C,3,false),"")</f>
        <v/>
      </c>
      <c r="I711" s="9">
        <v>0.2916666666666667</v>
      </c>
      <c r="J711" s="9">
        <v>0.5833333333333334</v>
      </c>
    </row>
    <row r="712" hidden="1">
      <c r="A712" s="5" t="str">
        <f>IFNA(VLOOKUP(D712,'Location Table'!A:C,2,false),"")</f>
        <v>b63279a2-e776-11f0-9ae2-506b8d982279</v>
      </c>
      <c r="B712" s="5" t="str">
        <f>IFNA(VLOOKUP(F712,Driver!A:C,2,false),"")</f>
        <v>717fa61c-3654-11ed-b103-506b8dbc8dfb</v>
      </c>
      <c r="C712" s="5" t="str">
        <f>IFNA(VLOOKUP(E712,'Location Table'!A:C,2,false),"")</f>
        <v/>
      </c>
      <c r="D712" s="6" t="s">
        <v>584</v>
      </c>
      <c r="E712" s="6"/>
      <c r="F712" s="6" t="s">
        <v>361</v>
      </c>
      <c r="G712" s="7" t="s">
        <v>873</v>
      </c>
      <c r="H712" s="8" t="str">
        <f>IFNA(VLOOKUP(F712,Driver!A:C,3,false),"")</f>
        <v>fbc73b7bb6385f660629</v>
      </c>
      <c r="I712" s="9">
        <v>0.2916666666666667</v>
      </c>
      <c r="J712" s="9">
        <v>0.5833333333333334</v>
      </c>
    </row>
    <row r="713" hidden="1">
      <c r="A713" s="5" t="str">
        <f>IFNA(VLOOKUP(D713,'Location Table'!A:C,2,false),"")</f>
        <v>b54510ca-aafb-11f0-bf33-506b8d982279</v>
      </c>
      <c r="B713" s="5" t="str">
        <f>IFNA(VLOOKUP(F713,Driver!A:C,2,false),"")</f>
        <v>222b5bca-37cf-11ed-bee5-506b8dbc8dfb</v>
      </c>
      <c r="C713" s="5" t="str">
        <f>IFNA(VLOOKUP(E713,'Location Table'!A:C,2,false),"")</f>
        <v/>
      </c>
      <c r="D713" s="6" t="s">
        <v>585</v>
      </c>
      <c r="E713" s="6"/>
      <c r="F713" s="6" t="s">
        <v>446</v>
      </c>
      <c r="G713" s="7" t="s">
        <v>873</v>
      </c>
      <c r="H713" s="8" t="str">
        <f>IFNA(VLOOKUP(F713,Driver!A:C,3,false),"")</f>
        <v>a258dbc5a48f4dd1149e</v>
      </c>
      <c r="I713" s="9">
        <v>0.2916666666666667</v>
      </c>
      <c r="J713" s="9">
        <v>0.4583333333333333</v>
      </c>
    </row>
    <row r="714" hidden="1">
      <c r="A714" s="5" t="str">
        <f>IFNA(VLOOKUP(D714,'Location Table'!A:C,2,false),"")</f>
        <v>3cad63da-385f-11ee-a050-506b8d9879b5</v>
      </c>
      <c r="B714" s="5" t="str">
        <f>IFNA(VLOOKUP(F714,Driver!A:C,2,false),"")</f>
        <v>b2c9b066-9445-11f0-b1db-506b8d982279</v>
      </c>
      <c r="C714" s="5" t="str">
        <f>IFNA(VLOOKUP(E714,'Location Table'!A:C,2,false),"")</f>
        <v/>
      </c>
      <c r="D714" s="6" t="s">
        <v>586</v>
      </c>
      <c r="E714" s="6"/>
      <c r="F714" s="6" t="s">
        <v>874</v>
      </c>
      <c r="G714" s="7" t="s">
        <v>873</v>
      </c>
      <c r="H714" s="8" t="str">
        <f>IFNA(VLOOKUP(F714,Driver!A:C,3,false),"")</f>
        <v>59fa514f510cb852e11d</v>
      </c>
      <c r="I714" s="9">
        <v>0.2916666666666667</v>
      </c>
      <c r="J714" s="9">
        <v>0.75</v>
      </c>
    </row>
    <row r="715" hidden="1">
      <c r="A715" s="5" t="str">
        <f>IFNA(VLOOKUP(D715,'Location Table'!A:C,2,false),"")</f>
        <v>c6db25aa-458d-11f0-b3ac-506b8d982279</v>
      </c>
      <c r="B715" s="5" t="str">
        <f>IFNA(VLOOKUP(F715,Driver!A:C,2,false),"")</f>
        <v>353f3686-dcc8-11f0-82b8-506b8d982279</v>
      </c>
      <c r="C715" s="5" t="str">
        <f>IFNA(VLOOKUP(E715,'Location Table'!A:C,2,false),"")</f>
        <v/>
      </c>
      <c r="D715" s="6" t="s">
        <v>587</v>
      </c>
      <c r="E715" s="6"/>
      <c r="F715" s="10" t="s">
        <v>96</v>
      </c>
      <c r="G715" s="7" t="s">
        <v>873</v>
      </c>
      <c r="H715" s="8" t="str">
        <f>IFNA(VLOOKUP(F715,Driver!A:C,3,false),"")</f>
        <v>e7ce6d37cc7f25217c6e</v>
      </c>
      <c r="I715" s="9">
        <v>0.2916666666666667</v>
      </c>
      <c r="J715" s="9">
        <v>0.5</v>
      </c>
    </row>
    <row r="716" hidden="1">
      <c r="A716" s="5" t="str">
        <f>IFNA(VLOOKUP(D716,'Location Table'!A:C,2,false),"")</f>
        <v>9c275ec6-d7c7-11ee-a881-506b8d9879b5</v>
      </c>
      <c r="B716" s="5" t="str">
        <f>IFNA(VLOOKUP(F716,Driver!A:C,2,false),"")</f>
        <v>f580f2a4-1966-11ee-a4c6-506b8d9879b5</v>
      </c>
      <c r="C716" s="5" t="str">
        <f>IFNA(VLOOKUP(E716,'Location Table'!A:C,2,false),"")</f>
        <v/>
      </c>
      <c r="D716" s="6" t="s">
        <v>588</v>
      </c>
      <c r="E716" s="6"/>
      <c r="F716" s="6" t="s">
        <v>878</v>
      </c>
      <c r="G716" s="7" t="s">
        <v>873</v>
      </c>
      <c r="H716" s="8" t="str">
        <f>IFNA(VLOOKUP(F716,Driver!A:C,3,false),"")</f>
        <v>557c6317f65c1f02464d</v>
      </c>
      <c r="I716" s="9">
        <v>0.2916666666666667</v>
      </c>
      <c r="J716" s="9">
        <v>0.5833333333333334</v>
      </c>
    </row>
    <row r="717" hidden="1">
      <c r="A717" s="5" t="str">
        <f>IFNA(VLOOKUP(D717,'Location Table'!A:C,2,false),"")</f>
        <v>d43bffd8-b6a1-11ef-905e-506b8d9879b5</v>
      </c>
      <c r="B717" s="5" t="str">
        <f>IFNA(VLOOKUP(F717,Driver!A:C,2,false),"")</f>
        <v>f580f2a4-1966-11ee-a4c6-506b8d9879b5</v>
      </c>
      <c r="C717" s="5" t="str">
        <f>IFNA(VLOOKUP(E717,'Location Table'!A:C,2,false),"")</f>
        <v/>
      </c>
      <c r="D717" s="6" t="s">
        <v>589</v>
      </c>
      <c r="E717" s="6"/>
      <c r="F717" s="6" t="s">
        <v>878</v>
      </c>
      <c r="G717" s="7" t="s">
        <v>873</v>
      </c>
      <c r="H717" s="8" t="str">
        <f>IFNA(VLOOKUP(F717,Driver!A:C,3,false),"")</f>
        <v>557c6317f65c1f02464d</v>
      </c>
      <c r="I717" s="9">
        <v>0.2916666666666667</v>
      </c>
      <c r="J717" s="9">
        <v>0.5833333333333334</v>
      </c>
    </row>
    <row r="718" hidden="1">
      <c r="A718" s="5" t="str">
        <f>IFNA(VLOOKUP(D718,'Location Table'!A:C,2,false),"")</f>
        <v>04dfccf8-28c4-11ef-b0d0-506b8d9879b5</v>
      </c>
      <c r="B718" s="5" t="str">
        <f>IFNA(VLOOKUP(F718,Driver!A:C,2,false),"")</f>
        <v>a9bf91b4-00e4-11f1-9378-fa163ee8d8ac</v>
      </c>
      <c r="C718" s="5" t="str">
        <f>IFNA(VLOOKUP(E718,'Location Table'!A:C,2,false),"")</f>
        <v/>
      </c>
      <c r="D718" s="6" t="s">
        <v>590</v>
      </c>
      <c r="E718" s="6"/>
      <c r="F718" s="6" t="s">
        <v>142</v>
      </c>
      <c r="G718" s="7" t="s">
        <v>873</v>
      </c>
      <c r="H718" s="8" t="str">
        <f>IFNA(VLOOKUP(F718,Driver!A:C,3,false),"")</f>
        <v/>
      </c>
      <c r="I718" s="9">
        <v>0.2916666666666667</v>
      </c>
      <c r="J718" s="9">
        <v>0.5</v>
      </c>
    </row>
    <row r="719">
      <c r="A719" s="5" t="str">
        <f>IFNA(VLOOKUP(D719,'Location Table'!A:C,2,false),"")</f>
        <v>734a3e3e-295b-11ef-a667-506b8d9879b5</v>
      </c>
      <c r="B719" s="5" t="str">
        <f>IFNA(VLOOKUP(F719,Driver!A:C,2,false),"")</f>
        <v/>
      </c>
      <c r="C719" s="5" t="str">
        <f>IFNA(VLOOKUP(E719,'Location Table'!A:C,2,false),"")</f>
        <v/>
      </c>
      <c r="D719" s="6" t="s">
        <v>591</v>
      </c>
      <c r="E719" s="6"/>
      <c r="F719" s="10" t="s">
        <v>875</v>
      </c>
      <c r="G719" s="7" t="s">
        <v>873</v>
      </c>
      <c r="H719" s="8" t="str">
        <f>IFNA(VLOOKUP(F719,Driver!A:C,3,false),"")</f>
        <v/>
      </c>
      <c r="I719" s="9">
        <v>0.2916666666666667</v>
      </c>
      <c r="J719" s="9">
        <v>0.6666666666666666</v>
      </c>
    </row>
    <row r="720" hidden="1">
      <c r="A720" s="5" t="str">
        <f>IFNA(VLOOKUP(D720,'Location Table'!A:C,2,false),"")</f>
        <v>aa19e50a-f872-11ee-8961-506b8d9879b5</v>
      </c>
      <c r="B720" s="5" t="str">
        <f>IFNA(VLOOKUP(F720,Driver!A:C,2,false),"")</f>
        <v>a9bf91b4-00e4-11f1-9378-fa163ee8d8ac</v>
      </c>
      <c r="C720" s="5" t="str">
        <f>IFNA(VLOOKUP(E720,'Location Table'!A:C,2,false),"")</f>
        <v/>
      </c>
      <c r="D720" s="6" t="s">
        <v>592</v>
      </c>
      <c r="E720" s="6"/>
      <c r="F720" s="6" t="s">
        <v>142</v>
      </c>
      <c r="G720" s="7" t="s">
        <v>873</v>
      </c>
      <c r="H720" s="8" t="str">
        <f>IFNA(VLOOKUP(F720,Driver!A:C,3,false),"")</f>
        <v/>
      </c>
      <c r="I720" s="9">
        <v>0.2916666666666667</v>
      </c>
      <c r="J720" s="9">
        <v>0.5</v>
      </c>
    </row>
    <row r="721" hidden="1">
      <c r="A721" s="5" t="str">
        <f>IFNA(VLOOKUP(D721,'Location Table'!A:C,2,false),"")</f>
        <v>34fb2846-6719-11ee-a2cd-506b8d9879b5</v>
      </c>
      <c r="B721" s="5" t="str">
        <f>IFNA(VLOOKUP(F721,Driver!A:C,2,false),"")</f>
        <v>f5993946-37cf-11ed-a3fc-506b8dbc8dfb</v>
      </c>
      <c r="C721" s="5" t="str">
        <f>IFNA(VLOOKUP(E721,'Location Table'!A:C,2,false),"")</f>
        <v/>
      </c>
      <c r="D721" s="6" t="s">
        <v>593</v>
      </c>
      <c r="E721" s="6"/>
      <c r="F721" s="6" t="s">
        <v>314</v>
      </c>
      <c r="G721" s="7" t="s">
        <v>873</v>
      </c>
      <c r="H721" s="8" t="str">
        <f>IFNA(VLOOKUP(F721,Driver!A:C,3,false),"")</f>
        <v/>
      </c>
      <c r="I721" s="9">
        <v>0.2916666666666667</v>
      </c>
      <c r="J721" s="9">
        <v>0.625</v>
      </c>
    </row>
    <row r="722" hidden="1">
      <c r="A722" s="5" t="str">
        <f>IFNA(VLOOKUP(D722,'Location Table'!A:C,2,false),"")</f>
        <v>27f15d46-5a6c-11ee-b0f8-506b8d9879b5</v>
      </c>
      <c r="B722" s="5" t="str">
        <f>IFNA(VLOOKUP(F722,Driver!A:C,2,false),"")</f>
        <v>232be490-35a4-11ed-88b7-506b8dbc8dfb</v>
      </c>
      <c r="C722" s="5" t="str">
        <f>IFNA(VLOOKUP(E722,'Location Table'!A:C,2,false),"")</f>
        <v/>
      </c>
      <c r="D722" s="6" t="s">
        <v>594</v>
      </c>
      <c r="E722" s="6"/>
      <c r="F722" s="10" t="s">
        <v>110</v>
      </c>
      <c r="G722" s="7" t="s">
        <v>873</v>
      </c>
      <c r="H722" s="8" t="str">
        <f>IFNA(VLOOKUP(F722,Driver!A:C,3,false),"")</f>
        <v>d9fc37dd4093a9cdf082</v>
      </c>
      <c r="I722" s="9">
        <v>0.2916666666666667</v>
      </c>
      <c r="J722" s="9">
        <v>0.6666666666666666</v>
      </c>
    </row>
    <row r="723" hidden="1">
      <c r="A723" s="5" t="str">
        <f>IFNA(VLOOKUP(D723,'Location Table'!A:C,2,false),"")</f>
        <v>36d79306-d8bb-11ef-bddf-506b8d9879b5</v>
      </c>
      <c r="B723" s="5" t="str">
        <f>IFNA(VLOOKUP(F723,Driver!A:C,2,false),"")</f>
        <v>232be490-35a4-11ed-88b7-506b8dbc8dfb</v>
      </c>
      <c r="C723" s="5" t="str">
        <f>IFNA(VLOOKUP(E723,'Location Table'!A:C,2,false),"")</f>
        <v/>
      </c>
      <c r="D723" s="6" t="s">
        <v>595</v>
      </c>
      <c r="E723" s="6"/>
      <c r="F723" s="10" t="s">
        <v>110</v>
      </c>
      <c r="G723" s="7" t="s">
        <v>873</v>
      </c>
      <c r="H723" s="8" t="str">
        <f>IFNA(VLOOKUP(F723,Driver!A:C,3,false),"")</f>
        <v>d9fc37dd4093a9cdf082</v>
      </c>
      <c r="I723" s="9">
        <v>0.2916666666666667</v>
      </c>
      <c r="J723" s="9">
        <v>0.6666666666666666</v>
      </c>
    </row>
    <row r="724" hidden="1">
      <c r="A724" s="5" t="str">
        <f>IFNA(VLOOKUP(D724,'Location Table'!A:C,2,false),"")</f>
        <v>459f3456-6644-11ee-b1dc-506b8d9879b5</v>
      </c>
      <c r="B724" s="5" t="str">
        <f>IFNA(VLOOKUP(F724,Driver!A:C,2,false),"")</f>
        <v>103090f4-37c8-11ed-9333-506b8dbc8dfb</v>
      </c>
      <c r="C724" s="5" t="str">
        <f>IFNA(VLOOKUP(E724,'Location Table'!A:C,2,false),"")</f>
        <v/>
      </c>
      <c r="D724" s="6" t="s">
        <v>596</v>
      </c>
      <c r="E724" s="6"/>
      <c r="F724" s="6" t="s">
        <v>130</v>
      </c>
      <c r="G724" s="7" t="s">
        <v>873</v>
      </c>
      <c r="H724" s="8" t="str">
        <f>IFNA(VLOOKUP(F724,Driver!A:C,3,false),"")</f>
        <v>77085b30147bfd25a46a</v>
      </c>
      <c r="I724" s="9">
        <v>0.2916666666666667</v>
      </c>
      <c r="J724" s="9">
        <v>0.75</v>
      </c>
    </row>
    <row r="725" hidden="1">
      <c r="A725" s="5" t="str">
        <f>IFNA(VLOOKUP(D725,'Location Table'!A:C,2,false),"")</f>
        <v>3b2cdf98-8217-11ee-baca-506b8d9879b5</v>
      </c>
      <c r="B725" s="5" t="str">
        <f>IFNA(VLOOKUP(F725,Driver!A:C,2,false),"")</f>
        <v>103090f4-37c8-11ed-9333-506b8dbc8dfb</v>
      </c>
      <c r="C725" s="5" t="str">
        <f>IFNA(VLOOKUP(E725,'Location Table'!A:C,2,false),"")</f>
        <v/>
      </c>
      <c r="D725" s="6" t="s">
        <v>597</v>
      </c>
      <c r="E725" s="6"/>
      <c r="F725" s="6" t="s">
        <v>130</v>
      </c>
      <c r="G725" s="7" t="s">
        <v>873</v>
      </c>
      <c r="H725" s="8" t="str">
        <f>IFNA(VLOOKUP(F725,Driver!A:C,3,false),"")</f>
        <v>77085b30147bfd25a46a</v>
      </c>
      <c r="I725" s="9">
        <v>0.2916666666666667</v>
      </c>
      <c r="J725" s="9">
        <v>0.75</v>
      </c>
    </row>
    <row r="726" hidden="1">
      <c r="A726" s="5" t="str">
        <f>IFNA(VLOOKUP(D726,'Location Table'!A:C,2,false),"")</f>
        <v>ddcde310-a26d-11ef-9bc5-506b8d9879b5</v>
      </c>
      <c r="B726" s="5" t="str">
        <f>IFNA(VLOOKUP(F726,Driver!A:C,2,false),"")</f>
        <v>103090f4-37c8-11ed-9333-506b8dbc8dfb</v>
      </c>
      <c r="C726" s="5" t="str">
        <f>IFNA(VLOOKUP(E726,'Location Table'!A:C,2,false),"")</f>
        <v/>
      </c>
      <c r="D726" s="6" t="s">
        <v>598</v>
      </c>
      <c r="E726" s="6"/>
      <c r="F726" s="6" t="s">
        <v>130</v>
      </c>
      <c r="G726" s="7" t="s">
        <v>873</v>
      </c>
      <c r="H726" s="8" t="str">
        <f>IFNA(VLOOKUP(F726,Driver!A:C,3,false),"")</f>
        <v>77085b30147bfd25a46a</v>
      </c>
      <c r="I726" s="9">
        <v>0.2916666666666667</v>
      </c>
      <c r="J726" s="9">
        <v>0.75</v>
      </c>
    </row>
    <row r="727" hidden="1">
      <c r="A727" s="5" t="str">
        <f>IFNA(VLOOKUP(D727,'Location Table'!A:C,2,false),"")</f>
        <v>c5e01d1e-94fb-11f0-81fe-506b8d982279</v>
      </c>
      <c r="B727" s="5" t="str">
        <f>IFNA(VLOOKUP(F727,Driver!A:C,2,false),"")</f>
        <v>103090f4-37c8-11ed-9333-506b8dbc8dfb</v>
      </c>
      <c r="C727" s="5" t="str">
        <f>IFNA(VLOOKUP(E727,'Location Table'!A:C,2,false),"")</f>
        <v/>
      </c>
      <c r="D727" s="6" t="s">
        <v>599</v>
      </c>
      <c r="E727" s="6"/>
      <c r="F727" s="6" t="s">
        <v>130</v>
      </c>
      <c r="G727" s="7" t="s">
        <v>873</v>
      </c>
      <c r="H727" s="8" t="str">
        <f>IFNA(VLOOKUP(F727,Driver!A:C,3,false),"")</f>
        <v>77085b30147bfd25a46a</v>
      </c>
      <c r="I727" s="9">
        <v>0.2916666666666667</v>
      </c>
      <c r="J727" s="9">
        <v>0.75</v>
      </c>
    </row>
    <row r="728" hidden="1">
      <c r="A728" s="5" t="str">
        <f>IFNA(VLOOKUP(D728,'Location Table'!A:C,2,false),"")</f>
        <v>776b9818-5953-11f0-a360-506b8d982279</v>
      </c>
      <c r="B728" s="5" t="str">
        <f>IFNA(VLOOKUP(F728,Driver!A:C,2,false),"")</f>
        <v>a2f538f8-37ce-11ed-a5cf-506b8dbc8dfb</v>
      </c>
      <c r="C728" s="5" t="str">
        <f>IFNA(VLOOKUP(E728,'Location Table'!A:C,2,false),"")</f>
        <v/>
      </c>
      <c r="D728" s="6" t="s">
        <v>600</v>
      </c>
      <c r="E728" s="6"/>
      <c r="F728" s="6" t="s">
        <v>338</v>
      </c>
      <c r="G728" s="7" t="s">
        <v>873</v>
      </c>
      <c r="H728" s="8" t="str">
        <f>IFNA(VLOOKUP(F728,Driver!A:C,3,false),"")</f>
        <v>c0d10f02724a9b14c25b</v>
      </c>
      <c r="I728" s="9">
        <v>0.2916666666666667</v>
      </c>
      <c r="J728" s="9">
        <v>0.6666666666666666</v>
      </c>
    </row>
    <row r="729" hidden="1">
      <c r="A729" s="5" t="str">
        <f>IFNA(VLOOKUP(D729,'Location Table'!A:C,2,false),"")</f>
        <v>2bbe2df6-19f5-11f0-9f8d-506b8d982279</v>
      </c>
      <c r="B729" s="5" t="str">
        <f>IFNA(VLOOKUP(F729,Driver!A:C,2,false),"")</f>
        <v>a2f538f8-37ce-11ed-a5cf-506b8dbc8dfb</v>
      </c>
      <c r="C729" s="5" t="str">
        <f>IFNA(VLOOKUP(E729,'Location Table'!A:C,2,false),"")</f>
        <v/>
      </c>
      <c r="D729" s="6" t="s">
        <v>601</v>
      </c>
      <c r="E729" s="6"/>
      <c r="F729" s="6" t="s">
        <v>338</v>
      </c>
      <c r="G729" s="7" t="s">
        <v>873</v>
      </c>
      <c r="H729" s="8" t="str">
        <f>IFNA(VLOOKUP(F729,Driver!A:C,3,false),"")</f>
        <v>c0d10f02724a9b14c25b</v>
      </c>
      <c r="I729" s="9">
        <v>0.2916666666666667</v>
      </c>
      <c r="J729" s="9">
        <v>0.6666666666666666</v>
      </c>
    </row>
    <row r="730">
      <c r="A730" s="5" t="str">
        <f>IFNA(VLOOKUP(D730,'Location Table'!A:C,2,false),"")</f>
        <v>e8a5c316-4e57-11f0-9e90-506b8d982279</v>
      </c>
      <c r="B730" s="5" t="str">
        <f>IFNA(VLOOKUP(F730,Driver!A:C,2,false),"")</f>
        <v/>
      </c>
      <c r="C730" s="5" t="str">
        <f>IFNA(VLOOKUP(E730,'Location Table'!A:C,2,false),"")</f>
        <v/>
      </c>
      <c r="D730" s="6" t="s">
        <v>602</v>
      </c>
      <c r="E730" s="6"/>
      <c r="F730" s="10" t="s">
        <v>875</v>
      </c>
      <c r="G730" s="7" t="s">
        <v>873</v>
      </c>
      <c r="H730" s="8" t="str">
        <f>IFNA(VLOOKUP(F730,Driver!A:C,3,false),"")</f>
        <v/>
      </c>
      <c r="I730" s="9">
        <v>0.2916666666666667</v>
      </c>
      <c r="J730" s="9">
        <v>0.6666666666666666</v>
      </c>
    </row>
    <row r="731" hidden="1">
      <c r="A731" s="5" t="str">
        <f>IFNA(VLOOKUP(D731,'Location Table'!A:C,2,false),"")</f>
        <v>d5fc1bda-f5a9-11f0-9378-fa163ee8d8ac</v>
      </c>
      <c r="B731" s="5" t="str">
        <f>IFNA(VLOOKUP(F731,Driver!A:C,2,false),"")</f>
        <v>51b847ba-37cd-11ed-a5f6-506b8dbc8dfb</v>
      </c>
      <c r="C731" s="5" t="str">
        <f>IFNA(VLOOKUP(E731,'Location Table'!A:C,2,false),"")</f>
        <v/>
      </c>
      <c r="D731" s="6" t="s">
        <v>603</v>
      </c>
      <c r="E731" s="6"/>
      <c r="F731" s="6" t="s">
        <v>94</v>
      </c>
      <c r="G731" s="7" t="s">
        <v>873</v>
      </c>
      <c r="H731" s="8" t="str">
        <f>IFNA(VLOOKUP(F731,Driver!A:C,3,false),"")</f>
        <v>3d1fec9027dcce8297cd</v>
      </c>
      <c r="I731" s="9">
        <v>0.2916666666666667</v>
      </c>
      <c r="J731" s="9">
        <v>0.6666666666666666</v>
      </c>
    </row>
    <row r="732" hidden="1">
      <c r="A732" s="5" t="str">
        <f>IFNA(VLOOKUP(D732,'Location Table'!A:C,2,false),"")</f>
        <v>0a0741b0-0670-11ee-8e90-506b8dbc8dfb</v>
      </c>
      <c r="B732" s="5" t="str">
        <f>IFNA(VLOOKUP(F732,Driver!A:C,2,false),"")</f>
        <v>51b847ba-37cd-11ed-a5f6-506b8dbc8dfb</v>
      </c>
      <c r="C732" s="5" t="str">
        <f>IFNA(VLOOKUP(E732,'Location Table'!A:C,2,false),"")</f>
        <v/>
      </c>
      <c r="D732" s="6" t="s">
        <v>604</v>
      </c>
      <c r="E732" s="6"/>
      <c r="F732" s="6" t="s">
        <v>94</v>
      </c>
      <c r="G732" s="7" t="s">
        <v>873</v>
      </c>
      <c r="H732" s="8" t="str">
        <f>IFNA(VLOOKUP(F732,Driver!A:C,3,false),"")</f>
        <v>3d1fec9027dcce8297cd</v>
      </c>
      <c r="I732" s="9">
        <v>0.2916666666666667</v>
      </c>
      <c r="J732" s="9">
        <v>0.6666666666666666</v>
      </c>
    </row>
    <row r="733" hidden="1">
      <c r="A733" s="5" t="str">
        <f>IFNA(VLOOKUP(D733,'Location Table'!A:C,2,false),"")</f>
        <v>fc318f48-9fc9-11ee-9804-506b8d9879b5</v>
      </c>
      <c r="B733" s="5" t="str">
        <f>IFNA(VLOOKUP(F733,Driver!A:C,2,false),"")</f>
        <v>51b847ba-37cd-11ed-a5f6-506b8dbc8dfb</v>
      </c>
      <c r="C733" s="5" t="str">
        <f>IFNA(VLOOKUP(E733,'Location Table'!A:C,2,false),"")</f>
        <v/>
      </c>
      <c r="D733" s="6" t="s">
        <v>605</v>
      </c>
      <c r="E733" s="6"/>
      <c r="F733" s="6" t="s">
        <v>94</v>
      </c>
      <c r="G733" s="7" t="s">
        <v>873</v>
      </c>
      <c r="H733" s="8" t="str">
        <f>IFNA(VLOOKUP(F733,Driver!A:C,3,false),"")</f>
        <v>3d1fec9027dcce8297cd</v>
      </c>
      <c r="I733" s="9">
        <v>0.2916666666666667</v>
      </c>
      <c r="J733" s="9">
        <v>0.6666666666666666</v>
      </c>
    </row>
    <row r="734" hidden="1">
      <c r="A734" s="5" t="str">
        <f>IFNA(VLOOKUP(D734,'Location Table'!A:C,2,false),"")</f>
        <v>e3952d4c-3b85-11f0-9180-506b8d982279</v>
      </c>
      <c r="B734" s="5" t="str">
        <f>IFNA(VLOOKUP(F734,Driver!A:C,2,false),"")</f>
        <v>51b847ba-37cd-11ed-a5f6-506b8dbc8dfb</v>
      </c>
      <c r="C734" s="5" t="str">
        <f>IFNA(VLOOKUP(E734,'Location Table'!A:C,2,false),"")</f>
        <v/>
      </c>
      <c r="D734" s="6" t="s">
        <v>606</v>
      </c>
      <c r="E734" s="6"/>
      <c r="F734" s="6" t="s">
        <v>94</v>
      </c>
      <c r="G734" s="7" t="s">
        <v>873</v>
      </c>
      <c r="H734" s="8" t="str">
        <f>IFNA(VLOOKUP(F734,Driver!A:C,3,false),"")</f>
        <v>3d1fec9027dcce8297cd</v>
      </c>
      <c r="I734" s="9">
        <v>0.2916666666666667</v>
      </c>
      <c r="J734" s="9">
        <v>0.6666666666666666</v>
      </c>
    </row>
    <row r="735" hidden="1">
      <c r="A735" s="5" t="str">
        <f>IFNA(VLOOKUP(D735,'Location Table'!A:C,2,false),"")</f>
        <v>7c6eff46-9ee0-11ee-b1fd-506b8d9879b5</v>
      </c>
      <c r="B735" s="5" t="str">
        <f>IFNA(VLOOKUP(F735,Driver!A:C,2,false),"")</f>
        <v>f580f2a4-1966-11ee-a4c6-506b8d9879b5</v>
      </c>
      <c r="C735" s="5" t="str">
        <f>IFNA(VLOOKUP(E735,'Location Table'!A:C,2,false),"")</f>
        <v/>
      </c>
      <c r="D735" s="6" t="s">
        <v>607</v>
      </c>
      <c r="E735" s="6"/>
      <c r="F735" s="6" t="s">
        <v>878</v>
      </c>
      <c r="G735" s="7" t="s">
        <v>873</v>
      </c>
      <c r="H735" s="8" t="str">
        <f>IFNA(VLOOKUP(F735,Driver!A:C,3,false),"")</f>
        <v>557c6317f65c1f02464d</v>
      </c>
      <c r="I735" s="9">
        <v>0.2916666666666667</v>
      </c>
      <c r="J735" s="9">
        <v>0.75</v>
      </c>
    </row>
    <row r="736" hidden="1">
      <c r="A736" s="5" t="str">
        <f>IFNA(VLOOKUP(D736,'Location Table'!A:C,2,false),"")</f>
        <v>24543b34-4471-11ed-b215-506b8dbc8dfb</v>
      </c>
      <c r="B736" s="5" t="str">
        <f>IFNA(VLOOKUP(F736,Driver!A:C,2,false),"")</f>
        <v>1163ad80-d96e-11f0-b637-506b8d982279</v>
      </c>
      <c r="C736" s="5" t="str">
        <f>IFNA(VLOOKUP(E736,'Location Table'!A:C,2,false),"")</f>
        <v/>
      </c>
      <c r="D736" s="6" t="s">
        <v>608</v>
      </c>
      <c r="E736" s="6"/>
      <c r="F736" s="6" t="s">
        <v>498</v>
      </c>
      <c r="G736" s="7" t="s">
        <v>873</v>
      </c>
      <c r="H736" s="8" t="str">
        <f>IFNA(VLOOKUP(F736,Driver!A:C,3,false),"")</f>
        <v>76599ccdde8e37d06e9f</v>
      </c>
      <c r="I736" s="9">
        <v>0.2916666666666667</v>
      </c>
      <c r="J736" s="9">
        <v>0.75</v>
      </c>
    </row>
    <row r="737" hidden="1">
      <c r="A737" s="5" t="str">
        <f>IFNA(VLOOKUP(D737,'Location Table'!A:C,2,false),"")</f>
        <v>fa79c97e-cccb-11ef-abf9-506b8d9879b5</v>
      </c>
      <c r="B737" s="5" t="str">
        <f>IFNA(VLOOKUP(F737,Driver!A:C,2,false),"")</f>
        <v>a9bf91b4-00e4-11f1-9378-fa163ee8d8ac</v>
      </c>
      <c r="C737" s="5" t="str">
        <f>IFNA(VLOOKUP(E737,'Location Table'!A:C,2,false),"")</f>
        <v/>
      </c>
      <c r="D737" s="6" t="s">
        <v>609</v>
      </c>
      <c r="E737" s="6"/>
      <c r="F737" s="6" t="s">
        <v>142</v>
      </c>
      <c r="G737" s="7" t="s">
        <v>873</v>
      </c>
      <c r="H737" s="8" t="str">
        <f>IFNA(VLOOKUP(F737,Driver!A:C,3,false),"")</f>
        <v/>
      </c>
      <c r="I737" s="9">
        <v>0.2916666666666667</v>
      </c>
      <c r="J737" s="9">
        <v>0.5</v>
      </c>
    </row>
    <row r="738" hidden="1">
      <c r="A738" s="5" t="str">
        <f>IFNA(VLOOKUP(D738,'Location Table'!A:C,2,false),"")</f>
        <v>b6d02ed8-9fb4-11ee-837e-506b8d9879b5</v>
      </c>
      <c r="B738" s="5" t="str">
        <f>IFNA(VLOOKUP(F738,Driver!A:C,2,false),"")</f>
        <v>8909168a-37c4-11ed-9647-506b8dbc8dfb</v>
      </c>
      <c r="C738" s="5" t="str">
        <f>IFNA(VLOOKUP(E738,'Location Table'!A:C,2,false),"")</f>
        <v/>
      </c>
      <c r="D738" s="6" t="s">
        <v>610</v>
      </c>
      <c r="E738" s="6"/>
      <c r="F738" s="6" t="s">
        <v>552</v>
      </c>
      <c r="G738" s="7" t="s">
        <v>873</v>
      </c>
      <c r="H738" s="8" t="str">
        <f>IFNA(VLOOKUP(F738,Driver!A:C,3,false),"")</f>
        <v>6f0424c9ec8505db5c94</v>
      </c>
      <c r="I738" s="9">
        <v>0.2916666666666667</v>
      </c>
      <c r="J738" s="9">
        <v>0.75</v>
      </c>
    </row>
    <row r="739" hidden="1">
      <c r="A739" s="5" t="str">
        <f>IFNA(VLOOKUP(D739,'Location Table'!A:C,2,false),"")</f>
        <v>ec89062a-5dd4-11ee-a44b-506b8d9879b5</v>
      </c>
      <c r="B739" s="5" t="str">
        <f>IFNA(VLOOKUP(F739,Driver!A:C,2,false),"")</f>
        <v>8909168a-37c4-11ed-9647-506b8dbc8dfb</v>
      </c>
      <c r="C739" s="5" t="str">
        <f>IFNA(VLOOKUP(E739,'Location Table'!A:C,2,false),"")</f>
        <v/>
      </c>
      <c r="D739" s="6" t="s">
        <v>611</v>
      </c>
      <c r="E739" s="6"/>
      <c r="F739" s="6" t="s">
        <v>552</v>
      </c>
      <c r="G739" s="7" t="s">
        <v>873</v>
      </c>
      <c r="H739" s="8" t="str">
        <f>IFNA(VLOOKUP(F739,Driver!A:C,3,false),"")</f>
        <v>6f0424c9ec8505db5c94</v>
      </c>
      <c r="I739" s="9">
        <v>0.2916666666666667</v>
      </c>
      <c r="J739" s="9">
        <v>0.75</v>
      </c>
    </row>
    <row r="740" hidden="1">
      <c r="A740" s="5" t="str">
        <f>IFNA(VLOOKUP(D740,'Location Table'!A:C,2,false),"")</f>
        <v>a4f42f2c-078f-11f0-9ba4-506b8d982279</v>
      </c>
      <c r="B740" s="5" t="str">
        <f>IFNA(VLOOKUP(F740,Driver!A:C,2,false),"")</f>
        <v>b2c9b066-9445-11f0-b1db-506b8d982279</v>
      </c>
      <c r="C740" s="5" t="str">
        <f>IFNA(VLOOKUP(E740,'Location Table'!A:C,2,false),"")</f>
        <v/>
      </c>
      <c r="D740" s="6" t="s">
        <v>612</v>
      </c>
      <c r="E740" s="6"/>
      <c r="F740" s="6" t="s">
        <v>874</v>
      </c>
      <c r="G740" s="7" t="s">
        <v>873</v>
      </c>
      <c r="H740" s="8" t="str">
        <f>IFNA(VLOOKUP(F740,Driver!A:C,3,false),"")</f>
        <v>59fa514f510cb852e11d</v>
      </c>
      <c r="I740" s="9">
        <v>0.2916666666666667</v>
      </c>
      <c r="J740" s="9">
        <v>0.75</v>
      </c>
    </row>
    <row r="741" hidden="1">
      <c r="A741" s="5" t="str">
        <f>IFNA(VLOOKUP(D741,'Location Table'!A:C,2,false),"")</f>
        <v>383ca10c-3e12-11f0-a958-506b8d982279</v>
      </c>
      <c r="B741" s="5" t="str">
        <f>IFNA(VLOOKUP(F741,Driver!A:C,2,false),"")</f>
        <v>b2c9b066-9445-11f0-b1db-506b8d982279</v>
      </c>
      <c r="C741" s="5" t="str">
        <f>IFNA(VLOOKUP(E741,'Location Table'!A:C,2,false),"")</f>
        <v/>
      </c>
      <c r="D741" s="6" t="s">
        <v>613</v>
      </c>
      <c r="E741" s="6"/>
      <c r="F741" s="6" t="s">
        <v>874</v>
      </c>
      <c r="G741" s="7" t="s">
        <v>873</v>
      </c>
      <c r="H741" s="8" t="str">
        <f>IFNA(VLOOKUP(F741,Driver!A:C,3,false),"")</f>
        <v>59fa514f510cb852e11d</v>
      </c>
      <c r="I741" s="9">
        <v>0.2916666666666667</v>
      </c>
      <c r="J741" s="9">
        <v>0.75</v>
      </c>
    </row>
    <row r="742" hidden="1">
      <c r="A742" s="5" t="str">
        <f>IFNA(VLOOKUP(D742,'Location Table'!A:C,2,false),"")</f>
        <v>dd6095f4-4bc3-11ef-9e92-506b8d9879b5</v>
      </c>
      <c r="B742" s="5" t="str">
        <f>IFNA(VLOOKUP(F742,Driver!A:C,2,false),"")</f>
        <v>ee94ca62-729f-11f0-8cd5-506b8d982279</v>
      </c>
      <c r="C742" s="5" t="str">
        <f>IFNA(VLOOKUP(E742,'Location Table'!A:C,2,false),"")</f>
        <v/>
      </c>
      <c r="D742" s="6" t="s">
        <v>614</v>
      </c>
      <c r="E742" s="6"/>
      <c r="F742" s="6" t="s">
        <v>104</v>
      </c>
      <c r="G742" s="7" t="s">
        <v>873</v>
      </c>
      <c r="H742" s="8" t="str">
        <f>IFNA(VLOOKUP(F742,Driver!A:C,3,false),"")</f>
        <v>f4d2e910814c6812315d</v>
      </c>
      <c r="I742" s="9">
        <v>0.2916666666666667</v>
      </c>
      <c r="J742" s="9">
        <v>0.75</v>
      </c>
    </row>
    <row r="743" hidden="1">
      <c r="A743" s="5" t="str">
        <f>IFNA(VLOOKUP(D743,'Location Table'!A:C,2,false),"")</f>
        <v>3e89ccc0-86c9-11ef-8b7a-506b8d9879b5</v>
      </c>
      <c r="B743" s="5" t="str">
        <f>IFNA(VLOOKUP(F743,Driver!A:C,2,false),"")</f>
        <v>d63f18ac-7342-11f0-be1a-506b8d982279</v>
      </c>
      <c r="C743" s="5" t="str">
        <f>IFNA(VLOOKUP(E743,'Location Table'!A:C,2,false),"")</f>
        <v/>
      </c>
      <c r="D743" s="6" t="s">
        <v>615</v>
      </c>
      <c r="E743" s="6"/>
      <c r="F743" s="6" t="s">
        <v>582</v>
      </c>
      <c r="G743" s="7" t="s">
        <v>873</v>
      </c>
      <c r="H743" s="8" t="str">
        <f>IFNA(VLOOKUP(F743,Driver!A:C,3,false),"")</f>
        <v/>
      </c>
      <c r="I743" s="9">
        <v>0.2916666666666667</v>
      </c>
      <c r="J743" s="9">
        <v>0.5833333333333334</v>
      </c>
    </row>
    <row r="744" hidden="1">
      <c r="A744" s="5" t="str">
        <f>IFNA(VLOOKUP(D744,'Location Table'!A:C,2,false),"")</f>
        <v>d89fd6da-2d13-11ee-a036-506b8d9879b5</v>
      </c>
      <c r="B744" s="5" t="str">
        <f>IFNA(VLOOKUP(F744,Driver!A:C,2,false),"")</f>
        <v>660cb676-e32e-11ed-9e6c-506b8dbc8dfb</v>
      </c>
      <c r="C744" s="5" t="str">
        <f>IFNA(VLOOKUP(E744,'Location Table'!A:C,2,false),"")</f>
        <v/>
      </c>
      <c r="D744" s="6" t="s">
        <v>616</v>
      </c>
      <c r="E744" s="6"/>
      <c r="F744" s="6" t="s">
        <v>494</v>
      </c>
      <c r="G744" s="7" t="s">
        <v>873</v>
      </c>
      <c r="H744" s="8" t="str">
        <f>IFNA(VLOOKUP(F744,Driver!A:C,3,false),"")</f>
        <v>656e49d39f9a76c42f8b</v>
      </c>
      <c r="I744" s="9">
        <v>0.2916666666666667</v>
      </c>
      <c r="J744" s="9">
        <v>0.75</v>
      </c>
    </row>
    <row r="745" hidden="1">
      <c r="A745" s="5" t="str">
        <f>IFNA(VLOOKUP(D745,'Location Table'!A:C,2,false),"")</f>
        <v>3982905c-544a-11ee-be4d-506b8d9879b5</v>
      </c>
      <c r="B745" s="5" t="str">
        <f>IFNA(VLOOKUP(F745,Driver!A:C,2,false),"")</f>
        <v>717fa61c-3654-11ed-b103-506b8dbc8dfb</v>
      </c>
      <c r="C745" s="5" t="str">
        <f>IFNA(VLOOKUP(E745,'Location Table'!A:C,2,false),"")</f>
        <v/>
      </c>
      <c r="D745" s="6" t="s">
        <v>617</v>
      </c>
      <c r="E745" s="6"/>
      <c r="F745" s="6" t="s">
        <v>361</v>
      </c>
      <c r="G745" s="7" t="s">
        <v>873</v>
      </c>
      <c r="H745" s="8" t="str">
        <f>IFNA(VLOOKUP(F745,Driver!A:C,3,false),"")</f>
        <v>fbc73b7bb6385f660629</v>
      </c>
      <c r="I745" s="9">
        <v>0.2916666666666667</v>
      </c>
      <c r="J745" s="9">
        <v>0.5833333333333334</v>
      </c>
    </row>
    <row r="746" hidden="1">
      <c r="A746" s="5" t="str">
        <f>IFNA(VLOOKUP(D746,'Location Table'!A:C,2,false),"")</f>
        <v>59fa8f78-8b9e-11f0-8002-506b8d982279</v>
      </c>
      <c r="B746" s="5" t="str">
        <f>IFNA(VLOOKUP(F746,Driver!A:C,2,false),"")</f>
        <v>8909168a-37c4-11ed-9647-506b8dbc8dfb</v>
      </c>
      <c r="C746" s="5" t="str">
        <f>IFNA(VLOOKUP(E746,'Location Table'!A:C,2,false),"")</f>
        <v/>
      </c>
      <c r="D746" s="6" t="s">
        <v>618</v>
      </c>
      <c r="E746" s="6"/>
      <c r="F746" s="6" t="s">
        <v>552</v>
      </c>
      <c r="G746" s="7" t="s">
        <v>873</v>
      </c>
      <c r="H746" s="8" t="str">
        <f>IFNA(VLOOKUP(F746,Driver!A:C,3,false),"")</f>
        <v>6f0424c9ec8505db5c94</v>
      </c>
      <c r="I746" s="9">
        <v>0.2916666666666667</v>
      </c>
      <c r="J746" s="9">
        <v>0.75</v>
      </c>
    </row>
    <row r="747" hidden="1">
      <c r="A747" s="5" t="str">
        <f>IFNA(VLOOKUP(D747,'Location Table'!A:C,2,false),"")</f>
        <v>92b334f4-d9a1-11f0-a228-506b8d982279</v>
      </c>
      <c r="B747" s="5" t="str">
        <f>IFNA(VLOOKUP(F747,Driver!A:C,2,false),"")</f>
        <v>103090f4-37c8-11ed-9333-506b8dbc8dfb</v>
      </c>
      <c r="C747" s="5" t="str">
        <f>IFNA(VLOOKUP(E747,'Location Table'!A:C,2,false),"")</f>
        <v/>
      </c>
      <c r="D747" s="6" t="s">
        <v>619</v>
      </c>
      <c r="E747" s="6"/>
      <c r="F747" s="6" t="s">
        <v>130</v>
      </c>
      <c r="G747" s="7" t="s">
        <v>873</v>
      </c>
      <c r="H747" s="8" t="str">
        <f>IFNA(VLOOKUP(F747,Driver!A:C,3,false),"")</f>
        <v>77085b30147bfd25a46a</v>
      </c>
      <c r="I747" s="9">
        <v>0.2916666666666667</v>
      </c>
      <c r="J747" s="9">
        <v>0.75</v>
      </c>
    </row>
    <row r="748" hidden="1">
      <c r="A748" s="5" t="str">
        <f>IFNA(VLOOKUP(D748,'Location Table'!A:C,2,false),"")</f>
        <v>5298af74-d7e0-11f0-adc3-506b8d982279</v>
      </c>
      <c r="B748" s="5" t="str">
        <f>IFNA(VLOOKUP(F748,Driver!A:C,2,false),"")</f>
        <v>103090f4-37c8-11ed-9333-506b8dbc8dfb</v>
      </c>
      <c r="C748" s="5" t="str">
        <f>IFNA(VLOOKUP(E748,'Location Table'!A:C,2,false),"")</f>
        <v/>
      </c>
      <c r="D748" s="6" t="s">
        <v>620</v>
      </c>
      <c r="E748" s="6"/>
      <c r="F748" s="6" t="s">
        <v>130</v>
      </c>
      <c r="G748" s="7" t="s">
        <v>873</v>
      </c>
      <c r="H748" s="8" t="str">
        <f>IFNA(VLOOKUP(F748,Driver!A:C,3,false),"")</f>
        <v>77085b30147bfd25a46a</v>
      </c>
      <c r="I748" s="9">
        <v>0.2916666666666667</v>
      </c>
      <c r="J748" s="9">
        <v>0.75</v>
      </c>
    </row>
    <row r="749" hidden="1">
      <c r="A749" s="5" t="str">
        <f>IFNA(VLOOKUP(D749,'Location Table'!A:C,2,false),"")</f>
        <v>8f48bac0-630c-11f0-b1ca-506b8d982279</v>
      </c>
      <c r="B749" s="5" t="str">
        <f>IFNA(VLOOKUP(F749,Driver!A:C,2,false),"")</f>
        <v>353f3686-dcc8-11f0-82b8-506b8d982279</v>
      </c>
      <c r="C749" s="5" t="str">
        <f>IFNA(VLOOKUP(E749,'Location Table'!A:C,2,false),"")</f>
        <v/>
      </c>
      <c r="D749" s="6" t="s">
        <v>621</v>
      </c>
      <c r="E749" s="6"/>
      <c r="F749" s="6" t="s">
        <v>96</v>
      </c>
      <c r="G749" s="7" t="s">
        <v>873</v>
      </c>
      <c r="H749" s="8" t="str">
        <f>IFNA(VLOOKUP(F749,Driver!A:C,3,false),"")</f>
        <v>e7ce6d37cc7f25217c6e</v>
      </c>
      <c r="I749" s="9">
        <v>0.2916666666666667</v>
      </c>
      <c r="J749" s="9">
        <v>0.75</v>
      </c>
    </row>
    <row r="750">
      <c r="A750" s="5" t="str">
        <f>IFNA(VLOOKUP(D750,'Location Table'!A:C,2,false),"")</f>
        <v>2df160d4-39da-11f0-a2f8-506b8d982279</v>
      </c>
      <c r="B750" s="5" t="str">
        <f>IFNA(VLOOKUP(F750,Driver!A:C,2,false),"")</f>
        <v/>
      </c>
      <c r="C750" s="5" t="str">
        <f>IFNA(VLOOKUP(E750,'Location Table'!A:C,2,false),"")</f>
        <v/>
      </c>
      <c r="D750" s="6" t="s">
        <v>622</v>
      </c>
      <c r="E750" s="6"/>
      <c r="F750" s="10" t="s">
        <v>875</v>
      </c>
      <c r="G750" s="7" t="s">
        <v>873</v>
      </c>
      <c r="H750" s="8" t="str">
        <f>IFNA(VLOOKUP(F750,Driver!A:C,3,false),"")</f>
        <v/>
      </c>
      <c r="I750" s="9">
        <v>0.2916666666666667</v>
      </c>
      <c r="J750" s="9">
        <v>0.6666666666666666</v>
      </c>
    </row>
    <row r="751" hidden="1">
      <c r="A751" s="5" t="str">
        <f>IFNA(VLOOKUP(D751,'Location Table'!A:C,2,false),"")</f>
        <v>c7166e00-1e0f-11ee-a97a-506b8d9879b5</v>
      </c>
      <c r="B751" s="5" t="str">
        <f>IFNA(VLOOKUP(F751,Driver!A:C,2,false),"")</f>
        <v>f5993946-37cf-11ed-a3fc-506b8dbc8dfb</v>
      </c>
      <c r="C751" s="5" t="str">
        <f>IFNA(VLOOKUP(E751,'Location Table'!A:C,2,false),"")</f>
        <v/>
      </c>
      <c r="D751" s="6" t="s">
        <v>623</v>
      </c>
      <c r="E751" s="6"/>
      <c r="F751" s="6" t="s">
        <v>314</v>
      </c>
      <c r="G751" s="7" t="s">
        <v>873</v>
      </c>
      <c r="H751" s="8" t="str">
        <f>IFNA(VLOOKUP(F751,Driver!A:C,3,false),"")</f>
        <v/>
      </c>
      <c r="I751" s="9">
        <v>0.2916666666666667</v>
      </c>
      <c r="J751" s="9">
        <v>0.6666666666666666</v>
      </c>
    </row>
    <row r="752" hidden="1">
      <c r="A752" s="5" t="str">
        <f>IFNA(VLOOKUP(D752,'Location Table'!A:C,2,false),"")</f>
        <v>5a1f764a-613c-11ef-b8cb-506b8d9879b5</v>
      </c>
      <c r="B752" s="5" t="str">
        <f>IFNA(VLOOKUP(F752,Driver!A:C,2,false),"")</f>
        <v>a01fefe6-3653-11ed-8128-506b8dbc8dfb</v>
      </c>
      <c r="C752" s="5" t="str">
        <f>IFNA(VLOOKUP(E752,'Location Table'!A:C,2,false),"")</f>
        <v/>
      </c>
      <c r="D752" s="6" t="s">
        <v>624</v>
      </c>
      <c r="E752" s="6"/>
      <c r="F752" s="6" t="s">
        <v>128</v>
      </c>
      <c r="G752" s="7" t="s">
        <v>873</v>
      </c>
      <c r="H752" s="8" t="str">
        <f>IFNA(VLOOKUP(F752,Driver!A:C,3,false),"")</f>
        <v/>
      </c>
      <c r="I752" s="9">
        <v>0.2916666666666667</v>
      </c>
      <c r="J752" s="9">
        <v>0.5</v>
      </c>
    </row>
    <row r="753" hidden="1">
      <c r="A753" s="5" t="str">
        <f>IFNA(VLOOKUP(D753,'Location Table'!A:C,2,false),"")</f>
        <v>054ab756-d689-11f0-8329-506b8d982279</v>
      </c>
      <c r="B753" s="5" t="str">
        <f>IFNA(VLOOKUP(F753,Driver!A:C,2,false),"")</f>
        <v>103090f4-37c8-11ed-9333-506b8dbc8dfb</v>
      </c>
      <c r="C753" s="5" t="str">
        <f>IFNA(VLOOKUP(E753,'Location Table'!A:C,2,false),"")</f>
        <v/>
      </c>
      <c r="D753" s="6" t="s">
        <v>625</v>
      </c>
      <c r="E753" s="6"/>
      <c r="F753" s="6" t="s">
        <v>130</v>
      </c>
      <c r="G753" s="7" t="s">
        <v>873</v>
      </c>
      <c r="H753" s="8" t="str">
        <f>IFNA(VLOOKUP(F753,Driver!A:C,3,false),"")</f>
        <v>77085b30147bfd25a46a</v>
      </c>
      <c r="I753" s="9">
        <v>0.2916666666666667</v>
      </c>
      <c r="J753" s="9">
        <v>0.75</v>
      </c>
    </row>
    <row r="754" hidden="1">
      <c r="A754" s="5" t="str">
        <f>IFNA(VLOOKUP(D754,'Location Table'!A:C,2,false),"")</f>
        <v>57cf4696-c885-11ed-a324-506b8dbc8dfb</v>
      </c>
      <c r="B754" s="5" t="str">
        <f>IFNA(VLOOKUP(F754,Driver!A:C,2,false),"")</f>
        <v>f5993946-37cf-11ed-a3fc-506b8dbc8dfb</v>
      </c>
      <c r="C754" s="5" t="str">
        <f>IFNA(VLOOKUP(E754,'Location Table'!A:C,2,false),"")</f>
        <v/>
      </c>
      <c r="D754" s="6" t="s">
        <v>626</v>
      </c>
      <c r="E754" s="6"/>
      <c r="F754" s="6" t="s">
        <v>314</v>
      </c>
      <c r="G754" s="7" t="s">
        <v>873</v>
      </c>
      <c r="H754" s="8" t="str">
        <f>IFNA(VLOOKUP(F754,Driver!A:C,3,false),"")</f>
        <v/>
      </c>
      <c r="I754" s="9">
        <v>0.2916666666666667</v>
      </c>
      <c r="J754" s="9">
        <v>0.6666666666666666</v>
      </c>
    </row>
    <row r="755" hidden="1">
      <c r="A755" s="5" t="str">
        <f>IFNA(VLOOKUP(D755,'Location Table'!A:C,2,false),"")</f>
        <v>30bd8f0c-c082-11f0-bfba-506b8d982279</v>
      </c>
      <c r="B755" s="5" t="str">
        <f>IFNA(VLOOKUP(F755,Driver!A:C,2,false),"")</f>
        <v>c34fdbc2-ea4c-11ed-a5e2-506b8dbc8dfb</v>
      </c>
      <c r="C755" s="5" t="str">
        <f>IFNA(VLOOKUP(E755,'Location Table'!A:C,2,false),"")</f>
        <v/>
      </c>
      <c r="D755" s="6" t="s">
        <v>627</v>
      </c>
      <c r="E755" s="6"/>
      <c r="F755" s="6" t="s">
        <v>335</v>
      </c>
      <c r="G755" s="7" t="s">
        <v>873</v>
      </c>
      <c r="H755" s="8" t="str">
        <f>IFNA(VLOOKUP(F755,Driver!A:C,3,false),"")</f>
        <v>671c6e0f3741de1f8750</v>
      </c>
      <c r="I755" s="9">
        <v>0.2916666666666667</v>
      </c>
      <c r="J755" s="9">
        <v>0.75</v>
      </c>
    </row>
    <row r="756" hidden="1">
      <c r="A756" s="5" t="str">
        <f>IFNA(VLOOKUP(D756,'Location Table'!A:C,2,false),"")</f>
        <v>67aba92e-586d-11ee-95a5-506b8d9879b5</v>
      </c>
      <c r="B756" s="5" t="str">
        <f>IFNA(VLOOKUP(F756,Driver!A:C,2,false),"")</f>
        <v>f580f2a4-1966-11ee-a4c6-506b8d9879b5</v>
      </c>
      <c r="C756" s="5" t="str">
        <f>IFNA(VLOOKUP(E756,'Location Table'!A:C,2,false),"")</f>
        <v/>
      </c>
      <c r="D756" s="6" t="s">
        <v>628</v>
      </c>
      <c r="E756" s="6"/>
      <c r="F756" s="6" t="s">
        <v>878</v>
      </c>
      <c r="G756" s="7" t="s">
        <v>873</v>
      </c>
      <c r="H756" s="8" t="str">
        <f>IFNA(VLOOKUP(F756,Driver!A:C,3,false),"")</f>
        <v>557c6317f65c1f02464d</v>
      </c>
      <c r="I756" s="9">
        <v>0.2916666666666667</v>
      </c>
      <c r="J756" s="9">
        <v>0.6666666666666666</v>
      </c>
    </row>
    <row r="757" hidden="1">
      <c r="A757" s="5" t="str">
        <f>IFNA(VLOOKUP(D757,'Location Table'!A:C,2,false),"")</f>
        <v>94e0007e-2b95-11ef-9d65-506b8d9879b5</v>
      </c>
      <c r="B757" s="5" t="str">
        <f>IFNA(VLOOKUP(F757,Driver!A:C,2,false),"")</f>
        <v>b74e3178-7caf-11f0-a9c3-506b8d982279</v>
      </c>
      <c r="C757" s="5" t="str">
        <f>IFNA(VLOOKUP(E757,'Location Table'!A:C,2,false),"")</f>
        <v/>
      </c>
      <c r="D757" s="6" t="s">
        <v>629</v>
      </c>
      <c r="E757" s="6"/>
      <c r="F757" s="6" t="s">
        <v>326</v>
      </c>
      <c r="G757" s="7" t="s">
        <v>873</v>
      </c>
      <c r="H757" s="8" t="str">
        <f>IFNA(VLOOKUP(F757,Driver!A:C,3,false),"")</f>
        <v>473ef1d8329bdbc5828a</v>
      </c>
      <c r="I757" s="9">
        <v>0.2916666666666667</v>
      </c>
      <c r="J757" s="9">
        <v>0.6666666666666666</v>
      </c>
    </row>
    <row r="758" hidden="1">
      <c r="A758" s="5" t="str">
        <f>IFNA(VLOOKUP(D758,'Location Table'!A:C,2,false),"")</f>
        <v>3cb28f2a-49fb-11ed-abaa-506b8dbc8dfb</v>
      </c>
      <c r="B758" s="5" t="str">
        <f>IFNA(VLOOKUP(F758,Driver!A:C,2,false),"")</f>
        <v>f580f2a4-1966-11ee-a4c6-506b8d9879b5</v>
      </c>
      <c r="C758" s="5" t="str">
        <f>IFNA(VLOOKUP(E758,'Location Table'!A:C,2,false),"")</f>
        <v/>
      </c>
      <c r="D758" s="6" t="s">
        <v>630</v>
      </c>
      <c r="E758" s="6"/>
      <c r="F758" s="6" t="s">
        <v>878</v>
      </c>
      <c r="G758" s="7" t="s">
        <v>873</v>
      </c>
      <c r="H758" s="8" t="str">
        <f>IFNA(VLOOKUP(F758,Driver!A:C,3,false),"")</f>
        <v>557c6317f65c1f02464d</v>
      </c>
      <c r="I758" s="9">
        <v>0.2916666666666667</v>
      </c>
      <c r="J758" s="9">
        <v>0.5833333333333334</v>
      </c>
    </row>
    <row r="759" hidden="1">
      <c r="A759" s="5" t="str">
        <f>IFNA(VLOOKUP(D759,'Location Table'!A:C,2,false),"")</f>
        <v>43e28d22-c9af-11f0-8609-506b8d982279</v>
      </c>
      <c r="B759" s="5" t="str">
        <f>IFNA(VLOOKUP(F759,Driver!A:C,2,false),"")</f>
        <v>1163ad80-d96e-11f0-b637-506b8d982279</v>
      </c>
      <c r="C759" s="5" t="str">
        <f>IFNA(VLOOKUP(E759,'Location Table'!A:C,2,false),"")</f>
        <v/>
      </c>
      <c r="D759" s="6" t="s">
        <v>631</v>
      </c>
      <c r="E759" s="6"/>
      <c r="F759" s="6" t="s">
        <v>498</v>
      </c>
      <c r="G759" s="7" t="s">
        <v>873</v>
      </c>
      <c r="H759" s="8" t="str">
        <f>IFNA(VLOOKUP(F759,Driver!A:C,3,false),"")</f>
        <v>76599ccdde8e37d06e9f</v>
      </c>
      <c r="I759" s="9">
        <v>0.2916666666666667</v>
      </c>
      <c r="J759" s="9">
        <v>0.75</v>
      </c>
    </row>
    <row r="760" hidden="1">
      <c r="A760" s="5" t="str">
        <f>IFNA(VLOOKUP(D760,'Location Table'!A:C,2,false),"")</f>
        <v>779334d6-1d87-11ee-8c8a-506b8d9879b5</v>
      </c>
      <c r="B760" s="5" t="str">
        <f>IFNA(VLOOKUP(F760,Driver!A:C,2,false),"")</f>
        <v>061bd7aa-35a6-11ed-9426-506b8dbc8dfb</v>
      </c>
      <c r="C760" s="5" t="str">
        <f>IFNA(VLOOKUP(E760,'Location Table'!A:C,2,false),"")</f>
        <v/>
      </c>
      <c r="D760" s="6" t="s">
        <v>632</v>
      </c>
      <c r="E760" s="6"/>
      <c r="F760" s="6" t="s">
        <v>346</v>
      </c>
      <c r="G760" s="7" t="s">
        <v>873</v>
      </c>
      <c r="H760" s="8" t="str">
        <f>IFNA(VLOOKUP(F760,Driver!A:C,3,false),"")</f>
        <v>a6d70e0cd7463e186757</v>
      </c>
      <c r="I760" s="9">
        <v>0.2916666666666667</v>
      </c>
      <c r="J760" s="9">
        <v>0.6666666666666666</v>
      </c>
    </row>
    <row r="761" hidden="1">
      <c r="A761" s="5" t="str">
        <f>IFNA(VLOOKUP(D761,'Location Table'!A:C,2,false),"")</f>
        <v>8dab5ef4-f3e8-11ef-aee5-506b8d9879b5</v>
      </c>
      <c r="B761" s="5" t="str">
        <f>IFNA(VLOOKUP(F761,Driver!A:C,2,false),"")</f>
        <v>8909168a-37c4-11ed-9647-506b8dbc8dfb</v>
      </c>
      <c r="C761" s="5" t="str">
        <f>IFNA(VLOOKUP(E761,'Location Table'!A:C,2,false),"")</f>
        <v/>
      </c>
      <c r="D761" s="6" t="s">
        <v>633</v>
      </c>
      <c r="E761" s="6"/>
      <c r="F761" s="6" t="s">
        <v>552</v>
      </c>
      <c r="G761" s="7" t="s">
        <v>873</v>
      </c>
      <c r="H761" s="8" t="str">
        <f>IFNA(VLOOKUP(F761,Driver!A:C,3,false),"")</f>
        <v>6f0424c9ec8505db5c94</v>
      </c>
      <c r="I761" s="9">
        <v>0.2916666666666667</v>
      </c>
      <c r="J761" s="9">
        <v>0.75</v>
      </c>
    </row>
    <row r="762" hidden="1">
      <c r="A762" s="5" t="str">
        <f>IFNA(VLOOKUP(D762,'Location Table'!A:C,2,false),"")</f>
        <v>d9627430-7b1b-11f0-857d-506b8d982279</v>
      </c>
      <c r="B762" s="5" t="str">
        <f>IFNA(VLOOKUP(F762,Driver!A:C,2,false),"")</f>
        <v>a2f538f8-37ce-11ed-a5cf-506b8dbc8dfb</v>
      </c>
      <c r="C762" s="5" t="str">
        <f>IFNA(VLOOKUP(E762,'Location Table'!A:C,2,false),"")</f>
        <v/>
      </c>
      <c r="D762" s="6" t="s">
        <v>634</v>
      </c>
      <c r="E762" s="6"/>
      <c r="F762" s="6" t="s">
        <v>338</v>
      </c>
      <c r="G762" s="7" t="s">
        <v>873</v>
      </c>
      <c r="H762" s="8" t="str">
        <f>IFNA(VLOOKUP(F762,Driver!A:C,3,false),"")</f>
        <v>c0d10f02724a9b14c25b</v>
      </c>
      <c r="I762" s="9">
        <v>0.2916666666666667</v>
      </c>
      <c r="J762" s="9">
        <v>0.6666666666666666</v>
      </c>
    </row>
    <row r="763" hidden="1">
      <c r="A763" s="5" t="str">
        <f>IFNA(VLOOKUP(D763,'Location Table'!A:C,2,false),"")</f>
        <v>e899e64e-31f8-11ef-870d-506b8d9879b5</v>
      </c>
      <c r="B763" s="5" t="str">
        <f>IFNA(VLOOKUP(F763,Driver!A:C,2,false),"")</f>
        <v>987568fa-37c7-11ed-aac2-506b8dbc8dfb</v>
      </c>
      <c r="C763" s="5" t="str">
        <f>IFNA(VLOOKUP(E763,'Location Table'!A:C,2,false),"")</f>
        <v/>
      </c>
      <c r="D763" s="6" t="s">
        <v>635</v>
      </c>
      <c r="E763" s="6"/>
      <c r="F763" s="6" t="s">
        <v>849</v>
      </c>
      <c r="G763" s="7" t="s">
        <v>873</v>
      </c>
      <c r="H763" s="8" t="str">
        <f>IFNA(VLOOKUP(F763,Driver!A:C,3,false),"")</f>
        <v>fb399a0ae5460c185557</v>
      </c>
      <c r="I763" s="9">
        <v>0.2916666666666667</v>
      </c>
      <c r="J763" s="9">
        <v>0.7083333333333334</v>
      </c>
    </row>
    <row r="764" hidden="1">
      <c r="A764" s="5" t="str">
        <f>IFNA(VLOOKUP(D764,'Location Table'!A:C,2,false),"")</f>
        <v>2eaf1aca-4478-11ed-b980-506b8dbc8dfb</v>
      </c>
      <c r="B764" s="5" t="str">
        <f>IFNA(VLOOKUP(F764,Driver!A:C,2,false),"")</f>
        <v>103090f4-37c8-11ed-9333-506b8dbc8dfb</v>
      </c>
      <c r="C764" s="5" t="str">
        <f>IFNA(VLOOKUP(E764,'Location Table'!A:C,2,false),"")</f>
        <v/>
      </c>
      <c r="D764" s="6" t="s">
        <v>636</v>
      </c>
      <c r="E764" s="6"/>
      <c r="F764" s="6" t="s">
        <v>130</v>
      </c>
      <c r="G764" s="7" t="s">
        <v>873</v>
      </c>
      <c r="H764" s="8" t="str">
        <f>IFNA(VLOOKUP(F764,Driver!A:C,3,false),"")</f>
        <v>77085b30147bfd25a46a</v>
      </c>
      <c r="I764" s="9">
        <v>0.2916666666666667</v>
      </c>
      <c r="J764" s="9">
        <v>0.75</v>
      </c>
    </row>
    <row r="765" hidden="1">
      <c r="A765" s="5" t="str">
        <f>IFNA(VLOOKUP(D765,'Location Table'!A:C,2,false),"")</f>
        <v>0f920f28-f41d-11f0-9378-fa163ee8d8ac</v>
      </c>
      <c r="B765" s="5" t="str">
        <f>IFNA(VLOOKUP(F765,Driver!A:C,2,false),"")</f>
        <v>717fa61c-3654-11ed-b103-506b8dbc8dfb</v>
      </c>
      <c r="C765" s="5" t="str">
        <f>IFNA(VLOOKUP(E765,'Location Table'!A:C,2,false),"")</f>
        <v/>
      </c>
      <c r="D765" s="6" t="s">
        <v>637</v>
      </c>
      <c r="E765" s="6"/>
      <c r="F765" s="6" t="s">
        <v>361</v>
      </c>
      <c r="G765" s="7" t="s">
        <v>873</v>
      </c>
      <c r="H765" s="8" t="str">
        <f>IFNA(VLOOKUP(F765,Driver!A:C,3,false),"")</f>
        <v>fbc73b7bb6385f660629</v>
      </c>
      <c r="I765" s="9">
        <v>0.2916666666666667</v>
      </c>
      <c r="J765" s="9">
        <v>0.5833333333333334</v>
      </c>
    </row>
    <row r="766" hidden="1">
      <c r="A766" s="5" t="str">
        <f>IFNA(VLOOKUP(D766,'Location Table'!A:C,2,false),"")</f>
        <v>34e16eca-9003-11ee-8227-506b8d9879b5</v>
      </c>
      <c r="B766" s="5" t="str">
        <f>IFNA(VLOOKUP(F766,Driver!A:C,2,false),"")</f>
        <v>a01fefe6-3653-11ed-8128-506b8dbc8dfb</v>
      </c>
      <c r="C766" s="5" t="str">
        <f>IFNA(VLOOKUP(E766,'Location Table'!A:C,2,false),"")</f>
        <v/>
      </c>
      <c r="D766" s="6" t="s">
        <v>638</v>
      </c>
      <c r="E766" s="6"/>
      <c r="F766" s="6" t="s">
        <v>128</v>
      </c>
      <c r="G766" s="7" t="s">
        <v>873</v>
      </c>
      <c r="H766" s="8" t="str">
        <f>IFNA(VLOOKUP(F766,Driver!A:C,3,false),"")</f>
        <v/>
      </c>
      <c r="I766" s="9">
        <v>0.2916666666666667</v>
      </c>
      <c r="J766" s="9">
        <v>0.5</v>
      </c>
    </row>
    <row r="767" hidden="1">
      <c r="A767" s="5" t="str">
        <f>IFNA(VLOOKUP(D767,'Location Table'!A:C,2,false),"")</f>
        <v>f9f328b8-1af4-11ee-843d-506b8d9879b5</v>
      </c>
      <c r="B767" s="5" t="str">
        <f>IFNA(VLOOKUP(F767,Driver!A:C,2,false),"")</f>
        <v>a9bf91b4-00e4-11f1-9378-fa163ee8d8ac</v>
      </c>
      <c r="C767" s="5" t="str">
        <f>IFNA(VLOOKUP(E767,'Location Table'!A:C,2,false),"")</f>
        <v/>
      </c>
      <c r="D767" s="6" t="s">
        <v>639</v>
      </c>
      <c r="E767" s="6"/>
      <c r="F767" s="6" t="s">
        <v>142</v>
      </c>
      <c r="G767" s="7" t="s">
        <v>873</v>
      </c>
      <c r="H767" s="8" t="str">
        <f>IFNA(VLOOKUP(F767,Driver!A:C,3,false),"")</f>
        <v/>
      </c>
      <c r="I767" s="9">
        <v>0.2916666666666667</v>
      </c>
      <c r="J767" s="9">
        <v>0.5</v>
      </c>
    </row>
    <row r="768" hidden="1">
      <c r="A768" s="5" t="str">
        <f>IFNA(VLOOKUP(D768,'Location Table'!A:C,2,false),"")</f>
        <v>8639bd3e-1b34-11ee-923c-506b8d9879b5</v>
      </c>
      <c r="B768" s="5" t="str">
        <f>IFNA(VLOOKUP(F768,Driver!A:C,2,false),"")</f>
        <v>b74e3178-7caf-11f0-a9c3-506b8d982279</v>
      </c>
      <c r="C768" s="5" t="str">
        <f>IFNA(VLOOKUP(E768,'Location Table'!A:C,2,false),"")</f>
        <v/>
      </c>
      <c r="D768" s="6" t="s">
        <v>640</v>
      </c>
      <c r="E768" s="6"/>
      <c r="F768" s="6" t="s">
        <v>326</v>
      </c>
      <c r="G768" s="7" t="s">
        <v>873</v>
      </c>
      <c r="H768" s="8" t="str">
        <f>IFNA(VLOOKUP(F768,Driver!A:C,3,false),"")</f>
        <v>473ef1d8329bdbc5828a</v>
      </c>
      <c r="I768" s="9">
        <v>0.2916666666666667</v>
      </c>
      <c r="J768" s="9">
        <v>0.6666666666666666</v>
      </c>
    </row>
    <row r="769" hidden="1">
      <c r="A769" s="5" t="str">
        <f>IFNA(VLOOKUP(D769,'Location Table'!A:C,2,false),"")</f>
        <v>359425d8-19e6-11f0-a03a-506b8d982279</v>
      </c>
      <c r="B769" s="5" t="str">
        <f>IFNA(VLOOKUP(F769,Driver!A:C,2,false),"")</f>
        <v>51b847ba-37cd-11ed-a5f6-506b8dbc8dfb</v>
      </c>
      <c r="C769" s="5" t="str">
        <f>IFNA(VLOOKUP(E769,'Location Table'!A:C,2,false),"")</f>
        <v/>
      </c>
      <c r="D769" s="6" t="s">
        <v>641</v>
      </c>
      <c r="E769" s="6"/>
      <c r="F769" s="6" t="s">
        <v>94</v>
      </c>
      <c r="G769" s="7" t="s">
        <v>873</v>
      </c>
      <c r="H769" s="8" t="str">
        <f>IFNA(VLOOKUP(F769,Driver!A:C,3,false),"")</f>
        <v>3d1fec9027dcce8297cd</v>
      </c>
      <c r="I769" s="9">
        <v>0.2916666666666667</v>
      </c>
      <c r="J769" s="9">
        <v>0.6666666666666666</v>
      </c>
    </row>
    <row r="770" hidden="1">
      <c r="A770" s="5" t="str">
        <f>IFNA(VLOOKUP(D770,'Location Table'!A:C,2,false),"")</f>
        <v>c57ab038-fff9-11ef-b55f-506b8d9879b5</v>
      </c>
      <c r="B770" s="5" t="str">
        <f>IFNA(VLOOKUP(F770,Driver!A:C,2,false),"")</f>
        <v>232be490-35a4-11ed-88b7-506b8dbc8dfb</v>
      </c>
      <c r="C770" s="5" t="str">
        <f>IFNA(VLOOKUP(E770,'Location Table'!A:C,2,false),"")</f>
        <v/>
      </c>
      <c r="D770" s="6" t="s">
        <v>642</v>
      </c>
      <c r="E770" s="6"/>
      <c r="F770" s="10" t="s">
        <v>110</v>
      </c>
      <c r="G770" s="7" t="s">
        <v>873</v>
      </c>
      <c r="H770" s="8" t="str">
        <f>IFNA(VLOOKUP(F770,Driver!A:C,3,false),"")</f>
        <v>d9fc37dd4093a9cdf082</v>
      </c>
      <c r="I770" s="9">
        <v>0.2916666666666667</v>
      </c>
      <c r="J770" s="9">
        <v>0.6666666666666666</v>
      </c>
    </row>
    <row r="771" hidden="1">
      <c r="A771" s="5" t="str">
        <f>IFNA(VLOOKUP(D771,'Location Table'!A:C,2,false),"")</f>
        <v>9eda254c-1d71-11ee-b55a-506b8d9879b5</v>
      </c>
      <c r="B771" s="5" t="str">
        <f>IFNA(VLOOKUP(F771,Driver!A:C,2,false),"")</f>
        <v>a9bf91b4-00e4-11f1-9378-fa163ee8d8ac</v>
      </c>
      <c r="C771" s="5" t="str">
        <f>IFNA(VLOOKUP(E771,'Location Table'!A:C,2,false),"")</f>
        <v/>
      </c>
      <c r="D771" s="6" t="s">
        <v>643</v>
      </c>
      <c r="E771" s="6"/>
      <c r="F771" s="6" t="s">
        <v>142</v>
      </c>
      <c r="G771" s="7" t="s">
        <v>873</v>
      </c>
      <c r="H771" s="8" t="str">
        <f>IFNA(VLOOKUP(F771,Driver!A:C,3,false),"")</f>
        <v/>
      </c>
      <c r="I771" s="9">
        <v>0.2916666666666667</v>
      </c>
      <c r="J771" s="9">
        <v>0.5</v>
      </c>
    </row>
    <row r="772">
      <c r="A772" s="5" t="str">
        <f>IFNA(VLOOKUP(D772,'Location Table'!A:C,2,false),"")</f>
        <v>a0d370aa-452d-11ed-a75b-506b8dbc8dfb</v>
      </c>
      <c r="B772" s="5" t="str">
        <f>IFNA(VLOOKUP(F772,Driver!A:C,2,false),"")</f>
        <v/>
      </c>
      <c r="C772" s="5" t="str">
        <f>IFNA(VLOOKUP(E772,'Location Table'!A:C,2,false),"")</f>
        <v/>
      </c>
      <c r="D772" s="6" t="s">
        <v>644</v>
      </c>
      <c r="E772" s="6"/>
      <c r="F772" s="10" t="s">
        <v>875</v>
      </c>
      <c r="G772" s="7" t="s">
        <v>873</v>
      </c>
      <c r="H772" s="8" t="str">
        <f>IFNA(VLOOKUP(F772,Driver!A:C,3,false),"")</f>
        <v/>
      </c>
      <c r="I772" s="9">
        <v>0.2916666666666667</v>
      </c>
      <c r="J772" s="9">
        <v>0.6666666666666666</v>
      </c>
    </row>
    <row r="773" hidden="1">
      <c r="A773" s="5" t="str">
        <f>IFNA(VLOOKUP(D773,'Location Table'!A:C,2,false),"")</f>
        <v>63e8c524-1519-11ef-af48-506b8d9879b5</v>
      </c>
      <c r="B773" s="5" t="str">
        <f>IFNA(VLOOKUP(F773,Driver!A:C,2,false),"")</f>
        <v>a9bf91b4-00e4-11f1-9378-fa163ee8d8ac</v>
      </c>
      <c r="C773" s="5" t="str">
        <f>IFNA(VLOOKUP(E773,'Location Table'!A:C,2,false),"")</f>
        <v/>
      </c>
      <c r="D773" s="6" t="s">
        <v>645</v>
      </c>
      <c r="E773" s="6"/>
      <c r="F773" s="6" t="s">
        <v>142</v>
      </c>
      <c r="G773" s="7" t="s">
        <v>873</v>
      </c>
      <c r="H773" s="8" t="str">
        <f>IFNA(VLOOKUP(F773,Driver!A:C,3,false),"")</f>
        <v/>
      </c>
      <c r="I773" s="9">
        <v>0.2916666666666667</v>
      </c>
      <c r="J773" s="9">
        <v>0.6666666666666666</v>
      </c>
    </row>
    <row r="774" hidden="1">
      <c r="A774" s="5" t="str">
        <f>IFNA(VLOOKUP(D774,'Location Table'!A:C,2,false),"")</f>
        <v>636fa48a-ada9-11f0-8f64-506b8d982279</v>
      </c>
      <c r="B774" s="5" t="str">
        <f>IFNA(VLOOKUP(F774,Driver!A:C,2,false),"")</f>
        <v>a01fefe6-3653-11ed-8128-506b8dbc8dfb</v>
      </c>
      <c r="C774" s="5" t="str">
        <f>IFNA(VLOOKUP(E774,'Location Table'!A:C,2,false),"")</f>
        <v/>
      </c>
      <c r="D774" s="6" t="s">
        <v>646</v>
      </c>
      <c r="E774" s="6"/>
      <c r="F774" s="6" t="s">
        <v>128</v>
      </c>
      <c r="G774" s="7" t="s">
        <v>873</v>
      </c>
      <c r="H774" s="8" t="str">
        <f>IFNA(VLOOKUP(F774,Driver!A:C,3,false),"")</f>
        <v/>
      </c>
      <c r="I774" s="9">
        <v>0.2916666666666667</v>
      </c>
      <c r="J774" s="9">
        <v>0.5</v>
      </c>
    </row>
    <row r="775" hidden="1">
      <c r="A775" s="5" t="str">
        <f>IFNA(VLOOKUP(D775,'Location Table'!A:C,2,false),"")</f>
        <v>a13f2c3c-62f3-11f0-835a-506b8d982279</v>
      </c>
      <c r="B775" s="5" t="str">
        <f>IFNA(VLOOKUP(F775,Driver!A:C,2,false),"")</f>
        <v>232be490-35a4-11ed-88b7-506b8dbc8dfb</v>
      </c>
      <c r="C775" s="5" t="str">
        <f>IFNA(VLOOKUP(E775,'Location Table'!A:C,2,false),"")</f>
        <v/>
      </c>
      <c r="D775" s="6" t="s">
        <v>647</v>
      </c>
      <c r="E775" s="6"/>
      <c r="F775" s="10" t="s">
        <v>110</v>
      </c>
      <c r="G775" s="7" t="s">
        <v>873</v>
      </c>
      <c r="H775" s="8" t="str">
        <f>IFNA(VLOOKUP(F775,Driver!A:C,3,false),"")</f>
        <v>d9fc37dd4093a9cdf082</v>
      </c>
      <c r="I775" s="9">
        <v>0.2916666666666667</v>
      </c>
      <c r="J775" s="9">
        <v>0.6666666666666666</v>
      </c>
    </row>
    <row r="776" hidden="1">
      <c r="A776" s="5" t="str">
        <f>IFNA(VLOOKUP(D776,'Location Table'!A:C,2,false),"")</f>
        <v>377e68f6-0e4c-11ee-9f66-506b8dbc8dfb</v>
      </c>
      <c r="B776" s="5" t="str">
        <f>IFNA(VLOOKUP(F776,Driver!A:C,2,false),"")</f>
        <v>103090f4-37c8-11ed-9333-506b8dbc8dfb</v>
      </c>
      <c r="C776" s="5" t="str">
        <f>IFNA(VLOOKUP(E776,'Location Table'!A:C,2,false),"")</f>
        <v/>
      </c>
      <c r="D776" s="6" t="s">
        <v>648</v>
      </c>
      <c r="E776" s="6"/>
      <c r="F776" s="6" t="s">
        <v>130</v>
      </c>
      <c r="G776" s="7" t="s">
        <v>873</v>
      </c>
      <c r="H776" s="8" t="str">
        <f>IFNA(VLOOKUP(F776,Driver!A:C,3,false),"")</f>
        <v>77085b30147bfd25a46a</v>
      </c>
      <c r="I776" s="9">
        <v>0.2916666666666667</v>
      </c>
      <c r="J776" s="9">
        <v>0.75</v>
      </c>
    </row>
    <row r="777" hidden="1">
      <c r="A777" s="5" t="str">
        <f>IFNA(VLOOKUP(D777,'Location Table'!A:C,2,false),"")</f>
        <v>f6c35df8-0b49-11ee-b660-506b8dbc8dfb</v>
      </c>
      <c r="B777" s="5" t="str">
        <f>IFNA(VLOOKUP(F777,Driver!A:C,2,false),"")</f>
        <v>103090f4-37c8-11ed-9333-506b8dbc8dfb</v>
      </c>
      <c r="C777" s="5" t="str">
        <f>IFNA(VLOOKUP(E777,'Location Table'!A:C,2,false),"")</f>
        <v/>
      </c>
      <c r="D777" s="6" t="s">
        <v>649</v>
      </c>
      <c r="E777" s="6"/>
      <c r="F777" s="6" t="s">
        <v>130</v>
      </c>
      <c r="G777" s="7" t="s">
        <v>873</v>
      </c>
      <c r="H777" s="8" t="str">
        <f>IFNA(VLOOKUP(F777,Driver!A:C,3,false),"")</f>
        <v>77085b30147bfd25a46a</v>
      </c>
      <c r="I777" s="9">
        <v>0.2916666666666667</v>
      </c>
      <c r="J777" s="9">
        <v>0.75</v>
      </c>
    </row>
    <row r="778" hidden="1">
      <c r="A778" s="5" t="str">
        <f>IFNA(VLOOKUP(D778,'Location Table'!A:C,2,false),"")</f>
        <v>e51d7fba-0dbb-11ee-9759-506b8dbc8dfb</v>
      </c>
      <c r="B778" s="5" t="str">
        <f>IFNA(VLOOKUP(F778,Driver!A:C,2,false),"")</f>
        <v>103090f4-37c8-11ed-9333-506b8dbc8dfb</v>
      </c>
      <c r="C778" s="5" t="str">
        <f>IFNA(VLOOKUP(E778,'Location Table'!A:C,2,false),"")</f>
        <v/>
      </c>
      <c r="D778" s="6" t="s">
        <v>650</v>
      </c>
      <c r="E778" s="6"/>
      <c r="F778" s="6" t="s">
        <v>130</v>
      </c>
      <c r="G778" s="7" t="s">
        <v>873</v>
      </c>
      <c r="H778" s="8" t="str">
        <f>IFNA(VLOOKUP(F778,Driver!A:C,3,false),"")</f>
        <v>77085b30147bfd25a46a</v>
      </c>
      <c r="I778" s="9">
        <v>0.2916666666666667</v>
      </c>
      <c r="J778" s="9">
        <v>0.75</v>
      </c>
    </row>
    <row r="779" hidden="1">
      <c r="A779" s="5" t="str">
        <f>IFNA(VLOOKUP(D779,'Location Table'!A:C,2,false),"")</f>
        <v>751246b2-808f-11f0-86eb-506b8d982279</v>
      </c>
      <c r="B779" s="5" t="str">
        <f>IFNA(VLOOKUP(F779,Driver!A:C,2,false),"")</f>
        <v>65871f10-7671-11f0-9d16-506b8d982279</v>
      </c>
      <c r="C779" s="5" t="str">
        <f>IFNA(VLOOKUP(E779,'Location Table'!A:C,2,false),"")</f>
        <v/>
      </c>
      <c r="D779" s="6" t="s">
        <v>651</v>
      </c>
      <c r="E779" s="6"/>
      <c r="F779" s="6" t="s">
        <v>348</v>
      </c>
      <c r="G779" s="7" t="s">
        <v>873</v>
      </c>
      <c r="H779" s="8" t="str">
        <f>IFNA(VLOOKUP(F779,Driver!A:C,3,false),"")</f>
        <v>03bb8b129d5c74022d4d</v>
      </c>
      <c r="I779" s="9">
        <v>0.2916666666666667</v>
      </c>
      <c r="J779" s="9">
        <v>0.75</v>
      </c>
    </row>
    <row r="780" hidden="1">
      <c r="A780" s="5" t="str">
        <f>IFNA(VLOOKUP(D780,'Location Table'!A:C,2,false),"")</f>
        <v>801291b6-0a99-11ee-8649-506b8dbc8dfb</v>
      </c>
      <c r="B780" s="5" t="str">
        <f>IFNA(VLOOKUP(F780,Driver!A:C,2,false),"")</f>
        <v>103090f4-37c8-11ed-9333-506b8dbc8dfb</v>
      </c>
      <c r="C780" s="5" t="str">
        <f>IFNA(VLOOKUP(E780,'Location Table'!A:C,2,false),"")</f>
        <v/>
      </c>
      <c r="D780" s="6" t="s">
        <v>652</v>
      </c>
      <c r="E780" s="6"/>
      <c r="F780" s="6" t="s">
        <v>130</v>
      </c>
      <c r="G780" s="7" t="s">
        <v>873</v>
      </c>
      <c r="H780" s="8" t="str">
        <f>IFNA(VLOOKUP(F780,Driver!A:C,3,false),"")</f>
        <v>77085b30147bfd25a46a</v>
      </c>
      <c r="I780" s="9">
        <v>0.2916666666666667</v>
      </c>
      <c r="J780" s="9">
        <v>0.75</v>
      </c>
    </row>
    <row r="781" hidden="1">
      <c r="A781" s="5" t="str">
        <f>IFNA(VLOOKUP(D781,'Location Table'!A:C,2,false),"")</f>
        <v>123b4de4-d1e1-11ee-8c0f-506b8d9879b5</v>
      </c>
      <c r="B781" s="5" t="str">
        <f>IFNA(VLOOKUP(F781,Driver!A:C,2,false),"")</f>
        <v>51b847ba-37cd-11ed-a5f6-506b8dbc8dfb</v>
      </c>
      <c r="C781" s="5" t="str">
        <f>IFNA(VLOOKUP(E781,'Location Table'!A:C,2,false),"")</f>
        <v/>
      </c>
      <c r="D781" s="6" t="s">
        <v>653</v>
      </c>
      <c r="E781" s="6"/>
      <c r="F781" s="6" t="s">
        <v>94</v>
      </c>
      <c r="G781" s="7" t="s">
        <v>873</v>
      </c>
      <c r="H781" s="8" t="str">
        <f>IFNA(VLOOKUP(F781,Driver!A:C,3,false),"")</f>
        <v>3d1fec9027dcce8297cd</v>
      </c>
      <c r="I781" s="9">
        <v>0.2916666666666667</v>
      </c>
      <c r="J781" s="9">
        <v>0.6666666666666666</v>
      </c>
    </row>
    <row r="782" hidden="1">
      <c r="A782" s="5" t="str">
        <f>IFNA(VLOOKUP(D782,'Location Table'!A:C,2,false),"")</f>
        <v>b3b2c722-7c32-11f0-bfd2-506b8d982279</v>
      </c>
      <c r="B782" s="5" t="str">
        <f>IFNA(VLOOKUP(F782,Driver!A:C,2,false),"")</f>
        <v>f5993946-37cf-11ed-a3fc-506b8dbc8dfb</v>
      </c>
      <c r="C782" s="5" t="str">
        <f>IFNA(VLOOKUP(E782,'Location Table'!A:C,2,false),"")</f>
        <v/>
      </c>
      <c r="D782" s="6" t="s">
        <v>654</v>
      </c>
      <c r="E782" s="6"/>
      <c r="F782" s="6" t="s">
        <v>314</v>
      </c>
      <c r="G782" s="7" t="s">
        <v>873</v>
      </c>
      <c r="H782" s="8" t="str">
        <f>IFNA(VLOOKUP(F782,Driver!A:C,3,false),"")</f>
        <v/>
      </c>
      <c r="I782" s="9">
        <v>0.2916666666666667</v>
      </c>
      <c r="J782" s="9">
        <v>0.6666666666666666</v>
      </c>
    </row>
    <row r="783">
      <c r="A783" s="5" t="str">
        <f>IFNA(VLOOKUP(D783,'Location Table'!A:C,2,false),"")</f>
        <v>3f9846b8-1cbd-11ee-b58a-506b8d9879b5</v>
      </c>
      <c r="B783" s="5" t="str">
        <f>IFNA(VLOOKUP(F783,Driver!A:C,2,false),"")</f>
        <v/>
      </c>
      <c r="C783" s="5" t="str">
        <f>IFNA(VLOOKUP(E783,'Location Table'!A:C,2,false),"")</f>
        <v/>
      </c>
      <c r="D783" s="6" t="s">
        <v>655</v>
      </c>
      <c r="E783" s="6"/>
      <c r="F783" s="10" t="s">
        <v>875</v>
      </c>
      <c r="G783" s="7" t="s">
        <v>873</v>
      </c>
      <c r="H783" s="8" t="str">
        <f>IFNA(VLOOKUP(F783,Driver!A:C,3,false),"")</f>
        <v/>
      </c>
      <c r="I783" s="9">
        <v>0.2916666666666667</v>
      </c>
      <c r="J783" s="9">
        <v>0.6666666666666666</v>
      </c>
    </row>
    <row r="784" hidden="1">
      <c r="A784" s="5" t="str">
        <f>IFNA(VLOOKUP(D784,'Location Table'!A:C,2,false),"")</f>
        <v>6502e506-8fa9-11ef-9316-506b8d9879b5</v>
      </c>
      <c r="B784" s="5" t="str">
        <f>IFNA(VLOOKUP(F784,Driver!A:C,2,false),"")</f>
        <v>f5993946-37cf-11ed-a3fc-506b8dbc8dfb</v>
      </c>
      <c r="C784" s="5" t="str">
        <f>IFNA(VLOOKUP(E784,'Location Table'!A:C,2,false),"")</f>
        <v/>
      </c>
      <c r="D784" s="6" t="s">
        <v>656</v>
      </c>
      <c r="E784" s="6"/>
      <c r="F784" s="6" t="s">
        <v>314</v>
      </c>
      <c r="G784" s="7" t="s">
        <v>873</v>
      </c>
      <c r="H784" s="8" t="str">
        <f>IFNA(VLOOKUP(F784,Driver!A:C,3,false),"")</f>
        <v/>
      </c>
      <c r="I784" s="9">
        <v>0.2916666666666667</v>
      </c>
      <c r="J784" s="9">
        <v>0.6666666666666666</v>
      </c>
    </row>
    <row r="785" hidden="1">
      <c r="A785" s="5" t="str">
        <f>IFNA(VLOOKUP(D785,'Location Table'!A:C,2,false),"")</f>
        <v>b60352d0-c47b-11f0-8297-506b8d982279</v>
      </c>
      <c r="B785" s="5" t="str">
        <f>IFNA(VLOOKUP(F785,Driver!A:C,2,false),"")</f>
        <v>f580f2a4-1966-11ee-a4c6-506b8d9879b5</v>
      </c>
      <c r="C785" s="5" t="str">
        <f>IFNA(VLOOKUP(E785,'Location Table'!A:C,2,false),"")</f>
        <v/>
      </c>
      <c r="D785" s="6" t="s">
        <v>657</v>
      </c>
      <c r="E785" s="6"/>
      <c r="F785" s="6" t="s">
        <v>878</v>
      </c>
      <c r="G785" s="7" t="s">
        <v>873</v>
      </c>
      <c r="H785" s="8" t="str">
        <f>IFNA(VLOOKUP(F785,Driver!A:C,3,false),"")</f>
        <v>557c6317f65c1f02464d</v>
      </c>
      <c r="I785" s="9">
        <v>0.2916666666666667</v>
      </c>
      <c r="J785" s="9">
        <v>0.5833333333333334</v>
      </c>
    </row>
    <row r="786" hidden="1">
      <c r="A786" s="5" t="str">
        <f>IFNA(VLOOKUP(D786,'Location Table'!A:C,2,false),"")</f>
        <v>db94b1d6-7c11-11f0-b055-506b8d982279</v>
      </c>
      <c r="B786" s="5" t="str">
        <f>IFNA(VLOOKUP(F786,Driver!A:C,2,false),"")</f>
        <v>b74e3178-7caf-11f0-a9c3-506b8d982279</v>
      </c>
      <c r="C786" s="5" t="str">
        <f>IFNA(VLOOKUP(E786,'Location Table'!A:C,2,false),"")</f>
        <v/>
      </c>
      <c r="D786" s="6" t="s">
        <v>658</v>
      </c>
      <c r="E786" s="6"/>
      <c r="F786" s="6" t="s">
        <v>326</v>
      </c>
      <c r="G786" s="7" t="s">
        <v>873</v>
      </c>
      <c r="H786" s="8" t="str">
        <f>IFNA(VLOOKUP(F786,Driver!A:C,3,false),"")</f>
        <v>473ef1d8329bdbc5828a</v>
      </c>
      <c r="I786" s="9">
        <v>0.2916666666666667</v>
      </c>
      <c r="J786" s="9">
        <v>0.6666666666666666</v>
      </c>
    </row>
    <row r="787" hidden="1">
      <c r="A787" s="5" t="str">
        <f>IFNA(VLOOKUP(D787,'Location Table'!A:C,2,false),"")</f>
        <v>68ad2866-48e9-11f0-95b9-506b8d982279</v>
      </c>
      <c r="B787" s="5" t="str">
        <f>IFNA(VLOOKUP(F787,Driver!A:C,2,false),"")</f>
        <v>ce2e0bd2-35a6-11ed-9c4e-506b8dbc8dfb</v>
      </c>
      <c r="C787" s="5" t="str">
        <f>IFNA(VLOOKUP(E787,'Location Table'!A:C,2,false),"")</f>
        <v/>
      </c>
      <c r="D787" s="6" t="s">
        <v>659</v>
      </c>
      <c r="E787" s="6"/>
      <c r="F787" s="6" t="s">
        <v>661</v>
      </c>
      <c r="G787" s="7" t="s">
        <v>873</v>
      </c>
      <c r="H787" s="8" t="str">
        <f>IFNA(VLOOKUP(F787,Driver!A:C,3,false),"")</f>
        <v/>
      </c>
      <c r="I787" s="9">
        <v>0.2916666666666667</v>
      </c>
      <c r="J787" s="9">
        <v>0.75</v>
      </c>
    </row>
    <row r="788" hidden="1">
      <c r="A788" s="5" t="str">
        <f>IFNA(VLOOKUP(D788,'Location Table'!A:C,2,false),"")</f>
        <v>2bd48960-edcc-11f0-b942-506b8d982279</v>
      </c>
      <c r="B788" s="5" t="str">
        <f>IFNA(VLOOKUP(F788,Driver!A:C,2,false),"")</f>
        <v>1d4786cc-12f7-11f1-9378-fa163ee8d8ac</v>
      </c>
      <c r="C788" s="5" t="str">
        <f>IFNA(VLOOKUP(E788,'Location Table'!A:C,2,false),"")</f>
        <v/>
      </c>
      <c r="D788" s="6" t="s">
        <v>662</v>
      </c>
      <c r="E788" s="6"/>
      <c r="F788" s="10" t="s">
        <v>343</v>
      </c>
      <c r="G788" s="7" t="s">
        <v>873</v>
      </c>
      <c r="H788" s="8" t="str">
        <f>IFNA(VLOOKUP(F788,Driver!A:C,3,false),"")</f>
        <v>85d2de46a91b4045190a</v>
      </c>
      <c r="I788" s="9">
        <v>0.2916666666666667</v>
      </c>
      <c r="J788" s="9">
        <v>0.75</v>
      </c>
    </row>
    <row r="789" hidden="1">
      <c r="A789" s="5" t="str">
        <f>IFNA(VLOOKUP(D789,'Location Table'!A:C,2,false),"")</f>
        <v>0fc8fc7c-edcf-11ef-a5e6-506b8d9879b5</v>
      </c>
      <c r="B789" s="5" t="str">
        <f>IFNA(VLOOKUP(F789,Driver!A:C,2,false),"")</f>
        <v>1d4786cc-12f7-11f1-9378-fa163ee8d8ac</v>
      </c>
      <c r="C789" s="5" t="str">
        <f>IFNA(VLOOKUP(E789,'Location Table'!A:C,2,false),"")</f>
        <v/>
      </c>
      <c r="D789" s="6" t="s">
        <v>663</v>
      </c>
      <c r="E789" s="6"/>
      <c r="F789" s="10" t="s">
        <v>343</v>
      </c>
      <c r="G789" s="7" t="s">
        <v>873</v>
      </c>
      <c r="H789" s="8" t="str">
        <f>IFNA(VLOOKUP(F789,Driver!A:C,3,false),"")</f>
        <v>85d2de46a91b4045190a</v>
      </c>
      <c r="I789" s="9">
        <v>0.2916666666666667</v>
      </c>
      <c r="J789" s="9">
        <v>0.75</v>
      </c>
    </row>
    <row r="790" hidden="1">
      <c r="A790" s="5" t="str">
        <f>IFNA(VLOOKUP(D790,'Location Table'!A:C,2,false),"")</f>
        <v>5bb87e4c-c83e-11f0-9e3b-506b8d982279</v>
      </c>
      <c r="B790" s="5" t="str">
        <f>IFNA(VLOOKUP(F790,Driver!A:C,2,false),"")</f>
        <v>b2c9b066-9445-11f0-b1db-506b8d982279</v>
      </c>
      <c r="C790" s="5" t="str">
        <f>IFNA(VLOOKUP(E790,'Location Table'!A:C,2,false),"")</f>
        <v/>
      </c>
      <c r="D790" s="6" t="s">
        <v>664</v>
      </c>
      <c r="E790" s="6"/>
      <c r="F790" s="6" t="s">
        <v>874</v>
      </c>
      <c r="G790" s="7" t="s">
        <v>873</v>
      </c>
      <c r="H790" s="8" t="str">
        <f>IFNA(VLOOKUP(F790,Driver!A:C,3,false),"")</f>
        <v>59fa514f510cb852e11d</v>
      </c>
      <c r="I790" s="9">
        <v>0.2916666666666667</v>
      </c>
      <c r="J790" s="9">
        <v>0.75</v>
      </c>
    </row>
    <row r="791" hidden="1">
      <c r="A791" s="5" t="str">
        <f>IFNA(VLOOKUP(D791,'Location Table'!A:C,2,false),"")</f>
        <v>2901130e-0270-11f0-a92e-506b8d9879b5</v>
      </c>
      <c r="B791" s="5" t="str">
        <f>IFNA(VLOOKUP(F791,Driver!A:C,2,false),"")</f>
        <v>660cb676-e32e-11ed-9e6c-506b8dbc8dfb</v>
      </c>
      <c r="C791" s="5" t="str">
        <f>IFNA(VLOOKUP(E791,'Location Table'!A:C,2,false),"")</f>
        <v/>
      </c>
      <c r="D791" s="6" t="s">
        <v>665</v>
      </c>
      <c r="E791" s="6"/>
      <c r="F791" s="10" t="s">
        <v>494</v>
      </c>
      <c r="G791" s="7" t="s">
        <v>873</v>
      </c>
      <c r="H791" s="8" t="str">
        <f>IFNA(VLOOKUP(F791,Driver!A:C,3,false),"")</f>
        <v>656e49d39f9a76c42f8b</v>
      </c>
      <c r="I791" s="9">
        <v>0.2916666666666667</v>
      </c>
      <c r="J791" s="9">
        <v>0.5</v>
      </c>
    </row>
    <row r="792" hidden="1">
      <c r="A792" s="5" t="str">
        <f>IFNA(VLOOKUP(D792,'Location Table'!A:C,2,false),"")</f>
        <v>9eb567be-e201-11f0-8ca4-506b8d982279</v>
      </c>
      <c r="B792" s="5" t="str">
        <f>IFNA(VLOOKUP(F792,Driver!A:C,2,false),"")</f>
        <v>51b847ba-37cd-11ed-a5f6-506b8dbc8dfb</v>
      </c>
      <c r="C792" s="5" t="str">
        <f>IFNA(VLOOKUP(E792,'Location Table'!A:C,2,false),"")</f>
        <v/>
      </c>
      <c r="D792" s="6" t="s">
        <v>666</v>
      </c>
      <c r="E792" s="6"/>
      <c r="F792" s="6" t="s">
        <v>94</v>
      </c>
      <c r="G792" s="7" t="s">
        <v>873</v>
      </c>
      <c r="H792" s="8" t="str">
        <f>IFNA(VLOOKUP(F792,Driver!A:C,3,false),"")</f>
        <v>3d1fec9027dcce8297cd</v>
      </c>
      <c r="I792" s="9">
        <v>0.2916666666666667</v>
      </c>
      <c r="J792" s="9">
        <v>0.6666666666666666</v>
      </c>
    </row>
    <row r="793" hidden="1">
      <c r="A793" s="5" t="str">
        <f>IFNA(VLOOKUP(D793,'Location Table'!A:C,2,false),"")</f>
        <v>0b6b4dde-ee13-11f0-9829-506b8d982279</v>
      </c>
      <c r="B793" s="5" t="str">
        <f>IFNA(VLOOKUP(F793,Driver!A:C,2,false),"")</f>
        <v>a2f538f8-37ce-11ed-a5cf-506b8dbc8dfb</v>
      </c>
      <c r="C793" s="5" t="str">
        <f>IFNA(VLOOKUP(E793,'Location Table'!A:C,2,false),"")</f>
        <v/>
      </c>
      <c r="D793" s="6" t="s">
        <v>667</v>
      </c>
      <c r="E793" s="6"/>
      <c r="F793" s="6" t="s">
        <v>338</v>
      </c>
      <c r="G793" s="7" t="s">
        <v>873</v>
      </c>
      <c r="H793" s="8" t="str">
        <f>IFNA(VLOOKUP(F793,Driver!A:C,3,false),"")</f>
        <v>c0d10f02724a9b14c25b</v>
      </c>
      <c r="I793" s="9">
        <v>0.2916666666666667</v>
      </c>
      <c r="J793" s="9">
        <v>0.6666666666666666</v>
      </c>
    </row>
    <row r="794" hidden="1">
      <c r="A794" s="5" t="str">
        <f>IFNA(VLOOKUP(D794,'Location Table'!A:C,2,false),"")</f>
        <v>984aab2c-1a5e-11ee-a4a5-506b8d9879b5</v>
      </c>
      <c r="B794" s="5" t="str">
        <f>IFNA(VLOOKUP(F794,Driver!A:C,2,false),"")</f>
        <v>717fa61c-3654-11ed-b103-506b8dbc8dfb</v>
      </c>
      <c r="C794" s="5" t="str">
        <f>IFNA(VLOOKUP(E794,'Location Table'!A:C,2,false),"")</f>
        <v/>
      </c>
      <c r="D794" s="6" t="s">
        <v>668</v>
      </c>
      <c r="E794" s="6"/>
      <c r="F794" s="6" t="s">
        <v>361</v>
      </c>
      <c r="G794" s="7" t="s">
        <v>873</v>
      </c>
      <c r="H794" s="8" t="str">
        <f>IFNA(VLOOKUP(F794,Driver!A:C,3,false),"")</f>
        <v>fbc73b7bb6385f660629</v>
      </c>
      <c r="I794" s="9">
        <v>0.2916666666666667</v>
      </c>
      <c r="J794" s="9">
        <v>0.5833333333333334</v>
      </c>
    </row>
    <row r="795" hidden="1">
      <c r="A795" s="5" t="str">
        <f>IFNA(VLOOKUP(D795,'Location Table'!A:C,2,false),"")</f>
        <v>6834ac9e-4476-11ed-9f24-506b8dbc8dfb</v>
      </c>
      <c r="B795" s="5" t="str">
        <f>IFNA(VLOOKUP(F795,Driver!A:C,2,false),"")</f>
        <v>103090f4-37c8-11ed-9333-506b8dbc8dfb</v>
      </c>
      <c r="C795" s="5" t="str">
        <f>IFNA(VLOOKUP(E795,'Location Table'!A:C,2,false),"")</f>
        <v/>
      </c>
      <c r="D795" s="6" t="s">
        <v>669</v>
      </c>
      <c r="E795" s="6"/>
      <c r="F795" s="6" t="s">
        <v>130</v>
      </c>
      <c r="G795" s="7" t="s">
        <v>873</v>
      </c>
      <c r="H795" s="8" t="str">
        <f>IFNA(VLOOKUP(F795,Driver!A:C,3,false),"")</f>
        <v>77085b30147bfd25a46a</v>
      </c>
      <c r="I795" s="9">
        <v>0.2916666666666667</v>
      </c>
      <c r="J795" s="9">
        <v>0.75</v>
      </c>
    </row>
    <row r="796" hidden="1">
      <c r="A796" s="5" t="str">
        <f>IFNA(VLOOKUP(D796,'Location Table'!A:C,2,false),"")</f>
        <v>026f0d4c-512f-11ef-aa70-506b8d9879b5</v>
      </c>
      <c r="B796" s="5" t="str">
        <f>IFNA(VLOOKUP(F796,Driver!A:C,2,false),"")</f>
        <v>51b847ba-37cd-11ed-a5f6-506b8dbc8dfb</v>
      </c>
      <c r="C796" s="5" t="str">
        <f>IFNA(VLOOKUP(E796,'Location Table'!A:C,2,false),"")</f>
        <v/>
      </c>
      <c r="D796" s="6" t="s">
        <v>670</v>
      </c>
      <c r="E796" s="6"/>
      <c r="F796" s="6" t="s">
        <v>94</v>
      </c>
      <c r="G796" s="7" t="s">
        <v>873</v>
      </c>
      <c r="H796" s="8" t="str">
        <f>IFNA(VLOOKUP(F796,Driver!A:C,3,false),"")</f>
        <v>3d1fec9027dcce8297cd</v>
      </c>
      <c r="I796" s="9">
        <v>0.2916666666666667</v>
      </c>
      <c r="J796" s="9">
        <v>0.6666666666666666</v>
      </c>
    </row>
    <row r="797" hidden="1">
      <c r="A797" s="5" t="str">
        <f>IFNA(VLOOKUP(D797,'Location Table'!A:C,2,false),"")</f>
        <v>98b082dc-47e8-11ee-acd0-506b8d9879b5</v>
      </c>
      <c r="B797" s="5" t="str">
        <f>IFNA(VLOOKUP(F797,Driver!A:C,2,false),"")</f>
        <v>232be490-35a4-11ed-88b7-506b8dbc8dfb</v>
      </c>
      <c r="C797" s="5" t="str">
        <f>IFNA(VLOOKUP(E797,'Location Table'!A:C,2,false),"")</f>
        <v/>
      </c>
      <c r="D797" s="6" t="s">
        <v>671</v>
      </c>
      <c r="E797" s="6"/>
      <c r="F797" s="10" t="s">
        <v>110</v>
      </c>
      <c r="G797" s="7" t="s">
        <v>873</v>
      </c>
      <c r="H797" s="8" t="str">
        <f>IFNA(VLOOKUP(F797,Driver!A:C,3,false),"")</f>
        <v>d9fc37dd4093a9cdf082</v>
      </c>
      <c r="I797" s="9">
        <v>0.2916666666666667</v>
      </c>
      <c r="J797" s="9">
        <v>0.6666666666666666</v>
      </c>
    </row>
    <row r="798" hidden="1">
      <c r="A798" s="5" t="str">
        <f>IFNA(VLOOKUP(D798,'Location Table'!A:C,2,false),"")</f>
        <v>fe3bff0a-77da-11ef-9d23-506b8d9879b5</v>
      </c>
      <c r="B798" s="5" t="str">
        <f>IFNA(VLOOKUP(F798,Driver!A:C,2,false),"")</f>
        <v>103090f4-37c8-11ed-9333-506b8dbc8dfb</v>
      </c>
      <c r="C798" s="5" t="str">
        <f>IFNA(VLOOKUP(E798,'Location Table'!A:C,2,false),"")</f>
        <v/>
      </c>
      <c r="D798" s="6" t="s">
        <v>672</v>
      </c>
      <c r="E798" s="6"/>
      <c r="F798" s="6" t="s">
        <v>130</v>
      </c>
      <c r="G798" s="7" t="s">
        <v>873</v>
      </c>
      <c r="H798" s="8" t="str">
        <f>IFNA(VLOOKUP(F798,Driver!A:C,3,false),"")</f>
        <v>77085b30147bfd25a46a</v>
      </c>
      <c r="I798" s="9">
        <v>0.2916666666666667</v>
      </c>
      <c r="J798" s="9">
        <v>0.75</v>
      </c>
    </row>
    <row r="799" hidden="1">
      <c r="A799" s="5" t="str">
        <f>IFNA(VLOOKUP(D799,'Location Table'!A:C,2,false),"")</f>
        <v>d6c34328-a35a-11f0-a2e4-506b8d982279</v>
      </c>
      <c r="B799" s="5" t="str">
        <f>IFNA(VLOOKUP(F799,Driver!A:C,2,false),"")</f>
        <v>a2f538f8-37ce-11ed-a5cf-506b8dbc8dfb</v>
      </c>
      <c r="C799" s="5" t="str">
        <f>IFNA(VLOOKUP(E799,'Location Table'!A:C,2,false),"")</f>
        <v/>
      </c>
      <c r="D799" s="6" t="s">
        <v>673</v>
      </c>
      <c r="E799" s="6"/>
      <c r="F799" s="6" t="s">
        <v>338</v>
      </c>
      <c r="G799" s="7" t="s">
        <v>873</v>
      </c>
      <c r="H799" s="8" t="str">
        <f>IFNA(VLOOKUP(F799,Driver!A:C,3,false),"")</f>
        <v>c0d10f02724a9b14c25b</v>
      </c>
      <c r="I799" s="9">
        <v>0.2916666666666667</v>
      </c>
      <c r="J799" s="9">
        <v>0.6666666666666666</v>
      </c>
    </row>
    <row r="800" hidden="1">
      <c r="A800" s="5" t="str">
        <f>IFNA(VLOOKUP(D800,'Location Table'!A:C,2,false),"")</f>
        <v>799b3e00-b38a-11ef-b4d3-506b8d9879b5</v>
      </c>
      <c r="B800" s="5" t="str">
        <f>IFNA(VLOOKUP(F800,Driver!A:C,2,false),"")</f>
        <v/>
      </c>
      <c r="C800" s="5" t="str">
        <f>IFNA(VLOOKUP(E800,'Location Table'!A:C,2,false),"")</f>
        <v/>
      </c>
      <c r="D800" s="6" t="s">
        <v>299</v>
      </c>
      <c r="E800" s="6"/>
      <c r="F800" s="6" t="s">
        <v>877</v>
      </c>
      <c r="G800" s="7" t="s">
        <v>873</v>
      </c>
      <c r="H800" s="8" t="str">
        <f>IFNA(VLOOKUP(F800,Driver!A:C,3,false),"")</f>
        <v/>
      </c>
      <c r="I800" s="9">
        <v>0.2916666666666667</v>
      </c>
      <c r="J800" s="9">
        <v>0.5</v>
      </c>
    </row>
    <row r="801" hidden="1">
      <c r="A801" s="5" t="str">
        <f>IFNA(VLOOKUP(D801,'Location Table'!A:C,2,false),"")</f>
        <v>b8d60b5a-8868-11f0-a078-506b8d982279</v>
      </c>
      <c r="B801" s="5" t="str">
        <f>IFNA(VLOOKUP(F801,Driver!A:C,2,false),"")</f>
        <v>b74e3178-7caf-11f0-a9c3-506b8d982279</v>
      </c>
      <c r="C801" s="5" t="str">
        <f>IFNA(VLOOKUP(E801,'Location Table'!A:C,2,false),"")</f>
        <v/>
      </c>
      <c r="D801" s="6" t="s">
        <v>674</v>
      </c>
      <c r="E801" s="6"/>
      <c r="F801" s="6" t="s">
        <v>326</v>
      </c>
      <c r="G801" s="7" t="s">
        <v>873</v>
      </c>
      <c r="H801" s="8" t="str">
        <f>IFNA(VLOOKUP(F801,Driver!A:C,3,false),"")</f>
        <v>473ef1d8329bdbc5828a</v>
      </c>
      <c r="I801" s="9">
        <v>0.2916666666666667</v>
      </c>
      <c r="J801" s="9">
        <v>0.6666666666666666</v>
      </c>
    </row>
    <row r="802" hidden="1">
      <c r="A802" s="5" t="str">
        <f>IFNA(VLOOKUP(D802,'Location Table'!A:C,2,false),"")</f>
        <v>8e75a7c6-4962-11ef-a4dd-506b8d9879b5</v>
      </c>
      <c r="B802" s="5" t="str">
        <f>IFNA(VLOOKUP(F802,Driver!A:C,2,false),"")</f>
        <v>1163ad80-d96e-11f0-b637-506b8d982279</v>
      </c>
      <c r="C802" s="5" t="str">
        <f>IFNA(VLOOKUP(E802,'Location Table'!A:C,2,false),"")</f>
        <v/>
      </c>
      <c r="D802" s="6" t="s">
        <v>675</v>
      </c>
      <c r="E802" s="6"/>
      <c r="F802" s="6" t="s">
        <v>498</v>
      </c>
      <c r="G802" s="7" t="s">
        <v>873</v>
      </c>
      <c r="H802" s="8" t="str">
        <f>IFNA(VLOOKUP(F802,Driver!A:C,3,false),"")</f>
        <v>76599ccdde8e37d06e9f</v>
      </c>
      <c r="I802" s="9">
        <v>0.2916666666666667</v>
      </c>
      <c r="J802" s="9">
        <v>0.75</v>
      </c>
    </row>
    <row r="803" hidden="1">
      <c r="A803" s="5" t="str">
        <f>IFNA(VLOOKUP(D803,'Location Table'!A:C,2,false),"")</f>
        <v>e75fe7f2-4ab3-11ed-bb79-506b8dbc8dfb</v>
      </c>
      <c r="B803" s="5" t="str">
        <f>IFNA(VLOOKUP(F803,Driver!A:C,2,false),"")</f>
        <v>a9bf91b4-00e4-11f1-9378-fa163ee8d8ac</v>
      </c>
      <c r="C803" s="5" t="str">
        <f>IFNA(VLOOKUP(E803,'Location Table'!A:C,2,false),"")</f>
        <v/>
      </c>
      <c r="D803" s="6" t="s">
        <v>676</v>
      </c>
      <c r="E803" s="6"/>
      <c r="F803" s="6" t="s">
        <v>142</v>
      </c>
      <c r="G803" s="7" t="s">
        <v>873</v>
      </c>
      <c r="H803" s="8" t="str">
        <f>IFNA(VLOOKUP(F803,Driver!A:C,3,false),"")</f>
        <v/>
      </c>
      <c r="I803" s="9">
        <v>0.2916666666666667</v>
      </c>
      <c r="J803" s="9">
        <v>0.5</v>
      </c>
    </row>
    <row r="804" hidden="1">
      <c r="A804" s="5" t="str">
        <f>IFNA(VLOOKUP(D804,'Location Table'!A:C,2,false),"")</f>
        <v>95815b38-3849-11f0-8ddc-506b8d982279</v>
      </c>
      <c r="B804" s="5" t="str">
        <f>IFNA(VLOOKUP(F804,Driver!A:C,2,false),"")</f>
        <v>8909168a-37c4-11ed-9647-506b8dbc8dfb</v>
      </c>
      <c r="C804" s="5" t="str">
        <f>IFNA(VLOOKUP(E804,'Location Table'!A:C,2,false),"")</f>
        <v/>
      </c>
      <c r="D804" s="6" t="s">
        <v>677</v>
      </c>
      <c r="E804" s="6"/>
      <c r="F804" s="6" t="s">
        <v>552</v>
      </c>
      <c r="G804" s="7" t="s">
        <v>873</v>
      </c>
      <c r="H804" s="8" t="str">
        <f>IFNA(VLOOKUP(F804,Driver!A:C,3,false),"")</f>
        <v>6f0424c9ec8505db5c94</v>
      </c>
      <c r="I804" s="9">
        <v>0.2916666666666667</v>
      </c>
      <c r="J804" s="9">
        <v>0.75</v>
      </c>
    </row>
    <row r="805" hidden="1">
      <c r="A805" s="5" t="str">
        <f>IFNA(VLOOKUP(D805,'Location Table'!A:C,2,false),"")</f>
        <v>429fda3a-36a1-11ee-af8d-506b8d9879b5</v>
      </c>
      <c r="B805" s="5" t="str">
        <f>IFNA(VLOOKUP(F805,Driver!A:C,2,false),"")</f>
        <v>717fa61c-3654-11ed-b103-506b8dbc8dfb</v>
      </c>
      <c r="C805" s="5" t="str">
        <f>IFNA(VLOOKUP(E805,'Location Table'!A:C,2,false),"")</f>
        <v/>
      </c>
      <c r="D805" s="6" t="s">
        <v>678</v>
      </c>
      <c r="E805" s="6"/>
      <c r="F805" s="6" t="s">
        <v>361</v>
      </c>
      <c r="G805" s="7" t="s">
        <v>873</v>
      </c>
      <c r="H805" s="8" t="str">
        <f>IFNA(VLOOKUP(F805,Driver!A:C,3,false),"")</f>
        <v>fbc73b7bb6385f660629</v>
      </c>
      <c r="I805" s="9">
        <v>0.2916666666666667</v>
      </c>
      <c r="J805" s="9">
        <v>0.5833333333333334</v>
      </c>
    </row>
    <row r="806" hidden="1">
      <c r="A806" s="5" t="str">
        <f>IFNA(VLOOKUP(D806,'Location Table'!A:C,2,false),"")</f>
        <v>f13f6b80-ed74-11ed-8c68-506b8dbc8dfb</v>
      </c>
      <c r="B806" s="5" t="str">
        <f>IFNA(VLOOKUP(F806,Driver!A:C,2,false),"")</f>
        <v>b2c9b066-9445-11f0-b1db-506b8d982279</v>
      </c>
      <c r="C806" s="5" t="str">
        <f>IFNA(VLOOKUP(E806,'Location Table'!A:C,2,false),"")</f>
        <v/>
      </c>
      <c r="D806" s="6" t="s">
        <v>679</v>
      </c>
      <c r="E806" s="6"/>
      <c r="F806" s="6" t="s">
        <v>874</v>
      </c>
      <c r="G806" s="7" t="s">
        <v>873</v>
      </c>
      <c r="H806" s="8" t="str">
        <f>IFNA(VLOOKUP(F806,Driver!A:C,3,false),"")</f>
        <v>59fa514f510cb852e11d</v>
      </c>
      <c r="I806" s="9">
        <v>0.2916666666666667</v>
      </c>
      <c r="J806" s="9">
        <v>0.75</v>
      </c>
    </row>
    <row r="807" hidden="1">
      <c r="A807" s="5" t="str">
        <f>IFNA(VLOOKUP(D807,'Location Table'!A:C,2,false),"")</f>
        <v>10e3489a-2604-11ee-855d-506b8d9879b5</v>
      </c>
      <c r="B807" s="5" t="str">
        <f>IFNA(VLOOKUP(F807,Driver!A:C,2,false),"")</f>
        <v>f580f2a4-1966-11ee-a4c6-506b8d9879b5</v>
      </c>
      <c r="C807" s="5" t="str">
        <f>IFNA(VLOOKUP(E807,'Location Table'!A:C,2,false),"")</f>
        <v/>
      </c>
      <c r="D807" s="6" t="s">
        <v>680</v>
      </c>
      <c r="E807" s="6"/>
      <c r="F807" s="6" t="s">
        <v>878</v>
      </c>
      <c r="G807" s="7" t="s">
        <v>873</v>
      </c>
      <c r="H807" s="8" t="str">
        <f>IFNA(VLOOKUP(F807,Driver!A:C,3,false),"")</f>
        <v>557c6317f65c1f02464d</v>
      </c>
      <c r="I807" s="9">
        <v>0.2916666666666667</v>
      </c>
      <c r="J807" s="9">
        <v>0.5833333333333334</v>
      </c>
    </row>
    <row r="808" hidden="1">
      <c r="A808" s="5" t="str">
        <f>IFNA(VLOOKUP(D808,'Location Table'!A:C,2,false),"")</f>
        <v>c2e5e130-fb3f-11ef-bc58-506b8d9879b5</v>
      </c>
      <c r="B808" s="5" t="str">
        <f>IFNA(VLOOKUP(F808,Driver!A:C,2,false),"")</f>
        <v>51b847ba-37cd-11ed-a5f6-506b8dbc8dfb</v>
      </c>
      <c r="C808" s="5" t="str">
        <f>IFNA(VLOOKUP(E808,'Location Table'!A:C,2,false),"")</f>
        <v/>
      </c>
      <c r="D808" s="6" t="s">
        <v>681</v>
      </c>
      <c r="E808" s="6"/>
      <c r="F808" s="6" t="s">
        <v>94</v>
      </c>
      <c r="G808" s="7" t="s">
        <v>873</v>
      </c>
      <c r="H808" s="8" t="str">
        <f>IFNA(VLOOKUP(F808,Driver!A:C,3,false),"")</f>
        <v>3d1fec9027dcce8297cd</v>
      </c>
      <c r="I808" s="9">
        <v>0.2916666666666667</v>
      </c>
      <c r="J808" s="9">
        <v>0.6666666666666666</v>
      </c>
    </row>
    <row r="809" hidden="1">
      <c r="A809" s="5" t="str">
        <f>IFNA(VLOOKUP(D809,'Location Table'!A:C,2,false),"")</f>
        <v>b25974b4-d3ff-11f0-be69-506b8d982279</v>
      </c>
      <c r="B809" s="5" t="str">
        <f>IFNA(VLOOKUP(F809,Driver!A:C,2,false),"")</f>
        <v>b74e3178-7caf-11f0-a9c3-506b8d982279</v>
      </c>
      <c r="C809" s="5" t="str">
        <f>IFNA(VLOOKUP(E809,'Location Table'!A:C,2,false),"")</f>
        <v/>
      </c>
      <c r="D809" s="6" t="s">
        <v>682</v>
      </c>
      <c r="E809" s="6"/>
      <c r="F809" s="6" t="s">
        <v>326</v>
      </c>
      <c r="G809" s="7" t="s">
        <v>873</v>
      </c>
      <c r="H809" s="8" t="str">
        <f>IFNA(VLOOKUP(F809,Driver!A:C,3,false),"")</f>
        <v>473ef1d8329bdbc5828a</v>
      </c>
      <c r="I809" s="9">
        <v>0.2916666666666667</v>
      </c>
      <c r="J809" s="9">
        <v>0.6666666666666666</v>
      </c>
    </row>
    <row r="810" hidden="1">
      <c r="A810" s="5" t="str">
        <f>IFNA(VLOOKUP(D810,'Location Table'!A:C,2,false),"")</f>
        <v>9c4baa50-4476-11ed-9fc8-506b8dbc8dfb</v>
      </c>
      <c r="B810" s="5" t="str">
        <f>IFNA(VLOOKUP(F810,Driver!A:C,2,false),"")</f>
        <v>103090f4-37c8-11ed-9333-506b8dbc8dfb</v>
      </c>
      <c r="C810" s="5" t="str">
        <f>IFNA(VLOOKUP(E810,'Location Table'!A:C,2,false),"")</f>
        <v/>
      </c>
      <c r="D810" s="6" t="s">
        <v>683</v>
      </c>
      <c r="E810" s="6"/>
      <c r="F810" s="6" t="s">
        <v>130</v>
      </c>
      <c r="G810" s="7" t="s">
        <v>873</v>
      </c>
      <c r="H810" s="8" t="str">
        <f>IFNA(VLOOKUP(F810,Driver!A:C,3,false),"")</f>
        <v>77085b30147bfd25a46a</v>
      </c>
      <c r="I810" s="9">
        <v>0.2916666666666667</v>
      </c>
      <c r="J810" s="9">
        <v>0.75</v>
      </c>
    </row>
    <row r="811" hidden="1">
      <c r="A811" s="5" t="str">
        <f>IFNA(VLOOKUP(D811,'Location Table'!A:C,2,false),"")</f>
        <v>72f84188-e49e-11f0-abc5-506b8d982279</v>
      </c>
      <c r="B811" s="5" t="str">
        <f>IFNA(VLOOKUP(F811,Driver!A:C,2,false),"")</f>
        <v>51b847ba-37cd-11ed-a5f6-506b8dbc8dfb</v>
      </c>
      <c r="C811" s="5" t="str">
        <f>IFNA(VLOOKUP(E811,'Location Table'!A:C,2,false),"")</f>
        <v/>
      </c>
      <c r="D811" s="6" t="s">
        <v>684</v>
      </c>
      <c r="E811" s="6"/>
      <c r="F811" s="6" t="s">
        <v>94</v>
      </c>
      <c r="G811" s="7" t="s">
        <v>873</v>
      </c>
      <c r="H811" s="8" t="str">
        <f>IFNA(VLOOKUP(F811,Driver!A:C,3,false),"")</f>
        <v>3d1fec9027dcce8297cd</v>
      </c>
      <c r="I811" s="9">
        <v>0.2916666666666667</v>
      </c>
      <c r="J811" s="9">
        <v>0.6666666666666666</v>
      </c>
    </row>
    <row r="812" hidden="1">
      <c r="A812" s="5" t="str">
        <f>IFNA(VLOOKUP(D812,'Location Table'!A:C,2,false),"")</f>
        <v>b72c94ac-e4b3-11f0-95cc-506b8d982279</v>
      </c>
      <c r="B812" s="5" t="str">
        <f>IFNA(VLOOKUP(F812,Driver!A:C,2,false),"")</f>
        <v>103090f4-37c8-11ed-9333-506b8dbc8dfb</v>
      </c>
      <c r="C812" s="5" t="str">
        <f>IFNA(VLOOKUP(E812,'Location Table'!A:C,2,false),"")</f>
        <v/>
      </c>
      <c r="D812" s="6" t="s">
        <v>685</v>
      </c>
      <c r="E812" s="6"/>
      <c r="F812" s="6" t="s">
        <v>130</v>
      </c>
      <c r="G812" s="7" t="s">
        <v>873</v>
      </c>
      <c r="H812" s="8" t="str">
        <f>IFNA(VLOOKUP(F812,Driver!A:C,3,false),"")</f>
        <v>77085b30147bfd25a46a</v>
      </c>
      <c r="I812" s="9">
        <v>0.2916666666666667</v>
      </c>
      <c r="J812" s="9">
        <v>0.75</v>
      </c>
    </row>
    <row r="813" hidden="1">
      <c r="A813" s="5" t="str">
        <f>IFNA(VLOOKUP(D813,'Location Table'!A:C,2,false),"")</f>
        <v>cb26963e-0b2a-11ee-ade6-506b8dbc8dfb</v>
      </c>
      <c r="B813" s="5" t="str">
        <f>IFNA(VLOOKUP(F813,Driver!A:C,2,false),"")</f>
        <v>103090f4-37c8-11ed-9333-506b8dbc8dfb</v>
      </c>
      <c r="C813" s="5" t="str">
        <f>IFNA(VLOOKUP(E813,'Location Table'!A:C,2,false),"")</f>
        <v/>
      </c>
      <c r="D813" s="6" t="s">
        <v>686</v>
      </c>
      <c r="E813" s="6"/>
      <c r="F813" s="6" t="s">
        <v>130</v>
      </c>
      <c r="G813" s="7" t="s">
        <v>873</v>
      </c>
      <c r="H813" s="8" t="str">
        <f>IFNA(VLOOKUP(F813,Driver!A:C,3,false),"")</f>
        <v>77085b30147bfd25a46a</v>
      </c>
      <c r="I813" s="9">
        <v>0.2916666666666667</v>
      </c>
      <c r="J813" s="9">
        <v>0.75</v>
      </c>
    </row>
    <row r="814" hidden="1">
      <c r="A814" s="5" t="str">
        <f>IFNA(VLOOKUP(D814,'Location Table'!A:C,2,false),"")</f>
        <v>1c48d9e8-f839-11f0-9378-fa163ee8d8ac</v>
      </c>
      <c r="B814" s="5" t="str">
        <f>IFNA(VLOOKUP(F814,Driver!A:C,2,false),"")</f>
        <v>a2f538f8-37ce-11ed-a5cf-506b8dbc8dfb</v>
      </c>
      <c r="C814" s="5" t="str">
        <f>IFNA(VLOOKUP(E814,'Location Table'!A:C,2,false),"")</f>
        <v/>
      </c>
      <c r="D814" s="6" t="s">
        <v>687</v>
      </c>
      <c r="E814" s="6"/>
      <c r="F814" s="6" t="s">
        <v>338</v>
      </c>
      <c r="G814" s="7" t="s">
        <v>873</v>
      </c>
      <c r="H814" s="8" t="str">
        <f>IFNA(VLOOKUP(F814,Driver!A:C,3,false),"")</f>
        <v>c0d10f02724a9b14c25b</v>
      </c>
      <c r="I814" s="9">
        <v>0.2916666666666667</v>
      </c>
      <c r="J814" s="9">
        <v>0.6666666666666666</v>
      </c>
    </row>
    <row r="815" hidden="1">
      <c r="A815" s="5" t="str">
        <f>IFNA(VLOOKUP(D815,'Location Table'!A:C,2,false),"")</f>
        <v>b3e5c2f4-9ce8-11f0-926c-506b8d982279</v>
      </c>
      <c r="B815" s="5" t="str">
        <f>IFNA(VLOOKUP(F815,Driver!A:C,2,false),"")</f>
        <v>51b847ba-37cd-11ed-a5f6-506b8dbc8dfb</v>
      </c>
      <c r="C815" s="5" t="str">
        <f>IFNA(VLOOKUP(E815,'Location Table'!A:C,2,false),"")</f>
        <v/>
      </c>
      <c r="D815" s="6" t="s">
        <v>688</v>
      </c>
      <c r="E815" s="6"/>
      <c r="F815" s="6" t="s">
        <v>94</v>
      </c>
      <c r="G815" s="7" t="s">
        <v>873</v>
      </c>
      <c r="H815" s="8" t="str">
        <f>IFNA(VLOOKUP(F815,Driver!A:C,3,false),"")</f>
        <v>3d1fec9027dcce8297cd</v>
      </c>
      <c r="I815" s="9">
        <v>0.2916666666666667</v>
      </c>
      <c r="J815" s="9">
        <v>0.6666666666666666</v>
      </c>
    </row>
    <row r="816" hidden="1">
      <c r="A816" s="5" t="str">
        <f>IFNA(VLOOKUP(D816,'Location Table'!A:C,2,false),"")</f>
        <v>be74d176-452d-11ed-a31e-506b8dbc8dfb</v>
      </c>
      <c r="B816" s="5" t="str">
        <f>IFNA(VLOOKUP(F816,Driver!A:C,2,false),"")</f>
        <v>1163ad80-d96e-11f0-b637-506b8d982279</v>
      </c>
      <c r="C816" s="5" t="str">
        <f>IFNA(VLOOKUP(E816,'Location Table'!A:C,2,false),"")</f>
        <v/>
      </c>
      <c r="D816" s="6" t="s">
        <v>689</v>
      </c>
      <c r="E816" s="6"/>
      <c r="F816" s="6" t="s">
        <v>498</v>
      </c>
      <c r="G816" s="7" t="s">
        <v>873</v>
      </c>
      <c r="H816" s="8" t="str">
        <f>IFNA(VLOOKUP(F816,Driver!A:C,3,false),"")</f>
        <v>76599ccdde8e37d06e9f</v>
      </c>
      <c r="I816" s="9">
        <v>0.2916666666666667</v>
      </c>
      <c r="J816" s="9">
        <v>0.75</v>
      </c>
    </row>
    <row r="817" hidden="1">
      <c r="A817" s="5" t="str">
        <f>IFNA(VLOOKUP(D817,'Location Table'!A:C,2,false),"")</f>
        <v>156618d8-4879-11ee-a0e0-506b8d9879b5</v>
      </c>
      <c r="B817" s="5" t="str">
        <f>IFNA(VLOOKUP(F817,Driver!A:C,2,false),"")</f>
        <v>8909168a-37c4-11ed-9647-506b8dbc8dfb</v>
      </c>
      <c r="C817" s="5" t="str">
        <f>IFNA(VLOOKUP(E817,'Location Table'!A:C,2,false),"")</f>
        <v/>
      </c>
      <c r="D817" s="6" t="s">
        <v>690</v>
      </c>
      <c r="E817" s="6"/>
      <c r="F817" s="6" t="s">
        <v>552</v>
      </c>
      <c r="G817" s="7" t="s">
        <v>873</v>
      </c>
      <c r="H817" s="8" t="str">
        <f>IFNA(VLOOKUP(F817,Driver!A:C,3,false),"")</f>
        <v>6f0424c9ec8505db5c94</v>
      </c>
      <c r="I817" s="9">
        <v>0.2916666666666667</v>
      </c>
      <c r="J817" s="9">
        <v>0.75</v>
      </c>
    </row>
    <row r="818" hidden="1">
      <c r="A818" s="5" t="str">
        <f>IFNA(VLOOKUP(D818,'Location Table'!A:C,2,false),"")</f>
        <v>7b511a7a-b48e-11f0-a8ff-506b8d982279</v>
      </c>
      <c r="B818" s="5" t="str">
        <f>IFNA(VLOOKUP(F818,Driver!A:C,2,false),"")</f>
        <v>b2c9b066-9445-11f0-b1db-506b8d982279</v>
      </c>
      <c r="C818" s="5" t="str">
        <f>IFNA(VLOOKUP(E818,'Location Table'!A:C,2,false),"")</f>
        <v/>
      </c>
      <c r="D818" s="6" t="s">
        <v>691</v>
      </c>
      <c r="E818" s="6"/>
      <c r="F818" s="6" t="s">
        <v>874</v>
      </c>
      <c r="G818" s="7" t="s">
        <v>873</v>
      </c>
      <c r="H818" s="8" t="str">
        <f>IFNA(VLOOKUP(F818,Driver!A:C,3,false),"")</f>
        <v>59fa514f510cb852e11d</v>
      </c>
      <c r="I818" s="9">
        <v>0.2916666666666667</v>
      </c>
      <c r="J818" s="9">
        <v>0.75</v>
      </c>
    </row>
    <row r="819" hidden="1">
      <c r="A819" s="5" t="str">
        <f>IFNA(VLOOKUP(D819,'Location Table'!A:C,2,false),"")</f>
        <v>c56d29e8-5fe6-11f0-b560-506b8d982279</v>
      </c>
      <c r="B819" s="5" t="str">
        <f>IFNA(VLOOKUP(F819,Driver!A:C,2,false),"")</f>
        <v>b2c9b066-9445-11f0-b1db-506b8d982279</v>
      </c>
      <c r="C819" s="5" t="str">
        <f>IFNA(VLOOKUP(E819,'Location Table'!A:C,2,false),"")</f>
        <v/>
      </c>
      <c r="D819" s="6" t="s">
        <v>692</v>
      </c>
      <c r="E819" s="6"/>
      <c r="F819" s="6" t="s">
        <v>874</v>
      </c>
      <c r="G819" s="7" t="s">
        <v>873</v>
      </c>
      <c r="H819" s="8" t="str">
        <f>IFNA(VLOOKUP(F819,Driver!A:C,3,false),"")</f>
        <v>59fa514f510cb852e11d</v>
      </c>
      <c r="I819" s="9">
        <v>0.2916666666666667</v>
      </c>
      <c r="J819" s="9">
        <v>0.75</v>
      </c>
    </row>
    <row r="820" hidden="1">
      <c r="A820" s="5" t="str">
        <f>IFNA(VLOOKUP(D820,'Location Table'!A:C,2,false),"")</f>
        <v>524fd8d8-fb7b-11ed-9da7-506b8dbc8dfb</v>
      </c>
      <c r="B820" s="5" t="str">
        <f>IFNA(VLOOKUP(F820,Driver!A:C,2,false),"")</f>
        <v>7d150c4e-e4a5-11f0-8fa0-506b8d982279</v>
      </c>
      <c r="C820" s="5" t="str">
        <f>IFNA(VLOOKUP(E820,'Location Table'!A:C,2,false),"")</f>
        <v/>
      </c>
      <c r="D820" s="6" t="s">
        <v>693</v>
      </c>
      <c r="E820" s="6"/>
      <c r="F820" s="10" t="s">
        <v>694</v>
      </c>
      <c r="G820" s="7" t="s">
        <v>873</v>
      </c>
      <c r="H820" s="8" t="str">
        <f>IFNA(VLOOKUP(F820,Driver!A:C,3,false),"")</f>
        <v/>
      </c>
      <c r="I820" s="9">
        <v>0.2916666666666667</v>
      </c>
      <c r="J820" s="9">
        <v>0.6666666666666666</v>
      </c>
    </row>
    <row r="821" hidden="1">
      <c r="A821" s="5" t="str">
        <f>IFNA(VLOOKUP(D821,'Location Table'!A:C,2,false),"")</f>
        <v>8eef787e-9a5e-11ef-8665-506b8d9879b5</v>
      </c>
      <c r="B821" s="5" t="str">
        <f>IFNA(VLOOKUP(F821,Driver!A:C,2,false),"")</f>
        <v>51b847ba-37cd-11ed-a5f6-506b8dbc8dfb</v>
      </c>
      <c r="C821" s="5" t="str">
        <f>IFNA(VLOOKUP(E821,'Location Table'!A:C,2,false),"")</f>
        <v/>
      </c>
      <c r="D821" s="6" t="s">
        <v>695</v>
      </c>
      <c r="E821" s="6"/>
      <c r="F821" s="6" t="s">
        <v>94</v>
      </c>
      <c r="G821" s="7" t="s">
        <v>873</v>
      </c>
      <c r="H821" s="8" t="str">
        <f>IFNA(VLOOKUP(F821,Driver!A:C,3,false),"")</f>
        <v>3d1fec9027dcce8297cd</v>
      </c>
      <c r="I821" s="9">
        <v>0.2916666666666667</v>
      </c>
      <c r="J821" s="9">
        <v>0.6666666666666666</v>
      </c>
    </row>
    <row r="822" hidden="1">
      <c r="A822" s="5" t="str">
        <f>IFNA(VLOOKUP(D822,'Location Table'!A:C,2,false),"")</f>
        <v>9dffee66-579d-11ee-b74c-506b8d9879b5</v>
      </c>
      <c r="B822" s="5" t="str">
        <f>IFNA(VLOOKUP(F822,Driver!A:C,2,false),"")</f>
        <v>717fa61c-3654-11ed-b103-506b8dbc8dfb</v>
      </c>
      <c r="C822" s="5" t="str">
        <f>IFNA(VLOOKUP(E822,'Location Table'!A:C,2,false),"")</f>
        <v/>
      </c>
      <c r="D822" s="6" t="s">
        <v>696</v>
      </c>
      <c r="E822" s="6"/>
      <c r="F822" s="6" t="s">
        <v>361</v>
      </c>
      <c r="G822" s="7" t="s">
        <v>873</v>
      </c>
      <c r="H822" s="8" t="str">
        <f>IFNA(VLOOKUP(F822,Driver!A:C,3,false),"")</f>
        <v>fbc73b7bb6385f660629</v>
      </c>
      <c r="I822" s="9">
        <v>0.2916666666666667</v>
      </c>
      <c r="J822" s="9">
        <v>0.5833333333333334</v>
      </c>
    </row>
    <row r="823" hidden="1">
      <c r="A823" s="5" t="str">
        <f>IFNA(VLOOKUP(D823,'Location Table'!A:C,2,false),"")</f>
        <v>44bdbe46-3023-11ef-89d0-506b8d9879b5</v>
      </c>
      <c r="B823" s="5" t="str">
        <f>IFNA(VLOOKUP(F823,Driver!A:C,2,false),"")</f>
        <v>a01fefe6-3653-11ed-8128-506b8dbc8dfb</v>
      </c>
      <c r="C823" s="5" t="str">
        <f>IFNA(VLOOKUP(E823,'Location Table'!A:C,2,false),"")</f>
        <v/>
      </c>
      <c r="D823" s="6" t="s">
        <v>697</v>
      </c>
      <c r="E823" s="6"/>
      <c r="F823" s="6" t="s">
        <v>128</v>
      </c>
      <c r="G823" s="7" t="s">
        <v>873</v>
      </c>
      <c r="H823" s="8" t="str">
        <f>IFNA(VLOOKUP(F823,Driver!A:C,3,false),"")</f>
        <v/>
      </c>
      <c r="I823" s="9">
        <v>0.2916666666666667</v>
      </c>
      <c r="J823" s="9">
        <v>0.5</v>
      </c>
    </row>
    <row r="824">
      <c r="A824" s="5" t="str">
        <f>IFNA(VLOOKUP(D824,'Location Table'!A:C,2,false),"")</f>
        <v>93f42a58-5c84-11ef-8902-506b8d9879b5</v>
      </c>
      <c r="B824" s="5" t="str">
        <f>IFNA(VLOOKUP(F824,Driver!A:C,2,false),"")</f>
        <v/>
      </c>
      <c r="C824" s="5" t="str">
        <f>IFNA(VLOOKUP(E824,'Location Table'!A:C,2,false),"")</f>
        <v/>
      </c>
      <c r="D824" s="6" t="s">
        <v>698</v>
      </c>
      <c r="E824" s="6"/>
      <c r="F824" s="10" t="s">
        <v>875</v>
      </c>
      <c r="G824" s="7" t="s">
        <v>873</v>
      </c>
      <c r="H824" s="8" t="str">
        <f>IFNA(VLOOKUP(F824,Driver!A:C,3,false),"")</f>
        <v/>
      </c>
      <c r="I824" s="9">
        <v>0.2916666666666667</v>
      </c>
      <c r="J824" s="9">
        <v>0.6666666666666666</v>
      </c>
    </row>
    <row r="825" hidden="1">
      <c r="A825" s="5" t="str">
        <f>IFNA(VLOOKUP(D825,'Location Table'!A:C,2,false),"")</f>
        <v>0813b2f8-af1b-11ef-a1c6-506b8d9879b5</v>
      </c>
      <c r="B825" s="5" t="str">
        <f>IFNA(VLOOKUP(F825,Driver!A:C,2,false),"")</f>
        <v>cdb1dc1a-3655-11ed-a124-506b8dbc8dfb</v>
      </c>
      <c r="C825" s="5" t="str">
        <f>IFNA(VLOOKUP(E825,'Location Table'!A:C,2,false),"")</f>
        <v/>
      </c>
      <c r="D825" s="6" t="s">
        <v>699</v>
      </c>
      <c r="E825" s="6"/>
      <c r="F825" s="6" t="s">
        <v>319</v>
      </c>
      <c r="G825" s="7" t="s">
        <v>873</v>
      </c>
      <c r="H825" s="8" t="str">
        <f>IFNA(VLOOKUP(F825,Driver!A:C,3,false),"")</f>
        <v>b57751bd28f2c1ac98e3</v>
      </c>
      <c r="I825" s="9">
        <v>0.2916666666666667</v>
      </c>
      <c r="J825" s="9">
        <v>0.75</v>
      </c>
    </row>
    <row r="826" hidden="1">
      <c r="A826" s="5" t="str">
        <f>IFNA(VLOOKUP(D826,'Location Table'!A:C,2,false),"")</f>
        <v>2e8f16ae-8fd3-11f0-852a-506b8d982279</v>
      </c>
      <c r="B826" s="5" t="str">
        <f>IFNA(VLOOKUP(F826,Driver!A:C,2,false),"")</f>
        <v>232be490-35a4-11ed-88b7-506b8dbc8dfb</v>
      </c>
      <c r="C826" s="5" t="str">
        <f>IFNA(VLOOKUP(E826,'Location Table'!A:C,2,false),"")</f>
        <v/>
      </c>
      <c r="D826" s="6" t="s">
        <v>700</v>
      </c>
      <c r="E826" s="6"/>
      <c r="F826" s="10" t="s">
        <v>110</v>
      </c>
      <c r="G826" s="7" t="s">
        <v>873</v>
      </c>
      <c r="H826" s="8" t="str">
        <f>IFNA(VLOOKUP(F826,Driver!A:C,3,false),"")</f>
        <v>d9fc37dd4093a9cdf082</v>
      </c>
      <c r="I826" s="9">
        <v>0.2916666666666667</v>
      </c>
      <c r="J826" s="9">
        <v>0.6666666666666666</v>
      </c>
    </row>
    <row r="827" hidden="1">
      <c r="A827" s="5" t="str">
        <f>IFNA(VLOOKUP(D827,'Location Table'!A:C,2,false),"")</f>
        <v>2d52e58e-13ea-11ee-9e33-506b8dbc8dfb</v>
      </c>
      <c r="B827" s="5" t="str">
        <f>IFNA(VLOOKUP(F827,Driver!A:C,2,false),"")</f>
        <v>232be490-35a4-11ed-88b7-506b8dbc8dfb</v>
      </c>
      <c r="C827" s="5" t="str">
        <f>IFNA(VLOOKUP(E827,'Location Table'!A:C,2,false),"")</f>
        <v/>
      </c>
      <c r="D827" s="6" t="s">
        <v>701</v>
      </c>
      <c r="E827" s="6"/>
      <c r="F827" s="10" t="s">
        <v>110</v>
      </c>
      <c r="G827" s="7" t="s">
        <v>873</v>
      </c>
      <c r="H827" s="8" t="str">
        <f>IFNA(VLOOKUP(F827,Driver!A:C,3,false),"")</f>
        <v>d9fc37dd4093a9cdf082</v>
      </c>
      <c r="I827" s="9">
        <v>0.2916666666666667</v>
      </c>
      <c r="J827" s="9">
        <v>0.6666666666666666</v>
      </c>
    </row>
    <row r="828" hidden="1">
      <c r="A828" s="5" t="str">
        <f>IFNA(VLOOKUP(D828,'Location Table'!A:C,2,false),"")</f>
        <v>375b5352-fc1b-11ef-b754-506b8d9879b5</v>
      </c>
      <c r="B828" s="5" t="str">
        <f>IFNA(VLOOKUP(F828,Driver!A:C,2,false),"")</f>
        <v>103090f4-37c8-11ed-9333-506b8dbc8dfb</v>
      </c>
      <c r="C828" s="5" t="str">
        <f>IFNA(VLOOKUP(E828,'Location Table'!A:C,2,false),"")</f>
        <v/>
      </c>
      <c r="D828" s="6" t="s">
        <v>702</v>
      </c>
      <c r="E828" s="6"/>
      <c r="F828" s="6" t="s">
        <v>130</v>
      </c>
      <c r="G828" s="7" t="s">
        <v>873</v>
      </c>
      <c r="H828" s="8" t="str">
        <f>IFNA(VLOOKUP(F828,Driver!A:C,3,false),"")</f>
        <v>77085b30147bfd25a46a</v>
      </c>
      <c r="I828" s="9">
        <v>0.2916666666666667</v>
      </c>
      <c r="J828" s="9">
        <v>0.75</v>
      </c>
    </row>
    <row r="829" hidden="1">
      <c r="A829" s="5" t="str">
        <f>IFNA(VLOOKUP(D829,'Location Table'!A:C,2,false),"")</f>
        <v>ca915726-197c-11ee-bb7f-506b8d9879b5</v>
      </c>
      <c r="B829" s="5" t="str">
        <f>IFNA(VLOOKUP(F829,Driver!A:C,2,false),"")</f>
        <v>103090f4-37c8-11ed-9333-506b8dbc8dfb</v>
      </c>
      <c r="C829" s="5" t="str">
        <f>IFNA(VLOOKUP(E829,'Location Table'!A:C,2,false),"")</f>
        <v/>
      </c>
      <c r="D829" s="6" t="s">
        <v>703</v>
      </c>
      <c r="E829" s="6"/>
      <c r="F829" s="6" t="s">
        <v>130</v>
      </c>
      <c r="G829" s="7" t="s">
        <v>873</v>
      </c>
      <c r="H829" s="8" t="str">
        <f>IFNA(VLOOKUP(F829,Driver!A:C,3,false),"")</f>
        <v>77085b30147bfd25a46a</v>
      </c>
      <c r="I829" s="9">
        <v>0.2916666666666667</v>
      </c>
      <c r="J829" s="9">
        <v>0.75</v>
      </c>
    </row>
    <row r="830" hidden="1">
      <c r="A830" s="5" t="str">
        <f>IFNA(VLOOKUP(D830,'Location Table'!A:C,2,false),"")</f>
        <v>30cc7046-c67b-11ef-80bd-506b8d9879b5</v>
      </c>
      <c r="B830" s="5" t="str">
        <f>IFNA(VLOOKUP(F830,Driver!A:C,2,false),"")</f>
        <v>a2f538f8-37ce-11ed-a5cf-506b8dbc8dfb</v>
      </c>
      <c r="C830" s="5" t="str">
        <f>IFNA(VLOOKUP(E830,'Location Table'!A:C,2,false),"")</f>
        <v/>
      </c>
      <c r="D830" s="6" t="s">
        <v>704</v>
      </c>
      <c r="E830" s="6"/>
      <c r="F830" s="6" t="s">
        <v>338</v>
      </c>
      <c r="G830" s="7" t="s">
        <v>873</v>
      </c>
      <c r="H830" s="8" t="str">
        <f>IFNA(VLOOKUP(F830,Driver!A:C,3,false),"")</f>
        <v>c0d10f02724a9b14c25b</v>
      </c>
      <c r="I830" s="9">
        <v>0.2916666666666667</v>
      </c>
      <c r="J830" s="9">
        <v>0.6666666666666666</v>
      </c>
    </row>
    <row r="831" hidden="1">
      <c r="A831" s="5" t="str">
        <f>IFNA(VLOOKUP(D831,'Location Table'!A:C,2,false),"")</f>
        <v>e7be97f4-28ff-11ee-9310-506b8d9879b5</v>
      </c>
      <c r="B831" s="5" t="str">
        <f>IFNA(VLOOKUP(F831,Driver!A:C,2,false),"")</f>
        <v>a2f538f8-37ce-11ed-a5cf-506b8dbc8dfb</v>
      </c>
      <c r="C831" s="5" t="str">
        <f>IFNA(VLOOKUP(E831,'Location Table'!A:C,2,false),"")</f>
        <v/>
      </c>
      <c r="D831" s="6" t="s">
        <v>705</v>
      </c>
      <c r="E831" s="6"/>
      <c r="F831" s="6" t="s">
        <v>338</v>
      </c>
      <c r="G831" s="7" t="s">
        <v>873</v>
      </c>
      <c r="H831" s="8" t="str">
        <f>IFNA(VLOOKUP(F831,Driver!A:C,3,false),"")</f>
        <v>c0d10f02724a9b14c25b</v>
      </c>
      <c r="I831" s="9">
        <v>0.2916666666666667</v>
      </c>
      <c r="J831" s="9">
        <v>0.6666666666666666</v>
      </c>
    </row>
    <row r="832" hidden="1">
      <c r="A832" s="5" t="str">
        <f>IFNA(VLOOKUP(D832,'Location Table'!A:C,2,false),"")</f>
        <v>b0eae254-d574-11f0-a854-506b8d982279</v>
      </c>
      <c r="B832" s="5" t="str">
        <f>IFNA(VLOOKUP(F832,Driver!A:C,2,false),"")</f>
        <v>51b847ba-37cd-11ed-a5f6-506b8dbc8dfb</v>
      </c>
      <c r="C832" s="5" t="str">
        <f>IFNA(VLOOKUP(E832,'Location Table'!A:C,2,false),"")</f>
        <v/>
      </c>
      <c r="D832" s="6" t="s">
        <v>706</v>
      </c>
      <c r="E832" s="6"/>
      <c r="F832" s="6" t="s">
        <v>94</v>
      </c>
      <c r="G832" s="7" t="s">
        <v>873</v>
      </c>
      <c r="H832" s="8" t="str">
        <f>IFNA(VLOOKUP(F832,Driver!A:C,3,false),"")</f>
        <v>3d1fec9027dcce8297cd</v>
      </c>
      <c r="I832" s="9">
        <v>0.2916666666666667</v>
      </c>
      <c r="J832" s="9">
        <v>0.6666666666666666</v>
      </c>
    </row>
    <row r="833" hidden="1">
      <c r="A833" s="5" t="str">
        <f>IFNA(VLOOKUP(D833,'Location Table'!A:C,2,false),"")</f>
        <v>674968e6-71ce-11f0-8ee8-506b8d982279</v>
      </c>
      <c r="B833" s="5" t="str">
        <f>IFNA(VLOOKUP(F833,Driver!A:C,2,false),"")</f>
        <v>8909168a-37c4-11ed-9647-506b8dbc8dfb</v>
      </c>
      <c r="C833" s="5" t="str">
        <f>IFNA(VLOOKUP(E833,'Location Table'!A:C,2,false),"")</f>
        <v/>
      </c>
      <c r="D833" s="10" t="s">
        <v>707</v>
      </c>
      <c r="E833" s="6"/>
      <c r="F833" s="6" t="s">
        <v>552</v>
      </c>
      <c r="G833" s="7" t="s">
        <v>873</v>
      </c>
      <c r="H833" s="8" t="str">
        <f>IFNA(VLOOKUP(F833,Driver!A:C,3,false),"")</f>
        <v>6f0424c9ec8505db5c94</v>
      </c>
      <c r="I833" s="9">
        <v>0.2916666666666667</v>
      </c>
      <c r="J833" s="9">
        <v>0.75</v>
      </c>
    </row>
    <row r="834" hidden="1">
      <c r="A834" s="5" t="str">
        <f>IFNA(VLOOKUP(D834,'Location Table'!A:C,2,false),"")</f>
        <v>08f83f06-be42-11ee-9557-506b8d9879b5</v>
      </c>
      <c r="B834" s="5" t="str">
        <f>IFNA(VLOOKUP(F834,Driver!A:C,2,false),"")</f>
        <v>a2f538f8-37ce-11ed-a5cf-506b8dbc8dfb</v>
      </c>
      <c r="C834" s="5" t="str">
        <f>IFNA(VLOOKUP(E834,'Location Table'!A:C,2,false),"")</f>
        <v/>
      </c>
      <c r="D834" s="6" t="s">
        <v>708</v>
      </c>
      <c r="E834" s="6"/>
      <c r="F834" s="6" t="s">
        <v>338</v>
      </c>
      <c r="G834" s="7" t="s">
        <v>873</v>
      </c>
      <c r="H834" s="8" t="str">
        <f>IFNA(VLOOKUP(F834,Driver!A:C,3,false),"")</f>
        <v>c0d10f02724a9b14c25b</v>
      </c>
      <c r="I834" s="9">
        <v>0.2916666666666667</v>
      </c>
      <c r="J834" s="9">
        <v>0.6666666666666666</v>
      </c>
    </row>
    <row r="835" hidden="1">
      <c r="A835" s="5" t="str">
        <f>IFNA(VLOOKUP(D835,'Location Table'!A:C,2,false),"")</f>
        <v>fe73e7ae-396e-11ee-b842-506b8d9879b5</v>
      </c>
      <c r="B835" s="5" t="str">
        <f>IFNA(VLOOKUP(F835,Driver!A:C,2,false),"")</f>
        <v>ee94ca62-729f-11f0-8cd5-506b8d982279</v>
      </c>
      <c r="C835" s="5" t="str">
        <f>IFNA(VLOOKUP(E835,'Location Table'!A:C,2,false),"")</f>
        <v/>
      </c>
      <c r="D835" s="6" t="s">
        <v>709</v>
      </c>
      <c r="E835" s="6"/>
      <c r="F835" s="6" t="s">
        <v>104</v>
      </c>
      <c r="G835" s="7" t="s">
        <v>873</v>
      </c>
      <c r="H835" s="8" t="str">
        <f>IFNA(VLOOKUP(F835,Driver!A:C,3,false),"")</f>
        <v>f4d2e910814c6812315d</v>
      </c>
      <c r="I835" s="9">
        <v>0.2916666666666667</v>
      </c>
      <c r="J835" s="9">
        <v>0.75</v>
      </c>
    </row>
    <row r="836" hidden="1">
      <c r="A836" s="5" t="str">
        <f>IFNA(VLOOKUP(D836,'Location Table'!A:C,2,false),"")</f>
        <v>a2e8d88c-fbf8-11f0-9378-fa163ee8d8ac</v>
      </c>
      <c r="B836" s="5" t="str">
        <f>IFNA(VLOOKUP(F836,Driver!A:C,2,false),"")</f>
        <v>b74e3178-7caf-11f0-a9c3-506b8d982279</v>
      </c>
      <c r="C836" s="5" t="str">
        <f>IFNA(VLOOKUP(E836,'Location Table'!A:C,2,false),"")</f>
        <v/>
      </c>
      <c r="D836" s="6" t="s">
        <v>710</v>
      </c>
      <c r="E836" s="6"/>
      <c r="F836" s="6" t="s">
        <v>326</v>
      </c>
      <c r="G836" s="7" t="s">
        <v>873</v>
      </c>
      <c r="H836" s="8" t="str">
        <f>IFNA(VLOOKUP(F836,Driver!A:C,3,false),"")</f>
        <v>473ef1d8329bdbc5828a</v>
      </c>
      <c r="I836" s="9">
        <v>0.2916666666666667</v>
      </c>
      <c r="J836" s="9">
        <v>0.6666666666666666</v>
      </c>
    </row>
    <row r="837" hidden="1">
      <c r="A837" s="5" t="str">
        <f>IFNA(VLOOKUP(D837,'Location Table'!A:C,2,false),"")</f>
        <v>f5a54568-49f1-11ed-856f-506b8dbc8dfb</v>
      </c>
      <c r="B837" s="5" t="str">
        <f>IFNA(VLOOKUP(F837,Driver!A:C,2,false),"")</f>
        <v>1163ad80-d96e-11f0-b637-506b8d982279</v>
      </c>
      <c r="C837" s="5" t="str">
        <f>IFNA(VLOOKUP(E837,'Location Table'!A:C,2,false),"")</f>
        <v/>
      </c>
      <c r="D837" s="6" t="s">
        <v>711</v>
      </c>
      <c r="E837" s="6"/>
      <c r="F837" s="6" t="s">
        <v>498</v>
      </c>
      <c r="G837" s="7" t="s">
        <v>873</v>
      </c>
      <c r="H837" s="8" t="str">
        <f>IFNA(VLOOKUP(F837,Driver!A:C,3,false),"")</f>
        <v>76599ccdde8e37d06e9f</v>
      </c>
      <c r="I837" s="9">
        <v>0.2916666666666667</v>
      </c>
      <c r="J837" s="9">
        <v>0.75</v>
      </c>
    </row>
    <row r="838" hidden="1">
      <c r="A838" s="5" t="str">
        <f>IFNA(VLOOKUP(D838,'Location Table'!A:C,2,false),"")</f>
        <v>4db1886c-1589-11ee-8e99-506b8dbc8dfb</v>
      </c>
      <c r="B838" s="5" t="str">
        <f>IFNA(VLOOKUP(F838,Driver!A:C,2,false),"")</f>
        <v>ce2e0bd2-35a6-11ed-9c4e-506b8dbc8dfb</v>
      </c>
      <c r="C838" s="5" t="str">
        <f>IFNA(VLOOKUP(E838,'Location Table'!A:C,2,false),"")</f>
        <v/>
      </c>
      <c r="D838" s="6" t="s">
        <v>712</v>
      </c>
      <c r="E838" s="6"/>
      <c r="F838" s="6" t="s">
        <v>661</v>
      </c>
      <c r="G838" s="7" t="s">
        <v>873</v>
      </c>
      <c r="H838" s="8" t="str">
        <f>IFNA(VLOOKUP(F838,Driver!A:C,3,false),"")</f>
        <v/>
      </c>
      <c r="I838" s="9">
        <v>0.2916666666666667</v>
      </c>
      <c r="J838" s="9">
        <v>0.75</v>
      </c>
    </row>
    <row r="839" hidden="1">
      <c r="A839" s="5" t="str">
        <f>IFNA(VLOOKUP(D839,'Location Table'!A:C,2,false),"")</f>
        <v>e95894d4-ed77-11ed-941b-506b8dbc8dfb</v>
      </c>
      <c r="B839" s="5" t="str">
        <f>IFNA(VLOOKUP(F839,Driver!A:C,2,false),"")</f>
        <v>222b5bca-37cf-11ed-bee5-506b8dbc8dfb</v>
      </c>
      <c r="C839" s="5" t="str">
        <f>IFNA(VLOOKUP(E839,'Location Table'!A:C,2,false),"")</f>
        <v/>
      </c>
      <c r="D839" s="6" t="s">
        <v>713</v>
      </c>
      <c r="E839" s="6"/>
      <c r="F839" s="6" t="s">
        <v>446</v>
      </c>
      <c r="G839" s="7" t="s">
        <v>873</v>
      </c>
      <c r="H839" s="8" t="str">
        <f>IFNA(VLOOKUP(F839,Driver!A:C,3,false),"")</f>
        <v>a258dbc5a48f4dd1149e</v>
      </c>
      <c r="I839" s="9">
        <v>0.2916666666666667</v>
      </c>
      <c r="J839" s="9">
        <v>0.5</v>
      </c>
    </row>
    <row r="840" hidden="1">
      <c r="A840" s="5" t="str">
        <f>IFNA(VLOOKUP(D840,'Location Table'!A:C,2,false),"")</f>
        <v>6537d2d8-447f-11ed-ae22-506b8dbc8dfb</v>
      </c>
      <c r="B840" s="5" t="str">
        <f>IFNA(VLOOKUP(F840,Driver!A:C,2,false),"")</f>
        <v>222b5bca-37cf-11ed-bee5-506b8dbc8dfb</v>
      </c>
      <c r="C840" s="5" t="str">
        <f>IFNA(VLOOKUP(E840,'Location Table'!A:C,2,false),"")</f>
        <v/>
      </c>
      <c r="D840" s="6" t="s">
        <v>714</v>
      </c>
      <c r="E840" s="6"/>
      <c r="F840" s="6" t="s">
        <v>446</v>
      </c>
      <c r="G840" s="7" t="s">
        <v>873</v>
      </c>
      <c r="H840" s="8" t="str">
        <f>IFNA(VLOOKUP(F840,Driver!A:C,3,false),"")</f>
        <v>a258dbc5a48f4dd1149e</v>
      </c>
      <c r="I840" s="9">
        <v>0.2916666666666667</v>
      </c>
      <c r="J840" s="9">
        <v>0.5</v>
      </c>
    </row>
    <row r="841" hidden="1">
      <c r="A841" s="5" t="str">
        <f>IFNA(VLOOKUP(D841,'Location Table'!A:C,2,false),"")</f>
        <v>fb7642e6-cf39-11f0-ada4-506b8d982279</v>
      </c>
      <c r="B841" s="5" t="str">
        <f>IFNA(VLOOKUP(F841,Driver!A:C,2,false),"")</f>
        <v>1d4786cc-12f7-11f1-9378-fa163ee8d8ac</v>
      </c>
      <c r="C841" s="5" t="str">
        <f>IFNA(VLOOKUP(E841,'Location Table'!A:C,2,false),"")</f>
        <v/>
      </c>
      <c r="D841" s="6" t="s">
        <v>715</v>
      </c>
      <c r="E841" s="6"/>
      <c r="F841" s="10" t="s">
        <v>343</v>
      </c>
      <c r="G841" s="7" t="s">
        <v>873</v>
      </c>
      <c r="H841" s="8" t="str">
        <f>IFNA(VLOOKUP(F841,Driver!A:C,3,false),"")</f>
        <v>85d2de46a91b4045190a</v>
      </c>
      <c r="I841" s="9">
        <v>0.2916666666666667</v>
      </c>
      <c r="J841" s="9">
        <v>0.75</v>
      </c>
    </row>
    <row r="842" hidden="1">
      <c r="A842" s="5" t="str">
        <f>IFNA(VLOOKUP(D842,'Location Table'!A:C,2,false),"")</f>
        <v>6b1587c6-a6ee-11ef-bf11-506b8d9879b5</v>
      </c>
      <c r="B842" s="5" t="str">
        <f>IFNA(VLOOKUP(F842,Driver!A:C,2,false),"")</f>
        <v>b2c9b066-9445-11f0-b1db-506b8d982279</v>
      </c>
      <c r="C842" s="5" t="str">
        <f>IFNA(VLOOKUP(E842,'Location Table'!A:C,2,false),"")</f>
        <v/>
      </c>
      <c r="D842" s="6" t="s">
        <v>716</v>
      </c>
      <c r="E842" s="6"/>
      <c r="F842" s="6" t="s">
        <v>874</v>
      </c>
      <c r="G842" s="7" t="s">
        <v>873</v>
      </c>
      <c r="H842" s="8" t="str">
        <f>IFNA(VLOOKUP(F842,Driver!A:C,3,false),"")</f>
        <v>59fa514f510cb852e11d</v>
      </c>
      <c r="I842" s="9">
        <v>0.2916666666666667</v>
      </c>
      <c r="J842" s="9">
        <v>0.75</v>
      </c>
    </row>
    <row r="843" hidden="1">
      <c r="A843" s="5" t="str">
        <f>IFNA(VLOOKUP(D843,'Location Table'!A:C,2,false),"")</f>
        <v>30db756a-c368-11f0-bcda-506b8d982279</v>
      </c>
      <c r="B843" s="5" t="str">
        <f>IFNA(VLOOKUP(F843,Driver!A:C,2,false),"")</f>
        <v>103090f4-37c8-11ed-9333-506b8dbc8dfb</v>
      </c>
      <c r="C843" s="5" t="str">
        <f>IFNA(VLOOKUP(E843,'Location Table'!A:C,2,false),"")</f>
        <v/>
      </c>
      <c r="D843" s="6" t="s">
        <v>717</v>
      </c>
      <c r="E843" s="6"/>
      <c r="F843" s="6" t="s">
        <v>130</v>
      </c>
      <c r="G843" s="7" t="s">
        <v>873</v>
      </c>
      <c r="H843" s="8" t="str">
        <f>IFNA(VLOOKUP(F843,Driver!A:C,3,false),"")</f>
        <v>77085b30147bfd25a46a</v>
      </c>
      <c r="I843" s="9">
        <v>0.2916666666666667</v>
      </c>
      <c r="J843" s="9">
        <v>0.75</v>
      </c>
    </row>
    <row r="844" hidden="1">
      <c r="A844" s="5" t="str">
        <f>IFNA(VLOOKUP(D844,'Location Table'!A:C,2,false),"")</f>
        <v>70dd05b8-1977-11ee-95d0-506b8d9879b5</v>
      </c>
      <c r="B844" s="5" t="str">
        <f>IFNA(VLOOKUP(F844,Driver!A:C,2,false),"")</f>
        <v>b2c9b066-9445-11f0-b1db-506b8d982279</v>
      </c>
      <c r="C844" s="5" t="str">
        <f>IFNA(VLOOKUP(E844,'Location Table'!A:C,2,false),"")</f>
        <v/>
      </c>
      <c r="D844" s="6" t="s">
        <v>718</v>
      </c>
      <c r="E844" s="6"/>
      <c r="F844" s="6" t="s">
        <v>874</v>
      </c>
      <c r="G844" s="7" t="s">
        <v>873</v>
      </c>
      <c r="H844" s="8" t="str">
        <f>IFNA(VLOOKUP(F844,Driver!A:C,3,false),"")</f>
        <v>59fa514f510cb852e11d</v>
      </c>
      <c r="I844" s="9">
        <v>0.2916666666666667</v>
      </c>
      <c r="J844" s="9">
        <v>0.75</v>
      </c>
    </row>
    <row r="845" hidden="1">
      <c r="A845" s="5" t="str">
        <f>IFNA(VLOOKUP(D845,'Location Table'!A:C,2,false),"")</f>
        <v>495caf86-49fa-11ed-8e62-506b8dbc8dfb</v>
      </c>
      <c r="B845" s="5" t="str">
        <f>IFNA(VLOOKUP(F845,Driver!A:C,2,false),"")</f>
        <v>717fa61c-3654-11ed-b103-506b8dbc8dfb</v>
      </c>
      <c r="C845" s="5" t="str">
        <f>IFNA(VLOOKUP(E845,'Location Table'!A:C,2,false),"")</f>
        <v/>
      </c>
      <c r="D845" s="6" t="s">
        <v>719</v>
      </c>
      <c r="E845" s="6"/>
      <c r="F845" s="6" t="s">
        <v>361</v>
      </c>
      <c r="G845" s="7" t="s">
        <v>873</v>
      </c>
      <c r="H845" s="8" t="str">
        <f>IFNA(VLOOKUP(F845,Driver!A:C,3,false),"")</f>
        <v>fbc73b7bb6385f660629</v>
      </c>
      <c r="I845" s="9">
        <v>0.2916666666666667</v>
      </c>
      <c r="J845" s="9">
        <v>0.5833333333333334</v>
      </c>
    </row>
    <row r="846" hidden="1">
      <c r="A846" s="5" t="str">
        <f>IFNA(VLOOKUP(D846,'Location Table'!A:C,2,false),"")</f>
        <v>3056d87a-1745-11f0-aae1-506b8d982279</v>
      </c>
      <c r="B846" s="5" t="str">
        <f>IFNA(VLOOKUP(F846,Driver!A:C,2,false),"")</f>
        <v>7898dd6c-816d-11f0-9f34-506b8d982279</v>
      </c>
      <c r="C846" s="5" t="str">
        <f>IFNA(VLOOKUP(E846,'Location Table'!A:C,2,false),"")</f>
        <v/>
      </c>
      <c r="D846" s="6" t="s">
        <v>720</v>
      </c>
      <c r="E846" s="6"/>
      <c r="F846" s="6" t="s">
        <v>15</v>
      </c>
      <c r="G846" s="7" t="s">
        <v>873</v>
      </c>
      <c r="H846" s="8" t="str">
        <f>IFNA(VLOOKUP(F846,Driver!A:C,3,false),"")</f>
        <v>011b70c8f4801dde4491</v>
      </c>
      <c r="I846" s="9">
        <v>0.2916666666666667</v>
      </c>
      <c r="J846" s="9">
        <v>0.6875</v>
      </c>
    </row>
    <row r="847">
      <c r="A847" s="5" t="str">
        <f>IFNA(VLOOKUP(D847,'Location Table'!A:C,2,false),"")</f>
        <v>a5a22756-4ab0-11ed-a93a-506b8dbc8dfb</v>
      </c>
      <c r="B847" s="5" t="str">
        <f>IFNA(VLOOKUP(F847,Driver!A:C,2,false),"")</f>
        <v/>
      </c>
      <c r="C847" s="5" t="str">
        <f>IFNA(VLOOKUP(E847,'Location Table'!A:C,2,false),"")</f>
        <v/>
      </c>
      <c r="D847" s="6" t="s">
        <v>721</v>
      </c>
      <c r="E847" s="6"/>
      <c r="F847" s="10" t="s">
        <v>875</v>
      </c>
      <c r="G847" s="7" t="s">
        <v>873</v>
      </c>
      <c r="H847" s="8" t="str">
        <f>IFNA(VLOOKUP(F847,Driver!A:C,3,false),"")</f>
        <v/>
      </c>
      <c r="I847" s="9">
        <v>0.2916666666666667</v>
      </c>
      <c r="J847" s="9">
        <v>0.6666666666666666</v>
      </c>
    </row>
    <row r="848" hidden="1">
      <c r="A848" s="5" t="str">
        <f>IFNA(VLOOKUP(D848,'Location Table'!A:C,2,false),"")</f>
        <v>f2fd1c5a-446f-11ed-aca6-506b8dbc8dfb</v>
      </c>
      <c r="B848" s="5" t="str">
        <f>IFNA(VLOOKUP(F848,Driver!A:C,2,false),"")</f>
        <v>b74e3178-7caf-11f0-a9c3-506b8d982279</v>
      </c>
      <c r="C848" s="5" t="str">
        <f>IFNA(VLOOKUP(E848,'Location Table'!A:C,2,false),"")</f>
        <v/>
      </c>
      <c r="D848" s="6" t="s">
        <v>802</v>
      </c>
      <c r="E848" s="6"/>
      <c r="F848" s="6" t="s">
        <v>326</v>
      </c>
      <c r="G848" s="7" t="s">
        <v>873</v>
      </c>
      <c r="H848" s="8" t="str">
        <f>IFNA(VLOOKUP(F848,Driver!A:C,3,false),"")</f>
        <v>473ef1d8329bdbc5828a</v>
      </c>
      <c r="I848" s="9">
        <v>0.2916666666666667</v>
      </c>
      <c r="J848" s="9">
        <v>0.6666666666666666</v>
      </c>
    </row>
    <row r="849" hidden="1">
      <c r="A849" s="5" t="str">
        <f>IFNA(VLOOKUP(D849,'Location Table'!A:C,2,false),"")</f>
        <v>a3f4193a-8bf7-11ee-9060-506b8d9879b5</v>
      </c>
      <c r="B849" s="5" t="str">
        <f>IFNA(VLOOKUP(F849,Driver!A:C,2,false),"")</f>
        <v>7898dd6c-816d-11f0-9f34-506b8d982279</v>
      </c>
      <c r="C849" s="5" t="str">
        <f>IFNA(VLOOKUP(E849,'Location Table'!A:C,2,false),"")</f>
        <v/>
      </c>
      <c r="D849" s="6" t="s">
        <v>722</v>
      </c>
      <c r="E849" s="6"/>
      <c r="F849" s="6" t="s">
        <v>15</v>
      </c>
      <c r="G849" s="7" t="s">
        <v>873</v>
      </c>
      <c r="H849" s="8" t="str">
        <f>IFNA(VLOOKUP(F849,Driver!A:C,3,false),"")</f>
        <v>011b70c8f4801dde4491</v>
      </c>
      <c r="I849" s="9">
        <v>0.2916666666666667</v>
      </c>
      <c r="J849" s="9">
        <v>0.6875</v>
      </c>
    </row>
    <row r="850" hidden="1">
      <c r="A850" s="5" t="str">
        <f>IFNA(VLOOKUP(D850,'Location Table'!A:C,2,false),"")</f>
        <v>b14729ee-0512-11ef-934f-506b8d9879b5</v>
      </c>
      <c r="B850" s="5" t="str">
        <f>IFNA(VLOOKUP(F850,Driver!A:C,2,false),"")</f>
        <v>232be490-35a4-11ed-88b7-506b8dbc8dfb</v>
      </c>
      <c r="C850" s="5" t="str">
        <f>IFNA(VLOOKUP(E850,'Location Table'!A:C,2,false),"")</f>
        <v/>
      </c>
      <c r="D850" s="6" t="s">
        <v>723</v>
      </c>
      <c r="E850" s="6"/>
      <c r="F850" s="10" t="s">
        <v>110</v>
      </c>
      <c r="G850" s="7" t="s">
        <v>873</v>
      </c>
      <c r="H850" s="8" t="str">
        <f>IFNA(VLOOKUP(F850,Driver!A:C,3,false),"")</f>
        <v>d9fc37dd4093a9cdf082</v>
      </c>
      <c r="I850" s="9">
        <v>0.2916666666666667</v>
      </c>
      <c r="J850" s="9">
        <v>0.6666666666666666</v>
      </c>
    </row>
    <row r="851" hidden="1">
      <c r="A851" s="5" t="str">
        <f>IFNA(VLOOKUP(D851,'Location Table'!A:C,2,false),"")</f>
        <v>0e6db6ea-badb-11f0-88b8-506b8d982279</v>
      </c>
      <c r="B851" s="5" t="str">
        <f>IFNA(VLOOKUP(F851,Driver!A:C,2,false),"")</f>
        <v>a01fefe6-3653-11ed-8128-506b8dbc8dfb</v>
      </c>
      <c r="C851" s="5" t="str">
        <f>IFNA(VLOOKUP(E851,'Location Table'!A:C,2,false),"")</f>
        <v/>
      </c>
      <c r="D851" s="6" t="s">
        <v>724</v>
      </c>
      <c r="E851" s="6"/>
      <c r="F851" s="6" t="s">
        <v>128</v>
      </c>
      <c r="G851" s="7" t="s">
        <v>873</v>
      </c>
      <c r="H851" s="8" t="str">
        <f>IFNA(VLOOKUP(F851,Driver!A:C,3,false),"")</f>
        <v/>
      </c>
      <c r="I851" s="9">
        <v>0.2916666666666667</v>
      </c>
      <c r="J851" s="9">
        <v>0.5</v>
      </c>
    </row>
    <row r="852" hidden="1">
      <c r="A852" s="5" t="str">
        <f>IFNA(VLOOKUP(D852,'Location Table'!A:C,2,false),"")</f>
        <v>b65ae69e-1b9f-11ee-a56b-506b8d9879b5</v>
      </c>
      <c r="B852" s="5" t="str">
        <f>IFNA(VLOOKUP(F852,Driver!A:C,2,false),"")</f>
        <v>232be490-35a4-11ed-88b7-506b8dbc8dfb</v>
      </c>
      <c r="C852" s="5" t="str">
        <f>IFNA(VLOOKUP(E852,'Location Table'!A:C,2,false),"")</f>
        <v/>
      </c>
      <c r="D852" s="6" t="s">
        <v>725</v>
      </c>
      <c r="E852" s="6"/>
      <c r="F852" s="10" t="s">
        <v>110</v>
      </c>
      <c r="G852" s="7" t="s">
        <v>873</v>
      </c>
      <c r="H852" s="8" t="str">
        <f>IFNA(VLOOKUP(F852,Driver!A:C,3,false),"")</f>
        <v>d9fc37dd4093a9cdf082</v>
      </c>
      <c r="I852" s="9">
        <v>0.2916666666666667</v>
      </c>
      <c r="J852" s="9">
        <v>0.6666666666666666</v>
      </c>
    </row>
    <row r="853" hidden="1">
      <c r="A853" s="5" t="str">
        <f>IFNA(VLOOKUP(D853,'Location Table'!A:C,2,false),"")</f>
        <v>9aca001a-611b-11ee-8e60-506b8d9879b5</v>
      </c>
      <c r="B853" s="5" t="str">
        <f>IFNA(VLOOKUP(F853,Driver!A:C,2,false),"")</f>
        <v>a2f538f8-37ce-11ed-a5cf-506b8dbc8dfb</v>
      </c>
      <c r="C853" s="5" t="str">
        <f>IFNA(VLOOKUP(E853,'Location Table'!A:C,2,false),"")</f>
        <v/>
      </c>
      <c r="D853" s="6" t="s">
        <v>726</v>
      </c>
      <c r="E853" s="6"/>
      <c r="F853" s="6" t="s">
        <v>338</v>
      </c>
      <c r="G853" s="7" t="s">
        <v>873</v>
      </c>
      <c r="H853" s="8" t="str">
        <f>IFNA(VLOOKUP(F853,Driver!A:C,3,false),"")</f>
        <v>c0d10f02724a9b14c25b</v>
      </c>
      <c r="I853" s="9">
        <v>0.2916666666666667</v>
      </c>
      <c r="J853" s="9">
        <v>0.6666666666666666</v>
      </c>
    </row>
    <row r="854" hidden="1">
      <c r="A854" s="5" t="str">
        <f>IFNA(VLOOKUP(D854,'Location Table'!A:C,2,false),"")</f>
        <v>14e08288-4bba-11ee-a084-506b8d9879b5</v>
      </c>
      <c r="B854" s="5" t="str">
        <f>IFNA(VLOOKUP(F854,Driver!A:C,2,false),"")</f>
        <v>b2c9b066-9445-11f0-b1db-506b8d982279</v>
      </c>
      <c r="C854" s="5" t="str">
        <f>IFNA(VLOOKUP(E854,'Location Table'!A:C,2,false),"")</f>
        <v/>
      </c>
      <c r="D854" s="6" t="s">
        <v>880</v>
      </c>
      <c r="E854" s="6"/>
      <c r="F854" s="6" t="s">
        <v>874</v>
      </c>
      <c r="G854" s="7" t="s">
        <v>873</v>
      </c>
      <c r="H854" s="8" t="str">
        <f>IFNA(VLOOKUP(F854,Driver!A:C,3,false),"")</f>
        <v>59fa514f510cb852e11d</v>
      </c>
      <c r="I854" s="9">
        <v>0.2916666666666667</v>
      </c>
      <c r="J854" s="9">
        <v>0.75</v>
      </c>
    </row>
    <row r="855" hidden="1">
      <c r="A855" s="5" t="str">
        <f>IFNA(VLOOKUP(D855,'Location Table'!A:C,2,false),"")</f>
        <v>dc596d98-9817-11ef-92ed-506b8d9879b5</v>
      </c>
      <c r="B855" s="5" t="str">
        <f>IFNA(VLOOKUP(F855,Driver!A:C,2,false),"")</f>
        <v>a2f538f8-37ce-11ed-a5cf-506b8dbc8dfb</v>
      </c>
      <c r="C855" s="5" t="str">
        <f>IFNA(VLOOKUP(E855,'Location Table'!A:C,2,false),"")</f>
        <v/>
      </c>
      <c r="D855" s="6" t="s">
        <v>728</v>
      </c>
      <c r="E855" s="6"/>
      <c r="F855" s="6" t="s">
        <v>338</v>
      </c>
      <c r="G855" s="7" t="s">
        <v>873</v>
      </c>
      <c r="H855" s="8" t="str">
        <f>IFNA(VLOOKUP(F855,Driver!A:C,3,false),"")</f>
        <v>c0d10f02724a9b14c25b</v>
      </c>
      <c r="I855" s="9">
        <v>0.2916666666666667</v>
      </c>
      <c r="J855" s="9">
        <v>0.6666666666666666</v>
      </c>
    </row>
    <row r="856" hidden="1">
      <c r="A856" s="5" t="str">
        <f>IFNA(VLOOKUP(D856,'Location Table'!A:C,2,false),"")</f>
        <v>d40afa28-ed76-11ed-8a87-506b8dbc8dfb</v>
      </c>
      <c r="B856" s="5" t="str">
        <f>IFNA(VLOOKUP(F856,Driver!A:C,2,false),"")</f>
        <v>a9bf91b4-00e4-11f1-9378-fa163ee8d8ac</v>
      </c>
      <c r="C856" s="5" t="str">
        <f>IFNA(VLOOKUP(E856,'Location Table'!A:C,2,false),"")</f>
        <v/>
      </c>
      <c r="D856" s="6" t="s">
        <v>729</v>
      </c>
      <c r="E856" s="6"/>
      <c r="F856" s="6" t="s">
        <v>142</v>
      </c>
      <c r="G856" s="7" t="s">
        <v>873</v>
      </c>
      <c r="H856" s="8" t="str">
        <f>IFNA(VLOOKUP(F856,Driver!A:C,3,false),"")</f>
        <v/>
      </c>
      <c r="I856" s="9">
        <v>0.2916666666666667</v>
      </c>
      <c r="J856" s="9">
        <v>0.5</v>
      </c>
    </row>
    <row r="857" hidden="1">
      <c r="A857" s="5" t="str">
        <f>IFNA(VLOOKUP(D857,'Location Table'!A:C,2,false),"")</f>
        <v>8bcb2b9a-cce3-11ef-9c4f-506b8d9879b5</v>
      </c>
      <c r="B857" s="5" t="str">
        <f>IFNA(VLOOKUP(F857,Driver!A:C,2,false),"")</f>
        <v>a2f538f8-37ce-11ed-a5cf-506b8dbc8dfb</v>
      </c>
      <c r="C857" s="5" t="str">
        <f>IFNA(VLOOKUP(E857,'Location Table'!A:C,2,false),"")</f>
        <v/>
      </c>
      <c r="D857" s="6" t="s">
        <v>730</v>
      </c>
      <c r="E857" s="6"/>
      <c r="F857" s="6" t="s">
        <v>338</v>
      </c>
      <c r="G857" s="7" t="s">
        <v>873</v>
      </c>
      <c r="H857" s="8" t="str">
        <f>IFNA(VLOOKUP(F857,Driver!A:C,3,false),"")</f>
        <v>c0d10f02724a9b14c25b</v>
      </c>
      <c r="I857" s="9">
        <v>0.2916666666666667</v>
      </c>
      <c r="J857" s="9">
        <v>0.6666666666666666</v>
      </c>
    </row>
    <row r="858" hidden="1">
      <c r="A858" s="5" t="str">
        <f>IFNA(VLOOKUP(D858,'Location Table'!A:C,2,false),"")</f>
        <v>660575e4-ebf9-11ee-83f4-506b8d9879b5</v>
      </c>
      <c r="B858" s="5" t="str">
        <f>IFNA(VLOOKUP(F858,Driver!A:C,2,false),"")</f>
        <v>103090f4-37c8-11ed-9333-506b8dbc8dfb</v>
      </c>
      <c r="C858" s="5" t="str">
        <f>IFNA(VLOOKUP(E858,'Location Table'!A:C,2,false),"")</f>
        <v/>
      </c>
      <c r="D858" s="6" t="s">
        <v>731</v>
      </c>
      <c r="E858" s="6"/>
      <c r="F858" s="10" t="s">
        <v>130</v>
      </c>
      <c r="G858" s="7" t="s">
        <v>873</v>
      </c>
      <c r="H858" s="8" t="str">
        <f>IFNA(VLOOKUP(F858,Driver!A:C,3,false),"")</f>
        <v>77085b30147bfd25a46a</v>
      </c>
      <c r="I858" s="9">
        <v>0.2916666666666667</v>
      </c>
      <c r="J858" s="9">
        <v>0.75</v>
      </c>
    </row>
    <row r="859" hidden="1">
      <c r="A859" s="5" t="str">
        <f>IFNA(VLOOKUP(D859,'Location Table'!A:C,2,false),"")</f>
        <v>bb0ccbc0-0fe8-11ee-8d50-506b8dbc8dfb</v>
      </c>
      <c r="B859" s="5" t="str">
        <f>IFNA(VLOOKUP(F859,Driver!A:C,2,false),"")</f>
        <v>b1a3184c-85ab-11f0-99d8-506b8d982279</v>
      </c>
      <c r="C859" s="5" t="str">
        <f>IFNA(VLOOKUP(E859,'Location Table'!A:C,2,false),"")</f>
        <v/>
      </c>
      <c r="D859" s="6" t="s">
        <v>732</v>
      </c>
      <c r="E859" s="6"/>
      <c r="F859" s="10" t="s">
        <v>881</v>
      </c>
      <c r="G859" s="7" t="s">
        <v>873</v>
      </c>
      <c r="H859" s="8" t="str">
        <f>IFNA(VLOOKUP(F859,Driver!A:C,3,false),"")</f>
        <v>77085b30147bfd25a46a</v>
      </c>
      <c r="I859" s="9">
        <v>0.2916666666666667</v>
      </c>
      <c r="J859" s="9">
        <v>0.75</v>
      </c>
    </row>
    <row r="860" hidden="1">
      <c r="A860" s="5" t="str">
        <f>IFNA(VLOOKUP(D860,'Location Table'!A:C,2,false),"")</f>
        <v>3f5a161c-04c7-11ee-b3e1-506b8dbc8dfb</v>
      </c>
      <c r="B860" s="5" t="str">
        <f>IFNA(VLOOKUP(F860,Driver!A:C,2,false),"")</f>
        <v>65871f10-7671-11f0-9d16-506b8d982279</v>
      </c>
      <c r="C860" s="5" t="str">
        <f>IFNA(VLOOKUP(E860,'Location Table'!A:C,2,false),"")</f>
        <v/>
      </c>
      <c r="D860" s="6" t="s">
        <v>733</v>
      </c>
      <c r="E860" s="6"/>
      <c r="F860" s="6" t="s">
        <v>348</v>
      </c>
      <c r="G860" s="7" t="s">
        <v>873</v>
      </c>
      <c r="H860" s="8" t="str">
        <f>IFNA(VLOOKUP(F860,Driver!A:C,3,false),"")</f>
        <v>03bb8b129d5c74022d4d</v>
      </c>
      <c r="I860" s="9">
        <v>0.2916666666666667</v>
      </c>
      <c r="J860" s="9">
        <v>0.75</v>
      </c>
    </row>
    <row r="861" hidden="1">
      <c r="A861" s="5" t="str">
        <f>IFNA(VLOOKUP(D861,'Location Table'!A:C,2,false),"")</f>
        <v>5112a0a0-71fe-11ee-9403-506b8d9879b5</v>
      </c>
      <c r="B861" s="5" t="str">
        <f>IFNA(VLOOKUP(F861,Driver!A:C,2,false),"")</f>
        <v>a2f538f8-37ce-11ed-a5cf-506b8dbc8dfb</v>
      </c>
      <c r="C861" s="5" t="str">
        <f>IFNA(VLOOKUP(E861,'Location Table'!A:C,2,false),"")</f>
        <v/>
      </c>
      <c r="D861" s="6" t="s">
        <v>734</v>
      </c>
      <c r="E861" s="6"/>
      <c r="F861" s="6" t="s">
        <v>338</v>
      </c>
      <c r="G861" s="7" t="s">
        <v>873</v>
      </c>
      <c r="H861" s="8" t="str">
        <f>IFNA(VLOOKUP(F861,Driver!A:C,3,false),"")</f>
        <v>c0d10f02724a9b14c25b</v>
      </c>
      <c r="I861" s="9">
        <v>0.2916666666666667</v>
      </c>
      <c r="J861" s="9">
        <v>0.6666666666666666</v>
      </c>
    </row>
    <row r="862" hidden="1">
      <c r="A862" s="5" t="str">
        <f>IFNA(VLOOKUP(D862,'Location Table'!A:C,2,false),"")</f>
        <v>60ca531c-142d-11f0-8bf6-506b8d982279</v>
      </c>
      <c r="B862" s="5" t="str">
        <f>IFNA(VLOOKUP(F862,Driver!A:C,2,false),"")</f>
        <v>f5993946-37cf-11ed-a3fc-506b8dbc8dfb</v>
      </c>
      <c r="C862" s="5" t="str">
        <f>IFNA(VLOOKUP(E862,'Location Table'!A:C,2,false),"")</f>
        <v/>
      </c>
      <c r="D862" s="6" t="s">
        <v>735</v>
      </c>
      <c r="E862" s="6"/>
      <c r="F862" s="6" t="s">
        <v>314</v>
      </c>
      <c r="G862" s="7" t="s">
        <v>873</v>
      </c>
      <c r="H862" s="8" t="str">
        <f>IFNA(VLOOKUP(F862,Driver!A:C,3,false),"")</f>
        <v/>
      </c>
      <c r="I862" s="9">
        <v>0.2916666666666667</v>
      </c>
      <c r="J862" s="9">
        <v>0.6666666666666666</v>
      </c>
    </row>
    <row r="863" hidden="1">
      <c r="A863" s="5" t="str">
        <f>IFNA(VLOOKUP(D863,'Location Table'!A:C,2,false),"")</f>
        <v>fed50c9a-8c4e-11ee-9b83-506b8d9879b5</v>
      </c>
      <c r="B863" s="5" t="str">
        <f>IFNA(VLOOKUP(F863,Driver!A:C,2,false),"")</f>
        <v>717fa61c-3654-11ed-b103-506b8dbc8dfb</v>
      </c>
      <c r="C863" s="5" t="str">
        <f>IFNA(VLOOKUP(E863,'Location Table'!A:C,2,false),"")</f>
        <v/>
      </c>
      <c r="D863" s="6" t="s">
        <v>736</v>
      </c>
      <c r="E863" s="6"/>
      <c r="F863" s="6" t="s">
        <v>361</v>
      </c>
      <c r="G863" s="7" t="s">
        <v>873</v>
      </c>
      <c r="H863" s="8" t="str">
        <f>IFNA(VLOOKUP(F863,Driver!A:C,3,false),"")</f>
        <v>fbc73b7bb6385f660629</v>
      </c>
      <c r="I863" s="9">
        <v>0.2916666666666667</v>
      </c>
      <c r="J863" s="9">
        <v>0.5833333333333334</v>
      </c>
    </row>
    <row r="864" hidden="1">
      <c r="A864" s="5" t="str">
        <f>IFNA(VLOOKUP(D864,'Location Table'!A:C,2,false),"")</f>
        <v>29308384-18ae-11ef-8ca9-506b8d9879b5</v>
      </c>
      <c r="B864" s="5" t="str">
        <f>IFNA(VLOOKUP(F864,Driver!A:C,2,false),"")</f>
        <v>b2c9b066-9445-11f0-b1db-506b8d982279</v>
      </c>
      <c r="C864" s="5" t="str">
        <f>IFNA(VLOOKUP(E864,'Location Table'!A:C,2,false),"")</f>
        <v/>
      </c>
      <c r="D864" s="6" t="s">
        <v>737</v>
      </c>
      <c r="E864" s="6"/>
      <c r="F864" s="6" t="s">
        <v>874</v>
      </c>
      <c r="G864" s="7" t="s">
        <v>873</v>
      </c>
      <c r="H864" s="8" t="str">
        <f>IFNA(VLOOKUP(F864,Driver!A:C,3,false),"")</f>
        <v>59fa514f510cb852e11d</v>
      </c>
      <c r="I864" s="9">
        <v>0.2916666666666667</v>
      </c>
      <c r="J864" s="9">
        <v>0.75</v>
      </c>
    </row>
    <row r="865" hidden="1">
      <c r="A865" s="5" t="str">
        <f>IFNA(VLOOKUP(D865,'Location Table'!A:C,2,false),"")</f>
        <v>cf9e4b00-7233-11ef-a706-506b8d9879b5</v>
      </c>
      <c r="B865" s="5" t="str">
        <f>IFNA(VLOOKUP(F865,Driver!A:C,2,false),"")</f>
        <v>b2c9b066-9445-11f0-b1db-506b8d982279</v>
      </c>
      <c r="C865" s="5" t="str">
        <f>IFNA(VLOOKUP(E865,'Location Table'!A:C,2,false),"")</f>
        <v/>
      </c>
      <c r="D865" s="6" t="s">
        <v>738</v>
      </c>
      <c r="E865" s="6"/>
      <c r="F865" s="6" t="s">
        <v>874</v>
      </c>
      <c r="G865" s="7" t="s">
        <v>873</v>
      </c>
      <c r="H865" s="8" t="str">
        <f>IFNA(VLOOKUP(F865,Driver!A:C,3,false),"")</f>
        <v>59fa514f510cb852e11d</v>
      </c>
      <c r="I865" s="9">
        <v>0.2916666666666667</v>
      </c>
      <c r="J865" s="9">
        <v>0.75</v>
      </c>
    </row>
    <row r="866" hidden="1">
      <c r="A866" s="5" t="str">
        <f>IFNA(VLOOKUP(D866,'Location Table'!A:C,2,false),"")</f>
        <v>be63422e-4013-11f0-87de-506b8d982279</v>
      </c>
      <c r="B866" s="5" t="str">
        <f>IFNA(VLOOKUP(F866,Driver!A:C,2,false),"")</f>
        <v>a5947f58-7342-11f0-a217-506b8d982279</v>
      </c>
      <c r="C866" s="5" t="str">
        <f>IFNA(VLOOKUP(E866,'Location Table'!A:C,2,false),"")</f>
        <v/>
      </c>
      <c r="D866" s="6" t="s">
        <v>739</v>
      </c>
      <c r="E866" s="6"/>
      <c r="F866" s="6" t="s">
        <v>454</v>
      </c>
      <c r="G866" s="7" t="s">
        <v>873</v>
      </c>
      <c r="H866" s="8" t="str">
        <f>IFNA(VLOOKUP(F866,Driver!A:C,3,false),"")</f>
        <v>92652419354ddc13855c</v>
      </c>
      <c r="I866" s="9">
        <v>0.2916666666666667</v>
      </c>
      <c r="J866" s="9">
        <v>0.5833333333333334</v>
      </c>
    </row>
    <row r="867" hidden="1">
      <c r="A867" s="5" t="str">
        <f>IFNA(VLOOKUP(D867,'Location Table'!A:C,2,false),"")</f>
        <v>dabee4fe-b023-11ee-baaf-506b8d9879b5</v>
      </c>
      <c r="B867" s="5" t="str">
        <f>IFNA(VLOOKUP(F867,Driver!A:C,2,false),"")</f>
        <v>ee94ca62-729f-11f0-8cd5-506b8d982279</v>
      </c>
      <c r="C867" s="5" t="str">
        <f>IFNA(VLOOKUP(E867,'Location Table'!A:C,2,false),"")</f>
        <v/>
      </c>
      <c r="D867" s="6" t="s">
        <v>740</v>
      </c>
      <c r="E867" s="6"/>
      <c r="F867" s="6" t="s">
        <v>104</v>
      </c>
      <c r="G867" s="7" t="s">
        <v>873</v>
      </c>
      <c r="H867" s="8" t="str">
        <f>IFNA(VLOOKUP(F867,Driver!A:C,3,false),"")</f>
        <v>f4d2e910814c6812315d</v>
      </c>
      <c r="I867" s="9">
        <v>0.2916666666666667</v>
      </c>
      <c r="J867" s="9">
        <v>0.75</v>
      </c>
    </row>
    <row r="868" hidden="1">
      <c r="A868" s="5" t="str">
        <f>IFNA(VLOOKUP(D868,'Location Table'!A:C,2,false),"")</f>
        <v>1605c970-b744-11ee-be42-506b8d9879b5</v>
      </c>
      <c r="B868" s="5" t="str">
        <f>IFNA(VLOOKUP(F868,Driver!A:C,2,false),"")</f>
        <v>a2f538f8-37ce-11ed-a5cf-506b8dbc8dfb</v>
      </c>
      <c r="C868" s="5" t="str">
        <f>IFNA(VLOOKUP(E868,'Location Table'!A:C,2,false),"")</f>
        <v/>
      </c>
      <c r="D868" s="6" t="s">
        <v>741</v>
      </c>
      <c r="E868" s="6"/>
      <c r="F868" s="6" t="s">
        <v>338</v>
      </c>
      <c r="G868" s="7" t="s">
        <v>873</v>
      </c>
      <c r="H868" s="8" t="str">
        <f>IFNA(VLOOKUP(F868,Driver!A:C,3,false),"")</f>
        <v>c0d10f02724a9b14c25b</v>
      </c>
      <c r="I868" s="9">
        <v>0.2916666666666667</v>
      </c>
      <c r="J868" s="9">
        <v>0.6666666666666666</v>
      </c>
    </row>
    <row r="869" hidden="1">
      <c r="A869" s="5" t="str">
        <f>IFNA(VLOOKUP(D869,'Location Table'!A:C,2,false),"")</f>
        <v>775ca306-508d-11ee-8fce-506b8d9879b5</v>
      </c>
      <c r="B869" s="5" t="str">
        <f>IFNA(VLOOKUP(F869,Driver!A:C,2,false),"")</f>
        <v>232be490-35a4-11ed-88b7-506b8dbc8dfb</v>
      </c>
      <c r="C869" s="5" t="str">
        <f>IFNA(VLOOKUP(E869,'Location Table'!A:C,2,false),"")</f>
        <v/>
      </c>
      <c r="D869" s="6" t="s">
        <v>742</v>
      </c>
      <c r="E869" s="6"/>
      <c r="F869" s="10" t="s">
        <v>110</v>
      </c>
      <c r="G869" s="7" t="s">
        <v>873</v>
      </c>
      <c r="H869" s="8" t="str">
        <f>IFNA(VLOOKUP(F869,Driver!A:C,3,false),"")</f>
        <v>d9fc37dd4093a9cdf082</v>
      </c>
      <c r="I869" s="9">
        <v>0.2916666666666667</v>
      </c>
      <c r="J869" s="9">
        <v>0.6666666666666666</v>
      </c>
    </row>
    <row r="870" hidden="1">
      <c r="A870" s="5" t="str">
        <f>IFNA(VLOOKUP(D870,'Location Table'!A:C,2,false),"")</f>
        <v>f65a6b90-c4fb-11f0-88d5-506b8d982279</v>
      </c>
      <c r="B870" s="5" t="str">
        <f>IFNA(VLOOKUP(F870,Driver!A:C,2,false),"")</f>
        <v>232be490-35a4-11ed-88b7-506b8dbc8dfb</v>
      </c>
      <c r="C870" s="5" t="str">
        <f>IFNA(VLOOKUP(E870,'Location Table'!A:C,2,false),"")</f>
        <v/>
      </c>
      <c r="D870" s="6" t="s">
        <v>743</v>
      </c>
      <c r="E870" s="6"/>
      <c r="F870" s="10" t="s">
        <v>110</v>
      </c>
      <c r="G870" s="7" t="s">
        <v>873</v>
      </c>
      <c r="H870" s="8" t="str">
        <f>IFNA(VLOOKUP(F870,Driver!A:C,3,false),"")</f>
        <v>d9fc37dd4093a9cdf082</v>
      </c>
      <c r="I870" s="9">
        <v>0.2916666666666667</v>
      </c>
      <c r="J870" s="9">
        <v>0.6666666666666666</v>
      </c>
    </row>
    <row r="871" hidden="1">
      <c r="A871" s="5" t="str">
        <f>IFNA(VLOOKUP(D871,'Location Table'!A:C,2,false),"")</f>
        <v>84895166-5615-11f0-8300-506b8d982279</v>
      </c>
      <c r="B871" s="5" t="str">
        <f>IFNA(VLOOKUP(F871,Driver!A:C,2,false),"")</f>
        <v>ce2e0bd2-35a6-11ed-9c4e-506b8dbc8dfb</v>
      </c>
      <c r="C871" s="5" t="str">
        <f>IFNA(VLOOKUP(E871,'Location Table'!A:C,2,false),"")</f>
        <v/>
      </c>
      <c r="D871" s="6" t="s">
        <v>744</v>
      </c>
      <c r="E871" s="6"/>
      <c r="F871" s="6" t="s">
        <v>661</v>
      </c>
      <c r="G871" s="7" t="s">
        <v>873</v>
      </c>
      <c r="H871" s="8" t="str">
        <f>IFNA(VLOOKUP(F871,Driver!A:C,3,false),"")</f>
        <v/>
      </c>
      <c r="I871" s="9">
        <v>0.2916666666666667</v>
      </c>
      <c r="J871" s="9">
        <v>0.75</v>
      </c>
    </row>
    <row r="872" hidden="1">
      <c r="A872" s="5" t="str">
        <f>IFNA(VLOOKUP(D872,'Location Table'!A:C,2,false),"")</f>
        <v>3736a85c-4592-11f0-a3d1-506b8d982279</v>
      </c>
      <c r="B872" s="5" t="str">
        <f>IFNA(VLOOKUP(F872,Driver!A:C,2,false),"")</f>
        <v>b2c9b066-9445-11f0-b1db-506b8d982279</v>
      </c>
      <c r="C872" s="5" t="str">
        <f>IFNA(VLOOKUP(E872,'Location Table'!A:C,2,false),"")</f>
        <v/>
      </c>
      <c r="D872" s="6" t="s">
        <v>745</v>
      </c>
      <c r="E872" s="6"/>
      <c r="F872" s="6" t="s">
        <v>874</v>
      </c>
      <c r="G872" s="7" t="s">
        <v>873</v>
      </c>
      <c r="H872" s="8" t="str">
        <f>IFNA(VLOOKUP(F872,Driver!A:C,3,false),"")</f>
        <v>59fa514f510cb852e11d</v>
      </c>
      <c r="I872" s="9">
        <v>0.2916666666666667</v>
      </c>
      <c r="J872" s="9">
        <v>0.75</v>
      </c>
    </row>
    <row r="873" hidden="1">
      <c r="A873" s="5" t="str">
        <f>IFNA(VLOOKUP(D873,'Location Table'!A:C,2,false),"")</f>
        <v>89a82644-ee8c-11f0-9378-fa163ee8d8ac</v>
      </c>
      <c r="B873" s="5" t="str">
        <f>IFNA(VLOOKUP(F873,Driver!A:C,2,false),"")</f>
        <v>b2c9b066-9445-11f0-b1db-506b8d982279</v>
      </c>
      <c r="C873" s="5" t="str">
        <f>IFNA(VLOOKUP(E873,'Location Table'!A:C,2,false),"")</f>
        <v/>
      </c>
      <c r="D873" s="6" t="s">
        <v>746</v>
      </c>
      <c r="E873" s="6"/>
      <c r="F873" s="6" t="s">
        <v>874</v>
      </c>
      <c r="G873" s="7" t="s">
        <v>873</v>
      </c>
      <c r="H873" s="8" t="str">
        <f>IFNA(VLOOKUP(F873,Driver!A:C,3,false),"")</f>
        <v>59fa514f510cb852e11d</v>
      </c>
      <c r="I873" s="9">
        <v>0.2916666666666667</v>
      </c>
      <c r="J873" s="9">
        <v>0.75</v>
      </c>
    </row>
    <row r="874" hidden="1">
      <c r="A874" s="5" t="str">
        <f>IFNA(VLOOKUP(D874,'Location Table'!A:C,2,false),"")</f>
        <v>eead9412-98ba-11ef-8074-506b8d9879b5</v>
      </c>
      <c r="B874" s="5" t="str">
        <f>IFNA(VLOOKUP(F874,Driver!A:C,2,false),"")</f>
        <v>a5947f58-7342-11f0-a217-506b8d982279</v>
      </c>
      <c r="C874" s="5" t="str">
        <f>IFNA(VLOOKUP(E874,'Location Table'!A:C,2,false),"")</f>
        <v/>
      </c>
      <c r="D874" s="6" t="s">
        <v>747</v>
      </c>
      <c r="E874" s="6"/>
      <c r="F874" s="6" t="s">
        <v>454</v>
      </c>
      <c r="G874" s="7" t="s">
        <v>873</v>
      </c>
      <c r="H874" s="8" t="str">
        <f>IFNA(VLOOKUP(F874,Driver!A:C,3,false),"")</f>
        <v>92652419354ddc13855c</v>
      </c>
      <c r="I874" s="9">
        <v>0.2916666666666667</v>
      </c>
      <c r="J874" s="9">
        <v>0.5833333333333334</v>
      </c>
    </row>
    <row r="875" hidden="1">
      <c r="A875" s="5" t="str">
        <f>IFNA(VLOOKUP(D875,'Location Table'!A:C,2,false),"")</f>
        <v>dbdc81ea-c664-11ef-9fda-506b8d9879b5</v>
      </c>
      <c r="B875" s="5" t="str">
        <f>IFNA(VLOOKUP(F875,Driver!A:C,2,false),"")</f>
        <v>a9bf91b4-00e4-11f1-9378-fa163ee8d8ac</v>
      </c>
      <c r="C875" s="5" t="str">
        <f>IFNA(VLOOKUP(E875,'Location Table'!A:C,2,false),"")</f>
        <v/>
      </c>
      <c r="D875" s="6" t="s">
        <v>748</v>
      </c>
      <c r="E875" s="6"/>
      <c r="F875" s="6" t="s">
        <v>142</v>
      </c>
      <c r="G875" s="7" t="s">
        <v>873</v>
      </c>
      <c r="H875" s="8" t="str">
        <f>IFNA(VLOOKUP(F875,Driver!A:C,3,false),"")</f>
        <v/>
      </c>
      <c r="I875" s="9">
        <v>0.2916666666666667</v>
      </c>
      <c r="J875" s="9">
        <v>0.5</v>
      </c>
    </row>
    <row r="876" hidden="1">
      <c r="A876" s="5" t="str">
        <f>IFNA(VLOOKUP(D876,'Location Table'!A:C,2,false),"")</f>
        <v>a31825ce-cd8b-11f0-9201-506b8d982279</v>
      </c>
      <c r="B876" s="5" t="str">
        <f>IFNA(VLOOKUP(F876,Driver!A:C,2,false),"")</f>
        <v>232be490-35a4-11ed-88b7-506b8dbc8dfb</v>
      </c>
      <c r="C876" s="5" t="str">
        <f>IFNA(VLOOKUP(E876,'Location Table'!A:C,2,false),"")</f>
        <v/>
      </c>
      <c r="D876" s="6" t="s">
        <v>749</v>
      </c>
      <c r="E876" s="6"/>
      <c r="F876" s="10" t="s">
        <v>110</v>
      </c>
      <c r="G876" s="7" t="s">
        <v>873</v>
      </c>
      <c r="H876" s="8" t="str">
        <f>IFNA(VLOOKUP(F876,Driver!A:C,3,false),"")</f>
        <v>d9fc37dd4093a9cdf082</v>
      </c>
      <c r="I876" s="9">
        <v>0.2916666666666667</v>
      </c>
      <c r="J876" s="9">
        <v>0.6666666666666666</v>
      </c>
    </row>
    <row r="877" hidden="1">
      <c r="A877" s="5" t="str">
        <f>IFNA(VLOOKUP(D877,'Location Table'!A:C,2,false),"")</f>
        <v>69fba796-9237-11f0-8bc1-506b8d982279</v>
      </c>
      <c r="B877" s="5" t="str">
        <f>IFNA(VLOOKUP(F877,Driver!A:C,2,false),"")</f>
        <v>717fa61c-3654-11ed-b103-506b8dbc8dfb</v>
      </c>
      <c r="C877" s="5" t="str">
        <f>IFNA(VLOOKUP(E877,'Location Table'!A:C,2,false),"")</f>
        <v/>
      </c>
      <c r="D877" s="6" t="s">
        <v>750</v>
      </c>
      <c r="E877" s="6"/>
      <c r="F877" s="6" t="s">
        <v>361</v>
      </c>
      <c r="G877" s="7" t="s">
        <v>873</v>
      </c>
      <c r="H877" s="8" t="str">
        <f>IFNA(VLOOKUP(F877,Driver!A:C,3,false),"")</f>
        <v>fbc73b7bb6385f660629</v>
      </c>
      <c r="I877" s="9">
        <v>0.2916666666666667</v>
      </c>
      <c r="J877" s="9">
        <v>0.5833333333333334</v>
      </c>
    </row>
    <row r="878" hidden="1">
      <c r="A878" s="5" t="str">
        <f>IFNA(VLOOKUP(D878,'Location Table'!A:C,2,false),"")</f>
        <v>46f585c6-a5b2-11f0-8e60-506b8d982279</v>
      </c>
      <c r="B878" s="5" t="str">
        <f>IFNA(VLOOKUP(F878,Driver!A:C,2,false),"")</f>
        <v>a9bf91b4-00e4-11f1-9378-fa163ee8d8ac</v>
      </c>
      <c r="C878" s="5" t="str">
        <f>IFNA(VLOOKUP(E878,'Location Table'!A:C,2,false),"")</f>
        <v/>
      </c>
      <c r="D878" s="6" t="s">
        <v>751</v>
      </c>
      <c r="E878" s="6"/>
      <c r="F878" s="6" t="s">
        <v>142</v>
      </c>
      <c r="G878" s="7" t="s">
        <v>873</v>
      </c>
      <c r="H878" s="8" t="str">
        <f>IFNA(VLOOKUP(F878,Driver!A:C,3,false),"")</f>
        <v/>
      </c>
      <c r="I878" s="9">
        <v>0.2916666666666667</v>
      </c>
      <c r="J878" s="9">
        <v>0.5</v>
      </c>
    </row>
    <row r="879" hidden="1">
      <c r="A879" s="5" t="str">
        <f>IFNA(VLOOKUP(D879,'Location Table'!A:C,2,false),"")</f>
        <v>37e43e94-c9eb-11f0-a5a0-506b8d982279</v>
      </c>
      <c r="B879" s="5" t="str">
        <f>IFNA(VLOOKUP(F879,Driver!A:C,2,false),"")</f>
        <v>b2c9b066-9445-11f0-b1db-506b8d982279</v>
      </c>
      <c r="C879" s="5" t="str">
        <f>IFNA(VLOOKUP(E879,'Location Table'!A:C,2,false),"")</f>
        <v/>
      </c>
      <c r="D879" s="6" t="s">
        <v>752</v>
      </c>
      <c r="E879" s="6"/>
      <c r="F879" s="6" t="s">
        <v>874</v>
      </c>
      <c r="G879" s="7" t="s">
        <v>873</v>
      </c>
      <c r="H879" s="8" t="str">
        <f>IFNA(VLOOKUP(F879,Driver!A:C,3,false),"")</f>
        <v>59fa514f510cb852e11d</v>
      </c>
      <c r="I879" s="9">
        <v>0.2916666666666667</v>
      </c>
      <c r="J879" s="9">
        <v>0.75</v>
      </c>
    </row>
    <row r="880" hidden="1">
      <c r="A880" s="5" t="str">
        <f>IFNA(VLOOKUP(D880,'Location Table'!A:C,2,false),"")</f>
        <v>0e28662a-a327-11ef-b7ef-506b8d9879b5</v>
      </c>
      <c r="B880" s="5" t="str">
        <f>IFNA(VLOOKUP(F880,Driver!A:C,2,false),"")</f>
        <v>717fa61c-3654-11ed-b103-506b8dbc8dfb</v>
      </c>
      <c r="C880" s="5" t="str">
        <f>IFNA(VLOOKUP(E880,'Location Table'!A:C,2,false),"")</f>
        <v/>
      </c>
      <c r="D880" s="6" t="s">
        <v>753</v>
      </c>
      <c r="E880" s="6"/>
      <c r="F880" s="6" t="s">
        <v>361</v>
      </c>
      <c r="G880" s="7" t="s">
        <v>873</v>
      </c>
      <c r="H880" s="8" t="str">
        <f>IFNA(VLOOKUP(F880,Driver!A:C,3,false),"")</f>
        <v>fbc73b7bb6385f660629</v>
      </c>
      <c r="I880" s="9">
        <v>0.2916666666666667</v>
      </c>
      <c r="J880" s="9">
        <v>0.5833333333333334</v>
      </c>
    </row>
    <row r="881" hidden="1">
      <c r="A881" s="5" t="str">
        <f>IFNA(VLOOKUP(D881,'Location Table'!A:C,2,false),"")</f>
        <v>5a8e5668-deac-11ee-91a6-506b8d9879b5</v>
      </c>
      <c r="B881" s="5" t="str">
        <f>IFNA(VLOOKUP(F881,Driver!A:C,2,false),"")</f>
        <v>232be490-35a4-11ed-88b7-506b8dbc8dfb</v>
      </c>
      <c r="C881" s="5" t="str">
        <f>IFNA(VLOOKUP(E881,'Location Table'!A:C,2,false),"")</f>
        <v/>
      </c>
      <c r="D881" s="6" t="s">
        <v>754</v>
      </c>
      <c r="E881" s="6"/>
      <c r="F881" s="10" t="s">
        <v>110</v>
      </c>
      <c r="G881" s="7" t="s">
        <v>873</v>
      </c>
      <c r="H881" s="8" t="str">
        <f>IFNA(VLOOKUP(F881,Driver!A:C,3,false),"")</f>
        <v>d9fc37dd4093a9cdf082</v>
      </c>
      <c r="I881" s="9">
        <v>0.2916666666666667</v>
      </c>
      <c r="J881" s="9">
        <v>0.6666666666666666</v>
      </c>
    </row>
    <row r="882" hidden="1">
      <c r="A882" s="5" t="str">
        <f>IFNA(VLOOKUP(D882,'Location Table'!A:C,2,false),"")</f>
        <v>2431f23e-1f31-11f0-ab1e-506b8d982279</v>
      </c>
      <c r="B882" s="5" t="str">
        <f>IFNA(VLOOKUP(F882,Driver!A:C,2,false),"")</f>
        <v>a51713c2-37c4-11ed-a4e6-506b8dbc8dfb</v>
      </c>
      <c r="C882" s="5" t="str">
        <f>IFNA(VLOOKUP(E882,'Location Table'!A:C,2,false),"")</f>
        <v/>
      </c>
      <c r="D882" s="6" t="s">
        <v>755</v>
      </c>
      <c r="E882" s="6"/>
      <c r="F882" s="6" t="s">
        <v>132</v>
      </c>
      <c r="G882" s="7" t="s">
        <v>873</v>
      </c>
      <c r="H882" s="8" t="str">
        <f>IFNA(VLOOKUP(F882,Driver!A:C,3,false),"")</f>
        <v>e24e6f345362ba3ce373</v>
      </c>
      <c r="I882" s="9">
        <v>0.2916666666666667</v>
      </c>
      <c r="J882" s="9">
        <v>0.5</v>
      </c>
    </row>
    <row r="883" hidden="1">
      <c r="A883" s="5" t="str">
        <f>IFNA(VLOOKUP(D883,'Location Table'!A:C,2,false),"")</f>
        <v>ba240c02-468b-11ef-8f83-506b8d9879b5</v>
      </c>
      <c r="B883" s="5" t="str">
        <f>IFNA(VLOOKUP(F883,Driver!A:C,2,false),"")</f>
        <v>103090f4-37c8-11ed-9333-506b8dbc8dfb</v>
      </c>
      <c r="C883" s="5" t="str">
        <f>IFNA(VLOOKUP(E883,'Location Table'!A:C,2,false),"")</f>
        <v/>
      </c>
      <c r="D883" s="6" t="s">
        <v>756</v>
      </c>
      <c r="E883" s="6"/>
      <c r="F883" s="6" t="s">
        <v>130</v>
      </c>
      <c r="G883" s="7" t="s">
        <v>873</v>
      </c>
      <c r="H883" s="8" t="str">
        <f>IFNA(VLOOKUP(F883,Driver!A:C,3,false),"")</f>
        <v>77085b30147bfd25a46a</v>
      </c>
      <c r="I883" s="9">
        <v>0.2916666666666667</v>
      </c>
      <c r="J883" s="9">
        <v>0.75</v>
      </c>
    </row>
    <row r="884" hidden="1">
      <c r="A884" s="5" t="str">
        <f>IFNA(VLOOKUP(D884,'Location Table'!A:C,2,false),"")</f>
        <v>55238e6a-8de6-11f0-a64e-506b8d982279</v>
      </c>
      <c r="B884" s="5" t="str">
        <f>IFNA(VLOOKUP(F884,Driver!A:C,2,false),"")</f>
        <v>aa436cae-e9f3-11ef-bd94-506b8d9879b5</v>
      </c>
      <c r="C884" s="5" t="str">
        <f>IFNA(VLOOKUP(E884,'Location Table'!A:C,2,false),"")</f>
        <v/>
      </c>
      <c r="D884" s="6" t="s">
        <v>757</v>
      </c>
      <c r="E884" s="6"/>
      <c r="F884" s="6" t="s">
        <v>452</v>
      </c>
      <c r="G884" s="7" t="s">
        <v>873</v>
      </c>
      <c r="H884" s="8" t="str">
        <f>IFNA(VLOOKUP(F884,Driver!A:C,3,false),"")</f>
        <v>f07b253084796d273468</v>
      </c>
      <c r="I884" s="9">
        <v>0.2916666666666667</v>
      </c>
      <c r="J884" s="9">
        <v>0.5</v>
      </c>
    </row>
    <row r="885" hidden="1">
      <c r="A885" s="5" t="str">
        <f>IFNA(VLOOKUP(D885,'Location Table'!A:C,2,false),"")</f>
        <v>8379d2b4-0886-11f0-bf88-506b8d982279</v>
      </c>
      <c r="B885" s="5" t="str">
        <f>IFNA(VLOOKUP(F885,Driver!A:C,2,false),"")</f>
        <v>232be490-35a4-11ed-88b7-506b8dbc8dfb</v>
      </c>
      <c r="C885" s="5" t="str">
        <f>IFNA(VLOOKUP(E885,'Location Table'!A:C,2,false),"")</f>
        <v/>
      </c>
      <c r="D885" s="6" t="s">
        <v>758</v>
      </c>
      <c r="E885" s="6"/>
      <c r="F885" s="10" t="s">
        <v>110</v>
      </c>
      <c r="G885" s="7" t="s">
        <v>873</v>
      </c>
      <c r="H885" s="8" t="str">
        <f>IFNA(VLOOKUP(F885,Driver!A:C,3,false),"")</f>
        <v>d9fc37dd4093a9cdf082</v>
      </c>
      <c r="I885" s="9">
        <v>0.2916666666666667</v>
      </c>
      <c r="J885" s="9">
        <v>0.6666666666666666</v>
      </c>
    </row>
    <row r="886" hidden="1">
      <c r="A886" s="5" t="str">
        <f>IFNA(VLOOKUP(D886,'Location Table'!A:C,2,false),"")</f>
        <v>eb63f7d6-4481-11ed-a3ad-506b8dbc8dfb</v>
      </c>
      <c r="B886" s="5" t="str">
        <f>IFNA(VLOOKUP(F886,Driver!A:C,2,false),"")</f>
        <v>ce2e0bd2-35a6-11ed-9c4e-506b8dbc8dfb</v>
      </c>
      <c r="C886" s="5" t="str">
        <f>IFNA(VLOOKUP(E886,'Location Table'!A:C,2,false),"")</f>
        <v/>
      </c>
      <c r="D886" s="6" t="s">
        <v>759</v>
      </c>
      <c r="E886" s="6"/>
      <c r="F886" s="6" t="s">
        <v>661</v>
      </c>
      <c r="G886" s="7" t="s">
        <v>873</v>
      </c>
      <c r="H886" s="8" t="str">
        <f>IFNA(VLOOKUP(F886,Driver!A:C,3,false),"")</f>
        <v/>
      </c>
      <c r="I886" s="9">
        <v>0.2916666666666667</v>
      </c>
      <c r="J886" s="9">
        <v>0.75</v>
      </c>
    </row>
    <row r="887" hidden="1">
      <c r="A887" s="5" t="str">
        <f>IFNA(VLOOKUP(D887,'Location Table'!A:C,2,false),"")</f>
        <v>02cb35f0-eade-11f0-97d5-506b8d982279</v>
      </c>
      <c r="B887" s="5" t="str">
        <f>IFNA(VLOOKUP(F887,Driver!A:C,2,false),"")</f>
        <v>a2f538f8-37ce-11ed-a5cf-506b8dbc8dfb</v>
      </c>
      <c r="C887" s="5" t="str">
        <f>IFNA(VLOOKUP(E887,'Location Table'!A:C,2,false),"")</f>
        <v/>
      </c>
      <c r="D887" s="6" t="s">
        <v>760</v>
      </c>
      <c r="E887" s="6"/>
      <c r="F887" s="6" t="s">
        <v>338</v>
      </c>
      <c r="G887" s="7" t="s">
        <v>873</v>
      </c>
      <c r="H887" s="8" t="str">
        <f>IFNA(VLOOKUP(F887,Driver!A:C,3,false),"")</f>
        <v>c0d10f02724a9b14c25b</v>
      </c>
      <c r="I887" s="9">
        <v>0.2916666666666667</v>
      </c>
      <c r="J887" s="9">
        <v>0.6666666666666666</v>
      </c>
    </row>
    <row r="888" hidden="1">
      <c r="A888" s="5" t="str">
        <f>IFNA(VLOOKUP(D888,'Location Table'!A:C,2,false),"")</f>
        <v>a107b52e-b48b-11f0-94b5-506b8d982279</v>
      </c>
      <c r="B888" s="5" t="str">
        <f>IFNA(VLOOKUP(F888,Driver!A:C,2,false),"")</f>
        <v>ce2e0bd2-35a6-11ed-9c4e-506b8dbc8dfb</v>
      </c>
      <c r="C888" s="5" t="str">
        <f>IFNA(VLOOKUP(E888,'Location Table'!A:C,2,false),"")</f>
        <v/>
      </c>
      <c r="D888" s="6" t="s">
        <v>761</v>
      </c>
      <c r="E888" s="6"/>
      <c r="F888" s="6" t="s">
        <v>661</v>
      </c>
      <c r="G888" s="7" t="s">
        <v>873</v>
      </c>
      <c r="H888" s="8" t="str">
        <f>IFNA(VLOOKUP(F888,Driver!A:C,3,false),"")</f>
        <v/>
      </c>
      <c r="I888" s="9">
        <v>0.2916666666666667</v>
      </c>
      <c r="J888" s="9">
        <v>0.75</v>
      </c>
    </row>
    <row r="889" hidden="1">
      <c r="A889" s="5" t="str">
        <f>IFNA(VLOOKUP(D889,'Location Table'!A:C,2,false),"")</f>
        <v>f59d8ce4-9a7e-11ef-94b3-506b8d9879b5</v>
      </c>
      <c r="B889" s="5" t="str">
        <f>IFNA(VLOOKUP(F889,Driver!A:C,2,false),"")</f>
        <v>8909168a-37c4-11ed-9647-506b8dbc8dfb</v>
      </c>
      <c r="C889" s="5" t="str">
        <f>IFNA(VLOOKUP(E889,'Location Table'!A:C,2,false),"")</f>
        <v/>
      </c>
      <c r="D889" s="6" t="s">
        <v>762</v>
      </c>
      <c r="E889" s="6"/>
      <c r="F889" s="6" t="s">
        <v>552</v>
      </c>
      <c r="G889" s="7" t="s">
        <v>873</v>
      </c>
      <c r="H889" s="8" t="str">
        <f>IFNA(VLOOKUP(F889,Driver!A:C,3,false),"")</f>
        <v>6f0424c9ec8505db5c94</v>
      </c>
      <c r="I889" s="9">
        <v>0.2916666666666667</v>
      </c>
      <c r="J889" s="9">
        <v>0.75</v>
      </c>
    </row>
    <row r="890" hidden="1">
      <c r="A890" s="5" t="str">
        <f>IFNA(VLOOKUP(D890,'Location Table'!A:C,2,false),"")</f>
        <v>8bd366aa-447f-11ed-9a1c-506b8dbc8dfb</v>
      </c>
      <c r="B890" s="5" t="str">
        <f>IFNA(VLOOKUP(F890,Driver!A:C,2,false),"")</f>
        <v>b74e3178-7caf-11f0-a9c3-506b8d982279</v>
      </c>
      <c r="C890" s="5" t="str">
        <f>IFNA(VLOOKUP(E890,'Location Table'!A:C,2,false),"")</f>
        <v/>
      </c>
      <c r="D890" s="6" t="s">
        <v>226</v>
      </c>
      <c r="E890" s="6"/>
      <c r="F890" s="6" t="s">
        <v>326</v>
      </c>
      <c r="G890" s="7" t="s">
        <v>873</v>
      </c>
      <c r="H890" s="8" t="str">
        <f>IFNA(VLOOKUP(F890,Driver!A:C,3,false),"")</f>
        <v>473ef1d8329bdbc5828a</v>
      </c>
      <c r="I890" s="9">
        <v>0.2916666666666667</v>
      </c>
      <c r="J890" s="9">
        <v>0.6666666666666666</v>
      </c>
    </row>
    <row r="891" hidden="1">
      <c r="A891" s="5" t="str">
        <f>IFNA(VLOOKUP(D891,'Location Table'!A:C,2,false),"")</f>
        <v>a5daa8ea-0ab5-11ee-b70d-506b8dbc8dfb</v>
      </c>
      <c r="B891" s="5" t="str">
        <f>IFNA(VLOOKUP(F891,Driver!A:C,2,false),"")</f>
        <v>a9bf91b4-00e4-11f1-9378-fa163ee8d8ac</v>
      </c>
      <c r="C891" s="5" t="str">
        <f>IFNA(VLOOKUP(E891,'Location Table'!A:C,2,false),"")</f>
        <v/>
      </c>
      <c r="D891" s="6" t="s">
        <v>763</v>
      </c>
      <c r="E891" s="6"/>
      <c r="F891" s="6" t="s">
        <v>142</v>
      </c>
      <c r="G891" s="7" t="s">
        <v>873</v>
      </c>
      <c r="H891" s="8" t="str">
        <f>IFNA(VLOOKUP(F891,Driver!A:C,3,false),"")</f>
        <v/>
      </c>
      <c r="I891" s="9">
        <v>0.2916666666666667</v>
      </c>
      <c r="J891" s="9">
        <v>0.5</v>
      </c>
    </row>
    <row r="892" hidden="1">
      <c r="A892" s="5" t="str">
        <f>IFNA(VLOOKUP(D892,'Location Table'!A:C,2,false),"")</f>
        <v>fbfe42a0-4d57-11ef-b0f3-506b8d9879b5</v>
      </c>
      <c r="B892" s="5" t="str">
        <f>IFNA(VLOOKUP(F892,Driver!A:C,2,false),"")</f>
        <v>9ba6de4c-37d0-11ed-90bb-506b8dbc8dfb</v>
      </c>
      <c r="C892" s="5" t="str">
        <f>IFNA(VLOOKUP(E892,'Location Table'!A:C,2,false),"")</f>
        <v/>
      </c>
      <c r="D892" s="6" t="s">
        <v>764</v>
      </c>
      <c r="E892" s="6"/>
      <c r="F892" s="6" t="s">
        <v>330</v>
      </c>
      <c r="G892" s="7" t="s">
        <v>873</v>
      </c>
      <c r="H892" s="8" t="str">
        <f>IFNA(VLOOKUP(F892,Driver!A:C,3,false),"")</f>
        <v>d0ce770b76499f17c658</v>
      </c>
      <c r="I892" s="9">
        <v>0.2916666666666667</v>
      </c>
      <c r="J892" s="9">
        <v>0.5</v>
      </c>
    </row>
    <row r="893" hidden="1">
      <c r="A893" s="5" t="str">
        <f>IFNA(VLOOKUP(D893,'Location Table'!A:C,2,false),"")</f>
        <v>adf1e9a6-8b27-11ee-a96f-506b8d9879b5</v>
      </c>
      <c r="B893" s="5" t="str">
        <f>IFNA(VLOOKUP(F893,Driver!A:C,2,false),"")</f>
        <v>a2f538f8-37ce-11ed-a5cf-506b8dbc8dfb</v>
      </c>
      <c r="C893" s="5" t="str">
        <f>IFNA(VLOOKUP(E893,'Location Table'!A:C,2,false),"")</f>
        <v/>
      </c>
      <c r="D893" s="6" t="s">
        <v>765</v>
      </c>
      <c r="E893" s="6"/>
      <c r="F893" s="6" t="s">
        <v>338</v>
      </c>
      <c r="G893" s="7" t="s">
        <v>873</v>
      </c>
      <c r="H893" s="8" t="str">
        <f>IFNA(VLOOKUP(F893,Driver!A:C,3,false),"")</f>
        <v>c0d10f02724a9b14c25b</v>
      </c>
      <c r="I893" s="9">
        <v>0.2916666666666667</v>
      </c>
      <c r="J893" s="9">
        <v>0.6666666666666666</v>
      </c>
    </row>
    <row r="894" hidden="1">
      <c r="A894" s="5" t="str">
        <f>IFNA(VLOOKUP(D894,'Location Table'!A:C,2,false),"")</f>
        <v>13041bc8-ed73-11ed-b9c2-506b8dbc8dfb</v>
      </c>
      <c r="B894" s="5" t="str">
        <f>IFNA(VLOOKUP(F894,Driver!A:C,2,false),"")</f>
        <v>ce2e0bd2-35a6-11ed-9c4e-506b8dbc8dfb</v>
      </c>
      <c r="C894" s="5" t="str">
        <f>IFNA(VLOOKUP(E894,'Location Table'!A:C,2,false),"")</f>
        <v/>
      </c>
      <c r="D894" s="6" t="s">
        <v>766</v>
      </c>
      <c r="E894" s="6"/>
      <c r="F894" s="6" t="s">
        <v>661</v>
      </c>
      <c r="G894" s="7" t="s">
        <v>873</v>
      </c>
      <c r="H894" s="8" t="str">
        <f>IFNA(VLOOKUP(F894,Driver!A:C,3,false),"")</f>
        <v/>
      </c>
      <c r="I894" s="9">
        <v>0.2916666666666667</v>
      </c>
      <c r="J894" s="9">
        <v>0.75</v>
      </c>
    </row>
    <row r="895" hidden="1">
      <c r="A895" s="5" t="str">
        <f>IFNA(VLOOKUP(D895,'Location Table'!A:C,2,false),"")</f>
        <v>1dc5cb76-8f86-11f0-8662-506b8d982279</v>
      </c>
      <c r="B895" s="5" t="str">
        <f>IFNA(VLOOKUP(F895,Driver!A:C,2,false),"")</f>
        <v>1d4786cc-12f7-11f1-9378-fa163ee8d8ac</v>
      </c>
      <c r="C895" s="5" t="str">
        <f>IFNA(VLOOKUP(E895,'Location Table'!A:C,2,false),"")</f>
        <v/>
      </c>
      <c r="D895" s="6" t="s">
        <v>767</v>
      </c>
      <c r="E895" s="6"/>
      <c r="F895" s="10" t="s">
        <v>343</v>
      </c>
      <c r="G895" s="7" t="s">
        <v>873</v>
      </c>
      <c r="H895" s="8" t="str">
        <f>IFNA(VLOOKUP(F895,Driver!A:C,3,false),"")</f>
        <v>85d2de46a91b4045190a</v>
      </c>
      <c r="I895" s="9">
        <v>0.2916666666666667</v>
      </c>
      <c r="J895" s="9">
        <v>0.75</v>
      </c>
    </row>
    <row r="896" hidden="1">
      <c r="A896" s="5" t="str">
        <f>IFNA(VLOOKUP(D896,'Location Table'!A:C,2,false),"")</f>
        <v>074046c4-c30e-11ee-8f54-506b8d9879b5</v>
      </c>
      <c r="B896" s="5" t="str">
        <f>IFNA(VLOOKUP(F896,Driver!A:C,2,false),"")</f>
        <v>987568fa-37c7-11ed-aac2-506b8dbc8dfb</v>
      </c>
      <c r="C896" s="5" t="str">
        <f>IFNA(VLOOKUP(E896,'Location Table'!A:C,2,false),"")</f>
        <v/>
      </c>
      <c r="D896" s="6" t="s">
        <v>768</v>
      </c>
      <c r="E896" s="6"/>
      <c r="F896" s="6" t="s">
        <v>849</v>
      </c>
      <c r="G896" s="7" t="s">
        <v>873</v>
      </c>
      <c r="H896" s="8" t="str">
        <f>IFNA(VLOOKUP(F896,Driver!A:C,3,false),"")</f>
        <v>fb399a0ae5460c185557</v>
      </c>
      <c r="I896" s="9">
        <v>0.2916666666666667</v>
      </c>
      <c r="J896" s="9">
        <v>0.7083333333333334</v>
      </c>
    </row>
    <row r="897" hidden="1">
      <c r="A897" s="5" t="str">
        <f>IFNA(VLOOKUP(D897,'Location Table'!A:C,2,false),"")</f>
        <v>da75a96c-5cf6-11ef-b8c6-506b8d9879b5</v>
      </c>
      <c r="B897" s="5" t="str">
        <f>IFNA(VLOOKUP(F897,Driver!A:C,2,false),"")</f>
        <v>aa436cae-e9f3-11ef-bd94-506b8d9879b5</v>
      </c>
      <c r="C897" s="5" t="str">
        <f>IFNA(VLOOKUP(E897,'Location Table'!A:C,2,false),"")</f>
        <v/>
      </c>
      <c r="D897" s="6" t="s">
        <v>769</v>
      </c>
      <c r="E897" s="6"/>
      <c r="F897" s="6" t="s">
        <v>452</v>
      </c>
      <c r="G897" s="7" t="s">
        <v>873</v>
      </c>
      <c r="H897" s="8" t="str">
        <f>IFNA(VLOOKUP(F897,Driver!A:C,3,false),"")</f>
        <v>f07b253084796d273468</v>
      </c>
      <c r="I897" s="9">
        <v>0.2916666666666667</v>
      </c>
      <c r="J897" s="9">
        <v>0.5</v>
      </c>
    </row>
    <row r="898" hidden="1">
      <c r="A898" s="5" t="str">
        <f>IFNA(VLOOKUP(D898,'Location Table'!A:C,2,false),"")</f>
        <v>3360c04c-8f79-11f0-a33c-506b8d982279</v>
      </c>
      <c r="B898" s="5" t="str">
        <f>IFNA(VLOOKUP(F898,Driver!A:C,2,false),"")</f>
        <v>aa436cae-e9f3-11ef-bd94-506b8d9879b5</v>
      </c>
      <c r="C898" s="5" t="str">
        <f>IFNA(VLOOKUP(E898,'Location Table'!A:C,2,false),"")</f>
        <v/>
      </c>
      <c r="D898" s="6" t="s">
        <v>770</v>
      </c>
      <c r="E898" s="6"/>
      <c r="F898" s="6" t="s">
        <v>452</v>
      </c>
      <c r="G898" s="7" t="s">
        <v>873</v>
      </c>
      <c r="H898" s="8" t="str">
        <f>IFNA(VLOOKUP(F898,Driver!A:C,3,false),"")</f>
        <v>f07b253084796d273468</v>
      </c>
      <c r="I898" s="9">
        <v>0.2916666666666667</v>
      </c>
      <c r="J898" s="9">
        <v>0.5</v>
      </c>
    </row>
    <row r="899" hidden="1">
      <c r="A899" s="5" t="str">
        <f>IFNA(VLOOKUP(D899,'Location Table'!A:C,2,false),"")</f>
        <v>7939705c-900e-11ef-a057-506b8d9879b5</v>
      </c>
      <c r="B899" s="5" t="str">
        <f>IFNA(VLOOKUP(F899,Driver!A:C,2,false),"")</f>
        <v>a5947f58-7342-11f0-a217-506b8d982279</v>
      </c>
      <c r="C899" s="5" t="str">
        <f>IFNA(VLOOKUP(E899,'Location Table'!A:C,2,false),"")</f>
        <v/>
      </c>
      <c r="D899" s="6" t="s">
        <v>771</v>
      </c>
      <c r="E899" s="6"/>
      <c r="F899" s="6" t="s">
        <v>454</v>
      </c>
      <c r="G899" s="7" t="s">
        <v>873</v>
      </c>
      <c r="H899" s="8" t="str">
        <f>IFNA(VLOOKUP(F899,Driver!A:C,3,false),"")</f>
        <v>92652419354ddc13855c</v>
      </c>
      <c r="I899" s="9">
        <v>0.2916666666666667</v>
      </c>
      <c r="J899" s="9">
        <v>0.5833333333333334</v>
      </c>
    </row>
    <row r="900" hidden="1">
      <c r="A900" s="5" t="str">
        <f>IFNA(VLOOKUP(D900,'Location Table'!A:C,2,false),"")</f>
        <v>1a0d1c1a-f535-11ee-be48-506b8d9879b5</v>
      </c>
      <c r="B900" s="5" t="str">
        <f>IFNA(VLOOKUP(F900,Driver!A:C,2,false),"")</f>
        <v>987568fa-37c7-11ed-aac2-506b8dbc8dfb</v>
      </c>
      <c r="C900" s="5" t="str">
        <f>IFNA(VLOOKUP(E900,'Location Table'!A:C,2,false),"")</f>
        <v/>
      </c>
      <c r="D900" s="6" t="s">
        <v>772</v>
      </c>
      <c r="E900" s="6"/>
      <c r="F900" s="6" t="s">
        <v>849</v>
      </c>
      <c r="G900" s="7" t="s">
        <v>873</v>
      </c>
      <c r="H900" s="8" t="str">
        <f>IFNA(VLOOKUP(F900,Driver!A:C,3,false),"")</f>
        <v>fb399a0ae5460c185557</v>
      </c>
      <c r="I900" s="9">
        <v>0.2916666666666667</v>
      </c>
      <c r="J900" s="9">
        <v>0.7083333333333334</v>
      </c>
    </row>
    <row r="901" hidden="1">
      <c r="A901" s="5" t="str">
        <f>IFNA(VLOOKUP(D901,'Location Table'!A:C,2,false),"")</f>
        <v>e2124b02-2cec-11ee-b541-506b8d9879b5</v>
      </c>
      <c r="B901" s="5" t="str">
        <f>IFNA(VLOOKUP(F901,Driver!A:C,2,false),"")</f>
        <v>a9bf91b4-00e4-11f1-9378-fa163ee8d8ac</v>
      </c>
      <c r="C901" s="5" t="str">
        <f>IFNA(VLOOKUP(E901,'Location Table'!A:C,2,false),"")</f>
        <v/>
      </c>
      <c r="D901" s="6" t="s">
        <v>773</v>
      </c>
      <c r="E901" s="6"/>
      <c r="F901" s="6" t="s">
        <v>142</v>
      </c>
      <c r="G901" s="7" t="s">
        <v>873</v>
      </c>
      <c r="H901" s="8" t="str">
        <f>IFNA(VLOOKUP(F901,Driver!A:C,3,false),"")</f>
        <v/>
      </c>
      <c r="I901" s="9">
        <v>0.2916666666666667</v>
      </c>
      <c r="J901" s="9">
        <v>0.5</v>
      </c>
    </row>
    <row r="902" hidden="1">
      <c r="A902" s="5" t="str">
        <f>IFNA(VLOOKUP(D902,'Location Table'!A:C,2,false),"")</f>
        <v>5686c49a-8ada-11ee-bde1-506b8d9879b5</v>
      </c>
      <c r="B902" s="5" t="str">
        <f>IFNA(VLOOKUP(F902,Driver!A:C,2,false),"")</f>
        <v/>
      </c>
      <c r="C902" s="5" t="str">
        <f>IFNA(VLOOKUP(E902,'Location Table'!A:C,2,false),"")</f>
        <v/>
      </c>
      <c r="D902" s="6" t="s">
        <v>774</v>
      </c>
      <c r="E902" s="6"/>
      <c r="F902" s="6" t="s">
        <v>877</v>
      </c>
      <c r="G902" s="7" t="s">
        <v>873</v>
      </c>
      <c r="H902" s="8" t="str">
        <f>IFNA(VLOOKUP(F902,Driver!A:C,3,false),"")</f>
        <v/>
      </c>
      <c r="I902" s="9">
        <v>0.25</v>
      </c>
      <c r="J902" s="9">
        <v>0.4583333333333333</v>
      </c>
    </row>
    <row r="903" hidden="1">
      <c r="A903" s="5" t="str">
        <f>IFNA(VLOOKUP(D903,'Location Table'!A:C,2,false),"")</f>
        <v>a4c531b8-daf2-11f0-b991-506b8d982279</v>
      </c>
      <c r="B903" s="5" t="str">
        <f>IFNA(VLOOKUP(F903,Driver!A:C,2,false),"")</f>
        <v>a2f538f8-37ce-11ed-a5cf-506b8dbc8dfb</v>
      </c>
      <c r="C903" s="5" t="str">
        <f>IFNA(VLOOKUP(E903,'Location Table'!A:C,2,false),"")</f>
        <v/>
      </c>
      <c r="D903" s="6" t="s">
        <v>775</v>
      </c>
      <c r="E903" s="6"/>
      <c r="F903" s="6" t="s">
        <v>338</v>
      </c>
      <c r="G903" s="7" t="s">
        <v>873</v>
      </c>
      <c r="H903" s="8" t="str">
        <f>IFNA(VLOOKUP(F903,Driver!A:C,3,false),"")</f>
        <v>c0d10f02724a9b14c25b</v>
      </c>
      <c r="I903" s="9">
        <v>0.2916666666666667</v>
      </c>
      <c r="J903" s="9">
        <v>0.6666666666666666</v>
      </c>
    </row>
    <row r="904" hidden="1">
      <c r="A904" s="5" t="str">
        <f>IFNA(VLOOKUP(D904,'Location Table'!A:C,2,false),"")</f>
        <v>646f83e2-0a9e-11ee-b30e-506b8dbc8dfb</v>
      </c>
      <c r="B904" s="5" t="str">
        <f>IFNA(VLOOKUP(F904,Driver!A:C,2,false),"")</f>
        <v>1163ad80-d96e-11f0-b637-506b8d982279</v>
      </c>
      <c r="C904" s="5" t="str">
        <f>IFNA(VLOOKUP(E904,'Location Table'!A:C,2,false),"")</f>
        <v/>
      </c>
      <c r="D904" s="6" t="s">
        <v>776</v>
      </c>
      <c r="E904" s="6"/>
      <c r="F904" s="6" t="s">
        <v>498</v>
      </c>
      <c r="G904" s="7" t="s">
        <v>873</v>
      </c>
      <c r="H904" s="8" t="str">
        <f>IFNA(VLOOKUP(F904,Driver!A:C,3,false),"")</f>
        <v>76599ccdde8e37d06e9f</v>
      </c>
      <c r="I904" s="9">
        <v>0.2916666666666667</v>
      </c>
      <c r="J904" s="9">
        <v>0.75</v>
      </c>
    </row>
    <row r="905" hidden="1">
      <c r="A905" s="5" t="str">
        <f>IFNA(VLOOKUP(D905,'Location Table'!A:C,2,false),"")</f>
        <v>b0151ce0-49ff-11ed-b1f4-506b8dbc8dfb</v>
      </c>
      <c r="B905" s="5" t="str">
        <f>IFNA(VLOOKUP(F905,Driver!A:C,2,false),"")</f>
        <v>a9bf91b4-00e4-11f1-9378-fa163ee8d8ac</v>
      </c>
      <c r="C905" s="5" t="str">
        <f>IFNA(VLOOKUP(E905,'Location Table'!A:C,2,false),"")</f>
        <v/>
      </c>
      <c r="D905" s="6" t="s">
        <v>777</v>
      </c>
      <c r="E905" s="6"/>
      <c r="F905" s="6" t="s">
        <v>142</v>
      </c>
      <c r="G905" s="7" t="s">
        <v>873</v>
      </c>
      <c r="H905" s="8" t="str">
        <f>IFNA(VLOOKUP(F905,Driver!A:C,3,false),"")</f>
        <v/>
      </c>
      <c r="I905" s="9">
        <v>0.2916666666666667</v>
      </c>
      <c r="J905" s="9">
        <v>0.5</v>
      </c>
    </row>
    <row r="906" hidden="1">
      <c r="A906" s="5" t="str">
        <f>IFNA(VLOOKUP(D906,'Location Table'!A:C,2,false),"")</f>
        <v>70b138ba-b224-11ef-9689-506b8d9879b5</v>
      </c>
      <c r="B906" s="5" t="str">
        <f>IFNA(VLOOKUP(F906,Driver!A:C,2,false),"")</f>
        <v>a2f538f8-37ce-11ed-a5cf-506b8dbc8dfb</v>
      </c>
      <c r="C906" s="5" t="str">
        <f>IFNA(VLOOKUP(E906,'Location Table'!A:C,2,false),"")</f>
        <v/>
      </c>
      <c r="D906" s="6" t="s">
        <v>778</v>
      </c>
      <c r="E906" s="6"/>
      <c r="F906" s="6" t="s">
        <v>338</v>
      </c>
      <c r="G906" s="7" t="s">
        <v>873</v>
      </c>
      <c r="H906" s="8" t="str">
        <f>IFNA(VLOOKUP(F906,Driver!A:C,3,false),"")</f>
        <v>c0d10f02724a9b14c25b</v>
      </c>
      <c r="I906" s="9">
        <v>0.2916666666666667</v>
      </c>
      <c r="J906" s="9">
        <v>0.6666666666666666</v>
      </c>
    </row>
    <row r="907" hidden="1">
      <c r="A907" s="5" t="str">
        <f>IFNA(VLOOKUP(D907,'Location Table'!A:C,2,false),"")</f>
        <v>863fb28a-fec3-11ed-a6fe-506b8dbc8dfb</v>
      </c>
      <c r="B907" s="5" t="str">
        <f>IFNA(VLOOKUP(F907,Driver!A:C,2,false),"")</f>
        <v>b2c9b066-9445-11f0-b1db-506b8d982279</v>
      </c>
      <c r="C907" s="5" t="str">
        <f>IFNA(VLOOKUP(E907,'Location Table'!A:C,2,false),"")</f>
        <v/>
      </c>
      <c r="D907" s="6" t="s">
        <v>779</v>
      </c>
      <c r="E907" s="6"/>
      <c r="F907" s="6" t="s">
        <v>874</v>
      </c>
      <c r="G907" s="7" t="s">
        <v>873</v>
      </c>
      <c r="H907" s="8" t="str">
        <f>IFNA(VLOOKUP(F907,Driver!A:C,3,false),"")</f>
        <v>59fa514f510cb852e11d</v>
      </c>
      <c r="I907" s="9">
        <v>0.2916666666666667</v>
      </c>
      <c r="J907" s="9">
        <v>0.75</v>
      </c>
    </row>
    <row r="908" hidden="1">
      <c r="A908" s="5" t="str">
        <f>IFNA(VLOOKUP(D908,'Location Table'!A:C,2,false),"")</f>
        <v>c10e75c2-446f-11ed-9108-506b8dbc8dfb</v>
      </c>
      <c r="B908" s="5" t="str">
        <f>IFNA(VLOOKUP(F908,Driver!A:C,2,false),"")</f>
        <v>b74e3178-7caf-11f0-a9c3-506b8d982279</v>
      </c>
      <c r="C908" s="5" t="str">
        <f>IFNA(VLOOKUP(E908,'Location Table'!A:C,2,false),"")</f>
        <v/>
      </c>
      <c r="D908" s="6" t="s">
        <v>780</v>
      </c>
      <c r="E908" s="6"/>
      <c r="F908" s="6" t="s">
        <v>326</v>
      </c>
      <c r="G908" s="7" t="s">
        <v>873</v>
      </c>
      <c r="H908" s="8" t="str">
        <f>IFNA(VLOOKUP(F908,Driver!A:C,3,false),"")</f>
        <v>473ef1d8329bdbc5828a</v>
      </c>
      <c r="I908" s="9">
        <v>0.2916666666666667</v>
      </c>
      <c r="J908" s="9">
        <v>0.6666666666666666</v>
      </c>
    </row>
    <row r="909" hidden="1">
      <c r="A909" s="5" t="str">
        <f>IFNA(VLOOKUP(D909,'Location Table'!A:C,2,false),"")</f>
        <v>0bd708d6-cd9c-11f0-b888-506b8d982279</v>
      </c>
      <c r="B909" s="5" t="str">
        <f>IFNA(VLOOKUP(F909,Driver!A:C,2,false),"")</f>
        <v>b2c9b066-9445-11f0-b1db-506b8d982279</v>
      </c>
      <c r="C909" s="5" t="str">
        <f>IFNA(VLOOKUP(E909,'Location Table'!A:C,2,false),"")</f>
        <v/>
      </c>
      <c r="D909" s="6" t="s">
        <v>781</v>
      </c>
      <c r="E909" s="6"/>
      <c r="F909" s="6" t="s">
        <v>874</v>
      </c>
      <c r="G909" s="7" t="s">
        <v>873</v>
      </c>
      <c r="H909" s="8" t="str">
        <f>IFNA(VLOOKUP(F909,Driver!A:C,3,false),"")</f>
        <v>59fa514f510cb852e11d</v>
      </c>
      <c r="I909" s="9">
        <v>0.2916666666666667</v>
      </c>
      <c r="J909" s="9">
        <v>0.75</v>
      </c>
    </row>
    <row r="910" hidden="1">
      <c r="A910" s="5" t="str">
        <f>IFNA(VLOOKUP(D910,'Location Table'!A:C,2,false),"")</f>
        <v>b4430112-b887-11ef-a0ce-506b8d9879b5</v>
      </c>
      <c r="B910" s="5" t="str">
        <f>IFNA(VLOOKUP(F910,Driver!A:C,2,false),"")</f>
        <v>f5993946-37cf-11ed-a3fc-506b8dbc8dfb</v>
      </c>
      <c r="C910" s="5" t="str">
        <f>IFNA(VLOOKUP(E910,'Location Table'!A:C,2,false),"")</f>
        <v/>
      </c>
      <c r="D910" s="6" t="s">
        <v>782</v>
      </c>
      <c r="E910" s="6"/>
      <c r="F910" s="6" t="s">
        <v>314</v>
      </c>
      <c r="G910" s="7" t="s">
        <v>873</v>
      </c>
      <c r="H910" s="8" t="str">
        <f>IFNA(VLOOKUP(F910,Driver!A:C,3,false),"")</f>
        <v/>
      </c>
      <c r="I910" s="9">
        <v>0.2916666666666667</v>
      </c>
      <c r="J910" s="9">
        <v>0.6666666666666666</v>
      </c>
    </row>
    <row r="911" hidden="1">
      <c r="A911" s="5" t="str">
        <f>IFNA(VLOOKUP(D911,'Location Table'!A:C,2,false),"")</f>
        <v>28e7eef2-a58a-11f0-8e49-506b8d982279</v>
      </c>
      <c r="B911" s="5" t="str">
        <f>IFNA(VLOOKUP(F911,Driver!A:C,2,false),"")</f>
        <v>a9bf91b4-00e4-11f1-9378-fa163ee8d8ac</v>
      </c>
      <c r="C911" s="5" t="str">
        <f>IFNA(VLOOKUP(E911,'Location Table'!A:C,2,false),"")</f>
        <v/>
      </c>
      <c r="D911" s="6" t="s">
        <v>783</v>
      </c>
      <c r="E911" s="6"/>
      <c r="F911" s="6" t="s">
        <v>142</v>
      </c>
      <c r="G911" s="7" t="s">
        <v>873</v>
      </c>
      <c r="H911" s="8" t="str">
        <f>IFNA(VLOOKUP(F911,Driver!A:C,3,false),"")</f>
        <v/>
      </c>
      <c r="I911" s="9">
        <v>0.2916666666666667</v>
      </c>
      <c r="J911" s="9">
        <v>0.5</v>
      </c>
    </row>
    <row r="912" hidden="1">
      <c r="A912" s="5" t="str">
        <f>IFNA(VLOOKUP(D912,'Location Table'!A:C,2,false),"")</f>
        <v>d0004080-2ac6-11ef-af6a-506b8d9879b5</v>
      </c>
      <c r="B912" s="5" t="str">
        <f>IFNA(VLOOKUP(F912,Driver!A:C,2,false),"")</f>
        <v>ce2e0bd2-35a6-11ed-9c4e-506b8dbc8dfb</v>
      </c>
      <c r="C912" s="5" t="str">
        <f>IFNA(VLOOKUP(E912,'Location Table'!A:C,2,false),"")</f>
        <v/>
      </c>
      <c r="D912" s="6" t="s">
        <v>784</v>
      </c>
      <c r="E912" s="6"/>
      <c r="F912" s="6" t="s">
        <v>661</v>
      </c>
      <c r="G912" s="7" t="s">
        <v>873</v>
      </c>
      <c r="H912" s="8" t="str">
        <f>IFNA(VLOOKUP(F912,Driver!A:C,3,false),"")</f>
        <v/>
      </c>
      <c r="I912" s="9">
        <v>0.2916666666666667</v>
      </c>
      <c r="J912" s="9">
        <v>0.75</v>
      </c>
    </row>
    <row r="913" hidden="1">
      <c r="A913" s="5" t="str">
        <f>IFNA(VLOOKUP(D913,'Location Table'!A:C,2,false),"")</f>
        <v>4a119952-f276-11ee-90a2-506b8d9879b5</v>
      </c>
      <c r="B913" s="5" t="str">
        <f>IFNA(VLOOKUP(F913,Driver!A:C,2,false),"")</f>
        <v>c1149922-ecea-11ef-a670-506b8d9879b5</v>
      </c>
      <c r="C913" s="5" t="str">
        <f>IFNA(VLOOKUP(E913,'Location Table'!A:C,2,false),"")</f>
        <v/>
      </c>
      <c r="D913" s="6" t="s">
        <v>785</v>
      </c>
      <c r="E913" s="6"/>
      <c r="F913" s="6" t="s">
        <v>509</v>
      </c>
      <c r="G913" s="7" t="s">
        <v>873</v>
      </c>
      <c r="H913" s="8" t="str">
        <f>IFNA(VLOOKUP(F913,Driver!A:C,3,false),"")</f>
        <v/>
      </c>
      <c r="I913" s="9">
        <v>0.2916666666666667</v>
      </c>
      <c r="J913" s="9">
        <v>0.6666666666666666</v>
      </c>
    </row>
    <row r="914" hidden="1">
      <c r="A914" s="5" t="str">
        <f>IFNA(VLOOKUP(D914,'Location Table'!A:C,2,false),"")</f>
        <v>2b2dc0f6-c06a-11f0-950c-506b8d982279</v>
      </c>
      <c r="B914" s="5" t="str">
        <f>IFNA(VLOOKUP(F914,Driver!A:C,2,false),"")</f>
        <v>7898dd6c-816d-11f0-9f34-506b8d982279</v>
      </c>
      <c r="C914" s="5" t="str">
        <f>IFNA(VLOOKUP(E914,'Location Table'!A:C,2,false),"")</f>
        <v/>
      </c>
      <c r="D914" s="6" t="s">
        <v>61</v>
      </c>
      <c r="E914" s="6"/>
      <c r="F914" s="6" t="s">
        <v>15</v>
      </c>
      <c r="G914" s="7" t="s">
        <v>873</v>
      </c>
      <c r="H914" s="8" t="str">
        <f>IFNA(VLOOKUP(F914,Driver!A:C,3,false),"")</f>
        <v>011b70c8f4801dde4491</v>
      </c>
      <c r="I914" s="9">
        <v>0.2916666666666667</v>
      </c>
      <c r="J914" s="9">
        <v>0.6875</v>
      </c>
    </row>
    <row r="915" hidden="1">
      <c r="A915" s="5" t="str">
        <f>IFNA(VLOOKUP(D915,'Location Table'!A:C,2,false),"")</f>
        <v>efcbdd7e-ede0-11ef-951f-506b8d9879b5</v>
      </c>
      <c r="B915" s="5" t="str">
        <f>IFNA(VLOOKUP(F915,Driver!A:C,2,false),"")</f>
        <v>9e9376b6-37c5-11ed-a1d5-506b8dbc8dfb</v>
      </c>
      <c r="C915" s="5" t="str">
        <f>IFNA(VLOOKUP(E915,'Location Table'!A:C,2,false),"")</f>
        <v/>
      </c>
      <c r="D915" s="6" t="s">
        <v>786</v>
      </c>
      <c r="E915" s="6"/>
      <c r="F915" s="6" t="s">
        <v>350</v>
      </c>
      <c r="G915" s="7" t="s">
        <v>873</v>
      </c>
      <c r="H915" s="8" t="str">
        <f>IFNA(VLOOKUP(F915,Driver!A:C,3,false),"")</f>
        <v>26f3924da71c4e42170d</v>
      </c>
      <c r="I915" s="9">
        <v>0.2916666666666667</v>
      </c>
      <c r="J915" s="9">
        <v>0.75</v>
      </c>
    </row>
    <row r="916" hidden="1">
      <c r="A916" s="5" t="str">
        <f>IFNA(VLOOKUP(D916,'Location Table'!A:C,2,false),"")</f>
        <v>a9d40ba4-e257-11f0-adbb-506b8d982279</v>
      </c>
      <c r="B916" s="5" t="str">
        <f>IFNA(VLOOKUP(F916,Driver!A:C,2,false),"")</f>
        <v>1d4786cc-12f7-11f1-9378-fa163ee8d8ac</v>
      </c>
      <c r="C916" s="5" t="str">
        <f>IFNA(VLOOKUP(E916,'Location Table'!A:C,2,false),"")</f>
        <v/>
      </c>
      <c r="D916" s="6" t="s">
        <v>787</v>
      </c>
      <c r="E916" s="6"/>
      <c r="F916" s="10" t="s">
        <v>343</v>
      </c>
      <c r="G916" s="7" t="s">
        <v>873</v>
      </c>
      <c r="H916" s="8" t="str">
        <f>IFNA(VLOOKUP(F916,Driver!A:C,3,false),"")</f>
        <v>85d2de46a91b4045190a</v>
      </c>
      <c r="I916" s="9">
        <v>0.2916666666666667</v>
      </c>
      <c r="J916" s="9">
        <v>0.75</v>
      </c>
    </row>
    <row r="917" hidden="1">
      <c r="A917" s="5" t="str">
        <f>IFNA(VLOOKUP(D917,'Location Table'!A:C,2,false),"")</f>
        <v>197d8912-f531-11f0-9378-fa163ee8d8ac</v>
      </c>
      <c r="B917" s="5" t="str">
        <f>IFNA(VLOOKUP(F917,Driver!A:C,2,false),"")</f>
        <v>9e9376b6-37c5-11ed-a1d5-506b8dbc8dfb</v>
      </c>
      <c r="C917" s="5" t="str">
        <f>IFNA(VLOOKUP(E917,'Location Table'!A:C,2,false),"")</f>
        <v/>
      </c>
      <c r="D917" s="6" t="s">
        <v>788</v>
      </c>
      <c r="E917" s="6"/>
      <c r="F917" s="6" t="s">
        <v>350</v>
      </c>
      <c r="G917" s="7" t="s">
        <v>873</v>
      </c>
      <c r="H917" s="8" t="str">
        <f>IFNA(VLOOKUP(F917,Driver!A:C,3,false),"")</f>
        <v>26f3924da71c4e42170d</v>
      </c>
      <c r="I917" s="9">
        <v>0.2916666666666667</v>
      </c>
      <c r="J917" s="9">
        <v>0.75</v>
      </c>
    </row>
    <row r="918" hidden="1">
      <c r="A918" s="5" t="str">
        <f>IFNA(VLOOKUP(D918,'Location Table'!A:C,2,false),"")</f>
        <v>f15947f2-aef2-11f0-8b18-506b8d982279</v>
      </c>
      <c r="B918" s="5" t="str">
        <f>IFNA(VLOOKUP(F918,Driver!A:C,2,false),"")</f>
        <v>b2c9b066-9445-11f0-b1db-506b8d982279</v>
      </c>
      <c r="C918" s="5" t="str">
        <f>IFNA(VLOOKUP(E918,'Location Table'!A:C,2,false),"")</f>
        <v/>
      </c>
      <c r="D918" s="6" t="s">
        <v>790</v>
      </c>
      <c r="E918" s="6"/>
      <c r="F918" s="6" t="s">
        <v>874</v>
      </c>
      <c r="G918" s="7" t="s">
        <v>873</v>
      </c>
      <c r="H918" s="8" t="str">
        <f>IFNA(VLOOKUP(F918,Driver!A:C,3,false),"")</f>
        <v>59fa514f510cb852e11d</v>
      </c>
      <c r="I918" s="9">
        <v>0.2916666666666667</v>
      </c>
      <c r="J918" s="9">
        <v>0.75</v>
      </c>
    </row>
    <row r="919" hidden="1">
      <c r="A919" s="5" t="str">
        <f>IFNA(VLOOKUP(D919,'Location Table'!A:C,2,false),"")</f>
        <v>719b368a-0ec9-11ef-9928-506b8d9879b5</v>
      </c>
      <c r="B919" s="5" t="str">
        <f>IFNA(VLOOKUP(F919,Driver!A:C,2,false),"")</f>
        <v>f5993946-37cf-11ed-a3fc-506b8dbc8dfb</v>
      </c>
      <c r="C919" s="5" t="str">
        <f>IFNA(VLOOKUP(E919,'Location Table'!A:C,2,false),"")</f>
        <v/>
      </c>
      <c r="D919" s="6" t="s">
        <v>791</v>
      </c>
      <c r="E919" s="6"/>
      <c r="F919" s="6" t="s">
        <v>314</v>
      </c>
      <c r="G919" s="7" t="s">
        <v>873</v>
      </c>
      <c r="H919" s="8" t="str">
        <f>IFNA(VLOOKUP(F919,Driver!A:C,3,false),"")</f>
        <v/>
      </c>
      <c r="I919" s="9">
        <v>0.2916666666666667</v>
      </c>
      <c r="J919" s="9">
        <v>0.6666666666666666</v>
      </c>
    </row>
    <row r="920" hidden="1">
      <c r="A920" s="5" t="str">
        <f>IFNA(VLOOKUP(D920,'Location Table'!A:C,2,false),"")</f>
        <v>44c2b344-df9d-11f0-988f-506b8d982279</v>
      </c>
      <c r="B920" s="5" t="str">
        <f>IFNA(VLOOKUP(F920,Driver!A:C,2,false),"")</f>
        <v/>
      </c>
      <c r="C920" s="5" t="str">
        <f>IFNA(VLOOKUP(E920,'Location Table'!A:C,2,false),"")</f>
        <v/>
      </c>
      <c r="D920" s="6" t="s">
        <v>792</v>
      </c>
      <c r="E920" s="6"/>
      <c r="F920" s="6" t="s">
        <v>877</v>
      </c>
      <c r="G920" s="7" t="s">
        <v>873</v>
      </c>
      <c r="H920" s="8" t="str">
        <f>IFNA(VLOOKUP(F920,Driver!A:C,3,false),"")</f>
        <v/>
      </c>
      <c r="I920" s="9">
        <v>0.25</v>
      </c>
      <c r="J920" s="9">
        <v>0.4583333333333333</v>
      </c>
    </row>
    <row r="921" hidden="1">
      <c r="A921" s="5" t="str">
        <f>IFNA(VLOOKUP(D921,'Location Table'!A:C,2,false),"")</f>
        <v>4ade2dbe-47ea-11ee-aa84-506b8d9879b5</v>
      </c>
      <c r="B921" s="5" t="str">
        <f>IFNA(VLOOKUP(F921,Driver!A:C,2,false),"")</f>
        <v>f5993946-37cf-11ed-a3fc-506b8dbc8dfb</v>
      </c>
      <c r="C921" s="5" t="str">
        <f>IFNA(VLOOKUP(E921,'Location Table'!A:C,2,false),"")</f>
        <v/>
      </c>
      <c r="D921" s="6" t="s">
        <v>793</v>
      </c>
      <c r="E921" s="6"/>
      <c r="F921" s="6" t="s">
        <v>314</v>
      </c>
      <c r="G921" s="7" t="s">
        <v>873</v>
      </c>
      <c r="H921" s="8" t="str">
        <f>IFNA(VLOOKUP(F921,Driver!A:C,3,false),"")</f>
        <v/>
      </c>
      <c r="I921" s="9">
        <v>0.2916666666666667</v>
      </c>
      <c r="J921" s="9">
        <v>0.6666666666666666</v>
      </c>
    </row>
    <row r="922" hidden="1">
      <c r="A922" s="5" t="str">
        <f>IFNA(VLOOKUP(D922,'Location Table'!A:C,2,false),"")</f>
        <v>c3c48080-ffad-11ef-9864-506b8d9879b5</v>
      </c>
      <c r="B922" s="5" t="str">
        <f>IFNA(VLOOKUP(F922,Driver!A:C,2,false),"")</f>
        <v/>
      </c>
      <c r="C922" s="5" t="str">
        <f>IFNA(VLOOKUP(E922,'Location Table'!A:C,2,false),"")</f>
        <v/>
      </c>
      <c r="D922" s="6" t="s">
        <v>794</v>
      </c>
      <c r="E922" s="6"/>
      <c r="F922" s="6" t="s">
        <v>877</v>
      </c>
      <c r="G922" s="7" t="s">
        <v>873</v>
      </c>
      <c r="H922" s="8" t="str">
        <f>IFNA(VLOOKUP(F922,Driver!A:C,3,false),"")</f>
        <v/>
      </c>
      <c r="I922" s="9">
        <v>0.25</v>
      </c>
      <c r="J922" s="9">
        <v>0.4583333333333333</v>
      </c>
    </row>
    <row r="923" hidden="1">
      <c r="A923" s="5" t="str">
        <f>IFNA(VLOOKUP(D923,'Location Table'!A:C,2,false),"")</f>
        <v>5da41f4c-1f31-11f0-8bae-506b8d982279</v>
      </c>
      <c r="B923" s="5" t="str">
        <f>IFNA(VLOOKUP(F923,Driver!A:C,2,false),"")</f>
        <v>a51713c2-37c4-11ed-a4e6-506b8dbc8dfb</v>
      </c>
      <c r="C923" s="5" t="str">
        <f>IFNA(VLOOKUP(E923,'Location Table'!A:C,2,false),"")</f>
        <v/>
      </c>
      <c r="D923" s="6" t="s">
        <v>795</v>
      </c>
      <c r="E923" s="6"/>
      <c r="F923" s="6" t="s">
        <v>132</v>
      </c>
      <c r="G923" s="7" t="s">
        <v>873</v>
      </c>
      <c r="H923" s="8" t="str">
        <f>IFNA(VLOOKUP(F923,Driver!A:C,3,false),"")</f>
        <v>e24e6f345362ba3ce373</v>
      </c>
      <c r="I923" s="9">
        <v>0.2916666666666667</v>
      </c>
      <c r="J923" s="9">
        <v>0.5</v>
      </c>
    </row>
    <row r="924" hidden="1">
      <c r="A924" s="5" t="str">
        <f>IFNA(VLOOKUP(D924,'Location Table'!A:C,2,false),"")</f>
        <v>9b0992e6-7216-11ee-b54d-506b8d9879b5</v>
      </c>
      <c r="B924" s="5" t="str">
        <f>IFNA(VLOOKUP(F924,Driver!A:C,2,false),"")</f>
        <v>717fa61c-3654-11ed-b103-506b8dbc8dfb</v>
      </c>
      <c r="C924" s="5" t="str">
        <f>IFNA(VLOOKUP(E924,'Location Table'!A:C,2,false),"")</f>
        <v/>
      </c>
      <c r="D924" s="6" t="s">
        <v>796</v>
      </c>
      <c r="E924" s="6"/>
      <c r="F924" s="6" t="s">
        <v>361</v>
      </c>
      <c r="G924" s="7" t="s">
        <v>873</v>
      </c>
      <c r="H924" s="8" t="str">
        <f>IFNA(VLOOKUP(F924,Driver!A:C,3,false),"")</f>
        <v>fbc73b7bb6385f660629</v>
      </c>
      <c r="I924" s="9">
        <v>0.2916666666666667</v>
      </c>
      <c r="J924" s="9">
        <v>0.5833333333333334</v>
      </c>
    </row>
    <row r="925" hidden="1">
      <c r="A925" s="5" t="str">
        <f>IFNA(VLOOKUP(D925,'Location Table'!A:C,2,false),"")</f>
        <v>2178a272-f39d-11f0-9378-fa163ee8d8ac</v>
      </c>
      <c r="B925" s="5" t="str">
        <f>IFNA(VLOOKUP(F925,Driver!A:C,2,false),"")</f>
        <v>232be490-35a4-11ed-88b7-506b8dbc8dfb</v>
      </c>
      <c r="C925" s="5" t="str">
        <f>IFNA(VLOOKUP(E925,'Location Table'!A:C,2,false),"")</f>
        <v/>
      </c>
      <c r="D925" s="6" t="s">
        <v>798</v>
      </c>
      <c r="E925" s="6"/>
      <c r="F925" s="10" t="s">
        <v>110</v>
      </c>
      <c r="G925" s="7" t="s">
        <v>873</v>
      </c>
      <c r="H925" s="8" t="str">
        <f>IFNA(VLOOKUP(F925,Driver!A:C,3,false),"")</f>
        <v>d9fc37dd4093a9cdf082</v>
      </c>
      <c r="I925" s="9">
        <v>0.2916666666666667</v>
      </c>
      <c r="J925" s="9">
        <v>0.6666666666666666</v>
      </c>
    </row>
    <row r="926" hidden="1">
      <c r="A926" s="5" t="str">
        <f>IFNA(VLOOKUP(D926,'Location Table'!A:C,2,false),"")</f>
        <v>5c9ec158-f645-11ee-bc2a-506b8d9879b5</v>
      </c>
      <c r="B926" s="5" t="str">
        <f>IFNA(VLOOKUP(F926,Driver!A:C,2,false),"")</f>
        <v/>
      </c>
      <c r="C926" s="5" t="str">
        <f>IFNA(VLOOKUP(E926,'Location Table'!A:C,2,false),"")</f>
        <v/>
      </c>
      <c r="D926" s="6" t="s">
        <v>799</v>
      </c>
      <c r="E926" s="6"/>
      <c r="F926" s="6" t="s">
        <v>877</v>
      </c>
      <c r="G926" s="7" t="s">
        <v>873</v>
      </c>
      <c r="H926" s="8" t="str">
        <f>IFNA(VLOOKUP(F926,Driver!A:C,3,false),"")</f>
        <v/>
      </c>
      <c r="I926" s="9">
        <v>0.25</v>
      </c>
      <c r="J926" s="9">
        <v>0.4583333333333333</v>
      </c>
    </row>
    <row r="927" hidden="1">
      <c r="A927" s="5" t="str">
        <f>IFNA(VLOOKUP(D927,'Location Table'!A:C,2,false),"")</f>
        <v>a1706c3a-1f31-11f0-ae2d-506b8d982279</v>
      </c>
      <c r="B927" s="5" t="str">
        <f>IFNA(VLOOKUP(F927,Driver!A:C,2,false),"")</f>
        <v>a51713c2-37c4-11ed-a4e6-506b8dbc8dfb</v>
      </c>
      <c r="C927" s="5" t="str">
        <f>IFNA(VLOOKUP(E927,'Location Table'!A:C,2,false),"")</f>
        <v/>
      </c>
      <c r="D927" s="6" t="s">
        <v>800</v>
      </c>
      <c r="E927" s="6"/>
      <c r="F927" s="6" t="s">
        <v>132</v>
      </c>
      <c r="G927" s="7" t="s">
        <v>873</v>
      </c>
      <c r="H927" s="8" t="str">
        <f>IFNA(VLOOKUP(F927,Driver!A:C,3,false),"")</f>
        <v>e24e6f345362ba3ce373</v>
      </c>
      <c r="I927" s="9">
        <v>0.2916666666666667</v>
      </c>
      <c r="J927" s="9">
        <v>0.5</v>
      </c>
    </row>
    <row r="928" hidden="1">
      <c r="A928" s="5" t="str">
        <f>IFNA(VLOOKUP(D928,'Location Table'!A:C,2,false),"")</f>
        <v>d4e006c0-42a9-11f0-af1e-506b8d982279</v>
      </c>
      <c r="B928" s="5" t="str">
        <f>IFNA(VLOOKUP(F928,Driver!A:C,2,false),"")</f>
        <v/>
      </c>
      <c r="C928" s="5" t="str">
        <f>IFNA(VLOOKUP(E928,'Location Table'!A:C,2,false),"")</f>
        <v/>
      </c>
      <c r="D928" s="6" t="s">
        <v>801</v>
      </c>
      <c r="E928" s="6"/>
      <c r="F928" s="6" t="s">
        <v>877</v>
      </c>
      <c r="G928" s="7" t="s">
        <v>873</v>
      </c>
      <c r="H928" s="8" t="str">
        <f>IFNA(VLOOKUP(F928,Driver!A:C,3,false),"")</f>
        <v/>
      </c>
      <c r="I928" s="9">
        <v>0.25</v>
      </c>
      <c r="J928" s="9">
        <v>0.4583333333333333</v>
      </c>
    </row>
    <row r="929" hidden="1">
      <c r="A929" s="5" t="str">
        <f>IFNA(VLOOKUP(D929,'Location Table'!A:C,2,false),"")</f>
        <v>387d2ed2-de5f-11f0-84a0-506b8d982279</v>
      </c>
      <c r="B929" s="5" t="str">
        <f>IFNA(VLOOKUP(F929,Driver!A:C,2,false),"")</f>
        <v>f61678a4-3656-11ed-9310-506b8dbc8dfb</v>
      </c>
      <c r="C929" s="5" t="str">
        <f>IFNA(VLOOKUP(E929,'Location Table'!A:C,2,false),"")</f>
        <v/>
      </c>
      <c r="D929" s="6" t="s">
        <v>520</v>
      </c>
      <c r="E929" s="6"/>
      <c r="F929" s="6" t="s">
        <v>470</v>
      </c>
      <c r="G929" s="7" t="s">
        <v>873</v>
      </c>
      <c r="H929" s="8" t="str">
        <f>IFNA(VLOOKUP(F929,Driver!A:C,3,false),"")</f>
        <v>551b71e8ffa616f84fb7</v>
      </c>
      <c r="I929" s="9">
        <v>0.5</v>
      </c>
      <c r="J929" s="9">
        <v>0.7916666666666666</v>
      </c>
    </row>
    <row r="930" hidden="1">
      <c r="A930" s="5" t="str">
        <f>IFNA(VLOOKUP(D930,'Location Table'!A:C,2,false),"")</f>
        <v>5002514a-4470-11ed-92fa-506b8dbc8dfb</v>
      </c>
      <c r="B930" s="5" t="str">
        <f>IFNA(VLOOKUP(F930,Driver!A:C,2,false),"")</f>
        <v>f61678a4-3656-11ed-9310-506b8dbc8dfb</v>
      </c>
      <c r="C930" s="5" t="str">
        <f>IFNA(VLOOKUP(E930,'Location Table'!A:C,2,false),"")</f>
        <v/>
      </c>
      <c r="D930" s="6" t="s">
        <v>521</v>
      </c>
      <c r="E930" s="6"/>
      <c r="F930" s="6" t="s">
        <v>470</v>
      </c>
      <c r="G930" s="7" t="s">
        <v>873</v>
      </c>
      <c r="H930" s="8" t="str">
        <f>IFNA(VLOOKUP(F930,Driver!A:C,3,false),"")</f>
        <v>551b71e8ffa616f84fb7</v>
      </c>
      <c r="I930" s="9">
        <v>0.5</v>
      </c>
      <c r="J930" s="9">
        <v>0.7916666666666666</v>
      </c>
    </row>
    <row r="931" hidden="1">
      <c r="A931" s="5" t="str">
        <f>IFNA(VLOOKUP(D931,'Location Table'!A:C,2,false),"")</f>
        <v>4a1e11b2-ed6a-11ed-b6af-506b8dbc8dfb</v>
      </c>
      <c r="B931" s="5" t="str">
        <f>IFNA(VLOOKUP(F931,Driver!A:C,2,false),"")</f>
        <v>02d08390-37cf-11ed-865f-506b8dbc8dfb</v>
      </c>
      <c r="C931" s="5" t="str">
        <f>IFNA(VLOOKUP(E931,'Location Table'!A:C,2,false),"")</f>
        <v/>
      </c>
      <c r="D931" s="6" t="s">
        <v>524</v>
      </c>
      <c r="E931" s="6"/>
      <c r="F931" s="6" t="s">
        <v>516</v>
      </c>
      <c r="G931" s="7" t="s">
        <v>873</v>
      </c>
      <c r="H931" s="8" t="str">
        <f>IFNA(VLOOKUP(F931,Driver!A:C,3,false),"")</f>
        <v>7b7d76055846b118e857</v>
      </c>
      <c r="I931" s="9">
        <v>0.5833333333333334</v>
      </c>
      <c r="J931" s="9">
        <v>0.7916666666666666</v>
      </c>
    </row>
    <row r="932" hidden="1">
      <c r="A932" s="5" t="str">
        <f>IFNA(VLOOKUP(D932,'Location Table'!A:C,2,false),"")</f>
        <v>ba9d31f0-6db2-11f0-9676-506b8d982279</v>
      </c>
      <c r="B932" s="5" t="str">
        <f>IFNA(VLOOKUP(F932,Driver!A:C,2,false),"")</f>
        <v>f61678a4-3656-11ed-9310-506b8dbc8dfb</v>
      </c>
      <c r="C932" s="5" t="str">
        <f>IFNA(VLOOKUP(E932,'Location Table'!A:C,2,false),"")</f>
        <v/>
      </c>
      <c r="D932" s="6" t="s">
        <v>525</v>
      </c>
      <c r="E932" s="6"/>
      <c r="F932" s="6" t="s">
        <v>470</v>
      </c>
      <c r="G932" s="7" t="s">
        <v>873</v>
      </c>
      <c r="H932" s="8" t="str">
        <f>IFNA(VLOOKUP(F932,Driver!A:C,3,false),"")</f>
        <v>551b71e8ffa616f84fb7</v>
      </c>
      <c r="I932" s="9">
        <v>0.5</v>
      </c>
      <c r="J932" s="9">
        <v>0.7916666666666666</v>
      </c>
    </row>
    <row r="933" hidden="1">
      <c r="A933" s="5" t="str">
        <f>IFNA(VLOOKUP(D933,'Location Table'!A:C,2,false),"")</f>
        <v>36c095f4-d4bc-11f0-870d-506b8d982279</v>
      </c>
      <c r="B933" s="5" t="str">
        <f>IFNA(VLOOKUP(F933,Driver!A:C,2,false),"")</f>
        <v>f61678a4-3656-11ed-9310-506b8dbc8dfb</v>
      </c>
      <c r="C933" s="5" t="str">
        <f>IFNA(VLOOKUP(E933,'Location Table'!A:C,2,false),"")</f>
        <v/>
      </c>
      <c r="D933" s="6" t="s">
        <v>526</v>
      </c>
      <c r="E933" s="6"/>
      <c r="F933" s="6" t="s">
        <v>470</v>
      </c>
      <c r="G933" s="7" t="s">
        <v>873</v>
      </c>
      <c r="H933" s="8" t="str">
        <f>IFNA(VLOOKUP(F933,Driver!A:C,3,false),"")</f>
        <v>551b71e8ffa616f84fb7</v>
      </c>
      <c r="I933" s="9">
        <v>0.5</v>
      </c>
      <c r="J933" s="9">
        <v>0.7916666666666666</v>
      </c>
    </row>
    <row r="934" hidden="1">
      <c r="A934" s="5" t="str">
        <f>IFNA(VLOOKUP(D934,'Location Table'!A:C,2,false),"")</f>
        <v>d16818aa-e428-11ef-b1fb-506b8d9879b5</v>
      </c>
      <c r="B934" s="5" t="str">
        <f>IFNA(VLOOKUP(F934,Driver!A:C,2,false),"")</f>
        <v>443c5016-3017-11ee-a6b5-506b8d9879b5</v>
      </c>
      <c r="C934" s="5" t="str">
        <f>IFNA(VLOOKUP(E934,'Location Table'!A:C,2,false),"")</f>
        <v/>
      </c>
      <c r="D934" s="6" t="s">
        <v>527</v>
      </c>
      <c r="E934" s="6"/>
      <c r="F934" s="6" t="s">
        <v>513</v>
      </c>
      <c r="G934" s="7" t="s">
        <v>873</v>
      </c>
      <c r="H934" s="8" t="str">
        <f>IFNA(VLOOKUP(F934,Driver!A:C,3,false),"")</f>
        <v>430767465e0cb752ee1d</v>
      </c>
      <c r="I934" s="9">
        <v>0.6666666666666666</v>
      </c>
      <c r="J934" s="9">
        <v>0.7916666666666666</v>
      </c>
    </row>
    <row r="935" hidden="1">
      <c r="A935" s="5" t="str">
        <f>IFNA(VLOOKUP(D935,'Location Table'!A:C,2,false),"")</f>
        <v>317a6ace-0949-11ef-8625-506b8d9879b5</v>
      </c>
      <c r="B935" s="5" t="str">
        <f>IFNA(VLOOKUP(F935,Driver!A:C,2,false),"")</f>
        <v>4e1ad614-6cdb-11ef-807b-506b8d9879b5</v>
      </c>
      <c r="C935" s="5" t="str">
        <f>IFNA(VLOOKUP(E935,'Location Table'!A:C,2,false),"")</f>
        <v/>
      </c>
      <c r="D935" s="6" t="s">
        <v>528</v>
      </c>
      <c r="E935" s="6"/>
      <c r="F935" s="6" t="s">
        <v>512</v>
      </c>
      <c r="G935" s="7" t="s">
        <v>873</v>
      </c>
      <c r="H935" s="8" t="str">
        <f>IFNA(VLOOKUP(F935,Driver!A:C,3,false),"")</f>
        <v>65a6581b624a8b14d25b</v>
      </c>
      <c r="I935" s="9">
        <v>0.6666666666666666</v>
      </c>
      <c r="J935" s="9">
        <v>0.7708333333333334</v>
      </c>
    </row>
    <row r="936" hidden="1">
      <c r="A936" s="5" t="str">
        <f>IFNA(VLOOKUP(D936,'Location Table'!A:C,2,false),"")</f>
        <v>6d5822f6-29da-11ee-bb13-506b8d9879b5</v>
      </c>
      <c r="B936" s="5" t="str">
        <f>IFNA(VLOOKUP(F936,Driver!A:C,2,false),"")</f>
        <v>1f4f6cae-37cd-11ed-a84d-506b8dbc8dfb</v>
      </c>
      <c r="C936" s="5" t="str">
        <f>IFNA(VLOOKUP(E936,'Location Table'!A:C,2,false),"")</f>
        <v/>
      </c>
      <c r="D936" s="6" t="s">
        <v>529</v>
      </c>
      <c r="E936" s="6"/>
      <c r="F936" s="6" t="s">
        <v>514</v>
      </c>
      <c r="G936" s="7" t="s">
        <v>873</v>
      </c>
      <c r="H936" s="8" t="str">
        <f>IFNA(VLOOKUP(F936,Driver!A:C,3,false),"")</f>
        <v>595aed435d09b457ed18</v>
      </c>
      <c r="I936" s="9">
        <v>0.6666666666666666</v>
      </c>
      <c r="J936" s="9">
        <v>0.7916666666666666</v>
      </c>
    </row>
    <row r="937" hidden="1">
      <c r="A937" s="5" t="str">
        <f>IFNA(VLOOKUP(D937,'Location Table'!A:C,2,false),"")</f>
        <v>a6ba7dee-38f4-11ef-99c0-506b8d9879b5</v>
      </c>
      <c r="B937" s="5" t="str">
        <f>IFNA(VLOOKUP(F937,Driver!A:C,2,false),"")</f>
        <v>feb9afca-fcce-11f0-9378-fa163ee8d8ac</v>
      </c>
      <c r="C937" s="5" t="str">
        <f>IFNA(VLOOKUP(E937,'Location Table'!A:C,2,false),"")</f>
        <v/>
      </c>
      <c r="D937" s="6" t="s">
        <v>530</v>
      </c>
      <c r="E937" s="6"/>
      <c r="F937" s="6" t="s">
        <v>879</v>
      </c>
      <c r="G937" s="7" t="s">
        <v>873</v>
      </c>
      <c r="H937" s="8" t="str">
        <f>IFNA(VLOOKUP(F937,Driver!A:C,3,false),"")</f>
        <v/>
      </c>
      <c r="I937" s="9">
        <v>0.6666666666666666</v>
      </c>
      <c r="J937" s="9">
        <v>0.7916666666666666</v>
      </c>
    </row>
    <row r="938" hidden="1">
      <c r="A938" s="5" t="str">
        <f>IFNA(VLOOKUP(D938,'Location Table'!A:C,2,false),"")</f>
        <v>42197ace-1d88-11f0-904d-506b8d982279</v>
      </c>
      <c r="B938" s="5" t="str">
        <f>IFNA(VLOOKUP(F938,Driver!A:C,2,false),"")</f>
        <v>feb9afca-fcce-11f0-9378-fa163ee8d8ac</v>
      </c>
      <c r="C938" s="5" t="str">
        <f>IFNA(VLOOKUP(E938,'Location Table'!A:C,2,false),"")</f>
        <v/>
      </c>
      <c r="D938" s="6" t="s">
        <v>531</v>
      </c>
      <c r="E938" s="6"/>
      <c r="F938" s="6" t="s">
        <v>879</v>
      </c>
      <c r="G938" s="7" t="s">
        <v>873</v>
      </c>
      <c r="H938" s="8" t="str">
        <f>IFNA(VLOOKUP(F938,Driver!A:C,3,false),"")</f>
        <v/>
      </c>
      <c r="I938" s="9">
        <v>0.6666666666666666</v>
      </c>
      <c r="J938" s="9">
        <v>0.7916666666666666</v>
      </c>
    </row>
    <row r="939" hidden="1">
      <c r="A939" s="5" t="str">
        <f>IFNA(VLOOKUP(D939,'Location Table'!A:C,2,false),"")</f>
        <v>9065c31a-49f3-11ed-af4a-506b8dbc8dfb</v>
      </c>
      <c r="B939" s="5" t="str">
        <f>IFNA(VLOOKUP(F939,Driver!A:C,2,false),"")</f>
        <v>feb9afca-fcce-11f0-9378-fa163ee8d8ac</v>
      </c>
      <c r="C939" s="5" t="str">
        <f>IFNA(VLOOKUP(E939,'Location Table'!A:C,2,false),"")</f>
        <v/>
      </c>
      <c r="D939" s="6" t="s">
        <v>532</v>
      </c>
      <c r="E939" s="6"/>
      <c r="F939" s="6" t="s">
        <v>879</v>
      </c>
      <c r="G939" s="7" t="s">
        <v>873</v>
      </c>
      <c r="H939" s="8" t="str">
        <f>IFNA(VLOOKUP(F939,Driver!A:C,3,false),"")</f>
        <v/>
      </c>
      <c r="I939" s="9">
        <v>0.6666666666666666</v>
      </c>
      <c r="J939" s="9">
        <v>0.7916666666666666</v>
      </c>
    </row>
    <row r="940" hidden="1">
      <c r="A940" s="5" t="str">
        <f>IFNA(VLOOKUP(D940,'Location Table'!A:C,2,false),"")</f>
        <v>bf7aa49a-a013-11ef-9b5c-506b8d9879b5</v>
      </c>
      <c r="B940" s="5" t="str">
        <f>IFNA(VLOOKUP(F940,Driver!A:C,2,false),"")</f>
        <v>f61678a4-3656-11ed-9310-506b8dbc8dfb</v>
      </c>
      <c r="C940" s="5" t="str">
        <f>IFNA(VLOOKUP(E940,'Location Table'!A:C,2,false),"")</f>
        <v/>
      </c>
      <c r="D940" s="6" t="s">
        <v>533</v>
      </c>
      <c r="E940" s="6"/>
      <c r="F940" s="6" t="s">
        <v>470</v>
      </c>
      <c r="G940" s="7" t="s">
        <v>873</v>
      </c>
      <c r="H940" s="8" t="str">
        <f>IFNA(VLOOKUP(F940,Driver!A:C,3,false),"")</f>
        <v>551b71e8ffa616f84fb7</v>
      </c>
      <c r="I940" s="9">
        <v>0.5</v>
      </c>
      <c r="J940" s="9">
        <v>0.7916666666666666</v>
      </c>
    </row>
    <row r="941" hidden="1">
      <c r="A941" s="5" t="str">
        <f>IFNA(VLOOKUP(D941,'Location Table'!A:C,2,false),"")</f>
        <v>2140d394-7411-11f0-a4f6-506b8d982279</v>
      </c>
      <c r="B941" s="5" t="str">
        <f>IFNA(VLOOKUP(F941,Driver!A:C,2,false),"")</f>
        <v>efbf243a-37c6-11ed-93fb-506b8dbc8dfb</v>
      </c>
      <c r="C941" s="5" t="str">
        <f>IFNA(VLOOKUP(E941,'Location Table'!A:C,2,false),"")</f>
        <v/>
      </c>
      <c r="D941" s="6" t="s">
        <v>538</v>
      </c>
      <c r="E941" s="6"/>
      <c r="F941" s="6" t="s">
        <v>517</v>
      </c>
      <c r="G941" s="7" t="s">
        <v>873</v>
      </c>
      <c r="H941" s="8" t="str">
        <f>IFNA(VLOOKUP(F941,Driver!A:C,3,false),"")</f>
        <v>c73df7953cd9d5878cc8</v>
      </c>
      <c r="I941" s="9">
        <v>0.5833333333333334</v>
      </c>
      <c r="J941" s="9">
        <v>0.7916666666666666</v>
      </c>
    </row>
    <row r="942" hidden="1">
      <c r="A942" s="5" t="str">
        <f>IFNA(VLOOKUP(D942,'Location Table'!A:C,2,false),"")</f>
        <v>5c7ab7e0-6414-11ee-a599-506b8d9879b5</v>
      </c>
      <c r="B942" s="5" t="str">
        <f>IFNA(VLOOKUP(F942,Driver!A:C,2,false),"")</f>
        <v>443c5016-3017-11ee-a6b5-506b8d9879b5</v>
      </c>
      <c r="C942" s="5" t="str">
        <f>IFNA(VLOOKUP(E942,'Location Table'!A:C,2,false),"")</f>
        <v/>
      </c>
      <c r="D942" s="6" t="s">
        <v>539</v>
      </c>
      <c r="E942" s="6"/>
      <c r="F942" s="6" t="s">
        <v>513</v>
      </c>
      <c r="G942" s="7" t="s">
        <v>873</v>
      </c>
      <c r="H942" s="8" t="str">
        <f>IFNA(VLOOKUP(F942,Driver!A:C,3,false),"")</f>
        <v>430767465e0cb752ee1d</v>
      </c>
      <c r="I942" s="9">
        <v>0.6666666666666666</v>
      </c>
      <c r="J942" s="9">
        <v>0.7916666666666666</v>
      </c>
    </row>
    <row r="943" hidden="1">
      <c r="A943" s="5" t="str">
        <f>IFNA(VLOOKUP(D943,'Location Table'!A:C,2,false),"")</f>
        <v>40f9f9c2-ed0b-11f0-ac9d-506b8d982279</v>
      </c>
      <c r="B943" s="5" t="str">
        <f>IFNA(VLOOKUP(F943,Driver!A:C,2,false),"")</f>
        <v>1f4f6cae-37cd-11ed-a84d-506b8dbc8dfb</v>
      </c>
      <c r="C943" s="5" t="str">
        <f>IFNA(VLOOKUP(E943,'Location Table'!A:C,2,false),"")</f>
        <v/>
      </c>
      <c r="D943" s="6" t="s">
        <v>541</v>
      </c>
      <c r="E943" s="6"/>
      <c r="F943" s="6" t="s">
        <v>514</v>
      </c>
      <c r="G943" s="7" t="s">
        <v>873</v>
      </c>
      <c r="H943" s="8" t="str">
        <f>IFNA(VLOOKUP(F943,Driver!A:C,3,false),"")</f>
        <v>595aed435d09b457ed18</v>
      </c>
      <c r="I943" s="9">
        <v>0.6666666666666666</v>
      </c>
      <c r="J943" s="9">
        <v>0.7916666666666666</v>
      </c>
    </row>
    <row r="944" hidden="1">
      <c r="A944" s="5" t="str">
        <f>IFNA(VLOOKUP(D944,'Location Table'!A:C,2,false),"")</f>
        <v>2289cb38-f734-11f0-9378-fa163ee8d8ac</v>
      </c>
      <c r="B944" s="5" t="str">
        <f>IFNA(VLOOKUP(F944,Driver!A:C,2,false),"")</f>
        <v>1f4f6cae-37cd-11ed-a84d-506b8dbc8dfb</v>
      </c>
      <c r="C944" s="5" t="str">
        <f>IFNA(VLOOKUP(E944,'Location Table'!A:C,2,false),"")</f>
        <v/>
      </c>
      <c r="D944" s="6" t="s">
        <v>542</v>
      </c>
      <c r="E944" s="6"/>
      <c r="F944" s="6" t="s">
        <v>514</v>
      </c>
      <c r="G944" s="7" t="s">
        <v>873</v>
      </c>
      <c r="H944" s="8" t="str">
        <f>IFNA(VLOOKUP(F944,Driver!A:C,3,false),"")</f>
        <v>595aed435d09b457ed18</v>
      </c>
      <c r="I944" s="9">
        <v>0.6666666666666666</v>
      </c>
      <c r="J944" s="9">
        <v>0.7916666666666666</v>
      </c>
    </row>
    <row r="945" hidden="1">
      <c r="A945" s="5" t="str">
        <f>IFNA(VLOOKUP(D945,'Location Table'!A:C,2,false),"")</f>
        <v>872a9ea6-4471-11ed-ba9b-506b8dbc8dfb</v>
      </c>
      <c r="B945" s="5" t="str">
        <f>IFNA(VLOOKUP(F945,Driver!A:C,2,false),"")</f>
        <v>1f4f6cae-37cd-11ed-a84d-506b8dbc8dfb</v>
      </c>
      <c r="C945" s="5" t="str">
        <f>IFNA(VLOOKUP(E945,'Location Table'!A:C,2,false),"")</f>
        <v/>
      </c>
      <c r="D945" s="6" t="s">
        <v>543</v>
      </c>
      <c r="E945" s="6"/>
      <c r="F945" s="6" t="s">
        <v>514</v>
      </c>
      <c r="G945" s="7" t="s">
        <v>873</v>
      </c>
      <c r="H945" s="8" t="str">
        <f>IFNA(VLOOKUP(F945,Driver!A:C,3,false),"")</f>
        <v>595aed435d09b457ed18</v>
      </c>
      <c r="I945" s="9">
        <v>0.6666666666666666</v>
      </c>
      <c r="J945" s="9">
        <v>0.7916666666666666</v>
      </c>
    </row>
    <row r="946" hidden="1">
      <c r="A946" s="5" t="str">
        <f>IFNA(VLOOKUP(D946,'Location Table'!A:C,2,false),"")</f>
        <v>ed754e2e-a0a8-11ee-8d61-506b8d9879b5</v>
      </c>
      <c r="B946" s="5" t="str">
        <f>IFNA(VLOOKUP(F946,Driver!A:C,2,false),"")</f>
        <v>4e1ad614-6cdb-11ef-807b-506b8d9879b5</v>
      </c>
      <c r="C946" s="5" t="str">
        <f>IFNA(VLOOKUP(E946,'Location Table'!A:C,2,false),"")</f>
        <v/>
      </c>
      <c r="D946" s="6" t="s">
        <v>544</v>
      </c>
      <c r="E946" s="6"/>
      <c r="F946" s="6" t="s">
        <v>512</v>
      </c>
      <c r="G946" s="7" t="s">
        <v>873</v>
      </c>
      <c r="H946" s="8" t="str">
        <f>IFNA(VLOOKUP(F946,Driver!A:C,3,false),"")</f>
        <v>65a6581b624a8b14d25b</v>
      </c>
      <c r="I946" s="9">
        <v>0.6666666666666666</v>
      </c>
      <c r="J946" s="9">
        <v>0.7708333333333334</v>
      </c>
    </row>
    <row r="947" hidden="1">
      <c r="A947" s="5" t="str">
        <f>IFNA(VLOOKUP(D947,'Location Table'!A:C,2,false),"")</f>
        <v>693fa07a-fa8b-11f0-9378-fa163ee8d8ac</v>
      </c>
      <c r="B947" s="5" t="str">
        <f>IFNA(VLOOKUP(F947,Driver!A:C,2,false),"")</f>
        <v>1f4f6cae-37cd-11ed-a84d-506b8dbc8dfb</v>
      </c>
      <c r="C947" s="5" t="str">
        <f>IFNA(VLOOKUP(E947,'Location Table'!A:C,2,false),"")</f>
        <v/>
      </c>
      <c r="D947" s="6" t="s">
        <v>545</v>
      </c>
      <c r="E947" s="6"/>
      <c r="F947" s="6" t="s">
        <v>514</v>
      </c>
      <c r="G947" s="7" t="s">
        <v>873</v>
      </c>
      <c r="H947" s="8" t="str">
        <f>IFNA(VLOOKUP(F947,Driver!A:C,3,false),"")</f>
        <v>595aed435d09b457ed18</v>
      </c>
      <c r="I947" s="9">
        <v>0.6666666666666666</v>
      </c>
      <c r="J947" s="9">
        <v>0.7916666666666666</v>
      </c>
    </row>
    <row r="948" hidden="1">
      <c r="A948" s="5" t="str">
        <f>IFNA(VLOOKUP(D948,'Location Table'!A:C,2,false),"")</f>
        <v>afed19e2-771c-11ef-8b57-506b8d9879b5</v>
      </c>
      <c r="B948" s="5" t="str">
        <f>IFNA(VLOOKUP(F948,Driver!A:C,2,false),"")</f>
        <v>feb9afca-fcce-11f0-9378-fa163ee8d8ac</v>
      </c>
      <c r="C948" s="5" t="str">
        <f>IFNA(VLOOKUP(E948,'Location Table'!A:C,2,false),"")</f>
        <v/>
      </c>
      <c r="D948" s="6" t="s">
        <v>546</v>
      </c>
      <c r="E948" s="6"/>
      <c r="F948" s="6" t="s">
        <v>879</v>
      </c>
      <c r="G948" s="7" t="s">
        <v>873</v>
      </c>
      <c r="H948" s="8" t="str">
        <f>IFNA(VLOOKUP(F948,Driver!A:C,3,false),"")</f>
        <v/>
      </c>
      <c r="I948" s="9">
        <v>0.6666666666666666</v>
      </c>
      <c r="J948" s="9">
        <v>0.7916666666666666</v>
      </c>
    </row>
    <row r="949" hidden="1">
      <c r="A949" s="5" t="str">
        <f>IFNA(VLOOKUP(D949,'Location Table'!A:C,2,false),"")</f>
        <v>1f390568-aad6-11ee-97ff-506b8d9879b5</v>
      </c>
      <c r="B949" s="5" t="str">
        <f>IFNA(VLOOKUP(F949,Driver!A:C,2,false),"")</f>
        <v>feb9afca-fcce-11f0-9378-fa163ee8d8ac</v>
      </c>
      <c r="C949" s="5" t="str">
        <f>IFNA(VLOOKUP(E949,'Location Table'!A:C,2,false),"")</f>
        <v/>
      </c>
      <c r="D949" s="6" t="s">
        <v>547</v>
      </c>
      <c r="E949" s="6"/>
      <c r="F949" s="6" t="s">
        <v>879</v>
      </c>
      <c r="G949" s="7" t="s">
        <v>873</v>
      </c>
      <c r="H949" s="8" t="str">
        <f>IFNA(VLOOKUP(F949,Driver!A:C,3,false),"")</f>
        <v/>
      </c>
      <c r="I949" s="9">
        <v>0.6666666666666666</v>
      </c>
      <c r="J949" s="9">
        <v>0.7916666666666666</v>
      </c>
    </row>
    <row r="950" hidden="1">
      <c r="A950" s="5" t="str">
        <f>IFNA(VLOOKUP(D950,'Location Table'!A:C,2,false),"")</f>
        <v>49941436-593e-11ee-9e3a-506b8d9879b5</v>
      </c>
      <c r="B950" s="5" t="str">
        <f>IFNA(VLOOKUP(F950,Driver!A:C,2,false),"")</f>
        <v>feb9afca-fcce-11f0-9378-fa163ee8d8ac</v>
      </c>
      <c r="C950" s="5" t="str">
        <f>IFNA(VLOOKUP(E950,'Location Table'!A:C,2,false),"")</f>
        <v/>
      </c>
      <c r="D950" s="6" t="s">
        <v>548</v>
      </c>
      <c r="E950" s="6"/>
      <c r="F950" s="6" t="s">
        <v>879</v>
      </c>
      <c r="G950" s="7" t="s">
        <v>873</v>
      </c>
      <c r="H950" s="8" t="str">
        <f>IFNA(VLOOKUP(F950,Driver!A:C,3,false),"")</f>
        <v/>
      </c>
      <c r="I950" s="9">
        <v>0.6666666666666666</v>
      </c>
      <c r="J950" s="9">
        <v>0.7916666666666666</v>
      </c>
    </row>
    <row r="951" hidden="1">
      <c r="A951" s="5" t="str">
        <f>IFNA(VLOOKUP(D951,'Location Table'!A:C,2,false),"")</f>
        <v>243a81ea-4f44-11f0-88b2-506b8d982279</v>
      </c>
      <c r="B951" s="5" t="str">
        <f>IFNA(VLOOKUP(F951,Driver!A:C,2,false),"")</f>
        <v>cf90a04a-ed64-11ed-8947-506b8dbc8dfb</v>
      </c>
      <c r="C951" s="5" t="str">
        <f>IFNA(VLOOKUP(E951,'Location Table'!A:C,2,false),"")</f>
        <v/>
      </c>
      <c r="D951" s="6" t="s">
        <v>549</v>
      </c>
      <c r="E951" s="6"/>
      <c r="F951" s="6" t="s">
        <v>519</v>
      </c>
      <c r="G951" s="7" t="s">
        <v>873</v>
      </c>
      <c r="H951" s="8" t="str">
        <f>IFNA(VLOOKUP(F951,Driver!A:C,3,false),"")</f>
        <v>c68359c32e95c7cb9e84</v>
      </c>
      <c r="I951" s="9">
        <v>0.6666666666666666</v>
      </c>
      <c r="J951" s="9">
        <v>0.7916666666666666</v>
      </c>
    </row>
    <row r="952" hidden="1">
      <c r="A952" s="5" t="str">
        <f>IFNA(VLOOKUP(D952,'Location Table'!A:C,2,false),"")</f>
        <v>ef3fc3ce-6b23-11ef-baed-506b8d9879b5</v>
      </c>
      <c r="B952" s="5" t="str">
        <f>IFNA(VLOOKUP(F952,Driver!A:C,2,false),"")</f>
        <v>cf90a04a-ed64-11ed-8947-506b8dbc8dfb</v>
      </c>
      <c r="C952" s="5" t="str">
        <f>IFNA(VLOOKUP(E952,'Location Table'!A:C,2,false),"")</f>
        <v/>
      </c>
      <c r="D952" s="6" t="s">
        <v>550</v>
      </c>
      <c r="E952" s="6"/>
      <c r="F952" s="6" t="s">
        <v>519</v>
      </c>
      <c r="G952" s="7" t="s">
        <v>873</v>
      </c>
      <c r="H952" s="8" t="str">
        <f>IFNA(VLOOKUP(F952,Driver!A:C,3,false),"")</f>
        <v>c68359c32e95c7cb9e84</v>
      </c>
      <c r="I952" s="9">
        <v>0.6666666666666666</v>
      </c>
      <c r="J952" s="9">
        <v>0.7916666666666666</v>
      </c>
    </row>
    <row r="953" hidden="1">
      <c r="A953" s="5" t="str">
        <f>IFNA(VLOOKUP(D953,'Location Table'!A:C,2,false),"")</f>
        <v>c9ec5262-10a8-11ee-a642-506b8dbc8dfb</v>
      </c>
      <c r="B953" s="5" t="str">
        <f>IFNA(VLOOKUP(F953,Driver!A:C,2,false),"")</f>
        <v>02d08390-37cf-11ed-865f-506b8dbc8dfb</v>
      </c>
      <c r="C953" s="5" t="str">
        <f>IFNA(VLOOKUP(E953,'Location Table'!A:C,2,false),"")</f>
        <v/>
      </c>
      <c r="D953" s="6" t="s">
        <v>554</v>
      </c>
      <c r="E953" s="6"/>
      <c r="F953" s="6" t="s">
        <v>516</v>
      </c>
      <c r="G953" s="7" t="s">
        <v>873</v>
      </c>
      <c r="H953" s="8" t="str">
        <f>IFNA(VLOOKUP(F953,Driver!A:C,3,false),"")</f>
        <v>7b7d76055846b118e857</v>
      </c>
      <c r="I953" s="9">
        <v>0.5833333333333334</v>
      </c>
      <c r="J953" s="9">
        <v>0.7916666666666666</v>
      </c>
    </row>
    <row r="954" hidden="1">
      <c r="A954" s="5" t="str">
        <f>IFNA(VLOOKUP(D954,'Location Table'!A:C,2,false),"")</f>
        <v>783885e0-dc62-11ee-ac1b-506b8d9879b5</v>
      </c>
      <c r="B954" s="5" t="str">
        <f>IFNA(VLOOKUP(F954,Driver!A:C,2,false),"")</f>
        <v>443c5016-3017-11ee-a6b5-506b8d9879b5</v>
      </c>
      <c r="C954" s="5" t="str">
        <f>IFNA(VLOOKUP(E954,'Location Table'!A:C,2,false),"")</f>
        <v/>
      </c>
      <c r="D954" s="6" t="s">
        <v>556</v>
      </c>
      <c r="E954" s="6"/>
      <c r="F954" s="6" t="s">
        <v>513</v>
      </c>
      <c r="G954" s="7" t="s">
        <v>873</v>
      </c>
      <c r="H954" s="8" t="str">
        <f>IFNA(VLOOKUP(F954,Driver!A:C,3,false),"")</f>
        <v>430767465e0cb752ee1d</v>
      </c>
      <c r="I954" s="9">
        <v>0.6666666666666666</v>
      </c>
      <c r="J954" s="9">
        <v>0.7916666666666666</v>
      </c>
    </row>
    <row r="955" hidden="1">
      <c r="A955" s="5" t="str">
        <f>IFNA(VLOOKUP(D955,'Location Table'!A:C,2,false),"")</f>
        <v>50f77282-2c1f-11ee-8c5e-506b8d9879b5</v>
      </c>
      <c r="B955" s="5" t="str">
        <f>IFNA(VLOOKUP(F955,Driver!A:C,2,false),"")</f>
        <v>af57dfcc-782d-11f0-b407-506b8d982279</v>
      </c>
      <c r="C955" s="5" t="str">
        <f>IFNA(VLOOKUP(E955,'Location Table'!A:C,2,false),"")</f>
        <v/>
      </c>
      <c r="D955" s="6" t="s">
        <v>557</v>
      </c>
      <c r="E955" s="6"/>
      <c r="F955" s="6" t="s">
        <v>515</v>
      </c>
      <c r="G955" s="7" t="s">
        <v>873</v>
      </c>
      <c r="H955" s="8" t="str">
        <f>IFNA(VLOOKUP(F955,Driver!A:C,3,false),"")</f>
        <v>d9fc37dd4093a9cdf082</v>
      </c>
      <c r="I955" s="9">
        <v>0.6666666666666666</v>
      </c>
      <c r="J955" s="9">
        <v>0.7916666666666666</v>
      </c>
    </row>
    <row r="956" hidden="1">
      <c r="A956" s="5" t="str">
        <f>IFNA(VLOOKUP(D956,'Location Table'!A:C,2,false),"")</f>
        <v>735c08ac-890b-11ef-b923-506b8d9879b5</v>
      </c>
      <c r="B956" s="5" t="str">
        <f>IFNA(VLOOKUP(F956,Driver!A:C,2,false),"")</f>
        <v>f5993946-37cf-11ed-a3fc-506b8dbc8dfb</v>
      </c>
      <c r="C956" s="5" t="str">
        <f>IFNA(VLOOKUP(E956,'Location Table'!A:C,2,false),"")</f>
        <v/>
      </c>
      <c r="D956" s="6" t="s">
        <v>558</v>
      </c>
      <c r="E956" s="6"/>
      <c r="F956" s="6" t="s">
        <v>314</v>
      </c>
      <c r="G956" s="7" t="s">
        <v>873</v>
      </c>
      <c r="H956" s="8" t="str">
        <f>IFNA(VLOOKUP(F956,Driver!A:C,3,false),"")</f>
        <v/>
      </c>
      <c r="I956" s="9">
        <v>0.6666666666666666</v>
      </c>
      <c r="J956" s="9">
        <v>0.7916666666666666</v>
      </c>
    </row>
    <row r="957" hidden="1">
      <c r="A957" s="5" t="str">
        <f>IFNA(VLOOKUP(D957,'Location Table'!A:C,2,false),"")</f>
        <v>111e2f12-e523-11ee-bde5-506b8d9879b5</v>
      </c>
      <c r="B957" s="5" t="str">
        <f>IFNA(VLOOKUP(F957,Driver!A:C,2,false),"")</f>
        <v>f5993946-37cf-11ed-a3fc-506b8dbc8dfb</v>
      </c>
      <c r="C957" s="5" t="str">
        <f>IFNA(VLOOKUP(E957,'Location Table'!A:C,2,false),"")</f>
        <v/>
      </c>
      <c r="D957" s="6" t="s">
        <v>559</v>
      </c>
      <c r="E957" s="6"/>
      <c r="F957" s="6" t="s">
        <v>314</v>
      </c>
      <c r="G957" s="7" t="s">
        <v>873</v>
      </c>
      <c r="H957" s="8" t="str">
        <f>IFNA(VLOOKUP(F957,Driver!A:C,3,false),"")</f>
        <v/>
      </c>
      <c r="I957" s="9">
        <v>0.6666666666666666</v>
      </c>
      <c r="J957" s="9">
        <v>0.7916666666666666</v>
      </c>
    </row>
    <row r="958" hidden="1">
      <c r="A958" s="5" t="str">
        <f>IFNA(VLOOKUP(D958,'Location Table'!A:C,2,false),"")</f>
        <v>08821918-737a-11f0-aae5-506b8d982279</v>
      </c>
      <c r="B958" s="5" t="str">
        <f>IFNA(VLOOKUP(F958,Driver!A:C,2,false),"")</f>
        <v>f5993946-37cf-11ed-a3fc-506b8dbc8dfb</v>
      </c>
      <c r="C958" s="5" t="str">
        <f>IFNA(VLOOKUP(E958,'Location Table'!A:C,2,false),"")</f>
        <v/>
      </c>
      <c r="D958" s="6" t="s">
        <v>560</v>
      </c>
      <c r="E958" s="6"/>
      <c r="F958" s="6" t="s">
        <v>314</v>
      </c>
      <c r="G958" s="7" t="s">
        <v>873</v>
      </c>
      <c r="H958" s="8" t="str">
        <f>IFNA(VLOOKUP(F958,Driver!A:C,3,false),"")</f>
        <v/>
      </c>
      <c r="I958" s="9">
        <v>0.6666666666666666</v>
      </c>
      <c r="J958" s="9">
        <v>0.7916666666666666</v>
      </c>
    </row>
    <row r="959" hidden="1">
      <c r="A959" s="5" t="str">
        <f>IFNA(VLOOKUP(D959,'Location Table'!A:C,2,false),"")</f>
        <v>f19e239a-d53b-11ef-9dff-506b8d9879b5</v>
      </c>
      <c r="B959" s="5" t="str">
        <f>IFNA(VLOOKUP(F959,Driver!A:C,2,false),"")</f>
        <v>af57dfcc-782d-11f0-b407-506b8d982279</v>
      </c>
      <c r="C959" s="5" t="str">
        <f>IFNA(VLOOKUP(E959,'Location Table'!A:C,2,false),"")</f>
        <v/>
      </c>
      <c r="D959" s="6" t="s">
        <v>561</v>
      </c>
      <c r="E959" s="6"/>
      <c r="F959" s="6" t="s">
        <v>515</v>
      </c>
      <c r="G959" s="7" t="s">
        <v>873</v>
      </c>
      <c r="H959" s="8" t="str">
        <f>IFNA(VLOOKUP(F959,Driver!A:C,3,false),"")</f>
        <v>d9fc37dd4093a9cdf082</v>
      </c>
      <c r="I959" s="9">
        <v>0.6666666666666666</v>
      </c>
      <c r="J959" s="9">
        <v>0.7916666666666666</v>
      </c>
    </row>
    <row r="960" hidden="1">
      <c r="A960" s="5" t="str">
        <f>IFNA(VLOOKUP(D960,'Location Table'!A:C,2,false),"")</f>
        <v>74eac478-6a6d-11ee-a53f-506b8d9879b5</v>
      </c>
      <c r="B960" s="5" t="str">
        <f>IFNA(VLOOKUP(F960,Driver!A:C,2,false),"")</f>
        <v>1f4f6cae-37cd-11ed-a84d-506b8dbc8dfb</v>
      </c>
      <c r="C960" s="5" t="str">
        <f>IFNA(VLOOKUP(E960,'Location Table'!A:C,2,false),"")</f>
        <v/>
      </c>
      <c r="D960" s="6" t="s">
        <v>565</v>
      </c>
      <c r="E960" s="6"/>
      <c r="F960" s="6" t="s">
        <v>514</v>
      </c>
      <c r="G960" s="7" t="s">
        <v>873</v>
      </c>
      <c r="H960" s="8" t="str">
        <f>IFNA(VLOOKUP(F960,Driver!A:C,3,false),"")</f>
        <v>595aed435d09b457ed18</v>
      </c>
      <c r="I960" s="9">
        <v>0.6666666666666666</v>
      </c>
      <c r="J960" s="9">
        <v>0.7916666666666666</v>
      </c>
    </row>
    <row r="961" hidden="1">
      <c r="A961" s="5" t="str">
        <f>IFNA(VLOOKUP(D961,'Location Table'!A:C,2,false),"")</f>
        <v>ea114924-37e7-11ee-b57b-506b8d9879b5</v>
      </c>
      <c r="B961" s="5" t="str">
        <f>IFNA(VLOOKUP(F961,Driver!A:C,2,false),"")</f>
        <v>1f4f6cae-37cd-11ed-a84d-506b8dbc8dfb</v>
      </c>
      <c r="C961" s="5" t="str">
        <f>IFNA(VLOOKUP(E961,'Location Table'!A:C,2,false),"")</f>
        <v/>
      </c>
      <c r="D961" s="6" t="s">
        <v>566</v>
      </c>
      <c r="E961" s="6"/>
      <c r="F961" s="6" t="s">
        <v>514</v>
      </c>
      <c r="G961" s="7" t="s">
        <v>873</v>
      </c>
      <c r="H961" s="8" t="str">
        <f>IFNA(VLOOKUP(F961,Driver!A:C,3,false),"")</f>
        <v>595aed435d09b457ed18</v>
      </c>
      <c r="I961" s="9">
        <v>0.6666666666666666</v>
      </c>
      <c r="J961" s="9">
        <v>0.7916666666666666</v>
      </c>
    </row>
    <row r="962" hidden="1">
      <c r="A962" s="5" t="str">
        <f>IFNA(VLOOKUP(D962,'Location Table'!A:C,2,false),"")</f>
        <v>ba79d6a2-d550-11ee-858c-506b8d9879b5</v>
      </c>
      <c r="B962" s="5" t="str">
        <f>IFNA(VLOOKUP(F962,Driver!A:C,2,false),"")</f>
        <v>1f4f6cae-37cd-11ed-a84d-506b8dbc8dfb</v>
      </c>
      <c r="C962" s="5" t="str">
        <f>IFNA(VLOOKUP(E962,'Location Table'!A:C,2,false),"")</f>
        <v/>
      </c>
      <c r="D962" s="6" t="s">
        <v>567</v>
      </c>
      <c r="E962" s="6"/>
      <c r="F962" s="6" t="s">
        <v>514</v>
      </c>
      <c r="G962" s="7" t="s">
        <v>873</v>
      </c>
      <c r="H962" s="8" t="str">
        <f>IFNA(VLOOKUP(F962,Driver!A:C,3,false),"")</f>
        <v>595aed435d09b457ed18</v>
      </c>
      <c r="I962" s="9">
        <v>0.6666666666666666</v>
      </c>
      <c r="J962" s="9">
        <v>0.7916666666666666</v>
      </c>
    </row>
    <row r="963" hidden="1">
      <c r="A963" s="5" t="str">
        <f>IFNA(VLOOKUP(D963,'Location Table'!A:C,2,false),"")</f>
        <v>6449120a-7407-11f0-9e36-506b8d982279</v>
      </c>
      <c r="B963" s="5" t="str">
        <f>IFNA(VLOOKUP(F963,Driver!A:C,2,false),"")</f>
        <v>1f4f6cae-37cd-11ed-a84d-506b8dbc8dfb</v>
      </c>
      <c r="C963" s="5" t="str">
        <f>IFNA(VLOOKUP(E963,'Location Table'!A:C,2,false),"")</f>
        <v/>
      </c>
      <c r="D963" s="6" t="s">
        <v>568</v>
      </c>
      <c r="E963" s="6"/>
      <c r="F963" s="6" t="s">
        <v>514</v>
      </c>
      <c r="G963" s="7" t="s">
        <v>873</v>
      </c>
      <c r="H963" s="8" t="str">
        <f>IFNA(VLOOKUP(F963,Driver!A:C,3,false),"")</f>
        <v>595aed435d09b457ed18</v>
      </c>
      <c r="I963" s="9">
        <v>0.6666666666666666</v>
      </c>
      <c r="J963" s="9">
        <v>0.7916666666666666</v>
      </c>
    </row>
    <row r="964" hidden="1">
      <c r="A964" s="5" t="str">
        <f>IFNA(VLOOKUP(D964,'Location Table'!A:C,2,false),"")</f>
        <v>b2a4e78c-a1c3-11f0-932c-506b8d982279</v>
      </c>
      <c r="B964" s="5" t="str">
        <f>IFNA(VLOOKUP(F964,Driver!A:C,2,false),"")</f>
        <v>4e1ad614-6cdb-11ef-807b-506b8d9879b5</v>
      </c>
      <c r="C964" s="5" t="str">
        <f>IFNA(VLOOKUP(E964,'Location Table'!A:C,2,false),"")</f>
        <v/>
      </c>
      <c r="D964" s="6" t="s">
        <v>569</v>
      </c>
      <c r="E964" s="6"/>
      <c r="F964" s="6" t="s">
        <v>512</v>
      </c>
      <c r="G964" s="7" t="s">
        <v>873</v>
      </c>
      <c r="H964" s="8" t="str">
        <f>IFNA(VLOOKUP(F964,Driver!A:C,3,false),"")</f>
        <v>65a6581b624a8b14d25b</v>
      </c>
      <c r="I964" s="9">
        <v>0.6666666666666666</v>
      </c>
      <c r="J964" s="9">
        <v>0.7708333333333334</v>
      </c>
    </row>
    <row r="965" hidden="1">
      <c r="A965" s="5" t="str">
        <f>IFNA(VLOOKUP(D965,'Location Table'!A:C,2,false),"")</f>
        <v>d0ff53de-c8ac-11ef-ae8e-506b8d9879b5</v>
      </c>
      <c r="B965" s="5" t="str">
        <f>IFNA(VLOOKUP(F965,Driver!A:C,2,false),"")</f>
        <v>1f4f6cae-37cd-11ed-a84d-506b8dbc8dfb</v>
      </c>
      <c r="C965" s="5" t="str">
        <f>IFNA(VLOOKUP(E965,'Location Table'!A:C,2,false),"")</f>
        <v/>
      </c>
      <c r="D965" s="6" t="s">
        <v>570</v>
      </c>
      <c r="E965" s="6"/>
      <c r="F965" s="6" t="s">
        <v>514</v>
      </c>
      <c r="G965" s="7" t="s">
        <v>873</v>
      </c>
      <c r="H965" s="8" t="str">
        <f>IFNA(VLOOKUP(F965,Driver!A:C,3,false),"")</f>
        <v>595aed435d09b457ed18</v>
      </c>
      <c r="I965" s="9">
        <v>0.6666666666666666</v>
      </c>
      <c r="J965" s="9">
        <v>0.7916666666666666</v>
      </c>
    </row>
    <row r="966" hidden="1">
      <c r="A966" s="5" t="str">
        <f>IFNA(VLOOKUP(D966,'Location Table'!A:C,2,false),"")</f>
        <v>ffa6f530-165a-11ee-97c4-506b8dbc8dfb</v>
      </c>
      <c r="B966" s="5" t="str">
        <f>IFNA(VLOOKUP(F966,Driver!A:C,2,false),"")</f>
        <v>4e1ad614-6cdb-11ef-807b-506b8d9879b5</v>
      </c>
      <c r="C966" s="5" t="str">
        <f>IFNA(VLOOKUP(E966,'Location Table'!A:C,2,false),"")</f>
        <v/>
      </c>
      <c r="D966" s="6" t="s">
        <v>571</v>
      </c>
      <c r="E966" s="6"/>
      <c r="F966" s="6" t="s">
        <v>512</v>
      </c>
      <c r="G966" s="7" t="s">
        <v>873</v>
      </c>
      <c r="H966" s="8" t="str">
        <f>IFNA(VLOOKUP(F966,Driver!A:C,3,false),"")</f>
        <v>65a6581b624a8b14d25b</v>
      </c>
      <c r="I966" s="9">
        <v>0.6666666666666666</v>
      </c>
      <c r="J966" s="9">
        <v>0.7708333333333334</v>
      </c>
    </row>
    <row r="967" hidden="1">
      <c r="A967" s="5" t="str">
        <f>IFNA(VLOOKUP(D967,'Location Table'!A:C,2,false),"")</f>
        <v>982ee11e-771c-11ef-bda9-506b8d9879b5</v>
      </c>
      <c r="B967" s="5" t="str">
        <f>IFNA(VLOOKUP(F967,Driver!A:C,2,false),"")</f>
        <v>feb9afca-fcce-11f0-9378-fa163ee8d8ac</v>
      </c>
      <c r="C967" s="5" t="str">
        <f>IFNA(VLOOKUP(E967,'Location Table'!A:C,2,false),"")</f>
        <v/>
      </c>
      <c r="D967" s="6" t="s">
        <v>572</v>
      </c>
      <c r="E967" s="6"/>
      <c r="F967" s="6" t="s">
        <v>879</v>
      </c>
      <c r="G967" s="7" t="s">
        <v>873</v>
      </c>
      <c r="H967" s="8" t="str">
        <f>IFNA(VLOOKUP(F967,Driver!A:C,3,false),"")</f>
        <v/>
      </c>
      <c r="I967" s="9">
        <v>0.6666666666666666</v>
      </c>
      <c r="J967" s="9">
        <v>0.7916666666666666</v>
      </c>
    </row>
    <row r="968" hidden="1">
      <c r="A968" s="5" t="str">
        <f>IFNA(VLOOKUP(D968,'Location Table'!A:C,2,false),"")</f>
        <v>f0b29d74-f1ca-11f0-9378-fa163ee8d8ac</v>
      </c>
      <c r="B968" s="5" t="str">
        <f>IFNA(VLOOKUP(F968,Driver!A:C,2,false),"")</f>
        <v>feb9afca-fcce-11f0-9378-fa163ee8d8ac</v>
      </c>
      <c r="C968" s="5" t="str">
        <f>IFNA(VLOOKUP(E968,'Location Table'!A:C,2,false),"")</f>
        <v/>
      </c>
      <c r="D968" s="6" t="s">
        <v>573</v>
      </c>
      <c r="E968" s="6"/>
      <c r="F968" s="6" t="s">
        <v>879</v>
      </c>
      <c r="G968" s="7" t="s">
        <v>873</v>
      </c>
      <c r="H968" s="8" t="str">
        <f>IFNA(VLOOKUP(F968,Driver!A:C,3,false),"")</f>
        <v/>
      </c>
      <c r="I968" s="9">
        <v>0.6666666666666666</v>
      </c>
      <c r="J968" s="9">
        <v>0.7916666666666666</v>
      </c>
    </row>
    <row r="969" hidden="1">
      <c r="A969" s="5" t="str">
        <f>IFNA(VLOOKUP(D969,'Location Table'!A:C,2,false),"")</f>
        <v>81999026-4170-11ee-abe4-506b8d9879b5</v>
      </c>
      <c r="B969" s="5" t="str">
        <f>IFNA(VLOOKUP(F969,Driver!A:C,2,false),"")</f>
        <v>f61678a4-3656-11ed-9310-506b8dbc8dfb</v>
      </c>
      <c r="C969" s="5" t="str">
        <f>IFNA(VLOOKUP(E969,'Location Table'!A:C,2,false),"")</f>
        <v/>
      </c>
      <c r="D969" s="6" t="s">
        <v>576</v>
      </c>
      <c r="E969" s="6"/>
      <c r="F969" s="6" t="s">
        <v>470</v>
      </c>
      <c r="G969" s="7" t="s">
        <v>873</v>
      </c>
      <c r="H969" s="8" t="str">
        <f>IFNA(VLOOKUP(F969,Driver!A:C,3,false),"")</f>
        <v>551b71e8ffa616f84fb7</v>
      </c>
      <c r="I969" s="9">
        <v>0.5</v>
      </c>
      <c r="J969" s="9">
        <v>0.7916666666666666</v>
      </c>
    </row>
    <row r="970" hidden="1">
      <c r="A970" s="5" t="str">
        <f>IFNA(VLOOKUP(D970,'Location Table'!A:C,2,false),"")</f>
        <v>8e21ab30-e107-11ee-9e56-506b8d9879b5</v>
      </c>
      <c r="B970" s="5" t="str">
        <f>IFNA(VLOOKUP(F970,Driver!A:C,2,false),"")</f>
        <v>f61678a4-3656-11ed-9310-506b8dbc8dfb</v>
      </c>
      <c r="C970" s="5" t="str">
        <f>IFNA(VLOOKUP(E970,'Location Table'!A:C,2,false),"")</f>
        <v/>
      </c>
      <c r="D970" s="6" t="s">
        <v>577</v>
      </c>
      <c r="E970" s="6"/>
      <c r="F970" s="6" t="s">
        <v>470</v>
      </c>
      <c r="G970" s="7" t="s">
        <v>873</v>
      </c>
      <c r="H970" s="8" t="str">
        <f>IFNA(VLOOKUP(F970,Driver!A:C,3,false),"")</f>
        <v>551b71e8ffa616f84fb7</v>
      </c>
      <c r="I970" s="9">
        <v>0.5</v>
      </c>
      <c r="J970" s="9">
        <v>0.7916666666666666</v>
      </c>
    </row>
    <row r="971" hidden="1">
      <c r="A971" s="5" t="str">
        <f>IFNA(VLOOKUP(D971,'Location Table'!A:C,2,false),"")</f>
        <v>8cee2ee0-7636-11ef-9feb-506b8d9879b5</v>
      </c>
      <c r="B971" s="5" t="str">
        <f>IFNA(VLOOKUP(F971,Driver!A:C,2,false),"")</f>
        <v>f61678a4-3656-11ed-9310-506b8dbc8dfb</v>
      </c>
      <c r="C971" s="5" t="str">
        <f>IFNA(VLOOKUP(E971,'Location Table'!A:C,2,false),"")</f>
        <v/>
      </c>
      <c r="D971" s="6" t="s">
        <v>578</v>
      </c>
      <c r="E971" s="6"/>
      <c r="F971" s="6" t="s">
        <v>470</v>
      </c>
      <c r="G971" s="7" t="s">
        <v>873</v>
      </c>
      <c r="H971" s="8" t="str">
        <f>IFNA(VLOOKUP(F971,Driver!A:C,3,false),"")</f>
        <v>551b71e8ffa616f84fb7</v>
      </c>
      <c r="I971" s="9">
        <v>0.5</v>
      </c>
      <c r="J971" s="9">
        <v>0.7916666666666666</v>
      </c>
    </row>
    <row r="972" hidden="1">
      <c r="A972" s="5" t="str">
        <f>IFNA(VLOOKUP(D972,'Location Table'!A:C,2,false),"")</f>
        <v>31b408c0-5bcc-11f0-b8b7-506b8d982279</v>
      </c>
      <c r="B972" s="5" t="str">
        <f>IFNA(VLOOKUP(F972,Driver!A:C,2,false),"")</f>
        <v>443c5016-3017-11ee-a6b5-506b8d9879b5</v>
      </c>
      <c r="C972" s="5" t="str">
        <f>IFNA(VLOOKUP(E972,'Location Table'!A:C,2,false),"")</f>
        <v/>
      </c>
      <c r="D972" s="6" t="s">
        <v>580</v>
      </c>
      <c r="E972" s="6"/>
      <c r="F972" s="6" t="s">
        <v>513</v>
      </c>
      <c r="G972" s="7" t="s">
        <v>873</v>
      </c>
      <c r="H972" s="8" t="str">
        <f>IFNA(VLOOKUP(F972,Driver!A:C,3,false),"")</f>
        <v>430767465e0cb752ee1d</v>
      </c>
      <c r="I972" s="9">
        <v>0.6666666666666666</v>
      </c>
      <c r="J972" s="9">
        <v>0.7916666666666666</v>
      </c>
    </row>
    <row r="973" hidden="1">
      <c r="A973" s="5" t="str">
        <f>IFNA(VLOOKUP(D973,'Location Table'!A:C,2,false),"")</f>
        <v>b63279a2-e776-11f0-9ae2-506b8d982279</v>
      </c>
      <c r="B973" s="5" t="str">
        <f>IFNA(VLOOKUP(F973,Driver!A:C,2,false),"")</f>
        <v>02d08390-37cf-11ed-865f-506b8dbc8dfb</v>
      </c>
      <c r="C973" s="5" t="str">
        <f>IFNA(VLOOKUP(E973,'Location Table'!A:C,2,false),"")</f>
        <v/>
      </c>
      <c r="D973" s="6" t="s">
        <v>584</v>
      </c>
      <c r="E973" s="6"/>
      <c r="F973" s="6" t="s">
        <v>516</v>
      </c>
      <c r="G973" s="7" t="s">
        <v>873</v>
      </c>
      <c r="H973" s="8" t="str">
        <f>IFNA(VLOOKUP(F973,Driver!A:C,3,false),"")</f>
        <v>7b7d76055846b118e857</v>
      </c>
      <c r="I973" s="9">
        <v>0.5833333333333334</v>
      </c>
      <c r="J973" s="9">
        <v>0.7916666666666666</v>
      </c>
    </row>
    <row r="974" hidden="1">
      <c r="A974" s="5" t="str">
        <f>IFNA(VLOOKUP(D974,'Location Table'!A:C,2,false),"")</f>
        <v>c6db25aa-458d-11f0-b3ac-506b8d982279</v>
      </c>
      <c r="B974" s="5" t="str">
        <f>IFNA(VLOOKUP(F974,Driver!A:C,2,false),"")</f>
        <v>353f3686-dcc8-11f0-82b8-506b8d982279</v>
      </c>
      <c r="C974" s="5" t="str">
        <f>IFNA(VLOOKUP(E974,'Location Table'!A:C,2,false),"")</f>
        <v/>
      </c>
      <c r="D974" s="6" t="s">
        <v>587</v>
      </c>
      <c r="E974" s="6"/>
      <c r="F974" s="10" t="s">
        <v>96</v>
      </c>
      <c r="G974" s="7" t="s">
        <v>873</v>
      </c>
      <c r="H974" s="8" t="str">
        <f>IFNA(VLOOKUP(F974,Driver!A:C,3,false),"")</f>
        <v>e7ce6d37cc7f25217c6e</v>
      </c>
      <c r="I974" s="9">
        <v>0.5</v>
      </c>
      <c r="J974" s="9">
        <v>0.7916666666666666</v>
      </c>
    </row>
    <row r="975" hidden="1">
      <c r="A975" s="5" t="str">
        <f>IFNA(VLOOKUP(D975,'Location Table'!A:C,2,false),"")</f>
        <v>9c275ec6-d7c7-11ee-a881-506b8d9879b5</v>
      </c>
      <c r="B975" s="5" t="str">
        <f>IFNA(VLOOKUP(F975,Driver!A:C,2,false),"")</f>
        <v>efbf243a-37c6-11ed-93fb-506b8dbc8dfb</v>
      </c>
      <c r="C975" s="5" t="str">
        <f>IFNA(VLOOKUP(E975,'Location Table'!A:C,2,false),"")</f>
        <v/>
      </c>
      <c r="D975" s="6" t="s">
        <v>588</v>
      </c>
      <c r="E975" s="6"/>
      <c r="F975" s="6" t="s">
        <v>517</v>
      </c>
      <c r="G975" s="7" t="s">
        <v>873</v>
      </c>
      <c r="H975" s="8" t="str">
        <f>IFNA(VLOOKUP(F975,Driver!A:C,3,false),"")</f>
        <v>c73df7953cd9d5878cc8</v>
      </c>
      <c r="I975" s="9">
        <v>0.5833333333333334</v>
      </c>
      <c r="J975" s="9">
        <v>0.7916666666666666</v>
      </c>
    </row>
    <row r="976" hidden="1">
      <c r="A976" s="5" t="str">
        <f>IFNA(VLOOKUP(D976,'Location Table'!A:C,2,false),"")</f>
        <v>d43bffd8-b6a1-11ef-905e-506b8d9879b5</v>
      </c>
      <c r="B976" s="5" t="str">
        <f>IFNA(VLOOKUP(F976,Driver!A:C,2,false),"")</f>
        <v>efbf243a-37c6-11ed-93fb-506b8dbc8dfb</v>
      </c>
      <c r="C976" s="5" t="str">
        <f>IFNA(VLOOKUP(E976,'Location Table'!A:C,2,false),"")</f>
        <v/>
      </c>
      <c r="D976" s="6" t="s">
        <v>589</v>
      </c>
      <c r="E976" s="6"/>
      <c r="F976" s="6" t="s">
        <v>517</v>
      </c>
      <c r="G976" s="7" t="s">
        <v>873</v>
      </c>
      <c r="H976" s="8" t="str">
        <f>IFNA(VLOOKUP(F976,Driver!A:C,3,false),"")</f>
        <v>c73df7953cd9d5878cc8</v>
      </c>
      <c r="I976" s="9">
        <v>0.5833333333333334</v>
      </c>
      <c r="J976" s="9">
        <v>0.7916666666666666</v>
      </c>
    </row>
    <row r="977" hidden="1">
      <c r="A977" s="5" t="str">
        <f>IFNA(VLOOKUP(D977,'Location Table'!A:C,2,false),"")</f>
        <v>04dfccf8-28c4-11ef-b0d0-506b8d9879b5</v>
      </c>
      <c r="B977" s="5" t="str">
        <f>IFNA(VLOOKUP(F977,Driver!A:C,2,false),"")</f>
        <v>f61678a4-3656-11ed-9310-506b8dbc8dfb</v>
      </c>
      <c r="C977" s="5" t="str">
        <f>IFNA(VLOOKUP(E977,'Location Table'!A:C,2,false),"")</f>
        <v/>
      </c>
      <c r="D977" s="6" t="s">
        <v>590</v>
      </c>
      <c r="E977" s="6"/>
      <c r="F977" s="6" t="s">
        <v>470</v>
      </c>
      <c r="G977" s="7" t="s">
        <v>873</v>
      </c>
      <c r="H977" s="8" t="str">
        <f>IFNA(VLOOKUP(F977,Driver!A:C,3,false),"")</f>
        <v>551b71e8ffa616f84fb7</v>
      </c>
      <c r="I977" s="9">
        <v>0.5</v>
      </c>
      <c r="J977" s="9">
        <v>0.7916666666666666</v>
      </c>
    </row>
    <row r="978" hidden="1">
      <c r="A978" s="5" t="str">
        <f>IFNA(VLOOKUP(D978,'Location Table'!A:C,2,false),"")</f>
        <v>734a3e3e-295b-11ef-a667-506b8d9879b5</v>
      </c>
      <c r="B978" s="5" t="str">
        <f>IFNA(VLOOKUP(F978,Driver!A:C,2,false),"")</f>
        <v>f5993946-37cf-11ed-a3fc-506b8dbc8dfb</v>
      </c>
      <c r="C978" s="5" t="str">
        <f>IFNA(VLOOKUP(E978,'Location Table'!A:C,2,false),"")</f>
        <v/>
      </c>
      <c r="D978" s="6" t="s">
        <v>591</v>
      </c>
      <c r="E978" s="6"/>
      <c r="F978" s="6" t="s">
        <v>314</v>
      </c>
      <c r="G978" s="7" t="s">
        <v>873</v>
      </c>
      <c r="H978" s="8" t="str">
        <f>IFNA(VLOOKUP(F978,Driver!A:C,3,false),"")</f>
        <v/>
      </c>
      <c r="I978" s="9">
        <v>0.6666666666666666</v>
      </c>
      <c r="J978" s="9">
        <v>0.7916666666666666</v>
      </c>
    </row>
    <row r="979" hidden="1">
      <c r="A979" s="5" t="str">
        <f>IFNA(VLOOKUP(D979,'Location Table'!A:C,2,false),"")</f>
        <v>aa19e50a-f872-11ee-8961-506b8d9879b5</v>
      </c>
      <c r="B979" s="5" t="str">
        <f>IFNA(VLOOKUP(F979,Driver!A:C,2,false),"")</f>
        <v>f61678a4-3656-11ed-9310-506b8dbc8dfb</v>
      </c>
      <c r="C979" s="5" t="str">
        <f>IFNA(VLOOKUP(E979,'Location Table'!A:C,2,false),"")</f>
        <v/>
      </c>
      <c r="D979" s="6" t="s">
        <v>592</v>
      </c>
      <c r="E979" s="6"/>
      <c r="F979" s="6" t="s">
        <v>470</v>
      </c>
      <c r="G979" s="7" t="s">
        <v>873</v>
      </c>
      <c r="H979" s="8" t="str">
        <f>IFNA(VLOOKUP(F979,Driver!A:C,3,false),"")</f>
        <v>551b71e8ffa616f84fb7</v>
      </c>
      <c r="I979" s="9">
        <v>0.5</v>
      </c>
      <c r="J979" s="9">
        <v>0.7916666666666666</v>
      </c>
    </row>
    <row r="980" hidden="1">
      <c r="A980" s="5" t="str">
        <f>IFNA(VLOOKUP(D980,'Location Table'!A:C,2,false),"")</f>
        <v>27f15d46-5a6c-11ee-b0f8-506b8d9879b5</v>
      </c>
      <c r="B980" s="5" t="str">
        <f>IFNA(VLOOKUP(F980,Driver!A:C,2,false),"")</f>
        <v>af57dfcc-782d-11f0-b407-506b8d982279</v>
      </c>
      <c r="C980" s="5" t="str">
        <f>IFNA(VLOOKUP(E980,'Location Table'!A:C,2,false),"")</f>
        <v/>
      </c>
      <c r="D980" s="6" t="s">
        <v>594</v>
      </c>
      <c r="E980" s="6"/>
      <c r="F980" s="6" t="s">
        <v>515</v>
      </c>
      <c r="G980" s="7" t="s">
        <v>873</v>
      </c>
      <c r="H980" s="8" t="str">
        <f>IFNA(VLOOKUP(F980,Driver!A:C,3,false),"")</f>
        <v>d9fc37dd4093a9cdf082</v>
      </c>
      <c r="I980" s="9">
        <v>0.6666666666666666</v>
      </c>
      <c r="J980" s="9">
        <v>0.7916666666666666</v>
      </c>
    </row>
    <row r="981" hidden="1">
      <c r="A981" s="5" t="str">
        <f>IFNA(VLOOKUP(D981,'Location Table'!A:C,2,false),"")</f>
        <v>36d79306-d8bb-11ef-bddf-506b8d9879b5</v>
      </c>
      <c r="B981" s="5" t="str">
        <f>IFNA(VLOOKUP(F981,Driver!A:C,2,false),"")</f>
        <v>af57dfcc-782d-11f0-b407-506b8d982279</v>
      </c>
      <c r="C981" s="5" t="str">
        <f>IFNA(VLOOKUP(E981,'Location Table'!A:C,2,false),"")</f>
        <v/>
      </c>
      <c r="D981" s="6" t="s">
        <v>595</v>
      </c>
      <c r="E981" s="6"/>
      <c r="F981" s="6" t="s">
        <v>515</v>
      </c>
      <c r="G981" s="7" t="s">
        <v>873</v>
      </c>
      <c r="H981" s="8" t="str">
        <f>IFNA(VLOOKUP(F981,Driver!A:C,3,false),"")</f>
        <v>d9fc37dd4093a9cdf082</v>
      </c>
      <c r="I981" s="9">
        <v>0.6666666666666666</v>
      </c>
      <c r="J981" s="9">
        <v>0.7916666666666666</v>
      </c>
    </row>
    <row r="982" hidden="1">
      <c r="A982" s="5" t="str">
        <f>IFNA(VLOOKUP(D982,'Location Table'!A:C,2,false),"")</f>
        <v>776b9818-5953-11f0-a360-506b8d982279</v>
      </c>
      <c r="B982" s="5" t="str">
        <f>IFNA(VLOOKUP(F982,Driver!A:C,2,false),"")</f>
        <v>443c5016-3017-11ee-a6b5-506b8d9879b5</v>
      </c>
      <c r="C982" s="5" t="str">
        <f>IFNA(VLOOKUP(E982,'Location Table'!A:C,2,false),"")</f>
        <v/>
      </c>
      <c r="D982" s="6" t="s">
        <v>600</v>
      </c>
      <c r="E982" s="6"/>
      <c r="F982" s="6" t="s">
        <v>513</v>
      </c>
      <c r="G982" s="7" t="s">
        <v>873</v>
      </c>
      <c r="H982" s="8" t="str">
        <f>IFNA(VLOOKUP(F982,Driver!A:C,3,false),"")</f>
        <v>430767465e0cb752ee1d</v>
      </c>
      <c r="I982" s="9">
        <v>0.6666666666666666</v>
      </c>
      <c r="J982" s="9">
        <v>0.7916666666666666</v>
      </c>
    </row>
    <row r="983" hidden="1">
      <c r="A983" s="5" t="str">
        <f>IFNA(VLOOKUP(D983,'Location Table'!A:C,2,false),"")</f>
        <v>693fa07a-fa8b-11f0-9378-fa163ee8d8ac</v>
      </c>
      <c r="B983" s="5" t="str">
        <f>IFNA(VLOOKUP(F983,Driver!A:C,2,false),"")</f>
        <v>443c5016-3017-11ee-a6b5-506b8d9879b5</v>
      </c>
      <c r="C983" s="5" t="str">
        <f>IFNA(VLOOKUP(E983,'Location Table'!A:C,2,false),"")</f>
        <v/>
      </c>
      <c r="D983" s="6" t="s">
        <v>545</v>
      </c>
      <c r="E983" s="6"/>
      <c r="F983" s="6" t="s">
        <v>513</v>
      </c>
      <c r="G983" s="7" t="s">
        <v>873</v>
      </c>
      <c r="H983" s="8" t="str">
        <f>IFNA(VLOOKUP(F983,Driver!A:C,3,false),"")</f>
        <v>430767465e0cb752ee1d</v>
      </c>
      <c r="I983" s="9">
        <v>0.6666666666666666</v>
      </c>
      <c r="J983" s="9">
        <v>0.7916666666666666</v>
      </c>
    </row>
    <row r="984" hidden="1">
      <c r="A984" s="5" t="str">
        <f>IFNA(VLOOKUP(D984,'Location Table'!A:C,2,false),"")</f>
        <v>e8a5c316-4e57-11f0-9e90-506b8d982279</v>
      </c>
      <c r="B984" s="5" t="str">
        <f>IFNA(VLOOKUP(F984,Driver!A:C,2,false),"")</f>
        <v>f5993946-37cf-11ed-a3fc-506b8dbc8dfb</v>
      </c>
      <c r="C984" s="5" t="str">
        <f>IFNA(VLOOKUP(E984,'Location Table'!A:C,2,false),"")</f>
        <v/>
      </c>
      <c r="D984" s="6" t="s">
        <v>602</v>
      </c>
      <c r="E984" s="6"/>
      <c r="F984" s="6" t="s">
        <v>314</v>
      </c>
      <c r="G984" s="7" t="s">
        <v>873</v>
      </c>
      <c r="H984" s="8" t="str">
        <f>IFNA(VLOOKUP(F984,Driver!A:C,3,false),"")</f>
        <v/>
      </c>
      <c r="I984" s="9">
        <v>0.6666666666666666</v>
      </c>
      <c r="J984" s="9">
        <v>0.7916666666666666</v>
      </c>
    </row>
    <row r="985" hidden="1">
      <c r="A985" s="5" t="str">
        <f>IFNA(VLOOKUP(D985,'Location Table'!A:C,2,false),"")</f>
        <v>d5fc1bda-f5a9-11f0-9378-fa163ee8d8ac</v>
      </c>
      <c r="B985" s="5" t="str">
        <f>IFNA(VLOOKUP(F985,Driver!A:C,2,false),"")</f>
        <v>4e1ad614-6cdb-11ef-807b-506b8d9879b5</v>
      </c>
      <c r="C985" s="5" t="str">
        <f>IFNA(VLOOKUP(E985,'Location Table'!A:C,2,false),"")</f>
        <v/>
      </c>
      <c r="D985" s="6" t="s">
        <v>603</v>
      </c>
      <c r="E985" s="6"/>
      <c r="F985" s="6" t="s">
        <v>512</v>
      </c>
      <c r="G985" s="7" t="s">
        <v>873</v>
      </c>
      <c r="H985" s="8" t="str">
        <f>IFNA(VLOOKUP(F985,Driver!A:C,3,false),"")</f>
        <v>65a6581b624a8b14d25b</v>
      </c>
      <c r="I985" s="9">
        <v>0.6666666666666666</v>
      </c>
      <c r="J985" s="9">
        <v>0.7708333333333334</v>
      </c>
    </row>
    <row r="986" hidden="1">
      <c r="A986" s="5" t="str">
        <f>IFNA(VLOOKUP(D986,'Location Table'!A:C,2,false),"")</f>
        <v>0a0741b0-0670-11ee-8e90-506b8dbc8dfb</v>
      </c>
      <c r="B986" s="5" t="str">
        <f>IFNA(VLOOKUP(F986,Driver!A:C,2,false),"")</f>
        <v>1f4f6cae-37cd-11ed-a84d-506b8dbc8dfb</v>
      </c>
      <c r="C986" s="5" t="str">
        <f>IFNA(VLOOKUP(E986,'Location Table'!A:C,2,false),"")</f>
        <v/>
      </c>
      <c r="D986" s="6" t="s">
        <v>604</v>
      </c>
      <c r="E986" s="6"/>
      <c r="F986" s="6" t="s">
        <v>514</v>
      </c>
      <c r="G986" s="7" t="s">
        <v>873</v>
      </c>
      <c r="H986" s="8" t="str">
        <f>IFNA(VLOOKUP(F986,Driver!A:C,3,false),"")</f>
        <v>595aed435d09b457ed18</v>
      </c>
      <c r="I986" s="9">
        <v>0.6666666666666666</v>
      </c>
      <c r="J986" s="9">
        <v>0.7916666666666666</v>
      </c>
    </row>
    <row r="987" hidden="1">
      <c r="A987" s="5" t="str">
        <f>IFNA(VLOOKUP(D987,'Location Table'!A:C,2,false),"")</f>
        <v>e3952d4c-3b85-11f0-9180-506b8d982279</v>
      </c>
      <c r="B987" s="5" t="str">
        <f>IFNA(VLOOKUP(F987,Driver!A:C,2,false),"")</f>
        <v>4e1ad614-6cdb-11ef-807b-506b8d9879b5</v>
      </c>
      <c r="C987" s="5" t="str">
        <f>IFNA(VLOOKUP(E987,'Location Table'!A:C,2,false),"")</f>
        <v/>
      </c>
      <c r="D987" s="6" t="s">
        <v>606</v>
      </c>
      <c r="E987" s="6"/>
      <c r="F987" s="6" t="s">
        <v>512</v>
      </c>
      <c r="G987" s="7" t="s">
        <v>873</v>
      </c>
      <c r="H987" s="8" t="str">
        <f>IFNA(VLOOKUP(F987,Driver!A:C,3,false),"")</f>
        <v>65a6581b624a8b14d25b</v>
      </c>
      <c r="I987" s="9">
        <v>0.6666666666666666</v>
      </c>
      <c r="J987" s="9">
        <v>0.7708333333333334</v>
      </c>
    </row>
    <row r="988" hidden="1">
      <c r="A988" s="5" t="str">
        <f>IFNA(VLOOKUP(D988,'Location Table'!A:C,2,false),"")</f>
        <v>fa79c97e-cccb-11ef-abf9-506b8d9879b5</v>
      </c>
      <c r="B988" s="5" t="str">
        <f>IFNA(VLOOKUP(F988,Driver!A:C,2,false),"")</f>
        <v>f61678a4-3656-11ed-9310-506b8dbc8dfb</v>
      </c>
      <c r="C988" s="5" t="str">
        <f>IFNA(VLOOKUP(E988,'Location Table'!A:C,2,false),"")</f>
        <v/>
      </c>
      <c r="D988" s="6" t="s">
        <v>609</v>
      </c>
      <c r="E988" s="6"/>
      <c r="F988" s="6" t="s">
        <v>470</v>
      </c>
      <c r="G988" s="7" t="s">
        <v>873</v>
      </c>
      <c r="H988" s="8" t="str">
        <f>IFNA(VLOOKUP(F988,Driver!A:C,3,false),"")</f>
        <v>551b71e8ffa616f84fb7</v>
      </c>
      <c r="I988" s="9">
        <v>0.5</v>
      </c>
      <c r="J988" s="9">
        <v>0.7916666666666666</v>
      </c>
    </row>
    <row r="989" hidden="1">
      <c r="A989" s="5" t="str">
        <f>IFNA(VLOOKUP(D989,'Location Table'!A:C,2,false),"")</f>
        <v>3982905c-544a-11ee-be4d-506b8d9879b5</v>
      </c>
      <c r="B989" s="5" t="str">
        <f>IFNA(VLOOKUP(F989,Driver!A:C,2,false),"")</f>
        <v>02d08390-37cf-11ed-865f-506b8dbc8dfb</v>
      </c>
      <c r="C989" s="5" t="str">
        <f>IFNA(VLOOKUP(E989,'Location Table'!A:C,2,false),"")</f>
        <v/>
      </c>
      <c r="D989" s="6" t="s">
        <v>617</v>
      </c>
      <c r="E989" s="6"/>
      <c r="F989" s="6" t="s">
        <v>516</v>
      </c>
      <c r="G989" s="7" t="s">
        <v>873</v>
      </c>
      <c r="H989" s="8" t="str">
        <f>IFNA(VLOOKUP(F989,Driver!A:C,3,false),"")</f>
        <v>7b7d76055846b118e857</v>
      </c>
      <c r="I989" s="9">
        <v>0.5833333333333334</v>
      </c>
      <c r="J989" s="9">
        <v>0.7916666666666666</v>
      </c>
    </row>
    <row r="990" hidden="1">
      <c r="A990" s="5" t="str">
        <f>IFNA(VLOOKUP(D990,'Location Table'!A:C,2,false),"")</f>
        <v>2df160d4-39da-11f0-a2f8-506b8d982279</v>
      </c>
      <c r="B990" s="5" t="str">
        <f>IFNA(VLOOKUP(F990,Driver!A:C,2,false),"")</f>
        <v>f5993946-37cf-11ed-a3fc-506b8dbc8dfb</v>
      </c>
      <c r="C990" s="5" t="str">
        <f>IFNA(VLOOKUP(E990,'Location Table'!A:C,2,false),"")</f>
        <v/>
      </c>
      <c r="D990" s="6" t="s">
        <v>622</v>
      </c>
      <c r="E990" s="6"/>
      <c r="F990" s="6" t="s">
        <v>314</v>
      </c>
      <c r="G990" s="7" t="s">
        <v>873</v>
      </c>
      <c r="H990" s="8" t="str">
        <f>IFNA(VLOOKUP(F990,Driver!A:C,3,false),"")</f>
        <v/>
      </c>
      <c r="I990" s="9">
        <v>0.6666666666666666</v>
      </c>
      <c r="J990" s="9">
        <v>0.7916666666666666</v>
      </c>
    </row>
    <row r="991" hidden="1">
      <c r="A991" s="5" t="str">
        <f>IFNA(VLOOKUP(D991,'Location Table'!A:C,2,false),"")</f>
        <v>c7166e00-1e0f-11ee-a97a-506b8d9879b5</v>
      </c>
      <c r="B991" s="5" t="str">
        <f>IFNA(VLOOKUP(F991,Driver!A:C,2,false),"")</f>
        <v>feb9afca-fcce-11f0-9378-fa163ee8d8ac</v>
      </c>
      <c r="C991" s="5" t="str">
        <f>IFNA(VLOOKUP(E991,'Location Table'!A:C,2,false),"")</f>
        <v/>
      </c>
      <c r="D991" s="6" t="s">
        <v>623</v>
      </c>
      <c r="E991" s="6"/>
      <c r="F991" s="6" t="s">
        <v>879</v>
      </c>
      <c r="G991" s="7" t="s">
        <v>873</v>
      </c>
      <c r="H991" s="8" t="str">
        <f>IFNA(VLOOKUP(F991,Driver!A:C,3,false),"")</f>
        <v/>
      </c>
      <c r="I991" s="9">
        <v>0.6666666666666666</v>
      </c>
      <c r="J991" s="9">
        <v>0.7916666666666666</v>
      </c>
    </row>
    <row r="992" hidden="1">
      <c r="A992" s="5" t="str">
        <f>IFNA(VLOOKUP(D992,'Location Table'!A:C,2,false),"")</f>
        <v>5a1f764a-613c-11ef-b8cb-506b8d9879b5</v>
      </c>
      <c r="B992" s="5" t="str">
        <f>IFNA(VLOOKUP(F992,Driver!A:C,2,false),"")</f>
        <v>f61678a4-3656-11ed-9310-506b8dbc8dfb</v>
      </c>
      <c r="C992" s="5" t="str">
        <f>IFNA(VLOOKUP(E992,'Location Table'!A:C,2,false),"")</f>
        <v/>
      </c>
      <c r="D992" s="6" t="s">
        <v>624</v>
      </c>
      <c r="E992" s="6"/>
      <c r="F992" s="6" t="s">
        <v>470</v>
      </c>
      <c r="G992" s="7" t="s">
        <v>873</v>
      </c>
      <c r="H992" s="8" t="str">
        <f>IFNA(VLOOKUP(F992,Driver!A:C,3,false),"")</f>
        <v>551b71e8ffa616f84fb7</v>
      </c>
      <c r="I992" s="9">
        <v>0.5</v>
      </c>
      <c r="J992" s="9">
        <v>0.7916666666666666</v>
      </c>
    </row>
    <row r="993" hidden="1">
      <c r="A993" s="5" t="str">
        <f>IFNA(VLOOKUP(D993,'Location Table'!A:C,2,false),"")</f>
        <v>fc318f48-9fc9-11ee-9804-506b8d9879b5</v>
      </c>
      <c r="B993" s="5" t="str">
        <f>IFNA(VLOOKUP(F993,Driver!A:C,2,false),"")</f>
        <v>4e1ad614-6cdb-11ef-807b-506b8d9879b5</v>
      </c>
      <c r="C993" s="5" t="str">
        <f>IFNA(VLOOKUP(E993,'Location Table'!A:C,2,false),"")</f>
        <v/>
      </c>
      <c r="D993" s="6" t="s">
        <v>605</v>
      </c>
      <c r="E993" s="6"/>
      <c r="F993" s="6" t="s">
        <v>512</v>
      </c>
      <c r="G993" s="7" t="s">
        <v>873</v>
      </c>
      <c r="H993" s="8" t="str">
        <f>IFNA(VLOOKUP(F993,Driver!A:C,3,false),"")</f>
        <v>65a6581b624a8b14d25b</v>
      </c>
      <c r="I993" s="9">
        <v>0.6666666666666666</v>
      </c>
      <c r="J993" s="9">
        <v>0.7708333333333334</v>
      </c>
    </row>
    <row r="994" hidden="1">
      <c r="A994" s="5" t="str">
        <f>IFNA(VLOOKUP(D994,'Location Table'!A:C,2,false),"")</f>
        <v>57cf4696-c885-11ed-a324-506b8dbc8dfb</v>
      </c>
      <c r="B994" s="5" t="str">
        <f>IFNA(VLOOKUP(F994,Driver!A:C,2,false),"")</f>
        <v>feb9afca-fcce-11f0-9378-fa163ee8d8ac</v>
      </c>
      <c r="C994" s="5" t="str">
        <f>IFNA(VLOOKUP(E994,'Location Table'!A:C,2,false),"")</f>
        <v/>
      </c>
      <c r="D994" s="6" t="s">
        <v>626</v>
      </c>
      <c r="E994" s="6"/>
      <c r="F994" s="6" t="s">
        <v>879</v>
      </c>
      <c r="G994" s="7" t="s">
        <v>873</v>
      </c>
      <c r="H994" s="8" t="str">
        <f>IFNA(VLOOKUP(F994,Driver!A:C,3,false),"")</f>
        <v/>
      </c>
      <c r="I994" s="9">
        <v>0.6666666666666666</v>
      </c>
      <c r="J994" s="9">
        <v>0.7916666666666666</v>
      </c>
    </row>
    <row r="995" hidden="1">
      <c r="A995" s="5" t="str">
        <f>IFNA(VLOOKUP(D995,'Location Table'!A:C,2,false),"")</f>
        <v>67aba92e-586d-11ee-95a5-506b8d9879b5</v>
      </c>
      <c r="B995" s="5" t="str">
        <f>IFNA(VLOOKUP(F995,Driver!A:C,2,false),"")</f>
        <v>f580f2a4-1966-11ee-a4c6-506b8d9879b5</v>
      </c>
      <c r="C995" s="5" t="str">
        <f>IFNA(VLOOKUP(E995,'Location Table'!A:C,2,false),"")</f>
        <v/>
      </c>
      <c r="D995" s="6" t="s">
        <v>628</v>
      </c>
      <c r="E995" s="6"/>
      <c r="F995" s="6" t="s">
        <v>878</v>
      </c>
      <c r="G995" s="7" t="s">
        <v>873</v>
      </c>
      <c r="H995" s="8" t="str">
        <f>IFNA(VLOOKUP(F995,Driver!A:C,3,false),"")</f>
        <v>557c6317f65c1f02464d</v>
      </c>
      <c r="I995" s="9">
        <v>0.6666666666666666</v>
      </c>
      <c r="J995" s="9">
        <v>0.7916666666666666</v>
      </c>
    </row>
    <row r="996" hidden="1">
      <c r="A996" s="5" t="str">
        <f>IFNA(VLOOKUP(D996,'Location Table'!A:C,2,false),"")</f>
        <v>94e0007e-2b95-11ef-9d65-506b8d9879b5</v>
      </c>
      <c r="B996" s="5" t="str">
        <f>IFNA(VLOOKUP(F996,Driver!A:C,2,false),"")</f>
        <v>c1149922-ecea-11ef-a670-506b8d9879b5</v>
      </c>
      <c r="C996" s="5" t="str">
        <f>IFNA(VLOOKUP(E996,'Location Table'!A:C,2,false),"")</f>
        <v/>
      </c>
      <c r="D996" s="6" t="s">
        <v>629</v>
      </c>
      <c r="E996" s="6"/>
      <c r="F996" s="6" t="s">
        <v>509</v>
      </c>
      <c r="G996" s="7" t="s">
        <v>873</v>
      </c>
      <c r="H996" s="8" t="str">
        <f>IFNA(VLOOKUP(F996,Driver!A:C,3,false),"")</f>
        <v/>
      </c>
      <c r="I996" s="9">
        <v>0.6666666666666666</v>
      </c>
      <c r="J996" s="9">
        <v>0.7916666666666666</v>
      </c>
    </row>
    <row r="997" hidden="1">
      <c r="A997" s="5" t="str">
        <f>IFNA(VLOOKUP(D997,'Location Table'!A:C,2,false),"")</f>
        <v>3cb28f2a-49fb-11ed-abaa-506b8dbc8dfb</v>
      </c>
      <c r="B997" s="5" t="str">
        <f>IFNA(VLOOKUP(F997,Driver!A:C,2,false),"")</f>
        <v>efbf243a-37c6-11ed-93fb-506b8dbc8dfb</v>
      </c>
      <c r="C997" s="5" t="str">
        <f>IFNA(VLOOKUP(E997,'Location Table'!A:C,2,false),"")</f>
        <v/>
      </c>
      <c r="D997" s="6" t="s">
        <v>630</v>
      </c>
      <c r="E997" s="6"/>
      <c r="F997" s="6" t="s">
        <v>517</v>
      </c>
      <c r="G997" s="7" t="s">
        <v>873</v>
      </c>
      <c r="H997" s="8" t="str">
        <f>IFNA(VLOOKUP(F997,Driver!A:C,3,false),"")</f>
        <v>c73df7953cd9d5878cc8</v>
      </c>
      <c r="I997" s="9">
        <v>0.5833333333333334</v>
      </c>
      <c r="J997" s="9">
        <v>0.7916666666666666</v>
      </c>
    </row>
    <row r="998" hidden="1">
      <c r="A998" s="5" t="str">
        <f>IFNA(VLOOKUP(D998,'Location Table'!A:C,2,false),"")</f>
        <v>779334d6-1d87-11ee-8c8a-506b8d9879b5</v>
      </c>
      <c r="B998" s="5" t="str">
        <f>IFNA(VLOOKUP(F998,Driver!A:C,2,false),"")</f>
        <v>feb9afca-fcce-11f0-9378-fa163ee8d8ac</v>
      </c>
      <c r="C998" s="5" t="str">
        <f>IFNA(VLOOKUP(E998,'Location Table'!A:C,2,false),"")</f>
        <v/>
      </c>
      <c r="D998" s="6" t="s">
        <v>632</v>
      </c>
      <c r="E998" s="6"/>
      <c r="F998" s="6" t="s">
        <v>879</v>
      </c>
      <c r="G998" s="7" t="s">
        <v>873</v>
      </c>
      <c r="H998" s="8" t="str">
        <f>IFNA(VLOOKUP(F998,Driver!A:C,3,false),"")</f>
        <v/>
      </c>
      <c r="I998" s="9">
        <v>0.6666666666666666</v>
      </c>
      <c r="J998" s="9">
        <v>0.7916666666666666</v>
      </c>
    </row>
    <row r="999" hidden="1">
      <c r="A999" s="5" t="str">
        <f>IFNA(VLOOKUP(D999,'Location Table'!A:C,2,false),"")</f>
        <v>d9627430-7b1b-11f0-857d-506b8d982279</v>
      </c>
      <c r="B999" s="5" t="str">
        <f>IFNA(VLOOKUP(F999,Driver!A:C,2,false),"")</f>
        <v>443c5016-3017-11ee-a6b5-506b8d9879b5</v>
      </c>
      <c r="C999" s="5" t="str">
        <f>IFNA(VLOOKUP(E999,'Location Table'!A:C,2,false),"")</f>
        <v/>
      </c>
      <c r="D999" s="6" t="s">
        <v>634</v>
      </c>
      <c r="E999" s="6"/>
      <c r="F999" s="6" t="s">
        <v>513</v>
      </c>
      <c r="G999" s="7" t="s">
        <v>873</v>
      </c>
      <c r="H999" s="8" t="str">
        <f>IFNA(VLOOKUP(F999,Driver!A:C,3,false),"")</f>
        <v>430767465e0cb752ee1d</v>
      </c>
      <c r="I999" s="9">
        <v>0.6666666666666666</v>
      </c>
      <c r="J999" s="9">
        <v>0.7916666666666666</v>
      </c>
    </row>
    <row r="1000" hidden="1">
      <c r="A1000" s="5" t="str">
        <f>IFNA(VLOOKUP(D1000,'Location Table'!A:C,2,false),"")</f>
        <v>0f920f28-f41d-11f0-9378-fa163ee8d8ac</v>
      </c>
      <c r="B1000" s="5" t="str">
        <f>IFNA(VLOOKUP(F1000,Driver!A:C,2,false),"")</f>
        <v>02d08390-37cf-11ed-865f-506b8dbc8dfb</v>
      </c>
      <c r="C1000" s="5" t="str">
        <f>IFNA(VLOOKUP(E1000,'Location Table'!A:C,2,false),"")</f>
        <v/>
      </c>
      <c r="D1000" s="6" t="s">
        <v>637</v>
      </c>
      <c r="E1000" s="6"/>
      <c r="F1000" s="6" t="s">
        <v>516</v>
      </c>
      <c r="G1000" s="7" t="s">
        <v>873</v>
      </c>
      <c r="H1000" s="8" t="str">
        <f>IFNA(VLOOKUP(F1000,Driver!A:C,3,false),"")</f>
        <v>7b7d76055846b118e857</v>
      </c>
      <c r="I1000" s="9">
        <v>0.5833333333333334</v>
      </c>
      <c r="J1000" s="9">
        <v>0.7916666666666666</v>
      </c>
    </row>
    <row r="1001" hidden="1">
      <c r="A1001" s="5" t="str">
        <f>IFNA(VLOOKUP(D1001,'Location Table'!A:C,2,false),"")</f>
        <v>34e16eca-9003-11ee-8227-506b8d9879b5</v>
      </c>
      <c r="B1001" s="5" t="str">
        <f>IFNA(VLOOKUP(F1001,Driver!A:C,2,false),"")</f>
        <v>f61678a4-3656-11ed-9310-506b8dbc8dfb</v>
      </c>
      <c r="C1001" s="5" t="str">
        <f>IFNA(VLOOKUP(E1001,'Location Table'!A:C,2,false),"")</f>
        <v/>
      </c>
      <c r="D1001" s="6" t="s">
        <v>638</v>
      </c>
      <c r="E1001" s="6"/>
      <c r="F1001" s="6" t="s">
        <v>470</v>
      </c>
      <c r="G1001" s="7" t="s">
        <v>873</v>
      </c>
      <c r="H1001" s="8" t="str">
        <f>IFNA(VLOOKUP(F1001,Driver!A:C,3,false),"")</f>
        <v>551b71e8ffa616f84fb7</v>
      </c>
      <c r="I1001" s="9">
        <v>0.5</v>
      </c>
      <c r="J1001" s="9">
        <v>0.7916666666666666</v>
      </c>
    </row>
    <row r="1002" hidden="1">
      <c r="A1002" s="5" t="str">
        <f>IFNA(VLOOKUP(D1002,'Location Table'!A:C,2,false),"")</f>
        <v>f9f328b8-1af4-11ee-843d-506b8d9879b5</v>
      </c>
      <c r="B1002" s="5" t="str">
        <f>IFNA(VLOOKUP(F1002,Driver!A:C,2,false),"")</f>
        <v>f61678a4-3656-11ed-9310-506b8dbc8dfb</v>
      </c>
      <c r="C1002" s="5" t="str">
        <f>IFNA(VLOOKUP(E1002,'Location Table'!A:C,2,false),"")</f>
        <v/>
      </c>
      <c r="D1002" s="6" t="s">
        <v>639</v>
      </c>
      <c r="E1002" s="6"/>
      <c r="F1002" s="6" t="s">
        <v>470</v>
      </c>
      <c r="G1002" s="7" t="s">
        <v>873</v>
      </c>
      <c r="H1002" s="8" t="str">
        <f>IFNA(VLOOKUP(F1002,Driver!A:C,3,false),"")</f>
        <v>551b71e8ffa616f84fb7</v>
      </c>
      <c r="I1002" s="9">
        <v>0.5</v>
      </c>
      <c r="J1002" s="9">
        <v>0.7916666666666666</v>
      </c>
    </row>
    <row r="1003" hidden="1">
      <c r="A1003" s="5" t="str">
        <f>IFNA(VLOOKUP(D1003,'Location Table'!A:C,2,false),"")</f>
        <v>8639bd3e-1b34-11ee-923c-506b8d9879b5</v>
      </c>
      <c r="B1003" s="5" t="str">
        <f>IFNA(VLOOKUP(F1003,Driver!A:C,2,false),"")</f>
        <v>c1149922-ecea-11ef-a670-506b8d9879b5</v>
      </c>
      <c r="C1003" s="5" t="str">
        <f>IFNA(VLOOKUP(E1003,'Location Table'!A:C,2,false),"")</f>
        <v/>
      </c>
      <c r="D1003" s="6" t="s">
        <v>640</v>
      </c>
      <c r="E1003" s="6"/>
      <c r="F1003" s="6" t="s">
        <v>509</v>
      </c>
      <c r="G1003" s="7" t="s">
        <v>873</v>
      </c>
      <c r="H1003" s="8" t="str">
        <f>IFNA(VLOOKUP(F1003,Driver!A:C,3,false),"")</f>
        <v/>
      </c>
      <c r="I1003" s="9">
        <v>0.6666666666666666</v>
      </c>
      <c r="J1003" s="9">
        <v>0.7916666666666666</v>
      </c>
    </row>
    <row r="1004" hidden="1">
      <c r="A1004" s="5" t="str">
        <f>IFNA(VLOOKUP(D1004,'Location Table'!A:C,2,false),"")</f>
        <v>359425d8-19e6-11f0-a03a-506b8d982279</v>
      </c>
      <c r="B1004" s="5" t="str">
        <f>IFNA(VLOOKUP(F1004,Driver!A:C,2,false),"")</f>
        <v>4e1ad614-6cdb-11ef-807b-506b8d9879b5</v>
      </c>
      <c r="C1004" s="5" t="str">
        <f>IFNA(VLOOKUP(E1004,'Location Table'!A:C,2,false),"")</f>
        <v/>
      </c>
      <c r="D1004" s="6" t="s">
        <v>641</v>
      </c>
      <c r="E1004" s="6"/>
      <c r="F1004" s="6" t="s">
        <v>512</v>
      </c>
      <c r="G1004" s="7" t="s">
        <v>873</v>
      </c>
      <c r="H1004" s="8" t="str">
        <f>IFNA(VLOOKUP(F1004,Driver!A:C,3,false),"")</f>
        <v>65a6581b624a8b14d25b</v>
      </c>
      <c r="I1004" s="9">
        <v>0.6666666666666666</v>
      </c>
      <c r="J1004" s="9">
        <v>0.7708333333333334</v>
      </c>
    </row>
    <row r="1005" hidden="1">
      <c r="A1005" s="5" t="str">
        <f>IFNA(VLOOKUP(D1005,'Location Table'!A:C,2,false),"")</f>
        <v>c57ab038-fff9-11ef-b55f-506b8d9879b5</v>
      </c>
      <c r="B1005" s="5" t="str">
        <f>IFNA(VLOOKUP(F1005,Driver!A:C,2,false),"")</f>
        <v>af57dfcc-782d-11f0-b407-506b8d982279</v>
      </c>
      <c r="C1005" s="5" t="str">
        <f>IFNA(VLOOKUP(E1005,'Location Table'!A:C,2,false),"")</f>
        <v/>
      </c>
      <c r="D1005" s="6" t="s">
        <v>642</v>
      </c>
      <c r="E1005" s="6"/>
      <c r="F1005" s="6" t="s">
        <v>515</v>
      </c>
      <c r="G1005" s="7" t="s">
        <v>873</v>
      </c>
      <c r="H1005" s="8" t="str">
        <f>IFNA(VLOOKUP(F1005,Driver!A:C,3,false),"")</f>
        <v>d9fc37dd4093a9cdf082</v>
      </c>
      <c r="I1005" s="9">
        <v>0.6666666666666666</v>
      </c>
      <c r="J1005" s="9">
        <v>0.7916666666666666</v>
      </c>
    </row>
    <row r="1006" hidden="1">
      <c r="A1006" s="5" t="str">
        <f>IFNA(VLOOKUP(D1006,'Location Table'!A:C,2,false),"")</f>
        <v>9eda254c-1d71-11ee-b55a-506b8d9879b5</v>
      </c>
      <c r="B1006" s="5" t="str">
        <f>IFNA(VLOOKUP(F1006,Driver!A:C,2,false),"")</f>
        <v>f61678a4-3656-11ed-9310-506b8dbc8dfb</v>
      </c>
      <c r="C1006" s="5" t="str">
        <f>IFNA(VLOOKUP(E1006,'Location Table'!A:C,2,false),"")</f>
        <v/>
      </c>
      <c r="D1006" s="6" t="s">
        <v>643</v>
      </c>
      <c r="E1006" s="6"/>
      <c r="F1006" s="6" t="s">
        <v>470</v>
      </c>
      <c r="G1006" s="7" t="s">
        <v>873</v>
      </c>
      <c r="H1006" s="8" t="str">
        <f>IFNA(VLOOKUP(F1006,Driver!A:C,3,false),"")</f>
        <v>551b71e8ffa616f84fb7</v>
      </c>
      <c r="I1006" s="9">
        <v>0.5</v>
      </c>
      <c r="J1006" s="9">
        <v>0.7916666666666666</v>
      </c>
    </row>
    <row r="1007" hidden="1">
      <c r="A1007" s="5" t="str">
        <f>IFNA(VLOOKUP(D1007,'Location Table'!A:C,2,false),"")</f>
        <v>a0d370aa-452d-11ed-a75b-506b8dbc8dfb</v>
      </c>
      <c r="B1007" s="5" t="str">
        <f>IFNA(VLOOKUP(F1007,Driver!A:C,2,false),"")</f>
        <v>f5993946-37cf-11ed-a3fc-506b8dbc8dfb</v>
      </c>
      <c r="C1007" s="5" t="str">
        <f>IFNA(VLOOKUP(E1007,'Location Table'!A:C,2,false),"")</f>
        <v/>
      </c>
      <c r="D1007" s="6" t="s">
        <v>644</v>
      </c>
      <c r="E1007" s="6"/>
      <c r="F1007" s="6" t="s">
        <v>314</v>
      </c>
      <c r="G1007" s="7" t="s">
        <v>873</v>
      </c>
      <c r="H1007" s="8" t="str">
        <f>IFNA(VLOOKUP(F1007,Driver!A:C,3,false),"")</f>
        <v/>
      </c>
      <c r="I1007" s="9">
        <v>0.6666666666666666</v>
      </c>
      <c r="J1007" s="9">
        <v>0.7916666666666666</v>
      </c>
    </row>
    <row r="1008" hidden="1">
      <c r="A1008" s="5" t="str">
        <f>IFNA(VLOOKUP(D1008,'Location Table'!A:C,2,false),"")</f>
        <v>63e8c524-1519-11ef-af48-506b8d9879b5</v>
      </c>
      <c r="B1008" s="5" t="str">
        <f>IFNA(VLOOKUP(F1008,Driver!A:C,2,false),"")</f>
        <v>1f4f6cae-37cd-11ed-a84d-506b8dbc8dfb</v>
      </c>
      <c r="C1008" s="5" t="str">
        <f>IFNA(VLOOKUP(E1008,'Location Table'!A:C,2,false),"")</f>
        <v/>
      </c>
      <c r="D1008" s="6" t="s">
        <v>645</v>
      </c>
      <c r="E1008" s="6"/>
      <c r="F1008" s="6" t="s">
        <v>514</v>
      </c>
      <c r="G1008" s="7" t="s">
        <v>873</v>
      </c>
      <c r="H1008" s="8" t="str">
        <f>IFNA(VLOOKUP(F1008,Driver!A:C,3,false),"")</f>
        <v>595aed435d09b457ed18</v>
      </c>
      <c r="I1008" s="9">
        <v>0.6666666666666666</v>
      </c>
      <c r="J1008" s="9">
        <v>0.7916666666666666</v>
      </c>
    </row>
    <row r="1009" hidden="1">
      <c r="A1009" s="5" t="str">
        <f>IFNA(VLOOKUP(D1009,'Location Table'!A:C,2,false),"")</f>
        <v>636fa48a-ada9-11f0-8f64-506b8d982279</v>
      </c>
      <c r="B1009" s="5" t="str">
        <f>IFNA(VLOOKUP(F1009,Driver!A:C,2,false),"")</f>
        <v>f61678a4-3656-11ed-9310-506b8dbc8dfb</v>
      </c>
      <c r="C1009" s="5" t="str">
        <f>IFNA(VLOOKUP(E1009,'Location Table'!A:C,2,false),"")</f>
        <v/>
      </c>
      <c r="D1009" s="6" t="s">
        <v>646</v>
      </c>
      <c r="E1009" s="6"/>
      <c r="F1009" s="6" t="s">
        <v>470</v>
      </c>
      <c r="G1009" s="7" t="s">
        <v>873</v>
      </c>
      <c r="H1009" s="8" t="str">
        <f>IFNA(VLOOKUP(F1009,Driver!A:C,3,false),"")</f>
        <v>551b71e8ffa616f84fb7</v>
      </c>
      <c r="I1009" s="9">
        <v>0.5</v>
      </c>
      <c r="J1009" s="9">
        <v>0.7916666666666666</v>
      </c>
    </row>
    <row r="1010" hidden="1">
      <c r="A1010" s="5" t="str">
        <f>IFNA(VLOOKUP(D1010,'Location Table'!A:C,2,false),"")</f>
        <v>a13f2c3c-62f3-11f0-835a-506b8d982279</v>
      </c>
      <c r="B1010" s="5" t="str">
        <f>IFNA(VLOOKUP(F1010,Driver!A:C,2,false),"")</f>
        <v>af57dfcc-782d-11f0-b407-506b8d982279</v>
      </c>
      <c r="C1010" s="5" t="str">
        <f>IFNA(VLOOKUP(E1010,'Location Table'!A:C,2,false),"")</f>
        <v/>
      </c>
      <c r="D1010" s="6" t="s">
        <v>647</v>
      </c>
      <c r="E1010" s="6"/>
      <c r="F1010" s="6" t="s">
        <v>515</v>
      </c>
      <c r="G1010" s="7" t="s">
        <v>873</v>
      </c>
      <c r="H1010" s="8" t="str">
        <f>IFNA(VLOOKUP(F1010,Driver!A:C,3,false),"")</f>
        <v>d9fc37dd4093a9cdf082</v>
      </c>
      <c r="I1010" s="9">
        <v>0.6666666666666666</v>
      </c>
      <c r="J1010" s="9">
        <v>0.7916666666666666</v>
      </c>
    </row>
    <row r="1011" hidden="1">
      <c r="A1011" s="5" t="str">
        <f>IFNA(VLOOKUP(D1011,'Location Table'!A:C,2,false),"")</f>
        <v>123b4de4-d1e1-11ee-8c0f-506b8d9879b5</v>
      </c>
      <c r="B1011" s="5" t="str">
        <f>IFNA(VLOOKUP(F1011,Driver!A:C,2,false),"")</f>
        <v>1f4f6cae-37cd-11ed-a84d-506b8dbc8dfb</v>
      </c>
      <c r="C1011" s="5" t="str">
        <f>IFNA(VLOOKUP(E1011,'Location Table'!A:C,2,false),"")</f>
        <v/>
      </c>
      <c r="D1011" s="6" t="s">
        <v>653</v>
      </c>
      <c r="E1011" s="6"/>
      <c r="F1011" s="6" t="s">
        <v>514</v>
      </c>
      <c r="G1011" s="7" t="s">
        <v>873</v>
      </c>
      <c r="H1011" s="8" t="str">
        <f>IFNA(VLOOKUP(F1011,Driver!A:C,3,false),"")</f>
        <v>595aed435d09b457ed18</v>
      </c>
      <c r="I1011" s="9">
        <v>0.6666666666666666</v>
      </c>
      <c r="J1011" s="9">
        <v>0.7916666666666666</v>
      </c>
    </row>
    <row r="1012" hidden="1">
      <c r="A1012" s="5" t="str">
        <f>IFNA(VLOOKUP(D1012,'Location Table'!A:C,2,false),"")</f>
        <v>b3b2c722-7c32-11f0-bfd2-506b8d982279</v>
      </c>
      <c r="B1012" s="5" t="str">
        <f>IFNA(VLOOKUP(F1012,Driver!A:C,2,false),"")</f>
        <v>feb9afca-fcce-11f0-9378-fa163ee8d8ac</v>
      </c>
      <c r="C1012" s="5" t="str">
        <f>IFNA(VLOOKUP(E1012,'Location Table'!A:C,2,false),"")</f>
        <v/>
      </c>
      <c r="D1012" s="6" t="s">
        <v>654</v>
      </c>
      <c r="E1012" s="6"/>
      <c r="F1012" s="6" t="s">
        <v>879</v>
      </c>
      <c r="G1012" s="7" t="s">
        <v>873</v>
      </c>
      <c r="H1012" s="8" t="str">
        <f>IFNA(VLOOKUP(F1012,Driver!A:C,3,false),"")</f>
        <v/>
      </c>
      <c r="I1012" s="9">
        <v>0.6666666666666666</v>
      </c>
      <c r="J1012" s="9">
        <v>0.7916666666666666</v>
      </c>
    </row>
    <row r="1013" hidden="1">
      <c r="A1013" s="5" t="str">
        <f>IFNA(VLOOKUP(D1013,'Location Table'!A:C,2,false),"")</f>
        <v>3f9846b8-1cbd-11ee-b58a-506b8d9879b5</v>
      </c>
      <c r="B1013" s="5" t="str">
        <f>IFNA(VLOOKUP(F1013,Driver!A:C,2,false),"")</f>
        <v>f5993946-37cf-11ed-a3fc-506b8dbc8dfb</v>
      </c>
      <c r="C1013" s="5" t="str">
        <f>IFNA(VLOOKUP(E1013,'Location Table'!A:C,2,false),"")</f>
        <v/>
      </c>
      <c r="D1013" s="6" t="s">
        <v>655</v>
      </c>
      <c r="E1013" s="6"/>
      <c r="F1013" s="6" t="s">
        <v>314</v>
      </c>
      <c r="G1013" s="7" t="s">
        <v>873</v>
      </c>
      <c r="H1013" s="8" t="str">
        <f>IFNA(VLOOKUP(F1013,Driver!A:C,3,false),"")</f>
        <v/>
      </c>
      <c r="I1013" s="9">
        <v>0.6666666666666666</v>
      </c>
      <c r="J1013" s="9">
        <v>0.7916666666666666</v>
      </c>
    </row>
    <row r="1014" hidden="1">
      <c r="A1014" s="5" t="str">
        <f>IFNA(VLOOKUP(D1014,'Location Table'!A:C,2,false),"")</f>
        <v>6502e506-8fa9-11ef-9316-506b8d9879b5</v>
      </c>
      <c r="B1014" s="5" t="str">
        <f>IFNA(VLOOKUP(F1014,Driver!A:C,2,false),"")</f>
        <v>feb9afca-fcce-11f0-9378-fa163ee8d8ac</v>
      </c>
      <c r="C1014" s="5" t="str">
        <f>IFNA(VLOOKUP(E1014,'Location Table'!A:C,2,false),"")</f>
        <v/>
      </c>
      <c r="D1014" s="6" t="s">
        <v>656</v>
      </c>
      <c r="E1014" s="6"/>
      <c r="F1014" s="6" t="s">
        <v>879</v>
      </c>
      <c r="G1014" s="7" t="s">
        <v>873</v>
      </c>
      <c r="H1014" s="8" t="str">
        <f>IFNA(VLOOKUP(F1014,Driver!A:C,3,false),"")</f>
        <v/>
      </c>
      <c r="I1014" s="9">
        <v>0.6666666666666666</v>
      </c>
      <c r="J1014" s="9">
        <v>0.7916666666666666</v>
      </c>
    </row>
    <row r="1015" hidden="1">
      <c r="A1015" s="5" t="str">
        <f>IFNA(VLOOKUP(D1015,'Location Table'!A:C,2,false),"")</f>
        <v>b60352d0-c47b-11f0-8297-506b8d982279</v>
      </c>
      <c r="B1015" s="5" t="str">
        <f>IFNA(VLOOKUP(F1015,Driver!A:C,2,false),"")</f>
        <v>efbf243a-37c6-11ed-93fb-506b8dbc8dfb</v>
      </c>
      <c r="C1015" s="5" t="str">
        <f>IFNA(VLOOKUP(E1015,'Location Table'!A:C,2,false),"")</f>
        <v/>
      </c>
      <c r="D1015" s="6" t="s">
        <v>657</v>
      </c>
      <c r="E1015" s="6"/>
      <c r="F1015" s="6" t="s">
        <v>517</v>
      </c>
      <c r="G1015" s="7" t="s">
        <v>873</v>
      </c>
      <c r="H1015" s="8" t="str">
        <f>IFNA(VLOOKUP(F1015,Driver!A:C,3,false),"")</f>
        <v>c73df7953cd9d5878cc8</v>
      </c>
      <c r="I1015" s="9">
        <v>0.5833333333333334</v>
      </c>
      <c r="J1015" s="9">
        <v>0.7916666666666666</v>
      </c>
    </row>
    <row r="1016" hidden="1">
      <c r="A1016" s="5" t="str">
        <f>IFNA(VLOOKUP(D1016,'Location Table'!A:C,2,false),"")</f>
        <v>f0773008-0f51-11ee-951b-506b8dbc8dfb</v>
      </c>
      <c r="B1016" s="5" t="str">
        <f>IFNA(VLOOKUP(F1016,Driver!A:C,2,false),"")</f>
        <v>efbf243a-37c6-11ed-93fb-506b8dbc8dfb</v>
      </c>
      <c r="C1016" s="5" t="str">
        <f>IFNA(VLOOKUP(E1016,'Location Table'!A:C,2,false),"")</f>
        <v/>
      </c>
      <c r="D1016" s="6" t="s">
        <v>575</v>
      </c>
      <c r="E1016" s="6"/>
      <c r="F1016" s="6" t="s">
        <v>517</v>
      </c>
      <c r="G1016" s="7" t="s">
        <v>873</v>
      </c>
      <c r="H1016" s="8" t="str">
        <f>IFNA(VLOOKUP(F1016,Driver!A:C,3,false),"")</f>
        <v>c73df7953cd9d5878cc8</v>
      </c>
      <c r="I1016" s="9">
        <v>0.5833333333333334</v>
      </c>
      <c r="J1016" s="9">
        <v>0.7916666666666666</v>
      </c>
    </row>
    <row r="1017" hidden="1">
      <c r="A1017" s="5" t="str">
        <f>IFNA(VLOOKUP(D1017,'Location Table'!A:C,2,false),"")</f>
        <v>db94b1d6-7c11-11f0-b055-506b8d982279</v>
      </c>
      <c r="B1017" s="5" t="str">
        <f>IFNA(VLOOKUP(F1017,Driver!A:C,2,false),"")</f>
        <v>c1149922-ecea-11ef-a670-506b8d9879b5</v>
      </c>
      <c r="C1017" s="5" t="str">
        <f>IFNA(VLOOKUP(E1017,'Location Table'!A:C,2,false),"")</f>
        <v/>
      </c>
      <c r="D1017" s="6" t="s">
        <v>658</v>
      </c>
      <c r="E1017" s="6"/>
      <c r="F1017" s="6" t="s">
        <v>509</v>
      </c>
      <c r="G1017" s="7" t="s">
        <v>873</v>
      </c>
      <c r="H1017" s="8" t="str">
        <f>IFNA(VLOOKUP(F1017,Driver!A:C,3,false),"")</f>
        <v/>
      </c>
      <c r="I1017" s="9">
        <v>0.6666666666666666</v>
      </c>
      <c r="J1017" s="9">
        <v>0.7916666666666666</v>
      </c>
    </row>
    <row r="1018" hidden="1">
      <c r="A1018" s="5" t="str">
        <f>IFNA(VLOOKUP(D1018,'Location Table'!A:C,2,false),"")</f>
        <v>2901130e-0270-11f0-a92e-506b8d9879b5</v>
      </c>
      <c r="B1018" s="5" t="str">
        <f>IFNA(VLOOKUP(F1018,Driver!A:C,2,false),"")</f>
        <v>f61678a4-3656-11ed-9310-506b8dbc8dfb</v>
      </c>
      <c r="C1018" s="5" t="str">
        <f>IFNA(VLOOKUP(E1018,'Location Table'!A:C,2,false),"")</f>
        <v/>
      </c>
      <c r="D1018" s="6" t="s">
        <v>665</v>
      </c>
      <c r="E1018" s="6"/>
      <c r="F1018" s="6" t="s">
        <v>470</v>
      </c>
      <c r="G1018" s="7" t="s">
        <v>873</v>
      </c>
      <c r="H1018" s="8" t="str">
        <f>IFNA(VLOOKUP(F1018,Driver!A:C,3,false),"")</f>
        <v>551b71e8ffa616f84fb7</v>
      </c>
      <c r="I1018" s="9">
        <v>0.5</v>
      </c>
      <c r="J1018" s="9">
        <v>0.7916666666666666</v>
      </c>
    </row>
    <row r="1019" hidden="1">
      <c r="A1019" s="5" t="str">
        <f>IFNA(VLOOKUP(D1019,'Location Table'!A:C,2,false),"")</f>
        <v>9eb567be-e201-11f0-8ca4-506b8d982279</v>
      </c>
      <c r="B1019" s="5" t="str">
        <f>IFNA(VLOOKUP(F1019,Driver!A:C,2,false),"")</f>
        <v>1f4f6cae-37cd-11ed-a84d-506b8dbc8dfb</v>
      </c>
      <c r="C1019" s="5" t="str">
        <f>IFNA(VLOOKUP(E1019,'Location Table'!A:C,2,false),"")</f>
        <v/>
      </c>
      <c r="D1019" s="6" t="s">
        <v>666</v>
      </c>
      <c r="E1019" s="6"/>
      <c r="F1019" s="6" t="s">
        <v>514</v>
      </c>
      <c r="G1019" s="7" t="s">
        <v>873</v>
      </c>
      <c r="H1019" s="8" t="str">
        <f>IFNA(VLOOKUP(F1019,Driver!A:C,3,false),"")</f>
        <v>595aed435d09b457ed18</v>
      </c>
      <c r="I1019" s="9">
        <v>0.6666666666666666</v>
      </c>
      <c r="J1019" s="9">
        <v>0.7916666666666666</v>
      </c>
    </row>
    <row r="1020" hidden="1">
      <c r="A1020" s="5" t="str">
        <f>IFNA(VLOOKUP(D1020,'Location Table'!A:C,2,false),"")</f>
        <v>0b6b4dde-ee13-11f0-9829-506b8d982279</v>
      </c>
      <c r="B1020" s="5" t="str">
        <f>IFNA(VLOOKUP(F1020,Driver!A:C,2,false),"")</f>
        <v>443c5016-3017-11ee-a6b5-506b8d9879b5</v>
      </c>
      <c r="C1020" s="5" t="str">
        <f>IFNA(VLOOKUP(E1020,'Location Table'!A:C,2,false),"")</f>
        <v/>
      </c>
      <c r="D1020" s="6" t="s">
        <v>667</v>
      </c>
      <c r="E1020" s="6"/>
      <c r="F1020" s="6" t="s">
        <v>513</v>
      </c>
      <c r="G1020" s="7" t="s">
        <v>873</v>
      </c>
      <c r="H1020" s="8" t="str">
        <f>IFNA(VLOOKUP(F1020,Driver!A:C,3,false),"")</f>
        <v>430767465e0cb752ee1d</v>
      </c>
      <c r="I1020" s="9">
        <v>0.6666666666666666</v>
      </c>
      <c r="J1020" s="9">
        <v>0.7916666666666666</v>
      </c>
    </row>
    <row r="1021" hidden="1">
      <c r="A1021" s="5" t="str">
        <f>IFNA(VLOOKUP(D1021,'Location Table'!A:C,2,false),"")</f>
        <v>984aab2c-1a5e-11ee-a4a5-506b8d9879b5</v>
      </c>
      <c r="B1021" s="5" t="str">
        <f>IFNA(VLOOKUP(F1021,Driver!A:C,2,false),"")</f>
        <v>02d08390-37cf-11ed-865f-506b8dbc8dfb</v>
      </c>
      <c r="C1021" s="5" t="str">
        <f>IFNA(VLOOKUP(E1021,'Location Table'!A:C,2,false),"")</f>
        <v/>
      </c>
      <c r="D1021" s="6" t="s">
        <v>668</v>
      </c>
      <c r="E1021" s="6"/>
      <c r="F1021" s="6" t="s">
        <v>516</v>
      </c>
      <c r="G1021" s="7" t="s">
        <v>873</v>
      </c>
      <c r="H1021" s="8" t="str">
        <f>IFNA(VLOOKUP(F1021,Driver!A:C,3,false),"")</f>
        <v>7b7d76055846b118e857</v>
      </c>
      <c r="I1021" s="9">
        <v>0.5833333333333334</v>
      </c>
      <c r="J1021" s="9">
        <v>0.7916666666666666</v>
      </c>
    </row>
    <row r="1022" hidden="1">
      <c r="A1022" s="5" t="str">
        <f>IFNA(VLOOKUP(D1022,'Location Table'!A:C,2,false),"")</f>
        <v>026f0d4c-512f-11ef-aa70-506b8d9879b5</v>
      </c>
      <c r="B1022" s="5" t="str">
        <f>IFNA(VLOOKUP(F1022,Driver!A:C,2,false),"")</f>
        <v>1f4f6cae-37cd-11ed-a84d-506b8dbc8dfb</v>
      </c>
      <c r="C1022" s="5" t="str">
        <f>IFNA(VLOOKUP(E1022,'Location Table'!A:C,2,false),"")</f>
        <v/>
      </c>
      <c r="D1022" s="6" t="s">
        <v>670</v>
      </c>
      <c r="E1022" s="6"/>
      <c r="F1022" s="6" t="s">
        <v>514</v>
      </c>
      <c r="G1022" s="7" t="s">
        <v>873</v>
      </c>
      <c r="H1022" s="8" t="str">
        <f>IFNA(VLOOKUP(F1022,Driver!A:C,3,false),"")</f>
        <v>595aed435d09b457ed18</v>
      </c>
      <c r="I1022" s="9">
        <v>0.6666666666666666</v>
      </c>
      <c r="J1022" s="9">
        <v>0.7916666666666666</v>
      </c>
    </row>
    <row r="1023" hidden="1">
      <c r="A1023" s="5" t="str">
        <f>IFNA(VLOOKUP(D1023,'Location Table'!A:C,2,false),"")</f>
        <v>98b082dc-47e8-11ee-acd0-506b8d9879b5</v>
      </c>
      <c r="B1023" s="5" t="str">
        <f>IFNA(VLOOKUP(F1023,Driver!A:C,2,false),"")</f>
        <v>af57dfcc-782d-11f0-b407-506b8d982279</v>
      </c>
      <c r="C1023" s="5" t="str">
        <f>IFNA(VLOOKUP(E1023,'Location Table'!A:C,2,false),"")</f>
        <v/>
      </c>
      <c r="D1023" s="6" t="s">
        <v>671</v>
      </c>
      <c r="E1023" s="6"/>
      <c r="F1023" s="6" t="s">
        <v>515</v>
      </c>
      <c r="G1023" s="7" t="s">
        <v>873</v>
      </c>
      <c r="H1023" s="8" t="str">
        <f>IFNA(VLOOKUP(F1023,Driver!A:C,3,false),"")</f>
        <v>d9fc37dd4093a9cdf082</v>
      </c>
      <c r="I1023" s="9">
        <v>0.6666666666666666</v>
      </c>
      <c r="J1023" s="9">
        <v>0.7916666666666666</v>
      </c>
    </row>
    <row r="1024" hidden="1">
      <c r="A1024" s="5" t="str">
        <f>IFNA(VLOOKUP(D1024,'Location Table'!A:C,2,false),"")</f>
        <v>d6c34328-a35a-11f0-a2e4-506b8d982279</v>
      </c>
      <c r="B1024" s="5" t="str">
        <f>IFNA(VLOOKUP(F1024,Driver!A:C,2,false),"")</f>
        <v>443c5016-3017-11ee-a6b5-506b8d9879b5</v>
      </c>
      <c r="C1024" s="5" t="str">
        <f>IFNA(VLOOKUP(E1024,'Location Table'!A:C,2,false),"")</f>
        <v/>
      </c>
      <c r="D1024" s="6" t="s">
        <v>673</v>
      </c>
      <c r="E1024" s="6"/>
      <c r="F1024" s="6" t="s">
        <v>513</v>
      </c>
      <c r="G1024" s="7" t="s">
        <v>873</v>
      </c>
      <c r="H1024" s="8" t="str">
        <f>IFNA(VLOOKUP(F1024,Driver!A:C,3,false),"")</f>
        <v>430767465e0cb752ee1d</v>
      </c>
      <c r="I1024" s="9">
        <v>0.6666666666666666</v>
      </c>
      <c r="J1024" s="9">
        <v>0.7916666666666666</v>
      </c>
    </row>
    <row r="1025" hidden="1">
      <c r="A1025" s="5" t="str">
        <f>IFNA(VLOOKUP(D1025,'Location Table'!A:C,2,false),"")</f>
        <v>799b3e00-b38a-11ef-b4d3-506b8d9879b5</v>
      </c>
      <c r="B1025" s="5" t="str">
        <f>IFNA(VLOOKUP(F1025,Driver!A:C,2,false),"")</f>
        <v>f3cef536-7671-11f0-84d2-506b8d982279</v>
      </c>
      <c r="C1025" s="5" t="str">
        <f>IFNA(VLOOKUP(E1025,'Location Table'!A:C,2,false),"")</f>
        <v/>
      </c>
      <c r="D1025" s="6" t="s">
        <v>299</v>
      </c>
      <c r="E1025" s="6"/>
      <c r="F1025" s="6" t="s">
        <v>112</v>
      </c>
      <c r="G1025" s="7" t="s">
        <v>873</v>
      </c>
      <c r="H1025" s="8" t="str">
        <f>IFNA(VLOOKUP(F1025,Driver!A:C,3,false),"")</f>
        <v/>
      </c>
      <c r="I1025" s="9">
        <v>0.5</v>
      </c>
      <c r="J1025" s="9">
        <v>0.7916666666666666</v>
      </c>
    </row>
    <row r="1026" hidden="1">
      <c r="A1026" s="5" t="str">
        <f>IFNA(VLOOKUP(D1026,'Location Table'!A:C,2,false),"")</f>
        <v>b8d60b5a-8868-11f0-a078-506b8d982279</v>
      </c>
      <c r="B1026" s="5" t="str">
        <f>IFNA(VLOOKUP(F1026,Driver!A:C,2,false),"")</f>
        <v>c1149922-ecea-11ef-a670-506b8d9879b5</v>
      </c>
      <c r="C1026" s="5" t="str">
        <f>IFNA(VLOOKUP(E1026,'Location Table'!A:C,2,false),"")</f>
        <v/>
      </c>
      <c r="D1026" s="6" t="s">
        <v>674</v>
      </c>
      <c r="E1026" s="6"/>
      <c r="F1026" s="6" t="s">
        <v>509</v>
      </c>
      <c r="G1026" s="7" t="s">
        <v>873</v>
      </c>
      <c r="H1026" s="8" t="str">
        <f>IFNA(VLOOKUP(F1026,Driver!A:C,3,false),"")</f>
        <v/>
      </c>
      <c r="I1026" s="9">
        <v>0.6666666666666666</v>
      </c>
      <c r="J1026" s="9">
        <v>0.7916666666666666</v>
      </c>
    </row>
    <row r="1027" hidden="1">
      <c r="A1027" s="5" t="str">
        <f>IFNA(VLOOKUP(D1027,'Location Table'!A:C,2,false),"")</f>
        <v>e75fe7f2-4ab3-11ed-bb79-506b8dbc8dfb</v>
      </c>
      <c r="B1027" s="5" t="str">
        <f>IFNA(VLOOKUP(F1027,Driver!A:C,2,false),"")</f>
        <v>f61678a4-3656-11ed-9310-506b8dbc8dfb</v>
      </c>
      <c r="C1027" s="5" t="str">
        <f>IFNA(VLOOKUP(E1027,'Location Table'!A:C,2,false),"")</f>
        <v/>
      </c>
      <c r="D1027" s="6" t="s">
        <v>676</v>
      </c>
      <c r="E1027" s="6"/>
      <c r="F1027" s="6" t="s">
        <v>470</v>
      </c>
      <c r="G1027" s="7" t="s">
        <v>873</v>
      </c>
      <c r="H1027" s="8" t="str">
        <f>IFNA(VLOOKUP(F1027,Driver!A:C,3,false),"")</f>
        <v>551b71e8ffa616f84fb7</v>
      </c>
      <c r="I1027" s="9">
        <v>0.2916666666666667</v>
      </c>
      <c r="J1027" s="9">
        <v>0.5</v>
      </c>
    </row>
    <row r="1028" hidden="1">
      <c r="A1028" s="5" t="str">
        <f>IFNA(VLOOKUP(D1028,'Location Table'!A:C,2,false),"")</f>
        <v>429fda3a-36a1-11ee-af8d-506b8d9879b5</v>
      </c>
      <c r="B1028" s="5" t="str">
        <f>IFNA(VLOOKUP(F1028,Driver!A:C,2,false),"")</f>
        <v>02d08390-37cf-11ed-865f-506b8dbc8dfb</v>
      </c>
      <c r="C1028" s="5" t="str">
        <f>IFNA(VLOOKUP(E1028,'Location Table'!A:C,2,false),"")</f>
        <v/>
      </c>
      <c r="D1028" s="6" t="s">
        <v>678</v>
      </c>
      <c r="E1028" s="6"/>
      <c r="F1028" s="6" t="s">
        <v>516</v>
      </c>
      <c r="G1028" s="7" t="s">
        <v>873</v>
      </c>
      <c r="H1028" s="8" t="str">
        <f>IFNA(VLOOKUP(F1028,Driver!A:C,3,false),"")</f>
        <v>7b7d76055846b118e857</v>
      </c>
      <c r="I1028" s="9">
        <v>0.5833333333333334</v>
      </c>
      <c r="J1028" s="9">
        <v>0.7916666666666666</v>
      </c>
    </row>
    <row r="1029" hidden="1">
      <c r="A1029" s="5" t="str">
        <f>IFNA(VLOOKUP(D1029,'Location Table'!A:C,2,false),"")</f>
        <v>10e3489a-2604-11ee-855d-506b8d9879b5</v>
      </c>
      <c r="B1029" s="5" t="str">
        <f>IFNA(VLOOKUP(F1029,Driver!A:C,2,false),"")</f>
        <v>efbf243a-37c6-11ed-93fb-506b8dbc8dfb</v>
      </c>
      <c r="C1029" s="5" t="str">
        <f>IFNA(VLOOKUP(E1029,'Location Table'!A:C,2,false),"")</f>
        <v/>
      </c>
      <c r="D1029" s="6" t="s">
        <v>680</v>
      </c>
      <c r="E1029" s="6"/>
      <c r="F1029" s="6" t="s">
        <v>517</v>
      </c>
      <c r="G1029" s="7" t="s">
        <v>873</v>
      </c>
      <c r="H1029" s="8" t="str">
        <f>IFNA(VLOOKUP(F1029,Driver!A:C,3,false),"")</f>
        <v>c73df7953cd9d5878cc8</v>
      </c>
      <c r="I1029" s="9">
        <v>0.5833333333333334</v>
      </c>
      <c r="J1029" s="9">
        <v>0.7916666666666666</v>
      </c>
    </row>
    <row r="1030" hidden="1">
      <c r="A1030" s="5" t="str">
        <f>IFNA(VLOOKUP(D1030,'Location Table'!A:C,2,false),"")</f>
        <v>c2e5e130-fb3f-11ef-bc58-506b8d9879b5</v>
      </c>
      <c r="B1030" s="5" t="str">
        <f>IFNA(VLOOKUP(F1030,Driver!A:C,2,false),"")</f>
        <v>1f4f6cae-37cd-11ed-a84d-506b8dbc8dfb</v>
      </c>
      <c r="C1030" s="5" t="str">
        <f>IFNA(VLOOKUP(E1030,'Location Table'!A:C,2,false),"")</f>
        <v/>
      </c>
      <c r="D1030" s="6" t="s">
        <v>681</v>
      </c>
      <c r="E1030" s="6"/>
      <c r="F1030" s="6" t="s">
        <v>514</v>
      </c>
      <c r="G1030" s="7" t="s">
        <v>873</v>
      </c>
      <c r="H1030" s="8" t="str">
        <f>IFNA(VLOOKUP(F1030,Driver!A:C,3,false),"")</f>
        <v>595aed435d09b457ed18</v>
      </c>
      <c r="I1030" s="9">
        <v>0.6666666666666666</v>
      </c>
      <c r="J1030" s="9">
        <v>0.7916666666666666</v>
      </c>
    </row>
    <row r="1031" hidden="1">
      <c r="A1031" s="5" t="str">
        <f>IFNA(VLOOKUP(D1031,'Location Table'!A:C,2,false),"")</f>
        <v>b25974b4-d3ff-11f0-be69-506b8d982279</v>
      </c>
      <c r="B1031" s="5" t="str">
        <f>IFNA(VLOOKUP(F1031,Driver!A:C,2,false),"")</f>
        <v>c1149922-ecea-11ef-a670-506b8d9879b5</v>
      </c>
      <c r="C1031" s="5" t="str">
        <f>IFNA(VLOOKUP(E1031,'Location Table'!A:C,2,false),"")</f>
        <v/>
      </c>
      <c r="D1031" s="6" t="s">
        <v>682</v>
      </c>
      <c r="E1031" s="6"/>
      <c r="F1031" s="6" t="s">
        <v>509</v>
      </c>
      <c r="G1031" s="7" t="s">
        <v>873</v>
      </c>
      <c r="H1031" s="8" t="str">
        <f>IFNA(VLOOKUP(F1031,Driver!A:C,3,false),"")</f>
        <v/>
      </c>
      <c r="I1031" s="9">
        <v>0.6666666666666666</v>
      </c>
      <c r="J1031" s="9">
        <v>0.7916666666666666</v>
      </c>
    </row>
    <row r="1032" hidden="1">
      <c r="A1032" s="5" t="str">
        <f>IFNA(VLOOKUP(D1032,'Location Table'!A:C,2,false),"")</f>
        <v>72f84188-e49e-11f0-abc5-506b8d982279</v>
      </c>
      <c r="B1032" s="5" t="str">
        <f>IFNA(VLOOKUP(F1032,Driver!A:C,2,false),"")</f>
        <v>1f4f6cae-37cd-11ed-a84d-506b8dbc8dfb</v>
      </c>
      <c r="C1032" s="5" t="str">
        <f>IFNA(VLOOKUP(E1032,'Location Table'!A:C,2,false),"")</f>
        <v/>
      </c>
      <c r="D1032" s="6" t="s">
        <v>684</v>
      </c>
      <c r="E1032" s="6"/>
      <c r="F1032" s="6" t="s">
        <v>514</v>
      </c>
      <c r="G1032" s="7" t="s">
        <v>873</v>
      </c>
      <c r="H1032" s="8" t="str">
        <f>IFNA(VLOOKUP(F1032,Driver!A:C,3,false),"")</f>
        <v>595aed435d09b457ed18</v>
      </c>
      <c r="I1032" s="9">
        <v>0.6666666666666666</v>
      </c>
      <c r="J1032" s="9">
        <v>0.7916666666666666</v>
      </c>
    </row>
    <row r="1033" hidden="1">
      <c r="A1033" s="5" t="str">
        <f>IFNA(VLOOKUP(D1033,'Location Table'!A:C,2,false),"")</f>
        <v>1c48d9e8-f839-11f0-9378-fa163ee8d8ac</v>
      </c>
      <c r="B1033" s="5" t="str">
        <f>IFNA(VLOOKUP(F1033,Driver!A:C,2,false),"")</f>
        <v>443c5016-3017-11ee-a6b5-506b8d9879b5</v>
      </c>
      <c r="C1033" s="5" t="str">
        <f>IFNA(VLOOKUP(E1033,'Location Table'!A:C,2,false),"")</f>
        <v/>
      </c>
      <c r="D1033" s="6" t="s">
        <v>687</v>
      </c>
      <c r="E1033" s="6"/>
      <c r="F1033" s="6" t="s">
        <v>513</v>
      </c>
      <c r="G1033" s="7" t="s">
        <v>873</v>
      </c>
      <c r="H1033" s="8" t="str">
        <f>IFNA(VLOOKUP(F1033,Driver!A:C,3,false),"")</f>
        <v>430767465e0cb752ee1d</v>
      </c>
      <c r="I1033" s="9">
        <v>0.6666666666666666</v>
      </c>
      <c r="J1033" s="9">
        <v>0.7916666666666666</v>
      </c>
    </row>
    <row r="1034" hidden="1">
      <c r="A1034" s="5" t="str">
        <f>IFNA(VLOOKUP(D1034,'Location Table'!A:C,2,false),"")</f>
        <v>b3e5c2f4-9ce8-11f0-926c-506b8d982279</v>
      </c>
      <c r="B1034" s="5" t="str">
        <f>IFNA(VLOOKUP(F1034,Driver!A:C,2,false),"")</f>
        <v>4e1ad614-6cdb-11ef-807b-506b8d9879b5</v>
      </c>
      <c r="C1034" s="5" t="str">
        <f>IFNA(VLOOKUP(E1034,'Location Table'!A:C,2,false),"")</f>
        <v/>
      </c>
      <c r="D1034" s="6" t="s">
        <v>688</v>
      </c>
      <c r="E1034" s="6"/>
      <c r="F1034" s="6" t="s">
        <v>512</v>
      </c>
      <c r="G1034" s="7" t="s">
        <v>873</v>
      </c>
      <c r="H1034" s="8" t="str">
        <f>IFNA(VLOOKUP(F1034,Driver!A:C,3,false),"")</f>
        <v>65a6581b624a8b14d25b</v>
      </c>
      <c r="I1034" s="9">
        <v>0.6666666666666666</v>
      </c>
      <c r="J1034" s="9">
        <v>0.7708333333333334</v>
      </c>
    </row>
    <row r="1035" hidden="1">
      <c r="A1035" s="5" t="str">
        <f>IFNA(VLOOKUP(D1035,'Location Table'!A:C,2,false),"")</f>
        <v>524fd8d8-fb7b-11ed-9da7-506b8dbc8dfb</v>
      </c>
      <c r="B1035" s="5" t="str">
        <f>IFNA(VLOOKUP(F1035,Driver!A:C,2,false),"")</f>
        <v>f5993946-37cf-11ed-a3fc-506b8dbc8dfb</v>
      </c>
      <c r="C1035" s="5" t="str">
        <f>IFNA(VLOOKUP(E1035,'Location Table'!A:C,2,false),"")</f>
        <v/>
      </c>
      <c r="D1035" s="6" t="s">
        <v>693</v>
      </c>
      <c r="E1035" s="6"/>
      <c r="F1035" s="6" t="s">
        <v>314</v>
      </c>
      <c r="G1035" s="7" t="s">
        <v>873</v>
      </c>
      <c r="H1035" s="8" t="str">
        <f>IFNA(VLOOKUP(F1035,Driver!A:C,3,false),"")</f>
        <v/>
      </c>
      <c r="I1035" s="9">
        <v>0.6666666666666666</v>
      </c>
      <c r="J1035" s="9">
        <v>0.7916666666666666</v>
      </c>
    </row>
    <row r="1036" hidden="1">
      <c r="A1036" s="5" t="str">
        <f>IFNA(VLOOKUP(D1036,'Location Table'!A:C,2,false),"")</f>
        <v>8eef787e-9a5e-11ef-8665-506b8d9879b5</v>
      </c>
      <c r="B1036" s="5" t="str">
        <f>IFNA(VLOOKUP(F1036,Driver!A:C,2,false),"")</f>
        <v>4e1ad614-6cdb-11ef-807b-506b8d9879b5</v>
      </c>
      <c r="C1036" s="5" t="str">
        <f>IFNA(VLOOKUP(E1036,'Location Table'!A:C,2,false),"")</f>
        <v/>
      </c>
      <c r="D1036" s="6" t="s">
        <v>695</v>
      </c>
      <c r="E1036" s="6"/>
      <c r="F1036" s="6" t="s">
        <v>512</v>
      </c>
      <c r="G1036" s="7" t="s">
        <v>873</v>
      </c>
      <c r="H1036" s="8" t="str">
        <f>IFNA(VLOOKUP(F1036,Driver!A:C,3,false),"")</f>
        <v>65a6581b624a8b14d25b</v>
      </c>
      <c r="I1036" s="9">
        <v>0.6666666666666666</v>
      </c>
      <c r="J1036" s="9">
        <v>0.7708333333333334</v>
      </c>
    </row>
    <row r="1037" hidden="1">
      <c r="A1037" s="5" t="str">
        <f>IFNA(VLOOKUP(D1037,'Location Table'!A:C,2,false),"")</f>
        <v>9dffee66-579d-11ee-b74c-506b8d9879b5</v>
      </c>
      <c r="B1037" s="5" t="str">
        <f>IFNA(VLOOKUP(F1037,Driver!A:C,2,false),"")</f>
        <v>02d08390-37cf-11ed-865f-506b8dbc8dfb</v>
      </c>
      <c r="C1037" s="5" t="str">
        <f>IFNA(VLOOKUP(E1037,'Location Table'!A:C,2,false),"")</f>
        <v/>
      </c>
      <c r="D1037" s="6" t="s">
        <v>696</v>
      </c>
      <c r="E1037" s="6"/>
      <c r="F1037" s="6" t="s">
        <v>516</v>
      </c>
      <c r="G1037" s="7" t="s">
        <v>873</v>
      </c>
      <c r="H1037" s="8" t="str">
        <f>IFNA(VLOOKUP(F1037,Driver!A:C,3,false),"")</f>
        <v>7b7d76055846b118e857</v>
      </c>
      <c r="I1037" s="9">
        <v>0.5833333333333334</v>
      </c>
      <c r="J1037" s="9">
        <v>0.7916666666666666</v>
      </c>
    </row>
    <row r="1038" hidden="1">
      <c r="A1038" s="5" t="str">
        <f>IFNA(VLOOKUP(D1038,'Location Table'!A:C,2,false),"")</f>
        <v>44bdbe46-3023-11ef-89d0-506b8d9879b5</v>
      </c>
      <c r="B1038" s="5" t="str">
        <f>IFNA(VLOOKUP(F1038,Driver!A:C,2,false),"")</f>
        <v>f61678a4-3656-11ed-9310-506b8dbc8dfb</v>
      </c>
      <c r="C1038" s="5" t="str">
        <f>IFNA(VLOOKUP(E1038,'Location Table'!A:C,2,false),"")</f>
        <v/>
      </c>
      <c r="D1038" s="6" t="s">
        <v>697</v>
      </c>
      <c r="E1038" s="6"/>
      <c r="F1038" s="6" t="s">
        <v>470</v>
      </c>
      <c r="G1038" s="7" t="s">
        <v>873</v>
      </c>
      <c r="H1038" s="8" t="str">
        <f>IFNA(VLOOKUP(F1038,Driver!A:C,3,false),"")</f>
        <v>551b71e8ffa616f84fb7</v>
      </c>
      <c r="I1038" s="9">
        <v>0.5</v>
      </c>
      <c r="J1038" s="9">
        <v>0.7916666666666666</v>
      </c>
    </row>
    <row r="1039" hidden="1">
      <c r="A1039" s="5" t="str">
        <f>IFNA(VLOOKUP(D1039,'Location Table'!A:C,2,false),"")</f>
        <v>93f42a58-5c84-11ef-8902-506b8d9879b5</v>
      </c>
      <c r="B1039" s="5" t="str">
        <f>IFNA(VLOOKUP(F1039,Driver!A:C,2,false),"")</f>
        <v>f5993946-37cf-11ed-a3fc-506b8dbc8dfb</v>
      </c>
      <c r="C1039" s="5" t="str">
        <f>IFNA(VLOOKUP(E1039,'Location Table'!A:C,2,false),"")</f>
        <v/>
      </c>
      <c r="D1039" s="6" t="s">
        <v>698</v>
      </c>
      <c r="E1039" s="6"/>
      <c r="F1039" s="6" t="s">
        <v>314</v>
      </c>
      <c r="G1039" s="7" t="s">
        <v>873</v>
      </c>
      <c r="H1039" s="8" t="str">
        <f>IFNA(VLOOKUP(F1039,Driver!A:C,3,false),"")</f>
        <v/>
      </c>
      <c r="I1039" s="9">
        <v>0.6666666666666666</v>
      </c>
      <c r="J1039" s="9">
        <v>0.7916666666666666</v>
      </c>
    </row>
    <row r="1040" hidden="1">
      <c r="A1040" s="5" t="str">
        <f>IFNA(VLOOKUP(D1040,'Location Table'!A:C,2,false),"")</f>
        <v>0813b2f8-af1b-11ef-a1c6-506b8d9879b5</v>
      </c>
      <c r="B1040" s="5" t="str">
        <f>IFNA(VLOOKUP(F1040,Driver!A:C,2,false),"")</f>
        <v>feb9afca-fcce-11f0-9378-fa163ee8d8ac</v>
      </c>
      <c r="C1040" s="5" t="str">
        <f>IFNA(VLOOKUP(E1040,'Location Table'!A:C,2,false),"")</f>
        <v>c4f51f56-1ba8-11f1-9378-fa163ee8d8ac</v>
      </c>
      <c r="D1040" s="6" t="s">
        <v>699</v>
      </c>
      <c r="E1040" s="10" t="s">
        <v>518</v>
      </c>
      <c r="F1040" s="6" t="s">
        <v>879</v>
      </c>
      <c r="G1040" s="7" t="s">
        <v>873</v>
      </c>
      <c r="H1040" s="8" t="str">
        <f>IFNA(VLOOKUP(F1040,Driver!A:C,3,false),"")</f>
        <v/>
      </c>
      <c r="I1040" s="9">
        <v>0.75</v>
      </c>
      <c r="J1040" s="9">
        <v>0.8333333333333334</v>
      </c>
    </row>
    <row r="1041" hidden="1">
      <c r="A1041" s="5" t="str">
        <f>IFNA(VLOOKUP(D1041,'Location Table'!A:C,2,false),"")</f>
        <v>2e8f16ae-8fd3-11f0-852a-506b8d982279</v>
      </c>
      <c r="B1041" s="5" t="str">
        <f>IFNA(VLOOKUP(F1041,Driver!A:C,2,false),"")</f>
        <v>af57dfcc-782d-11f0-b407-506b8d982279</v>
      </c>
      <c r="C1041" s="5" t="str">
        <f>IFNA(VLOOKUP(E1041,'Location Table'!A:C,2,false),"")</f>
        <v/>
      </c>
      <c r="D1041" s="6" t="s">
        <v>700</v>
      </c>
      <c r="E1041" s="6"/>
      <c r="F1041" s="6" t="s">
        <v>515</v>
      </c>
      <c r="G1041" s="7" t="s">
        <v>873</v>
      </c>
      <c r="H1041" s="8" t="str">
        <f>IFNA(VLOOKUP(F1041,Driver!A:C,3,false),"")</f>
        <v>d9fc37dd4093a9cdf082</v>
      </c>
      <c r="I1041" s="9">
        <v>0.6666666666666666</v>
      </c>
      <c r="J1041" s="9">
        <v>0.7916666666666666</v>
      </c>
    </row>
    <row r="1042" hidden="1">
      <c r="A1042" s="5" t="str">
        <f>IFNA(VLOOKUP(D1042,'Location Table'!A:C,2,false),"")</f>
        <v>2d52e58e-13ea-11ee-9e33-506b8dbc8dfb</v>
      </c>
      <c r="B1042" s="5" t="str">
        <f>IFNA(VLOOKUP(F1042,Driver!A:C,2,false),"")</f>
        <v>af57dfcc-782d-11f0-b407-506b8d982279</v>
      </c>
      <c r="C1042" s="5" t="str">
        <f>IFNA(VLOOKUP(E1042,'Location Table'!A:C,2,false),"")</f>
        <v/>
      </c>
      <c r="D1042" s="6" t="s">
        <v>701</v>
      </c>
      <c r="E1042" s="6"/>
      <c r="F1042" s="6" t="s">
        <v>515</v>
      </c>
      <c r="G1042" s="7" t="s">
        <v>873</v>
      </c>
      <c r="H1042" s="8" t="str">
        <f>IFNA(VLOOKUP(F1042,Driver!A:C,3,false),"")</f>
        <v>d9fc37dd4093a9cdf082</v>
      </c>
      <c r="I1042" s="9">
        <v>0.6666666666666666</v>
      </c>
      <c r="J1042" s="9">
        <v>0.7916666666666666</v>
      </c>
    </row>
    <row r="1043" hidden="1">
      <c r="A1043" s="5" t="str">
        <f>IFNA(VLOOKUP(D1043,'Location Table'!A:C,2,false),"")</f>
        <v>30cc7046-c67b-11ef-80bd-506b8d9879b5</v>
      </c>
      <c r="B1043" s="5" t="str">
        <f>IFNA(VLOOKUP(F1043,Driver!A:C,2,false),"")</f>
        <v>443c5016-3017-11ee-a6b5-506b8d9879b5</v>
      </c>
      <c r="C1043" s="5" t="str">
        <f>IFNA(VLOOKUP(E1043,'Location Table'!A:C,2,false),"")</f>
        <v/>
      </c>
      <c r="D1043" s="6" t="s">
        <v>704</v>
      </c>
      <c r="E1043" s="6"/>
      <c r="F1043" s="6" t="s">
        <v>513</v>
      </c>
      <c r="G1043" s="7" t="s">
        <v>873</v>
      </c>
      <c r="H1043" s="8" t="str">
        <f>IFNA(VLOOKUP(F1043,Driver!A:C,3,false),"")</f>
        <v>430767465e0cb752ee1d</v>
      </c>
      <c r="I1043" s="9">
        <v>0.6666666666666666</v>
      </c>
      <c r="J1043" s="9">
        <v>0.7916666666666666</v>
      </c>
    </row>
    <row r="1044" hidden="1">
      <c r="A1044" s="5" t="str">
        <f>IFNA(VLOOKUP(D1044,'Location Table'!A:C,2,false),"")</f>
        <v>e7be97f4-28ff-11ee-9310-506b8d9879b5</v>
      </c>
      <c r="B1044" s="5" t="str">
        <f>IFNA(VLOOKUP(F1044,Driver!A:C,2,false),"")</f>
        <v>443c5016-3017-11ee-a6b5-506b8d9879b5</v>
      </c>
      <c r="C1044" s="5" t="str">
        <f>IFNA(VLOOKUP(E1044,'Location Table'!A:C,2,false),"")</f>
        <v/>
      </c>
      <c r="D1044" s="6" t="s">
        <v>705</v>
      </c>
      <c r="E1044" s="6"/>
      <c r="F1044" s="6" t="s">
        <v>513</v>
      </c>
      <c r="G1044" s="7" t="s">
        <v>873</v>
      </c>
      <c r="H1044" s="8" t="str">
        <f>IFNA(VLOOKUP(F1044,Driver!A:C,3,false),"")</f>
        <v>430767465e0cb752ee1d</v>
      </c>
      <c r="I1044" s="9">
        <v>0.6666666666666666</v>
      </c>
      <c r="J1044" s="9">
        <v>0.7916666666666666</v>
      </c>
    </row>
    <row r="1045" hidden="1">
      <c r="A1045" s="5" t="str">
        <f>IFNA(VLOOKUP(D1045,'Location Table'!A:C,2,false),"")</f>
        <v>b0eae254-d574-11f0-a854-506b8d982279</v>
      </c>
      <c r="B1045" s="5" t="str">
        <f>IFNA(VLOOKUP(F1045,Driver!A:C,2,false),"")</f>
        <v>1f4f6cae-37cd-11ed-a84d-506b8dbc8dfb</v>
      </c>
      <c r="C1045" s="5" t="str">
        <f>IFNA(VLOOKUP(E1045,'Location Table'!A:C,2,false),"")</f>
        <v/>
      </c>
      <c r="D1045" s="6" t="s">
        <v>706</v>
      </c>
      <c r="E1045" s="6"/>
      <c r="F1045" s="6" t="s">
        <v>514</v>
      </c>
      <c r="G1045" s="7" t="s">
        <v>873</v>
      </c>
      <c r="H1045" s="8" t="str">
        <f>IFNA(VLOOKUP(F1045,Driver!A:C,3,false),"")</f>
        <v>595aed435d09b457ed18</v>
      </c>
      <c r="I1045" s="9">
        <v>0.6666666666666666</v>
      </c>
      <c r="J1045" s="9">
        <v>0.7916666666666666</v>
      </c>
    </row>
    <row r="1046" hidden="1">
      <c r="A1046" s="5" t="str">
        <f>IFNA(VLOOKUP(D1046,'Location Table'!A:C,2,false),"")</f>
        <v>08f83f06-be42-11ee-9557-506b8d9879b5</v>
      </c>
      <c r="B1046" s="5" t="str">
        <f>IFNA(VLOOKUP(F1046,Driver!A:C,2,false),"")</f>
        <v>443c5016-3017-11ee-a6b5-506b8d9879b5</v>
      </c>
      <c r="C1046" s="5" t="str">
        <f>IFNA(VLOOKUP(E1046,'Location Table'!A:C,2,false),"")</f>
        <v/>
      </c>
      <c r="D1046" s="6" t="s">
        <v>708</v>
      </c>
      <c r="E1046" s="6"/>
      <c r="F1046" s="6" t="s">
        <v>513</v>
      </c>
      <c r="G1046" s="7" t="s">
        <v>873</v>
      </c>
      <c r="H1046" s="8" t="str">
        <f>IFNA(VLOOKUP(F1046,Driver!A:C,3,false),"")</f>
        <v>430767465e0cb752ee1d</v>
      </c>
      <c r="I1046" s="9">
        <v>0.6666666666666666</v>
      </c>
      <c r="J1046" s="9">
        <v>0.7916666666666666</v>
      </c>
    </row>
    <row r="1047" hidden="1">
      <c r="A1047" s="5" t="str">
        <f>IFNA(VLOOKUP(D1047,'Location Table'!A:C,2,false),"")</f>
        <v>a2e8d88c-fbf8-11f0-9378-fa163ee8d8ac</v>
      </c>
      <c r="B1047" s="5" t="str">
        <f>IFNA(VLOOKUP(F1047,Driver!A:C,2,false),"")</f>
        <v>c1149922-ecea-11ef-a670-506b8d9879b5</v>
      </c>
      <c r="C1047" s="5" t="str">
        <f>IFNA(VLOOKUP(E1047,'Location Table'!A:C,2,false),"")</f>
        <v/>
      </c>
      <c r="D1047" s="6" t="s">
        <v>710</v>
      </c>
      <c r="E1047" s="6"/>
      <c r="F1047" s="6" t="s">
        <v>509</v>
      </c>
      <c r="G1047" s="7" t="s">
        <v>873</v>
      </c>
      <c r="H1047" s="8" t="str">
        <f>IFNA(VLOOKUP(F1047,Driver!A:C,3,false),"")</f>
        <v/>
      </c>
      <c r="I1047" s="9">
        <v>0.6666666666666666</v>
      </c>
      <c r="J1047" s="9">
        <v>0.7916666666666666</v>
      </c>
    </row>
    <row r="1048" hidden="1">
      <c r="A1048" s="5" t="str">
        <f>IFNA(VLOOKUP(D1048,'Location Table'!A:C,2,false),"")</f>
        <v>e95894d4-ed77-11ed-941b-506b8dbc8dfb</v>
      </c>
      <c r="B1048" s="5" t="str">
        <f>IFNA(VLOOKUP(F1048,Driver!A:C,2,false),"")</f>
        <v>a4e52324-215e-11ee-afc5-506b8d9879b5</v>
      </c>
      <c r="C1048" s="5" t="str">
        <f>IFNA(VLOOKUP(E1048,'Location Table'!A:C,2,false),"")</f>
        <v/>
      </c>
      <c r="D1048" s="6" t="s">
        <v>713</v>
      </c>
      <c r="E1048" s="6"/>
      <c r="F1048" s="6" t="s">
        <v>228</v>
      </c>
      <c r="G1048" s="7" t="s">
        <v>873</v>
      </c>
      <c r="H1048" s="8" t="str">
        <f>IFNA(VLOOKUP(F1048,Driver!A:C,3,false),"")</f>
        <v>948d059b10d2f98ca0c3</v>
      </c>
      <c r="I1048" s="9">
        <v>0.5</v>
      </c>
      <c r="J1048" s="9">
        <v>0.7083333333333334</v>
      </c>
    </row>
    <row r="1049" hidden="1">
      <c r="A1049" s="5" t="str">
        <f>IFNA(VLOOKUP(D1049,'Location Table'!A:C,2,false),"")</f>
        <v>6537d2d8-447f-11ed-ae22-506b8dbc8dfb</v>
      </c>
      <c r="B1049" s="5" t="str">
        <f>IFNA(VLOOKUP(F1049,Driver!A:C,2,false),"")</f>
        <v>a4e52324-215e-11ee-afc5-506b8d9879b5</v>
      </c>
      <c r="C1049" s="5" t="str">
        <f>IFNA(VLOOKUP(E1049,'Location Table'!A:C,2,false),"")</f>
        <v/>
      </c>
      <c r="D1049" s="6" t="s">
        <v>714</v>
      </c>
      <c r="E1049" s="6"/>
      <c r="F1049" s="6" t="s">
        <v>228</v>
      </c>
      <c r="G1049" s="7" t="s">
        <v>873</v>
      </c>
      <c r="H1049" s="8" t="str">
        <f>IFNA(VLOOKUP(F1049,Driver!A:C,3,false),"")</f>
        <v>948d059b10d2f98ca0c3</v>
      </c>
      <c r="I1049" s="9">
        <v>0.5</v>
      </c>
      <c r="J1049" s="9">
        <v>0.7083333333333334</v>
      </c>
    </row>
    <row r="1050" hidden="1">
      <c r="A1050" s="5" t="str">
        <f>IFNA(VLOOKUP(D1050,'Location Table'!A:C,2,false),"")</f>
        <v>495caf86-49fa-11ed-8e62-506b8dbc8dfb</v>
      </c>
      <c r="B1050" s="5" t="str">
        <f>IFNA(VLOOKUP(F1050,Driver!A:C,2,false),"")</f>
        <v>02d08390-37cf-11ed-865f-506b8dbc8dfb</v>
      </c>
      <c r="C1050" s="5" t="str">
        <f>IFNA(VLOOKUP(E1050,'Location Table'!A:C,2,false),"")</f>
        <v/>
      </c>
      <c r="D1050" s="6" t="s">
        <v>719</v>
      </c>
      <c r="E1050" s="6"/>
      <c r="F1050" s="6" t="s">
        <v>516</v>
      </c>
      <c r="G1050" s="7" t="s">
        <v>873</v>
      </c>
      <c r="H1050" s="8" t="str">
        <f>IFNA(VLOOKUP(F1050,Driver!A:C,3,false),"")</f>
        <v>7b7d76055846b118e857</v>
      </c>
      <c r="I1050" s="9">
        <v>0.5833333333333334</v>
      </c>
      <c r="J1050" s="9">
        <v>0.7916666666666666</v>
      </c>
    </row>
    <row r="1051" hidden="1">
      <c r="A1051" s="5" t="str">
        <f>IFNA(VLOOKUP(D1051,'Location Table'!A:C,2,false),"")</f>
        <v>c10e75c2-446f-11ed-9108-506b8dbc8dfb</v>
      </c>
      <c r="B1051" s="5" t="str">
        <f>IFNA(VLOOKUP(F1051,Driver!A:C,2,false),"")</f>
        <v>c1149922-ecea-11ef-a670-506b8d9879b5</v>
      </c>
      <c r="C1051" s="5" t="str">
        <f>IFNA(VLOOKUP(E1051,'Location Table'!A:C,2,false),"")</f>
        <v/>
      </c>
      <c r="D1051" s="6" t="s">
        <v>780</v>
      </c>
      <c r="E1051" s="6"/>
      <c r="F1051" s="6" t="s">
        <v>509</v>
      </c>
      <c r="G1051" s="7" t="s">
        <v>873</v>
      </c>
      <c r="H1051" s="8" t="str">
        <f>IFNA(VLOOKUP(F1051,Driver!A:C,3,false),"")</f>
        <v/>
      </c>
      <c r="I1051" s="9">
        <v>0.6666666666666666</v>
      </c>
      <c r="J1051" s="9">
        <v>0.7916666666666666</v>
      </c>
    </row>
    <row r="1052" hidden="1">
      <c r="A1052" s="5" t="str">
        <f>IFNA(VLOOKUP(D1052,'Location Table'!A:C,2,false),"")</f>
        <v>a5a22756-4ab0-11ed-a93a-506b8dbc8dfb</v>
      </c>
      <c r="B1052" s="5" t="str">
        <f>IFNA(VLOOKUP(F1052,Driver!A:C,2,false),"")</f>
        <v>f5993946-37cf-11ed-a3fc-506b8dbc8dfb</v>
      </c>
      <c r="C1052" s="5" t="str">
        <f>IFNA(VLOOKUP(E1052,'Location Table'!A:C,2,false),"")</f>
        <v/>
      </c>
      <c r="D1052" s="6" t="s">
        <v>721</v>
      </c>
      <c r="E1052" s="6"/>
      <c r="F1052" s="6" t="s">
        <v>314</v>
      </c>
      <c r="G1052" s="7" t="s">
        <v>873</v>
      </c>
      <c r="H1052" s="8" t="str">
        <f>IFNA(VLOOKUP(F1052,Driver!A:C,3,false),"")</f>
        <v/>
      </c>
      <c r="I1052" s="9">
        <v>0.6666666666666666</v>
      </c>
      <c r="J1052" s="9">
        <v>0.7916666666666666</v>
      </c>
    </row>
    <row r="1053" hidden="1">
      <c r="A1053" s="5" t="str">
        <f>IFNA(VLOOKUP(D1053,'Location Table'!A:C,2,false),"")</f>
        <v>f2fd1c5a-446f-11ed-aca6-506b8dbc8dfb</v>
      </c>
      <c r="B1053" s="5" t="str">
        <f>IFNA(VLOOKUP(F1053,Driver!A:C,2,false),"")</f>
        <v>cf90a04a-ed64-11ed-8947-506b8dbc8dfb</v>
      </c>
      <c r="C1053" s="5" t="str">
        <f>IFNA(VLOOKUP(E1053,'Location Table'!A:C,2,false),"")</f>
        <v/>
      </c>
      <c r="D1053" s="6" t="s">
        <v>802</v>
      </c>
      <c r="E1053" s="6"/>
      <c r="F1053" s="6" t="s">
        <v>519</v>
      </c>
      <c r="G1053" s="7" t="s">
        <v>873</v>
      </c>
      <c r="H1053" s="8" t="str">
        <f>IFNA(VLOOKUP(F1053,Driver!A:C,3,false),"")</f>
        <v>c68359c32e95c7cb9e84</v>
      </c>
      <c r="I1053" s="9">
        <v>0.6666666666666666</v>
      </c>
      <c r="J1053" s="9">
        <v>0.7916666666666666</v>
      </c>
    </row>
    <row r="1054" hidden="1">
      <c r="A1054" s="5" t="str">
        <f>IFNA(VLOOKUP(D1054,'Location Table'!A:C,2,false),"")</f>
        <v>b14729ee-0512-11ef-934f-506b8d9879b5</v>
      </c>
      <c r="B1054" s="5" t="str">
        <f>IFNA(VLOOKUP(F1054,Driver!A:C,2,false),"")</f>
        <v>af57dfcc-782d-11f0-b407-506b8d982279</v>
      </c>
      <c r="C1054" s="5" t="str">
        <f>IFNA(VLOOKUP(E1054,'Location Table'!A:C,2,false),"")</f>
        <v/>
      </c>
      <c r="D1054" s="6" t="s">
        <v>723</v>
      </c>
      <c r="E1054" s="6"/>
      <c r="F1054" s="6" t="s">
        <v>515</v>
      </c>
      <c r="G1054" s="7" t="s">
        <v>873</v>
      </c>
      <c r="H1054" s="8" t="str">
        <f>IFNA(VLOOKUP(F1054,Driver!A:C,3,false),"")</f>
        <v>d9fc37dd4093a9cdf082</v>
      </c>
      <c r="I1054" s="9">
        <v>0.6666666666666666</v>
      </c>
      <c r="J1054" s="9">
        <v>0.7916666666666666</v>
      </c>
    </row>
    <row r="1055" hidden="1">
      <c r="A1055" s="5" t="str">
        <f>IFNA(VLOOKUP(D1055,'Location Table'!A:C,2,false),"")</f>
        <v>0e6db6ea-badb-11f0-88b8-506b8d982279</v>
      </c>
      <c r="B1055" s="5" t="str">
        <f>IFNA(VLOOKUP(F1055,Driver!A:C,2,false),"")</f>
        <v>f61678a4-3656-11ed-9310-506b8dbc8dfb</v>
      </c>
      <c r="C1055" s="5" t="str">
        <f>IFNA(VLOOKUP(E1055,'Location Table'!A:C,2,false),"")</f>
        <v/>
      </c>
      <c r="D1055" s="6" t="s">
        <v>724</v>
      </c>
      <c r="E1055" s="6"/>
      <c r="F1055" s="6" t="s">
        <v>470</v>
      </c>
      <c r="G1055" s="7" t="s">
        <v>873</v>
      </c>
      <c r="H1055" s="8" t="str">
        <f>IFNA(VLOOKUP(F1055,Driver!A:C,3,false),"")</f>
        <v>551b71e8ffa616f84fb7</v>
      </c>
      <c r="I1055" s="9">
        <v>0.5</v>
      </c>
      <c r="J1055" s="9">
        <v>0.7916666666666666</v>
      </c>
    </row>
    <row r="1056" hidden="1">
      <c r="A1056" s="5" t="str">
        <f>IFNA(VLOOKUP(D1056,'Location Table'!A:C,2,false),"")</f>
        <v>b65ae69e-1b9f-11ee-a56b-506b8d9879b5</v>
      </c>
      <c r="B1056" s="5" t="str">
        <f>IFNA(VLOOKUP(F1056,Driver!A:C,2,false),"")</f>
        <v>af57dfcc-782d-11f0-b407-506b8d982279</v>
      </c>
      <c r="C1056" s="5" t="str">
        <f>IFNA(VLOOKUP(E1056,'Location Table'!A:C,2,false),"")</f>
        <v/>
      </c>
      <c r="D1056" s="6" t="s">
        <v>725</v>
      </c>
      <c r="E1056" s="6"/>
      <c r="F1056" s="6" t="s">
        <v>515</v>
      </c>
      <c r="G1056" s="7" t="s">
        <v>873</v>
      </c>
      <c r="H1056" s="8" t="str">
        <f>IFNA(VLOOKUP(F1056,Driver!A:C,3,false),"")</f>
        <v>d9fc37dd4093a9cdf082</v>
      </c>
      <c r="I1056" s="9">
        <v>0.6666666666666666</v>
      </c>
      <c r="J1056" s="9">
        <v>0.7916666666666666</v>
      </c>
    </row>
    <row r="1057" hidden="1">
      <c r="A1057" s="5" t="str">
        <f>IFNA(VLOOKUP(D1057,'Location Table'!A:C,2,false),"")</f>
        <v>9aca001a-611b-11ee-8e60-506b8d9879b5</v>
      </c>
      <c r="B1057" s="5" t="str">
        <f>IFNA(VLOOKUP(F1057,Driver!A:C,2,false),"")</f>
        <v>443c5016-3017-11ee-a6b5-506b8d9879b5</v>
      </c>
      <c r="C1057" s="5" t="str">
        <f>IFNA(VLOOKUP(E1057,'Location Table'!A:C,2,false),"")</f>
        <v/>
      </c>
      <c r="D1057" s="6" t="s">
        <v>726</v>
      </c>
      <c r="E1057" s="6"/>
      <c r="F1057" s="6" t="s">
        <v>513</v>
      </c>
      <c r="G1057" s="7" t="s">
        <v>873</v>
      </c>
      <c r="H1057" s="8" t="str">
        <f>IFNA(VLOOKUP(F1057,Driver!A:C,3,false),"")</f>
        <v>430767465e0cb752ee1d</v>
      </c>
      <c r="I1057" s="9">
        <v>0.6666666666666666</v>
      </c>
      <c r="J1057" s="9">
        <v>0.7916666666666666</v>
      </c>
    </row>
    <row r="1058" hidden="1">
      <c r="A1058" s="5" t="str">
        <f>IFNA(VLOOKUP(D1058,'Location Table'!A:C,2,false),"")</f>
        <v>dc596d98-9817-11ef-92ed-506b8d9879b5</v>
      </c>
      <c r="B1058" s="5" t="str">
        <f>IFNA(VLOOKUP(F1058,Driver!A:C,2,false),"")</f>
        <v>443c5016-3017-11ee-a6b5-506b8d9879b5</v>
      </c>
      <c r="C1058" s="5" t="str">
        <f>IFNA(VLOOKUP(E1058,'Location Table'!A:C,2,false),"")</f>
        <v/>
      </c>
      <c r="D1058" s="6" t="s">
        <v>728</v>
      </c>
      <c r="E1058" s="6"/>
      <c r="F1058" s="6" t="s">
        <v>513</v>
      </c>
      <c r="G1058" s="7" t="s">
        <v>873</v>
      </c>
      <c r="H1058" s="8" t="str">
        <f>IFNA(VLOOKUP(F1058,Driver!A:C,3,false),"")</f>
        <v>430767465e0cb752ee1d</v>
      </c>
      <c r="I1058" s="9">
        <v>0.6666666666666666</v>
      </c>
      <c r="J1058" s="9">
        <v>0.7916666666666666</v>
      </c>
    </row>
    <row r="1059" hidden="1">
      <c r="A1059" s="5" t="str">
        <f>IFNA(VLOOKUP(D1059,'Location Table'!A:C,2,false),"")</f>
        <v>d40afa28-ed76-11ed-8a87-506b8dbc8dfb</v>
      </c>
      <c r="B1059" s="5" t="str">
        <f>IFNA(VLOOKUP(F1059,Driver!A:C,2,false),"")</f>
        <v>f61678a4-3656-11ed-9310-506b8dbc8dfb</v>
      </c>
      <c r="C1059" s="5" t="str">
        <f>IFNA(VLOOKUP(E1059,'Location Table'!A:C,2,false),"")</f>
        <v/>
      </c>
      <c r="D1059" s="6" t="s">
        <v>729</v>
      </c>
      <c r="E1059" s="6"/>
      <c r="F1059" s="6" t="s">
        <v>470</v>
      </c>
      <c r="G1059" s="7" t="s">
        <v>873</v>
      </c>
      <c r="H1059" s="8" t="str">
        <f>IFNA(VLOOKUP(F1059,Driver!A:C,3,false),"")</f>
        <v>551b71e8ffa616f84fb7</v>
      </c>
      <c r="I1059" s="9">
        <v>0.5</v>
      </c>
      <c r="J1059" s="9">
        <v>0.7916666666666666</v>
      </c>
    </row>
    <row r="1060" hidden="1">
      <c r="A1060" s="5" t="str">
        <f>IFNA(VLOOKUP(D1060,'Location Table'!A:C,2,false),"")</f>
        <v>8bcb2b9a-cce3-11ef-9c4f-506b8d9879b5</v>
      </c>
      <c r="B1060" s="5" t="str">
        <f>IFNA(VLOOKUP(F1060,Driver!A:C,2,false),"")</f>
        <v>443c5016-3017-11ee-a6b5-506b8d9879b5</v>
      </c>
      <c r="C1060" s="5" t="str">
        <f>IFNA(VLOOKUP(E1060,'Location Table'!A:C,2,false),"")</f>
        <v/>
      </c>
      <c r="D1060" s="6" t="s">
        <v>730</v>
      </c>
      <c r="E1060" s="6"/>
      <c r="F1060" s="6" t="s">
        <v>513</v>
      </c>
      <c r="G1060" s="7" t="s">
        <v>873</v>
      </c>
      <c r="H1060" s="8" t="str">
        <f>IFNA(VLOOKUP(F1060,Driver!A:C,3,false),"")</f>
        <v>430767465e0cb752ee1d</v>
      </c>
      <c r="I1060" s="9">
        <v>0.6666666666666666</v>
      </c>
      <c r="J1060" s="9">
        <v>0.7916666666666666</v>
      </c>
    </row>
    <row r="1061" hidden="1">
      <c r="A1061" s="5" t="str">
        <f>IFNA(VLOOKUP(D1061,'Location Table'!A:C,2,false),"")</f>
        <v>5112a0a0-71fe-11ee-9403-506b8d9879b5</v>
      </c>
      <c r="B1061" s="5" t="str">
        <f>IFNA(VLOOKUP(F1061,Driver!A:C,2,false),"")</f>
        <v>443c5016-3017-11ee-a6b5-506b8d9879b5</v>
      </c>
      <c r="C1061" s="5" t="str">
        <f>IFNA(VLOOKUP(E1061,'Location Table'!A:C,2,false),"")</f>
        <v/>
      </c>
      <c r="D1061" s="6" t="s">
        <v>734</v>
      </c>
      <c r="E1061" s="6"/>
      <c r="F1061" s="6" t="s">
        <v>513</v>
      </c>
      <c r="G1061" s="7" t="s">
        <v>873</v>
      </c>
      <c r="H1061" s="8" t="str">
        <f>IFNA(VLOOKUP(F1061,Driver!A:C,3,false),"")</f>
        <v>430767465e0cb752ee1d</v>
      </c>
      <c r="I1061" s="9">
        <v>0.6666666666666666</v>
      </c>
      <c r="J1061" s="9">
        <v>0.7916666666666666</v>
      </c>
    </row>
    <row r="1062" hidden="1">
      <c r="A1062" s="5" t="str">
        <f>IFNA(VLOOKUP(D1062,'Location Table'!A:C,2,false),"")</f>
        <v>60ca531c-142d-11f0-8bf6-506b8d982279</v>
      </c>
      <c r="B1062" s="5" t="str">
        <f>IFNA(VLOOKUP(F1062,Driver!A:C,2,false),"")</f>
        <v>feb9afca-fcce-11f0-9378-fa163ee8d8ac</v>
      </c>
      <c r="C1062" s="5" t="str">
        <f>IFNA(VLOOKUP(E1062,'Location Table'!A:C,2,false),"")</f>
        <v/>
      </c>
      <c r="D1062" s="6" t="s">
        <v>735</v>
      </c>
      <c r="E1062" s="6"/>
      <c r="F1062" s="6" t="s">
        <v>879</v>
      </c>
      <c r="G1062" s="7" t="s">
        <v>873</v>
      </c>
      <c r="H1062" s="8" t="str">
        <f>IFNA(VLOOKUP(F1062,Driver!A:C,3,false),"")</f>
        <v/>
      </c>
      <c r="I1062" s="9">
        <v>0.6666666666666666</v>
      </c>
      <c r="J1062" s="9">
        <v>0.7916666666666666</v>
      </c>
    </row>
    <row r="1063" hidden="1">
      <c r="A1063" s="5" t="str">
        <f>IFNA(VLOOKUP(D1063,'Location Table'!A:C,2,false),"")</f>
        <v>fed50c9a-8c4e-11ee-9b83-506b8d9879b5</v>
      </c>
      <c r="B1063" s="5" t="str">
        <f>IFNA(VLOOKUP(F1063,Driver!A:C,2,false),"")</f>
        <v>02d08390-37cf-11ed-865f-506b8dbc8dfb</v>
      </c>
      <c r="C1063" s="5" t="str">
        <f>IFNA(VLOOKUP(E1063,'Location Table'!A:C,2,false),"")</f>
        <v/>
      </c>
      <c r="D1063" s="6" t="s">
        <v>736</v>
      </c>
      <c r="E1063" s="6"/>
      <c r="F1063" s="6" t="s">
        <v>516</v>
      </c>
      <c r="G1063" s="7" t="s">
        <v>873</v>
      </c>
      <c r="H1063" s="8" t="str">
        <f>IFNA(VLOOKUP(F1063,Driver!A:C,3,false),"")</f>
        <v>7b7d76055846b118e857</v>
      </c>
      <c r="I1063" s="9">
        <v>0.5833333333333334</v>
      </c>
      <c r="J1063" s="9">
        <v>0.7916666666666666</v>
      </c>
    </row>
    <row r="1064" hidden="1">
      <c r="A1064" s="5" t="str">
        <f>IFNA(VLOOKUP(D1064,'Location Table'!A:C,2,false),"")</f>
        <v>1605c970-b744-11ee-be42-506b8d9879b5</v>
      </c>
      <c r="B1064" s="5" t="str">
        <f>IFNA(VLOOKUP(F1064,Driver!A:C,2,false),"")</f>
        <v>443c5016-3017-11ee-a6b5-506b8d9879b5</v>
      </c>
      <c r="C1064" s="5" t="str">
        <f>IFNA(VLOOKUP(E1064,'Location Table'!A:C,2,false),"")</f>
        <v/>
      </c>
      <c r="D1064" s="6" t="s">
        <v>741</v>
      </c>
      <c r="E1064" s="6"/>
      <c r="F1064" s="6" t="s">
        <v>513</v>
      </c>
      <c r="G1064" s="7" t="s">
        <v>873</v>
      </c>
      <c r="H1064" s="8" t="str">
        <f>IFNA(VLOOKUP(F1064,Driver!A:C,3,false),"")</f>
        <v>430767465e0cb752ee1d</v>
      </c>
      <c r="I1064" s="9">
        <v>0.6666666666666666</v>
      </c>
      <c r="J1064" s="9">
        <v>0.7916666666666666</v>
      </c>
    </row>
    <row r="1065" hidden="1">
      <c r="A1065" s="5" t="str">
        <f>IFNA(VLOOKUP(D1065,'Location Table'!A:C,2,false),"")</f>
        <v>775ca306-508d-11ee-8fce-506b8d9879b5</v>
      </c>
      <c r="B1065" s="5" t="str">
        <f>IFNA(VLOOKUP(F1065,Driver!A:C,2,false),"")</f>
        <v>af57dfcc-782d-11f0-b407-506b8d982279</v>
      </c>
      <c r="C1065" s="5" t="str">
        <f>IFNA(VLOOKUP(E1065,'Location Table'!A:C,2,false),"")</f>
        <v/>
      </c>
      <c r="D1065" s="6" t="s">
        <v>742</v>
      </c>
      <c r="E1065" s="6"/>
      <c r="F1065" s="6" t="s">
        <v>515</v>
      </c>
      <c r="G1065" s="7" t="s">
        <v>873</v>
      </c>
      <c r="H1065" s="8" t="str">
        <f>IFNA(VLOOKUP(F1065,Driver!A:C,3,false),"")</f>
        <v>d9fc37dd4093a9cdf082</v>
      </c>
      <c r="I1065" s="9">
        <v>0.6666666666666666</v>
      </c>
      <c r="J1065" s="9">
        <v>0.7916666666666666</v>
      </c>
    </row>
    <row r="1066" hidden="1">
      <c r="A1066" s="5" t="str">
        <f>IFNA(VLOOKUP(D1066,'Location Table'!A:C,2,false),"")</f>
        <v>f65a6b90-c4fb-11f0-88d5-506b8d982279</v>
      </c>
      <c r="B1066" s="5" t="str">
        <f>IFNA(VLOOKUP(F1066,Driver!A:C,2,false),"")</f>
        <v>af57dfcc-782d-11f0-b407-506b8d982279</v>
      </c>
      <c r="C1066" s="5" t="str">
        <f>IFNA(VLOOKUP(E1066,'Location Table'!A:C,2,false),"")</f>
        <v/>
      </c>
      <c r="D1066" s="6" t="s">
        <v>743</v>
      </c>
      <c r="E1066" s="6"/>
      <c r="F1066" s="6" t="s">
        <v>515</v>
      </c>
      <c r="G1066" s="7" t="s">
        <v>873</v>
      </c>
      <c r="H1066" s="8" t="str">
        <f>IFNA(VLOOKUP(F1066,Driver!A:C,3,false),"")</f>
        <v>d9fc37dd4093a9cdf082</v>
      </c>
      <c r="I1066" s="9">
        <v>0.6666666666666666</v>
      </c>
      <c r="J1066" s="9">
        <v>0.7916666666666666</v>
      </c>
    </row>
    <row r="1067" hidden="1">
      <c r="A1067" s="5" t="str">
        <f>IFNA(VLOOKUP(D1067,'Location Table'!A:C,2,false),"")</f>
        <v>dbdc81ea-c664-11ef-9fda-506b8d9879b5</v>
      </c>
      <c r="B1067" s="5" t="str">
        <f>IFNA(VLOOKUP(F1067,Driver!A:C,2,false),"")</f>
        <v>f61678a4-3656-11ed-9310-506b8dbc8dfb</v>
      </c>
      <c r="C1067" s="5" t="str">
        <f>IFNA(VLOOKUP(E1067,'Location Table'!A:C,2,false),"")</f>
        <v/>
      </c>
      <c r="D1067" s="6" t="s">
        <v>748</v>
      </c>
      <c r="E1067" s="6"/>
      <c r="F1067" s="6" t="s">
        <v>470</v>
      </c>
      <c r="G1067" s="7" t="s">
        <v>873</v>
      </c>
      <c r="H1067" s="8" t="str">
        <f>IFNA(VLOOKUP(F1067,Driver!A:C,3,false),"")</f>
        <v>551b71e8ffa616f84fb7</v>
      </c>
      <c r="I1067" s="9">
        <v>0.5</v>
      </c>
      <c r="J1067" s="9">
        <v>0.7916666666666666</v>
      </c>
    </row>
    <row r="1068" hidden="1">
      <c r="A1068" s="5" t="str">
        <f>IFNA(VLOOKUP(D1068,'Location Table'!A:C,2,false),"")</f>
        <v>a31825ce-cd8b-11f0-9201-506b8d982279</v>
      </c>
      <c r="B1068" s="5" t="str">
        <f>IFNA(VLOOKUP(F1068,Driver!A:C,2,false),"")</f>
        <v>af57dfcc-782d-11f0-b407-506b8d982279</v>
      </c>
      <c r="C1068" s="5" t="str">
        <f>IFNA(VLOOKUP(E1068,'Location Table'!A:C,2,false),"")</f>
        <v/>
      </c>
      <c r="D1068" s="6" t="s">
        <v>749</v>
      </c>
      <c r="E1068" s="6"/>
      <c r="F1068" s="6" t="s">
        <v>515</v>
      </c>
      <c r="G1068" s="7" t="s">
        <v>873</v>
      </c>
      <c r="H1068" s="8" t="str">
        <f>IFNA(VLOOKUP(F1068,Driver!A:C,3,false),"")</f>
        <v>d9fc37dd4093a9cdf082</v>
      </c>
      <c r="I1068" s="9">
        <v>0.6666666666666666</v>
      </c>
      <c r="J1068" s="9">
        <v>0.7916666666666666</v>
      </c>
    </row>
    <row r="1069" hidden="1">
      <c r="A1069" s="5" t="str">
        <f>IFNA(VLOOKUP(D1069,'Location Table'!A:C,2,false),"")</f>
        <v>69fba796-9237-11f0-8bc1-506b8d982279</v>
      </c>
      <c r="B1069" s="5" t="str">
        <f>IFNA(VLOOKUP(F1069,Driver!A:C,2,false),"")</f>
        <v>02d08390-37cf-11ed-865f-506b8dbc8dfb</v>
      </c>
      <c r="C1069" s="5" t="str">
        <f>IFNA(VLOOKUP(E1069,'Location Table'!A:C,2,false),"")</f>
        <v/>
      </c>
      <c r="D1069" s="6" t="s">
        <v>750</v>
      </c>
      <c r="E1069" s="6"/>
      <c r="F1069" s="6" t="s">
        <v>516</v>
      </c>
      <c r="G1069" s="7" t="s">
        <v>873</v>
      </c>
      <c r="H1069" s="8" t="str">
        <f>IFNA(VLOOKUP(F1069,Driver!A:C,3,false),"")</f>
        <v>7b7d76055846b118e857</v>
      </c>
      <c r="I1069" s="9">
        <v>0.5833333333333334</v>
      </c>
      <c r="J1069" s="9">
        <v>0.7916666666666666</v>
      </c>
    </row>
    <row r="1070" hidden="1">
      <c r="A1070" s="5" t="str">
        <f>IFNA(VLOOKUP(D1070,'Location Table'!A:C,2,false),"")</f>
        <v>46f585c6-a5b2-11f0-8e60-506b8d982279</v>
      </c>
      <c r="B1070" s="5" t="str">
        <f>IFNA(VLOOKUP(F1070,Driver!A:C,2,false),"")</f>
        <v>f61678a4-3656-11ed-9310-506b8dbc8dfb</v>
      </c>
      <c r="C1070" s="5" t="str">
        <f>IFNA(VLOOKUP(E1070,'Location Table'!A:C,2,false),"")</f>
        <v/>
      </c>
      <c r="D1070" s="6" t="s">
        <v>751</v>
      </c>
      <c r="E1070" s="6"/>
      <c r="F1070" s="6" t="s">
        <v>470</v>
      </c>
      <c r="G1070" s="7" t="s">
        <v>873</v>
      </c>
      <c r="H1070" s="8" t="str">
        <f>IFNA(VLOOKUP(F1070,Driver!A:C,3,false),"")</f>
        <v>551b71e8ffa616f84fb7</v>
      </c>
      <c r="I1070" s="9">
        <v>0.5</v>
      </c>
      <c r="J1070" s="9">
        <v>0.7916666666666666</v>
      </c>
    </row>
    <row r="1071" hidden="1">
      <c r="A1071" s="5" t="str">
        <f>IFNA(VLOOKUP(D1071,'Location Table'!A:C,2,false),"")</f>
        <v>0e28662a-a327-11ef-b7ef-506b8d9879b5</v>
      </c>
      <c r="B1071" s="5" t="str">
        <f>IFNA(VLOOKUP(F1071,Driver!A:C,2,false),"")</f>
        <v>02d08390-37cf-11ed-865f-506b8dbc8dfb</v>
      </c>
      <c r="C1071" s="5" t="str">
        <f>IFNA(VLOOKUP(E1071,'Location Table'!A:C,2,false),"")</f>
        <v/>
      </c>
      <c r="D1071" s="6" t="s">
        <v>753</v>
      </c>
      <c r="E1071" s="6"/>
      <c r="F1071" s="6" t="s">
        <v>516</v>
      </c>
      <c r="G1071" s="7" t="s">
        <v>873</v>
      </c>
      <c r="H1071" s="8" t="str">
        <f>IFNA(VLOOKUP(F1071,Driver!A:C,3,false),"")</f>
        <v>7b7d76055846b118e857</v>
      </c>
      <c r="I1071" s="9">
        <v>0.5833333333333334</v>
      </c>
      <c r="J1071" s="9">
        <v>0.7916666666666666</v>
      </c>
    </row>
    <row r="1072" hidden="1">
      <c r="A1072" s="5" t="str">
        <f>IFNA(VLOOKUP(D1072,'Location Table'!A:C,2,false),"")</f>
        <v>5a8e5668-deac-11ee-91a6-506b8d9879b5</v>
      </c>
      <c r="B1072" s="5" t="str">
        <f>IFNA(VLOOKUP(F1072,Driver!A:C,2,false),"")</f>
        <v>af57dfcc-782d-11f0-b407-506b8d982279</v>
      </c>
      <c r="C1072" s="5" t="str">
        <f>IFNA(VLOOKUP(E1072,'Location Table'!A:C,2,false),"")</f>
        <v/>
      </c>
      <c r="D1072" s="6" t="s">
        <v>754</v>
      </c>
      <c r="E1072" s="6"/>
      <c r="F1072" s="6" t="s">
        <v>515</v>
      </c>
      <c r="G1072" s="7" t="s">
        <v>873</v>
      </c>
      <c r="H1072" s="8" t="str">
        <f>IFNA(VLOOKUP(F1072,Driver!A:C,3,false),"")</f>
        <v>d9fc37dd4093a9cdf082</v>
      </c>
      <c r="I1072" s="9">
        <v>0.6666666666666666</v>
      </c>
      <c r="J1072" s="9">
        <v>0.7916666666666666</v>
      </c>
    </row>
    <row r="1073" hidden="1">
      <c r="A1073" s="5" t="str">
        <f>IFNA(VLOOKUP(D1073,'Location Table'!A:C,2,false),"")</f>
        <v>8379d2b4-0886-11f0-bf88-506b8d982279</v>
      </c>
      <c r="B1073" s="5" t="str">
        <f>IFNA(VLOOKUP(F1073,Driver!A:C,2,false),"")</f>
        <v>af57dfcc-782d-11f0-b407-506b8d982279</v>
      </c>
      <c r="C1073" s="5" t="str">
        <f>IFNA(VLOOKUP(E1073,'Location Table'!A:C,2,false),"")</f>
        <v/>
      </c>
      <c r="D1073" s="6" t="s">
        <v>758</v>
      </c>
      <c r="E1073" s="6"/>
      <c r="F1073" s="6" t="s">
        <v>515</v>
      </c>
      <c r="G1073" s="7" t="s">
        <v>873</v>
      </c>
      <c r="H1073" s="8" t="str">
        <f>IFNA(VLOOKUP(F1073,Driver!A:C,3,false),"")</f>
        <v>d9fc37dd4093a9cdf082</v>
      </c>
      <c r="I1073" s="9">
        <v>0.6666666666666666</v>
      </c>
      <c r="J1073" s="9">
        <v>0.7916666666666666</v>
      </c>
    </row>
    <row r="1074" hidden="1">
      <c r="A1074" s="5" t="str">
        <f>IFNA(VLOOKUP(D1074,'Location Table'!A:C,2,false),"")</f>
        <v>02cb35f0-eade-11f0-97d5-506b8d982279</v>
      </c>
      <c r="B1074" s="5" t="str">
        <f>IFNA(VLOOKUP(F1074,Driver!A:C,2,false),"")</f>
        <v>443c5016-3017-11ee-a6b5-506b8d9879b5</v>
      </c>
      <c r="C1074" s="5" t="str">
        <f>IFNA(VLOOKUP(E1074,'Location Table'!A:C,2,false),"")</f>
        <v/>
      </c>
      <c r="D1074" s="6" t="s">
        <v>760</v>
      </c>
      <c r="E1074" s="6"/>
      <c r="F1074" s="6" t="s">
        <v>513</v>
      </c>
      <c r="G1074" s="7" t="s">
        <v>873</v>
      </c>
      <c r="H1074" s="8" t="str">
        <f>IFNA(VLOOKUP(F1074,Driver!A:C,3,false),"")</f>
        <v>430767465e0cb752ee1d</v>
      </c>
      <c r="I1074" s="9">
        <v>0.6666666666666666</v>
      </c>
      <c r="J1074" s="9">
        <v>0.7916666666666666</v>
      </c>
    </row>
    <row r="1075" hidden="1">
      <c r="A1075" s="5" t="str">
        <f>IFNA(VLOOKUP(D1075,'Location Table'!A:C,2,false),"")</f>
        <v>a5daa8ea-0ab5-11ee-b70d-506b8dbc8dfb</v>
      </c>
      <c r="B1075" s="5" t="str">
        <f>IFNA(VLOOKUP(F1075,Driver!A:C,2,false),"")</f>
        <v>f61678a4-3656-11ed-9310-506b8dbc8dfb</v>
      </c>
      <c r="C1075" s="5" t="str">
        <f>IFNA(VLOOKUP(E1075,'Location Table'!A:C,2,false),"")</f>
        <v/>
      </c>
      <c r="D1075" s="6" t="s">
        <v>763</v>
      </c>
      <c r="E1075" s="6"/>
      <c r="F1075" s="6" t="s">
        <v>470</v>
      </c>
      <c r="G1075" s="7" t="s">
        <v>873</v>
      </c>
      <c r="H1075" s="8" t="str">
        <f>IFNA(VLOOKUP(F1075,Driver!A:C,3,false),"")</f>
        <v>551b71e8ffa616f84fb7</v>
      </c>
      <c r="I1075" s="9">
        <v>0.5</v>
      </c>
      <c r="J1075" s="9">
        <v>0.7916666666666666</v>
      </c>
    </row>
    <row r="1076" hidden="1">
      <c r="A1076" s="5" t="str">
        <f>IFNA(VLOOKUP(D1076,'Location Table'!A:C,2,false),"")</f>
        <v>adf1e9a6-8b27-11ee-a96f-506b8d9879b5</v>
      </c>
      <c r="B1076" s="5" t="str">
        <f>IFNA(VLOOKUP(F1076,Driver!A:C,2,false),"")</f>
        <v>443c5016-3017-11ee-a6b5-506b8d9879b5</v>
      </c>
      <c r="C1076" s="5" t="str">
        <f>IFNA(VLOOKUP(E1076,'Location Table'!A:C,2,false),"")</f>
        <v/>
      </c>
      <c r="D1076" s="6" t="s">
        <v>765</v>
      </c>
      <c r="E1076" s="6"/>
      <c r="F1076" s="6" t="s">
        <v>513</v>
      </c>
      <c r="G1076" s="7" t="s">
        <v>873</v>
      </c>
      <c r="H1076" s="8" t="str">
        <f>IFNA(VLOOKUP(F1076,Driver!A:C,3,false),"")</f>
        <v>430767465e0cb752ee1d</v>
      </c>
      <c r="I1076" s="9">
        <v>0.6666666666666666</v>
      </c>
      <c r="J1076" s="9">
        <v>0.7916666666666666</v>
      </c>
    </row>
    <row r="1077" hidden="1">
      <c r="A1077" s="5" t="str">
        <f>IFNA(VLOOKUP(D1077,'Location Table'!A:C,2,false),"")</f>
        <v>e2124b02-2cec-11ee-b541-506b8d9879b5</v>
      </c>
      <c r="B1077" s="5" t="str">
        <f>IFNA(VLOOKUP(F1077,Driver!A:C,2,false),"")</f>
        <v>f61678a4-3656-11ed-9310-506b8dbc8dfb</v>
      </c>
      <c r="C1077" s="5" t="str">
        <f>IFNA(VLOOKUP(E1077,'Location Table'!A:C,2,false),"")</f>
        <v/>
      </c>
      <c r="D1077" s="6" t="s">
        <v>773</v>
      </c>
      <c r="E1077" s="6"/>
      <c r="F1077" s="6" t="s">
        <v>470</v>
      </c>
      <c r="G1077" s="7" t="s">
        <v>873</v>
      </c>
      <c r="H1077" s="8" t="str">
        <f>IFNA(VLOOKUP(F1077,Driver!A:C,3,false),"")</f>
        <v>551b71e8ffa616f84fb7</v>
      </c>
      <c r="I1077" s="9">
        <v>0.5</v>
      </c>
      <c r="J1077" s="9">
        <v>0.7916666666666666</v>
      </c>
    </row>
    <row r="1078" hidden="1">
      <c r="A1078" s="5" t="str">
        <f>IFNA(VLOOKUP(D1078,'Location Table'!A:C,2,false),"")</f>
        <v>5686c49a-8ada-11ee-bde1-506b8d9879b5</v>
      </c>
      <c r="B1078" s="5" t="str">
        <f>IFNA(VLOOKUP(F1078,Driver!A:C,2,false),"")</f>
        <v>f3cef536-7671-11f0-84d2-506b8d982279</v>
      </c>
      <c r="C1078" s="5" t="str">
        <f>IFNA(VLOOKUP(E1078,'Location Table'!A:C,2,false),"")</f>
        <v/>
      </c>
      <c r="D1078" s="6" t="s">
        <v>774</v>
      </c>
      <c r="E1078" s="6"/>
      <c r="F1078" s="6" t="s">
        <v>112</v>
      </c>
      <c r="G1078" s="7" t="s">
        <v>873</v>
      </c>
      <c r="H1078" s="8" t="str">
        <f>IFNA(VLOOKUP(F1078,Driver!A:C,3,false),"")</f>
        <v/>
      </c>
      <c r="I1078" s="9">
        <v>0.4583333333333333</v>
      </c>
      <c r="J1078" s="9">
        <v>0.8333333333333334</v>
      </c>
    </row>
    <row r="1079" hidden="1">
      <c r="A1079" s="5" t="str">
        <f>IFNA(VLOOKUP(D1079,'Location Table'!A:C,2,false),"")</f>
        <v>a4c531b8-daf2-11f0-b991-506b8d982279</v>
      </c>
      <c r="B1079" s="5" t="str">
        <f>IFNA(VLOOKUP(F1079,Driver!A:C,2,false),"")</f>
        <v>443c5016-3017-11ee-a6b5-506b8d9879b5</v>
      </c>
      <c r="C1079" s="5" t="str">
        <f>IFNA(VLOOKUP(E1079,'Location Table'!A:C,2,false),"")</f>
        <v/>
      </c>
      <c r="D1079" s="6" t="s">
        <v>775</v>
      </c>
      <c r="E1079" s="6"/>
      <c r="F1079" s="6" t="s">
        <v>513</v>
      </c>
      <c r="G1079" s="7" t="s">
        <v>873</v>
      </c>
      <c r="H1079" s="8" t="str">
        <f>IFNA(VLOOKUP(F1079,Driver!A:C,3,false),"")</f>
        <v>430767465e0cb752ee1d</v>
      </c>
      <c r="I1079" s="9">
        <v>0.6666666666666666</v>
      </c>
      <c r="J1079" s="9">
        <v>0.7916666666666666</v>
      </c>
    </row>
    <row r="1080" hidden="1">
      <c r="A1080" s="5" t="str">
        <f>IFNA(VLOOKUP(D1080,'Location Table'!A:C,2,false),"")</f>
        <v>b0151ce0-49ff-11ed-b1f4-506b8dbc8dfb</v>
      </c>
      <c r="B1080" s="5" t="str">
        <f>IFNA(VLOOKUP(F1080,Driver!A:C,2,false),"")</f>
        <v>f61678a4-3656-11ed-9310-506b8dbc8dfb</v>
      </c>
      <c r="C1080" s="5" t="str">
        <f>IFNA(VLOOKUP(E1080,'Location Table'!A:C,2,false),"")</f>
        <v/>
      </c>
      <c r="D1080" s="6" t="s">
        <v>777</v>
      </c>
      <c r="E1080" s="6"/>
      <c r="F1080" s="6" t="s">
        <v>470</v>
      </c>
      <c r="G1080" s="7" t="s">
        <v>873</v>
      </c>
      <c r="H1080" s="8" t="str">
        <f>IFNA(VLOOKUP(F1080,Driver!A:C,3,false),"")</f>
        <v>551b71e8ffa616f84fb7</v>
      </c>
      <c r="I1080" s="9">
        <v>0.5</v>
      </c>
      <c r="J1080" s="9">
        <v>0.7916666666666666</v>
      </c>
    </row>
    <row r="1081" hidden="1">
      <c r="A1081" s="5" t="str">
        <f>IFNA(VLOOKUP(D1081,'Location Table'!A:C,2,false),"")</f>
        <v>70b138ba-b224-11ef-9689-506b8d9879b5</v>
      </c>
      <c r="B1081" s="5" t="str">
        <f>IFNA(VLOOKUP(F1081,Driver!A:C,2,false),"")</f>
        <v>443c5016-3017-11ee-a6b5-506b8d9879b5</v>
      </c>
      <c r="C1081" s="5" t="str">
        <f>IFNA(VLOOKUP(E1081,'Location Table'!A:C,2,false),"")</f>
        <v/>
      </c>
      <c r="D1081" s="6" t="s">
        <v>778</v>
      </c>
      <c r="E1081" s="6"/>
      <c r="F1081" s="6" t="s">
        <v>513</v>
      </c>
      <c r="G1081" s="7" t="s">
        <v>873</v>
      </c>
      <c r="H1081" s="8" t="str">
        <f>IFNA(VLOOKUP(F1081,Driver!A:C,3,false),"")</f>
        <v>430767465e0cb752ee1d</v>
      </c>
      <c r="I1081" s="9">
        <v>0.6666666666666666</v>
      </c>
      <c r="J1081" s="9">
        <v>0.7916666666666666</v>
      </c>
    </row>
    <row r="1082" hidden="1">
      <c r="A1082" s="5" t="str">
        <f>IFNA(VLOOKUP(D1082,'Location Table'!A:C,2,false),"")</f>
        <v>b4430112-b887-11ef-a0ce-506b8d9879b5</v>
      </c>
      <c r="B1082" s="5" t="str">
        <f>IFNA(VLOOKUP(F1082,Driver!A:C,2,false),"")</f>
        <v>feb9afca-fcce-11f0-9378-fa163ee8d8ac</v>
      </c>
      <c r="C1082" s="5" t="str">
        <f>IFNA(VLOOKUP(E1082,'Location Table'!A:C,2,false),"")</f>
        <v/>
      </c>
      <c r="D1082" s="6" t="s">
        <v>782</v>
      </c>
      <c r="E1082" s="6"/>
      <c r="F1082" s="6" t="s">
        <v>879</v>
      </c>
      <c r="G1082" s="7" t="s">
        <v>873</v>
      </c>
      <c r="H1082" s="8" t="str">
        <f>IFNA(VLOOKUP(F1082,Driver!A:C,3,false),"")</f>
        <v/>
      </c>
      <c r="I1082" s="9">
        <v>0.6666666666666666</v>
      </c>
      <c r="J1082" s="9">
        <v>0.7916666666666666</v>
      </c>
    </row>
    <row r="1083" hidden="1">
      <c r="A1083" s="5" t="str">
        <f>IFNA(VLOOKUP(D1083,'Location Table'!A:C,2,false),"")</f>
        <v>28e7eef2-a58a-11f0-8e49-506b8d982279</v>
      </c>
      <c r="B1083" s="5" t="str">
        <f>IFNA(VLOOKUP(F1083,Driver!A:C,2,false),"")</f>
        <v>f61678a4-3656-11ed-9310-506b8dbc8dfb</v>
      </c>
      <c r="C1083" s="5" t="str">
        <f>IFNA(VLOOKUP(E1083,'Location Table'!A:C,2,false),"")</f>
        <v/>
      </c>
      <c r="D1083" s="6" t="s">
        <v>783</v>
      </c>
      <c r="E1083" s="6"/>
      <c r="F1083" s="6" t="s">
        <v>470</v>
      </c>
      <c r="G1083" s="7" t="s">
        <v>873</v>
      </c>
      <c r="H1083" s="8" t="str">
        <f>IFNA(VLOOKUP(F1083,Driver!A:C,3,false),"")</f>
        <v>551b71e8ffa616f84fb7</v>
      </c>
      <c r="I1083" s="9">
        <v>0.5</v>
      </c>
      <c r="J1083" s="9">
        <v>0.7916666666666666</v>
      </c>
    </row>
    <row r="1084" hidden="1">
      <c r="A1084" s="5" t="str">
        <f>IFNA(VLOOKUP(D1084,'Location Table'!A:C,2,false),"")</f>
        <v>719b368a-0ec9-11ef-9928-506b8d9879b5</v>
      </c>
      <c r="B1084" s="5" t="str">
        <f>IFNA(VLOOKUP(F1084,Driver!A:C,2,false),"")</f>
        <v>feb9afca-fcce-11f0-9378-fa163ee8d8ac</v>
      </c>
      <c r="C1084" s="5" t="str">
        <f>IFNA(VLOOKUP(E1084,'Location Table'!A:C,2,false),"")</f>
        <v/>
      </c>
      <c r="D1084" s="6" t="s">
        <v>791</v>
      </c>
      <c r="E1084" s="6"/>
      <c r="F1084" s="6" t="s">
        <v>879</v>
      </c>
      <c r="G1084" s="7" t="s">
        <v>873</v>
      </c>
      <c r="H1084" s="8" t="str">
        <f>IFNA(VLOOKUP(F1084,Driver!A:C,3,false),"")</f>
        <v/>
      </c>
      <c r="I1084" s="9">
        <v>0.6666666666666666</v>
      </c>
      <c r="J1084" s="9">
        <v>0.7916666666666666</v>
      </c>
    </row>
    <row r="1085" hidden="1">
      <c r="A1085" s="5" t="str">
        <f>IFNA(VLOOKUP(D1085,'Location Table'!A:C,2,false),"")</f>
        <v>44c2b344-df9d-11f0-988f-506b8d982279</v>
      </c>
      <c r="B1085" s="5" t="str">
        <f>IFNA(VLOOKUP(F1085,Driver!A:C,2,false),"")</f>
        <v>f3cef536-7671-11f0-84d2-506b8d982279</v>
      </c>
      <c r="C1085" s="5" t="str">
        <f>IFNA(VLOOKUP(E1085,'Location Table'!A:C,2,false),"")</f>
        <v/>
      </c>
      <c r="D1085" s="6" t="s">
        <v>792</v>
      </c>
      <c r="E1085" s="6"/>
      <c r="F1085" s="6" t="s">
        <v>112</v>
      </c>
      <c r="G1085" s="7" t="s">
        <v>873</v>
      </c>
      <c r="H1085" s="8" t="str">
        <f>IFNA(VLOOKUP(F1085,Driver!A:C,3,false),"")</f>
        <v/>
      </c>
      <c r="I1085" s="9">
        <v>0.4583333333333333</v>
      </c>
      <c r="J1085" s="9">
        <v>0.8333333333333334</v>
      </c>
    </row>
    <row r="1086" hidden="1">
      <c r="A1086" s="5" t="str">
        <f>IFNA(VLOOKUP(D1086,'Location Table'!A:C,2,false),"")</f>
        <v>4ade2dbe-47ea-11ee-aa84-506b8d9879b5</v>
      </c>
      <c r="B1086" s="5" t="str">
        <f>IFNA(VLOOKUP(F1086,Driver!A:C,2,false),"")</f>
        <v>feb9afca-fcce-11f0-9378-fa163ee8d8ac</v>
      </c>
      <c r="C1086" s="5" t="str">
        <f>IFNA(VLOOKUP(E1086,'Location Table'!A:C,2,false),"")</f>
        <v/>
      </c>
      <c r="D1086" s="6" t="s">
        <v>793</v>
      </c>
      <c r="E1086" s="6"/>
      <c r="F1086" s="6" t="s">
        <v>879</v>
      </c>
      <c r="G1086" s="7" t="s">
        <v>873</v>
      </c>
      <c r="H1086" s="8" t="str">
        <f>IFNA(VLOOKUP(F1086,Driver!A:C,3,false),"")</f>
        <v/>
      </c>
      <c r="I1086" s="9">
        <v>0.6666666666666666</v>
      </c>
      <c r="J1086" s="9">
        <v>0.7916666666666666</v>
      </c>
    </row>
    <row r="1087" hidden="1">
      <c r="A1087" s="5" t="str">
        <f>IFNA(VLOOKUP(D1087,'Location Table'!A:C,2,false),"")</f>
        <v>c3c48080-ffad-11ef-9864-506b8d9879b5</v>
      </c>
      <c r="B1087" s="5" t="str">
        <f>IFNA(VLOOKUP(F1087,Driver!A:C,2,false),"")</f>
        <v>f3cef536-7671-11f0-84d2-506b8d982279</v>
      </c>
      <c r="C1087" s="5" t="str">
        <f>IFNA(VLOOKUP(E1087,'Location Table'!A:C,2,false),"")</f>
        <v/>
      </c>
      <c r="D1087" s="6" t="s">
        <v>794</v>
      </c>
      <c r="E1087" s="6"/>
      <c r="F1087" s="6" t="s">
        <v>112</v>
      </c>
      <c r="G1087" s="7" t="s">
        <v>873</v>
      </c>
      <c r="H1087" s="8" t="str">
        <f>IFNA(VLOOKUP(F1087,Driver!A:C,3,false),"")</f>
        <v/>
      </c>
      <c r="I1087" s="9">
        <v>0.4583333333333333</v>
      </c>
      <c r="J1087" s="9">
        <v>0.8333333333333334</v>
      </c>
    </row>
    <row r="1088" hidden="1">
      <c r="A1088" s="5" t="str">
        <f>IFNA(VLOOKUP(D1088,'Location Table'!A:C,2,false),"")</f>
        <v>9b0992e6-7216-11ee-b54d-506b8d9879b5</v>
      </c>
      <c r="B1088" s="5" t="str">
        <f>IFNA(VLOOKUP(F1088,Driver!A:C,2,false),"")</f>
        <v>02d08390-37cf-11ed-865f-506b8dbc8dfb</v>
      </c>
      <c r="C1088" s="5" t="str">
        <f>IFNA(VLOOKUP(E1088,'Location Table'!A:C,2,false),"")</f>
        <v/>
      </c>
      <c r="D1088" s="6" t="s">
        <v>796</v>
      </c>
      <c r="E1088" s="6"/>
      <c r="F1088" s="6" t="s">
        <v>516</v>
      </c>
      <c r="G1088" s="7" t="s">
        <v>873</v>
      </c>
      <c r="H1088" s="8" t="str">
        <f>IFNA(VLOOKUP(F1088,Driver!A:C,3,false),"")</f>
        <v>7b7d76055846b118e857</v>
      </c>
      <c r="I1088" s="9">
        <v>0.5833333333333334</v>
      </c>
      <c r="J1088" s="9">
        <v>0.7916666666666666</v>
      </c>
    </row>
    <row r="1089" hidden="1">
      <c r="A1089" s="5" t="str">
        <f>IFNA(VLOOKUP(D1089,'Location Table'!A:C,2,false),"")</f>
        <v>2178a272-f39d-11f0-9378-fa163ee8d8ac</v>
      </c>
      <c r="B1089" s="5" t="str">
        <f>IFNA(VLOOKUP(F1089,Driver!A:C,2,false),"")</f>
        <v>af57dfcc-782d-11f0-b407-506b8d982279</v>
      </c>
      <c r="C1089" s="5" t="str">
        <f>IFNA(VLOOKUP(E1089,'Location Table'!A:C,2,false),"")</f>
        <v/>
      </c>
      <c r="D1089" s="6" t="s">
        <v>798</v>
      </c>
      <c r="E1089" s="6"/>
      <c r="F1089" s="6" t="s">
        <v>515</v>
      </c>
      <c r="G1089" s="7" t="s">
        <v>873</v>
      </c>
      <c r="H1089" s="8" t="str">
        <f>IFNA(VLOOKUP(F1089,Driver!A:C,3,false),"")</f>
        <v>d9fc37dd4093a9cdf082</v>
      </c>
      <c r="I1089" s="9">
        <v>0.6666666666666666</v>
      </c>
      <c r="J1089" s="9">
        <v>0.7916666666666666</v>
      </c>
    </row>
    <row r="1090" hidden="1">
      <c r="A1090" s="5" t="str">
        <f>IFNA(VLOOKUP(D1090,'Location Table'!A:C,2,false),"")</f>
        <v>5c9ec158-f645-11ee-bc2a-506b8d9879b5</v>
      </c>
      <c r="B1090" s="5" t="str">
        <f>IFNA(VLOOKUP(F1090,Driver!A:C,2,false),"")</f>
        <v>f3cef536-7671-11f0-84d2-506b8d982279</v>
      </c>
      <c r="C1090" s="5" t="str">
        <f>IFNA(VLOOKUP(E1090,'Location Table'!A:C,2,false),"")</f>
        <v/>
      </c>
      <c r="D1090" s="6" t="s">
        <v>799</v>
      </c>
      <c r="E1090" s="6"/>
      <c r="F1090" s="6" t="s">
        <v>112</v>
      </c>
      <c r="G1090" s="7" t="s">
        <v>873</v>
      </c>
      <c r="H1090" s="8" t="str">
        <f>IFNA(VLOOKUP(F1090,Driver!A:C,3,false),"")</f>
        <v/>
      </c>
      <c r="I1090" s="9">
        <v>0.4583333333333333</v>
      </c>
      <c r="J1090" s="9">
        <v>0.8333333333333334</v>
      </c>
    </row>
    <row r="1091" hidden="1">
      <c r="A1091" s="5" t="str">
        <f>IFNA(VLOOKUP(D1091,'Location Table'!A:C,2,false),"")</f>
        <v>d4e006c0-42a9-11f0-af1e-506b8d982279</v>
      </c>
      <c r="B1091" s="5" t="str">
        <f>IFNA(VLOOKUP(F1091,Driver!A:C,2,false),"")</f>
        <v>f3cef536-7671-11f0-84d2-506b8d982279</v>
      </c>
      <c r="C1091" s="5" t="str">
        <f>IFNA(VLOOKUP(E1091,'Location Table'!A:C,2,false),"")</f>
        <v/>
      </c>
      <c r="D1091" s="6" t="s">
        <v>801</v>
      </c>
      <c r="E1091" s="6"/>
      <c r="F1091" s="6" t="s">
        <v>112</v>
      </c>
      <c r="G1091" s="7" t="s">
        <v>873</v>
      </c>
      <c r="H1091" s="8" t="str">
        <f>IFNA(VLOOKUP(F1091,Driver!A:C,3,false),"")</f>
        <v/>
      </c>
      <c r="I1091" s="9">
        <v>0.4583333333333333</v>
      </c>
      <c r="J1091" s="9">
        <v>0.8333333333333334</v>
      </c>
    </row>
    <row r="1092" hidden="1">
      <c r="A1092" s="5" t="str">
        <f>IFNA(VLOOKUP(D1092,'Location Table'!A:C,2,false),"")</f>
        <v>ba7452ba-50d1-11f0-a00e-506b8d982279</v>
      </c>
      <c r="B1092" s="5" t="str">
        <f>IFNA(VLOOKUP(F1092,Driver!A:C,2,false),"")</f>
        <v>f61678a4-3656-11ed-9310-506b8dbc8dfb</v>
      </c>
      <c r="C1092" s="5" t="str">
        <f>IFNA(VLOOKUP(E1092,'Location Table'!A:C,2,false),"")</f>
        <v/>
      </c>
      <c r="D1092" s="6" t="s">
        <v>456</v>
      </c>
      <c r="E1092" s="6"/>
      <c r="F1092" s="6" t="s">
        <v>470</v>
      </c>
      <c r="G1092" s="7" t="s">
        <v>873</v>
      </c>
      <c r="H1092" s="8" t="str">
        <f>IFNA(VLOOKUP(F1092,Driver!A:C,3,false),"")</f>
        <v>551b71e8ffa616f84fb7</v>
      </c>
      <c r="I1092" s="9">
        <v>0.4583333333333333</v>
      </c>
      <c r="J1092" s="9">
        <v>0.8333333333333334</v>
      </c>
    </row>
    <row r="1093" hidden="1">
      <c r="A1093" s="5" t="str">
        <f>IFNA(VLOOKUP(D1093,'Location Table'!A:C,2,false),"")</f>
        <v>fce553ce-c7dd-11ef-a8fd-506b8d9879b5</v>
      </c>
      <c r="B1093" s="5" t="str">
        <f>IFNA(VLOOKUP(F1093,Driver!A:C,2,false),"")</f>
        <v>a01fefe6-3653-11ed-8128-506b8dbc8dfb</v>
      </c>
      <c r="C1093" s="5" t="str">
        <f>IFNA(VLOOKUP(E1093,'Location Table'!A:C,2,false),"")</f>
        <v/>
      </c>
      <c r="D1093" s="6" t="s">
        <v>803</v>
      </c>
      <c r="E1093" s="6"/>
      <c r="F1093" s="6" t="s">
        <v>128</v>
      </c>
      <c r="G1093" s="7" t="s">
        <v>873</v>
      </c>
      <c r="H1093" s="8" t="str">
        <f>IFNA(VLOOKUP(F1093,Driver!A:C,3,false),"")</f>
        <v/>
      </c>
      <c r="I1093" s="9">
        <v>0.2916666666666667</v>
      </c>
      <c r="J1093" s="9">
        <v>0.5</v>
      </c>
    </row>
    <row r="1094" hidden="1">
      <c r="A1094" s="5" t="str">
        <f>IFNA(VLOOKUP(D1094,'Location Table'!A:C,2,false),"")</f>
        <v>fce553ce-c7dd-11ef-a8fd-506b8d9879b5</v>
      </c>
      <c r="B1094" s="5" t="str">
        <f>IFNA(VLOOKUP(F1094,Driver!A:C,2,false),"")</f>
        <v>f61678a4-3656-11ed-9310-506b8dbc8dfb</v>
      </c>
      <c r="C1094" s="5" t="str">
        <f>IFNA(VLOOKUP(E1094,'Location Table'!A:C,2,false),"")</f>
        <v/>
      </c>
      <c r="D1094" s="6" t="s">
        <v>803</v>
      </c>
      <c r="E1094" s="6"/>
      <c r="F1094" s="6" t="s">
        <v>470</v>
      </c>
      <c r="G1094" s="7" t="s">
        <v>873</v>
      </c>
      <c r="H1094" s="8" t="str">
        <f>IFNA(VLOOKUP(F1094,Driver!A:C,3,false),"")</f>
        <v>551b71e8ffa616f84fb7</v>
      </c>
      <c r="I1094" s="9">
        <v>0.5</v>
      </c>
      <c r="J1094" s="9">
        <v>0.7916666666666666</v>
      </c>
    </row>
    <row r="1095" hidden="1">
      <c r="A1095" s="5" t="str">
        <f>IFNA(VLOOKUP(D1095,'Location Table'!A:C,2,false),"")</f>
        <v>a22daf7a-3d9d-11ed-8890-506b8dbc8dfb</v>
      </c>
      <c r="B1095" s="5" t="str">
        <f>IFNA(VLOOKUP(F1095,Driver!A:C,2,false),"")</f>
        <v>8094d712-0f78-11f0-b96d-506b8d982279</v>
      </c>
      <c r="C1095" s="5" t="str">
        <f>IFNA(VLOOKUP(E1095,'Location Table'!A:C,2,false),"")</f>
        <v/>
      </c>
      <c r="D1095" s="6" t="s">
        <v>872</v>
      </c>
      <c r="E1095" s="6"/>
      <c r="F1095" s="6" t="s">
        <v>13</v>
      </c>
      <c r="G1095" s="7" t="s">
        <v>873</v>
      </c>
      <c r="H1095" s="8" t="str">
        <f>IFNA(VLOOKUP(F1095,Driver!A:C,3,false),"")</f>
        <v/>
      </c>
      <c r="I1095" s="9">
        <v>0.25</v>
      </c>
      <c r="J1095" s="9">
        <v>0.875</v>
      </c>
    </row>
    <row r="1096" hidden="1">
      <c r="A1096" s="5" t="str">
        <f>IFNA(VLOOKUP(D1096,'Location Table'!A:C,2,false),"")</f>
        <v>77531e70-3d9d-11ed-bccd-506b8dbc8dfb</v>
      </c>
      <c r="B1096" s="5" t="str">
        <f>IFNA(VLOOKUP(F1096,Driver!A:C,2,false),"")</f>
        <v>8094d712-0f78-11f0-b96d-506b8d982279</v>
      </c>
      <c r="C1096" s="5" t="str">
        <f>IFNA(VLOOKUP(E1096,'Location Table'!A:C,2,false),"")</f>
        <v/>
      </c>
      <c r="D1096" s="6" t="s">
        <v>882</v>
      </c>
      <c r="E1096" s="6"/>
      <c r="F1096" s="6" t="s">
        <v>13</v>
      </c>
      <c r="G1096" s="7" t="s">
        <v>873</v>
      </c>
      <c r="H1096" s="8" t="str">
        <f>IFNA(VLOOKUP(F1096,Driver!A:C,3,false),"")</f>
        <v/>
      </c>
      <c r="I1096" s="9">
        <v>0.25</v>
      </c>
      <c r="J1096" s="9">
        <v>0.875</v>
      </c>
    </row>
    <row r="1097" hidden="1">
      <c r="A1097" s="5" t="str">
        <f>IFNA(VLOOKUP(D1097,'Location Table'!A:C,2,false),"")</f>
        <v>24b9b3d6-3d9d-11ed-b9a1-506b8dbc8dfb</v>
      </c>
      <c r="B1097" s="5" t="str">
        <f>IFNA(VLOOKUP(F1097,Driver!A:C,2,false),"")</f>
        <v>8094d712-0f78-11f0-b96d-506b8d982279</v>
      </c>
      <c r="C1097" s="5" t="str">
        <f>IFNA(VLOOKUP(E1097,'Location Table'!A:C,2,false),"")</f>
        <v/>
      </c>
      <c r="D1097" s="6" t="s">
        <v>797</v>
      </c>
      <c r="E1097" s="6"/>
      <c r="F1097" s="6" t="s">
        <v>13</v>
      </c>
      <c r="G1097" s="7" t="s">
        <v>873</v>
      </c>
      <c r="H1097" s="8" t="str">
        <f>IFNA(VLOOKUP(F1097,Driver!A:C,3,false),"")</f>
        <v/>
      </c>
      <c r="I1097" s="9">
        <v>0.25</v>
      </c>
      <c r="J1097" s="9">
        <v>0.875</v>
      </c>
    </row>
    <row r="1098" hidden="1">
      <c r="A1098" s="5" t="str">
        <f>IFNA(VLOOKUP(D1098,'Location Table'!A:C,2,false),"")</f>
        <v>17dd37b4-3d9d-11ed-93b6-506b8dbc8dfb</v>
      </c>
      <c r="B1098" s="5" t="str">
        <f>IFNA(VLOOKUP(F1098,Driver!A:C,2,false),"")</f>
        <v>8094d712-0f78-11f0-b96d-506b8d982279</v>
      </c>
      <c r="C1098" s="5" t="str">
        <f>IFNA(VLOOKUP(E1098,'Location Table'!A:C,2,false),"")</f>
        <v/>
      </c>
      <c r="D1098" s="6" t="s">
        <v>883</v>
      </c>
      <c r="E1098" s="6"/>
      <c r="F1098" s="6" t="s">
        <v>13</v>
      </c>
      <c r="G1098" s="7" t="s">
        <v>873</v>
      </c>
      <c r="H1098" s="8" t="str">
        <f>IFNA(VLOOKUP(F1098,Driver!A:C,3,false),"")</f>
        <v/>
      </c>
      <c r="I1098" s="9">
        <v>0.25</v>
      </c>
      <c r="J1098" s="9">
        <v>0.875</v>
      </c>
    </row>
    <row r="1099" hidden="1">
      <c r="A1099" s="5" t="str">
        <f>IFNA(VLOOKUP(D1099,'Location Table'!A:C,2,false),"")</f>
        <v>c81985d4-3d9c-11ed-8951-506b8dbc8dfb</v>
      </c>
      <c r="B1099" s="5" t="str">
        <f>IFNA(VLOOKUP(F1099,Driver!A:C,2,false),"")</f>
        <v>8094d712-0f78-11f0-b96d-506b8d982279</v>
      </c>
      <c r="C1099" s="5" t="str">
        <f>IFNA(VLOOKUP(E1099,'Location Table'!A:C,2,false),"")</f>
        <v/>
      </c>
      <c r="D1099" s="6" t="s">
        <v>884</v>
      </c>
      <c r="E1099" s="6"/>
      <c r="F1099" s="6" t="s">
        <v>13</v>
      </c>
      <c r="G1099" s="7" t="s">
        <v>873</v>
      </c>
      <c r="H1099" s="8" t="str">
        <f>IFNA(VLOOKUP(F1099,Driver!A:C,3,false),"")</f>
        <v/>
      </c>
      <c r="I1099" s="9">
        <v>0.25</v>
      </c>
      <c r="J1099" s="9">
        <v>0.875</v>
      </c>
    </row>
    <row r="1100" hidden="1">
      <c r="A1100" s="5" t="str">
        <f>IFNA(VLOOKUP(D1100,'Location Table'!A:C,2,false),"")</f>
        <v>90de3042-3d9c-11ed-a60a-506b8dbc8dfb</v>
      </c>
      <c r="B1100" s="5" t="str">
        <f>IFNA(VLOOKUP(F1100,Driver!A:C,2,false),"")</f>
        <v>8094d712-0f78-11f0-b96d-506b8d982279</v>
      </c>
      <c r="C1100" s="5" t="str">
        <f>IFNA(VLOOKUP(E1100,'Location Table'!A:C,2,false),"")</f>
        <v/>
      </c>
      <c r="D1100" s="6" t="s">
        <v>850</v>
      </c>
      <c r="E1100" s="6"/>
      <c r="F1100" s="6" t="s">
        <v>13</v>
      </c>
      <c r="G1100" s="7" t="s">
        <v>873</v>
      </c>
      <c r="H1100" s="8" t="str">
        <f>IFNA(VLOOKUP(F1100,Driver!A:C,3,false),"")</f>
        <v/>
      </c>
      <c r="I1100" s="9">
        <v>0.25</v>
      </c>
      <c r="J1100" s="9">
        <v>0.875</v>
      </c>
    </row>
    <row r="1101" hidden="1">
      <c r="A1101" s="5" t="str">
        <f>IFNA(VLOOKUP(D1101,'Location Table'!A:C,2,false),"")</f>
        <v>fee8236e-3d9b-11ed-9cc5-506b8dbc8dfb</v>
      </c>
      <c r="B1101" s="5" t="str">
        <f>IFNA(VLOOKUP(F1101,Driver!A:C,2,false),"")</f>
        <v>8094d712-0f78-11f0-b96d-506b8d982279</v>
      </c>
      <c r="C1101" s="5" t="str">
        <f>IFNA(VLOOKUP(E1101,'Location Table'!A:C,2,false),"")</f>
        <v/>
      </c>
      <c r="D1101" s="6" t="s">
        <v>885</v>
      </c>
      <c r="E1101" s="6"/>
      <c r="F1101" s="6" t="s">
        <v>13</v>
      </c>
      <c r="G1101" s="7" t="s">
        <v>873</v>
      </c>
      <c r="H1101" s="8" t="str">
        <f>IFNA(VLOOKUP(F1101,Driver!A:C,3,false),"")</f>
        <v/>
      </c>
      <c r="I1101" s="9">
        <v>0.25</v>
      </c>
      <c r="J1101" s="9">
        <v>0.875</v>
      </c>
    </row>
    <row r="1102" hidden="1">
      <c r="A1102" s="5" t="str">
        <f>IFNA(VLOOKUP(D1102,'Location Table'!A:C,2,false),"")</f>
        <v>c995bfaa-3d9b-11ed-9a28-506b8dbc8dfb</v>
      </c>
      <c r="B1102" s="5" t="str">
        <f>IFNA(VLOOKUP(F1102,Driver!A:C,2,false),"")</f>
        <v>8094d712-0f78-11f0-b96d-506b8d982279</v>
      </c>
      <c r="C1102" s="5" t="str">
        <f>IFNA(VLOOKUP(E1102,'Location Table'!A:C,2,false),"")</f>
        <v/>
      </c>
      <c r="D1102" s="6" t="s">
        <v>804</v>
      </c>
      <c r="E1102" s="6"/>
      <c r="F1102" s="6" t="s">
        <v>13</v>
      </c>
      <c r="G1102" s="7" t="s">
        <v>873</v>
      </c>
      <c r="H1102" s="8" t="str">
        <f>IFNA(VLOOKUP(F1102,Driver!A:C,3,false),"")</f>
        <v/>
      </c>
      <c r="I1102" s="9">
        <v>0.25</v>
      </c>
      <c r="J1102" s="9">
        <v>0.875</v>
      </c>
    </row>
    <row r="1103" hidden="1">
      <c r="A1103" s="5" t="str">
        <f>IFNA(VLOOKUP(D1103,'Location Table'!A:C,2,false),"")</f>
        <v>c0bd4c76-3d8d-11ed-892d-506b8dbc8dfb</v>
      </c>
      <c r="B1103" s="5" t="str">
        <f>IFNA(VLOOKUP(F1103,Driver!A:C,2,false),"")</f>
        <v>8094d712-0f78-11f0-b96d-506b8d982279</v>
      </c>
      <c r="C1103" s="5" t="str">
        <f>IFNA(VLOOKUP(E1103,'Location Table'!A:C,2,false),"")</f>
        <v/>
      </c>
      <c r="D1103" s="6" t="s">
        <v>863</v>
      </c>
      <c r="E1103" s="6"/>
      <c r="F1103" s="6" t="s">
        <v>13</v>
      </c>
      <c r="G1103" s="7" t="s">
        <v>873</v>
      </c>
      <c r="H1103" s="8" t="str">
        <f>IFNA(VLOOKUP(F1103,Driver!A:C,3,false),"")</f>
        <v/>
      </c>
      <c r="I1103" s="9">
        <v>0.25</v>
      </c>
      <c r="J1103" s="9">
        <v>0.875</v>
      </c>
    </row>
    <row r="1104" hidden="1">
      <c r="A1104" s="5" t="str">
        <f>IFNA(VLOOKUP(D1104,'Location Table'!A:C,2,false),"")</f>
        <v>47cc1bf4-3d8c-11ed-95fc-506b8dbc8dfb</v>
      </c>
      <c r="B1104" s="5" t="str">
        <f>IFNA(VLOOKUP(F1104,Driver!A:C,2,false),"")</f>
        <v>8094d712-0f78-11f0-b96d-506b8d982279</v>
      </c>
      <c r="C1104" s="5" t="str">
        <f>IFNA(VLOOKUP(E1104,'Location Table'!A:C,2,false),"")</f>
        <v/>
      </c>
      <c r="D1104" s="6" t="s">
        <v>868</v>
      </c>
      <c r="E1104" s="6"/>
      <c r="F1104" s="6" t="s">
        <v>13</v>
      </c>
      <c r="G1104" s="7" t="s">
        <v>873</v>
      </c>
      <c r="H1104" s="8" t="str">
        <f>IFNA(VLOOKUP(F1104,Driver!A:C,3,false),"")</f>
        <v/>
      </c>
      <c r="I1104" s="9">
        <v>0.25</v>
      </c>
      <c r="J1104" s="9">
        <v>0.875</v>
      </c>
    </row>
    <row r="1105" hidden="1">
      <c r="A1105" s="5" t="str">
        <f>IFNA(VLOOKUP(D1105,'Location Table'!A:C,2,false),"")</f>
        <v>27eaf120-3d8c-11ed-9f85-506b8dbc8dfb</v>
      </c>
      <c r="B1105" s="5" t="str">
        <f>IFNA(VLOOKUP(F1105,Driver!A:C,2,false),"")</f>
        <v>8094d712-0f78-11f0-b96d-506b8d982279</v>
      </c>
      <c r="C1105" s="5" t="str">
        <f>IFNA(VLOOKUP(E1105,'Location Table'!A:C,2,false),"")</f>
        <v/>
      </c>
      <c r="D1105" s="6" t="s">
        <v>886</v>
      </c>
      <c r="E1105" s="6"/>
      <c r="F1105" s="6" t="s">
        <v>13</v>
      </c>
      <c r="G1105" s="7" t="s">
        <v>873</v>
      </c>
      <c r="H1105" s="8" t="str">
        <f>IFNA(VLOOKUP(F1105,Driver!A:C,3,false),"")</f>
        <v/>
      </c>
      <c r="I1105" s="9">
        <v>0.25</v>
      </c>
      <c r="J1105" s="9">
        <v>0.875</v>
      </c>
    </row>
    <row r="1106" hidden="1">
      <c r="A1106" s="5" t="str">
        <f>IFNA(VLOOKUP(D1106,'Location Table'!A:C,2,false),"")</f>
        <v>a693faa0-3d8a-11ed-9fed-506b8dbc8dfb</v>
      </c>
      <c r="B1106" s="5" t="str">
        <f>IFNA(VLOOKUP(F1106,Driver!A:C,2,false),"")</f>
        <v>8094d712-0f78-11f0-b96d-506b8d982279</v>
      </c>
      <c r="C1106" s="5" t="str">
        <f>IFNA(VLOOKUP(E1106,'Location Table'!A:C,2,false),"")</f>
        <v/>
      </c>
      <c r="D1106" s="6" t="s">
        <v>887</v>
      </c>
      <c r="E1106" s="6"/>
      <c r="F1106" s="6" t="s">
        <v>13</v>
      </c>
      <c r="G1106" s="7" t="s">
        <v>873</v>
      </c>
      <c r="H1106" s="8" t="str">
        <f>IFNA(VLOOKUP(F1106,Driver!A:C,3,false),"")</f>
        <v/>
      </c>
      <c r="I1106" s="9">
        <v>0.25</v>
      </c>
      <c r="J1106" s="9">
        <v>0.875</v>
      </c>
    </row>
    <row r="1107" hidden="1">
      <c r="A1107" s="5" t="str">
        <f>IFNA(VLOOKUP(D1107,'Location Table'!A:C,2,false),"")</f>
        <v>8d623ace-3d8a-11ed-87cc-506b8dbc8dfb</v>
      </c>
      <c r="B1107" s="5" t="str">
        <f>IFNA(VLOOKUP(F1107,Driver!A:C,2,false),"")</f>
        <v>8094d712-0f78-11f0-b96d-506b8d982279</v>
      </c>
      <c r="C1107" s="5" t="str">
        <f>IFNA(VLOOKUP(E1107,'Location Table'!A:C,2,false),"")</f>
        <v/>
      </c>
      <c r="D1107" s="6" t="s">
        <v>888</v>
      </c>
      <c r="E1107" s="6"/>
      <c r="F1107" s="6" t="s">
        <v>13</v>
      </c>
      <c r="G1107" s="7" t="s">
        <v>873</v>
      </c>
      <c r="H1107" s="8" t="str">
        <f>IFNA(VLOOKUP(F1107,Driver!A:C,3,false),"")</f>
        <v/>
      </c>
      <c r="I1107" s="9">
        <v>0.25</v>
      </c>
      <c r="J1107" s="9">
        <v>0.875</v>
      </c>
    </row>
    <row r="1108" hidden="1">
      <c r="A1108" s="5" t="str">
        <f>IFNA(VLOOKUP(D1108,'Location Table'!A:C,2,false),"")</f>
        <v>6ec25112-3d8a-11ed-acb2-506b8dbc8dfb</v>
      </c>
      <c r="B1108" s="5" t="str">
        <f>IFNA(VLOOKUP(F1108,Driver!A:C,2,false),"")</f>
        <v>8094d712-0f78-11f0-b96d-506b8d982279</v>
      </c>
      <c r="C1108" s="5" t="str">
        <f>IFNA(VLOOKUP(E1108,'Location Table'!A:C,2,false),"")</f>
        <v/>
      </c>
      <c r="D1108" s="6" t="s">
        <v>889</v>
      </c>
      <c r="E1108" s="6"/>
      <c r="F1108" s="6" t="s">
        <v>13</v>
      </c>
      <c r="G1108" s="7" t="s">
        <v>873</v>
      </c>
      <c r="H1108" s="8" t="str">
        <f>IFNA(VLOOKUP(F1108,Driver!A:C,3,false),"")</f>
        <v/>
      </c>
      <c r="I1108" s="9">
        <v>0.25</v>
      </c>
      <c r="J1108" s="9">
        <v>0.875</v>
      </c>
    </row>
    <row r="1109" hidden="1">
      <c r="A1109" s="5" t="str">
        <f>IFNA(VLOOKUP(D1109,'Location Table'!A:C,2,false),"")</f>
        <v>f61cca44-3d89-11ed-b141-506b8dbc8dfb</v>
      </c>
      <c r="B1109" s="5" t="str">
        <f>IFNA(VLOOKUP(F1109,Driver!A:C,2,false),"")</f>
        <v>8094d712-0f78-11f0-b96d-506b8d982279</v>
      </c>
      <c r="C1109" s="5" t="str">
        <f>IFNA(VLOOKUP(E1109,'Location Table'!A:C,2,false),"")</f>
        <v/>
      </c>
      <c r="D1109" s="6" t="s">
        <v>890</v>
      </c>
      <c r="E1109" s="6"/>
      <c r="F1109" s="6" t="s">
        <v>13</v>
      </c>
      <c r="G1109" s="7" t="s">
        <v>873</v>
      </c>
      <c r="H1109" s="8" t="str">
        <f>IFNA(VLOOKUP(F1109,Driver!A:C,3,false),"")</f>
        <v/>
      </c>
      <c r="I1109" s="9">
        <v>0.25</v>
      </c>
      <c r="J1109" s="9">
        <v>0.875</v>
      </c>
    </row>
    <row r="1110" hidden="1">
      <c r="A1110" s="5" t="str">
        <f>IFNA(VLOOKUP(D1110,'Location Table'!A:C,2,false),"")</f>
        <v>0c0b1998-3d88-11ed-8d9a-506b8dbc8dfb</v>
      </c>
      <c r="B1110" s="5" t="str">
        <f>IFNA(VLOOKUP(F1110,Driver!A:C,2,false),"")</f>
        <v>8094d712-0f78-11f0-b96d-506b8d982279</v>
      </c>
      <c r="C1110" s="5" t="str">
        <f>IFNA(VLOOKUP(E1110,'Location Table'!A:C,2,false),"")</f>
        <v/>
      </c>
      <c r="D1110" s="6" t="s">
        <v>891</v>
      </c>
      <c r="E1110" s="6"/>
      <c r="F1110" s="6" t="s">
        <v>13</v>
      </c>
      <c r="G1110" s="7" t="s">
        <v>873</v>
      </c>
      <c r="H1110" s="8" t="str">
        <f>IFNA(VLOOKUP(F1110,Driver!A:C,3,false),"")</f>
        <v/>
      </c>
      <c r="I1110" s="9">
        <v>0.25</v>
      </c>
      <c r="J1110" s="9">
        <v>0.875</v>
      </c>
    </row>
    <row r="1111" hidden="1">
      <c r="A1111" s="5" t="str">
        <f>IFNA(VLOOKUP(D1111,'Location Table'!A:C,2,false),"")</f>
        <v>c79d5fa2-3d85-11ed-a6db-506b8dbc8dfb</v>
      </c>
      <c r="B1111" s="5" t="str">
        <f>IFNA(VLOOKUP(F1111,Driver!A:C,2,false),"")</f>
        <v>8094d712-0f78-11f0-b96d-506b8d982279</v>
      </c>
      <c r="C1111" s="5" t="str">
        <f>IFNA(VLOOKUP(E1111,'Location Table'!A:C,2,false),"")</f>
        <v/>
      </c>
      <c r="D1111" s="6" t="s">
        <v>892</v>
      </c>
      <c r="E1111" s="6"/>
      <c r="F1111" s="6" t="s">
        <v>13</v>
      </c>
      <c r="G1111" s="7" t="s">
        <v>873</v>
      </c>
      <c r="H1111" s="8" t="str">
        <f>IFNA(VLOOKUP(F1111,Driver!A:C,3,false),"")</f>
        <v/>
      </c>
      <c r="I1111" s="9">
        <v>0.25</v>
      </c>
      <c r="J1111" s="9">
        <v>0.875</v>
      </c>
    </row>
    <row r="1112" hidden="1">
      <c r="A1112" s="5" t="str">
        <f>IFNA(VLOOKUP(D1112,'Location Table'!A:C,2,false),"")</f>
        <v>bbdd2320-3d83-11ed-a15b-506b8dbc8dfb</v>
      </c>
      <c r="B1112" s="5" t="str">
        <f>IFNA(VLOOKUP(F1112,Driver!A:C,2,false),"")</f>
        <v>8094d712-0f78-11f0-b96d-506b8d982279</v>
      </c>
      <c r="C1112" s="5" t="str">
        <f>IFNA(VLOOKUP(E1112,'Location Table'!A:C,2,false),"")</f>
        <v/>
      </c>
      <c r="D1112" s="6" t="s">
        <v>893</v>
      </c>
      <c r="E1112" s="6"/>
      <c r="F1112" s="6" t="s">
        <v>13</v>
      </c>
      <c r="G1112" s="7" t="s">
        <v>873</v>
      </c>
      <c r="H1112" s="8" t="str">
        <f>IFNA(VLOOKUP(F1112,Driver!A:C,3,false),"")</f>
        <v/>
      </c>
      <c r="I1112" s="9">
        <v>0.25</v>
      </c>
      <c r="J1112" s="9">
        <v>0.875</v>
      </c>
    </row>
    <row r="1113" hidden="1">
      <c r="A1113" s="5" t="str">
        <f>IFNA(VLOOKUP(D1113,'Location Table'!A:C,2,false),"")</f>
        <v>9a15e7a4-3d83-11ed-be4e-506b8dbc8dfb</v>
      </c>
      <c r="B1113" s="5" t="str">
        <f>IFNA(VLOOKUP(F1113,Driver!A:C,2,false),"")</f>
        <v>8094d712-0f78-11f0-b96d-506b8d982279</v>
      </c>
      <c r="C1113" s="5" t="str">
        <f>IFNA(VLOOKUP(E1113,'Location Table'!A:C,2,false),"")</f>
        <v/>
      </c>
      <c r="D1113" s="6" t="s">
        <v>789</v>
      </c>
      <c r="E1113" s="6"/>
      <c r="F1113" s="6" t="s">
        <v>13</v>
      </c>
      <c r="G1113" s="7" t="s">
        <v>873</v>
      </c>
      <c r="H1113" s="8" t="str">
        <f>IFNA(VLOOKUP(F1113,Driver!A:C,3,false),"")</f>
        <v/>
      </c>
      <c r="I1113" s="9">
        <v>0.25</v>
      </c>
      <c r="J1113" s="9">
        <v>0.875</v>
      </c>
    </row>
    <row r="1114" hidden="1">
      <c r="A1114" s="5" t="str">
        <f>IFNA(VLOOKUP(D1114,'Location Table'!A:C,2,false),"")</f>
        <v>debfa9a0-3d81-11ed-9ba7-506b8dbc8dfb</v>
      </c>
      <c r="B1114" s="5" t="str">
        <f>IFNA(VLOOKUP(F1114,Driver!A:C,2,false),"")</f>
        <v>8094d712-0f78-11f0-b96d-506b8d982279</v>
      </c>
      <c r="C1114" s="5" t="str">
        <f>IFNA(VLOOKUP(E1114,'Location Table'!A:C,2,false),"")</f>
        <v/>
      </c>
      <c r="D1114" s="6" t="s">
        <v>510</v>
      </c>
      <c r="E1114" s="6"/>
      <c r="F1114" s="6" t="s">
        <v>13</v>
      </c>
      <c r="G1114" s="7" t="s">
        <v>873</v>
      </c>
      <c r="H1114" s="8" t="str">
        <f>IFNA(VLOOKUP(F1114,Driver!A:C,3,false),"")</f>
        <v/>
      </c>
      <c r="I1114" s="9">
        <v>0.25</v>
      </c>
      <c r="J1114" s="9">
        <v>0.875</v>
      </c>
    </row>
    <row r="1115" hidden="1">
      <c r="A1115" s="5" t="str">
        <f>IFNA(VLOOKUP(D1115,'Location Table'!A:C,2,false),"")</f>
        <v>c07bc96a-3d81-11ed-989f-506b8dbc8dfb</v>
      </c>
      <c r="B1115" s="5" t="str">
        <f>IFNA(VLOOKUP(F1115,Driver!A:C,2,false),"")</f>
        <v>8094d712-0f78-11f0-b96d-506b8d982279</v>
      </c>
      <c r="C1115" s="5" t="str">
        <f>IFNA(VLOOKUP(E1115,'Location Table'!A:C,2,false),"")</f>
        <v/>
      </c>
      <c r="D1115" s="6" t="s">
        <v>894</v>
      </c>
      <c r="E1115" s="6"/>
      <c r="F1115" s="6" t="s">
        <v>13</v>
      </c>
      <c r="G1115" s="7" t="s">
        <v>873</v>
      </c>
      <c r="H1115" s="8" t="str">
        <f>IFNA(VLOOKUP(F1115,Driver!A:C,3,false),"")</f>
        <v/>
      </c>
      <c r="I1115" s="9">
        <v>0.25</v>
      </c>
      <c r="J1115" s="9">
        <v>0.875</v>
      </c>
    </row>
    <row r="1116" hidden="1">
      <c r="A1116" s="5" t="str">
        <f>IFNA(VLOOKUP(D1116,'Location Table'!A:C,2,false),"")</f>
        <v>c4f51f56-1ba8-11f1-9378-fa163ee8d8ac</v>
      </c>
      <c r="B1116" s="5" t="str">
        <f>IFNA(VLOOKUP(F1116,Driver!A:C,2,false),"")</f>
        <v>8094d712-0f78-11f0-b96d-506b8d982279</v>
      </c>
      <c r="C1116" s="5" t="str">
        <f>IFNA(VLOOKUP(E1116,'Location Table'!A:C,2,false),"")</f>
        <v/>
      </c>
      <c r="D1116" s="6" t="s">
        <v>518</v>
      </c>
      <c r="E1116" s="6"/>
      <c r="F1116" s="6" t="s">
        <v>13</v>
      </c>
      <c r="G1116" s="7" t="s">
        <v>873</v>
      </c>
      <c r="H1116" s="8" t="str">
        <f>IFNA(VLOOKUP(F1116,Driver!A:C,3,false),"")</f>
        <v/>
      </c>
      <c r="I1116" s="9">
        <v>0.25</v>
      </c>
      <c r="J1116" s="9">
        <v>0.875</v>
      </c>
    </row>
    <row r="1117" hidden="1">
      <c r="A1117" s="5" t="str">
        <f>IFNA(VLOOKUP(D1117,'Location Table'!A:C,2,false),"")</f>
        <v>1c89cd22-3d6b-11ed-b2d6-506b8dbc8dfb</v>
      </c>
      <c r="B1117" s="5" t="str">
        <f>IFNA(VLOOKUP(F1117,Driver!A:C,2,false),"")</f>
        <v>8094d712-0f78-11f0-b96d-506b8d982279</v>
      </c>
      <c r="C1117" s="5" t="str">
        <f>IFNA(VLOOKUP(E1117,'Location Table'!A:C,2,false),"")</f>
        <v/>
      </c>
      <c r="D1117" s="6" t="s">
        <v>895</v>
      </c>
      <c r="E1117" s="6"/>
      <c r="F1117" s="6" t="s">
        <v>13</v>
      </c>
      <c r="G1117" s="7" t="s">
        <v>873</v>
      </c>
      <c r="H1117" s="8" t="str">
        <f>IFNA(VLOOKUP(F1117,Driver!A:C,3,false),"")</f>
        <v/>
      </c>
      <c r="I1117" s="9">
        <v>0.25</v>
      </c>
      <c r="J1117" s="9">
        <v>0.875</v>
      </c>
    </row>
    <row r="1118" hidden="1">
      <c r="A1118" s="5" t="str">
        <f>IFNA(VLOOKUP(D1118,'Location Table'!A:C,2,false),"")</f>
        <v>557ec732-3af9-11ed-b159-506b8dbc8dfb</v>
      </c>
      <c r="B1118" s="5" t="str">
        <f>IFNA(VLOOKUP(F1118,Driver!A:C,2,false),"")</f>
        <v>8094d712-0f78-11f0-b96d-506b8d982279</v>
      </c>
      <c r="C1118" s="5" t="str">
        <f>IFNA(VLOOKUP(E1118,'Location Table'!A:C,2,false),"")</f>
        <v/>
      </c>
      <c r="D1118" s="6" t="s">
        <v>814</v>
      </c>
      <c r="E1118" s="6"/>
      <c r="F1118" s="6" t="s">
        <v>13</v>
      </c>
      <c r="G1118" s="7" t="s">
        <v>873</v>
      </c>
      <c r="H1118" s="8" t="str">
        <f>IFNA(VLOOKUP(F1118,Driver!A:C,3,false),"")</f>
        <v/>
      </c>
      <c r="I1118" s="9">
        <v>0.25</v>
      </c>
      <c r="J1118" s="9">
        <v>0.875</v>
      </c>
    </row>
    <row r="1119" hidden="1">
      <c r="A1119" s="5" t="str">
        <f>IFNA(VLOOKUP(D1119,'Location Table'!A:C,2,false),"")</f>
        <v>7bc36d6c-3d6a-11ed-a1ac-506b8dbc8dfb</v>
      </c>
      <c r="B1119" s="5" t="str">
        <f>IFNA(VLOOKUP(F1119,Driver!A:C,2,false),"")</f>
        <v>8094d712-0f78-11f0-b96d-506b8d982279</v>
      </c>
      <c r="C1119" s="5" t="str">
        <f>IFNA(VLOOKUP(E1119,'Location Table'!A:C,2,false),"")</f>
        <v/>
      </c>
      <c r="D1119" s="6" t="s">
        <v>813</v>
      </c>
      <c r="E1119" s="6"/>
      <c r="F1119" s="6" t="s">
        <v>13</v>
      </c>
      <c r="G1119" s="7" t="s">
        <v>873</v>
      </c>
      <c r="H1119" s="8" t="str">
        <f>IFNA(VLOOKUP(F1119,Driver!A:C,3,false),"")</f>
        <v/>
      </c>
      <c r="I1119" s="9">
        <v>0.25</v>
      </c>
      <c r="J1119" s="9">
        <v>0.875</v>
      </c>
    </row>
    <row r="1120" hidden="1">
      <c r="A1120" s="5" t="str">
        <f>IFNA(VLOOKUP(D1120,'Location Table'!A:C,2,false),"")</f>
        <v>7e6eb83c-3d83-11ed-b414-506b8dbc8dfb</v>
      </c>
      <c r="B1120" s="5" t="str">
        <f>IFNA(VLOOKUP(F1120,Driver!A:C,2,false),"")</f>
        <v>8094d712-0f78-11f0-b96d-506b8d982279</v>
      </c>
      <c r="C1120" s="5" t="str">
        <f>IFNA(VLOOKUP(E1120,'Location Table'!A:C,2,false),"")</f>
        <v/>
      </c>
      <c r="D1120" s="6" t="s">
        <v>896</v>
      </c>
      <c r="E1120" s="6"/>
      <c r="F1120" s="6" t="s">
        <v>13</v>
      </c>
      <c r="G1120" s="7" t="s">
        <v>873</v>
      </c>
      <c r="H1120" s="8" t="str">
        <f>IFNA(VLOOKUP(F1120,Driver!A:C,3,false),"")</f>
        <v/>
      </c>
      <c r="I1120" s="9">
        <v>0.25</v>
      </c>
      <c r="J1120" s="9">
        <v>0.875</v>
      </c>
    </row>
    <row r="1121" hidden="1">
      <c r="A1121" s="5" t="str">
        <f>IFNA(VLOOKUP(D1121,'Location Table'!A:C,2,false),"")</f>
        <v>65d58b76-3d8c-11ed-b92b-506b8dbc8dfb</v>
      </c>
      <c r="B1121" s="5" t="str">
        <f>IFNA(VLOOKUP(F1121,Driver!A:C,2,false),"")</f>
        <v>8094d712-0f78-11f0-b96d-506b8d982279</v>
      </c>
      <c r="C1121" s="5" t="str">
        <f>IFNA(VLOOKUP(E1121,'Location Table'!A:C,2,false),"")</f>
        <v/>
      </c>
      <c r="D1121" s="6" t="s">
        <v>897</v>
      </c>
      <c r="E1121" s="6"/>
      <c r="F1121" s="6" t="s">
        <v>13</v>
      </c>
      <c r="G1121" s="7" t="s">
        <v>873</v>
      </c>
      <c r="H1121" s="8" t="str">
        <f>IFNA(VLOOKUP(F1121,Driver!A:C,3,false),"")</f>
        <v/>
      </c>
      <c r="I1121" s="9">
        <v>0.25</v>
      </c>
      <c r="J1121" s="9">
        <v>0.875</v>
      </c>
    </row>
    <row r="1122" hidden="1">
      <c r="A1122" s="5" t="str">
        <f>IFNA(VLOOKUP(D1122,'Location Table'!A:C,2,false),"")</f>
        <v>ec32d0d2-ceec-11ee-bad2-506b8d9879b5</v>
      </c>
      <c r="B1122" s="5" t="str">
        <f>IFNA(VLOOKUP(F1122,Driver!A:C,2,false),"")</f>
        <v>8094d712-0f78-11f0-b96d-506b8d982279</v>
      </c>
      <c r="C1122" s="5" t="str">
        <f>IFNA(VLOOKUP(E1122,'Location Table'!A:C,2,false),"")</f>
        <v/>
      </c>
      <c r="D1122" s="6" t="s">
        <v>898</v>
      </c>
      <c r="E1122" s="6"/>
      <c r="F1122" s="6" t="s">
        <v>13</v>
      </c>
      <c r="G1122" s="7" t="s">
        <v>873</v>
      </c>
      <c r="H1122" s="8" t="str">
        <f>IFNA(VLOOKUP(F1122,Driver!A:C,3,false),"")</f>
        <v/>
      </c>
      <c r="I1122" s="9">
        <v>0.25</v>
      </c>
      <c r="J1122" s="9">
        <v>0.875</v>
      </c>
    </row>
    <row r="1123" hidden="1">
      <c r="A1123" s="5" t="str">
        <f>IFNA(VLOOKUP(D1123,'Location Table'!A:C,2,false),"")</f>
        <v>cc143b9c-ceec-11ee-9518-506b8d9879b5</v>
      </c>
      <c r="B1123" s="5" t="str">
        <f>IFNA(VLOOKUP(F1123,Driver!A:C,2,false),"")</f>
        <v>8094d712-0f78-11f0-b96d-506b8d982279</v>
      </c>
      <c r="C1123" s="5" t="str">
        <f>IFNA(VLOOKUP(E1123,'Location Table'!A:C,2,false),"")</f>
        <v/>
      </c>
      <c r="D1123" s="6" t="s">
        <v>806</v>
      </c>
      <c r="E1123" s="6"/>
      <c r="F1123" s="6" t="s">
        <v>13</v>
      </c>
      <c r="G1123" s="7" t="s">
        <v>873</v>
      </c>
      <c r="H1123" s="8" t="str">
        <f>IFNA(VLOOKUP(F1123,Driver!A:C,3,false),"")</f>
        <v/>
      </c>
      <c r="I1123" s="9">
        <v>0.25</v>
      </c>
      <c r="J1123" s="9">
        <v>0.875</v>
      </c>
    </row>
    <row r="1124" hidden="1">
      <c r="A1124" s="5" t="str">
        <f>IFNA(VLOOKUP(D1124,'Location Table'!A:C,2,false),"")</f>
        <v>b188329c-ceec-11ee-bae4-506b8d9879b5</v>
      </c>
      <c r="B1124" s="5" t="str">
        <f>IFNA(VLOOKUP(F1124,Driver!A:C,2,false),"")</f>
        <v>8094d712-0f78-11f0-b96d-506b8d982279</v>
      </c>
      <c r="C1124" s="5" t="str">
        <f>IFNA(VLOOKUP(E1124,'Location Table'!A:C,2,false),"")</f>
        <v/>
      </c>
      <c r="D1124" s="6" t="s">
        <v>808</v>
      </c>
      <c r="E1124" s="6"/>
      <c r="F1124" s="6" t="s">
        <v>13</v>
      </c>
      <c r="G1124" s="7" t="s">
        <v>873</v>
      </c>
      <c r="H1124" s="8" t="str">
        <f>IFNA(VLOOKUP(F1124,Driver!A:C,3,false),"")</f>
        <v/>
      </c>
      <c r="I1124" s="9">
        <v>0.25</v>
      </c>
      <c r="J1124" s="9">
        <v>0.875</v>
      </c>
    </row>
    <row r="1125" hidden="1">
      <c r="A1125" s="5" t="str">
        <f>IFNA(VLOOKUP(D1125,'Location Table'!A:C,2,false),"")</f>
        <v>af190f62-0ce6-11ef-ba8a-506b8d9879b5</v>
      </c>
      <c r="B1125" s="5" t="str">
        <f>IFNA(VLOOKUP(F1125,Driver!A:C,2,false),"")</f>
        <v>8094d712-0f78-11f0-b96d-506b8d982279</v>
      </c>
      <c r="C1125" s="5" t="str">
        <f>IFNA(VLOOKUP(E1125,'Location Table'!A:C,2,false),"")</f>
        <v/>
      </c>
      <c r="D1125" s="6" t="s">
        <v>809</v>
      </c>
      <c r="E1125" s="6"/>
      <c r="F1125" s="6" t="s">
        <v>13</v>
      </c>
      <c r="G1125" s="7" t="s">
        <v>873</v>
      </c>
      <c r="H1125" s="8" t="str">
        <f>IFNA(VLOOKUP(F1125,Driver!A:C,3,false),"")</f>
        <v/>
      </c>
      <c r="I1125" s="9">
        <v>0.25</v>
      </c>
      <c r="J1125" s="9">
        <v>0.875</v>
      </c>
    </row>
    <row r="1126" hidden="1">
      <c r="A1126" s="5" t="str">
        <f>IFNA(VLOOKUP(D1126,'Location Table'!A:C,2,false),"")</f>
        <v>21dcad6a-0ce7-11ef-af2f-506b8d9879b5</v>
      </c>
      <c r="B1126" s="5" t="str">
        <f>IFNA(VLOOKUP(F1126,Driver!A:C,2,false),"")</f>
        <v>8094d712-0f78-11f0-b96d-506b8d982279</v>
      </c>
      <c r="C1126" s="5" t="str">
        <f>IFNA(VLOOKUP(E1126,'Location Table'!A:C,2,false),"")</f>
        <v/>
      </c>
      <c r="D1126" s="6" t="s">
        <v>819</v>
      </c>
      <c r="E1126" s="6"/>
      <c r="F1126" s="6" t="s">
        <v>13</v>
      </c>
      <c r="G1126" s="7" t="s">
        <v>873</v>
      </c>
      <c r="H1126" s="8" t="str">
        <f>IFNA(VLOOKUP(F1126,Driver!A:C,3,false),"")</f>
        <v/>
      </c>
      <c r="I1126" s="9">
        <v>0.25</v>
      </c>
      <c r="J1126" s="9">
        <v>0.875</v>
      </c>
    </row>
    <row r="1127" hidden="1">
      <c r="A1127" s="5" t="str">
        <f>IFNA(VLOOKUP(D1127,'Location Table'!A:C,2,false),"")</f>
        <v>37c8f934-0ce8-11ef-900c-506b8d9879b5</v>
      </c>
      <c r="B1127" s="5" t="str">
        <f>IFNA(VLOOKUP(F1127,Driver!A:C,2,false),"")</f>
        <v>8094d712-0f78-11f0-b96d-506b8d982279</v>
      </c>
      <c r="C1127" s="5" t="str">
        <f>IFNA(VLOOKUP(E1127,'Location Table'!A:C,2,false),"")</f>
        <v/>
      </c>
      <c r="D1127" s="6" t="s">
        <v>899</v>
      </c>
      <c r="E1127" s="6"/>
      <c r="F1127" s="6" t="s">
        <v>13</v>
      </c>
      <c r="G1127" s="7" t="s">
        <v>873</v>
      </c>
      <c r="H1127" s="8" t="str">
        <f>IFNA(VLOOKUP(F1127,Driver!A:C,3,false),"")</f>
        <v/>
      </c>
      <c r="I1127" s="9">
        <v>0.25</v>
      </c>
      <c r="J1127" s="9">
        <v>0.875</v>
      </c>
    </row>
    <row r="1128" hidden="1">
      <c r="A1128" s="5" t="str">
        <f>IFNA(VLOOKUP(D1128,'Location Table'!A:C,2,false),"")</f>
        <v>e5c037c2-0ce9-11ef-a2d8-506b8d9879b5</v>
      </c>
      <c r="B1128" s="5" t="str">
        <f>IFNA(VLOOKUP(F1128,Driver!A:C,2,false),"")</f>
        <v>8094d712-0f78-11f0-b96d-506b8d982279</v>
      </c>
      <c r="C1128" s="5" t="str">
        <f>IFNA(VLOOKUP(E1128,'Location Table'!A:C,2,false),"")</f>
        <v/>
      </c>
      <c r="D1128" s="6" t="s">
        <v>820</v>
      </c>
      <c r="E1128" s="6"/>
      <c r="F1128" s="6" t="s">
        <v>13</v>
      </c>
      <c r="G1128" s="7" t="s">
        <v>873</v>
      </c>
      <c r="H1128" s="8" t="str">
        <f>IFNA(VLOOKUP(F1128,Driver!A:C,3,false),"")</f>
        <v/>
      </c>
      <c r="I1128" s="9">
        <v>0.25</v>
      </c>
      <c r="J1128" s="9">
        <v>0.875</v>
      </c>
    </row>
    <row r="1129" hidden="1">
      <c r="A1129" s="5" t="str">
        <f>IFNA(VLOOKUP(D1129,'Location Table'!A:C,2,false),"")</f>
        <v>ea93538a-5dd7-11ef-b329-506b8d9879b5</v>
      </c>
      <c r="B1129" s="5" t="str">
        <f>IFNA(VLOOKUP(F1129,Driver!A:C,2,false),"")</f>
        <v>8094d712-0f78-11f0-b96d-506b8d982279</v>
      </c>
      <c r="C1129" s="5" t="str">
        <f>IFNA(VLOOKUP(E1129,'Location Table'!A:C,2,false),"")</f>
        <v/>
      </c>
      <c r="D1129" s="6" t="s">
        <v>811</v>
      </c>
      <c r="E1129" s="6"/>
      <c r="F1129" s="6" t="s">
        <v>13</v>
      </c>
      <c r="G1129" s="7" t="s">
        <v>873</v>
      </c>
      <c r="H1129" s="8" t="str">
        <f>IFNA(VLOOKUP(F1129,Driver!A:C,3,false),"")</f>
        <v/>
      </c>
      <c r="I1129" s="9">
        <v>0.25</v>
      </c>
      <c r="J1129" s="9">
        <v>0.875</v>
      </c>
    </row>
    <row r="1130" hidden="1">
      <c r="A1130" s="5" t="str">
        <f>IFNA(VLOOKUP(D1130,'Location Table'!A:C,2,false),"")</f>
        <v>088b3eac-73db-11ef-a38c-506b8d9879b5</v>
      </c>
      <c r="B1130" s="5" t="str">
        <f>IFNA(VLOOKUP(F1130,Driver!A:C,2,false),"")</f>
        <v>8094d712-0f78-11f0-b96d-506b8d982279</v>
      </c>
      <c r="C1130" s="5" t="str">
        <f>IFNA(VLOOKUP(E1130,'Location Table'!A:C,2,false),"")</f>
        <v/>
      </c>
      <c r="D1130" s="6" t="s">
        <v>900</v>
      </c>
      <c r="E1130" s="6"/>
      <c r="F1130" s="6" t="s">
        <v>13</v>
      </c>
      <c r="G1130" s="7" t="s">
        <v>873</v>
      </c>
      <c r="H1130" s="8" t="str">
        <f>IFNA(VLOOKUP(F1130,Driver!A:C,3,false),"")</f>
        <v/>
      </c>
      <c r="I1130" s="9">
        <v>0.25</v>
      </c>
      <c r="J1130" s="9">
        <v>0.875</v>
      </c>
    </row>
    <row r="1131" hidden="1">
      <c r="A1131" s="5" t="str">
        <f>IFNA(VLOOKUP(D1131,'Location Table'!A:C,2,false),"")</f>
        <v>16db29e0-73db-11ef-baa3-506b8d9879b5</v>
      </c>
      <c r="B1131" s="5" t="str">
        <f>IFNA(VLOOKUP(F1131,Driver!A:C,2,false),"")</f>
        <v>8094d712-0f78-11f0-b96d-506b8d982279</v>
      </c>
      <c r="C1131" s="5" t="str">
        <f>IFNA(VLOOKUP(E1131,'Location Table'!A:C,2,false),"")</f>
        <v/>
      </c>
      <c r="D1131" s="6" t="s">
        <v>901</v>
      </c>
      <c r="E1131" s="6"/>
      <c r="F1131" s="6" t="s">
        <v>13</v>
      </c>
      <c r="G1131" s="7" t="s">
        <v>873</v>
      </c>
      <c r="H1131" s="8" t="str">
        <f>IFNA(VLOOKUP(F1131,Driver!A:C,3,false),"")</f>
        <v/>
      </c>
      <c r="I1131" s="9">
        <v>0.25</v>
      </c>
      <c r="J1131" s="9">
        <v>0.875</v>
      </c>
    </row>
    <row r="1132" hidden="1">
      <c r="A1132" s="5" t="str">
        <f>IFNA(VLOOKUP(D1132,'Location Table'!A:C,2,false),"")</f>
        <v>21415bde-73db-11ef-8478-506b8d9879b5</v>
      </c>
      <c r="B1132" s="5" t="str">
        <f>IFNA(VLOOKUP(F1132,Driver!A:C,2,false),"")</f>
        <v>8094d712-0f78-11f0-b96d-506b8d982279</v>
      </c>
      <c r="C1132" s="5" t="str">
        <f>IFNA(VLOOKUP(E1132,'Location Table'!A:C,2,false),"")</f>
        <v/>
      </c>
      <c r="D1132" s="6" t="s">
        <v>822</v>
      </c>
      <c r="E1132" s="6"/>
      <c r="F1132" s="6" t="s">
        <v>13</v>
      </c>
      <c r="G1132" s="7" t="s">
        <v>873</v>
      </c>
      <c r="H1132" s="8" t="str">
        <f>IFNA(VLOOKUP(F1132,Driver!A:C,3,false),"")</f>
        <v/>
      </c>
      <c r="I1132" s="9">
        <v>0.25</v>
      </c>
      <c r="J1132" s="9">
        <v>0.875</v>
      </c>
    </row>
    <row r="1133" hidden="1">
      <c r="A1133" s="5" t="str">
        <f>IFNA(VLOOKUP(D1133,'Location Table'!A:C,2,false),"")</f>
        <v>2d13fd86-73db-11ef-a0d1-506b8d9879b5</v>
      </c>
      <c r="B1133" s="5" t="str">
        <f>IFNA(VLOOKUP(F1133,Driver!A:C,2,false),"")</f>
        <v>8094d712-0f78-11f0-b96d-506b8d982279</v>
      </c>
      <c r="C1133" s="5" t="str">
        <f>IFNA(VLOOKUP(E1133,'Location Table'!A:C,2,false),"")</f>
        <v/>
      </c>
      <c r="D1133" s="6" t="s">
        <v>824</v>
      </c>
      <c r="E1133" s="6"/>
      <c r="F1133" s="6" t="s">
        <v>13</v>
      </c>
      <c r="G1133" s="7" t="s">
        <v>873</v>
      </c>
      <c r="H1133" s="8" t="str">
        <f>IFNA(VLOOKUP(F1133,Driver!A:C,3,false),"")</f>
        <v/>
      </c>
      <c r="I1133" s="9">
        <v>0.25</v>
      </c>
      <c r="J1133" s="9">
        <v>0.875</v>
      </c>
    </row>
    <row r="1134" hidden="1">
      <c r="A1134" s="5" t="str">
        <f>IFNA(VLOOKUP(D1134,'Location Table'!A:C,2,false),"")</f>
        <v>0df4f904-0f8b-11f0-b683-506b8d982279</v>
      </c>
      <c r="B1134" s="5" t="str">
        <f>IFNA(VLOOKUP(F1134,Driver!A:C,2,false),"")</f>
        <v>8094d712-0f78-11f0-b96d-506b8d982279</v>
      </c>
      <c r="C1134" s="5" t="str">
        <f>IFNA(VLOOKUP(E1134,'Location Table'!A:C,2,false),"")</f>
        <v/>
      </c>
      <c r="D1134" s="6" t="s">
        <v>825</v>
      </c>
      <c r="E1134" s="6"/>
      <c r="F1134" s="6" t="s">
        <v>13</v>
      </c>
      <c r="G1134" s="7" t="s">
        <v>873</v>
      </c>
      <c r="H1134" s="8" t="str">
        <f>IFNA(VLOOKUP(F1134,Driver!A:C,3,false),"")</f>
        <v/>
      </c>
      <c r="I1134" s="9">
        <v>0.25</v>
      </c>
      <c r="J1134" s="9">
        <v>0.875</v>
      </c>
    </row>
    <row r="1135" hidden="1">
      <c r="A1135" s="5" t="str">
        <f>IFNA(VLOOKUP(D1135,'Location Table'!A:C,2,false),"")</f>
        <v>3d68332c-6698-11f0-a623-506b8d982279</v>
      </c>
      <c r="B1135" s="5" t="str">
        <f>IFNA(VLOOKUP(F1135,Driver!A:C,2,false),"")</f>
        <v>8094d712-0f78-11f0-b96d-506b8d982279</v>
      </c>
      <c r="C1135" s="5" t="str">
        <f>IFNA(VLOOKUP(E1135,'Location Table'!A:C,2,false),"")</f>
        <v/>
      </c>
      <c r="D1135" s="6" t="s">
        <v>902</v>
      </c>
      <c r="E1135" s="6"/>
      <c r="F1135" s="6" t="s">
        <v>13</v>
      </c>
      <c r="G1135" s="7" t="s">
        <v>873</v>
      </c>
      <c r="H1135" s="8" t="str">
        <f>IFNA(VLOOKUP(F1135,Driver!A:C,3,false),"")</f>
        <v/>
      </c>
      <c r="I1135" s="9">
        <v>0.25</v>
      </c>
      <c r="J1135" s="9">
        <v>0.875</v>
      </c>
    </row>
    <row r="1136" hidden="1">
      <c r="A1136" s="5" t="str">
        <f>IFNA(VLOOKUP(D1136,'Location Table'!A:C,2,false),"")</f>
        <v>47731210-5a0a-11ef-81fc-506b8d9879b5</v>
      </c>
      <c r="B1136" s="5" t="str">
        <f>IFNA(VLOOKUP(F1136,Driver!A:C,2,false),"")</f>
        <v>353f3686-dcc8-11f0-82b8-506b8d982279</v>
      </c>
      <c r="C1136" s="5" t="str">
        <f>IFNA(VLOOKUP(E1136,'Location Table'!A:C,2,false),"")</f>
        <v/>
      </c>
      <c r="D1136" s="6" t="s">
        <v>827</v>
      </c>
      <c r="E1136" s="6"/>
      <c r="F1136" s="6" t="s">
        <v>96</v>
      </c>
      <c r="G1136" s="7" t="s">
        <v>873</v>
      </c>
      <c r="H1136" s="8" t="str">
        <f>IFNA(VLOOKUP(F1136,Driver!A:C,3,false),"")</f>
        <v>e7ce6d37cc7f25217c6e</v>
      </c>
      <c r="I1136" s="9">
        <v>0.25</v>
      </c>
      <c r="J1136" s="9">
        <v>0.75</v>
      </c>
    </row>
    <row r="1137">
      <c r="A1137" s="5" t="str">
        <f>IFNA(VLOOKUP(D1137,'Location Table'!A:C,2,false),"")</f>
        <v/>
      </c>
      <c r="B1137" s="5" t="str">
        <f>IFNA(VLOOKUP(F1137,Driver!A:C,2,false),"")</f>
        <v/>
      </c>
      <c r="C1137" s="5" t="str">
        <f>IFNA(VLOOKUP(E1137,'Location Table'!A:C,2,false),"")</f>
        <v/>
      </c>
      <c r="D1137" s="6"/>
      <c r="E1137" s="6"/>
      <c r="F1137" s="38"/>
      <c r="G1137" s="7"/>
      <c r="H1137" s="8" t="str">
        <f>IFNA(VLOOKUP(F1137,Driver!A:C,3,false),"")</f>
        <v/>
      </c>
      <c r="I1137" s="9"/>
      <c r="J1137" s="9"/>
    </row>
    <row r="1138">
      <c r="A1138" s="5" t="str">
        <f>IFNA(VLOOKUP(D1138,'Location Table'!A:C,2,false),"")</f>
        <v/>
      </c>
      <c r="B1138" s="5" t="str">
        <f>IFNA(VLOOKUP(F1138,Driver!A:C,2,false),"")</f>
        <v/>
      </c>
      <c r="C1138" s="5" t="str">
        <f>IFNA(VLOOKUP(E1138,'Location Table'!A:C,2,false),"")</f>
        <v/>
      </c>
      <c r="D1138" s="6"/>
      <c r="E1138" s="6"/>
      <c r="F1138" s="38"/>
      <c r="G1138" s="7"/>
      <c r="H1138" s="8" t="str">
        <f>IFNA(VLOOKUP(F1138,Driver!A:C,3,false),"")</f>
        <v/>
      </c>
      <c r="I1138" s="9"/>
      <c r="J1138" s="9"/>
    </row>
    <row r="1139">
      <c r="A1139" s="5" t="str">
        <f>IFNA(VLOOKUP(D1139,'Location Table'!A:C,2,false),"")</f>
        <v/>
      </c>
      <c r="B1139" s="5" t="str">
        <f>IFNA(VLOOKUP(F1139,Driver!A:C,2,false),"")</f>
        <v/>
      </c>
      <c r="C1139" s="5" t="str">
        <f>IFNA(VLOOKUP(E1139,'Location Table'!A:C,2,false),"")</f>
        <v/>
      </c>
      <c r="D1139" s="6"/>
      <c r="E1139" s="6"/>
      <c r="F1139" s="38"/>
      <c r="G1139" s="7"/>
      <c r="H1139" s="8" t="str">
        <f>IFNA(VLOOKUP(F1139,Driver!A:C,3,false),"")</f>
        <v/>
      </c>
      <c r="I1139" s="9"/>
      <c r="J1139" s="9"/>
    </row>
    <row r="1140">
      <c r="A1140" s="5" t="str">
        <f>IFNA(VLOOKUP(D1140,'Location Table'!A:C,2,false),"")</f>
        <v/>
      </c>
      <c r="B1140" s="5" t="str">
        <f>IFNA(VLOOKUP(F1140,Driver!A:C,2,false),"")</f>
        <v/>
      </c>
      <c r="C1140" s="5" t="str">
        <f>IFNA(VLOOKUP(E1140,'Location Table'!A:C,2,false),"")</f>
        <v/>
      </c>
      <c r="D1140" s="6"/>
      <c r="E1140" s="6"/>
      <c r="F1140" s="38"/>
      <c r="G1140" s="7"/>
      <c r="H1140" s="8" t="str">
        <f>IFNA(VLOOKUP(F1140,Driver!A:C,3,false),"")</f>
        <v/>
      </c>
      <c r="I1140" s="9"/>
      <c r="J1140" s="9"/>
    </row>
    <row r="1141">
      <c r="A1141" s="5" t="str">
        <f>IFNA(VLOOKUP(D1141,'Location Table'!A:C,2,false),"")</f>
        <v/>
      </c>
      <c r="B1141" s="5" t="str">
        <f>IFNA(VLOOKUP(F1141,Driver!A:C,2,false),"")</f>
        <v/>
      </c>
      <c r="C1141" s="5" t="str">
        <f>IFNA(VLOOKUP(E1141,'Location Table'!A:C,2,false),"")</f>
        <v/>
      </c>
      <c r="D1141" s="6"/>
      <c r="E1141" s="6"/>
      <c r="F1141" s="38"/>
      <c r="G1141" s="7"/>
      <c r="H1141" s="8" t="str">
        <f>IFNA(VLOOKUP(F1141,Driver!A:C,3,false),"")</f>
        <v/>
      </c>
      <c r="I1141" s="9"/>
      <c r="J1141" s="9"/>
    </row>
    <row r="1142">
      <c r="A1142" s="5" t="str">
        <f>IFNA(VLOOKUP(D1142,'Location Table'!A:C,2,false),"")</f>
        <v/>
      </c>
      <c r="B1142" s="5" t="str">
        <f>IFNA(VLOOKUP(F1142,Driver!A:C,2,false),"")</f>
        <v/>
      </c>
      <c r="C1142" s="5" t="str">
        <f>IFNA(VLOOKUP(E1142,'Location Table'!A:C,2,false),"")</f>
        <v/>
      </c>
      <c r="D1142" s="6"/>
      <c r="E1142" s="6"/>
      <c r="F1142" s="38"/>
      <c r="G1142" s="7"/>
      <c r="H1142" s="8" t="str">
        <f>IFNA(VLOOKUP(F1142,Driver!A:C,3,false),"")</f>
        <v/>
      </c>
      <c r="I1142" s="9"/>
      <c r="J1142" s="9"/>
    </row>
    <row r="1143">
      <c r="A1143" s="5" t="str">
        <f>IFNA(VLOOKUP(D1143,'Location Table'!A:C,2,false),"")</f>
        <v/>
      </c>
      <c r="B1143" s="5" t="str">
        <f>IFNA(VLOOKUP(F1143,Driver!A:C,2,false),"")</f>
        <v/>
      </c>
      <c r="C1143" s="5" t="str">
        <f>IFNA(VLOOKUP(E1143,'Location Table'!A:C,2,false),"")</f>
        <v/>
      </c>
      <c r="D1143" s="6"/>
      <c r="E1143" s="6"/>
      <c r="F1143" s="38"/>
      <c r="G1143" s="7"/>
      <c r="H1143" s="8" t="str">
        <f>IFNA(VLOOKUP(F1143,Driver!A:C,3,false),"")</f>
        <v/>
      </c>
      <c r="I1143" s="9"/>
      <c r="J1143" s="9"/>
    </row>
    <row r="1144">
      <c r="A1144" s="5" t="str">
        <f>IFNA(VLOOKUP(D1144,'Location Table'!A:C,2,false),"")</f>
        <v/>
      </c>
      <c r="B1144" s="5" t="str">
        <f>IFNA(VLOOKUP(F1144,Driver!A:C,2,false),"")</f>
        <v/>
      </c>
      <c r="C1144" s="5" t="str">
        <f>IFNA(VLOOKUP(E1144,'Location Table'!A:C,2,false),"")</f>
        <v/>
      </c>
      <c r="D1144" s="6"/>
      <c r="E1144" s="6"/>
      <c r="F1144" s="38"/>
      <c r="G1144" s="7"/>
      <c r="H1144" s="8" t="str">
        <f>IFNA(VLOOKUP(F1144,Driver!A:C,3,false),"")</f>
        <v/>
      </c>
      <c r="I1144" s="9"/>
      <c r="J1144" s="9"/>
    </row>
    <row r="1145">
      <c r="A1145" s="5" t="str">
        <f>IFNA(VLOOKUP(D1145,'Location Table'!A:C,2,false),"")</f>
        <v/>
      </c>
      <c r="B1145" s="5" t="str">
        <f>IFNA(VLOOKUP(F1145,Driver!A:C,2,false),"")</f>
        <v/>
      </c>
      <c r="C1145" s="5" t="str">
        <f>IFNA(VLOOKUP(E1145,'Location Table'!A:C,2,false),"")</f>
        <v/>
      </c>
      <c r="D1145" s="6"/>
      <c r="E1145" s="6"/>
      <c r="F1145" s="38"/>
      <c r="G1145" s="7"/>
      <c r="H1145" s="8" t="str">
        <f>IFNA(VLOOKUP(F1145,Driver!A:C,3,false),"")</f>
        <v/>
      </c>
      <c r="I1145" s="9"/>
      <c r="J1145" s="9"/>
    </row>
    <row r="1146">
      <c r="A1146" s="5" t="str">
        <f>IFNA(VLOOKUP(D1146,'Location Table'!A:C,2,false),"")</f>
        <v/>
      </c>
      <c r="B1146" s="5" t="str">
        <f>IFNA(VLOOKUP(F1146,Driver!A:C,2,false),"")</f>
        <v/>
      </c>
      <c r="C1146" s="5" t="str">
        <f>IFNA(VLOOKUP(E1146,'Location Table'!A:C,2,false),"")</f>
        <v/>
      </c>
      <c r="D1146" s="6"/>
      <c r="E1146" s="6"/>
      <c r="F1146" s="38"/>
      <c r="G1146" s="7"/>
      <c r="H1146" s="8" t="str">
        <f>IFNA(VLOOKUP(F1146,Driver!A:C,3,false),"")</f>
        <v/>
      </c>
      <c r="I1146" s="9"/>
      <c r="J1146" s="9"/>
    </row>
    <row r="1147">
      <c r="A1147" s="5" t="str">
        <f>IFNA(VLOOKUP(D1147,'Location Table'!A:C,2,false),"")</f>
        <v/>
      </c>
      <c r="B1147" s="5" t="str">
        <f>IFNA(VLOOKUP(F1147,Driver!A:C,2,false),"")</f>
        <v/>
      </c>
      <c r="C1147" s="5" t="str">
        <f>IFNA(VLOOKUP(E1147,'Location Table'!A:C,2,false),"")</f>
        <v/>
      </c>
      <c r="D1147" s="6"/>
      <c r="E1147" s="6"/>
      <c r="F1147" s="38"/>
      <c r="G1147" s="7"/>
      <c r="H1147" s="8" t="str">
        <f>IFNA(VLOOKUP(F1147,Driver!A:C,3,false),"")</f>
        <v/>
      </c>
      <c r="I1147" s="9"/>
      <c r="J1147" s="9"/>
    </row>
    <row r="1148">
      <c r="A1148" s="5" t="str">
        <f>IFNA(VLOOKUP(D1148,'Location Table'!A:C,2,false),"")</f>
        <v/>
      </c>
      <c r="B1148" s="5" t="str">
        <f>IFNA(VLOOKUP(F1148,Driver!A:C,2,false),"")</f>
        <v/>
      </c>
      <c r="C1148" s="5" t="str">
        <f>IFNA(VLOOKUP(E1148,'Location Table'!A:C,2,false),"")</f>
        <v/>
      </c>
      <c r="D1148" s="6"/>
      <c r="E1148" s="6"/>
      <c r="F1148" s="38"/>
      <c r="G1148" s="7"/>
      <c r="H1148" s="8" t="str">
        <f>IFNA(VLOOKUP(F1148,Driver!A:C,3,false),"")</f>
        <v/>
      </c>
      <c r="I1148" s="9"/>
      <c r="J1148" s="9"/>
    </row>
    <row r="1149">
      <c r="A1149" s="5" t="str">
        <f>IFNA(VLOOKUP(D1149,'Location Table'!A:C,2,false),"")</f>
        <v/>
      </c>
      <c r="B1149" s="5" t="str">
        <f>IFNA(VLOOKUP(F1149,Driver!A:C,2,false),"")</f>
        <v/>
      </c>
      <c r="C1149" s="5" t="str">
        <f>IFNA(VLOOKUP(E1149,'Location Table'!A:C,2,false),"")</f>
        <v/>
      </c>
      <c r="D1149" s="6"/>
      <c r="E1149" s="6"/>
      <c r="F1149" s="38"/>
      <c r="G1149" s="7"/>
      <c r="H1149" s="8" t="str">
        <f>IFNA(VLOOKUP(F1149,Driver!A:C,3,false),"")</f>
        <v/>
      </c>
      <c r="I1149" s="9"/>
      <c r="J1149" s="9"/>
    </row>
    <row r="1150">
      <c r="A1150" s="5" t="str">
        <f>IFNA(VLOOKUP(D1150,'Location Table'!A:C,2,false),"")</f>
        <v/>
      </c>
      <c r="B1150" s="5" t="str">
        <f>IFNA(VLOOKUP(F1150,Driver!A:C,2,false),"")</f>
        <v/>
      </c>
      <c r="C1150" s="5" t="str">
        <f>IFNA(VLOOKUP(E1150,'Location Table'!A:C,2,false),"")</f>
        <v/>
      </c>
      <c r="D1150" s="6"/>
      <c r="E1150" s="6"/>
      <c r="F1150" s="38"/>
      <c r="G1150" s="7"/>
      <c r="H1150" s="8" t="str">
        <f>IFNA(VLOOKUP(F1150,Driver!A:C,3,false),"")</f>
        <v/>
      </c>
      <c r="I1150" s="9"/>
      <c r="J1150" s="9"/>
    </row>
    <row r="1151">
      <c r="A1151" s="5" t="str">
        <f>IFNA(VLOOKUP(D1151,'Location Table'!A:C,2,false),"")</f>
        <v/>
      </c>
      <c r="B1151" s="5" t="str">
        <f>IFNA(VLOOKUP(F1151,Driver!A:C,2,false),"")</f>
        <v/>
      </c>
      <c r="C1151" s="5" t="str">
        <f>IFNA(VLOOKUP(E1151,'Location Table'!A:C,2,false),"")</f>
        <v/>
      </c>
      <c r="D1151" s="6"/>
      <c r="E1151" s="6"/>
      <c r="F1151" s="38"/>
      <c r="G1151" s="7"/>
      <c r="H1151" s="8" t="str">
        <f>IFNA(VLOOKUP(F1151,Driver!A:C,3,false),"")</f>
        <v/>
      </c>
      <c r="I1151" s="9"/>
      <c r="J1151" s="9"/>
    </row>
    <row r="1152">
      <c r="A1152" s="5" t="str">
        <f>IFNA(VLOOKUP(D1152,'Location Table'!A:C,2,false),"")</f>
        <v/>
      </c>
      <c r="B1152" s="5" t="str">
        <f>IFNA(VLOOKUP(F1152,Driver!A:C,2,false),"")</f>
        <v/>
      </c>
      <c r="C1152" s="5" t="str">
        <f>IFNA(VLOOKUP(E1152,'Location Table'!A:C,2,false),"")</f>
        <v/>
      </c>
      <c r="D1152" s="6"/>
      <c r="E1152" s="6"/>
      <c r="F1152" s="38"/>
      <c r="G1152" s="7"/>
      <c r="H1152" s="8" t="str">
        <f>IFNA(VLOOKUP(F1152,Driver!A:C,3,false),"")</f>
        <v/>
      </c>
      <c r="I1152" s="9"/>
      <c r="J1152" s="9"/>
    </row>
    <row r="1153">
      <c r="A1153" s="5" t="str">
        <f>IFNA(VLOOKUP(D1153,'Location Table'!A:C,2,false),"")</f>
        <v/>
      </c>
      <c r="B1153" s="5" t="str">
        <f>IFNA(VLOOKUP(F1153,Driver!A:C,2,false),"")</f>
        <v/>
      </c>
      <c r="C1153" s="5" t="str">
        <f>IFNA(VLOOKUP(E1153,'Location Table'!A:C,2,false),"")</f>
        <v/>
      </c>
      <c r="D1153" s="6"/>
      <c r="E1153" s="6"/>
      <c r="F1153" s="38"/>
      <c r="G1153" s="7"/>
      <c r="H1153" s="8" t="str">
        <f>IFNA(VLOOKUP(F1153,Driver!A:C,3,false),"")</f>
        <v/>
      </c>
      <c r="I1153" s="9"/>
      <c r="J1153" s="9"/>
    </row>
    <row r="1154">
      <c r="A1154" s="5" t="str">
        <f>IFNA(VLOOKUP(D1154,'Location Table'!A:C,2,false),"")</f>
        <v/>
      </c>
      <c r="B1154" s="5" t="str">
        <f>IFNA(VLOOKUP(F1154,Driver!A:C,2,false),"")</f>
        <v/>
      </c>
      <c r="C1154" s="5" t="str">
        <f>IFNA(VLOOKUP(E1154,'Location Table'!A:C,2,false),"")</f>
        <v/>
      </c>
      <c r="D1154" s="6"/>
      <c r="E1154" s="6"/>
      <c r="F1154" s="38"/>
      <c r="G1154" s="7"/>
      <c r="H1154" s="8" t="str">
        <f>IFNA(VLOOKUP(F1154,Driver!A:C,3,false),"")</f>
        <v/>
      </c>
      <c r="I1154" s="9"/>
      <c r="J1154" s="9"/>
    </row>
    <row r="1155">
      <c r="A1155" s="5" t="str">
        <f>IFNA(VLOOKUP(D1155,'Location Table'!A:C,2,false),"")</f>
        <v/>
      </c>
      <c r="B1155" s="5" t="str">
        <f>IFNA(VLOOKUP(F1155,Driver!A:C,2,false),"")</f>
        <v/>
      </c>
      <c r="C1155" s="5" t="str">
        <f>IFNA(VLOOKUP(E1155,'Location Table'!A:C,2,false),"")</f>
        <v/>
      </c>
      <c r="D1155" s="6"/>
      <c r="E1155" s="6"/>
      <c r="F1155" s="38"/>
      <c r="G1155" s="7"/>
      <c r="H1155" s="8" t="str">
        <f>IFNA(VLOOKUP(F1155,Driver!A:C,3,false),"")</f>
        <v/>
      </c>
      <c r="I1155" s="9"/>
      <c r="J1155" s="9"/>
    </row>
    <row r="1156">
      <c r="A1156" s="5" t="str">
        <f>IFNA(VLOOKUP(D1156,'Location Table'!A:C,2,false),"")</f>
        <v/>
      </c>
      <c r="B1156" s="5" t="str">
        <f>IFNA(VLOOKUP(F1156,Driver!A:C,2,false),"")</f>
        <v/>
      </c>
      <c r="C1156" s="5" t="str">
        <f>IFNA(VLOOKUP(E1156,'Location Table'!A:C,2,false),"")</f>
        <v/>
      </c>
      <c r="D1156" s="6"/>
      <c r="E1156" s="6"/>
      <c r="F1156" s="38"/>
      <c r="G1156" s="7"/>
      <c r="H1156" s="8" t="str">
        <f>IFNA(VLOOKUP(F1156,Driver!A:C,3,false),"")</f>
        <v/>
      </c>
      <c r="I1156" s="9"/>
      <c r="J1156" s="9"/>
    </row>
    <row r="1157">
      <c r="A1157" s="5" t="str">
        <f>IFNA(VLOOKUP(D1157,'Location Table'!A:C,2,false),"")</f>
        <v/>
      </c>
      <c r="B1157" s="5" t="str">
        <f>IFNA(VLOOKUP(F1157,Driver!A:C,2,false),"")</f>
        <v/>
      </c>
      <c r="C1157" s="5" t="str">
        <f>IFNA(VLOOKUP(E1157,'Location Table'!A:C,2,false),"")</f>
        <v/>
      </c>
      <c r="D1157" s="6"/>
      <c r="E1157" s="6"/>
      <c r="F1157" s="38"/>
      <c r="G1157" s="7"/>
      <c r="H1157" s="8" t="str">
        <f>IFNA(VLOOKUP(F1157,Driver!A:C,3,false),"")</f>
        <v/>
      </c>
      <c r="I1157" s="9"/>
      <c r="J1157" s="9"/>
    </row>
    <row r="1158">
      <c r="A1158" s="5" t="str">
        <f>IFNA(VLOOKUP(D1158,'Location Table'!A:C,2,false),"")</f>
        <v/>
      </c>
      <c r="B1158" s="5" t="str">
        <f>IFNA(VLOOKUP(F1158,Driver!A:C,2,false),"")</f>
        <v/>
      </c>
      <c r="C1158" s="5" t="str">
        <f>IFNA(VLOOKUP(E1158,'Location Table'!A:C,2,false),"")</f>
        <v/>
      </c>
      <c r="D1158" s="6"/>
      <c r="E1158" s="6"/>
      <c r="F1158" s="38"/>
      <c r="G1158" s="7"/>
      <c r="H1158" s="8" t="str">
        <f>IFNA(VLOOKUP(F1158,Driver!A:C,3,false),"")</f>
        <v/>
      </c>
      <c r="I1158" s="9"/>
      <c r="J1158" s="9"/>
    </row>
    <row r="1159">
      <c r="A1159" s="5" t="str">
        <f>IFNA(VLOOKUP(D1159,'Location Table'!A:C,2,false),"")</f>
        <v/>
      </c>
      <c r="B1159" s="5" t="str">
        <f>IFNA(VLOOKUP(F1159,Driver!A:C,2,false),"")</f>
        <v/>
      </c>
      <c r="C1159" s="5" t="str">
        <f>IFNA(VLOOKUP(E1159,'Location Table'!A:C,2,false),"")</f>
        <v/>
      </c>
      <c r="D1159" s="6"/>
      <c r="E1159" s="6"/>
      <c r="F1159" s="38"/>
      <c r="G1159" s="7"/>
      <c r="H1159" s="8" t="str">
        <f>IFNA(VLOOKUP(F1159,Driver!A:C,3,false),"")</f>
        <v/>
      </c>
      <c r="I1159" s="9"/>
      <c r="J1159" s="9"/>
    </row>
    <row r="1160">
      <c r="A1160" s="5" t="str">
        <f>IFNA(VLOOKUP(D1160,'Location Table'!A:C,2,false),"")</f>
        <v/>
      </c>
      <c r="B1160" s="5" t="str">
        <f>IFNA(VLOOKUP(F1160,Driver!A:C,2,false),"")</f>
        <v/>
      </c>
      <c r="C1160" s="5" t="str">
        <f>IFNA(VLOOKUP(E1160,'Location Table'!A:C,2,false),"")</f>
        <v/>
      </c>
      <c r="D1160" s="6"/>
      <c r="E1160" s="6"/>
      <c r="F1160" s="38"/>
      <c r="G1160" s="7"/>
      <c r="H1160" s="8" t="str">
        <f>IFNA(VLOOKUP(F1160,Driver!A:C,3,false),"")</f>
        <v/>
      </c>
      <c r="I1160" s="9"/>
      <c r="J1160" s="9"/>
    </row>
    <row r="1161">
      <c r="A1161" s="5" t="str">
        <f>IFNA(VLOOKUP(D1161,'Location Table'!A:C,2,false),"")</f>
        <v/>
      </c>
      <c r="B1161" s="5" t="str">
        <f>IFNA(VLOOKUP(F1161,Driver!A:C,2,false),"")</f>
        <v/>
      </c>
      <c r="C1161" s="5" t="str">
        <f>IFNA(VLOOKUP(E1161,'Location Table'!A:C,2,false),"")</f>
        <v/>
      </c>
      <c r="D1161" s="6"/>
      <c r="E1161" s="6"/>
      <c r="F1161" s="38"/>
      <c r="G1161" s="7"/>
      <c r="H1161" s="8" t="str">
        <f>IFNA(VLOOKUP(F1161,Driver!A:C,3,false),"")</f>
        <v/>
      </c>
      <c r="I1161" s="9"/>
      <c r="J1161" s="9"/>
    </row>
    <row r="1162">
      <c r="A1162" s="5" t="str">
        <f>IFNA(VLOOKUP(D1162,'Location Table'!A:C,2,false),"")</f>
        <v/>
      </c>
      <c r="B1162" s="5" t="str">
        <f>IFNA(VLOOKUP(F1162,Driver!A:C,2,false),"")</f>
        <v/>
      </c>
      <c r="C1162" s="5" t="str">
        <f>IFNA(VLOOKUP(E1162,'Location Table'!A:C,2,false),"")</f>
        <v/>
      </c>
      <c r="D1162" s="6"/>
      <c r="E1162" s="6"/>
      <c r="F1162" s="38"/>
      <c r="G1162" s="7"/>
      <c r="H1162" s="8" t="str">
        <f>IFNA(VLOOKUP(F1162,Driver!A:C,3,false),"")</f>
        <v/>
      </c>
      <c r="I1162" s="9"/>
      <c r="J1162" s="9"/>
    </row>
    <row r="1163">
      <c r="A1163" s="5" t="str">
        <f>IFNA(VLOOKUP(D1163,'Location Table'!A:C,2,false),"")</f>
        <v/>
      </c>
      <c r="B1163" s="5" t="str">
        <f>IFNA(VLOOKUP(F1163,Driver!A:C,2,false),"")</f>
        <v/>
      </c>
      <c r="C1163" s="5" t="str">
        <f>IFNA(VLOOKUP(E1163,'Location Table'!A:C,2,false),"")</f>
        <v/>
      </c>
      <c r="D1163" s="6"/>
      <c r="E1163" s="6"/>
      <c r="F1163" s="38"/>
      <c r="G1163" s="7"/>
      <c r="H1163" s="8" t="str">
        <f>IFNA(VLOOKUP(F1163,Driver!A:C,3,false),"")</f>
        <v/>
      </c>
      <c r="I1163" s="9"/>
      <c r="J1163" s="9"/>
    </row>
    <row r="1164">
      <c r="A1164" s="5" t="str">
        <f>IFNA(VLOOKUP(D1164,'Location Table'!A:C,2,false),"")</f>
        <v/>
      </c>
      <c r="B1164" s="5" t="str">
        <f>IFNA(VLOOKUP(F1164,Driver!A:C,2,false),"")</f>
        <v/>
      </c>
      <c r="C1164" s="5" t="str">
        <f>IFNA(VLOOKUP(E1164,'Location Table'!A:C,2,false),"")</f>
        <v/>
      </c>
      <c r="D1164" s="6"/>
      <c r="E1164" s="6"/>
      <c r="F1164" s="38"/>
      <c r="G1164" s="7"/>
      <c r="H1164" s="8" t="str">
        <f>IFNA(VLOOKUP(F1164,Driver!A:C,3,false),"")</f>
        <v/>
      </c>
      <c r="I1164" s="9"/>
      <c r="J1164" s="9"/>
    </row>
    <row r="1165">
      <c r="A1165" s="5" t="str">
        <f>IFNA(VLOOKUP(D1165,'Location Table'!A:C,2,false),"")</f>
        <v/>
      </c>
      <c r="B1165" s="5" t="str">
        <f>IFNA(VLOOKUP(F1165,Driver!A:C,2,false),"")</f>
        <v/>
      </c>
      <c r="C1165" s="5" t="str">
        <f>IFNA(VLOOKUP(E1165,'Location Table'!A:C,2,false),"")</f>
        <v/>
      </c>
      <c r="D1165" s="6"/>
      <c r="E1165" s="6"/>
      <c r="F1165" s="38"/>
      <c r="G1165" s="7"/>
      <c r="H1165" s="8" t="str">
        <f>IFNA(VLOOKUP(F1165,Driver!A:C,3,false),"")</f>
        <v/>
      </c>
      <c r="I1165" s="9"/>
      <c r="J1165" s="9"/>
    </row>
    <row r="1166">
      <c r="A1166" s="5" t="str">
        <f>IFNA(VLOOKUP(D1166,'Location Table'!A:C,2,false),"")</f>
        <v/>
      </c>
      <c r="B1166" s="5" t="str">
        <f>IFNA(VLOOKUP(F1166,Driver!A:C,2,false),"")</f>
        <v/>
      </c>
      <c r="C1166" s="5" t="str">
        <f>IFNA(VLOOKUP(E1166,'Location Table'!A:C,2,false),"")</f>
        <v/>
      </c>
      <c r="D1166" s="6"/>
      <c r="E1166" s="6"/>
      <c r="F1166" s="38"/>
      <c r="G1166" s="7"/>
      <c r="H1166" s="8" t="str">
        <f>IFNA(VLOOKUP(F1166,Driver!A:C,3,false),"")</f>
        <v/>
      </c>
      <c r="I1166" s="9"/>
      <c r="J1166" s="9"/>
    </row>
    <row r="1167">
      <c r="A1167" s="5" t="str">
        <f>IFNA(VLOOKUP(D1167,'Location Table'!A:C,2,false),"")</f>
        <v/>
      </c>
      <c r="B1167" s="5" t="str">
        <f>IFNA(VLOOKUP(F1167,Driver!A:C,2,false),"")</f>
        <v/>
      </c>
      <c r="C1167" s="5" t="str">
        <f>IFNA(VLOOKUP(E1167,'Location Table'!A:C,2,false),"")</f>
        <v/>
      </c>
      <c r="D1167" s="6"/>
      <c r="E1167" s="6"/>
      <c r="F1167" s="38"/>
      <c r="G1167" s="7"/>
      <c r="H1167" s="8" t="str">
        <f>IFNA(VLOOKUP(F1167,Driver!A:C,3,false),"")</f>
        <v/>
      </c>
      <c r="I1167" s="9"/>
      <c r="J1167" s="9"/>
    </row>
    <row r="1168">
      <c r="A1168" s="5" t="str">
        <f>IFNA(VLOOKUP(D1168,'Location Table'!A:C,2,false),"")</f>
        <v/>
      </c>
      <c r="B1168" s="5" t="str">
        <f>IFNA(VLOOKUP(F1168,Driver!A:C,2,false),"")</f>
        <v/>
      </c>
      <c r="C1168" s="5" t="str">
        <f>IFNA(VLOOKUP(E1168,'Location Table'!A:C,2,false),"")</f>
        <v/>
      </c>
      <c r="D1168" s="6"/>
      <c r="E1168" s="6"/>
      <c r="F1168" s="38"/>
      <c r="G1168" s="7"/>
      <c r="H1168" s="8" t="str">
        <f>IFNA(VLOOKUP(F1168,Driver!A:C,3,false),"")</f>
        <v/>
      </c>
      <c r="I1168" s="9"/>
      <c r="J1168" s="9"/>
    </row>
    <row r="1169">
      <c r="A1169" s="5" t="str">
        <f>IFNA(VLOOKUP(D1169,'Location Table'!A:C,2,false),"")</f>
        <v/>
      </c>
      <c r="B1169" s="5" t="str">
        <f>IFNA(VLOOKUP(F1169,Driver!A:C,2,false),"")</f>
        <v/>
      </c>
      <c r="C1169" s="5" t="str">
        <f>IFNA(VLOOKUP(E1169,'Location Table'!A:C,2,false),"")</f>
        <v/>
      </c>
      <c r="D1169" s="6"/>
      <c r="E1169" s="6"/>
      <c r="F1169" s="38"/>
      <c r="G1169" s="7"/>
      <c r="H1169" s="8" t="str">
        <f>IFNA(VLOOKUP(F1169,Driver!A:C,3,false),"")</f>
        <v/>
      </c>
      <c r="I1169" s="9"/>
      <c r="J1169" s="9"/>
    </row>
    <row r="1170">
      <c r="A1170" s="5" t="str">
        <f>IFNA(VLOOKUP(D1170,'Location Table'!A:C,2,false),"")</f>
        <v/>
      </c>
      <c r="B1170" s="5" t="str">
        <f>IFNA(VLOOKUP(F1170,Driver!A:C,2,false),"")</f>
        <v/>
      </c>
      <c r="C1170" s="5" t="str">
        <f>IFNA(VLOOKUP(E1170,'Location Table'!A:C,2,false),"")</f>
        <v/>
      </c>
      <c r="D1170" s="6"/>
      <c r="E1170" s="6"/>
      <c r="F1170" s="38"/>
      <c r="G1170" s="7"/>
      <c r="H1170" s="8" t="str">
        <f>IFNA(VLOOKUP(F1170,Driver!A:C,3,false),"")</f>
        <v/>
      </c>
      <c r="I1170" s="9"/>
      <c r="J1170" s="9"/>
    </row>
    <row r="1171">
      <c r="A1171" s="5" t="str">
        <f>IFNA(VLOOKUP(D1171,'Location Table'!A:C,2,false),"")</f>
        <v/>
      </c>
      <c r="B1171" s="5" t="str">
        <f>IFNA(VLOOKUP(F1171,Driver!A:C,2,false),"")</f>
        <v/>
      </c>
      <c r="C1171" s="5" t="str">
        <f>IFNA(VLOOKUP(E1171,'Location Table'!A:C,2,false),"")</f>
        <v/>
      </c>
      <c r="D1171" s="6"/>
      <c r="E1171" s="6"/>
      <c r="F1171" s="38"/>
      <c r="G1171" s="7"/>
      <c r="H1171" s="8" t="str">
        <f>IFNA(VLOOKUP(F1171,Driver!A:C,3,false),"")</f>
        <v/>
      </c>
      <c r="I1171" s="9"/>
      <c r="J1171" s="9"/>
    </row>
    <row r="1172">
      <c r="A1172" s="5" t="str">
        <f>IFNA(VLOOKUP(D1172,'Location Table'!A:C,2,false),"")</f>
        <v/>
      </c>
      <c r="B1172" s="5" t="str">
        <f>IFNA(VLOOKUP(F1172,Driver!A:C,2,false),"")</f>
        <v/>
      </c>
      <c r="C1172" s="5" t="str">
        <f>IFNA(VLOOKUP(E1172,'Location Table'!A:C,2,false),"")</f>
        <v/>
      </c>
      <c r="D1172" s="6"/>
      <c r="E1172" s="6"/>
      <c r="F1172" s="38"/>
      <c r="G1172" s="7"/>
      <c r="H1172" s="8" t="str">
        <f>IFNA(VLOOKUP(F1172,Driver!A:C,3,false),"")</f>
        <v/>
      </c>
      <c r="I1172" s="9"/>
      <c r="J1172" s="9"/>
    </row>
    <row r="1173">
      <c r="A1173" s="5" t="str">
        <f>IFNA(VLOOKUP(D1173,'Location Table'!A:C,2,false),"")</f>
        <v/>
      </c>
      <c r="B1173" s="5" t="str">
        <f>IFNA(VLOOKUP(F1173,Driver!A:C,2,false),"")</f>
        <v/>
      </c>
      <c r="C1173" s="5" t="str">
        <f>IFNA(VLOOKUP(E1173,'Location Table'!A:C,2,false),"")</f>
        <v/>
      </c>
      <c r="D1173" s="6"/>
      <c r="E1173" s="6"/>
      <c r="F1173" s="38"/>
      <c r="G1173" s="7"/>
      <c r="H1173" s="8" t="str">
        <f>IFNA(VLOOKUP(F1173,Driver!A:C,3,false),"")</f>
        <v/>
      </c>
      <c r="I1173" s="9"/>
      <c r="J1173" s="9"/>
    </row>
    <row r="1174">
      <c r="A1174" s="5" t="str">
        <f>IFNA(VLOOKUP(D1174,'Location Table'!A:C,2,false),"")</f>
        <v/>
      </c>
      <c r="B1174" s="5" t="str">
        <f>IFNA(VLOOKUP(F1174,Driver!A:C,2,false),"")</f>
        <v/>
      </c>
      <c r="C1174" s="5" t="str">
        <f>IFNA(VLOOKUP(E1174,'Location Table'!A:C,2,false),"")</f>
        <v/>
      </c>
      <c r="D1174" s="6"/>
      <c r="E1174" s="6"/>
      <c r="F1174" s="38"/>
      <c r="G1174" s="7"/>
      <c r="H1174" s="8" t="str">
        <f>IFNA(VLOOKUP(F1174,Driver!A:C,3,false),"")</f>
        <v/>
      </c>
      <c r="I1174" s="9"/>
      <c r="J1174" s="9"/>
    </row>
    <row r="1175">
      <c r="A1175" s="5" t="str">
        <f>IFNA(VLOOKUP(D1175,'Location Table'!A:C,2,false),"")</f>
        <v/>
      </c>
      <c r="B1175" s="5" t="str">
        <f>IFNA(VLOOKUP(F1175,Driver!A:C,2,false),"")</f>
        <v/>
      </c>
      <c r="C1175" s="5" t="str">
        <f>IFNA(VLOOKUP(E1175,'Location Table'!A:C,2,false),"")</f>
        <v/>
      </c>
      <c r="D1175" s="6"/>
      <c r="E1175" s="6"/>
      <c r="F1175" s="38"/>
      <c r="G1175" s="7"/>
      <c r="H1175" s="8" t="str">
        <f>IFNA(VLOOKUP(F1175,Driver!A:C,3,false),"")</f>
        <v/>
      </c>
      <c r="I1175" s="9"/>
      <c r="J1175" s="9"/>
    </row>
    <row r="1176">
      <c r="A1176" s="5" t="str">
        <f>IFNA(VLOOKUP(D1176,'Location Table'!A:C,2,false),"")</f>
        <v/>
      </c>
      <c r="B1176" s="5" t="str">
        <f>IFNA(VLOOKUP(F1176,Driver!A:C,2,false),"")</f>
        <v/>
      </c>
      <c r="C1176" s="5" t="str">
        <f>IFNA(VLOOKUP(E1176,'Location Table'!A:C,2,false),"")</f>
        <v/>
      </c>
      <c r="D1176" s="6"/>
      <c r="E1176" s="6"/>
      <c r="F1176" s="38"/>
      <c r="G1176" s="7"/>
      <c r="H1176" s="8" t="str">
        <f>IFNA(VLOOKUP(F1176,Driver!A:C,3,false),"")</f>
        <v/>
      </c>
      <c r="I1176" s="9"/>
      <c r="J1176" s="9"/>
    </row>
    <row r="1177">
      <c r="A1177" s="5" t="str">
        <f>IFNA(VLOOKUP(D1177,'Location Table'!A:C,2,false),"")</f>
        <v/>
      </c>
      <c r="B1177" s="5" t="str">
        <f>IFNA(VLOOKUP(F1177,Driver!A:C,2,false),"")</f>
        <v/>
      </c>
      <c r="C1177" s="5" t="str">
        <f>IFNA(VLOOKUP(E1177,'Location Table'!A:C,2,false),"")</f>
        <v/>
      </c>
      <c r="D1177" s="6"/>
      <c r="E1177" s="6"/>
      <c r="F1177" s="38"/>
      <c r="G1177" s="7"/>
      <c r="H1177" s="8" t="str">
        <f>IFNA(VLOOKUP(F1177,Driver!A:C,3,false),"")</f>
        <v/>
      </c>
      <c r="I1177" s="9"/>
      <c r="J1177" s="9"/>
    </row>
    <row r="1178">
      <c r="A1178" s="5" t="str">
        <f>IFNA(VLOOKUP(D1178,'Location Table'!A:C,2,false),"")</f>
        <v/>
      </c>
      <c r="B1178" s="5" t="str">
        <f>IFNA(VLOOKUP(F1178,Driver!A:C,2,false),"")</f>
        <v/>
      </c>
      <c r="C1178" s="5" t="str">
        <f>IFNA(VLOOKUP(E1178,'Location Table'!A:C,2,false),"")</f>
        <v/>
      </c>
      <c r="D1178" s="6"/>
      <c r="E1178" s="6"/>
      <c r="F1178" s="38"/>
      <c r="G1178" s="7"/>
      <c r="H1178" s="8" t="str">
        <f>IFNA(VLOOKUP(F1178,Driver!A:C,3,false),"")</f>
        <v/>
      </c>
      <c r="I1178" s="9"/>
      <c r="J1178" s="9"/>
    </row>
    <row r="1179">
      <c r="A1179" s="5" t="str">
        <f>IFNA(VLOOKUP(D1179,'Location Table'!A:C,2,false),"")</f>
        <v/>
      </c>
      <c r="B1179" s="5" t="str">
        <f>IFNA(VLOOKUP(F1179,Driver!A:C,2,false),"")</f>
        <v/>
      </c>
      <c r="C1179" s="5" t="str">
        <f>IFNA(VLOOKUP(E1179,'Location Table'!A:C,2,false),"")</f>
        <v/>
      </c>
      <c r="D1179" s="6"/>
      <c r="E1179" s="6"/>
      <c r="F1179" s="38"/>
      <c r="G1179" s="7"/>
      <c r="H1179" s="8" t="str">
        <f>IFNA(VLOOKUP(F1179,Driver!A:C,3,false),"")</f>
        <v/>
      </c>
      <c r="I1179" s="9"/>
      <c r="J1179" s="9"/>
    </row>
    <row r="1180">
      <c r="A1180" s="5" t="str">
        <f>IFNA(VLOOKUP(D1180,'Location Table'!A:C,2,false),"")</f>
        <v/>
      </c>
      <c r="B1180" s="5" t="str">
        <f>IFNA(VLOOKUP(F1180,Driver!A:C,2,false),"")</f>
        <v/>
      </c>
      <c r="C1180" s="5" t="str">
        <f>IFNA(VLOOKUP(E1180,'Location Table'!A:C,2,false),"")</f>
        <v/>
      </c>
      <c r="D1180" s="6"/>
      <c r="E1180" s="6"/>
      <c r="F1180" s="38"/>
      <c r="G1180" s="7"/>
      <c r="H1180" s="8" t="str">
        <f>IFNA(VLOOKUP(F1180,Driver!A:C,3,false),"")</f>
        <v/>
      </c>
      <c r="I1180" s="9"/>
      <c r="J1180" s="9"/>
    </row>
    <row r="1181">
      <c r="A1181" s="5" t="str">
        <f>IFNA(VLOOKUP(D1181,'Location Table'!A:C,2,false),"")</f>
        <v/>
      </c>
      <c r="B1181" s="5" t="str">
        <f>IFNA(VLOOKUP(F1181,Driver!A:C,2,false),"")</f>
        <v/>
      </c>
      <c r="C1181" s="5" t="str">
        <f>IFNA(VLOOKUP(E1181,'Location Table'!A:C,2,false),"")</f>
        <v/>
      </c>
      <c r="D1181" s="6"/>
      <c r="E1181" s="6"/>
      <c r="F1181" s="38"/>
      <c r="G1181" s="7"/>
      <c r="H1181" s="8" t="str">
        <f>IFNA(VLOOKUP(F1181,Driver!A:C,3,false),"")</f>
        <v/>
      </c>
      <c r="I1181" s="9"/>
      <c r="J1181" s="9"/>
    </row>
    <row r="1182">
      <c r="A1182" s="5" t="str">
        <f>IFNA(VLOOKUP(D1182,'Location Table'!A:C,2,false),"")</f>
        <v/>
      </c>
      <c r="B1182" s="5" t="str">
        <f>IFNA(VLOOKUP(F1182,Driver!A:C,2,false),"")</f>
        <v/>
      </c>
      <c r="C1182" s="5" t="str">
        <f>IFNA(VLOOKUP(E1182,'Location Table'!A:C,2,false),"")</f>
        <v/>
      </c>
      <c r="D1182" s="6"/>
      <c r="E1182" s="6"/>
      <c r="F1182" s="38"/>
      <c r="G1182" s="7"/>
      <c r="H1182" s="8" t="str">
        <f>IFNA(VLOOKUP(F1182,Driver!A:C,3,false),"")</f>
        <v/>
      </c>
      <c r="I1182" s="9"/>
      <c r="J1182" s="9"/>
    </row>
    <row r="1183">
      <c r="A1183" s="5" t="str">
        <f>IFNA(VLOOKUP(D1183,'Location Table'!A:C,2,false),"")</f>
        <v/>
      </c>
      <c r="B1183" s="5" t="str">
        <f>IFNA(VLOOKUP(F1183,Driver!A:C,2,false),"")</f>
        <v/>
      </c>
      <c r="C1183" s="5" t="str">
        <f>IFNA(VLOOKUP(E1183,'Location Table'!A:C,2,false),"")</f>
        <v/>
      </c>
      <c r="D1183" s="6"/>
      <c r="E1183" s="6"/>
      <c r="F1183" s="38"/>
      <c r="G1183" s="7"/>
      <c r="H1183" s="8" t="str">
        <f>IFNA(VLOOKUP(F1183,Driver!A:C,3,false),"")</f>
        <v/>
      </c>
      <c r="I1183" s="9"/>
      <c r="J1183" s="9"/>
    </row>
    <row r="1184">
      <c r="A1184" s="5" t="str">
        <f>IFNA(VLOOKUP(D1184,'Location Table'!A:C,2,false),"")</f>
        <v/>
      </c>
      <c r="B1184" s="5" t="str">
        <f>IFNA(VLOOKUP(F1184,Driver!A:C,2,false),"")</f>
        <v/>
      </c>
      <c r="C1184" s="5" t="str">
        <f>IFNA(VLOOKUP(E1184,'Location Table'!A:C,2,false),"")</f>
        <v/>
      </c>
      <c r="D1184" s="6"/>
      <c r="E1184" s="6"/>
      <c r="F1184" s="38"/>
      <c r="G1184" s="7"/>
      <c r="H1184" s="8" t="str">
        <f>IFNA(VLOOKUP(F1184,Driver!A:C,3,false),"")</f>
        <v/>
      </c>
      <c r="I1184" s="9"/>
      <c r="J1184" s="9"/>
    </row>
    <row r="1185">
      <c r="A1185" s="5" t="str">
        <f>IFNA(VLOOKUP(D1185,'Location Table'!A:C,2,false),"")</f>
        <v/>
      </c>
      <c r="B1185" s="5" t="str">
        <f>IFNA(VLOOKUP(F1185,Driver!A:C,2,false),"")</f>
        <v/>
      </c>
      <c r="C1185" s="5" t="str">
        <f>IFNA(VLOOKUP(E1185,'Location Table'!A:C,2,false),"")</f>
        <v/>
      </c>
      <c r="D1185" s="6"/>
      <c r="E1185" s="6"/>
      <c r="F1185" s="38"/>
      <c r="G1185" s="7"/>
      <c r="H1185" s="8" t="str">
        <f>IFNA(VLOOKUP(F1185,Driver!A:C,3,false),"")</f>
        <v/>
      </c>
      <c r="I1185" s="9"/>
      <c r="J1185" s="9"/>
    </row>
    <row r="1186">
      <c r="A1186" s="5" t="str">
        <f>IFNA(VLOOKUP(D1186,'Location Table'!A:C,2,false),"")</f>
        <v/>
      </c>
      <c r="B1186" s="5" t="str">
        <f>IFNA(VLOOKUP(F1186,Driver!A:C,2,false),"")</f>
        <v/>
      </c>
      <c r="C1186" s="5" t="str">
        <f>IFNA(VLOOKUP(E1186,'Location Table'!A:C,2,false),"")</f>
        <v/>
      </c>
      <c r="D1186" s="6"/>
      <c r="E1186" s="6"/>
      <c r="F1186" s="38"/>
      <c r="G1186" s="7"/>
      <c r="H1186" s="8" t="str">
        <f>IFNA(VLOOKUP(F1186,Driver!A:C,3,false),"")</f>
        <v/>
      </c>
      <c r="I1186" s="9"/>
      <c r="J1186" s="9"/>
    </row>
    <row r="1187">
      <c r="A1187" s="5" t="str">
        <f>IFNA(VLOOKUP(D1187,'Location Table'!A:C,2,false),"")</f>
        <v/>
      </c>
      <c r="B1187" s="5" t="str">
        <f>IFNA(VLOOKUP(F1187,Driver!A:C,2,false),"")</f>
        <v/>
      </c>
      <c r="C1187" s="5" t="str">
        <f>IFNA(VLOOKUP(E1187,'Location Table'!A:C,2,false),"")</f>
        <v/>
      </c>
      <c r="D1187" s="6"/>
      <c r="E1187" s="6"/>
      <c r="F1187" s="38"/>
      <c r="G1187" s="7"/>
      <c r="H1187" s="8" t="str">
        <f>IFNA(VLOOKUP(F1187,Driver!A:C,3,false),"")</f>
        <v/>
      </c>
      <c r="I1187" s="9"/>
      <c r="J1187" s="9"/>
    </row>
    <row r="1188">
      <c r="A1188" s="5" t="str">
        <f>IFNA(VLOOKUP(D1188,'Location Table'!A:C,2,false),"")</f>
        <v/>
      </c>
      <c r="B1188" s="5" t="str">
        <f>IFNA(VLOOKUP(F1188,Driver!A:C,2,false),"")</f>
        <v/>
      </c>
      <c r="C1188" s="5" t="str">
        <f>IFNA(VLOOKUP(E1188,'Location Table'!A:C,2,false),"")</f>
        <v/>
      </c>
      <c r="D1188" s="6"/>
      <c r="E1188" s="6"/>
      <c r="F1188" s="38"/>
      <c r="G1188" s="7"/>
      <c r="H1188" s="8" t="str">
        <f>IFNA(VLOOKUP(F1188,Driver!A:C,3,false),"")</f>
        <v/>
      </c>
      <c r="I1188" s="9"/>
      <c r="J1188" s="9"/>
    </row>
    <row r="1189">
      <c r="A1189" s="5" t="str">
        <f>IFNA(VLOOKUP(D1189,'Location Table'!A:C,2,false),"")</f>
        <v/>
      </c>
      <c r="B1189" s="5" t="str">
        <f>IFNA(VLOOKUP(F1189,Driver!A:C,2,false),"")</f>
        <v/>
      </c>
      <c r="C1189" s="5" t="str">
        <f>IFNA(VLOOKUP(E1189,'Location Table'!A:C,2,false),"")</f>
        <v/>
      </c>
      <c r="D1189" s="6"/>
      <c r="E1189" s="6"/>
      <c r="F1189" s="38"/>
      <c r="G1189" s="7"/>
      <c r="H1189" s="8" t="str">
        <f>IFNA(VLOOKUP(F1189,Driver!A:C,3,false),"")</f>
        <v/>
      </c>
      <c r="I1189" s="9"/>
      <c r="J1189" s="9"/>
    </row>
    <row r="1190">
      <c r="A1190" s="5" t="str">
        <f>IFNA(VLOOKUP(D1190,'Location Table'!A:C,2,false),"")</f>
        <v/>
      </c>
      <c r="B1190" s="5" t="str">
        <f>IFNA(VLOOKUP(F1190,Driver!A:C,2,false),"")</f>
        <v/>
      </c>
      <c r="C1190" s="5" t="str">
        <f>IFNA(VLOOKUP(E1190,'Location Table'!A:C,2,false),"")</f>
        <v/>
      </c>
      <c r="D1190" s="6"/>
      <c r="E1190" s="6"/>
      <c r="F1190" s="38"/>
      <c r="G1190" s="7"/>
      <c r="H1190" s="8" t="str">
        <f>IFNA(VLOOKUP(F1190,Driver!A:C,3,false),"")</f>
        <v/>
      </c>
      <c r="I1190" s="9"/>
      <c r="J1190" s="9"/>
    </row>
    <row r="1191">
      <c r="A1191" s="5" t="str">
        <f>IFNA(VLOOKUP(D1191,'Location Table'!A:C,2,false),"")</f>
        <v/>
      </c>
      <c r="B1191" s="5" t="str">
        <f>IFNA(VLOOKUP(F1191,Driver!A:C,2,false),"")</f>
        <v/>
      </c>
      <c r="C1191" s="5" t="str">
        <f>IFNA(VLOOKUP(E1191,'Location Table'!A:C,2,false),"")</f>
        <v/>
      </c>
      <c r="D1191" s="6"/>
      <c r="E1191" s="6"/>
      <c r="F1191" s="38"/>
      <c r="G1191" s="7"/>
      <c r="H1191" s="8" t="str">
        <f>IFNA(VLOOKUP(F1191,Driver!A:C,3,false),"")</f>
        <v/>
      </c>
      <c r="I1191" s="9"/>
      <c r="J1191" s="9"/>
    </row>
    <row r="1192">
      <c r="A1192" s="5" t="str">
        <f>IFNA(VLOOKUP(D1192,'Location Table'!A:C,2,false),"")</f>
        <v/>
      </c>
      <c r="B1192" s="5" t="str">
        <f>IFNA(VLOOKUP(F1192,Driver!A:C,2,false),"")</f>
        <v/>
      </c>
      <c r="C1192" s="5" t="str">
        <f>IFNA(VLOOKUP(E1192,'Location Table'!A:C,2,false),"")</f>
        <v/>
      </c>
      <c r="D1192" s="6"/>
      <c r="E1192" s="6"/>
      <c r="F1192" s="38"/>
      <c r="G1192" s="7"/>
      <c r="H1192" s="8" t="str">
        <f>IFNA(VLOOKUP(F1192,Driver!A:C,3,false),"")</f>
        <v/>
      </c>
      <c r="I1192" s="9"/>
      <c r="J1192" s="9"/>
    </row>
    <row r="1193">
      <c r="A1193" s="5" t="str">
        <f>IFNA(VLOOKUP(D1193,'Location Table'!A:C,2,false),"")</f>
        <v/>
      </c>
      <c r="B1193" s="5" t="str">
        <f>IFNA(VLOOKUP(F1193,Driver!A:C,2,false),"")</f>
        <v/>
      </c>
      <c r="C1193" s="5" t="str">
        <f>IFNA(VLOOKUP(E1193,'Location Table'!A:C,2,false),"")</f>
        <v/>
      </c>
      <c r="D1193" s="6"/>
      <c r="E1193" s="6"/>
      <c r="F1193" s="38"/>
      <c r="G1193" s="7"/>
      <c r="H1193" s="8" t="str">
        <f>IFNA(VLOOKUP(F1193,Driver!A:C,3,false),"")</f>
        <v/>
      </c>
      <c r="I1193" s="9"/>
      <c r="J1193" s="9"/>
    </row>
    <row r="1194">
      <c r="A1194" s="5" t="str">
        <f>IFNA(VLOOKUP(D1194,'Location Table'!A:C,2,false),"")</f>
        <v/>
      </c>
      <c r="B1194" s="5" t="str">
        <f>IFNA(VLOOKUP(F1194,Driver!A:C,2,false),"")</f>
        <v/>
      </c>
      <c r="C1194" s="5" t="str">
        <f>IFNA(VLOOKUP(E1194,'Location Table'!A:C,2,false),"")</f>
        <v/>
      </c>
      <c r="D1194" s="6"/>
      <c r="E1194" s="6"/>
      <c r="F1194" s="38"/>
      <c r="G1194" s="7"/>
      <c r="H1194" s="8" t="str">
        <f>IFNA(VLOOKUP(F1194,Driver!A:C,3,false),"")</f>
        <v/>
      </c>
      <c r="I1194" s="9"/>
      <c r="J1194" s="9"/>
    </row>
    <row r="1195">
      <c r="A1195" s="5" t="str">
        <f>IFNA(VLOOKUP(D1195,'Location Table'!A:C,2,false),"")</f>
        <v/>
      </c>
      <c r="B1195" s="5" t="str">
        <f>IFNA(VLOOKUP(F1195,Driver!A:C,2,false),"")</f>
        <v/>
      </c>
      <c r="C1195" s="5" t="str">
        <f>IFNA(VLOOKUP(E1195,'Location Table'!A:C,2,false),"")</f>
        <v/>
      </c>
      <c r="D1195" s="6"/>
      <c r="E1195" s="6"/>
      <c r="F1195" s="38"/>
      <c r="G1195" s="7"/>
      <c r="H1195" s="8" t="str">
        <f>IFNA(VLOOKUP(F1195,Driver!A:C,3,false),"")</f>
        <v/>
      </c>
      <c r="I1195" s="9"/>
      <c r="J1195" s="9"/>
    </row>
    <row r="1196">
      <c r="A1196" s="5" t="str">
        <f>IFNA(VLOOKUP(D1196,'Location Table'!A:C,2,false),"")</f>
        <v/>
      </c>
      <c r="B1196" s="5" t="str">
        <f>IFNA(VLOOKUP(F1196,Driver!A:C,2,false),"")</f>
        <v/>
      </c>
      <c r="C1196" s="5" t="str">
        <f>IFNA(VLOOKUP(E1196,'Location Table'!A:C,2,false),"")</f>
        <v/>
      </c>
      <c r="D1196" s="6"/>
      <c r="E1196" s="6"/>
      <c r="F1196" s="38"/>
      <c r="G1196" s="7"/>
      <c r="H1196" s="8" t="str">
        <f>IFNA(VLOOKUP(F1196,Driver!A:C,3,false),"")</f>
        <v/>
      </c>
      <c r="I1196" s="9"/>
      <c r="J1196" s="9"/>
    </row>
    <row r="1197">
      <c r="A1197" s="5" t="str">
        <f>IFNA(VLOOKUP(D1197,'Location Table'!A:C,2,false),"")</f>
        <v/>
      </c>
      <c r="B1197" s="5" t="str">
        <f>IFNA(VLOOKUP(F1197,Driver!A:C,2,false),"")</f>
        <v/>
      </c>
      <c r="C1197" s="5" t="str">
        <f>IFNA(VLOOKUP(E1197,'Location Table'!A:C,2,false),"")</f>
        <v/>
      </c>
      <c r="D1197" s="6"/>
      <c r="E1197" s="6"/>
      <c r="F1197" s="38"/>
      <c r="G1197" s="7"/>
      <c r="H1197" s="8" t="str">
        <f>IFNA(VLOOKUP(F1197,Driver!A:C,3,false),"")</f>
        <v/>
      </c>
      <c r="I1197" s="9"/>
      <c r="J1197" s="9"/>
    </row>
    <row r="1198">
      <c r="A1198" s="5" t="str">
        <f>IFNA(VLOOKUP(D1198,'Location Table'!A:C,2,false),"")</f>
        <v/>
      </c>
      <c r="B1198" s="5" t="str">
        <f>IFNA(VLOOKUP(F1198,Driver!A:C,2,false),"")</f>
        <v/>
      </c>
      <c r="C1198" s="5" t="str">
        <f>IFNA(VLOOKUP(E1198,'Location Table'!A:C,2,false),"")</f>
        <v/>
      </c>
      <c r="D1198" s="6"/>
      <c r="E1198" s="6"/>
      <c r="F1198" s="38"/>
      <c r="G1198" s="7"/>
      <c r="H1198" s="8" t="str">
        <f>IFNA(VLOOKUP(F1198,Driver!A:C,3,false),"")</f>
        <v/>
      </c>
      <c r="I1198" s="9"/>
      <c r="J1198" s="9"/>
    </row>
    <row r="1199">
      <c r="A1199" s="5" t="str">
        <f>IFNA(VLOOKUP(D1199,'Location Table'!A:C,2,false),"")</f>
        <v/>
      </c>
      <c r="B1199" s="5" t="str">
        <f>IFNA(VLOOKUP(F1199,Driver!A:C,2,false),"")</f>
        <v/>
      </c>
      <c r="C1199" s="5" t="str">
        <f>IFNA(VLOOKUP(E1199,'Location Table'!A:C,2,false),"")</f>
        <v/>
      </c>
      <c r="D1199" s="6"/>
      <c r="E1199" s="6"/>
      <c r="F1199" s="38"/>
      <c r="G1199" s="7"/>
      <c r="H1199" s="8" t="str">
        <f>IFNA(VLOOKUP(F1199,Driver!A:C,3,false),"")</f>
        <v/>
      </c>
      <c r="I1199" s="9"/>
      <c r="J1199" s="9"/>
    </row>
    <row r="1200">
      <c r="A1200" s="5" t="str">
        <f>IFNA(VLOOKUP(D1200,'Location Table'!A:C,2,false),"")</f>
        <v/>
      </c>
      <c r="B1200" s="5" t="str">
        <f>IFNA(VLOOKUP(F1200,Driver!A:C,2,false),"")</f>
        <v/>
      </c>
      <c r="C1200" s="5" t="str">
        <f>IFNA(VLOOKUP(E1200,'Location Table'!A:C,2,false),"")</f>
        <v/>
      </c>
      <c r="D1200" s="6"/>
      <c r="E1200" s="6"/>
      <c r="F1200" s="38"/>
      <c r="G1200" s="7"/>
      <c r="H1200" s="8" t="str">
        <f>IFNA(VLOOKUP(F1200,Driver!A:C,3,false),"")</f>
        <v/>
      </c>
      <c r="I1200" s="9"/>
      <c r="J1200" s="9"/>
    </row>
    <row r="1201">
      <c r="A1201" s="5" t="str">
        <f>IFNA(VLOOKUP(D1201,'Location Table'!A:C,2,false),"")</f>
        <v/>
      </c>
      <c r="B1201" s="5" t="str">
        <f>IFNA(VLOOKUP(F1201,Driver!A:C,2,false),"")</f>
        <v/>
      </c>
      <c r="C1201" s="5" t="str">
        <f>IFNA(VLOOKUP(E1201,'Location Table'!A:C,2,false),"")</f>
        <v/>
      </c>
      <c r="D1201" s="6"/>
      <c r="E1201" s="6"/>
      <c r="F1201" s="38"/>
      <c r="G1201" s="7"/>
      <c r="H1201" s="8" t="str">
        <f>IFNA(VLOOKUP(F1201,Driver!A:C,3,false),"")</f>
        <v/>
      </c>
      <c r="I1201" s="9"/>
      <c r="J1201" s="9"/>
    </row>
    <row r="1202">
      <c r="A1202" s="5" t="str">
        <f>IFNA(VLOOKUP(D1202,'Location Table'!A:C,2,false),"")</f>
        <v/>
      </c>
      <c r="B1202" s="5" t="str">
        <f>IFNA(VLOOKUP(F1202,Driver!A:C,2,false),"")</f>
        <v/>
      </c>
      <c r="C1202" s="5" t="str">
        <f>IFNA(VLOOKUP(E1202,'Location Table'!A:C,2,false),"")</f>
        <v/>
      </c>
      <c r="D1202" s="6"/>
      <c r="E1202" s="6"/>
      <c r="F1202" s="38"/>
      <c r="G1202" s="7"/>
      <c r="H1202" s="8" t="str">
        <f>IFNA(VLOOKUP(F1202,Driver!A:C,3,false),"")</f>
        <v/>
      </c>
      <c r="I1202" s="9"/>
      <c r="J1202" s="9"/>
    </row>
    <row r="1203">
      <c r="A1203" s="5" t="str">
        <f>IFNA(VLOOKUP(D1203,'Location Table'!A:C,2,false),"")</f>
        <v/>
      </c>
      <c r="B1203" s="5" t="str">
        <f>IFNA(VLOOKUP(F1203,Driver!A:C,2,false),"")</f>
        <v/>
      </c>
      <c r="C1203" s="5" t="str">
        <f>IFNA(VLOOKUP(E1203,'Location Table'!A:C,2,false),"")</f>
        <v/>
      </c>
      <c r="D1203" s="6"/>
      <c r="E1203" s="6"/>
      <c r="F1203" s="38"/>
      <c r="G1203" s="7"/>
      <c r="H1203" s="8" t="str">
        <f>IFNA(VLOOKUP(F1203,Driver!A:C,3,false),"")</f>
        <v/>
      </c>
      <c r="I1203" s="9"/>
      <c r="J1203" s="9"/>
    </row>
    <row r="1204">
      <c r="A1204" s="5" t="str">
        <f>IFNA(VLOOKUP(D1204,'Location Table'!A:C,2,false),"")</f>
        <v/>
      </c>
      <c r="B1204" s="5" t="str">
        <f>IFNA(VLOOKUP(F1204,Driver!A:C,2,false),"")</f>
        <v/>
      </c>
      <c r="C1204" s="5" t="str">
        <f>IFNA(VLOOKUP(E1204,'Location Table'!A:C,2,false),"")</f>
        <v/>
      </c>
      <c r="D1204" s="6"/>
      <c r="E1204" s="6"/>
      <c r="F1204" s="38"/>
      <c r="G1204" s="7"/>
      <c r="H1204" s="8" t="str">
        <f>IFNA(VLOOKUP(F1204,Driver!A:C,3,false),"")</f>
        <v/>
      </c>
      <c r="I1204" s="9"/>
      <c r="J1204" s="9"/>
    </row>
    <row r="1205">
      <c r="A1205" s="5" t="str">
        <f>IFNA(VLOOKUP(D1205,'Location Table'!A:C,2,false),"")</f>
        <v/>
      </c>
      <c r="B1205" s="5" t="str">
        <f>IFNA(VLOOKUP(F1205,Driver!A:C,2,false),"")</f>
        <v/>
      </c>
      <c r="C1205" s="5" t="str">
        <f>IFNA(VLOOKUP(E1205,'Location Table'!A:C,2,false),"")</f>
        <v/>
      </c>
      <c r="D1205" s="6"/>
      <c r="E1205" s="6"/>
      <c r="F1205" s="38"/>
      <c r="G1205" s="7"/>
      <c r="H1205" s="8" t="str">
        <f>IFNA(VLOOKUP(F1205,Driver!A:C,3,false),"")</f>
        <v/>
      </c>
      <c r="I1205" s="9"/>
      <c r="J1205" s="9"/>
    </row>
    <row r="1206">
      <c r="A1206" s="5" t="str">
        <f>IFNA(VLOOKUP(D1206,'Location Table'!A:C,2,false),"")</f>
        <v/>
      </c>
      <c r="B1206" s="5" t="str">
        <f>IFNA(VLOOKUP(F1206,Driver!A:C,2,false),"")</f>
        <v/>
      </c>
      <c r="C1206" s="5" t="str">
        <f>IFNA(VLOOKUP(E1206,'Location Table'!A:C,2,false),"")</f>
        <v/>
      </c>
      <c r="D1206" s="6"/>
      <c r="E1206" s="6"/>
      <c r="F1206" s="38"/>
      <c r="G1206" s="7"/>
      <c r="H1206" s="8" t="str">
        <f>IFNA(VLOOKUP(F1206,Driver!A:C,3,false),"")</f>
        <v/>
      </c>
      <c r="I1206" s="9"/>
      <c r="J1206" s="9"/>
    </row>
    <row r="1207">
      <c r="A1207" s="5" t="str">
        <f>IFNA(VLOOKUP(D1207,'Location Table'!A:C,2,false),"")</f>
        <v/>
      </c>
      <c r="B1207" s="5" t="str">
        <f>IFNA(VLOOKUP(F1207,Driver!A:C,2,false),"")</f>
        <v/>
      </c>
      <c r="C1207" s="5" t="str">
        <f>IFNA(VLOOKUP(E1207,'Location Table'!A:C,2,false),"")</f>
        <v/>
      </c>
      <c r="D1207" s="6"/>
      <c r="E1207" s="6"/>
      <c r="F1207" s="38"/>
      <c r="G1207" s="7"/>
      <c r="H1207" s="8" t="str">
        <f>IFNA(VLOOKUP(F1207,Driver!A:C,3,false),"")</f>
        <v/>
      </c>
      <c r="I1207" s="9"/>
      <c r="J1207" s="9"/>
    </row>
    <row r="1208">
      <c r="A1208" s="5" t="str">
        <f>IFNA(VLOOKUP(D1208,'Location Table'!A:C,2,false),"")</f>
        <v/>
      </c>
      <c r="B1208" s="5" t="str">
        <f>IFNA(VLOOKUP(F1208,Driver!A:C,2,false),"")</f>
        <v/>
      </c>
      <c r="C1208" s="5" t="str">
        <f>IFNA(VLOOKUP(E1208,'Location Table'!A:C,2,false),"")</f>
        <v/>
      </c>
      <c r="D1208" s="6"/>
      <c r="E1208" s="6"/>
      <c r="F1208" s="38"/>
      <c r="G1208" s="7"/>
      <c r="H1208" s="8" t="str">
        <f>IFNA(VLOOKUP(F1208,Driver!A:C,3,false),"")</f>
        <v/>
      </c>
      <c r="I1208" s="9"/>
      <c r="J1208" s="9"/>
    </row>
    <row r="1209">
      <c r="A1209" s="5" t="str">
        <f>IFNA(VLOOKUP(D1209,'Location Table'!A:C,2,false),"")</f>
        <v/>
      </c>
      <c r="B1209" s="5" t="str">
        <f>IFNA(VLOOKUP(F1209,Driver!A:C,2,false),"")</f>
        <v/>
      </c>
      <c r="C1209" s="5" t="str">
        <f>IFNA(VLOOKUP(E1209,'Location Table'!A:C,2,false),"")</f>
        <v/>
      </c>
      <c r="D1209" s="6"/>
      <c r="E1209" s="6"/>
      <c r="F1209" s="38"/>
      <c r="G1209" s="7"/>
      <c r="H1209" s="8" t="str">
        <f>IFNA(VLOOKUP(F1209,Driver!A:C,3,false),"")</f>
        <v/>
      </c>
      <c r="I1209" s="9"/>
      <c r="J1209" s="9"/>
    </row>
    <row r="1210">
      <c r="A1210" s="5" t="str">
        <f>IFNA(VLOOKUP(D1210,'Location Table'!A:C,2,false),"")</f>
        <v/>
      </c>
      <c r="B1210" s="5" t="str">
        <f>IFNA(VLOOKUP(F1210,Driver!A:C,2,false),"")</f>
        <v/>
      </c>
      <c r="C1210" s="5" t="str">
        <f>IFNA(VLOOKUP(E1210,'Location Table'!A:C,2,false),"")</f>
        <v/>
      </c>
      <c r="D1210" s="6"/>
      <c r="E1210" s="6"/>
      <c r="F1210" s="38"/>
      <c r="G1210" s="7"/>
      <c r="H1210" s="8" t="str">
        <f>IFNA(VLOOKUP(F1210,Driver!A:C,3,false),"")</f>
        <v/>
      </c>
      <c r="I1210" s="9"/>
      <c r="J1210" s="9"/>
    </row>
    <row r="1211">
      <c r="A1211" s="5" t="str">
        <f>IFNA(VLOOKUP(D1211,'Location Table'!A:C,2,false),"")</f>
        <v/>
      </c>
      <c r="B1211" s="5" t="str">
        <f>IFNA(VLOOKUP(F1211,Driver!A:C,2,false),"")</f>
        <v/>
      </c>
      <c r="C1211" s="5" t="str">
        <f>IFNA(VLOOKUP(E1211,'Location Table'!A:C,2,false),"")</f>
        <v/>
      </c>
      <c r="D1211" s="6"/>
      <c r="E1211" s="6"/>
      <c r="F1211" s="38"/>
      <c r="G1211" s="7"/>
      <c r="H1211" s="8" t="str">
        <f>IFNA(VLOOKUP(F1211,Driver!A:C,3,false),"")</f>
        <v/>
      </c>
      <c r="I1211" s="9"/>
      <c r="J1211" s="9"/>
    </row>
    <row r="1212">
      <c r="A1212" s="5" t="str">
        <f>IFNA(VLOOKUP(D1212,'Location Table'!A:C,2,false),"")</f>
        <v/>
      </c>
      <c r="B1212" s="5" t="str">
        <f>IFNA(VLOOKUP(F1212,Driver!A:C,2,false),"")</f>
        <v/>
      </c>
      <c r="C1212" s="5" t="str">
        <f>IFNA(VLOOKUP(E1212,'Location Table'!A:C,2,false),"")</f>
        <v/>
      </c>
      <c r="D1212" s="6"/>
      <c r="E1212" s="6"/>
      <c r="F1212" s="38"/>
      <c r="G1212" s="7"/>
      <c r="H1212" s="8" t="str">
        <f>IFNA(VLOOKUP(F1212,Driver!A:C,3,false),"")</f>
        <v/>
      </c>
      <c r="I1212" s="9"/>
      <c r="J1212" s="9"/>
    </row>
    <row r="1213">
      <c r="A1213" s="5" t="str">
        <f>IFNA(VLOOKUP(D1213,'Location Table'!A:C,2,false),"")</f>
        <v/>
      </c>
      <c r="B1213" s="5" t="str">
        <f>IFNA(VLOOKUP(F1213,Driver!A:C,2,false),"")</f>
        <v/>
      </c>
      <c r="C1213" s="5" t="str">
        <f>IFNA(VLOOKUP(E1213,'Location Table'!A:C,2,false),"")</f>
        <v/>
      </c>
      <c r="D1213" s="6"/>
      <c r="E1213" s="6"/>
      <c r="F1213" s="38"/>
      <c r="G1213" s="7"/>
      <c r="H1213" s="8" t="str">
        <f>IFNA(VLOOKUP(F1213,Driver!A:C,3,false),"")</f>
        <v/>
      </c>
      <c r="I1213" s="9"/>
      <c r="J1213" s="9"/>
    </row>
    <row r="1214">
      <c r="A1214" s="5" t="str">
        <f>IFNA(VLOOKUP(D1214,'Location Table'!A:C,2,false),"")</f>
        <v/>
      </c>
      <c r="B1214" s="5" t="str">
        <f>IFNA(VLOOKUP(F1214,Driver!A:C,2,false),"")</f>
        <v/>
      </c>
      <c r="C1214" s="5" t="str">
        <f>IFNA(VLOOKUP(E1214,'Location Table'!A:C,2,false),"")</f>
        <v/>
      </c>
      <c r="D1214" s="6"/>
      <c r="E1214" s="6"/>
      <c r="F1214" s="38"/>
      <c r="G1214" s="7"/>
      <c r="H1214" s="8" t="str">
        <f>IFNA(VLOOKUP(F1214,Driver!A:C,3,false),"")</f>
        <v/>
      </c>
      <c r="I1214" s="9"/>
      <c r="J1214" s="9"/>
    </row>
    <row r="1215">
      <c r="A1215" s="5" t="str">
        <f>IFNA(VLOOKUP(D1215,'Location Table'!A:C,2,false),"")</f>
        <v/>
      </c>
      <c r="B1215" s="5" t="str">
        <f>IFNA(VLOOKUP(F1215,Driver!A:C,2,false),"")</f>
        <v/>
      </c>
      <c r="C1215" s="5" t="str">
        <f>IFNA(VLOOKUP(E1215,'Location Table'!A:C,2,false),"")</f>
        <v/>
      </c>
      <c r="D1215" s="6"/>
      <c r="E1215" s="6"/>
      <c r="F1215" s="38"/>
      <c r="G1215" s="7"/>
      <c r="H1215" s="8" t="str">
        <f>IFNA(VLOOKUP(F1215,Driver!A:C,3,false),"")</f>
        <v/>
      </c>
      <c r="I1215" s="9"/>
      <c r="J1215" s="9"/>
    </row>
    <row r="1216">
      <c r="A1216" s="5" t="str">
        <f>IFNA(VLOOKUP(D1216,'Location Table'!A:C,2,false),"")</f>
        <v/>
      </c>
      <c r="B1216" s="5" t="str">
        <f>IFNA(VLOOKUP(F1216,Driver!A:C,2,false),"")</f>
        <v/>
      </c>
      <c r="C1216" s="5" t="str">
        <f>IFNA(VLOOKUP(E1216,'Location Table'!A:C,2,false),"")</f>
        <v/>
      </c>
      <c r="D1216" s="6"/>
      <c r="E1216" s="6"/>
      <c r="F1216" s="38"/>
      <c r="G1216" s="7"/>
      <c r="H1216" s="8" t="str">
        <f>IFNA(VLOOKUP(F1216,Driver!A:C,3,false),"")</f>
        <v/>
      </c>
      <c r="I1216" s="9"/>
      <c r="J1216" s="9"/>
    </row>
    <row r="1217">
      <c r="A1217" s="5" t="str">
        <f>IFNA(VLOOKUP(D1217,'Location Table'!A:C,2,false),"")</f>
        <v/>
      </c>
      <c r="B1217" s="5" t="str">
        <f>IFNA(VLOOKUP(F1217,Driver!A:C,2,false),"")</f>
        <v/>
      </c>
      <c r="C1217" s="5" t="str">
        <f>IFNA(VLOOKUP(E1217,'Location Table'!A:C,2,false),"")</f>
        <v/>
      </c>
      <c r="D1217" s="6"/>
      <c r="E1217" s="6"/>
      <c r="F1217" s="38"/>
      <c r="G1217" s="7"/>
      <c r="H1217" s="8" t="str">
        <f>IFNA(VLOOKUP(F1217,Driver!A:C,3,false),"")</f>
        <v/>
      </c>
      <c r="I1217" s="9"/>
      <c r="J1217" s="9"/>
    </row>
    <row r="1218">
      <c r="A1218" s="5" t="str">
        <f>IFNA(VLOOKUP(D1218,'Location Table'!A:C,2,false),"")</f>
        <v/>
      </c>
      <c r="B1218" s="5" t="str">
        <f>IFNA(VLOOKUP(F1218,Driver!A:C,2,false),"")</f>
        <v/>
      </c>
      <c r="C1218" s="5" t="str">
        <f>IFNA(VLOOKUP(E1218,'Location Table'!A:C,2,false),"")</f>
        <v/>
      </c>
      <c r="D1218" s="6"/>
      <c r="E1218" s="6"/>
      <c r="F1218" s="38"/>
      <c r="G1218" s="7"/>
      <c r="H1218" s="8" t="str">
        <f>IFNA(VLOOKUP(F1218,Driver!A:C,3,false),"")</f>
        <v/>
      </c>
      <c r="I1218" s="9"/>
      <c r="J1218" s="9"/>
    </row>
    <row r="1219">
      <c r="A1219" s="5" t="str">
        <f>IFNA(VLOOKUP(D1219,'Location Table'!A:C,2,false),"")</f>
        <v/>
      </c>
      <c r="B1219" s="5" t="str">
        <f>IFNA(VLOOKUP(F1219,Driver!A:C,2,false),"")</f>
        <v/>
      </c>
      <c r="C1219" s="5" t="str">
        <f>IFNA(VLOOKUP(E1219,'Location Table'!A:C,2,false),"")</f>
        <v/>
      </c>
      <c r="D1219" s="6"/>
      <c r="E1219" s="6"/>
      <c r="F1219" s="38"/>
      <c r="G1219" s="7"/>
      <c r="H1219" s="8" t="str">
        <f>IFNA(VLOOKUP(F1219,Driver!A:C,3,false),"")</f>
        <v/>
      </c>
      <c r="I1219" s="9"/>
      <c r="J1219" s="9"/>
    </row>
    <row r="1220">
      <c r="A1220" s="5" t="str">
        <f>IFNA(VLOOKUP(D1220,'Location Table'!A:C,2,false),"")</f>
        <v/>
      </c>
      <c r="B1220" s="5" t="str">
        <f>IFNA(VLOOKUP(F1220,Driver!A:C,2,false),"")</f>
        <v/>
      </c>
      <c r="C1220" s="5" t="str">
        <f>IFNA(VLOOKUP(E1220,'Location Table'!A:C,2,false),"")</f>
        <v/>
      </c>
      <c r="D1220" s="6"/>
      <c r="E1220" s="6"/>
      <c r="F1220" s="38"/>
      <c r="G1220" s="7"/>
      <c r="H1220" s="8" t="str">
        <f>IFNA(VLOOKUP(F1220,Driver!A:C,3,false),"")</f>
        <v/>
      </c>
      <c r="I1220" s="9"/>
      <c r="J1220" s="9"/>
    </row>
    <row r="1221">
      <c r="A1221" s="5" t="str">
        <f>IFNA(VLOOKUP(D1221,'Location Table'!A:C,2,false),"")</f>
        <v/>
      </c>
      <c r="B1221" s="5" t="str">
        <f>IFNA(VLOOKUP(F1221,Driver!A:C,2,false),"")</f>
        <v/>
      </c>
      <c r="C1221" s="5" t="str">
        <f>IFNA(VLOOKUP(E1221,'Location Table'!A:C,2,false),"")</f>
        <v/>
      </c>
      <c r="D1221" s="6"/>
      <c r="E1221" s="6"/>
      <c r="F1221" s="38"/>
      <c r="G1221" s="7"/>
      <c r="H1221" s="8" t="str">
        <f>IFNA(VLOOKUP(F1221,Driver!A:C,3,false),"")</f>
        <v/>
      </c>
      <c r="I1221" s="9"/>
      <c r="J1221" s="9"/>
    </row>
    <row r="1222">
      <c r="A1222" s="5" t="str">
        <f>IFNA(VLOOKUP(D1222,'Location Table'!A:C,2,false),"")</f>
        <v/>
      </c>
      <c r="B1222" s="5" t="str">
        <f>IFNA(VLOOKUP(F1222,Driver!A:C,2,false),"")</f>
        <v/>
      </c>
      <c r="C1222" s="5" t="str">
        <f>IFNA(VLOOKUP(E1222,'Location Table'!A:C,2,false),"")</f>
        <v/>
      </c>
      <c r="D1222" s="6"/>
      <c r="E1222" s="6"/>
      <c r="F1222" s="38"/>
      <c r="G1222" s="7"/>
      <c r="H1222" s="8" t="str">
        <f>IFNA(VLOOKUP(F1222,Driver!A:C,3,false),"")</f>
        <v/>
      </c>
      <c r="I1222" s="9"/>
      <c r="J1222" s="9"/>
    </row>
    <row r="1223">
      <c r="A1223" s="5" t="str">
        <f>IFNA(VLOOKUP(D1223,'Location Table'!A:C,2,false),"")</f>
        <v/>
      </c>
      <c r="B1223" s="5" t="str">
        <f>IFNA(VLOOKUP(F1223,Driver!A:C,2,false),"")</f>
        <v/>
      </c>
      <c r="C1223" s="5" t="str">
        <f>IFNA(VLOOKUP(E1223,'Location Table'!A:C,2,false),"")</f>
        <v/>
      </c>
      <c r="D1223" s="6"/>
      <c r="E1223" s="6"/>
      <c r="F1223" s="38"/>
      <c r="G1223" s="7"/>
      <c r="H1223" s="8" t="str">
        <f>IFNA(VLOOKUP(F1223,Driver!A:C,3,false),"")</f>
        <v/>
      </c>
      <c r="I1223" s="9"/>
      <c r="J1223" s="9"/>
    </row>
    <row r="1224">
      <c r="A1224" s="5" t="str">
        <f>IFNA(VLOOKUP(D1224,'Location Table'!A:C,2,false),"")</f>
        <v/>
      </c>
      <c r="B1224" s="5" t="str">
        <f>IFNA(VLOOKUP(F1224,Driver!A:C,2,false),"")</f>
        <v/>
      </c>
      <c r="C1224" s="5" t="str">
        <f>IFNA(VLOOKUP(E1224,'Location Table'!A:C,2,false),"")</f>
        <v/>
      </c>
      <c r="D1224" s="6"/>
      <c r="E1224" s="6"/>
      <c r="F1224" s="38"/>
      <c r="G1224" s="7"/>
      <c r="H1224" s="8" t="str">
        <f>IFNA(VLOOKUP(F1224,Driver!A:C,3,false),"")</f>
        <v/>
      </c>
      <c r="I1224" s="9"/>
      <c r="J1224" s="9"/>
    </row>
    <row r="1225">
      <c r="A1225" s="5" t="str">
        <f>IFNA(VLOOKUP(D1225,'Location Table'!A:C,2,false),"")</f>
        <v/>
      </c>
      <c r="B1225" s="5" t="str">
        <f>IFNA(VLOOKUP(F1225,Driver!A:C,2,false),"")</f>
        <v/>
      </c>
      <c r="C1225" s="5" t="str">
        <f>IFNA(VLOOKUP(E1225,'Location Table'!A:C,2,false),"")</f>
        <v/>
      </c>
      <c r="D1225" s="6"/>
      <c r="E1225" s="6"/>
      <c r="F1225" s="38"/>
      <c r="G1225" s="7"/>
      <c r="H1225" s="8" t="str">
        <f>IFNA(VLOOKUP(F1225,Driver!A:C,3,false),"")</f>
        <v/>
      </c>
      <c r="I1225" s="9"/>
      <c r="J1225" s="9"/>
    </row>
    <row r="1226">
      <c r="A1226" s="5" t="str">
        <f>IFNA(VLOOKUP(D1226,'Location Table'!A:C,2,false),"")</f>
        <v/>
      </c>
      <c r="B1226" s="5" t="str">
        <f>IFNA(VLOOKUP(F1226,Driver!A:C,2,false),"")</f>
        <v/>
      </c>
      <c r="C1226" s="5" t="str">
        <f>IFNA(VLOOKUP(E1226,'Location Table'!A:C,2,false),"")</f>
        <v/>
      </c>
      <c r="D1226" s="6"/>
      <c r="E1226" s="6"/>
      <c r="F1226" s="38"/>
      <c r="G1226" s="7"/>
      <c r="H1226" s="8" t="str">
        <f>IFNA(VLOOKUP(F1226,Driver!A:C,3,false),"")</f>
        <v/>
      </c>
      <c r="I1226" s="9"/>
      <c r="J1226" s="9"/>
    </row>
    <row r="1227">
      <c r="A1227" s="5" t="str">
        <f>IFNA(VLOOKUP(D1227,'Location Table'!A:C,2,false),"")</f>
        <v/>
      </c>
      <c r="B1227" s="5" t="str">
        <f>IFNA(VLOOKUP(F1227,Driver!A:C,2,false),"")</f>
        <v/>
      </c>
      <c r="C1227" s="5" t="str">
        <f>IFNA(VLOOKUP(E1227,'Location Table'!A:C,2,false),"")</f>
        <v/>
      </c>
      <c r="D1227" s="6"/>
      <c r="E1227" s="6"/>
      <c r="F1227" s="38"/>
      <c r="G1227" s="7"/>
      <c r="H1227" s="8" t="str">
        <f>IFNA(VLOOKUP(F1227,Driver!A:C,3,false),"")</f>
        <v/>
      </c>
      <c r="I1227" s="9"/>
      <c r="J1227" s="9"/>
    </row>
    <row r="1228">
      <c r="A1228" s="5" t="str">
        <f>IFNA(VLOOKUP(D1228,'Location Table'!A:C,2,false),"")</f>
        <v/>
      </c>
      <c r="B1228" s="5" t="str">
        <f>IFNA(VLOOKUP(F1228,Driver!A:C,2,false),"")</f>
        <v/>
      </c>
      <c r="C1228" s="5" t="str">
        <f>IFNA(VLOOKUP(E1228,'Location Table'!A:C,2,false),"")</f>
        <v/>
      </c>
      <c r="D1228" s="6"/>
      <c r="E1228" s="6"/>
      <c r="F1228" s="38"/>
      <c r="G1228" s="7"/>
      <c r="H1228" s="8" t="str">
        <f>IFNA(VLOOKUP(F1228,Driver!A:C,3,false),"")</f>
        <v/>
      </c>
      <c r="I1228" s="9"/>
      <c r="J1228" s="9"/>
    </row>
    <row r="1229">
      <c r="A1229" s="5" t="str">
        <f>IFNA(VLOOKUP(D1229,'Location Table'!A:C,2,false),"")</f>
        <v/>
      </c>
      <c r="B1229" s="5" t="str">
        <f>IFNA(VLOOKUP(F1229,Driver!A:C,2,false),"")</f>
        <v/>
      </c>
      <c r="C1229" s="5" t="str">
        <f>IFNA(VLOOKUP(E1229,'Location Table'!A:C,2,false),"")</f>
        <v/>
      </c>
      <c r="D1229" s="6"/>
      <c r="E1229" s="6"/>
      <c r="F1229" s="38"/>
      <c r="G1229" s="7"/>
      <c r="H1229" s="8" t="str">
        <f>IFNA(VLOOKUP(F1229,Driver!A:C,3,false),"")</f>
        <v/>
      </c>
      <c r="I1229" s="9"/>
      <c r="J1229" s="9"/>
    </row>
    <row r="1230">
      <c r="A1230" s="5" t="str">
        <f>IFNA(VLOOKUP(D1230,'Location Table'!A:C,2,false),"")</f>
        <v/>
      </c>
      <c r="B1230" s="5" t="str">
        <f>IFNA(VLOOKUP(F1230,Driver!A:C,2,false),"")</f>
        <v/>
      </c>
      <c r="C1230" s="5" t="str">
        <f>IFNA(VLOOKUP(E1230,'Location Table'!A:C,2,false),"")</f>
        <v/>
      </c>
      <c r="D1230" s="6"/>
      <c r="E1230" s="6"/>
      <c r="F1230" s="38"/>
      <c r="G1230" s="7"/>
      <c r="H1230" s="8" t="str">
        <f>IFNA(VLOOKUP(F1230,Driver!A:C,3,false),"")</f>
        <v/>
      </c>
      <c r="I1230" s="9"/>
      <c r="J1230" s="9"/>
    </row>
    <row r="1231">
      <c r="A1231" s="5" t="str">
        <f>IFNA(VLOOKUP(D1231,'Location Table'!A:C,2,false),"")</f>
        <v/>
      </c>
      <c r="B1231" s="5" t="str">
        <f>IFNA(VLOOKUP(F1231,Driver!A:C,2,false),"")</f>
        <v/>
      </c>
      <c r="C1231" s="5" t="str">
        <f>IFNA(VLOOKUP(E1231,'Location Table'!A:C,2,false),"")</f>
        <v/>
      </c>
      <c r="D1231" s="6"/>
      <c r="E1231" s="6"/>
      <c r="F1231" s="38"/>
      <c r="G1231" s="7"/>
      <c r="H1231" s="8" t="str">
        <f>IFNA(VLOOKUP(F1231,Driver!A:C,3,false),"")</f>
        <v/>
      </c>
      <c r="I1231" s="9"/>
      <c r="J1231" s="9"/>
    </row>
    <row r="1232">
      <c r="A1232" s="5" t="str">
        <f>IFNA(VLOOKUP(D1232,'Location Table'!A:C,2,false),"")</f>
        <v/>
      </c>
      <c r="B1232" s="5" t="str">
        <f>IFNA(VLOOKUP(F1232,Driver!A:C,2,false),"")</f>
        <v/>
      </c>
      <c r="C1232" s="5" t="str">
        <f>IFNA(VLOOKUP(E1232,'Location Table'!A:C,2,false),"")</f>
        <v/>
      </c>
      <c r="D1232" s="6"/>
      <c r="E1232" s="6"/>
      <c r="F1232" s="38"/>
      <c r="G1232" s="7"/>
      <c r="H1232" s="8" t="str">
        <f>IFNA(VLOOKUP(F1232,Driver!A:C,3,false),"")</f>
        <v/>
      </c>
      <c r="I1232" s="9"/>
      <c r="J1232" s="9"/>
    </row>
    <row r="1233">
      <c r="A1233" s="5" t="str">
        <f>IFNA(VLOOKUP(D1233,'Location Table'!A:C,2,false),"")</f>
        <v/>
      </c>
      <c r="B1233" s="5" t="str">
        <f>IFNA(VLOOKUP(F1233,Driver!A:C,2,false),"")</f>
        <v/>
      </c>
      <c r="C1233" s="5" t="str">
        <f>IFNA(VLOOKUP(E1233,'Location Table'!A:C,2,false),"")</f>
        <v/>
      </c>
      <c r="D1233" s="6"/>
      <c r="E1233" s="6"/>
      <c r="F1233" s="38"/>
      <c r="G1233" s="7"/>
      <c r="H1233" s="8" t="str">
        <f>IFNA(VLOOKUP(F1233,Driver!A:C,3,false),"")</f>
        <v/>
      </c>
      <c r="I1233" s="9"/>
      <c r="J1233" s="9"/>
    </row>
    <row r="1234">
      <c r="A1234" s="5" t="str">
        <f>IFNA(VLOOKUP(D1234,'Location Table'!A:C,2,false),"")</f>
        <v/>
      </c>
      <c r="B1234" s="5" t="str">
        <f>IFNA(VLOOKUP(F1234,Driver!A:C,2,false),"")</f>
        <v/>
      </c>
      <c r="C1234" s="5" t="str">
        <f>IFNA(VLOOKUP(E1234,'Location Table'!A:C,2,false),"")</f>
        <v/>
      </c>
      <c r="D1234" s="6"/>
      <c r="E1234" s="6"/>
      <c r="F1234" s="38"/>
      <c r="G1234" s="7"/>
      <c r="H1234" s="8" t="str">
        <f>IFNA(VLOOKUP(F1234,Driver!A:C,3,false),"")</f>
        <v/>
      </c>
      <c r="I1234" s="9"/>
      <c r="J1234" s="9"/>
    </row>
    <row r="1235">
      <c r="A1235" s="5" t="str">
        <f>IFNA(VLOOKUP(D1235,'Location Table'!A:C,2,false),"")</f>
        <v/>
      </c>
      <c r="B1235" s="5" t="str">
        <f>IFNA(VLOOKUP(F1235,Driver!A:C,2,false),"")</f>
        <v/>
      </c>
      <c r="C1235" s="5" t="str">
        <f>IFNA(VLOOKUP(E1235,'Location Table'!A:C,2,false),"")</f>
        <v/>
      </c>
      <c r="D1235" s="6"/>
      <c r="E1235" s="6"/>
      <c r="F1235" s="38"/>
      <c r="G1235" s="7"/>
      <c r="H1235" s="8" t="str">
        <f>IFNA(VLOOKUP(F1235,Driver!A:C,3,false),"")</f>
        <v/>
      </c>
      <c r="I1235" s="9"/>
      <c r="J1235" s="9"/>
    </row>
    <row r="1236">
      <c r="A1236" s="5" t="str">
        <f>IFNA(VLOOKUP(D1236,'Location Table'!A:C,2,false),"")</f>
        <v/>
      </c>
      <c r="B1236" s="5" t="str">
        <f>IFNA(VLOOKUP(F1236,Driver!A:C,2,false),"")</f>
        <v/>
      </c>
      <c r="C1236" s="5" t="str">
        <f>IFNA(VLOOKUP(E1236,'Location Table'!A:C,2,false),"")</f>
        <v/>
      </c>
      <c r="D1236" s="6"/>
      <c r="E1236" s="6"/>
      <c r="F1236" s="38"/>
      <c r="G1236" s="7"/>
      <c r="H1236" s="8" t="str">
        <f>IFNA(VLOOKUP(F1236,Driver!A:C,3,false),"")</f>
        <v/>
      </c>
      <c r="I1236" s="9"/>
      <c r="J1236" s="9"/>
    </row>
    <row r="1237">
      <c r="A1237" s="5" t="str">
        <f>IFNA(VLOOKUP(D1237,'Location Table'!A:C,2,false),"")</f>
        <v/>
      </c>
      <c r="B1237" s="5" t="str">
        <f>IFNA(VLOOKUP(F1237,Driver!A:C,2,false),"")</f>
        <v/>
      </c>
      <c r="C1237" s="5" t="str">
        <f>IFNA(VLOOKUP(E1237,'Location Table'!A:C,2,false),"")</f>
        <v/>
      </c>
      <c r="D1237" s="6"/>
      <c r="E1237" s="6"/>
      <c r="F1237" s="38"/>
      <c r="G1237" s="7"/>
      <c r="H1237" s="8" t="str">
        <f>IFNA(VLOOKUP(F1237,Driver!A:C,3,false),"")</f>
        <v/>
      </c>
      <c r="I1237" s="9"/>
      <c r="J1237" s="9"/>
    </row>
    <row r="1238">
      <c r="A1238" s="5" t="str">
        <f>IFNA(VLOOKUP(D1238,'Location Table'!A:C,2,false),"")</f>
        <v/>
      </c>
      <c r="B1238" s="5" t="str">
        <f>IFNA(VLOOKUP(F1238,Driver!A:C,2,false),"")</f>
        <v/>
      </c>
      <c r="C1238" s="5" t="str">
        <f>IFNA(VLOOKUP(E1238,'Location Table'!A:C,2,false),"")</f>
        <v/>
      </c>
      <c r="D1238" s="6"/>
      <c r="E1238" s="6"/>
      <c r="F1238" s="38"/>
      <c r="G1238" s="7"/>
      <c r="H1238" s="8" t="str">
        <f>IFNA(VLOOKUP(F1238,Driver!A:C,3,false),"")</f>
        <v/>
      </c>
      <c r="I1238" s="9"/>
      <c r="J1238" s="9"/>
    </row>
    <row r="1239">
      <c r="A1239" s="5" t="str">
        <f>IFNA(VLOOKUP(D1239,'Location Table'!A:C,2,false),"")</f>
        <v/>
      </c>
      <c r="B1239" s="5" t="str">
        <f>IFNA(VLOOKUP(F1239,Driver!A:C,2,false),"")</f>
        <v/>
      </c>
      <c r="C1239" s="5" t="str">
        <f>IFNA(VLOOKUP(E1239,'Location Table'!A:C,2,false),"")</f>
        <v/>
      </c>
      <c r="D1239" s="6"/>
      <c r="E1239" s="6"/>
      <c r="F1239" s="38"/>
      <c r="G1239" s="7"/>
      <c r="H1239" s="8" t="str">
        <f>IFNA(VLOOKUP(F1239,Driver!A:C,3,false),"")</f>
        <v/>
      </c>
      <c r="I1239" s="9"/>
      <c r="J1239" s="9"/>
    </row>
    <row r="1240">
      <c r="A1240" s="5" t="str">
        <f>IFNA(VLOOKUP(D1240,'Location Table'!A:C,2,false),"")</f>
        <v/>
      </c>
      <c r="B1240" s="5" t="str">
        <f>IFNA(VLOOKUP(F1240,Driver!A:C,2,false),"")</f>
        <v/>
      </c>
      <c r="C1240" s="5" t="str">
        <f>IFNA(VLOOKUP(E1240,'Location Table'!A:C,2,false),"")</f>
        <v/>
      </c>
      <c r="D1240" s="6"/>
      <c r="E1240" s="6"/>
      <c r="F1240" s="38"/>
      <c r="G1240" s="7"/>
      <c r="H1240" s="8" t="str">
        <f>IFNA(VLOOKUP(F1240,Driver!A:C,3,false),"")</f>
        <v/>
      </c>
      <c r="I1240" s="9"/>
      <c r="J1240" s="9"/>
    </row>
    <row r="1241">
      <c r="A1241" s="5" t="str">
        <f>IFNA(VLOOKUP(D1241,'Location Table'!A:C,2,false),"")</f>
        <v/>
      </c>
      <c r="B1241" s="5" t="str">
        <f>IFNA(VLOOKUP(F1241,Driver!A:C,2,false),"")</f>
        <v/>
      </c>
      <c r="C1241" s="5" t="str">
        <f>IFNA(VLOOKUP(E1241,'Location Table'!A:C,2,false),"")</f>
        <v/>
      </c>
      <c r="D1241" s="6"/>
      <c r="E1241" s="6"/>
      <c r="F1241" s="38"/>
      <c r="G1241" s="7"/>
      <c r="H1241" s="8" t="str">
        <f>IFNA(VLOOKUP(F1241,Driver!A:C,3,false),"")</f>
        <v/>
      </c>
      <c r="I1241" s="9"/>
      <c r="J1241" s="9"/>
    </row>
    <row r="1242">
      <c r="A1242" s="5" t="str">
        <f>IFNA(VLOOKUP(D1242,'Location Table'!A:C,2,false),"")</f>
        <v/>
      </c>
      <c r="B1242" s="5" t="str">
        <f>IFNA(VLOOKUP(F1242,Driver!A:C,2,false),"")</f>
        <v/>
      </c>
      <c r="C1242" s="5" t="str">
        <f>IFNA(VLOOKUP(E1242,'Location Table'!A:C,2,false),"")</f>
        <v/>
      </c>
      <c r="D1242" s="6"/>
      <c r="E1242" s="6"/>
      <c r="F1242" s="38"/>
      <c r="G1242" s="7"/>
      <c r="H1242" s="8" t="str">
        <f>IFNA(VLOOKUP(F1242,Driver!A:C,3,false),"")</f>
        <v/>
      </c>
      <c r="I1242" s="9"/>
      <c r="J1242" s="9"/>
    </row>
    <row r="1243">
      <c r="A1243" s="5" t="str">
        <f>IFNA(VLOOKUP(D1243,'Location Table'!A:C,2,false),"")</f>
        <v/>
      </c>
      <c r="B1243" s="5" t="str">
        <f>IFNA(VLOOKUP(F1243,Driver!A:C,2,false),"")</f>
        <v/>
      </c>
      <c r="C1243" s="5" t="str">
        <f>IFNA(VLOOKUP(E1243,'Location Table'!A:C,2,false),"")</f>
        <v/>
      </c>
      <c r="D1243" s="6"/>
      <c r="E1243" s="6"/>
      <c r="F1243" s="38"/>
      <c r="G1243" s="7"/>
      <c r="H1243" s="8" t="str">
        <f>IFNA(VLOOKUP(F1243,Driver!A:C,3,false),"")</f>
        <v/>
      </c>
      <c r="I1243" s="9"/>
      <c r="J1243" s="9"/>
    </row>
    <row r="1244">
      <c r="A1244" s="5" t="str">
        <f>IFNA(VLOOKUP(D1244,'Location Table'!A:C,2,false),"")</f>
        <v/>
      </c>
      <c r="B1244" s="5" t="str">
        <f>IFNA(VLOOKUP(F1244,Driver!A:C,2,false),"")</f>
        <v/>
      </c>
      <c r="C1244" s="5" t="str">
        <f>IFNA(VLOOKUP(E1244,'Location Table'!A:C,2,false),"")</f>
        <v/>
      </c>
      <c r="D1244" s="6"/>
      <c r="E1244" s="6"/>
      <c r="F1244" s="38"/>
      <c r="G1244" s="7"/>
      <c r="H1244" s="8" t="str">
        <f>IFNA(VLOOKUP(F1244,Driver!A:C,3,false),"")</f>
        <v/>
      </c>
      <c r="I1244" s="9"/>
      <c r="J1244" s="9"/>
    </row>
    <row r="1245">
      <c r="A1245" s="5" t="str">
        <f>IFNA(VLOOKUP(D1245,'Location Table'!A:C,2,false),"")</f>
        <v/>
      </c>
      <c r="B1245" s="5" t="str">
        <f>IFNA(VLOOKUP(F1245,Driver!A:C,2,false),"")</f>
        <v/>
      </c>
      <c r="C1245" s="5" t="str">
        <f>IFNA(VLOOKUP(E1245,'Location Table'!A:C,2,false),"")</f>
        <v/>
      </c>
      <c r="D1245" s="6"/>
      <c r="E1245" s="6"/>
      <c r="F1245" s="38"/>
      <c r="G1245" s="7"/>
      <c r="H1245" s="8" t="str">
        <f>IFNA(VLOOKUP(F1245,Driver!A:C,3,false),"")</f>
        <v/>
      </c>
      <c r="I1245" s="9"/>
      <c r="J1245" s="9"/>
    </row>
    <row r="1246">
      <c r="A1246" s="5" t="str">
        <f>IFNA(VLOOKUP(D1246,'Location Table'!A:C,2,false),"")</f>
        <v/>
      </c>
      <c r="B1246" s="5" t="str">
        <f>IFNA(VLOOKUP(F1246,Driver!A:C,2,false),"")</f>
        <v/>
      </c>
      <c r="C1246" s="5" t="str">
        <f>IFNA(VLOOKUP(E1246,'Location Table'!A:C,2,false),"")</f>
        <v/>
      </c>
      <c r="D1246" s="6"/>
      <c r="E1246" s="6"/>
      <c r="F1246" s="38"/>
      <c r="G1246" s="7"/>
      <c r="H1246" s="8" t="str">
        <f>IFNA(VLOOKUP(F1246,Driver!A:C,3,false),"")</f>
        <v/>
      </c>
      <c r="I1246" s="9"/>
      <c r="J1246" s="9"/>
    </row>
    <row r="1247">
      <c r="A1247" s="5" t="str">
        <f>IFNA(VLOOKUP(D1247,'Location Table'!A:C,2,false),"")</f>
        <v/>
      </c>
      <c r="B1247" s="5" t="str">
        <f>IFNA(VLOOKUP(F1247,Driver!A:C,2,false),"")</f>
        <v/>
      </c>
      <c r="C1247" s="5" t="str">
        <f>IFNA(VLOOKUP(E1247,'Location Table'!A:C,2,false),"")</f>
        <v/>
      </c>
      <c r="D1247" s="6"/>
      <c r="E1247" s="6"/>
      <c r="F1247" s="38"/>
      <c r="G1247" s="7"/>
      <c r="H1247" s="8" t="str">
        <f>IFNA(VLOOKUP(F1247,Driver!A:C,3,false),"")</f>
        <v/>
      </c>
      <c r="I1247" s="9"/>
      <c r="J1247" s="9"/>
    </row>
    <row r="1248">
      <c r="A1248" s="5" t="str">
        <f>IFNA(VLOOKUP(D1248,'Location Table'!A:C,2,false),"")</f>
        <v/>
      </c>
      <c r="B1248" s="5" t="str">
        <f>IFNA(VLOOKUP(F1248,Driver!A:C,2,false),"")</f>
        <v/>
      </c>
      <c r="C1248" s="5" t="str">
        <f>IFNA(VLOOKUP(E1248,'Location Table'!A:C,2,false),"")</f>
        <v/>
      </c>
      <c r="D1248" s="6"/>
      <c r="E1248" s="6"/>
      <c r="F1248" s="38"/>
      <c r="G1248" s="7"/>
      <c r="H1248" s="8" t="str">
        <f>IFNA(VLOOKUP(F1248,Driver!A:C,3,false),"")</f>
        <v/>
      </c>
      <c r="I1248" s="9"/>
      <c r="J1248" s="9"/>
    </row>
    <row r="1249">
      <c r="A1249" s="5" t="str">
        <f>IFNA(VLOOKUP(D1249,'Location Table'!A:C,2,false),"")</f>
        <v/>
      </c>
      <c r="B1249" s="5" t="str">
        <f>IFNA(VLOOKUP(F1249,Driver!A:C,2,false),"")</f>
        <v/>
      </c>
      <c r="C1249" s="5" t="str">
        <f>IFNA(VLOOKUP(E1249,'Location Table'!A:C,2,false),"")</f>
        <v/>
      </c>
      <c r="D1249" s="6"/>
      <c r="E1249" s="6"/>
      <c r="F1249" s="38"/>
      <c r="G1249" s="7"/>
      <c r="H1249" s="8" t="str">
        <f>IFNA(VLOOKUP(F1249,Driver!A:C,3,false),"")</f>
        <v/>
      </c>
      <c r="I1249" s="9"/>
      <c r="J1249" s="9"/>
    </row>
    <row r="1250">
      <c r="A1250" s="5" t="str">
        <f>IFNA(VLOOKUP(D1250,'Location Table'!A:C,2,false),"")</f>
        <v/>
      </c>
      <c r="B1250" s="5" t="str">
        <f>IFNA(VLOOKUP(F1250,Driver!A:C,2,false),"")</f>
        <v/>
      </c>
      <c r="C1250" s="5" t="str">
        <f>IFNA(VLOOKUP(E1250,'Location Table'!A:C,2,false),"")</f>
        <v/>
      </c>
      <c r="D1250" s="6"/>
      <c r="E1250" s="6"/>
      <c r="F1250" s="38"/>
      <c r="G1250" s="7"/>
      <c r="H1250" s="8" t="str">
        <f>IFNA(VLOOKUP(F1250,Driver!A:C,3,false),"")</f>
        <v/>
      </c>
      <c r="I1250" s="9"/>
      <c r="J1250" s="9"/>
    </row>
    <row r="1251">
      <c r="A1251" s="5" t="str">
        <f>IFNA(VLOOKUP(D1251,'Location Table'!A:C,2,false),"")</f>
        <v/>
      </c>
      <c r="B1251" s="5" t="str">
        <f>IFNA(VLOOKUP(F1251,Driver!A:C,2,false),"")</f>
        <v/>
      </c>
      <c r="C1251" s="5" t="str">
        <f>IFNA(VLOOKUP(E1251,'Location Table'!A:C,2,false),"")</f>
        <v/>
      </c>
      <c r="D1251" s="6"/>
      <c r="E1251" s="6"/>
      <c r="F1251" s="38"/>
      <c r="G1251" s="7"/>
      <c r="H1251" s="8" t="str">
        <f>IFNA(VLOOKUP(F1251,Driver!A:C,3,false),"")</f>
        <v/>
      </c>
      <c r="I1251" s="9"/>
      <c r="J1251" s="9"/>
    </row>
    <row r="1252">
      <c r="A1252" s="5" t="str">
        <f>IFNA(VLOOKUP(D1252,'Location Table'!A:C,2,false),"")</f>
        <v/>
      </c>
      <c r="B1252" s="5" t="str">
        <f>IFNA(VLOOKUP(F1252,Driver!A:C,2,false),"")</f>
        <v/>
      </c>
      <c r="C1252" s="5" t="str">
        <f>IFNA(VLOOKUP(E1252,'Location Table'!A:C,2,false),"")</f>
        <v/>
      </c>
      <c r="D1252" s="6"/>
      <c r="E1252" s="6"/>
      <c r="F1252" s="38"/>
      <c r="G1252" s="7"/>
      <c r="H1252" s="8" t="str">
        <f>IFNA(VLOOKUP(F1252,Driver!A:C,3,false),"")</f>
        <v/>
      </c>
      <c r="I1252" s="9"/>
      <c r="J1252" s="9"/>
    </row>
    <row r="1253">
      <c r="A1253" s="5" t="str">
        <f>IFNA(VLOOKUP(D1253,'Location Table'!A:C,2,false),"")</f>
        <v/>
      </c>
      <c r="B1253" s="5" t="str">
        <f>IFNA(VLOOKUP(F1253,Driver!A:C,2,false),"")</f>
        <v/>
      </c>
      <c r="C1253" s="5" t="str">
        <f>IFNA(VLOOKUP(E1253,'Location Table'!A:C,2,false),"")</f>
        <v/>
      </c>
      <c r="D1253" s="6"/>
      <c r="E1253" s="6"/>
      <c r="F1253" s="38"/>
      <c r="G1253" s="7"/>
      <c r="H1253" s="8" t="str">
        <f>IFNA(VLOOKUP(F1253,Driver!A:C,3,false),"")</f>
        <v/>
      </c>
      <c r="I1253" s="9"/>
      <c r="J1253" s="9"/>
    </row>
    <row r="1254">
      <c r="A1254" s="5" t="str">
        <f>IFNA(VLOOKUP(D1254,'Location Table'!A:C,2,false),"")</f>
        <v/>
      </c>
      <c r="B1254" s="5" t="str">
        <f>IFNA(VLOOKUP(F1254,Driver!A:C,2,false),"")</f>
        <v/>
      </c>
      <c r="C1254" s="5" t="str">
        <f>IFNA(VLOOKUP(E1254,'Location Table'!A:C,2,false),"")</f>
        <v/>
      </c>
      <c r="D1254" s="6"/>
      <c r="E1254" s="6"/>
      <c r="F1254" s="38"/>
      <c r="G1254" s="7"/>
      <c r="H1254" s="8" t="str">
        <f>IFNA(VLOOKUP(F1254,Driver!A:C,3,false),"")</f>
        <v/>
      </c>
      <c r="I1254" s="9"/>
      <c r="J1254" s="9"/>
    </row>
    <row r="1255">
      <c r="A1255" s="5" t="str">
        <f>IFNA(VLOOKUP(D1255,'Location Table'!A:C,2,false),"")</f>
        <v/>
      </c>
      <c r="B1255" s="5" t="str">
        <f>IFNA(VLOOKUP(F1255,Driver!A:C,2,false),"")</f>
        <v/>
      </c>
      <c r="C1255" s="5" t="str">
        <f>IFNA(VLOOKUP(E1255,'Location Table'!A:C,2,false),"")</f>
        <v/>
      </c>
      <c r="D1255" s="6"/>
      <c r="E1255" s="6"/>
      <c r="F1255" s="38"/>
      <c r="G1255" s="7"/>
      <c r="H1255" s="8" t="str">
        <f>IFNA(VLOOKUP(F1255,Driver!A:C,3,false),"")</f>
        <v/>
      </c>
      <c r="I1255" s="9"/>
      <c r="J1255" s="9"/>
    </row>
    <row r="1256">
      <c r="A1256" s="5" t="str">
        <f>IFNA(VLOOKUP(D1256,'Location Table'!A:C,2,false),"")</f>
        <v/>
      </c>
      <c r="B1256" s="5" t="str">
        <f>IFNA(VLOOKUP(F1256,Driver!A:C,2,false),"")</f>
        <v/>
      </c>
      <c r="C1256" s="5" t="str">
        <f>IFNA(VLOOKUP(E1256,'Location Table'!A:C,2,false),"")</f>
        <v/>
      </c>
      <c r="D1256" s="6"/>
      <c r="E1256" s="6"/>
      <c r="F1256" s="38"/>
      <c r="G1256" s="7"/>
      <c r="H1256" s="8" t="str">
        <f>IFNA(VLOOKUP(F1256,Driver!A:C,3,false),"")</f>
        <v/>
      </c>
      <c r="I1256" s="9"/>
      <c r="J1256" s="9"/>
    </row>
    <row r="1257">
      <c r="A1257" s="5" t="str">
        <f>IFNA(VLOOKUP(D1257,'Location Table'!A:C,2,false),"")</f>
        <v/>
      </c>
      <c r="B1257" s="5" t="str">
        <f>IFNA(VLOOKUP(F1257,Driver!A:C,2,false),"")</f>
        <v/>
      </c>
      <c r="C1257" s="5" t="str">
        <f>IFNA(VLOOKUP(E1257,'Location Table'!A:C,2,false),"")</f>
        <v/>
      </c>
      <c r="D1257" s="6"/>
      <c r="E1257" s="6"/>
      <c r="F1257" s="38"/>
      <c r="G1257" s="7"/>
      <c r="H1257" s="8" t="str">
        <f>IFNA(VLOOKUP(F1257,Driver!A:C,3,false),"")</f>
        <v/>
      </c>
      <c r="I1257" s="9"/>
      <c r="J1257" s="9"/>
    </row>
    <row r="1258">
      <c r="A1258" s="5" t="str">
        <f>IFNA(VLOOKUP(D1258,'Location Table'!A:C,2,false),"")</f>
        <v/>
      </c>
      <c r="B1258" s="5" t="str">
        <f>IFNA(VLOOKUP(F1258,Driver!A:C,2,false),"")</f>
        <v/>
      </c>
      <c r="C1258" s="5" t="str">
        <f>IFNA(VLOOKUP(E1258,'Location Table'!A:C,2,false),"")</f>
        <v/>
      </c>
      <c r="D1258" s="6"/>
      <c r="E1258" s="6"/>
      <c r="F1258" s="38"/>
      <c r="G1258" s="7"/>
      <c r="H1258" s="8" t="str">
        <f>IFNA(VLOOKUP(F1258,Driver!A:C,3,false),"")</f>
        <v/>
      </c>
      <c r="I1258" s="9"/>
      <c r="J1258" s="9"/>
    </row>
    <row r="1259">
      <c r="A1259" s="5" t="str">
        <f>IFNA(VLOOKUP(D1259,'Location Table'!A:C,2,false),"")</f>
        <v/>
      </c>
      <c r="B1259" s="5" t="str">
        <f>IFNA(VLOOKUP(F1259,Driver!A:C,2,false),"")</f>
        <v/>
      </c>
      <c r="C1259" s="5" t="str">
        <f>IFNA(VLOOKUP(E1259,'Location Table'!A:C,2,false),"")</f>
        <v/>
      </c>
      <c r="D1259" s="6"/>
      <c r="E1259" s="6"/>
      <c r="F1259" s="38"/>
      <c r="G1259" s="7"/>
      <c r="H1259" s="8" t="str">
        <f>IFNA(VLOOKUP(F1259,Driver!A:C,3,false),"")</f>
        <v/>
      </c>
      <c r="I1259" s="9"/>
      <c r="J1259" s="9"/>
    </row>
    <row r="1260">
      <c r="A1260" s="5" t="str">
        <f>IFNA(VLOOKUP(D1260,'Location Table'!A:C,2,false),"")</f>
        <v/>
      </c>
      <c r="B1260" s="5" t="str">
        <f>IFNA(VLOOKUP(F1260,Driver!A:C,2,false),"")</f>
        <v/>
      </c>
      <c r="C1260" s="5" t="str">
        <f>IFNA(VLOOKUP(E1260,'Location Table'!A:C,2,false),"")</f>
        <v/>
      </c>
      <c r="D1260" s="6"/>
      <c r="E1260" s="6"/>
      <c r="F1260" s="38"/>
      <c r="G1260" s="7"/>
      <c r="H1260" s="8" t="str">
        <f>IFNA(VLOOKUP(F1260,Driver!A:C,3,false),"")</f>
        <v/>
      </c>
      <c r="I1260" s="9"/>
      <c r="J1260" s="9"/>
    </row>
    <row r="1261">
      <c r="A1261" s="5" t="str">
        <f>IFNA(VLOOKUP(D1261,'Location Table'!A:C,2,false),"")</f>
        <v/>
      </c>
      <c r="B1261" s="5" t="str">
        <f>IFNA(VLOOKUP(F1261,Driver!A:C,2,false),"")</f>
        <v/>
      </c>
      <c r="C1261" s="5" t="str">
        <f>IFNA(VLOOKUP(E1261,'Location Table'!A:C,2,false),"")</f>
        <v/>
      </c>
      <c r="D1261" s="6"/>
      <c r="E1261" s="6"/>
      <c r="F1261" s="38"/>
      <c r="G1261" s="7"/>
      <c r="H1261" s="8" t="str">
        <f>IFNA(VLOOKUP(F1261,Driver!A:C,3,false),"")</f>
        <v/>
      </c>
      <c r="I1261" s="9"/>
      <c r="J1261" s="9"/>
    </row>
    <row r="1262">
      <c r="A1262" s="5" t="str">
        <f>IFNA(VLOOKUP(D1262,'Location Table'!A:C,2,false),"")</f>
        <v/>
      </c>
      <c r="B1262" s="5" t="str">
        <f>IFNA(VLOOKUP(F1262,Driver!A:C,2,false),"")</f>
        <v/>
      </c>
      <c r="C1262" s="5" t="str">
        <f>IFNA(VLOOKUP(E1262,'Location Table'!A:C,2,false),"")</f>
        <v/>
      </c>
      <c r="D1262" s="6"/>
      <c r="E1262" s="6"/>
      <c r="F1262" s="38"/>
      <c r="G1262" s="7"/>
      <c r="H1262" s="8" t="str">
        <f>IFNA(VLOOKUP(F1262,Driver!A:C,3,false),"")</f>
        <v/>
      </c>
      <c r="I1262" s="9"/>
      <c r="J1262" s="9"/>
    </row>
    <row r="1263">
      <c r="A1263" s="5" t="str">
        <f>IFNA(VLOOKUP(D1263,'Location Table'!A:C,2,false),"")</f>
        <v/>
      </c>
      <c r="B1263" s="5" t="str">
        <f>IFNA(VLOOKUP(F1263,Driver!A:C,2,false),"")</f>
        <v/>
      </c>
      <c r="C1263" s="5" t="str">
        <f>IFNA(VLOOKUP(E1263,'Location Table'!A:C,2,false),"")</f>
        <v/>
      </c>
      <c r="D1263" s="6"/>
      <c r="E1263" s="6"/>
      <c r="F1263" s="38"/>
      <c r="G1263" s="7"/>
      <c r="H1263" s="8" t="str">
        <f>IFNA(VLOOKUP(F1263,Driver!A:C,3,false),"")</f>
        <v/>
      </c>
      <c r="I1263" s="9"/>
      <c r="J1263" s="9"/>
    </row>
    <row r="1264">
      <c r="A1264" s="5" t="str">
        <f>IFNA(VLOOKUP(D1264,'Location Table'!A:C,2,false),"")</f>
        <v/>
      </c>
      <c r="B1264" s="5" t="str">
        <f>IFNA(VLOOKUP(F1264,Driver!A:C,2,false),"")</f>
        <v/>
      </c>
      <c r="C1264" s="5" t="str">
        <f>IFNA(VLOOKUP(E1264,'Location Table'!A:C,2,false),"")</f>
        <v/>
      </c>
      <c r="D1264" s="6"/>
      <c r="E1264" s="6"/>
      <c r="F1264" s="38"/>
      <c r="G1264" s="7"/>
      <c r="H1264" s="8" t="str">
        <f>IFNA(VLOOKUP(F1264,Driver!A:C,3,false),"")</f>
        <v/>
      </c>
      <c r="I1264" s="9"/>
      <c r="J1264" s="9"/>
    </row>
    <row r="1265">
      <c r="A1265" s="5" t="str">
        <f>IFNA(VLOOKUP(D1265,'Location Table'!A:C,2,false),"")</f>
        <v/>
      </c>
      <c r="B1265" s="5" t="str">
        <f>IFNA(VLOOKUP(F1265,Driver!A:C,2,false),"")</f>
        <v/>
      </c>
      <c r="C1265" s="5" t="str">
        <f>IFNA(VLOOKUP(E1265,'Location Table'!A:C,2,false),"")</f>
        <v/>
      </c>
      <c r="D1265" s="6"/>
      <c r="E1265" s="6"/>
      <c r="F1265" s="38"/>
      <c r="G1265" s="7"/>
      <c r="H1265" s="8" t="str">
        <f>IFNA(VLOOKUP(F1265,Driver!A:C,3,false),"")</f>
        <v/>
      </c>
      <c r="I1265" s="9"/>
      <c r="J1265" s="9"/>
    </row>
    <row r="1266">
      <c r="A1266" s="5" t="str">
        <f>IFNA(VLOOKUP(D1266,'Location Table'!A:C,2,false),"")</f>
        <v/>
      </c>
      <c r="B1266" s="5" t="str">
        <f>IFNA(VLOOKUP(F1266,Driver!A:C,2,false),"")</f>
        <v/>
      </c>
      <c r="C1266" s="5" t="str">
        <f>IFNA(VLOOKUP(E1266,'Location Table'!A:C,2,false),"")</f>
        <v/>
      </c>
      <c r="D1266" s="6"/>
      <c r="E1266" s="6"/>
      <c r="F1266" s="38"/>
      <c r="G1266" s="7"/>
      <c r="H1266" s="8" t="str">
        <f>IFNA(VLOOKUP(F1266,Driver!A:C,3,false),"")</f>
        <v/>
      </c>
      <c r="I1266" s="9"/>
      <c r="J1266" s="9"/>
    </row>
    <row r="1267">
      <c r="A1267" s="5" t="str">
        <f>IFNA(VLOOKUP(D1267,'Location Table'!A:C,2,false),"")</f>
        <v/>
      </c>
      <c r="B1267" s="5" t="str">
        <f>IFNA(VLOOKUP(F1267,Driver!A:C,2,false),"")</f>
        <v/>
      </c>
      <c r="C1267" s="5" t="str">
        <f>IFNA(VLOOKUP(E1267,'Location Table'!A:C,2,false),"")</f>
        <v/>
      </c>
      <c r="D1267" s="6"/>
      <c r="E1267" s="6"/>
      <c r="F1267" s="38"/>
      <c r="G1267" s="7"/>
      <c r="H1267" s="8" t="str">
        <f>IFNA(VLOOKUP(F1267,Driver!A:C,3,false),"")</f>
        <v/>
      </c>
      <c r="I1267" s="9"/>
      <c r="J1267" s="9"/>
    </row>
    <row r="1268">
      <c r="A1268" s="5" t="str">
        <f>IFNA(VLOOKUP(D1268,'Location Table'!A:C,2,false),"")</f>
        <v/>
      </c>
      <c r="B1268" s="5" t="str">
        <f>IFNA(VLOOKUP(F1268,Driver!A:C,2,false),"")</f>
        <v/>
      </c>
      <c r="C1268" s="5" t="str">
        <f>IFNA(VLOOKUP(E1268,'Location Table'!A:C,2,false),"")</f>
        <v/>
      </c>
      <c r="D1268" s="6"/>
      <c r="E1268" s="6"/>
      <c r="F1268" s="38"/>
      <c r="G1268" s="7"/>
      <c r="H1268" s="8" t="str">
        <f>IFNA(VLOOKUP(F1268,Driver!A:C,3,false),"")</f>
        <v/>
      </c>
      <c r="I1268" s="9"/>
      <c r="J1268" s="9"/>
    </row>
    <row r="1269">
      <c r="A1269" s="5" t="str">
        <f>IFNA(VLOOKUP(D1269,'Location Table'!A:C,2,false),"")</f>
        <v/>
      </c>
      <c r="B1269" s="5" t="str">
        <f>IFNA(VLOOKUP(F1269,Driver!A:C,2,false),"")</f>
        <v/>
      </c>
      <c r="C1269" s="5" t="str">
        <f>IFNA(VLOOKUP(E1269,'Location Table'!A:C,2,false),"")</f>
        <v/>
      </c>
      <c r="D1269" s="6"/>
      <c r="E1269" s="6"/>
      <c r="F1269" s="38"/>
      <c r="G1269" s="7"/>
      <c r="H1269" s="8" t="str">
        <f>IFNA(VLOOKUP(F1269,Driver!A:C,3,false),"")</f>
        <v/>
      </c>
      <c r="I1269" s="9"/>
      <c r="J1269" s="9"/>
    </row>
    <row r="1270">
      <c r="A1270" s="5" t="str">
        <f>IFNA(VLOOKUP(D1270,'Location Table'!A:C,2,false),"")</f>
        <v/>
      </c>
      <c r="B1270" s="5" t="str">
        <f>IFNA(VLOOKUP(F1270,Driver!A:C,2,false),"")</f>
        <v/>
      </c>
      <c r="C1270" s="5" t="str">
        <f>IFNA(VLOOKUP(E1270,'Location Table'!A:C,2,false),"")</f>
        <v/>
      </c>
      <c r="D1270" s="6"/>
      <c r="E1270" s="6"/>
      <c r="F1270" s="38"/>
      <c r="G1270" s="7"/>
      <c r="H1270" s="8" t="str">
        <f>IFNA(VLOOKUP(F1270,Driver!A:C,3,false),"")</f>
        <v/>
      </c>
      <c r="I1270" s="9"/>
      <c r="J1270" s="9"/>
    </row>
    <row r="1271">
      <c r="A1271" s="5" t="str">
        <f>IFNA(VLOOKUP(D1271,'Location Table'!A:C,2,false),"")</f>
        <v/>
      </c>
      <c r="B1271" s="5" t="str">
        <f>IFNA(VLOOKUP(F1271,Driver!A:C,2,false),"")</f>
        <v/>
      </c>
      <c r="C1271" s="5" t="str">
        <f>IFNA(VLOOKUP(E1271,'Location Table'!A:C,2,false),"")</f>
        <v/>
      </c>
      <c r="D1271" s="6"/>
      <c r="E1271" s="6"/>
      <c r="F1271" s="38"/>
      <c r="G1271" s="7"/>
      <c r="H1271" s="8" t="str">
        <f>IFNA(VLOOKUP(F1271,Driver!A:C,3,false),"")</f>
        <v/>
      </c>
      <c r="I1271" s="9"/>
      <c r="J1271" s="9"/>
    </row>
    <row r="1272">
      <c r="A1272" s="5" t="str">
        <f>IFNA(VLOOKUP(D1272,'Location Table'!A:C,2,false),"")</f>
        <v/>
      </c>
      <c r="B1272" s="5" t="str">
        <f>IFNA(VLOOKUP(F1272,Driver!A:C,2,false),"")</f>
        <v/>
      </c>
      <c r="C1272" s="5" t="str">
        <f>IFNA(VLOOKUP(E1272,'Location Table'!A:C,2,false),"")</f>
        <v/>
      </c>
      <c r="D1272" s="6"/>
      <c r="E1272" s="6"/>
      <c r="F1272" s="38"/>
      <c r="G1272" s="7"/>
      <c r="H1272" s="8" t="str">
        <f>IFNA(VLOOKUP(F1272,Driver!A:C,3,false),"")</f>
        <v/>
      </c>
      <c r="I1272" s="9"/>
      <c r="J1272" s="9"/>
    </row>
    <row r="1273">
      <c r="A1273" s="5" t="str">
        <f>IFNA(VLOOKUP(D1273,'Location Table'!A:C,2,false),"")</f>
        <v/>
      </c>
      <c r="B1273" s="5" t="str">
        <f>IFNA(VLOOKUP(F1273,Driver!A:C,2,false),"")</f>
        <v/>
      </c>
      <c r="C1273" s="5" t="str">
        <f>IFNA(VLOOKUP(E1273,'Location Table'!A:C,2,false),"")</f>
        <v/>
      </c>
      <c r="D1273" s="6"/>
      <c r="E1273" s="6"/>
      <c r="F1273" s="38"/>
      <c r="G1273" s="7"/>
      <c r="H1273" s="8" t="str">
        <f>IFNA(VLOOKUP(F1273,Driver!A:C,3,false),"")</f>
        <v/>
      </c>
      <c r="I1273" s="9"/>
      <c r="J1273" s="9"/>
    </row>
    <row r="1274">
      <c r="A1274" s="5" t="str">
        <f>IFNA(VLOOKUP(D1274,'Location Table'!A:C,2,false),"")</f>
        <v/>
      </c>
      <c r="B1274" s="5" t="str">
        <f>IFNA(VLOOKUP(F1274,Driver!A:C,2,false),"")</f>
        <v/>
      </c>
      <c r="C1274" s="5" t="str">
        <f>IFNA(VLOOKUP(E1274,'Location Table'!A:C,2,false),"")</f>
        <v/>
      </c>
      <c r="D1274" s="6"/>
      <c r="E1274" s="6"/>
      <c r="F1274" s="38"/>
      <c r="G1274" s="7"/>
      <c r="H1274" s="8" t="str">
        <f>IFNA(VLOOKUP(F1274,Driver!A:C,3,false),"")</f>
        <v/>
      </c>
      <c r="I1274" s="9"/>
      <c r="J1274" s="9"/>
    </row>
    <row r="1275">
      <c r="A1275" s="5" t="str">
        <f>IFNA(VLOOKUP(D1275,'Location Table'!A:C,2,false),"")</f>
        <v/>
      </c>
      <c r="B1275" s="5" t="str">
        <f>IFNA(VLOOKUP(F1275,Driver!A:C,2,false),"")</f>
        <v/>
      </c>
      <c r="C1275" s="5" t="str">
        <f>IFNA(VLOOKUP(E1275,'Location Table'!A:C,2,false),"")</f>
        <v/>
      </c>
      <c r="D1275" s="6"/>
      <c r="E1275" s="6"/>
      <c r="F1275" s="38"/>
      <c r="G1275" s="7"/>
      <c r="H1275" s="8" t="str">
        <f>IFNA(VLOOKUP(F1275,Driver!A:C,3,false),"")</f>
        <v/>
      </c>
      <c r="I1275" s="9"/>
      <c r="J1275" s="9"/>
    </row>
    <row r="1276">
      <c r="A1276" s="5" t="str">
        <f>IFNA(VLOOKUP(D1276,'Location Table'!A:C,2,false),"")</f>
        <v/>
      </c>
      <c r="B1276" s="5" t="str">
        <f>IFNA(VLOOKUP(F1276,Driver!A:C,2,false),"")</f>
        <v/>
      </c>
      <c r="C1276" s="5" t="str">
        <f>IFNA(VLOOKUP(E1276,'Location Table'!A:C,2,false),"")</f>
        <v/>
      </c>
      <c r="D1276" s="6"/>
      <c r="E1276" s="6"/>
      <c r="F1276" s="38"/>
      <c r="G1276" s="7"/>
      <c r="H1276" s="8" t="str">
        <f>IFNA(VLOOKUP(F1276,Driver!A:C,3,false),"")</f>
        <v/>
      </c>
      <c r="I1276" s="9"/>
      <c r="J1276" s="9"/>
    </row>
    <row r="1277">
      <c r="A1277" s="5" t="str">
        <f>IFNA(VLOOKUP(D1277,'Location Table'!A:C,2,false),"")</f>
        <v/>
      </c>
      <c r="B1277" s="5" t="str">
        <f>IFNA(VLOOKUP(F1277,Driver!A:C,2,false),"")</f>
        <v/>
      </c>
      <c r="C1277" s="5" t="str">
        <f>IFNA(VLOOKUP(E1277,'Location Table'!A:C,2,false),"")</f>
        <v/>
      </c>
      <c r="D1277" s="6"/>
      <c r="E1277" s="6"/>
      <c r="F1277" s="38"/>
      <c r="G1277" s="7"/>
      <c r="H1277" s="8" t="str">
        <f>IFNA(VLOOKUP(F1277,Driver!A:C,3,false),"")</f>
        <v/>
      </c>
      <c r="I1277" s="9"/>
      <c r="J1277" s="9"/>
    </row>
    <row r="1278">
      <c r="A1278" s="5" t="str">
        <f>IFNA(VLOOKUP(D1278,'Location Table'!A:C,2,false),"")</f>
        <v/>
      </c>
      <c r="B1278" s="5" t="str">
        <f>IFNA(VLOOKUP(F1278,Driver!A:C,2,false),"")</f>
        <v/>
      </c>
      <c r="C1278" s="5" t="str">
        <f>IFNA(VLOOKUP(E1278,'Location Table'!A:C,2,false),"")</f>
        <v/>
      </c>
      <c r="D1278" s="6"/>
      <c r="E1278" s="6"/>
      <c r="F1278" s="38"/>
      <c r="G1278" s="7"/>
      <c r="H1278" s="8" t="str">
        <f>IFNA(VLOOKUP(F1278,Driver!A:C,3,false),"")</f>
        <v/>
      </c>
      <c r="I1278" s="9"/>
      <c r="J1278" s="9"/>
    </row>
    <row r="1279">
      <c r="A1279" s="5" t="str">
        <f>IFNA(VLOOKUP(D1279,'Location Table'!A:C,2,false),"")</f>
        <v/>
      </c>
      <c r="B1279" s="5" t="str">
        <f>IFNA(VLOOKUP(F1279,Driver!A:C,2,false),"")</f>
        <v/>
      </c>
      <c r="C1279" s="5" t="str">
        <f>IFNA(VLOOKUP(E1279,'Location Table'!A:C,2,false),"")</f>
        <v/>
      </c>
      <c r="D1279" s="6"/>
      <c r="E1279" s="6"/>
      <c r="F1279" s="38"/>
      <c r="G1279" s="7"/>
      <c r="H1279" s="8" t="str">
        <f>IFNA(VLOOKUP(F1279,Driver!A:C,3,false),"")</f>
        <v/>
      </c>
      <c r="I1279" s="9"/>
      <c r="J1279" s="9"/>
    </row>
    <row r="1280">
      <c r="A1280" s="5" t="str">
        <f>IFNA(VLOOKUP(D1280,'Location Table'!A:C,2,false),"")</f>
        <v/>
      </c>
      <c r="B1280" s="5" t="str">
        <f>IFNA(VLOOKUP(F1280,Driver!A:C,2,false),"")</f>
        <v/>
      </c>
      <c r="C1280" s="5" t="str">
        <f>IFNA(VLOOKUP(E1280,'Location Table'!A:C,2,false),"")</f>
        <v/>
      </c>
      <c r="D1280" s="6"/>
      <c r="E1280" s="6"/>
      <c r="F1280" s="38"/>
      <c r="G1280" s="7"/>
      <c r="H1280" s="8" t="str">
        <f>IFNA(VLOOKUP(F1280,Driver!A:C,3,false),"")</f>
        <v/>
      </c>
      <c r="I1280" s="9"/>
      <c r="J1280" s="9"/>
    </row>
    <row r="1281">
      <c r="A1281" s="5" t="str">
        <f>IFNA(VLOOKUP(D1281,'Location Table'!A:C,2,false),"")</f>
        <v/>
      </c>
      <c r="B1281" s="5" t="str">
        <f>IFNA(VLOOKUP(F1281,Driver!A:C,2,false),"")</f>
        <v/>
      </c>
      <c r="C1281" s="5" t="str">
        <f>IFNA(VLOOKUP(E1281,'Location Table'!A:C,2,false),"")</f>
        <v/>
      </c>
      <c r="D1281" s="6"/>
      <c r="E1281" s="6"/>
      <c r="F1281" s="38"/>
      <c r="G1281" s="7"/>
      <c r="H1281" s="8" t="str">
        <f>IFNA(VLOOKUP(F1281,Driver!A:C,3,false),"")</f>
        <v/>
      </c>
      <c r="I1281" s="9"/>
      <c r="J1281" s="9"/>
    </row>
    <row r="1282">
      <c r="A1282" s="5" t="str">
        <f>IFNA(VLOOKUP(D1282,'Location Table'!A:C,2,false),"")</f>
        <v/>
      </c>
      <c r="B1282" s="5" t="str">
        <f>IFNA(VLOOKUP(F1282,Driver!A:C,2,false),"")</f>
        <v/>
      </c>
      <c r="C1282" s="5" t="str">
        <f>IFNA(VLOOKUP(E1282,'Location Table'!A:C,2,false),"")</f>
        <v/>
      </c>
      <c r="D1282" s="6"/>
      <c r="E1282" s="6"/>
      <c r="F1282" s="38"/>
      <c r="G1282" s="7"/>
      <c r="H1282" s="8" t="str">
        <f>IFNA(VLOOKUP(F1282,Driver!A:C,3,false),"")</f>
        <v/>
      </c>
      <c r="I1282" s="9"/>
      <c r="J1282" s="9"/>
    </row>
    <row r="1283">
      <c r="A1283" s="5" t="str">
        <f>IFNA(VLOOKUP(D1283,'Location Table'!A:C,2,false),"")</f>
        <v/>
      </c>
      <c r="B1283" s="5" t="str">
        <f>IFNA(VLOOKUP(F1283,Driver!A:C,2,false),"")</f>
        <v/>
      </c>
      <c r="C1283" s="5" t="str">
        <f>IFNA(VLOOKUP(E1283,'Location Table'!A:C,2,false),"")</f>
        <v/>
      </c>
      <c r="D1283" s="6"/>
      <c r="E1283" s="6"/>
      <c r="F1283" s="38"/>
      <c r="G1283" s="7"/>
      <c r="H1283" s="8" t="str">
        <f>IFNA(VLOOKUP(F1283,Driver!A:C,3,false),"")</f>
        <v/>
      </c>
      <c r="I1283" s="9"/>
      <c r="J1283" s="9"/>
    </row>
    <row r="1284">
      <c r="A1284" s="5" t="str">
        <f>IFNA(VLOOKUP(D1284,'Location Table'!A:C,2,false),"")</f>
        <v/>
      </c>
      <c r="B1284" s="5" t="str">
        <f>IFNA(VLOOKUP(F1284,Driver!A:C,2,false),"")</f>
        <v/>
      </c>
      <c r="C1284" s="5" t="str">
        <f>IFNA(VLOOKUP(E1284,'Location Table'!A:C,2,false),"")</f>
        <v/>
      </c>
      <c r="D1284" s="6"/>
      <c r="E1284" s="6"/>
      <c r="F1284" s="38"/>
      <c r="G1284" s="7"/>
      <c r="H1284" s="8" t="str">
        <f>IFNA(VLOOKUP(F1284,Driver!A:C,3,false),"")</f>
        <v/>
      </c>
      <c r="I1284" s="9"/>
      <c r="J1284" s="9"/>
    </row>
    <row r="1285">
      <c r="A1285" s="5" t="str">
        <f>IFNA(VLOOKUP(D1285,'Location Table'!A:C,2,false),"")</f>
        <v/>
      </c>
      <c r="B1285" s="5" t="str">
        <f>IFNA(VLOOKUP(F1285,Driver!A:C,2,false),"")</f>
        <v/>
      </c>
      <c r="C1285" s="5" t="str">
        <f>IFNA(VLOOKUP(E1285,'Location Table'!A:C,2,false),"")</f>
        <v/>
      </c>
      <c r="D1285" s="6"/>
      <c r="E1285" s="6"/>
      <c r="F1285" s="38"/>
      <c r="G1285" s="7"/>
      <c r="H1285" s="8" t="str">
        <f>IFNA(VLOOKUP(F1285,Driver!A:C,3,false),"")</f>
        <v/>
      </c>
      <c r="I1285" s="9"/>
      <c r="J1285" s="9"/>
    </row>
    <row r="1286">
      <c r="A1286" s="5" t="str">
        <f>IFNA(VLOOKUP(D1286,'Location Table'!A:C,2,false),"")</f>
        <v/>
      </c>
      <c r="B1286" s="5" t="str">
        <f>IFNA(VLOOKUP(F1286,Driver!A:C,2,false),"")</f>
        <v/>
      </c>
      <c r="C1286" s="5" t="str">
        <f>IFNA(VLOOKUP(E1286,'Location Table'!A:C,2,false),"")</f>
        <v/>
      </c>
      <c r="D1286" s="6"/>
      <c r="E1286" s="6"/>
      <c r="F1286" s="38"/>
      <c r="G1286" s="7"/>
      <c r="H1286" s="8" t="str">
        <f>IFNA(VLOOKUP(F1286,Driver!A:C,3,false),"")</f>
        <v/>
      </c>
      <c r="I1286" s="9"/>
      <c r="J1286" s="9"/>
    </row>
    <row r="1287">
      <c r="A1287" s="5" t="str">
        <f>IFNA(VLOOKUP(D1287,'Location Table'!A:C,2,false),"")</f>
        <v/>
      </c>
      <c r="B1287" s="5" t="str">
        <f>IFNA(VLOOKUP(F1287,Driver!A:C,2,false),"")</f>
        <v/>
      </c>
      <c r="C1287" s="5" t="str">
        <f>IFNA(VLOOKUP(E1287,'Location Table'!A:C,2,false),"")</f>
        <v/>
      </c>
      <c r="D1287" s="6"/>
      <c r="E1287" s="6"/>
      <c r="F1287" s="38"/>
      <c r="G1287" s="7"/>
      <c r="H1287" s="8" t="str">
        <f>IFNA(VLOOKUP(F1287,Driver!A:C,3,false),"")</f>
        <v/>
      </c>
      <c r="I1287" s="9"/>
      <c r="J1287" s="9"/>
    </row>
    <row r="1288">
      <c r="A1288" s="5" t="str">
        <f>IFNA(VLOOKUP(D1288,'Location Table'!A:C,2,false),"")</f>
        <v/>
      </c>
      <c r="B1288" s="5" t="str">
        <f>IFNA(VLOOKUP(F1288,Driver!A:C,2,false),"")</f>
        <v/>
      </c>
      <c r="C1288" s="5" t="str">
        <f>IFNA(VLOOKUP(E1288,'Location Table'!A:C,2,false),"")</f>
        <v/>
      </c>
      <c r="D1288" s="6"/>
      <c r="E1288" s="6"/>
      <c r="F1288" s="38"/>
      <c r="G1288" s="7"/>
      <c r="H1288" s="8" t="str">
        <f>IFNA(VLOOKUP(F1288,Driver!A:C,3,false),"")</f>
        <v/>
      </c>
      <c r="I1288" s="9"/>
      <c r="J1288" s="9"/>
    </row>
    <row r="1289">
      <c r="A1289" s="5" t="str">
        <f>IFNA(VLOOKUP(D1289,'Location Table'!A:C,2,false),"")</f>
        <v/>
      </c>
      <c r="B1289" s="5" t="str">
        <f>IFNA(VLOOKUP(F1289,Driver!A:C,2,false),"")</f>
        <v/>
      </c>
      <c r="C1289" s="5" t="str">
        <f>IFNA(VLOOKUP(E1289,'Location Table'!A:C,2,false),"")</f>
        <v/>
      </c>
      <c r="D1289" s="6"/>
      <c r="E1289" s="6"/>
      <c r="F1289" s="38"/>
      <c r="G1289" s="7"/>
      <c r="H1289" s="8" t="str">
        <f>IFNA(VLOOKUP(F1289,Driver!A:C,3,false),"")</f>
        <v/>
      </c>
      <c r="I1289" s="9"/>
      <c r="J1289" s="9"/>
    </row>
    <row r="1290">
      <c r="A1290" s="5" t="str">
        <f>IFNA(VLOOKUP(D1290,'Location Table'!A:C,2,false),"")</f>
        <v/>
      </c>
      <c r="B1290" s="5" t="str">
        <f>IFNA(VLOOKUP(F1290,Driver!A:C,2,false),"")</f>
        <v/>
      </c>
      <c r="C1290" s="5" t="str">
        <f>IFNA(VLOOKUP(E1290,'Location Table'!A:C,2,false),"")</f>
        <v/>
      </c>
      <c r="D1290" s="6"/>
      <c r="E1290" s="6"/>
      <c r="F1290" s="38"/>
      <c r="G1290" s="7"/>
      <c r="H1290" s="8" t="str">
        <f>IFNA(VLOOKUP(F1290,Driver!A:C,3,false),"")</f>
        <v/>
      </c>
      <c r="I1290" s="9"/>
      <c r="J1290" s="9"/>
    </row>
    <row r="1291">
      <c r="A1291" s="5" t="str">
        <f>IFNA(VLOOKUP(D1291,'Location Table'!A:C,2,false),"")</f>
        <v/>
      </c>
      <c r="B1291" s="5" t="str">
        <f>IFNA(VLOOKUP(F1291,Driver!A:C,2,false),"")</f>
        <v/>
      </c>
      <c r="C1291" s="5" t="str">
        <f>IFNA(VLOOKUP(E1291,'Location Table'!A:C,2,false),"")</f>
        <v/>
      </c>
      <c r="D1291" s="6"/>
      <c r="E1291" s="6"/>
      <c r="F1291" s="38"/>
      <c r="G1291" s="7"/>
      <c r="H1291" s="8" t="str">
        <f>IFNA(VLOOKUP(F1291,Driver!A:C,3,false),"")</f>
        <v/>
      </c>
      <c r="I1291" s="9"/>
      <c r="J1291" s="9"/>
    </row>
    <row r="1292">
      <c r="A1292" s="5" t="str">
        <f>IFNA(VLOOKUP(D1292,'Location Table'!A:C,2,false),"")</f>
        <v/>
      </c>
      <c r="B1292" s="5" t="str">
        <f>IFNA(VLOOKUP(F1292,Driver!A:C,2,false),"")</f>
        <v/>
      </c>
      <c r="C1292" s="5" t="str">
        <f>IFNA(VLOOKUP(E1292,'Location Table'!A:C,2,false),"")</f>
        <v/>
      </c>
      <c r="D1292" s="6"/>
      <c r="E1292" s="6"/>
      <c r="F1292" s="38"/>
      <c r="G1292" s="7"/>
      <c r="H1292" s="8" t="str">
        <f>IFNA(VLOOKUP(F1292,Driver!A:C,3,false),"")</f>
        <v/>
      </c>
      <c r="I1292" s="9"/>
      <c r="J1292" s="9"/>
    </row>
    <row r="1293">
      <c r="A1293" s="5" t="str">
        <f>IFNA(VLOOKUP(D1293,'Location Table'!A:C,2,false),"")</f>
        <v/>
      </c>
      <c r="B1293" s="5" t="str">
        <f>IFNA(VLOOKUP(F1293,Driver!A:C,2,false),"")</f>
        <v/>
      </c>
      <c r="C1293" s="5" t="str">
        <f>IFNA(VLOOKUP(E1293,'Location Table'!A:C,2,false),"")</f>
        <v/>
      </c>
      <c r="D1293" s="6"/>
      <c r="E1293" s="6"/>
      <c r="F1293" s="38"/>
      <c r="G1293" s="7"/>
      <c r="H1293" s="8" t="str">
        <f>IFNA(VLOOKUP(F1293,Driver!A:C,3,false),"")</f>
        <v/>
      </c>
      <c r="I1293" s="9"/>
      <c r="J1293" s="9"/>
    </row>
    <row r="1294">
      <c r="A1294" s="5" t="str">
        <f>IFNA(VLOOKUP(D1294,'Location Table'!A:C,2,false),"")</f>
        <v/>
      </c>
      <c r="B1294" s="5" t="str">
        <f>IFNA(VLOOKUP(F1294,Driver!A:C,2,false),"")</f>
        <v/>
      </c>
      <c r="C1294" s="5" t="str">
        <f>IFNA(VLOOKUP(E1294,'Location Table'!A:C,2,false),"")</f>
        <v/>
      </c>
      <c r="D1294" s="6"/>
      <c r="E1294" s="6"/>
      <c r="F1294" s="38"/>
      <c r="G1294" s="7"/>
      <c r="H1294" s="8" t="str">
        <f>IFNA(VLOOKUP(F1294,Driver!A:C,3,false),"")</f>
        <v/>
      </c>
      <c r="I1294" s="9"/>
      <c r="J1294" s="9"/>
    </row>
    <row r="1295">
      <c r="A1295" s="5" t="str">
        <f>IFNA(VLOOKUP(D1295,'Location Table'!A:C,2,false),"")</f>
        <v/>
      </c>
      <c r="B1295" s="5" t="str">
        <f>IFNA(VLOOKUP(F1295,Driver!A:C,2,false),"")</f>
        <v/>
      </c>
      <c r="C1295" s="5" t="str">
        <f>IFNA(VLOOKUP(E1295,'Location Table'!A:C,2,false),"")</f>
        <v/>
      </c>
      <c r="D1295" s="6"/>
      <c r="E1295" s="6"/>
      <c r="F1295" s="38"/>
      <c r="G1295" s="7"/>
      <c r="H1295" s="8" t="str">
        <f>IFNA(VLOOKUP(F1295,Driver!A:C,3,false),"")</f>
        <v/>
      </c>
      <c r="I1295" s="9"/>
      <c r="J1295" s="9"/>
    </row>
    <row r="1296">
      <c r="A1296" s="5" t="str">
        <f>IFNA(VLOOKUP(D1296,'Location Table'!A:C,2,false),"")</f>
        <v/>
      </c>
      <c r="B1296" s="5" t="str">
        <f>IFNA(VLOOKUP(F1296,Driver!A:C,2,false),"")</f>
        <v/>
      </c>
      <c r="C1296" s="5" t="str">
        <f>IFNA(VLOOKUP(E1296,'Location Table'!A:C,2,false),"")</f>
        <v/>
      </c>
      <c r="D1296" s="6"/>
      <c r="E1296" s="6"/>
      <c r="F1296" s="38"/>
      <c r="G1296" s="7"/>
      <c r="H1296" s="8" t="str">
        <f>IFNA(VLOOKUP(F1296,Driver!A:C,3,false),"")</f>
        <v/>
      </c>
      <c r="I1296" s="9"/>
      <c r="J1296" s="9"/>
    </row>
    <row r="1297">
      <c r="A1297" s="5" t="str">
        <f>IFNA(VLOOKUP(D1297,'Location Table'!A:C,2,false),"")</f>
        <v/>
      </c>
      <c r="B1297" s="5" t="str">
        <f>IFNA(VLOOKUP(F1297,Driver!A:C,2,false),"")</f>
        <v/>
      </c>
      <c r="C1297" s="5" t="str">
        <f>IFNA(VLOOKUP(E1297,'Location Table'!A:C,2,false),"")</f>
        <v/>
      </c>
      <c r="D1297" s="6"/>
      <c r="E1297" s="6"/>
      <c r="F1297" s="38"/>
      <c r="G1297" s="7"/>
      <c r="H1297" s="8" t="str">
        <f>IFNA(VLOOKUP(F1297,Driver!A:C,3,false),"")</f>
        <v/>
      </c>
      <c r="I1297" s="9"/>
      <c r="J1297" s="9"/>
    </row>
    <row r="1298">
      <c r="A1298" s="5" t="str">
        <f>IFNA(VLOOKUP(D1298,'Location Table'!A:C,2,false),"")</f>
        <v/>
      </c>
      <c r="B1298" s="5" t="str">
        <f>IFNA(VLOOKUP(F1298,Driver!A:C,2,false),"")</f>
        <v/>
      </c>
      <c r="C1298" s="5" t="str">
        <f>IFNA(VLOOKUP(E1298,'Location Table'!A:C,2,false),"")</f>
        <v/>
      </c>
      <c r="D1298" s="6"/>
      <c r="E1298" s="6"/>
      <c r="F1298" s="38"/>
      <c r="G1298" s="7"/>
      <c r="H1298" s="8" t="str">
        <f>IFNA(VLOOKUP(F1298,Driver!A:C,3,false),"")</f>
        <v/>
      </c>
      <c r="I1298" s="9"/>
      <c r="J1298" s="9"/>
    </row>
    <row r="1299">
      <c r="A1299" s="5" t="str">
        <f>IFNA(VLOOKUP(D1299,'Location Table'!A:C,2,false),"")</f>
        <v/>
      </c>
      <c r="B1299" s="5" t="str">
        <f>IFNA(VLOOKUP(F1299,Driver!A:C,2,false),"")</f>
        <v/>
      </c>
      <c r="C1299" s="5" t="str">
        <f>IFNA(VLOOKUP(E1299,'Location Table'!A:C,2,false),"")</f>
        <v/>
      </c>
      <c r="D1299" s="6"/>
      <c r="E1299" s="6"/>
      <c r="F1299" s="38"/>
      <c r="G1299" s="7"/>
      <c r="H1299" s="8" t="str">
        <f>IFNA(VLOOKUP(F1299,Driver!A:C,3,false),"")</f>
        <v/>
      </c>
      <c r="I1299" s="9"/>
      <c r="J1299" s="9"/>
    </row>
    <row r="1300">
      <c r="A1300" s="5" t="str">
        <f>IFNA(VLOOKUP(D1300,'Location Table'!A:C,2,false),"")</f>
        <v/>
      </c>
      <c r="B1300" s="5" t="str">
        <f>IFNA(VLOOKUP(F1300,Driver!A:C,2,false),"")</f>
        <v/>
      </c>
      <c r="C1300" s="5" t="str">
        <f>IFNA(VLOOKUP(E1300,'Location Table'!A:C,2,false),"")</f>
        <v/>
      </c>
      <c r="D1300" s="6"/>
      <c r="E1300" s="6"/>
      <c r="F1300" s="38"/>
      <c r="G1300" s="7"/>
      <c r="H1300" s="8" t="str">
        <f>IFNA(VLOOKUP(F1300,Driver!A:C,3,false),"")</f>
        <v/>
      </c>
      <c r="I1300" s="9"/>
      <c r="J1300" s="9"/>
    </row>
    <row r="1301">
      <c r="A1301" s="5" t="str">
        <f>IFNA(VLOOKUP(D1301,'Location Table'!A:C,2,false),"")</f>
        <v/>
      </c>
      <c r="B1301" s="5" t="str">
        <f>IFNA(VLOOKUP(F1301,Driver!A:C,2,false),"")</f>
        <v/>
      </c>
      <c r="C1301" s="5" t="str">
        <f>IFNA(VLOOKUP(E1301,'Location Table'!A:C,2,false),"")</f>
        <v/>
      </c>
      <c r="D1301" s="6"/>
      <c r="E1301" s="6"/>
      <c r="F1301" s="38"/>
      <c r="G1301" s="7"/>
      <c r="H1301" s="8" t="str">
        <f>IFNA(VLOOKUP(F1301,Driver!A:C,3,false),"")</f>
        <v/>
      </c>
      <c r="I1301" s="9"/>
      <c r="J1301" s="9"/>
    </row>
    <row r="1302">
      <c r="A1302" s="5" t="str">
        <f>IFNA(VLOOKUP(D1302,'Location Table'!A:C,2,false),"")</f>
        <v/>
      </c>
      <c r="B1302" s="5" t="str">
        <f>IFNA(VLOOKUP(F1302,Driver!A:C,2,false),"")</f>
        <v/>
      </c>
      <c r="C1302" s="5" t="str">
        <f>IFNA(VLOOKUP(E1302,'Location Table'!A:C,2,false),"")</f>
        <v/>
      </c>
      <c r="D1302" s="6"/>
      <c r="E1302" s="6"/>
      <c r="F1302" s="38"/>
      <c r="G1302" s="7"/>
      <c r="H1302" s="8" t="str">
        <f>IFNA(VLOOKUP(F1302,Driver!A:C,3,false),"")</f>
        <v/>
      </c>
      <c r="I1302" s="9"/>
      <c r="J1302" s="9"/>
    </row>
    <row r="1303">
      <c r="A1303" s="5" t="str">
        <f>IFNA(VLOOKUP(D1303,'Location Table'!A:C,2,false),"")</f>
        <v/>
      </c>
      <c r="B1303" s="5" t="str">
        <f>IFNA(VLOOKUP(F1303,Driver!A:C,2,false),"")</f>
        <v/>
      </c>
      <c r="C1303" s="5" t="str">
        <f>IFNA(VLOOKUP(E1303,'Location Table'!A:C,2,false),"")</f>
        <v/>
      </c>
      <c r="D1303" s="6"/>
      <c r="E1303" s="6"/>
      <c r="F1303" s="38"/>
      <c r="G1303" s="7"/>
      <c r="H1303" s="8" t="str">
        <f>IFNA(VLOOKUP(F1303,Driver!A:C,3,false),"")</f>
        <v/>
      </c>
      <c r="I1303" s="9"/>
      <c r="J1303" s="9"/>
    </row>
    <row r="1304">
      <c r="A1304" s="5" t="str">
        <f>IFNA(VLOOKUP(D1304,'Location Table'!A:C,2,false),"")</f>
        <v/>
      </c>
      <c r="B1304" s="5" t="str">
        <f>IFNA(VLOOKUP(F1304,Driver!A:C,2,false),"")</f>
        <v/>
      </c>
      <c r="C1304" s="5" t="str">
        <f>IFNA(VLOOKUP(E1304,'Location Table'!A:C,2,false),"")</f>
        <v/>
      </c>
      <c r="D1304" s="6"/>
      <c r="E1304" s="6"/>
      <c r="F1304" s="38"/>
      <c r="G1304" s="7"/>
      <c r="H1304" s="8" t="str">
        <f>IFNA(VLOOKUP(F1304,Driver!A:C,3,false),"")</f>
        <v/>
      </c>
      <c r="I1304" s="9"/>
      <c r="J1304" s="9"/>
    </row>
    <row r="1305">
      <c r="A1305" s="5" t="str">
        <f>IFNA(VLOOKUP(D1305,'Location Table'!A:C,2,false),"")</f>
        <v/>
      </c>
      <c r="B1305" s="5" t="str">
        <f>IFNA(VLOOKUP(F1305,Driver!A:C,2,false),"")</f>
        <v/>
      </c>
      <c r="C1305" s="5" t="str">
        <f>IFNA(VLOOKUP(E1305,'Location Table'!A:C,2,false),"")</f>
        <v/>
      </c>
      <c r="D1305" s="6"/>
      <c r="E1305" s="6"/>
      <c r="F1305" s="38"/>
      <c r="G1305" s="7"/>
      <c r="H1305" s="8" t="str">
        <f>IFNA(VLOOKUP(F1305,Driver!A:C,3,false),"")</f>
        <v/>
      </c>
      <c r="I1305" s="9"/>
      <c r="J1305" s="9"/>
    </row>
    <row r="1306">
      <c r="A1306" s="5" t="str">
        <f>IFNA(VLOOKUP(D1306,'Location Table'!A:C,2,false),"")</f>
        <v/>
      </c>
      <c r="B1306" s="5" t="str">
        <f>IFNA(VLOOKUP(F1306,Driver!A:C,2,false),"")</f>
        <v/>
      </c>
      <c r="C1306" s="5" t="str">
        <f>IFNA(VLOOKUP(E1306,'Location Table'!A:C,2,false),"")</f>
        <v/>
      </c>
      <c r="D1306" s="6"/>
      <c r="E1306" s="6"/>
      <c r="F1306" s="38"/>
      <c r="G1306" s="7"/>
      <c r="H1306" s="8" t="str">
        <f>IFNA(VLOOKUP(F1306,Driver!A:C,3,false),"")</f>
        <v/>
      </c>
      <c r="I1306" s="9"/>
      <c r="J1306" s="9"/>
    </row>
    <row r="1307">
      <c r="A1307" s="5" t="str">
        <f>IFNA(VLOOKUP(D1307,'Location Table'!A:C,2,false),"")</f>
        <v/>
      </c>
      <c r="B1307" s="5" t="str">
        <f>IFNA(VLOOKUP(F1307,Driver!A:C,2,false),"")</f>
        <v/>
      </c>
      <c r="C1307" s="5" t="str">
        <f>IFNA(VLOOKUP(E1307,'Location Table'!A:C,2,false),"")</f>
        <v/>
      </c>
      <c r="D1307" s="6"/>
      <c r="E1307" s="6"/>
      <c r="F1307" s="38"/>
      <c r="G1307" s="7"/>
      <c r="H1307" s="8" t="str">
        <f>IFNA(VLOOKUP(F1307,Driver!A:C,3,false),"")</f>
        <v/>
      </c>
      <c r="I1307" s="9"/>
      <c r="J1307" s="9"/>
    </row>
    <row r="1308">
      <c r="A1308" s="5" t="str">
        <f>IFNA(VLOOKUP(D1308,'Location Table'!A:C,2,false),"")</f>
        <v/>
      </c>
      <c r="B1308" s="5" t="str">
        <f>IFNA(VLOOKUP(F1308,Driver!A:C,2,false),"")</f>
        <v/>
      </c>
      <c r="C1308" s="5" t="str">
        <f>IFNA(VLOOKUP(E1308,'Location Table'!A:C,2,false),"")</f>
        <v/>
      </c>
      <c r="D1308" s="6"/>
      <c r="E1308" s="6"/>
      <c r="F1308" s="38"/>
      <c r="G1308" s="7"/>
      <c r="H1308" s="8" t="str">
        <f>IFNA(VLOOKUP(F1308,Driver!A:C,3,false),"")</f>
        <v/>
      </c>
      <c r="I1308" s="9"/>
      <c r="J1308" s="9"/>
    </row>
    <row r="1309">
      <c r="A1309" s="5" t="str">
        <f>IFNA(VLOOKUP(D1309,'Location Table'!A:C,2,false),"")</f>
        <v/>
      </c>
      <c r="B1309" s="5" t="str">
        <f>IFNA(VLOOKUP(F1309,Driver!A:C,2,false),"")</f>
        <v/>
      </c>
      <c r="C1309" s="5" t="str">
        <f>IFNA(VLOOKUP(E1309,'Location Table'!A:C,2,false),"")</f>
        <v/>
      </c>
      <c r="D1309" s="6"/>
      <c r="E1309" s="6"/>
      <c r="F1309" s="38"/>
      <c r="G1309" s="7"/>
      <c r="H1309" s="8" t="str">
        <f>IFNA(VLOOKUP(F1309,Driver!A:C,3,false),"")</f>
        <v/>
      </c>
      <c r="I1309" s="9"/>
      <c r="J1309" s="9"/>
    </row>
    <row r="1310">
      <c r="A1310" s="5" t="str">
        <f>IFNA(VLOOKUP(D1310,'Location Table'!A:C,2,false),"")</f>
        <v/>
      </c>
      <c r="B1310" s="5" t="str">
        <f>IFNA(VLOOKUP(F1310,Driver!A:C,2,false),"")</f>
        <v/>
      </c>
      <c r="C1310" s="5" t="str">
        <f>IFNA(VLOOKUP(E1310,'Location Table'!A:C,2,false),"")</f>
        <v/>
      </c>
      <c r="D1310" s="6"/>
      <c r="E1310" s="6"/>
      <c r="F1310" s="38"/>
      <c r="G1310" s="7"/>
      <c r="H1310" s="8" t="str">
        <f>IFNA(VLOOKUP(F1310,Driver!A:C,3,false),"")</f>
        <v/>
      </c>
      <c r="I1310" s="9"/>
      <c r="J1310" s="9"/>
    </row>
    <row r="1311">
      <c r="A1311" s="5" t="str">
        <f>IFNA(VLOOKUP(D1311,'Location Table'!A:C,2,false),"")</f>
        <v/>
      </c>
      <c r="B1311" s="5" t="str">
        <f>IFNA(VLOOKUP(F1311,Driver!A:C,2,false),"")</f>
        <v/>
      </c>
      <c r="C1311" s="5" t="str">
        <f>IFNA(VLOOKUP(E1311,'Location Table'!A:C,2,false),"")</f>
        <v/>
      </c>
      <c r="D1311" s="6"/>
      <c r="E1311" s="6"/>
      <c r="F1311" s="38"/>
      <c r="G1311" s="7"/>
      <c r="H1311" s="8" t="str">
        <f>IFNA(VLOOKUP(F1311,Driver!A:C,3,false),"")</f>
        <v/>
      </c>
      <c r="I1311" s="9"/>
      <c r="J1311" s="9"/>
    </row>
    <row r="1312">
      <c r="A1312" s="5" t="str">
        <f>IFNA(VLOOKUP(D1312,'Location Table'!A:C,2,false),"")</f>
        <v/>
      </c>
      <c r="B1312" s="5" t="str">
        <f>IFNA(VLOOKUP(F1312,Driver!A:C,2,false),"")</f>
        <v/>
      </c>
      <c r="C1312" s="5" t="str">
        <f>IFNA(VLOOKUP(E1312,'Location Table'!A:C,2,false),"")</f>
        <v/>
      </c>
      <c r="D1312" s="6"/>
      <c r="E1312" s="6"/>
      <c r="F1312" s="38"/>
      <c r="G1312" s="7"/>
      <c r="H1312" s="8" t="str">
        <f>IFNA(VLOOKUP(F1312,Driver!A:C,3,false),"")</f>
        <v/>
      </c>
      <c r="I1312" s="9"/>
      <c r="J1312" s="9"/>
    </row>
    <row r="1313">
      <c r="A1313" s="5" t="str">
        <f>IFNA(VLOOKUP(D1313,'Location Table'!A:C,2,false),"")</f>
        <v/>
      </c>
      <c r="B1313" s="5" t="str">
        <f>IFNA(VLOOKUP(F1313,Driver!A:C,2,false),"")</f>
        <v/>
      </c>
      <c r="C1313" s="5" t="str">
        <f>IFNA(VLOOKUP(E1313,'Location Table'!A:C,2,false),"")</f>
        <v/>
      </c>
      <c r="D1313" s="6"/>
      <c r="E1313" s="6"/>
      <c r="F1313" s="38"/>
      <c r="G1313" s="7"/>
      <c r="H1313" s="8" t="str">
        <f>IFNA(VLOOKUP(F1313,Driver!A:C,3,false),"")</f>
        <v/>
      </c>
      <c r="I1313" s="9"/>
      <c r="J1313" s="9"/>
    </row>
    <row r="1314">
      <c r="A1314" s="5" t="str">
        <f>IFNA(VLOOKUP(D1314,'Location Table'!A:C,2,false),"")</f>
        <v/>
      </c>
      <c r="B1314" s="5" t="str">
        <f>IFNA(VLOOKUP(F1314,Driver!A:C,2,false),"")</f>
        <v/>
      </c>
      <c r="C1314" s="5" t="str">
        <f>IFNA(VLOOKUP(E1314,'Location Table'!A:C,2,false),"")</f>
        <v/>
      </c>
      <c r="D1314" s="6"/>
      <c r="E1314" s="6"/>
      <c r="F1314" s="38"/>
      <c r="G1314" s="7"/>
      <c r="H1314" s="8" t="str">
        <f>IFNA(VLOOKUP(F1314,Driver!A:C,3,false),"")</f>
        <v/>
      </c>
      <c r="I1314" s="9"/>
      <c r="J1314" s="9"/>
    </row>
    <row r="1315">
      <c r="A1315" s="5" t="str">
        <f>IFNA(VLOOKUP(D1315,'Location Table'!A:C,2,false),"")</f>
        <v/>
      </c>
      <c r="B1315" s="5" t="str">
        <f>IFNA(VLOOKUP(F1315,Driver!A:C,2,false),"")</f>
        <v/>
      </c>
      <c r="C1315" s="5" t="str">
        <f>IFNA(VLOOKUP(E1315,'Location Table'!A:C,2,false),"")</f>
        <v/>
      </c>
      <c r="D1315" s="6"/>
      <c r="E1315" s="6"/>
      <c r="F1315" s="38"/>
      <c r="G1315" s="7"/>
      <c r="H1315" s="8" t="str">
        <f>IFNA(VLOOKUP(F1315,Driver!A:C,3,false),"")</f>
        <v/>
      </c>
      <c r="I1315" s="9"/>
      <c r="J1315" s="9"/>
    </row>
    <row r="1316">
      <c r="A1316" s="5" t="str">
        <f>IFNA(VLOOKUP(D1316,'Location Table'!A:C,2,false),"")</f>
        <v/>
      </c>
      <c r="B1316" s="5" t="str">
        <f>IFNA(VLOOKUP(F1316,Driver!A:C,2,false),"")</f>
        <v/>
      </c>
      <c r="C1316" s="5" t="str">
        <f>IFNA(VLOOKUP(E1316,'Location Table'!A:C,2,false),"")</f>
        <v/>
      </c>
      <c r="D1316" s="6"/>
      <c r="E1316" s="6"/>
      <c r="F1316" s="38"/>
      <c r="G1316" s="7"/>
      <c r="H1316" s="8" t="str">
        <f>IFNA(VLOOKUP(F1316,Driver!A:C,3,false),"")</f>
        <v/>
      </c>
      <c r="I1316" s="9"/>
      <c r="J1316" s="9"/>
    </row>
    <row r="1317">
      <c r="A1317" s="5" t="str">
        <f>IFNA(VLOOKUP(D1317,'Location Table'!A:C,2,false),"")</f>
        <v/>
      </c>
      <c r="B1317" s="5" t="str">
        <f>IFNA(VLOOKUP(F1317,Driver!A:C,2,false),"")</f>
        <v/>
      </c>
      <c r="C1317" s="5" t="str">
        <f>IFNA(VLOOKUP(E1317,'Location Table'!A:C,2,false),"")</f>
        <v/>
      </c>
      <c r="D1317" s="6"/>
      <c r="E1317" s="6"/>
      <c r="F1317" s="38"/>
      <c r="G1317" s="7"/>
      <c r="H1317" s="8" t="str">
        <f>IFNA(VLOOKUP(F1317,Driver!A:C,3,false),"")</f>
        <v/>
      </c>
      <c r="I1317" s="9"/>
      <c r="J1317" s="9"/>
    </row>
    <row r="1318">
      <c r="A1318" s="5" t="str">
        <f>IFNA(VLOOKUP(D1318,'Location Table'!A:C,2,false),"")</f>
        <v/>
      </c>
      <c r="B1318" s="5" t="str">
        <f>IFNA(VLOOKUP(F1318,Driver!A:C,2,false),"")</f>
        <v/>
      </c>
      <c r="C1318" s="5" t="str">
        <f>IFNA(VLOOKUP(E1318,'Location Table'!A:C,2,false),"")</f>
        <v/>
      </c>
      <c r="D1318" s="6"/>
      <c r="E1318" s="6"/>
      <c r="F1318" s="38"/>
      <c r="G1318" s="7"/>
      <c r="H1318" s="8" t="str">
        <f>IFNA(VLOOKUP(F1318,Driver!A:C,3,false),"")</f>
        <v/>
      </c>
      <c r="I1318" s="9"/>
      <c r="J1318" s="9"/>
    </row>
    <row r="1319">
      <c r="A1319" s="5" t="str">
        <f>IFNA(VLOOKUP(D1319,'Location Table'!A:C,2,false),"")</f>
        <v/>
      </c>
      <c r="B1319" s="5" t="str">
        <f>IFNA(VLOOKUP(F1319,Driver!A:C,2,false),"")</f>
        <v/>
      </c>
      <c r="C1319" s="5" t="str">
        <f>IFNA(VLOOKUP(E1319,'Location Table'!A:C,2,false),"")</f>
        <v/>
      </c>
      <c r="D1319" s="6"/>
      <c r="E1319" s="6"/>
      <c r="F1319" s="38"/>
      <c r="G1319" s="7"/>
      <c r="H1319" s="8" t="str">
        <f>IFNA(VLOOKUP(F1319,Driver!A:C,3,false),"")</f>
        <v/>
      </c>
      <c r="I1319" s="9"/>
      <c r="J1319" s="9"/>
    </row>
    <row r="1320">
      <c r="A1320" s="5" t="str">
        <f>IFNA(VLOOKUP(D1320,'Location Table'!A:C,2,false),"")</f>
        <v/>
      </c>
      <c r="B1320" s="5" t="str">
        <f>IFNA(VLOOKUP(F1320,Driver!A:C,2,false),"")</f>
        <v/>
      </c>
      <c r="C1320" s="5" t="str">
        <f>IFNA(VLOOKUP(E1320,'Location Table'!A:C,2,false),"")</f>
        <v/>
      </c>
      <c r="D1320" s="6"/>
      <c r="E1320" s="6"/>
      <c r="F1320" s="38"/>
      <c r="G1320" s="7"/>
      <c r="H1320" s="8" t="str">
        <f>IFNA(VLOOKUP(F1320,Driver!A:C,3,false),"")</f>
        <v/>
      </c>
      <c r="I1320" s="9"/>
      <c r="J1320" s="9"/>
    </row>
    <row r="1321">
      <c r="A1321" s="5" t="str">
        <f>IFNA(VLOOKUP(D1321,'Location Table'!A:C,2,false),"")</f>
        <v/>
      </c>
      <c r="B1321" s="5" t="str">
        <f>IFNA(VLOOKUP(F1321,Driver!A:C,2,false),"")</f>
        <v/>
      </c>
      <c r="C1321" s="5" t="str">
        <f>IFNA(VLOOKUP(E1321,'Location Table'!A:C,2,false),"")</f>
        <v/>
      </c>
      <c r="D1321" s="6"/>
      <c r="E1321" s="6"/>
      <c r="F1321" s="38"/>
      <c r="G1321" s="7"/>
      <c r="H1321" s="8" t="str">
        <f>IFNA(VLOOKUP(F1321,Driver!A:C,3,false),"")</f>
        <v/>
      </c>
      <c r="I1321" s="9"/>
      <c r="J1321" s="9"/>
    </row>
    <row r="1322">
      <c r="A1322" s="5" t="str">
        <f>IFNA(VLOOKUP(D1322,'Location Table'!A:C,2,false),"")</f>
        <v/>
      </c>
      <c r="B1322" s="5" t="str">
        <f>IFNA(VLOOKUP(F1322,Driver!A:C,2,false),"")</f>
        <v/>
      </c>
      <c r="C1322" s="5" t="str">
        <f>IFNA(VLOOKUP(E1322,'Location Table'!A:C,2,false),"")</f>
        <v/>
      </c>
      <c r="D1322" s="6"/>
      <c r="E1322" s="6"/>
      <c r="F1322" s="38"/>
      <c r="G1322" s="7"/>
      <c r="H1322" s="8" t="str">
        <f>IFNA(VLOOKUP(F1322,Driver!A:C,3,false),"")</f>
        <v/>
      </c>
      <c r="I1322" s="9"/>
      <c r="J1322" s="9"/>
    </row>
    <row r="1323">
      <c r="A1323" s="5" t="str">
        <f>IFNA(VLOOKUP(D1323,'Location Table'!A:C,2,false),"")</f>
        <v/>
      </c>
      <c r="B1323" s="5" t="str">
        <f>IFNA(VLOOKUP(F1323,Driver!A:C,2,false),"")</f>
        <v/>
      </c>
      <c r="C1323" s="5" t="str">
        <f>IFNA(VLOOKUP(E1323,'Location Table'!A:C,2,false),"")</f>
        <v/>
      </c>
      <c r="D1323" s="6"/>
      <c r="E1323" s="6"/>
      <c r="F1323" s="38"/>
      <c r="G1323" s="7"/>
      <c r="H1323" s="8" t="str">
        <f>IFNA(VLOOKUP(F1323,Driver!A:C,3,false),"")</f>
        <v/>
      </c>
      <c r="I1323" s="9"/>
      <c r="J1323" s="9"/>
    </row>
    <row r="1324">
      <c r="A1324" s="5" t="str">
        <f>IFNA(VLOOKUP(D1324,'Location Table'!A:C,2,false),"")</f>
        <v/>
      </c>
      <c r="B1324" s="5" t="str">
        <f>IFNA(VLOOKUP(F1324,Driver!A:C,2,false),"")</f>
        <v/>
      </c>
      <c r="C1324" s="5" t="str">
        <f>IFNA(VLOOKUP(E1324,'Location Table'!A:C,2,false),"")</f>
        <v/>
      </c>
      <c r="D1324" s="6"/>
      <c r="E1324" s="6"/>
      <c r="F1324" s="38"/>
      <c r="G1324" s="7"/>
      <c r="H1324" s="8" t="str">
        <f>IFNA(VLOOKUP(F1324,Driver!A:C,3,false),"")</f>
        <v/>
      </c>
      <c r="I1324" s="9"/>
      <c r="J1324" s="9"/>
    </row>
    <row r="1325">
      <c r="A1325" s="5" t="str">
        <f>IFNA(VLOOKUP(D1325,'Location Table'!A:C,2,false),"")</f>
        <v/>
      </c>
      <c r="B1325" s="5" t="str">
        <f>IFNA(VLOOKUP(F1325,Driver!A:C,2,false),"")</f>
        <v/>
      </c>
      <c r="C1325" s="5" t="str">
        <f>IFNA(VLOOKUP(E1325,'Location Table'!A:C,2,false),"")</f>
        <v/>
      </c>
      <c r="D1325" s="6"/>
      <c r="E1325" s="6"/>
      <c r="F1325" s="38"/>
      <c r="G1325" s="7"/>
      <c r="H1325" s="8" t="str">
        <f>IFNA(VLOOKUP(F1325,Driver!A:C,3,false),"")</f>
        <v/>
      </c>
      <c r="I1325" s="9"/>
      <c r="J1325" s="9"/>
    </row>
    <row r="1326">
      <c r="A1326" s="5" t="str">
        <f>IFNA(VLOOKUP(D1326,'Location Table'!A:C,2,false),"")</f>
        <v/>
      </c>
      <c r="B1326" s="5" t="str">
        <f>IFNA(VLOOKUP(F1326,Driver!A:C,2,false),"")</f>
        <v/>
      </c>
      <c r="C1326" s="5" t="str">
        <f>IFNA(VLOOKUP(E1326,'Location Table'!A:C,2,false),"")</f>
        <v/>
      </c>
      <c r="D1326" s="6"/>
      <c r="E1326" s="6"/>
      <c r="F1326" s="38"/>
      <c r="G1326" s="7"/>
      <c r="H1326" s="8" t="str">
        <f>IFNA(VLOOKUP(F1326,Driver!A:C,3,false),"")</f>
        <v/>
      </c>
      <c r="I1326" s="9"/>
      <c r="J1326" s="9"/>
    </row>
    <row r="1327">
      <c r="A1327" s="5" t="str">
        <f>IFNA(VLOOKUP(D1327,'Location Table'!A:C,2,false),"")</f>
        <v/>
      </c>
      <c r="B1327" s="5" t="str">
        <f>IFNA(VLOOKUP(F1327,Driver!A:C,2,false),"")</f>
        <v/>
      </c>
      <c r="C1327" s="5" t="str">
        <f>IFNA(VLOOKUP(E1327,'Location Table'!A:C,2,false),"")</f>
        <v/>
      </c>
      <c r="D1327" s="6"/>
      <c r="E1327" s="6"/>
      <c r="F1327" s="38"/>
      <c r="G1327" s="7"/>
      <c r="H1327" s="8" t="str">
        <f>IFNA(VLOOKUP(F1327,Driver!A:C,3,false),"")</f>
        <v/>
      </c>
      <c r="I1327" s="9"/>
      <c r="J1327" s="9"/>
    </row>
    <row r="1328">
      <c r="A1328" s="5" t="str">
        <f>IFNA(VLOOKUP(D1328,'Location Table'!A:C,2,false),"")</f>
        <v/>
      </c>
      <c r="B1328" s="5" t="str">
        <f>IFNA(VLOOKUP(F1328,Driver!A:C,2,false),"")</f>
        <v/>
      </c>
      <c r="C1328" s="5" t="str">
        <f>IFNA(VLOOKUP(E1328,'Location Table'!A:C,2,false),"")</f>
        <v/>
      </c>
      <c r="D1328" s="6"/>
      <c r="E1328" s="6"/>
      <c r="F1328" s="38"/>
      <c r="G1328" s="7"/>
      <c r="H1328" s="8" t="str">
        <f>IFNA(VLOOKUP(F1328,Driver!A:C,3,false),"")</f>
        <v/>
      </c>
      <c r="I1328" s="9"/>
      <c r="J1328" s="9"/>
    </row>
    <row r="1329">
      <c r="A1329" s="5" t="str">
        <f>IFNA(VLOOKUP(D1329,'Location Table'!A:C,2,false),"")</f>
        <v/>
      </c>
      <c r="B1329" s="5" t="str">
        <f>IFNA(VLOOKUP(F1329,Driver!A:C,2,false),"")</f>
        <v/>
      </c>
      <c r="C1329" s="5" t="str">
        <f>IFNA(VLOOKUP(E1329,'Location Table'!A:C,2,false),"")</f>
        <v/>
      </c>
      <c r="D1329" s="6"/>
      <c r="E1329" s="6"/>
      <c r="F1329" s="38"/>
      <c r="G1329" s="7"/>
      <c r="H1329" s="8" t="str">
        <f>IFNA(VLOOKUP(F1329,Driver!A:C,3,false),"")</f>
        <v/>
      </c>
      <c r="I1329" s="9"/>
      <c r="J1329" s="9"/>
    </row>
    <row r="1330">
      <c r="A1330" s="5" t="str">
        <f>IFNA(VLOOKUP(D1330,'Location Table'!A:C,2,false),"")</f>
        <v/>
      </c>
      <c r="B1330" s="5" t="str">
        <f>IFNA(VLOOKUP(F1330,Driver!A:C,2,false),"")</f>
        <v/>
      </c>
      <c r="C1330" s="5" t="str">
        <f>IFNA(VLOOKUP(E1330,'Location Table'!A:C,2,false),"")</f>
        <v/>
      </c>
      <c r="D1330" s="6"/>
      <c r="E1330" s="6"/>
      <c r="F1330" s="38"/>
      <c r="G1330" s="7"/>
      <c r="H1330" s="8" t="str">
        <f>IFNA(VLOOKUP(F1330,Driver!A:C,3,false),"")</f>
        <v/>
      </c>
      <c r="I1330" s="9"/>
      <c r="J1330" s="9"/>
    </row>
    <row r="1331">
      <c r="A1331" s="5" t="str">
        <f>IFNA(VLOOKUP(D1331,'Location Table'!A:C,2,false),"")</f>
        <v/>
      </c>
      <c r="B1331" s="5" t="str">
        <f>IFNA(VLOOKUP(F1331,Driver!A:C,2,false),"")</f>
        <v/>
      </c>
      <c r="C1331" s="5" t="str">
        <f>IFNA(VLOOKUP(E1331,'Location Table'!A:C,2,false),"")</f>
        <v/>
      </c>
      <c r="D1331" s="6"/>
      <c r="E1331" s="6"/>
      <c r="F1331" s="38"/>
      <c r="G1331" s="7"/>
      <c r="H1331" s="8" t="str">
        <f>IFNA(VLOOKUP(F1331,Driver!A:C,3,false),"")</f>
        <v/>
      </c>
      <c r="I1331" s="9"/>
      <c r="J1331" s="9"/>
    </row>
    <row r="1332">
      <c r="A1332" s="5" t="str">
        <f>IFNA(VLOOKUP(D1332,'Location Table'!A:C,2,false),"")</f>
        <v/>
      </c>
      <c r="B1332" s="5" t="str">
        <f>IFNA(VLOOKUP(F1332,Driver!A:C,2,false),"")</f>
        <v/>
      </c>
      <c r="C1332" s="5" t="str">
        <f>IFNA(VLOOKUP(E1332,'Location Table'!A:C,2,false),"")</f>
        <v/>
      </c>
      <c r="D1332" s="6"/>
      <c r="E1332" s="6"/>
      <c r="F1332" s="38"/>
      <c r="G1332" s="7"/>
      <c r="H1332" s="8" t="str">
        <f>IFNA(VLOOKUP(F1332,Driver!A:C,3,false),"")</f>
        <v/>
      </c>
      <c r="I1332" s="9"/>
      <c r="J1332" s="9"/>
    </row>
    <row r="1333">
      <c r="A1333" s="5" t="str">
        <f>IFNA(VLOOKUP(D1333,'Location Table'!A:C,2,false),"")</f>
        <v/>
      </c>
      <c r="B1333" s="5" t="str">
        <f>IFNA(VLOOKUP(F1333,Driver!A:C,2,false),"")</f>
        <v/>
      </c>
      <c r="C1333" s="5" t="str">
        <f>IFNA(VLOOKUP(E1333,'Location Table'!A:C,2,false),"")</f>
        <v/>
      </c>
      <c r="D1333" s="6"/>
      <c r="E1333" s="6"/>
      <c r="F1333" s="38"/>
      <c r="G1333" s="7"/>
      <c r="H1333" s="8" t="str">
        <f>IFNA(VLOOKUP(F1333,Driver!A:C,3,false),"")</f>
        <v/>
      </c>
      <c r="I1333" s="9"/>
      <c r="J1333" s="9"/>
    </row>
    <row r="1334">
      <c r="A1334" s="5" t="str">
        <f>IFNA(VLOOKUP(D1334,'Location Table'!A:C,2,false),"")</f>
        <v/>
      </c>
      <c r="B1334" s="5" t="str">
        <f>IFNA(VLOOKUP(F1334,Driver!A:C,2,false),"")</f>
        <v/>
      </c>
      <c r="C1334" s="5" t="str">
        <f>IFNA(VLOOKUP(E1334,'Location Table'!A:C,2,false),"")</f>
        <v/>
      </c>
      <c r="D1334" s="6"/>
      <c r="E1334" s="6"/>
      <c r="F1334" s="38"/>
      <c r="G1334" s="7"/>
      <c r="H1334" s="8" t="str">
        <f>IFNA(VLOOKUP(F1334,Driver!A:C,3,false),"")</f>
        <v/>
      </c>
      <c r="I1334" s="9"/>
      <c r="J1334" s="9"/>
    </row>
    <row r="1335">
      <c r="A1335" s="5" t="str">
        <f>IFNA(VLOOKUP(D1335,'Location Table'!A:C,2,false),"")</f>
        <v/>
      </c>
      <c r="B1335" s="5" t="str">
        <f>IFNA(VLOOKUP(F1335,Driver!A:C,2,false),"")</f>
        <v/>
      </c>
      <c r="C1335" s="5" t="str">
        <f>IFNA(VLOOKUP(E1335,'Location Table'!A:C,2,false),"")</f>
        <v/>
      </c>
      <c r="D1335" s="6"/>
      <c r="E1335" s="6"/>
      <c r="F1335" s="38"/>
      <c r="G1335" s="7"/>
      <c r="H1335" s="8" t="str">
        <f>IFNA(VLOOKUP(F1335,Driver!A:C,3,false),"")</f>
        <v/>
      </c>
      <c r="I1335" s="9"/>
      <c r="J1335" s="9"/>
    </row>
    <row r="1336">
      <c r="A1336" s="5" t="str">
        <f>IFNA(VLOOKUP(D1336,'Location Table'!A:C,2,false),"")</f>
        <v/>
      </c>
      <c r="B1336" s="5" t="str">
        <f>IFNA(VLOOKUP(F1336,Driver!A:C,2,false),"")</f>
        <v/>
      </c>
      <c r="C1336" s="5" t="str">
        <f>IFNA(VLOOKUP(E1336,'Location Table'!A:C,2,false),"")</f>
        <v/>
      </c>
      <c r="D1336" s="6"/>
      <c r="E1336" s="6"/>
      <c r="F1336" s="38"/>
      <c r="G1336" s="7"/>
      <c r="H1336" s="8" t="str">
        <f>IFNA(VLOOKUP(F1336,Driver!A:C,3,false),"")</f>
        <v/>
      </c>
      <c r="I1336" s="9"/>
      <c r="J1336" s="9"/>
    </row>
    <row r="1337">
      <c r="A1337" s="5" t="str">
        <f>IFNA(VLOOKUP(D1337,'Location Table'!A:C,2,false),"")</f>
        <v/>
      </c>
      <c r="B1337" s="5" t="str">
        <f>IFNA(VLOOKUP(F1337,Driver!A:C,2,false),"")</f>
        <v/>
      </c>
      <c r="C1337" s="5" t="str">
        <f>IFNA(VLOOKUP(E1337,'Location Table'!A:C,2,false),"")</f>
        <v/>
      </c>
      <c r="D1337" s="6"/>
      <c r="E1337" s="6"/>
      <c r="F1337" s="38"/>
      <c r="G1337" s="7"/>
      <c r="H1337" s="8" t="str">
        <f>IFNA(VLOOKUP(F1337,Driver!A:C,3,false),"")</f>
        <v/>
      </c>
      <c r="I1337" s="9"/>
      <c r="J1337" s="9"/>
    </row>
    <row r="1338">
      <c r="A1338" s="5" t="str">
        <f>IFNA(VLOOKUP(D1338,'Location Table'!A:C,2,false),"")</f>
        <v/>
      </c>
      <c r="B1338" s="5" t="str">
        <f>IFNA(VLOOKUP(F1338,Driver!A:C,2,false),"")</f>
        <v/>
      </c>
      <c r="C1338" s="5" t="str">
        <f>IFNA(VLOOKUP(E1338,'Location Table'!A:C,2,false),"")</f>
        <v/>
      </c>
      <c r="D1338" s="6"/>
      <c r="E1338" s="6"/>
      <c r="F1338" s="38"/>
      <c r="G1338" s="7"/>
      <c r="H1338" s="8" t="str">
        <f>IFNA(VLOOKUP(F1338,Driver!A:C,3,false),"")</f>
        <v/>
      </c>
      <c r="I1338" s="9"/>
      <c r="J1338" s="9"/>
    </row>
    <row r="1339">
      <c r="A1339" s="5" t="str">
        <f>IFNA(VLOOKUP(D1339,'Location Table'!A:C,2,false),"")</f>
        <v/>
      </c>
      <c r="B1339" s="5" t="str">
        <f>IFNA(VLOOKUP(F1339,Driver!A:C,2,false),"")</f>
        <v/>
      </c>
      <c r="C1339" s="5" t="str">
        <f>IFNA(VLOOKUP(E1339,'Location Table'!A:C,2,false),"")</f>
        <v/>
      </c>
      <c r="D1339" s="6"/>
      <c r="E1339" s="6"/>
      <c r="F1339" s="38"/>
      <c r="G1339" s="7"/>
      <c r="H1339" s="8" t="str">
        <f>IFNA(VLOOKUP(F1339,Driver!A:C,3,false),"")</f>
        <v/>
      </c>
      <c r="I1339" s="9"/>
      <c r="J1339" s="9"/>
    </row>
    <row r="1340">
      <c r="A1340" s="5" t="str">
        <f>IFNA(VLOOKUP(D1340,'Location Table'!A:C,2,false),"")</f>
        <v/>
      </c>
      <c r="B1340" s="5" t="str">
        <f>IFNA(VLOOKUP(F1340,Driver!A:C,2,false),"")</f>
        <v/>
      </c>
      <c r="C1340" s="5" t="str">
        <f>IFNA(VLOOKUP(E1340,'Location Table'!A:C,2,false),"")</f>
        <v/>
      </c>
      <c r="D1340" s="6"/>
      <c r="E1340" s="6"/>
      <c r="F1340" s="38"/>
      <c r="G1340" s="7"/>
      <c r="H1340" s="8" t="str">
        <f>IFNA(VLOOKUP(F1340,Driver!A:C,3,false),"")</f>
        <v/>
      </c>
      <c r="I1340" s="9"/>
      <c r="J1340" s="9"/>
    </row>
    <row r="1341">
      <c r="A1341" s="5" t="str">
        <f>IFNA(VLOOKUP(D1341,'Location Table'!A:C,2,false),"")</f>
        <v/>
      </c>
      <c r="B1341" s="5" t="str">
        <f>IFNA(VLOOKUP(F1341,Driver!A:C,2,false),"")</f>
        <v/>
      </c>
      <c r="C1341" s="5" t="str">
        <f>IFNA(VLOOKUP(E1341,'Location Table'!A:C,2,false),"")</f>
        <v/>
      </c>
      <c r="D1341" s="6"/>
      <c r="E1341" s="6"/>
      <c r="F1341" s="38"/>
      <c r="G1341" s="7"/>
      <c r="H1341" s="8" t="str">
        <f>IFNA(VLOOKUP(F1341,Driver!A:C,3,false),"")</f>
        <v/>
      </c>
      <c r="I1341" s="9"/>
      <c r="J1341" s="9"/>
    </row>
    <row r="1342">
      <c r="A1342" s="5" t="str">
        <f>IFNA(VLOOKUP(D1342,'Location Table'!A:C,2,false),"")</f>
        <v/>
      </c>
      <c r="B1342" s="5" t="str">
        <f>IFNA(VLOOKUP(F1342,Driver!A:C,2,false),"")</f>
        <v/>
      </c>
      <c r="C1342" s="5" t="str">
        <f>IFNA(VLOOKUP(E1342,'Location Table'!A:C,2,false),"")</f>
        <v/>
      </c>
      <c r="D1342" s="6"/>
      <c r="E1342" s="6"/>
      <c r="F1342" s="38"/>
      <c r="G1342" s="7"/>
      <c r="H1342" s="8" t="str">
        <f>IFNA(VLOOKUP(F1342,Driver!A:C,3,false),"")</f>
        <v/>
      </c>
      <c r="I1342" s="9"/>
      <c r="J1342" s="9"/>
    </row>
    <row r="1343">
      <c r="A1343" s="5" t="str">
        <f>IFNA(VLOOKUP(D1343,'Location Table'!A:C,2,false),"")</f>
        <v/>
      </c>
      <c r="B1343" s="5" t="str">
        <f>IFNA(VLOOKUP(F1343,Driver!A:C,2,false),"")</f>
        <v/>
      </c>
      <c r="C1343" s="5" t="str">
        <f>IFNA(VLOOKUP(E1343,'Location Table'!A:C,2,false),"")</f>
        <v/>
      </c>
      <c r="D1343" s="6"/>
      <c r="E1343" s="6"/>
      <c r="F1343" s="38"/>
      <c r="G1343" s="7"/>
      <c r="H1343" s="8" t="str">
        <f>IFNA(VLOOKUP(F1343,Driver!A:C,3,false),"")</f>
        <v/>
      </c>
      <c r="I1343" s="9"/>
      <c r="J1343" s="9"/>
    </row>
    <row r="1344">
      <c r="A1344" s="5" t="str">
        <f>IFNA(VLOOKUP(D1344,'Location Table'!A:C,2,false),"")</f>
        <v/>
      </c>
      <c r="B1344" s="5" t="str">
        <f>IFNA(VLOOKUP(F1344,Driver!A:C,2,false),"")</f>
        <v/>
      </c>
      <c r="C1344" s="5" t="str">
        <f>IFNA(VLOOKUP(E1344,'Location Table'!A:C,2,false),"")</f>
        <v/>
      </c>
      <c r="D1344" s="6"/>
      <c r="E1344" s="6"/>
      <c r="F1344" s="38"/>
      <c r="G1344" s="7"/>
      <c r="H1344" s="8" t="str">
        <f>IFNA(VLOOKUP(F1344,Driver!A:C,3,false),"")</f>
        <v/>
      </c>
      <c r="I1344" s="9"/>
      <c r="J1344" s="9"/>
    </row>
    <row r="1345">
      <c r="A1345" s="5" t="str">
        <f>IFNA(VLOOKUP(D1345,'Location Table'!A:C,2,false),"")</f>
        <v/>
      </c>
      <c r="B1345" s="5" t="str">
        <f>IFNA(VLOOKUP(F1345,Driver!A:C,2,false),"")</f>
        <v/>
      </c>
      <c r="C1345" s="5" t="str">
        <f>IFNA(VLOOKUP(E1345,'Location Table'!A:C,2,false),"")</f>
        <v/>
      </c>
      <c r="D1345" s="6"/>
      <c r="E1345" s="6"/>
      <c r="F1345" s="38"/>
      <c r="G1345" s="7"/>
      <c r="H1345" s="8" t="str">
        <f>IFNA(VLOOKUP(F1345,Driver!A:C,3,false),"")</f>
        <v/>
      </c>
      <c r="I1345" s="9"/>
      <c r="J1345" s="9"/>
    </row>
    <row r="1346">
      <c r="A1346" s="5" t="str">
        <f>IFNA(VLOOKUP(D1346,'Location Table'!A:C,2,false),"")</f>
        <v/>
      </c>
      <c r="B1346" s="5" t="str">
        <f>IFNA(VLOOKUP(F1346,Driver!A:C,2,false),"")</f>
        <v/>
      </c>
      <c r="C1346" s="5" t="str">
        <f>IFNA(VLOOKUP(E1346,'Location Table'!A:C,2,false),"")</f>
        <v/>
      </c>
      <c r="D1346" s="6"/>
      <c r="E1346" s="6"/>
      <c r="F1346" s="38"/>
      <c r="G1346" s="7"/>
      <c r="H1346" s="8" t="str">
        <f>IFNA(VLOOKUP(F1346,Driver!A:C,3,false),"")</f>
        <v/>
      </c>
      <c r="I1346" s="9"/>
      <c r="J1346" s="9"/>
    </row>
    <row r="1347">
      <c r="A1347" s="5" t="str">
        <f>IFNA(VLOOKUP(D1347,'Location Table'!A:C,2,false),"")</f>
        <v/>
      </c>
      <c r="B1347" s="5" t="str">
        <f>IFNA(VLOOKUP(F1347,Driver!A:C,2,false),"")</f>
        <v/>
      </c>
      <c r="C1347" s="5" t="str">
        <f>IFNA(VLOOKUP(E1347,'Location Table'!A:C,2,false),"")</f>
        <v/>
      </c>
      <c r="D1347" s="6"/>
      <c r="E1347" s="6"/>
      <c r="F1347" s="38"/>
      <c r="G1347" s="7"/>
      <c r="H1347" s="8" t="str">
        <f>IFNA(VLOOKUP(F1347,Driver!A:C,3,false),"")</f>
        <v/>
      </c>
      <c r="I1347" s="9"/>
      <c r="J1347" s="9"/>
    </row>
    <row r="1348">
      <c r="A1348" s="5" t="str">
        <f>IFNA(VLOOKUP(D1348,'Location Table'!A:C,2,false),"")</f>
        <v/>
      </c>
      <c r="B1348" s="5" t="str">
        <f>IFNA(VLOOKUP(F1348,Driver!A:C,2,false),"")</f>
        <v/>
      </c>
      <c r="C1348" s="5" t="str">
        <f>IFNA(VLOOKUP(E1348,'Location Table'!A:C,2,false),"")</f>
        <v/>
      </c>
      <c r="D1348" s="6"/>
      <c r="E1348" s="6"/>
      <c r="F1348" s="38"/>
      <c r="G1348" s="7"/>
      <c r="H1348" s="8" t="str">
        <f>IFNA(VLOOKUP(F1348,Driver!A:C,3,false),"")</f>
        <v/>
      </c>
      <c r="I1348" s="9"/>
      <c r="J1348" s="9"/>
    </row>
    <row r="1349">
      <c r="A1349" s="5" t="str">
        <f>IFNA(VLOOKUP(D1349,'Location Table'!A:C,2,false),"")</f>
        <v/>
      </c>
      <c r="B1349" s="5" t="str">
        <f>IFNA(VLOOKUP(F1349,Driver!A:C,2,false),"")</f>
        <v/>
      </c>
      <c r="C1349" s="5" t="str">
        <f>IFNA(VLOOKUP(E1349,'Location Table'!A:C,2,false),"")</f>
        <v/>
      </c>
      <c r="D1349" s="6"/>
      <c r="E1349" s="6"/>
      <c r="F1349" s="38"/>
      <c r="G1349" s="7"/>
      <c r="H1349" s="8" t="str">
        <f>IFNA(VLOOKUP(F1349,Driver!A:C,3,false),"")</f>
        <v/>
      </c>
      <c r="I1349" s="9"/>
      <c r="J1349" s="9"/>
    </row>
    <row r="1350">
      <c r="H1350" s="39"/>
      <c r="J1350" s="28"/>
    </row>
    <row r="1351">
      <c r="H1351" s="39"/>
      <c r="J1351" s="28"/>
    </row>
    <row r="1352">
      <c r="H1352" s="39"/>
      <c r="J1352" s="28"/>
    </row>
    <row r="1353">
      <c r="H1353" s="39"/>
      <c r="J1353" s="28"/>
    </row>
    <row r="1354">
      <c r="H1354" s="39"/>
      <c r="J1354" s="28"/>
    </row>
    <row r="1355">
      <c r="H1355" s="39"/>
      <c r="J1355" s="28"/>
    </row>
    <row r="1356">
      <c r="H1356" s="39"/>
      <c r="J1356" s="28"/>
    </row>
    <row r="1357">
      <c r="H1357" s="39"/>
      <c r="J1357" s="28"/>
    </row>
    <row r="1358">
      <c r="H1358" s="39"/>
      <c r="J1358" s="28"/>
    </row>
    <row r="1359">
      <c r="H1359" s="39"/>
      <c r="J1359" s="28"/>
    </row>
    <row r="1360">
      <c r="H1360" s="39"/>
      <c r="J1360" s="28"/>
    </row>
    <row r="1361">
      <c r="H1361" s="39"/>
      <c r="J1361" s="28"/>
    </row>
    <row r="1362">
      <c r="H1362" s="39"/>
      <c r="J1362" s="28"/>
    </row>
    <row r="1363">
      <c r="H1363" s="39"/>
      <c r="J1363" s="28"/>
    </row>
    <row r="1364">
      <c r="H1364" s="39"/>
      <c r="J1364" s="28"/>
    </row>
    <row r="1365">
      <c r="H1365" s="39"/>
      <c r="J1365" s="28"/>
    </row>
    <row r="1366">
      <c r="H1366" s="39"/>
      <c r="J1366" s="28"/>
    </row>
    <row r="1367">
      <c r="H1367" s="39"/>
      <c r="J1367" s="28"/>
    </row>
    <row r="1368">
      <c r="H1368" s="39"/>
      <c r="J1368" s="28"/>
    </row>
    <row r="1369">
      <c r="H1369" s="39"/>
      <c r="J1369" s="28"/>
    </row>
    <row r="1370">
      <c r="H1370" s="39"/>
      <c r="J1370" s="28"/>
    </row>
    <row r="1371">
      <c r="H1371" s="39"/>
      <c r="J1371" s="28"/>
    </row>
    <row r="1372">
      <c r="H1372" s="39"/>
      <c r="J1372" s="28"/>
    </row>
    <row r="1373">
      <c r="H1373" s="39"/>
      <c r="J1373" s="28"/>
    </row>
    <row r="1374">
      <c r="H1374" s="39"/>
      <c r="J1374" s="28"/>
    </row>
    <row r="1375">
      <c r="H1375" s="39"/>
      <c r="J1375" s="28"/>
    </row>
    <row r="1376">
      <c r="H1376" s="39"/>
      <c r="J1376" s="28"/>
    </row>
    <row r="1377">
      <c r="H1377" s="39"/>
      <c r="J1377" s="28"/>
    </row>
    <row r="1378">
      <c r="H1378" s="39"/>
      <c r="J1378" s="28"/>
    </row>
    <row r="1379">
      <c r="H1379" s="39"/>
      <c r="J1379" s="28"/>
    </row>
    <row r="1380">
      <c r="H1380" s="39"/>
      <c r="J1380" s="28"/>
    </row>
    <row r="1381">
      <c r="H1381" s="39"/>
      <c r="J1381" s="28"/>
    </row>
    <row r="1382">
      <c r="H1382" s="39"/>
      <c r="J1382" s="28"/>
    </row>
    <row r="1383">
      <c r="H1383" s="39"/>
      <c r="J1383" s="28"/>
    </row>
    <row r="1384">
      <c r="H1384" s="39"/>
      <c r="J1384" s="28"/>
    </row>
    <row r="1385">
      <c r="H1385" s="39"/>
      <c r="J1385" s="28"/>
    </row>
    <row r="1386">
      <c r="H1386" s="39"/>
      <c r="J1386" s="28"/>
    </row>
    <row r="1387">
      <c r="H1387" s="39"/>
      <c r="J1387" s="28"/>
    </row>
    <row r="1388">
      <c r="H1388" s="39"/>
      <c r="J1388" s="28"/>
    </row>
    <row r="1389">
      <c r="H1389" s="39"/>
      <c r="J1389" s="28"/>
    </row>
    <row r="1390">
      <c r="H1390" s="39"/>
      <c r="J1390" s="28"/>
    </row>
    <row r="1391">
      <c r="H1391" s="39"/>
      <c r="J1391" s="28"/>
    </row>
    <row r="1392">
      <c r="H1392" s="39"/>
      <c r="J1392" s="28"/>
    </row>
    <row r="1393">
      <c r="H1393" s="39"/>
      <c r="J1393" s="28"/>
    </row>
    <row r="1394">
      <c r="H1394" s="39"/>
      <c r="J1394" s="28"/>
    </row>
    <row r="1395">
      <c r="H1395" s="39"/>
      <c r="J1395" s="28"/>
    </row>
    <row r="1396">
      <c r="H1396" s="39"/>
      <c r="J1396" s="28"/>
    </row>
    <row r="1397">
      <c r="H1397" s="39"/>
      <c r="J1397" s="28"/>
    </row>
    <row r="1398">
      <c r="H1398" s="39"/>
      <c r="J1398" s="28"/>
    </row>
    <row r="1399">
      <c r="H1399" s="39"/>
      <c r="J1399" s="28"/>
    </row>
    <row r="1400">
      <c r="H1400" s="39"/>
      <c r="J1400" s="28"/>
    </row>
    <row r="1401">
      <c r="H1401" s="39"/>
      <c r="J1401" s="28"/>
    </row>
    <row r="1402">
      <c r="H1402" s="39"/>
      <c r="J1402" s="28"/>
    </row>
    <row r="1403">
      <c r="H1403" s="39"/>
      <c r="J1403" s="28"/>
    </row>
    <row r="1404">
      <c r="H1404" s="39"/>
      <c r="J1404" s="28"/>
    </row>
    <row r="1405">
      <c r="H1405" s="39"/>
      <c r="J1405" s="28"/>
    </row>
    <row r="1406">
      <c r="H1406" s="39"/>
      <c r="J1406" s="28"/>
    </row>
    <row r="1407">
      <c r="H1407" s="39"/>
      <c r="J1407" s="28"/>
    </row>
    <row r="1408">
      <c r="H1408" s="39"/>
      <c r="J1408" s="28"/>
    </row>
    <row r="1409">
      <c r="H1409" s="39"/>
      <c r="J1409" s="28"/>
    </row>
    <row r="1410">
      <c r="H1410" s="39"/>
      <c r="J1410" s="28"/>
    </row>
    <row r="1411">
      <c r="H1411" s="39"/>
      <c r="J1411" s="28"/>
    </row>
    <row r="1412">
      <c r="H1412" s="39"/>
      <c r="J1412" s="28"/>
    </row>
    <row r="1413">
      <c r="H1413" s="39"/>
      <c r="J1413" s="28"/>
    </row>
    <row r="1414">
      <c r="H1414" s="39"/>
      <c r="J1414" s="28"/>
    </row>
    <row r="1415">
      <c r="H1415" s="39"/>
      <c r="J1415" s="28"/>
    </row>
    <row r="1416">
      <c r="H1416" s="39"/>
      <c r="J1416" s="28"/>
    </row>
    <row r="1417">
      <c r="H1417" s="39"/>
      <c r="J1417" s="28"/>
    </row>
    <row r="1418">
      <c r="H1418" s="39"/>
      <c r="J1418" s="28"/>
    </row>
    <row r="1419">
      <c r="H1419" s="39"/>
      <c r="J1419" s="28"/>
    </row>
    <row r="1420">
      <c r="H1420" s="39"/>
      <c r="J1420" s="28"/>
    </row>
    <row r="1421">
      <c r="H1421" s="39"/>
      <c r="J1421" s="28"/>
    </row>
    <row r="1422">
      <c r="H1422" s="39"/>
      <c r="J1422" s="28"/>
    </row>
    <row r="1423">
      <c r="H1423" s="39"/>
      <c r="J1423" s="28"/>
    </row>
    <row r="1424">
      <c r="H1424" s="39"/>
      <c r="J1424" s="28"/>
    </row>
    <row r="1425">
      <c r="H1425" s="39"/>
      <c r="J1425" s="28"/>
    </row>
    <row r="1426">
      <c r="H1426" s="39"/>
      <c r="J1426" s="28"/>
    </row>
    <row r="1427">
      <c r="H1427" s="39"/>
      <c r="J1427" s="28"/>
    </row>
    <row r="1428">
      <c r="H1428" s="39"/>
      <c r="J1428" s="28"/>
    </row>
    <row r="1429">
      <c r="H1429" s="39"/>
      <c r="J1429" s="28"/>
    </row>
    <row r="1430">
      <c r="H1430" s="39"/>
      <c r="J1430" s="28"/>
    </row>
    <row r="1431">
      <c r="H1431" s="39"/>
      <c r="J1431" s="28"/>
    </row>
    <row r="1432">
      <c r="H1432" s="39"/>
      <c r="J1432" s="28"/>
    </row>
    <row r="1433">
      <c r="H1433" s="39"/>
      <c r="J1433" s="28"/>
    </row>
    <row r="1434">
      <c r="H1434" s="39"/>
      <c r="J1434" s="28"/>
    </row>
    <row r="1435">
      <c r="H1435" s="39"/>
      <c r="J1435" s="28"/>
    </row>
    <row r="1436">
      <c r="H1436" s="39"/>
      <c r="J1436" s="28"/>
    </row>
    <row r="1437">
      <c r="H1437" s="39"/>
      <c r="J1437" s="28"/>
    </row>
    <row r="1438">
      <c r="H1438" s="39"/>
      <c r="J1438" s="28"/>
    </row>
    <row r="1439">
      <c r="H1439" s="39"/>
      <c r="J1439" s="28"/>
    </row>
    <row r="1440">
      <c r="H1440" s="39"/>
      <c r="J1440" s="28"/>
    </row>
    <row r="1441">
      <c r="H1441" s="39"/>
      <c r="J1441" s="28"/>
    </row>
    <row r="1442">
      <c r="H1442" s="39"/>
      <c r="J1442" s="28"/>
    </row>
    <row r="1443">
      <c r="H1443" s="39"/>
      <c r="J1443" s="28"/>
    </row>
    <row r="1444">
      <c r="H1444" s="39"/>
      <c r="J1444" s="28"/>
    </row>
    <row r="1445">
      <c r="H1445" s="39"/>
      <c r="J1445" s="28"/>
    </row>
    <row r="1446">
      <c r="H1446" s="39"/>
      <c r="J1446" s="28"/>
    </row>
    <row r="1447">
      <c r="H1447" s="39"/>
      <c r="J1447" s="28"/>
    </row>
    <row r="1448">
      <c r="H1448" s="39"/>
      <c r="J1448" s="28"/>
    </row>
    <row r="1449">
      <c r="H1449" s="39"/>
      <c r="J1449" s="28"/>
    </row>
    <row r="1450">
      <c r="H1450" s="39"/>
      <c r="J1450" s="28"/>
    </row>
    <row r="1451">
      <c r="H1451" s="39"/>
      <c r="J1451" s="28"/>
    </row>
    <row r="1452">
      <c r="H1452" s="39"/>
      <c r="J1452" s="28"/>
    </row>
    <row r="1453">
      <c r="H1453" s="39"/>
      <c r="J1453" s="28"/>
    </row>
    <row r="1454">
      <c r="H1454" s="39"/>
      <c r="J1454" s="28"/>
    </row>
    <row r="1455">
      <c r="H1455" s="39"/>
      <c r="J1455" s="28"/>
    </row>
    <row r="1456">
      <c r="H1456" s="39"/>
      <c r="J1456" s="28"/>
    </row>
    <row r="1457">
      <c r="H1457" s="39"/>
      <c r="J1457" s="28"/>
    </row>
    <row r="1458">
      <c r="H1458" s="39"/>
      <c r="J1458" s="28"/>
    </row>
    <row r="1459">
      <c r="H1459" s="39"/>
      <c r="J1459" s="28"/>
    </row>
    <row r="1460">
      <c r="H1460" s="39"/>
      <c r="J1460" s="28"/>
    </row>
    <row r="1461">
      <c r="H1461" s="39"/>
      <c r="J1461" s="28"/>
    </row>
    <row r="1462">
      <c r="H1462" s="39"/>
      <c r="J1462" s="28"/>
    </row>
    <row r="1463">
      <c r="H1463" s="39"/>
      <c r="J1463" s="28"/>
    </row>
    <row r="1464">
      <c r="H1464" s="39"/>
      <c r="J1464" s="28"/>
    </row>
    <row r="1465">
      <c r="H1465" s="39"/>
      <c r="J1465" s="28"/>
    </row>
    <row r="1466">
      <c r="H1466" s="39"/>
      <c r="J1466" s="28"/>
    </row>
    <row r="1467">
      <c r="H1467" s="39"/>
      <c r="J1467" s="28"/>
    </row>
    <row r="1468">
      <c r="H1468" s="39"/>
      <c r="J1468" s="28"/>
    </row>
    <row r="1469">
      <c r="H1469" s="39"/>
      <c r="J1469" s="28"/>
    </row>
    <row r="1470">
      <c r="H1470" s="39"/>
      <c r="J1470" s="28"/>
    </row>
    <row r="1471">
      <c r="H1471" s="39"/>
      <c r="J1471" s="28"/>
    </row>
    <row r="1472">
      <c r="H1472" s="39"/>
      <c r="J1472" s="28"/>
    </row>
    <row r="1473">
      <c r="H1473" s="39"/>
      <c r="J1473" s="28"/>
    </row>
    <row r="1474">
      <c r="H1474" s="39"/>
      <c r="J1474" s="28"/>
    </row>
    <row r="1475">
      <c r="H1475" s="39"/>
      <c r="J1475" s="28"/>
    </row>
    <row r="1476">
      <c r="H1476" s="39"/>
      <c r="J1476" s="28"/>
    </row>
    <row r="1477">
      <c r="H1477" s="39"/>
      <c r="J1477" s="28"/>
    </row>
    <row r="1478">
      <c r="H1478" s="39"/>
      <c r="J1478" s="28"/>
    </row>
    <row r="1479">
      <c r="H1479" s="39"/>
      <c r="J1479" s="28"/>
    </row>
    <row r="1480">
      <c r="H1480" s="39"/>
      <c r="J1480" s="28"/>
    </row>
    <row r="1481">
      <c r="H1481" s="39"/>
      <c r="J1481" s="28"/>
    </row>
    <row r="1482">
      <c r="H1482" s="39"/>
      <c r="J1482" s="28"/>
    </row>
    <row r="1483">
      <c r="H1483" s="39"/>
      <c r="J1483" s="28"/>
    </row>
    <row r="1484">
      <c r="H1484" s="39"/>
      <c r="J1484" s="28"/>
    </row>
    <row r="1485">
      <c r="H1485" s="39"/>
      <c r="J1485" s="28"/>
    </row>
    <row r="1486">
      <c r="H1486" s="39"/>
      <c r="J1486" s="28"/>
    </row>
    <row r="1487">
      <c r="H1487" s="39"/>
      <c r="J1487" s="28"/>
    </row>
    <row r="1488">
      <c r="H1488" s="39"/>
      <c r="J1488" s="28"/>
    </row>
    <row r="1489">
      <c r="H1489" s="39"/>
      <c r="J1489" s="28"/>
    </row>
    <row r="1490">
      <c r="H1490" s="39"/>
      <c r="J1490" s="28"/>
    </row>
    <row r="1491">
      <c r="H1491" s="39"/>
      <c r="J1491" s="28"/>
    </row>
    <row r="1492">
      <c r="H1492" s="39"/>
      <c r="J1492" s="28"/>
    </row>
    <row r="1493">
      <c r="H1493" s="39"/>
      <c r="J1493" s="28"/>
    </row>
    <row r="1494">
      <c r="H1494" s="39"/>
      <c r="J1494" s="28"/>
    </row>
    <row r="1495">
      <c r="H1495" s="39"/>
      <c r="J1495" s="28"/>
    </row>
    <row r="1496">
      <c r="H1496" s="39"/>
      <c r="J1496" s="28"/>
    </row>
    <row r="1497">
      <c r="H1497" s="39"/>
      <c r="J1497" s="28"/>
    </row>
    <row r="1498">
      <c r="H1498" s="39"/>
      <c r="J1498" s="28"/>
    </row>
    <row r="1499">
      <c r="H1499" s="39"/>
      <c r="J1499" s="28"/>
    </row>
    <row r="1500">
      <c r="H1500" s="39"/>
      <c r="J1500" s="28"/>
    </row>
    <row r="1501">
      <c r="H1501" s="39"/>
      <c r="J1501" s="28"/>
    </row>
    <row r="1502">
      <c r="H1502" s="39"/>
      <c r="J1502" s="28"/>
    </row>
    <row r="1503">
      <c r="H1503" s="39"/>
      <c r="J1503" s="28"/>
    </row>
    <row r="1504">
      <c r="H1504" s="39"/>
      <c r="J1504" s="28"/>
    </row>
    <row r="1505">
      <c r="H1505" s="39"/>
      <c r="J1505" s="28"/>
    </row>
    <row r="1506">
      <c r="H1506" s="39"/>
      <c r="J1506" s="28"/>
    </row>
    <row r="1507">
      <c r="H1507" s="39"/>
      <c r="J1507" s="28"/>
    </row>
    <row r="1508">
      <c r="H1508" s="39"/>
      <c r="J1508" s="28"/>
    </row>
    <row r="1509">
      <c r="H1509" s="39"/>
      <c r="J1509" s="28"/>
    </row>
    <row r="1510">
      <c r="H1510" s="39"/>
      <c r="J1510" s="28"/>
    </row>
    <row r="1511">
      <c r="H1511" s="39"/>
      <c r="J1511" s="28"/>
    </row>
    <row r="1512">
      <c r="H1512" s="39"/>
      <c r="J1512" s="28"/>
    </row>
    <row r="1513">
      <c r="H1513" s="39"/>
      <c r="J1513" s="28"/>
    </row>
    <row r="1514">
      <c r="H1514" s="39"/>
      <c r="J1514" s="28"/>
    </row>
    <row r="1515">
      <c r="H1515" s="39"/>
      <c r="J1515" s="28"/>
    </row>
    <row r="1516">
      <c r="H1516" s="39"/>
      <c r="J1516" s="28"/>
    </row>
    <row r="1517">
      <c r="H1517" s="39"/>
      <c r="J1517" s="28"/>
    </row>
    <row r="1518">
      <c r="H1518" s="39"/>
      <c r="J1518" s="28"/>
    </row>
    <row r="1519">
      <c r="H1519" s="39"/>
      <c r="J1519" s="28"/>
    </row>
    <row r="1520">
      <c r="H1520" s="39"/>
      <c r="J1520" s="28"/>
    </row>
    <row r="1521">
      <c r="H1521" s="39"/>
      <c r="J1521" s="28"/>
    </row>
    <row r="1522">
      <c r="H1522" s="39"/>
      <c r="J1522" s="28"/>
    </row>
    <row r="1523">
      <c r="H1523" s="39"/>
      <c r="J1523" s="28"/>
    </row>
    <row r="1524">
      <c r="H1524" s="39"/>
      <c r="J1524" s="28"/>
    </row>
    <row r="1525">
      <c r="H1525" s="39"/>
      <c r="J1525" s="28"/>
    </row>
    <row r="1526">
      <c r="H1526" s="39"/>
      <c r="J1526" s="28"/>
    </row>
    <row r="1527">
      <c r="H1527" s="39"/>
      <c r="J1527" s="28"/>
    </row>
    <row r="1528">
      <c r="H1528" s="39"/>
      <c r="J1528" s="28"/>
    </row>
    <row r="1529">
      <c r="H1529" s="39"/>
      <c r="J1529" s="28"/>
    </row>
    <row r="1530">
      <c r="H1530" s="39"/>
      <c r="J1530" s="28"/>
    </row>
    <row r="1531">
      <c r="H1531" s="39"/>
      <c r="J1531" s="28"/>
    </row>
    <row r="1532">
      <c r="H1532" s="39"/>
      <c r="J1532" s="28"/>
    </row>
    <row r="1533">
      <c r="H1533" s="39"/>
      <c r="J1533" s="28"/>
    </row>
    <row r="1534">
      <c r="H1534" s="39"/>
      <c r="J1534" s="28"/>
    </row>
    <row r="1535">
      <c r="H1535" s="39"/>
      <c r="J1535" s="28"/>
    </row>
    <row r="1536">
      <c r="H1536" s="39"/>
      <c r="J1536" s="28"/>
    </row>
    <row r="1537">
      <c r="H1537" s="39"/>
      <c r="J1537" s="28"/>
    </row>
    <row r="1538">
      <c r="H1538" s="39"/>
      <c r="J1538" s="28"/>
    </row>
    <row r="1539">
      <c r="H1539" s="39"/>
      <c r="J1539" s="28"/>
    </row>
    <row r="1540">
      <c r="H1540" s="39"/>
      <c r="J1540" s="28"/>
    </row>
    <row r="1541">
      <c r="H1541" s="39"/>
      <c r="J1541" s="28"/>
    </row>
    <row r="1542">
      <c r="H1542" s="39"/>
      <c r="J1542" s="28"/>
    </row>
    <row r="1543">
      <c r="H1543" s="39"/>
      <c r="J1543" s="28"/>
    </row>
    <row r="1544">
      <c r="H1544" s="39"/>
      <c r="J1544" s="28"/>
    </row>
    <row r="1545">
      <c r="H1545" s="39"/>
      <c r="J1545" s="28"/>
    </row>
    <row r="1546">
      <c r="H1546" s="39"/>
      <c r="J1546" s="28"/>
    </row>
    <row r="1547">
      <c r="H1547" s="39"/>
      <c r="J1547" s="28"/>
    </row>
    <row r="1548">
      <c r="H1548" s="39"/>
      <c r="J1548" s="28"/>
    </row>
    <row r="1549">
      <c r="H1549" s="39"/>
      <c r="J1549" s="28"/>
    </row>
    <row r="1550">
      <c r="H1550" s="39"/>
      <c r="J1550" s="28"/>
    </row>
    <row r="1551">
      <c r="H1551" s="39"/>
      <c r="J1551" s="28"/>
    </row>
    <row r="1552">
      <c r="H1552" s="39"/>
      <c r="J1552" s="28"/>
    </row>
    <row r="1553">
      <c r="H1553" s="39"/>
      <c r="J1553" s="28"/>
    </row>
    <row r="1554">
      <c r="H1554" s="39"/>
      <c r="J1554" s="28"/>
    </row>
    <row r="1555">
      <c r="H1555" s="39"/>
      <c r="J1555" s="28"/>
    </row>
    <row r="1556">
      <c r="H1556" s="39"/>
      <c r="J1556" s="28"/>
    </row>
    <row r="1557">
      <c r="H1557" s="39"/>
      <c r="J1557" s="28"/>
    </row>
    <row r="1558">
      <c r="H1558" s="39"/>
      <c r="J1558" s="28"/>
    </row>
    <row r="1559">
      <c r="H1559" s="39"/>
      <c r="J1559" s="28"/>
    </row>
    <row r="1560">
      <c r="H1560" s="39"/>
      <c r="J1560" s="28"/>
    </row>
    <row r="1561">
      <c r="H1561" s="39"/>
      <c r="J1561" s="28"/>
    </row>
    <row r="1562">
      <c r="H1562" s="39"/>
      <c r="J1562" s="28"/>
    </row>
    <row r="1563">
      <c r="H1563" s="39"/>
      <c r="J1563" s="28"/>
    </row>
    <row r="1564">
      <c r="H1564" s="39"/>
      <c r="J1564" s="28"/>
    </row>
    <row r="1565">
      <c r="H1565" s="39"/>
      <c r="J1565" s="28"/>
    </row>
    <row r="1566">
      <c r="H1566" s="39"/>
      <c r="J1566" s="28"/>
    </row>
    <row r="1567">
      <c r="H1567" s="39"/>
      <c r="J1567" s="28"/>
    </row>
    <row r="1568">
      <c r="H1568" s="39"/>
      <c r="J1568" s="28"/>
    </row>
    <row r="1569">
      <c r="H1569" s="39"/>
      <c r="J1569" s="28"/>
    </row>
    <row r="1570">
      <c r="H1570" s="39"/>
      <c r="J1570" s="28"/>
    </row>
    <row r="1571">
      <c r="H1571" s="39"/>
      <c r="J1571" s="28"/>
    </row>
    <row r="1572">
      <c r="H1572" s="39"/>
      <c r="J1572" s="28"/>
    </row>
    <row r="1573">
      <c r="H1573" s="39"/>
      <c r="J1573" s="28"/>
    </row>
    <row r="1574">
      <c r="H1574" s="39"/>
      <c r="J1574" s="28"/>
    </row>
    <row r="1575">
      <c r="H1575" s="39"/>
      <c r="J1575" s="28"/>
    </row>
    <row r="1576">
      <c r="H1576" s="39"/>
      <c r="J1576" s="28"/>
    </row>
    <row r="1577">
      <c r="H1577" s="39"/>
      <c r="J1577" s="28"/>
    </row>
    <row r="1578">
      <c r="H1578" s="39"/>
      <c r="J1578" s="28"/>
    </row>
    <row r="1579">
      <c r="H1579" s="39"/>
      <c r="J1579" s="28"/>
    </row>
    <row r="1580">
      <c r="H1580" s="39"/>
      <c r="J1580" s="28"/>
    </row>
    <row r="1581">
      <c r="H1581" s="39"/>
      <c r="J1581" s="28"/>
    </row>
    <row r="1582">
      <c r="H1582" s="39"/>
      <c r="J1582" s="28"/>
    </row>
    <row r="1583">
      <c r="H1583" s="39"/>
      <c r="J1583" s="28"/>
    </row>
    <row r="1584">
      <c r="H1584" s="39"/>
      <c r="J1584" s="28"/>
    </row>
    <row r="1585">
      <c r="H1585" s="39"/>
      <c r="J1585" s="28"/>
    </row>
    <row r="1586">
      <c r="H1586" s="39"/>
      <c r="J1586" s="28"/>
    </row>
    <row r="1587">
      <c r="H1587" s="39"/>
      <c r="J1587" s="28"/>
    </row>
    <row r="1588">
      <c r="H1588" s="39"/>
      <c r="J1588" s="28"/>
    </row>
    <row r="1589">
      <c r="H1589" s="39"/>
      <c r="J1589" s="28"/>
    </row>
    <row r="1590">
      <c r="H1590" s="39"/>
      <c r="J1590" s="28"/>
    </row>
    <row r="1591">
      <c r="H1591" s="39"/>
      <c r="J1591" s="28"/>
    </row>
    <row r="1592">
      <c r="H1592" s="39"/>
      <c r="J1592" s="28"/>
    </row>
    <row r="1593">
      <c r="H1593" s="39"/>
      <c r="J1593" s="28"/>
    </row>
    <row r="1594">
      <c r="H1594" s="39"/>
      <c r="J1594" s="28"/>
    </row>
    <row r="1595">
      <c r="H1595" s="39"/>
      <c r="J1595" s="28"/>
    </row>
    <row r="1596">
      <c r="H1596" s="39"/>
      <c r="J1596" s="28"/>
    </row>
    <row r="1597">
      <c r="H1597" s="39"/>
      <c r="J1597" s="28"/>
    </row>
    <row r="1598">
      <c r="H1598" s="39"/>
      <c r="J1598" s="28"/>
    </row>
    <row r="1599">
      <c r="H1599" s="39"/>
      <c r="J1599" s="28"/>
    </row>
    <row r="1600">
      <c r="H1600" s="39"/>
      <c r="J1600" s="28"/>
    </row>
    <row r="1601">
      <c r="H1601" s="39"/>
      <c r="J1601" s="28"/>
    </row>
    <row r="1602">
      <c r="H1602" s="39"/>
      <c r="J1602" s="28"/>
    </row>
    <row r="1603">
      <c r="H1603" s="39"/>
      <c r="J1603" s="28"/>
    </row>
    <row r="1604">
      <c r="H1604" s="39"/>
      <c r="J1604" s="28"/>
    </row>
    <row r="1605">
      <c r="H1605" s="39"/>
      <c r="J1605" s="28"/>
    </row>
    <row r="1606">
      <c r="H1606" s="39"/>
      <c r="J1606" s="28"/>
    </row>
    <row r="1607">
      <c r="H1607" s="39"/>
      <c r="J1607" s="28"/>
    </row>
    <row r="1608">
      <c r="H1608" s="39"/>
      <c r="J1608" s="28"/>
    </row>
    <row r="1609">
      <c r="H1609" s="39"/>
      <c r="J1609" s="28"/>
    </row>
    <row r="1610">
      <c r="H1610" s="39"/>
      <c r="J1610" s="28"/>
    </row>
    <row r="1611">
      <c r="H1611" s="39"/>
      <c r="J1611" s="28"/>
    </row>
    <row r="1612">
      <c r="H1612" s="39"/>
      <c r="J1612" s="28"/>
    </row>
    <row r="1613">
      <c r="H1613" s="39"/>
      <c r="J1613" s="28"/>
    </row>
    <row r="1614">
      <c r="H1614" s="39"/>
      <c r="J1614" s="28"/>
    </row>
    <row r="1615">
      <c r="H1615" s="39"/>
      <c r="J1615" s="28"/>
    </row>
    <row r="1616">
      <c r="H1616" s="39"/>
      <c r="J1616" s="28"/>
    </row>
    <row r="1617">
      <c r="H1617" s="39"/>
      <c r="J1617" s="28"/>
    </row>
    <row r="1618">
      <c r="H1618" s="39"/>
      <c r="J1618" s="28"/>
    </row>
    <row r="1619">
      <c r="H1619" s="39"/>
      <c r="J1619" s="28"/>
    </row>
    <row r="1620">
      <c r="H1620" s="39"/>
      <c r="J1620" s="28"/>
    </row>
    <row r="1621">
      <c r="H1621" s="39"/>
      <c r="J1621" s="28"/>
    </row>
    <row r="1622">
      <c r="H1622" s="39"/>
      <c r="J1622" s="28"/>
    </row>
    <row r="1623">
      <c r="H1623" s="39"/>
      <c r="J1623" s="28"/>
    </row>
    <row r="1624">
      <c r="H1624" s="39"/>
      <c r="J1624" s="28"/>
    </row>
    <row r="1625">
      <c r="H1625" s="39"/>
      <c r="J1625" s="28"/>
    </row>
    <row r="1626">
      <c r="H1626" s="39"/>
      <c r="J1626" s="28"/>
    </row>
    <row r="1627">
      <c r="H1627" s="39"/>
      <c r="J1627" s="28"/>
    </row>
    <row r="1628">
      <c r="H1628" s="39"/>
      <c r="J1628" s="28"/>
    </row>
    <row r="1629">
      <c r="H1629" s="39"/>
      <c r="J1629" s="28"/>
    </row>
    <row r="1630">
      <c r="H1630" s="39"/>
      <c r="J1630" s="28"/>
    </row>
    <row r="1631">
      <c r="H1631" s="39"/>
      <c r="J1631" s="28"/>
    </row>
    <row r="1632">
      <c r="H1632" s="39"/>
      <c r="J1632" s="28"/>
    </row>
    <row r="1633">
      <c r="H1633" s="39"/>
      <c r="J1633" s="28"/>
    </row>
    <row r="1634">
      <c r="H1634" s="39"/>
      <c r="J1634" s="28"/>
    </row>
    <row r="1635">
      <c r="H1635" s="39"/>
      <c r="J1635" s="28"/>
    </row>
    <row r="1636">
      <c r="H1636" s="39"/>
      <c r="J1636" s="28"/>
    </row>
    <row r="1637">
      <c r="H1637" s="39"/>
      <c r="J1637" s="28"/>
    </row>
    <row r="1638">
      <c r="H1638" s="39"/>
      <c r="J1638" s="28"/>
    </row>
    <row r="1639">
      <c r="H1639" s="39"/>
      <c r="J1639" s="28"/>
    </row>
    <row r="1640">
      <c r="H1640" s="39"/>
      <c r="J1640" s="28"/>
    </row>
    <row r="1641">
      <c r="H1641" s="39"/>
      <c r="J1641" s="28"/>
    </row>
    <row r="1642">
      <c r="H1642" s="39"/>
      <c r="J1642" s="28"/>
    </row>
    <row r="1643">
      <c r="H1643" s="39"/>
      <c r="J1643" s="28"/>
    </row>
    <row r="1644">
      <c r="H1644" s="39"/>
      <c r="J1644" s="28"/>
    </row>
    <row r="1645">
      <c r="H1645" s="39"/>
      <c r="J1645" s="28"/>
    </row>
    <row r="1646">
      <c r="H1646" s="39"/>
      <c r="J1646" s="28"/>
    </row>
    <row r="1647">
      <c r="H1647" s="39"/>
      <c r="J1647" s="28"/>
    </row>
    <row r="1648">
      <c r="H1648" s="39"/>
      <c r="J1648" s="28"/>
    </row>
    <row r="1649">
      <c r="H1649" s="39"/>
      <c r="J1649" s="28"/>
    </row>
    <row r="1650">
      <c r="H1650" s="39"/>
      <c r="J1650" s="28"/>
    </row>
    <row r="1651">
      <c r="H1651" s="39"/>
      <c r="J1651" s="28"/>
    </row>
    <row r="1652">
      <c r="H1652" s="39"/>
      <c r="J1652" s="28"/>
    </row>
    <row r="1653">
      <c r="H1653" s="39"/>
      <c r="J1653" s="28"/>
    </row>
    <row r="1654">
      <c r="H1654" s="39"/>
      <c r="J1654" s="28"/>
    </row>
    <row r="1655">
      <c r="H1655" s="39"/>
      <c r="J1655" s="28"/>
    </row>
    <row r="1656">
      <c r="H1656" s="39"/>
      <c r="J1656" s="28"/>
    </row>
    <row r="1657">
      <c r="H1657" s="39"/>
      <c r="J1657" s="28"/>
    </row>
    <row r="1658">
      <c r="H1658" s="39"/>
      <c r="J1658" s="28"/>
    </row>
    <row r="1659">
      <c r="H1659" s="39"/>
      <c r="J1659" s="28"/>
    </row>
    <row r="1660">
      <c r="H1660" s="39"/>
      <c r="J1660" s="28"/>
    </row>
    <row r="1661">
      <c r="H1661" s="39"/>
      <c r="J1661" s="28"/>
    </row>
    <row r="1662">
      <c r="H1662" s="39"/>
      <c r="J1662" s="28"/>
    </row>
    <row r="1663">
      <c r="H1663" s="39"/>
      <c r="J1663" s="28"/>
    </row>
    <row r="1664">
      <c r="H1664" s="39"/>
      <c r="J1664" s="28"/>
    </row>
    <row r="1665">
      <c r="H1665" s="39"/>
      <c r="J1665" s="28"/>
    </row>
    <row r="1666">
      <c r="H1666" s="39"/>
      <c r="J1666" s="28"/>
    </row>
    <row r="1667">
      <c r="H1667" s="39"/>
      <c r="J1667" s="28"/>
    </row>
    <row r="1668">
      <c r="H1668" s="39"/>
      <c r="J1668" s="28"/>
    </row>
    <row r="1669">
      <c r="H1669" s="39"/>
      <c r="J1669" s="28"/>
    </row>
    <row r="1670">
      <c r="H1670" s="39"/>
      <c r="J1670" s="28"/>
    </row>
    <row r="1671">
      <c r="H1671" s="39"/>
      <c r="J1671" s="28"/>
    </row>
    <row r="1672">
      <c r="H1672" s="39"/>
      <c r="J1672" s="28"/>
    </row>
    <row r="1673">
      <c r="H1673" s="39"/>
      <c r="J1673" s="28"/>
    </row>
    <row r="1674">
      <c r="H1674" s="39"/>
      <c r="J1674" s="28"/>
    </row>
    <row r="1675">
      <c r="H1675" s="39"/>
      <c r="J1675" s="28"/>
    </row>
    <row r="1676">
      <c r="H1676" s="39"/>
      <c r="J1676" s="28"/>
    </row>
    <row r="1677">
      <c r="H1677" s="39"/>
      <c r="J1677" s="28"/>
    </row>
    <row r="1678">
      <c r="H1678" s="39"/>
      <c r="J1678" s="28"/>
    </row>
    <row r="1679">
      <c r="H1679" s="39"/>
      <c r="J1679" s="28"/>
    </row>
    <row r="1680">
      <c r="H1680" s="39"/>
      <c r="J1680" s="28"/>
    </row>
    <row r="1681">
      <c r="H1681" s="39"/>
      <c r="J1681" s="28"/>
    </row>
    <row r="1682">
      <c r="H1682" s="39"/>
      <c r="J1682" s="28"/>
    </row>
    <row r="1683">
      <c r="H1683" s="39"/>
      <c r="J1683" s="28"/>
    </row>
    <row r="1684">
      <c r="H1684" s="39"/>
      <c r="J1684" s="28"/>
    </row>
    <row r="1685">
      <c r="H1685" s="39"/>
      <c r="J1685" s="28"/>
    </row>
    <row r="1686">
      <c r="H1686" s="39"/>
      <c r="J1686" s="28"/>
    </row>
    <row r="1687">
      <c r="H1687" s="39"/>
      <c r="J1687" s="28"/>
    </row>
    <row r="1688">
      <c r="H1688" s="39"/>
      <c r="J1688" s="28"/>
    </row>
    <row r="1689">
      <c r="H1689" s="39"/>
      <c r="J1689" s="28"/>
    </row>
    <row r="1690">
      <c r="H1690" s="39"/>
      <c r="J1690" s="28"/>
    </row>
    <row r="1691">
      <c r="H1691" s="39"/>
      <c r="J1691" s="28"/>
    </row>
    <row r="1692">
      <c r="H1692" s="39"/>
      <c r="J1692" s="28"/>
    </row>
    <row r="1693">
      <c r="H1693" s="39"/>
      <c r="J1693" s="28"/>
    </row>
    <row r="1694">
      <c r="H1694" s="39"/>
      <c r="J1694" s="28"/>
    </row>
    <row r="1695">
      <c r="H1695" s="39"/>
      <c r="J1695" s="28"/>
    </row>
    <row r="1696">
      <c r="H1696" s="39"/>
      <c r="J1696" s="28"/>
    </row>
    <row r="1697">
      <c r="H1697" s="39"/>
      <c r="J1697" s="28"/>
    </row>
    <row r="1698">
      <c r="H1698" s="39"/>
      <c r="J1698" s="28"/>
    </row>
    <row r="1699">
      <c r="H1699" s="39"/>
      <c r="J1699" s="28"/>
    </row>
    <row r="1700">
      <c r="H1700" s="39"/>
      <c r="J1700" s="28"/>
    </row>
    <row r="1701">
      <c r="H1701" s="39"/>
      <c r="J1701" s="28"/>
    </row>
    <row r="1702">
      <c r="H1702" s="39"/>
      <c r="J1702" s="28"/>
    </row>
    <row r="1703">
      <c r="H1703" s="39"/>
      <c r="J1703" s="28"/>
    </row>
    <row r="1704">
      <c r="H1704" s="39"/>
      <c r="J1704" s="28"/>
    </row>
    <row r="1705">
      <c r="H1705" s="39"/>
      <c r="J1705" s="28"/>
    </row>
    <row r="1706">
      <c r="H1706" s="39"/>
      <c r="J1706" s="28"/>
    </row>
    <row r="1707">
      <c r="H1707" s="39"/>
      <c r="J1707" s="28"/>
    </row>
    <row r="1708">
      <c r="H1708" s="39"/>
      <c r="J1708" s="28"/>
    </row>
    <row r="1709">
      <c r="H1709" s="39"/>
      <c r="J1709" s="28"/>
    </row>
    <row r="1710">
      <c r="H1710" s="39"/>
      <c r="J1710" s="28"/>
    </row>
    <row r="1711">
      <c r="H1711" s="39"/>
      <c r="J1711" s="28"/>
    </row>
    <row r="1712">
      <c r="H1712" s="39"/>
      <c r="J1712" s="28"/>
    </row>
    <row r="1713">
      <c r="H1713" s="39"/>
      <c r="J1713" s="28"/>
    </row>
    <row r="1714">
      <c r="H1714" s="39"/>
      <c r="J1714" s="28"/>
    </row>
    <row r="1715">
      <c r="H1715" s="39"/>
      <c r="J1715" s="28"/>
    </row>
    <row r="1716">
      <c r="H1716" s="39"/>
      <c r="J1716" s="28"/>
    </row>
    <row r="1717">
      <c r="H1717" s="39"/>
      <c r="J1717" s="28"/>
    </row>
    <row r="1718">
      <c r="H1718" s="39"/>
      <c r="J1718" s="28"/>
    </row>
    <row r="1719">
      <c r="H1719" s="39"/>
      <c r="J1719" s="28"/>
    </row>
    <row r="1720">
      <c r="H1720" s="39"/>
      <c r="J1720" s="28"/>
    </row>
    <row r="1721">
      <c r="H1721" s="39"/>
      <c r="J1721" s="28"/>
    </row>
    <row r="1722">
      <c r="H1722" s="39"/>
      <c r="J1722" s="28"/>
    </row>
    <row r="1723">
      <c r="H1723" s="39"/>
      <c r="J1723" s="28"/>
    </row>
    <row r="1724">
      <c r="H1724" s="39"/>
      <c r="J1724" s="28"/>
    </row>
    <row r="1725">
      <c r="H1725" s="39"/>
      <c r="J1725" s="28"/>
    </row>
    <row r="1726">
      <c r="H1726" s="39"/>
      <c r="J1726" s="28"/>
    </row>
    <row r="1727">
      <c r="H1727" s="39"/>
      <c r="J1727" s="28"/>
    </row>
    <row r="1728">
      <c r="H1728" s="39"/>
      <c r="J1728" s="28"/>
    </row>
    <row r="1729">
      <c r="H1729" s="39"/>
      <c r="J1729" s="28"/>
    </row>
    <row r="1730">
      <c r="H1730" s="39"/>
      <c r="J1730" s="28"/>
    </row>
    <row r="1731">
      <c r="H1731" s="39"/>
      <c r="J1731" s="28"/>
    </row>
    <row r="1732">
      <c r="H1732" s="39"/>
      <c r="J1732" s="28"/>
    </row>
    <row r="1733">
      <c r="H1733" s="39"/>
      <c r="J1733" s="28"/>
    </row>
    <row r="1734">
      <c r="H1734" s="39"/>
      <c r="J1734" s="28"/>
    </row>
    <row r="1735">
      <c r="H1735" s="39"/>
      <c r="J1735" s="28"/>
    </row>
    <row r="1736">
      <c r="H1736" s="39"/>
      <c r="J1736" s="28"/>
    </row>
    <row r="1737">
      <c r="H1737" s="39"/>
      <c r="J1737" s="28"/>
    </row>
    <row r="1738">
      <c r="H1738" s="39"/>
      <c r="J1738" s="28"/>
    </row>
    <row r="1739">
      <c r="H1739" s="39"/>
      <c r="J1739" s="28"/>
    </row>
    <row r="1740">
      <c r="H1740" s="39"/>
      <c r="J1740" s="28"/>
    </row>
    <row r="1741">
      <c r="H1741" s="39"/>
      <c r="J1741" s="28"/>
    </row>
    <row r="1742">
      <c r="H1742" s="39"/>
      <c r="J1742" s="28"/>
    </row>
    <row r="1743">
      <c r="H1743" s="39"/>
      <c r="J1743" s="28"/>
    </row>
    <row r="1744">
      <c r="H1744" s="39"/>
      <c r="J1744" s="28"/>
    </row>
    <row r="1745">
      <c r="H1745" s="39"/>
      <c r="J1745" s="28"/>
    </row>
    <row r="1746">
      <c r="H1746" s="39"/>
      <c r="J1746" s="28"/>
    </row>
    <row r="1747">
      <c r="H1747" s="39"/>
      <c r="J1747" s="28"/>
    </row>
    <row r="1748">
      <c r="H1748" s="39"/>
      <c r="J1748" s="28"/>
    </row>
    <row r="1749">
      <c r="H1749" s="39"/>
      <c r="J1749" s="28"/>
    </row>
    <row r="1750">
      <c r="H1750" s="39"/>
      <c r="J1750" s="28"/>
    </row>
    <row r="1751">
      <c r="H1751" s="39"/>
      <c r="J1751" s="28"/>
    </row>
    <row r="1752">
      <c r="H1752" s="39"/>
      <c r="J1752" s="28"/>
    </row>
    <row r="1753">
      <c r="H1753" s="39"/>
      <c r="J1753" s="28"/>
    </row>
    <row r="1754">
      <c r="H1754" s="39"/>
      <c r="J1754" s="28"/>
    </row>
    <row r="1755">
      <c r="H1755" s="39"/>
      <c r="J1755" s="28"/>
    </row>
    <row r="1756">
      <c r="H1756" s="39"/>
      <c r="J1756" s="28"/>
    </row>
    <row r="1757">
      <c r="H1757" s="39"/>
      <c r="J1757" s="28"/>
    </row>
    <row r="1758">
      <c r="H1758" s="39"/>
      <c r="J1758" s="28"/>
    </row>
    <row r="1759">
      <c r="H1759" s="39"/>
      <c r="J1759" s="28"/>
    </row>
    <row r="1760">
      <c r="H1760" s="39"/>
      <c r="J1760" s="28"/>
    </row>
    <row r="1761">
      <c r="H1761" s="39"/>
      <c r="J1761" s="28"/>
    </row>
    <row r="1762">
      <c r="H1762" s="39"/>
      <c r="J1762" s="28"/>
    </row>
    <row r="1763">
      <c r="H1763" s="39"/>
      <c r="J1763" s="28"/>
    </row>
    <row r="1764">
      <c r="H1764" s="39"/>
      <c r="J1764" s="28"/>
    </row>
    <row r="1765">
      <c r="H1765" s="39"/>
      <c r="J1765" s="28"/>
    </row>
    <row r="1766">
      <c r="H1766" s="39"/>
      <c r="J1766" s="28"/>
    </row>
    <row r="1767">
      <c r="H1767" s="39"/>
      <c r="J1767" s="28"/>
    </row>
    <row r="1768">
      <c r="H1768" s="39"/>
      <c r="J1768" s="28"/>
    </row>
    <row r="1769">
      <c r="H1769" s="39"/>
      <c r="J1769" s="28"/>
    </row>
    <row r="1770">
      <c r="H1770" s="39"/>
      <c r="J1770" s="28"/>
    </row>
    <row r="1771">
      <c r="H1771" s="39"/>
      <c r="J1771" s="28"/>
    </row>
    <row r="1772">
      <c r="H1772" s="39"/>
      <c r="J1772" s="28"/>
    </row>
    <row r="1773">
      <c r="H1773" s="39"/>
      <c r="J1773" s="28"/>
    </row>
    <row r="1774">
      <c r="H1774" s="39"/>
      <c r="J1774" s="28"/>
    </row>
    <row r="1775">
      <c r="H1775" s="39"/>
      <c r="J1775" s="28"/>
    </row>
    <row r="1776">
      <c r="H1776" s="39"/>
      <c r="J1776" s="28"/>
    </row>
    <row r="1777">
      <c r="H1777" s="39"/>
      <c r="J1777" s="28"/>
    </row>
    <row r="1778">
      <c r="H1778" s="39"/>
      <c r="J1778" s="28"/>
    </row>
    <row r="1779">
      <c r="H1779" s="39"/>
      <c r="J1779" s="28"/>
    </row>
    <row r="1780">
      <c r="H1780" s="39"/>
      <c r="J1780" s="28"/>
    </row>
    <row r="1781">
      <c r="H1781" s="39"/>
      <c r="J1781" s="28"/>
    </row>
    <row r="1782">
      <c r="H1782" s="39"/>
      <c r="J1782" s="28"/>
    </row>
    <row r="1783">
      <c r="H1783" s="39"/>
      <c r="J1783" s="28"/>
    </row>
    <row r="1784">
      <c r="H1784" s="39"/>
      <c r="J1784" s="28"/>
    </row>
    <row r="1785">
      <c r="H1785" s="39"/>
      <c r="J1785" s="28"/>
    </row>
    <row r="1786">
      <c r="H1786" s="39"/>
      <c r="J1786" s="28"/>
    </row>
    <row r="1787">
      <c r="H1787" s="39"/>
      <c r="J1787" s="28"/>
    </row>
    <row r="1788">
      <c r="H1788" s="39"/>
      <c r="J1788" s="28"/>
    </row>
    <row r="1789">
      <c r="H1789" s="39"/>
      <c r="J1789" s="28"/>
    </row>
    <row r="1790">
      <c r="H1790" s="39"/>
      <c r="J1790" s="28"/>
    </row>
    <row r="1791">
      <c r="H1791" s="39"/>
      <c r="J1791" s="28"/>
    </row>
    <row r="1792">
      <c r="H1792" s="39"/>
      <c r="J1792" s="28"/>
    </row>
    <row r="1793">
      <c r="H1793" s="39"/>
      <c r="J1793" s="28"/>
    </row>
    <row r="1794">
      <c r="H1794" s="39"/>
      <c r="J1794" s="28"/>
    </row>
    <row r="1795">
      <c r="H1795" s="39"/>
      <c r="J1795" s="28"/>
    </row>
    <row r="1796">
      <c r="H1796" s="39"/>
      <c r="J1796" s="28"/>
    </row>
    <row r="1797">
      <c r="H1797" s="39"/>
      <c r="J1797" s="28"/>
    </row>
    <row r="1798">
      <c r="H1798" s="39"/>
      <c r="J1798" s="28"/>
    </row>
    <row r="1799">
      <c r="H1799" s="39"/>
      <c r="J1799" s="28"/>
    </row>
    <row r="1800">
      <c r="H1800" s="39"/>
      <c r="J1800" s="28"/>
    </row>
    <row r="1801">
      <c r="H1801" s="39"/>
      <c r="J1801" s="28"/>
    </row>
    <row r="1802">
      <c r="H1802" s="39"/>
      <c r="J1802" s="28"/>
    </row>
    <row r="1803">
      <c r="H1803" s="39"/>
      <c r="J1803" s="28"/>
    </row>
    <row r="1804">
      <c r="H1804" s="39"/>
      <c r="J1804" s="28"/>
    </row>
    <row r="1805">
      <c r="H1805" s="39"/>
      <c r="J1805" s="28"/>
    </row>
    <row r="1806">
      <c r="H1806" s="39"/>
      <c r="J1806" s="28"/>
    </row>
    <row r="1807">
      <c r="H1807" s="39"/>
      <c r="J1807" s="28"/>
    </row>
    <row r="1808">
      <c r="H1808" s="39"/>
      <c r="J1808" s="28"/>
    </row>
    <row r="1809">
      <c r="H1809" s="39"/>
      <c r="J1809" s="28"/>
    </row>
    <row r="1810">
      <c r="H1810" s="39"/>
      <c r="J1810" s="28"/>
    </row>
    <row r="1811">
      <c r="H1811" s="39"/>
      <c r="J1811" s="28"/>
    </row>
    <row r="1812">
      <c r="H1812" s="39"/>
      <c r="J1812" s="28"/>
    </row>
    <row r="1813">
      <c r="H1813" s="39"/>
      <c r="J1813" s="28"/>
    </row>
    <row r="1814">
      <c r="H1814" s="39"/>
      <c r="J1814" s="28"/>
    </row>
    <row r="1815">
      <c r="H1815" s="39"/>
      <c r="J1815" s="28"/>
    </row>
    <row r="1816">
      <c r="H1816" s="39"/>
      <c r="J1816" s="28"/>
    </row>
    <row r="1817">
      <c r="H1817" s="39"/>
      <c r="J1817" s="28"/>
    </row>
    <row r="1818">
      <c r="H1818" s="39"/>
      <c r="J1818" s="28"/>
    </row>
    <row r="1819">
      <c r="H1819" s="39"/>
      <c r="J1819" s="28"/>
    </row>
    <row r="1820">
      <c r="H1820" s="39"/>
      <c r="J1820" s="28"/>
    </row>
    <row r="1821">
      <c r="H1821" s="39"/>
      <c r="J1821" s="28"/>
    </row>
    <row r="1822">
      <c r="H1822" s="39"/>
      <c r="J1822" s="28"/>
    </row>
    <row r="1823">
      <c r="H1823" s="39"/>
      <c r="J1823" s="28"/>
    </row>
    <row r="1824">
      <c r="H1824" s="39"/>
      <c r="J1824" s="28"/>
    </row>
    <row r="1825">
      <c r="H1825" s="39"/>
      <c r="J1825" s="28"/>
    </row>
    <row r="1826">
      <c r="H1826" s="39"/>
      <c r="J1826" s="28"/>
    </row>
    <row r="1827">
      <c r="H1827" s="39"/>
      <c r="J1827" s="28"/>
    </row>
    <row r="1828">
      <c r="H1828" s="39"/>
      <c r="J1828" s="28"/>
    </row>
    <row r="1829">
      <c r="H1829" s="39"/>
      <c r="J1829" s="28"/>
    </row>
    <row r="1830">
      <c r="H1830" s="39"/>
      <c r="J1830" s="28"/>
    </row>
    <row r="1831">
      <c r="H1831" s="39"/>
      <c r="J1831" s="28"/>
    </row>
    <row r="1832">
      <c r="H1832" s="39"/>
      <c r="J1832" s="28"/>
    </row>
    <row r="1833">
      <c r="H1833" s="39"/>
      <c r="J1833" s="28"/>
    </row>
    <row r="1834">
      <c r="H1834" s="39"/>
      <c r="J1834" s="28"/>
    </row>
    <row r="1835">
      <c r="H1835" s="39"/>
      <c r="J1835" s="28"/>
    </row>
    <row r="1836">
      <c r="H1836" s="39"/>
      <c r="J1836" s="28"/>
    </row>
    <row r="1837">
      <c r="H1837" s="39"/>
      <c r="J1837" s="28"/>
    </row>
    <row r="1838">
      <c r="H1838" s="39"/>
      <c r="J1838" s="28"/>
    </row>
    <row r="1839">
      <c r="H1839" s="39"/>
      <c r="J1839" s="28"/>
    </row>
    <row r="1840">
      <c r="H1840" s="39"/>
      <c r="J1840" s="28"/>
    </row>
    <row r="1841">
      <c r="H1841" s="39"/>
      <c r="J1841" s="28"/>
    </row>
    <row r="1842">
      <c r="H1842" s="39"/>
      <c r="J1842" s="28"/>
    </row>
    <row r="1843">
      <c r="H1843" s="39"/>
      <c r="J1843" s="28"/>
    </row>
    <row r="1844">
      <c r="H1844" s="39"/>
      <c r="J1844" s="28"/>
    </row>
    <row r="1845">
      <c r="H1845" s="39"/>
      <c r="J1845" s="28"/>
    </row>
    <row r="1846">
      <c r="H1846" s="39"/>
      <c r="J1846" s="28"/>
    </row>
    <row r="1847">
      <c r="H1847" s="39"/>
      <c r="J1847" s="28"/>
    </row>
    <row r="1848">
      <c r="H1848" s="39"/>
      <c r="J1848" s="28"/>
    </row>
    <row r="1849">
      <c r="H1849" s="39"/>
      <c r="J1849" s="28"/>
    </row>
    <row r="1850">
      <c r="H1850" s="39"/>
      <c r="J1850" s="28"/>
    </row>
    <row r="1851">
      <c r="H1851" s="39"/>
      <c r="J1851" s="28"/>
    </row>
    <row r="1852">
      <c r="H1852" s="39"/>
      <c r="J1852" s="28"/>
    </row>
    <row r="1853">
      <c r="H1853" s="39"/>
      <c r="J1853" s="28"/>
    </row>
    <row r="1854">
      <c r="H1854" s="39"/>
      <c r="J1854" s="28"/>
    </row>
    <row r="1855">
      <c r="H1855" s="39"/>
      <c r="J1855" s="28"/>
    </row>
    <row r="1856">
      <c r="H1856" s="39"/>
      <c r="J1856" s="28"/>
    </row>
    <row r="1857">
      <c r="H1857" s="39"/>
      <c r="J1857" s="28"/>
    </row>
    <row r="1858">
      <c r="H1858" s="39"/>
      <c r="J1858" s="28"/>
    </row>
    <row r="1859">
      <c r="H1859" s="39"/>
      <c r="J1859" s="28"/>
    </row>
    <row r="1860">
      <c r="H1860" s="39"/>
      <c r="J1860" s="28"/>
    </row>
    <row r="1861">
      <c r="H1861" s="39"/>
      <c r="J1861" s="28"/>
    </row>
    <row r="1862">
      <c r="H1862" s="39"/>
      <c r="J1862" s="28"/>
    </row>
    <row r="1863">
      <c r="H1863" s="39"/>
      <c r="J1863" s="28"/>
    </row>
    <row r="1864">
      <c r="H1864" s="39"/>
      <c r="J1864" s="28"/>
    </row>
    <row r="1865">
      <c r="H1865" s="39"/>
      <c r="J1865" s="28"/>
    </row>
    <row r="1866">
      <c r="H1866" s="39"/>
      <c r="J1866" s="28"/>
    </row>
    <row r="1867">
      <c r="H1867" s="39"/>
      <c r="J1867" s="28"/>
    </row>
    <row r="1868">
      <c r="H1868" s="39"/>
      <c r="J1868" s="28"/>
    </row>
    <row r="1869">
      <c r="H1869" s="39"/>
      <c r="J1869" s="28"/>
    </row>
    <row r="1870">
      <c r="H1870" s="39"/>
      <c r="J1870" s="28"/>
    </row>
    <row r="1871">
      <c r="H1871" s="39"/>
      <c r="J1871" s="28"/>
    </row>
    <row r="1872">
      <c r="H1872" s="39"/>
      <c r="J1872" s="28"/>
    </row>
    <row r="1873">
      <c r="H1873" s="39"/>
      <c r="J1873" s="28"/>
    </row>
    <row r="1874">
      <c r="H1874" s="39"/>
      <c r="J1874" s="28"/>
    </row>
    <row r="1875">
      <c r="H1875" s="39"/>
      <c r="J1875" s="28"/>
    </row>
    <row r="1876">
      <c r="H1876" s="39"/>
      <c r="J1876" s="28"/>
    </row>
    <row r="1877">
      <c r="H1877" s="39"/>
      <c r="J1877" s="28"/>
    </row>
    <row r="1878">
      <c r="H1878" s="39"/>
      <c r="J1878" s="28"/>
    </row>
    <row r="1879">
      <c r="H1879" s="39"/>
      <c r="J1879" s="28"/>
    </row>
    <row r="1880">
      <c r="H1880" s="39"/>
      <c r="J1880" s="28"/>
    </row>
    <row r="1881">
      <c r="H1881" s="39"/>
      <c r="J1881" s="28"/>
    </row>
    <row r="1882">
      <c r="H1882" s="39"/>
      <c r="J1882" s="28"/>
    </row>
    <row r="1883">
      <c r="H1883" s="39"/>
      <c r="J1883" s="28"/>
    </row>
    <row r="1884">
      <c r="H1884" s="39"/>
      <c r="J1884" s="28"/>
    </row>
    <row r="1885">
      <c r="H1885" s="39"/>
      <c r="J1885" s="28"/>
    </row>
    <row r="1886">
      <c r="H1886" s="39"/>
      <c r="J1886" s="28"/>
    </row>
    <row r="1887">
      <c r="H1887" s="39"/>
      <c r="J1887" s="28"/>
    </row>
    <row r="1888">
      <c r="H1888" s="39"/>
      <c r="J1888" s="28"/>
    </row>
    <row r="1889">
      <c r="H1889" s="39"/>
      <c r="J1889" s="28"/>
    </row>
    <row r="1890">
      <c r="H1890" s="39"/>
      <c r="J1890" s="28"/>
    </row>
    <row r="1891">
      <c r="H1891" s="39"/>
      <c r="J1891" s="28"/>
    </row>
    <row r="1892">
      <c r="H1892" s="39"/>
      <c r="J1892" s="28"/>
    </row>
    <row r="1893">
      <c r="H1893" s="39"/>
      <c r="J1893" s="28"/>
    </row>
    <row r="1894">
      <c r="H1894" s="39"/>
      <c r="J1894" s="28"/>
    </row>
    <row r="1895">
      <c r="H1895" s="39"/>
      <c r="J1895" s="28"/>
    </row>
    <row r="1896">
      <c r="H1896" s="39"/>
      <c r="J1896" s="28"/>
    </row>
    <row r="1897">
      <c r="H1897" s="39"/>
      <c r="J1897" s="28"/>
    </row>
    <row r="1898">
      <c r="H1898" s="39"/>
      <c r="J1898" s="28"/>
    </row>
    <row r="1899">
      <c r="H1899" s="39"/>
      <c r="J1899" s="28"/>
    </row>
    <row r="1900">
      <c r="H1900" s="39"/>
      <c r="J1900" s="28"/>
    </row>
    <row r="1901">
      <c r="H1901" s="39"/>
      <c r="J1901" s="28"/>
    </row>
    <row r="1902">
      <c r="H1902" s="39"/>
      <c r="J1902" s="28"/>
    </row>
    <row r="1903">
      <c r="H1903" s="39"/>
      <c r="J1903" s="28"/>
    </row>
    <row r="1904">
      <c r="H1904" s="39"/>
      <c r="J1904" s="28"/>
    </row>
    <row r="1905">
      <c r="H1905" s="39"/>
      <c r="J1905" s="28"/>
    </row>
    <row r="1906">
      <c r="H1906" s="39"/>
      <c r="J1906" s="28"/>
    </row>
    <row r="1907">
      <c r="H1907" s="39"/>
      <c r="J1907" s="28"/>
    </row>
    <row r="1908">
      <c r="H1908" s="39"/>
      <c r="J1908" s="28"/>
    </row>
    <row r="1909">
      <c r="H1909" s="39"/>
      <c r="J1909" s="28"/>
    </row>
    <row r="1910">
      <c r="H1910" s="39"/>
      <c r="J1910" s="28"/>
    </row>
    <row r="1911">
      <c r="H1911" s="39"/>
      <c r="J1911" s="28"/>
    </row>
    <row r="1912">
      <c r="H1912" s="39"/>
      <c r="J1912" s="28"/>
    </row>
    <row r="1913">
      <c r="H1913" s="39"/>
      <c r="J1913" s="28"/>
    </row>
    <row r="1914">
      <c r="H1914" s="39"/>
      <c r="J1914" s="28"/>
    </row>
    <row r="1915">
      <c r="H1915" s="39"/>
      <c r="J1915" s="28"/>
    </row>
    <row r="1916">
      <c r="H1916" s="39"/>
      <c r="J1916" s="28"/>
    </row>
    <row r="1917">
      <c r="H1917" s="39"/>
      <c r="J1917" s="28"/>
    </row>
    <row r="1918">
      <c r="H1918" s="39"/>
      <c r="J1918" s="28"/>
    </row>
    <row r="1919">
      <c r="H1919" s="39"/>
      <c r="J1919" s="28"/>
    </row>
    <row r="1920">
      <c r="H1920" s="39"/>
      <c r="J1920" s="28"/>
    </row>
    <row r="1921">
      <c r="H1921" s="39"/>
      <c r="J1921" s="28"/>
    </row>
    <row r="1922">
      <c r="H1922" s="39"/>
      <c r="J1922" s="28"/>
    </row>
    <row r="1923">
      <c r="H1923" s="39"/>
      <c r="J1923" s="28"/>
    </row>
    <row r="1924">
      <c r="H1924" s="39"/>
      <c r="J1924" s="28"/>
    </row>
    <row r="1925">
      <c r="H1925" s="39"/>
      <c r="J1925" s="28"/>
    </row>
    <row r="1926">
      <c r="H1926" s="39"/>
      <c r="J1926" s="28"/>
    </row>
    <row r="1927">
      <c r="H1927" s="39"/>
      <c r="J1927" s="28"/>
    </row>
    <row r="1928">
      <c r="H1928" s="39"/>
      <c r="J1928" s="28"/>
    </row>
    <row r="1929">
      <c r="H1929" s="39"/>
      <c r="J1929" s="28"/>
    </row>
    <row r="1930">
      <c r="H1930" s="39"/>
      <c r="J1930" s="28"/>
    </row>
    <row r="1931">
      <c r="H1931" s="39"/>
      <c r="J1931" s="28"/>
    </row>
    <row r="1932">
      <c r="H1932" s="39"/>
      <c r="J1932" s="28"/>
    </row>
    <row r="1933">
      <c r="H1933" s="39"/>
      <c r="J1933" s="28"/>
    </row>
    <row r="1934">
      <c r="H1934" s="39"/>
      <c r="J1934" s="28"/>
    </row>
    <row r="1935">
      <c r="H1935" s="39"/>
      <c r="J1935" s="28"/>
    </row>
    <row r="1936">
      <c r="H1936" s="39"/>
      <c r="J1936" s="28"/>
    </row>
    <row r="1937">
      <c r="H1937" s="39"/>
      <c r="J1937" s="28"/>
    </row>
    <row r="1938">
      <c r="H1938" s="39"/>
      <c r="J1938" s="28"/>
    </row>
    <row r="1939">
      <c r="H1939" s="39"/>
      <c r="J1939" s="28"/>
    </row>
    <row r="1940">
      <c r="H1940" s="39"/>
      <c r="J1940" s="28"/>
    </row>
    <row r="1941">
      <c r="H1941" s="39"/>
      <c r="J1941" s="28"/>
    </row>
    <row r="1942">
      <c r="H1942" s="39"/>
      <c r="J1942" s="28"/>
    </row>
    <row r="1943">
      <c r="H1943" s="39"/>
      <c r="J1943" s="28"/>
    </row>
    <row r="1944">
      <c r="H1944" s="39"/>
      <c r="J1944" s="28"/>
    </row>
    <row r="1945">
      <c r="H1945" s="39"/>
      <c r="J1945" s="28"/>
    </row>
    <row r="1946">
      <c r="H1946" s="39"/>
      <c r="J1946" s="28"/>
    </row>
    <row r="1947">
      <c r="H1947" s="39"/>
      <c r="J1947" s="28"/>
    </row>
    <row r="1948">
      <c r="H1948" s="39"/>
      <c r="J1948" s="28"/>
    </row>
    <row r="1949">
      <c r="H1949" s="39"/>
      <c r="J1949" s="28"/>
    </row>
    <row r="1950">
      <c r="H1950" s="39"/>
      <c r="J1950" s="28"/>
    </row>
    <row r="1951">
      <c r="H1951" s="39"/>
      <c r="J1951" s="28"/>
    </row>
    <row r="1952">
      <c r="H1952" s="39"/>
      <c r="J1952" s="28"/>
    </row>
    <row r="1953">
      <c r="H1953" s="39"/>
      <c r="J1953" s="28"/>
    </row>
    <row r="1954">
      <c r="H1954" s="39"/>
      <c r="J1954" s="28"/>
    </row>
    <row r="1955">
      <c r="H1955" s="39"/>
      <c r="J1955" s="28"/>
    </row>
    <row r="1956">
      <c r="H1956" s="39"/>
      <c r="J1956" s="28"/>
    </row>
    <row r="1957">
      <c r="H1957" s="39"/>
      <c r="J1957" s="28"/>
    </row>
    <row r="1958">
      <c r="H1958" s="39"/>
      <c r="J1958" s="28"/>
    </row>
    <row r="1959">
      <c r="H1959" s="39"/>
      <c r="J1959" s="28"/>
    </row>
    <row r="1960">
      <c r="H1960" s="39"/>
      <c r="J1960" s="28"/>
    </row>
    <row r="1961">
      <c r="H1961" s="39"/>
      <c r="J1961" s="28"/>
    </row>
    <row r="1962">
      <c r="H1962" s="39"/>
      <c r="J1962" s="28"/>
    </row>
    <row r="1963">
      <c r="H1963" s="39"/>
      <c r="J1963" s="28"/>
    </row>
    <row r="1964">
      <c r="H1964" s="39"/>
      <c r="J1964" s="28"/>
    </row>
    <row r="1965">
      <c r="H1965" s="39"/>
      <c r="J1965" s="28"/>
    </row>
    <row r="1966">
      <c r="H1966" s="39"/>
      <c r="J1966" s="28"/>
    </row>
    <row r="1967">
      <c r="H1967" s="39"/>
      <c r="J1967" s="28"/>
    </row>
    <row r="1968">
      <c r="H1968" s="39"/>
      <c r="J1968" s="28"/>
    </row>
    <row r="1969">
      <c r="H1969" s="39"/>
      <c r="J1969" s="28"/>
    </row>
    <row r="1970">
      <c r="H1970" s="39"/>
      <c r="J1970" s="28"/>
    </row>
    <row r="1971">
      <c r="H1971" s="39"/>
      <c r="J1971" s="28"/>
    </row>
    <row r="1972">
      <c r="H1972" s="39"/>
      <c r="J1972" s="28"/>
    </row>
    <row r="1973">
      <c r="H1973" s="39"/>
      <c r="J1973" s="28"/>
    </row>
    <row r="1974">
      <c r="H1974" s="39"/>
      <c r="J1974" s="28"/>
    </row>
    <row r="1975">
      <c r="H1975" s="39"/>
      <c r="J1975" s="28"/>
    </row>
    <row r="1976">
      <c r="H1976" s="39"/>
      <c r="J1976" s="28"/>
    </row>
    <row r="1977">
      <c r="H1977" s="39"/>
      <c r="J1977" s="28"/>
    </row>
    <row r="1978">
      <c r="H1978" s="39"/>
      <c r="J1978" s="28"/>
    </row>
    <row r="1979">
      <c r="H1979" s="39"/>
      <c r="J1979" s="28"/>
    </row>
    <row r="1980">
      <c r="H1980" s="39"/>
      <c r="J1980" s="28"/>
    </row>
    <row r="1981">
      <c r="H1981" s="39"/>
      <c r="J1981" s="28"/>
    </row>
    <row r="1982">
      <c r="H1982" s="39"/>
      <c r="J1982" s="28"/>
    </row>
    <row r="1983">
      <c r="H1983" s="39"/>
      <c r="J1983" s="28"/>
    </row>
    <row r="1984">
      <c r="H1984" s="39"/>
      <c r="J1984" s="28"/>
    </row>
    <row r="1985">
      <c r="H1985" s="39"/>
      <c r="J1985" s="28"/>
    </row>
    <row r="1986">
      <c r="H1986" s="39"/>
      <c r="J1986" s="28"/>
    </row>
    <row r="1987">
      <c r="H1987" s="39"/>
      <c r="J1987" s="28"/>
    </row>
    <row r="1988">
      <c r="H1988" s="39"/>
      <c r="J1988" s="28"/>
    </row>
    <row r="1989">
      <c r="H1989" s="39"/>
      <c r="J1989" s="28"/>
    </row>
    <row r="1990">
      <c r="H1990" s="39"/>
      <c r="J1990" s="28"/>
    </row>
    <row r="1991">
      <c r="H1991" s="39"/>
      <c r="J1991" s="28"/>
    </row>
    <row r="1992">
      <c r="H1992" s="39"/>
      <c r="J1992" s="28"/>
    </row>
    <row r="1993">
      <c r="H1993" s="39"/>
      <c r="J1993" s="28"/>
    </row>
    <row r="1994">
      <c r="H1994" s="39"/>
      <c r="J1994" s="28"/>
    </row>
    <row r="1995">
      <c r="H1995" s="39"/>
      <c r="J1995" s="28"/>
    </row>
    <row r="1996">
      <c r="H1996" s="39"/>
      <c r="J1996" s="28"/>
    </row>
    <row r="1997">
      <c r="H1997" s="39"/>
      <c r="J1997" s="28"/>
    </row>
    <row r="1998">
      <c r="H1998" s="39"/>
      <c r="J1998" s="28"/>
    </row>
    <row r="1999">
      <c r="H1999" s="39"/>
      <c r="J1999" s="28"/>
    </row>
    <row r="2000">
      <c r="H2000" s="39"/>
      <c r="J2000" s="28"/>
    </row>
    <row r="2001">
      <c r="H2001" s="39"/>
      <c r="J2001" s="28"/>
    </row>
    <row r="2002">
      <c r="H2002" s="39"/>
      <c r="J2002" s="28"/>
    </row>
    <row r="2003">
      <c r="H2003" s="39"/>
      <c r="J2003" s="28"/>
    </row>
    <row r="2004">
      <c r="H2004" s="39"/>
      <c r="J2004" s="28"/>
    </row>
    <row r="2005">
      <c r="H2005" s="39"/>
      <c r="J2005" s="28"/>
    </row>
    <row r="2006">
      <c r="H2006" s="39"/>
      <c r="J2006" s="28"/>
    </row>
    <row r="2007">
      <c r="H2007" s="39"/>
      <c r="J2007" s="28"/>
    </row>
    <row r="2008">
      <c r="H2008" s="39"/>
      <c r="J2008" s="28"/>
    </row>
    <row r="2009">
      <c r="H2009" s="39"/>
      <c r="J2009" s="28"/>
    </row>
    <row r="2010">
      <c r="H2010" s="39"/>
      <c r="J2010" s="28"/>
    </row>
    <row r="2011">
      <c r="H2011" s="39"/>
      <c r="J2011" s="28"/>
    </row>
    <row r="2012">
      <c r="H2012" s="39"/>
      <c r="J2012" s="28"/>
    </row>
    <row r="2013">
      <c r="H2013" s="39"/>
      <c r="J2013" s="28"/>
    </row>
    <row r="2014">
      <c r="H2014" s="39"/>
      <c r="J2014" s="28"/>
    </row>
    <row r="2015">
      <c r="H2015" s="39"/>
      <c r="J2015" s="28"/>
    </row>
    <row r="2016">
      <c r="H2016" s="39"/>
      <c r="J2016" s="28"/>
    </row>
    <row r="2017">
      <c r="H2017" s="39"/>
      <c r="J2017" s="28"/>
    </row>
    <row r="2018">
      <c r="H2018" s="39"/>
      <c r="J2018" s="28"/>
    </row>
    <row r="2019">
      <c r="H2019" s="39"/>
      <c r="J2019" s="28"/>
    </row>
    <row r="2020">
      <c r="H2020" s="39"/>
      <c r="J2020" s="28"/>
    </row>
    <row r="2021">
      <c r="H2021" s="39"/>
      <c r="J2021" s="28"/>
    </row>
    <row r="2022">
      <c r="H2022" s="39"/>
      <c r="J2022" s="28"/>
    </row>
    <row r="2023">
      <c r="H2023" s="39"/>
      <c r="J2023" s="28"/>
    </row>
    <row r="2024">
      <c r="H2024" s="39"/>
      <c r="J2024" s="28"/>
    </row>
    <row r="2025">
      <c r="H2025" s="39"/>
      <c r="J2025" s="28"/>
    </row>
    <row r="2026">
      <c r="H2026" s="39"/>
      <c r="J2026" s="28"/>
    </row>
    <row r="2027">
      <c r="H2027" s="39"/>
      <c r="J2027" s="28"/>
    </row>
    <row r="2028">
      <c r="H2028" s="39"/>
      <c r="J2028" s="28"/>
    </row>
    <row r="2029">
      <c r="H2029" s="39"/>
      <c r="J2029" s="28"/>
    </row>
    <row r="2030">
      <c r="H2030" s="39"/>
      <c r="J2030" s="28"/>
    </row>
    <row r="2031">
      <c r="H2031" s="39"/>
      <c r="J2031" s="28"/>
    </row>
    <row r="2032">
      <c r="H2032" s="39"/>
      <c r="J2032" s="28"/>
    </row>
    <row r="2033">
      <c r="H2033" s="39"/>
      <c r="J2033" s="28"/>
    </row>
    <row r="2034">
      <c r="H2034" s="39"/>
      <c r="J2034" s="28"/>
    </row>
    <row r="2035">
      <c r="H2035" s="39"/>
      <c r="J2035" s="28"/>
    </row>
    <row r="2036">
      <c r="H2036" s="39"/>
      <c r="J2036" s="28"/>
    </row>
    <row r="2037">
      <c r="H2037" s="39"/>
      <c r="J2037" s="28"/>
    </row>
    <row r="2038">
      <c r="H2038" s="39"/>
      <c r="J2038" s="28"/>
    </row>
    <row r="2039">
      <c r="H2039" s="39"/>
      <c r="J2039" s="28"/>
    </row>
    <row r="2040">
      <c r="H2040" s="39"/>
      <c r="J2040" s="28"/>
    </row>
    <row r="2041">
      <c r="H2041" s="39"/>
      <c r="J2041" s="28"/>
    </row>
    <row r="2042">
      <c r="H2042" s="39"/>
      <c r="J2042" s="28"/>
    </row>
    <row r="2043">
      <c r="H2043" s="39"/>
      <c r="J2043" s="28"/>
    </row>
    <row r="2044">
      <c r="H2044" s="39"/>
      <c r="J2044" s="28"/>
    </row>
    <row r="2045">
      <c r="H2045" s="39"/>
      <c r="J2045" s="28"/>
    </row>
    <row r="2046">
      <c r="H2046" s="39"/>
      <c r="J2046" s="28"/>
    </row>
    <row r="2047">
      <c r="H2047" s="39"/>
      <c r="J2047" s="28"/>
    </row>
    <row r="2048">
      <c r="H2048" s="39"/>
      <c r="J2048" s="28"/>
    </row>
    <row r="2049">
      <c r="H2049" s="39"/>
      <c r="J2049" s="28"/>
    </row>
    <row r="2050">
      <c r="H2050" s="39"/>
      <c r="J2050" s="28"/>
    </row>
    <row r="2051">
      <c r="H2051" s="39"/>
      <c r="J2051" s="28"/>
    </row>
    <row r="2052">
      <c r="H2052" s="39"/>
      <c r="J2052" s="28"/>
    </row>
    <row r="2053">
      <c r="H2053" s="39"/>
      <c r="J2053" s="28"/>
    </row>
    <row r="2054">
      <c r="H2054" s="39"/>
      <c r="J2054" s="28"/>
    </row>
    <row r="2055">
      <c r="H2055" s="39"/>
      <c r="J2055" s="28"/>
    </row>
    <row r="2056">
      <c r="H2056" s="39"/>
      <c r="J2056" s="28"/>
    </row>
    <row r="2057">
      <c r="H2057" s="39"/>
      <c r="J2057" s="28"/>
    </row>
    <row r="2058">
      <c r="H2058" s="39"/>
      <c r="J2058" s="28"/>
    </row>
    <row r="2059">
      <c r="H2059" s="39"/>
      <c r="J2059" s="28"/>
    </row>
    <row r="2060">
      <c r="H2060" s="39"/>
      <c r="J2060" s="28"/>
    </row>
    <row r="2061">
      <c r="H2061" s="39"/>
      <c r="J2061" s="28"/>
    </row>
    <row r="2062">
      <c r="H2062" s="39"/>
      <c r="J2062" s="28"/>
    </row>
    <row r="2063">
      <c r="H2063" s="39"/>
      <c r="J2063" s="28"/>
    </row>
    <row r="2064">
      <c r="H2064" s="39"/>
      <c r="J2064" s="28"/>
    </row>
    <row r="2065">
      <c r="H2065" s="39"/>
      <c r="J2065" s="28"/>
    </row>
    <row r="2066">
      <c r="H2066" s="39"/>
      <c r="J2066" s="28"/>
    </row>
    <row r="2067">
      <c r="H2067" s="39"/>
      <c r="J2067" s="28"/>
    </row>
    <row r="2068">
      <c r="H2068" s="39"/>
      <c r="J2068" s="28"/>
    </row>
    <row r="2069">
      <c r="H2069" s="39"/>
      <c r="J2069" s="28"/>
    </row>
    <row r="2070">
      <c r="H2070" s="39"/>
      <c r="J2070" s="28"/>
    </row>
    <row r="2071">
      <c r="H2071" s="39"/>
      <c r="J2071" s="28"/>
    </row>
    <row r="2072">
      <c r="H2072" s="39"/>
      <c r="J2072" s="28"/>
    </row>
    <row r="2073">
      <c r="H2073" s="39"/>
      <c r="J2073" s="28"/>
    </row>
    <row r="2074">
      <c r="H2074" s="39"/>
      <c r="J2074" s="28"/>
    </row>
    <row r="2075">
      <c r="H2075" s="39"/>
      <c r="J2075" s="28"/>
    </row>
    <row r="2076">
      <c r="H2076" s="39"/>
      <c r="J2076" s="28"/>
    </row>
    <row r="2077">
      <c r="H2077" s="39"/>
      <c r="J2077" s="28"/>
    </row>
    <row r="2078">
      <c r="H2078" s="39"/>
      <c r="J2078" s="28"/>
    </row>
    <row r="2079">
      <c r="H2079" s="39"/>
      <c r="J2079" s="28"/>
    </row>
    <row r="2080">
      <c r="H2080" s="39"/>
      <c r="J2080" s="28"/>
    </row>
    <row r="2081">
      <c r="H2081" s="39"/>
      <c r="J2081" s="28"/>
    </row>
    <row r="2082">
      <c r="H2082" s="39"/>
      <c r="J2082" s="28"/>
    </row>
    <row r="2083">
      <c r="H2083" s="39"/>
      <c r="J2083" s="28"/>
    </row>
    <row r="2084">
      <c r="H2084" s="39"/>
      <c r="J2084" s="28"/>
    </row>
    <row r="2085">
      <c r="H2085" s="39"/>
      <c r="J2085" s="28"/>
    </row>
    <row r="2086">
      <c r="H2086" s="39"/>
      <c r="J2086" s="28"/>
    </row>
    <row r="2087">
      <c r="H2087" s="39"/>
      <c r="J2087" s="28"/>
    </row>
    <row r="2088">
      <c r="H2088" s="39"/>
      <c r="J2088" s="28"/>
    </row>
    <row r="2089">
      <c r="H2089" s="39"/>
      <c r="J2089" s="28"/>
    </row>
    <row r="2090">
      <c r="H2090" s="39"/>
      <c r="J2090" s="28"/>
    </row>
    <row r="2091">
      <c r="H2091" s="39"/>
      <c r="J2091" s="28"/>
    </row>
    <row r="2092">
      <c r="H2092" s="39"/>
      <c r="J2092" s="28"/>
    </row>
    <row r="2093">
      <c r="H2093" s="39"/>
      <c r="J2093" s="28"/>
    </row>
    <row r="2094">
      <c r="H2094" s="39"/>
      <c r="J2094" s="28"/>
    </row>
    <row r="2095">
      <c r="H2095" s="39"/>
      <c r="J2095" s="28"/>
    </row>
    <row r="2096">
      <c r="H2096" s="39"/>
      <c r="J2096" s="28"/>
    </row>
    <row r="2097">
      <c r="H2097" s="39"/>
      <c r="J2097" s="28"/>
    </row>
    <row r="2098">
      <c r="H2098" s="39"/>
      <c r="J2098" s="28"/>
    </row>
    <row r="2099">
      <c r="H2099" s="39"/>
      <c r="J2099" s="28"/>
    </row>
    <row r="2100">
      <c r="H2100" s="39"/>
      <c r="J2100" s="28"/>
    </row>
    <row r="2101">
      <c r="H2101" s="39"/>
      <c r="J2101" s="28"/>
    </row>
    <row r="2102">
      <c r="H2102" s="39"/>
      <c r="J2102" s="28"/>
    </row>
    <row r="2103">
      <c r="H2103" s="39"/>
      <c r="J2103" s="28"/>
    </row>
    <row r="2104">
      <c r="H2104" s="39"/>
      <c r="J2104" s="28"/>
    </row>
    <row r="2105">
      <c r="H2105" s="39"/>
      <c r="J2105" s="28"/>
    </row>
    <row r="2106">
      <c r="H2106" s="39"/>
      <c r="J2106" s="28"/>
    </row>
    <row r="2107">
      <c r="H2107" s="39"/>
      <c r="J2107" s="28"/>
    </row>
    <row r="2108">
      <c r="H2108" s="39"/>
      <c r="J2108" s="28"/>
    </row>
    <row r="2109">
      <c r="H2109" s="39"/>
      <c r="J2109" s="28"/>
    </row>
    <row r="2110">
      <c r="H2110" s="39"/>
      <c r="J2110" s="28"/>
    </row>
    <row r="2111">
      <c r="H2111" s="39"/>
      <c r="J2111" s="28"/>
    </row>
    <row r="2112">
      <c r="H2112" s="39"/>
      <c r="J2112" s="28"/>
    </row>
    <row r="2113">
      <c r="H2113" s="39"/>
      <c r="J2113" s="28"/>
    </row>
    <row r="2114">
      <c r="H2114" s="39"/>
      <c r="J2114" s="28"/>
    </row>
    <row r="2115">
      <c r="H2115" s="39"/>
      <c r="J2115" s="28"/>
    </row>
    <row r="2116">
      <c r="H2116" s="39"/>
      <c r="J2116" s="28"/>
    </row>
    <row r="2117">
      <c r="H2117" s="39"/>
      <c r="J2117" s="28"/>
    </row>
    <row r="2118">
      <c r="H2118" s="39"/>
      <c r="J2118" s="28"/>
    </row>
    <row r="2119">
      <c r="H2119" s="39"/>
      <c r="J2119" s="28"/>
    </row>
    <row r="2120">
      <c r="H2120" s="39"/>
      <c r="J2120" s="28"/>
    </row>
    <row r="2121">
      <c r="H2121" s="39"/>
      <c r="J2121" s="28"/>
    </row>
    <row r="2122">
      <c r="H2122" s="39"/>
      <c r="J2122" s="28"/>
    </row>
    <row r="2123">
      <c r="H2123" s="39"/>
      <c r="J2123" s="28"/>
    </row>
    <row r="2124">
      <c r="H2124" s="39"/>
      <c r="J2124" s="28"/>
    </row>
    <row r="2125">
      <c r="H2125" s="39"/>
      <c r="J2125" s="28"/>
    </row>
    <row r="2126">
      <c r="H2126" s="39"/>
      <c r="J2126" s="28"/>
    </row>
    <row r="2127">
      <c r="H2127" s="39"/>
      <c r="J2127" s="28"/>
    </row>
    <row r="2128">
      <c r="H2128" s="39"/>
      <c r="J2128" s="28"/>
    </row>
    <row r="2129">
      <c r="H2129" s="39"/>
      <c r="J2129" s="28"/>
    </row>
    <row r="2130">
      <c r="H2130" s="39"/>
      <c r="J2130" s="28"/>
    </row>
    <row r="2131">
      <c r="H2131" s="39"/>
      <c r="J2131" s="28"/>
    </row>
    <row r="2132">
      <c r="H2132" s="39"/>
      <c r="J2132" s="28"/>
    </row>
    <row r="2133">
      <c r="H2133" s="39"/>
      <c r="J2133" s="28"/>
    </row>
    <row r="2134">
      <c r="H2134" s="39"/>
      <c r="J2134" s="28"/>
    </row>
    <row r="2135">
      <c r="H2135" s="39"/>
      <c r="J2135" s="28"/>
    </row>
    <row r="2136">
      <c r="H2136" s="39"/>
      <c r="J2136" s="28"/>
    </row>
    <row r="2137">
      <c r="H2137" s="39"/>
      <c r="J2137" s="28"/>
    </row>
    <row r="2138">
      <c r="H2138" s="39"/>
      <c r="J2138" s="28"/>
    </row>
    <row r="2139">
      <c r="H2139" s="39"/>
      <c r="J2139" s="28"/>
    </row>
    <row r="2140">
      <c r="H2140" s="39"/>
      <c r="J2140" s="28"/>
    </row>
    <row r="2141">
      <c r="H2141" s="39"/>
      <c r="J2141" s="28"/>
    </row>
    <row r="2142">
      <c r="H2142" s="39"/>
      <c r="J2142" s="28"/>
    </row>
    <row r="2143">
      <c r="H2143" s="39"/>
      <c r="J2143" s="28"/>
    </row>
    <row r="2144">
      <c r="H2144" s="39"/>
      <c r="J2144" s="28"/>
    </row>
    <row r="2145">
      <c r="H2145" s="39"/>
      <c r="J2145" s="28"/>
    </row>
    <row r="2146">
      <c r="H2146" s="39"/>
      <c r="J2146" s="28"/>
    </row>
    <row r="2147">
      <c r="H2147" s="39"/>
      <c r="J2147" s="28"/>
    </row>
    <row r="2148">
      <c r="H2148" s="39"/>
      <c r="J2148" s="28"/>
    </row>
    <row r="2149">
      <c r="H2149" s="39"/>
      <c r="J2149" s="28"/>
    </row>
    <row r="2150">
      <c r="H2150" s="39"/>
      <c r="J2150" s="28"/>
    </row>
    <row r="2151">
      <c r="H2151" s="39"/>
      <c r="J2151" s="28"/>
    </row>
    <row r="2152">
      <c r="H2152" s="39"/>
      <c r="J2152" s="28"/>
    </row>
    <row r="2153">
      <c r="H2153" s="39"/>
      <c r="J2153" s="28"/>
    </row>
    <row r="2154">
      <c r="H2154" s="39"/>
      <c r="J2154" s="28"/>
    </row>
    <row r="2155">
      <c r="H2155" s="39"/>
      <c r="J2155" s="28"/>
    </row>
    <row r="2156">
      <c r="H2156" s="39"/>
      <c r="J2156" s="28"/>
    </row>
    <row r="2157">
      <c r="H2157" s="39"/>
      <c r="J2157" s="28"/>
    </row>
    <row r="2158">
      <c r="H2158" s="39"/>
      <c r="J2158" s="28"/>
    </row>
    <row r="2159">
      <c r="H2159" s="39"/>
      <c r="J2159" s="28"/>
    </row>
    <row r="2160">
      <c r="H2160" s="39"/>
      <c r="J2160" s="28"/>
    </row>
    <row r="2161">
      <c r="H2161" s="39"/>
      <c r="J2161" s="28"/>
    </row>
    <row r="2162">
      <c r="H2162" s="39"/>
      <c r="J2162" s="28"/>
    </row>
    <row r="2163">
      <c r="H2163" s="39"/>
      <c r="J2163" s="28"/>
    </row>
    <row r="2164">
      <c r="H2164" s="39"/>
      <c r="J2164" s="28"/>
    </row>
    <row r="2165">
      <c r="H2165" s="39"/>
      <c r="J2165" s="28"/>
    </row>
    <row r="2166">
      <c r="H2166" s="39"/>
      <c r="J2166" s="28"/>
    </row>
    <row r="2167">
      <c r="H2167" s="39"/>
      <c r="J2167" s="28"/>
    </row>
    <row r="2168">
      <c r="H2168" s="39"/>
      <c r="J2168" s="28"/>
    </row>
    <row r="2169">
      <c r="H2169" s="39"/>
      <c r="J2169" s="28"/>
    </row>
    <row r="2170">
      <c r="H2170" s="39"/>
      <c r="J2170" s="28"/>
    </row>
    <row r="2171">
      <c r="H2171" s="39"/>
      <c r="J2171" s="28"/>
    </row>
    <row r="2172">
      <c r="H2172" s="39"/>
      <c r="J2172" s="28"/>
    </row>
    <row r="2173">
      <c r="H2173" s="39"/>
      <c r="J2173" s="28"/>
    </row>
    <row r="2174">
      <c r="H2174" s="39"/>
      <c r="J2174" s="28"/>
    </row>
    <row r="2175">
      <c r="H2175" s="39"/>
      <c r="J2175" s="28"/>
    </row>
    <row r="2176">
      <c r="H2176" s="39"/>
      <c r="J2176" s="28"/>
    </row>
    <row r="2177">
      <c r="H2177" s="39"/>
      <c r="J2177" s="28"/>
    </row>
    <row r="2178">
      <c r="H2178" s="39"/>
      <c r="J2178" s="28"/>
    </row>
    <row r="2179">
      <c r="H2179" s="39"/>
      <c r="J2179" s="28"/>
    </row>
    <row r="2180">
      <c r="H2180" s="39"/>
      <c r="J2180" s="28"/>
    </row>
    <row r="2181">
      <c r="H2181" s="39"/>
      <c r="J2181" s="28"/>
    </row>
    <row r="2182">
      <c r="H2182" s="39"/>
      <c r="J2182" s="28"/>
    </row>
    <row r="2183">
      <c r="H2183" s="39"/>
      <c r="J2183" s="28"/>
    </row>
    <row r="2184">
      <c r="H2184" s="39"/>
      <c r="J2184" s="28"/>
    </row>
    <row r="2185">
      <c r="H2185" s="39"/>
      <c r="J2185" s="28"/>
    </row>
    <row r="2186">
      <c r="H2186" s="39"/>
      <c r="J2186" s="28"/>
    </row>
    <row r="2187">
      <c r="H2187" s="39"/>
      <c r="J2187" s="28"/>
    </row>
    <row r="2188">
      <c r="H2188" s="39"/>
      <c r="J2188" s="28"/>
    </row>
    <row r="2189">
      <c r="H2189" s="39"/>
      <c r="J2189" s="28"/>
    </row>
    <row r="2190">
      <c r="H2190" s="39"/>
      <c r="J2190" s="28"/>
    </row>
    <row r="2191">
      <c r="H2191" s="39"/>
      <c r="J2191" s="28"/>
    </row>
    <row r="2192">
      <c r="H2192" s="39"/>
      <c r="J2192" s="28"/>
    </row>
    <row r="2193">
      <c r="H2193" s="39"/>
      <c r="J2193" s="28"/>
    </row>
    <row r="2194">
      <c r="H2194" s="39"/>
      <c r="J2194" s="28"/>
    </row>
    <row r="2195">
      <c r="H2195" s="39"/>
      <c r="J2195" s="28"/>
    </row>
    <row r="2196">
      <c r="H2196" s="39"/>
      <c r="J2196" s="28"/>
    </row>
    <row r="2197">
      <c r="H2197" s="39"/>
      <c r="J2197" s="28"/>
    </row>
    <row r="2198">
      <c r="H2198" s="39"/>
      <c r="J2198" s="28"/>
    </row>
    <row r="2199">
      <c r="H2199" s="39"/>
      <c r="J2199" s="28"/>
    </row>
    <row r="2200">
      <c r="H2200" s="39"/>
      <c r="J2200" s="28"/>
    </row>
    <row r="2201">
      <c r="H2201" s="39"/>
      <c r="J2201" s="28"/>
    </row>
    <row r="2202">
      <c r="H2202" s="39"/>
      <c r="J2202" s="28"/>
    </row>
    <row r="2203">
      <c r="H2203" s="39"/>
      <c r="J2203" s="28"/>
    </row>
    <row r="2204">
      <c r="H2204" s="39"/>
      <c r="J2204" s="28"/>
    </row>
    <row r="2205">
      <c r="H2205" s="39"/>
      <c r="J2205" s="28"/>
    </row>
    <row r="2206">
      <c r="H2206" s="39"/>
      <c r="J2206" s="28"/>
    </row>
    <row r="2207">
      <c r="H2207" s="39"/>
      <c r="J2207" s="28"/>
    </row>
    <row r="2208">
      <c r="H2208" s="39"/>
      <c r="J2208" s="28"/>
    </row>
    <row r="2209">
      <c r="H2209" s="39"/>
      <c r="J2209" s="28"/>
    </row>
    <row r="2210">
      <c r="H2210" s="39"/>
      <c r="J2210" s="28"/>
    </row>
    <row r="2211">
      <c r="H2211" s="39"/>
      <c r="J2211" s="28"/>
    </row>
    <row r="2212">
      <c r="H2212" s="39"/>
      <c r="J2212" s="28"/>
    </row>
    <row r="2213">
      <c r="H2213" s="39"/>
      <c r="J2213" s="28"/>
    </row>
    <row r="2214">
      <c r="H2214" s="39"/>
      <c r="J2214" s="28"/>
    </row>
    <row r="2215">
      <c r="H2215" s="39"/>
      <c r="J2215" s="28"/>
    </row>
    <row r="2216">
      <c r="H2216" s="39"/>
      <c r="J2216" s="28"/>
    </row>
    <row r="2217">
      <c r="H2217" s="39"/>
      <c r="J2217" s="28"/>
    </row>
    <row r="2218">
      <c r="H2218" s="39"/>
      <c r="J2218" s="28"/>
    </row>
    <row r="2219">
      <c r="H2219" s="39"/>
      <c r="J2219" s="28"/>
    </row>
    <row r="2220">
      <c r="H2220" s="39"/>
      <c r="J2220" s="28"/>
    </row>
    <row r="2221">
      <c r="H2221" s="39"/>
      <c r="J2221" s="28"/>
    </row>
    <row r="2222">
      <c r="H2222" s="39"/>
      <c r="J2222" s="28"/>
    </row>
    <row r="2223">
      <c r="H2223" s="39"/>
      <c r="J2223" s="28"/>
    </row>
    <row r="2224">
      <c r="H2224" s="39"/>
      <c r="J2224" s="28"/>
    </row>
    <row r="2225">
      <c r="H2225" s="39"/>
      <c r="J2225" s="28"/>
    </row>
    <row r="2226">
      <c r="H2226" s="39"/>
      <c r="J2226" s="28"/>
    </row>
    <row r="2227">
      <c r="H2227" s="39"/>
      <c r="J2227" s="28"/>
    </row>
    <row r="2228">
      <c r="H2228" s="39"/>
      <c r="J2228" s="28"/>
    </row>
    <row r="2229">
      <c r="H2229" s="39"/>
      <c r="J2229" s="28"/>
    </row>
    <row r="2230">
      <c r="H2230" s="39"/>
      <c r="J2230" s="28"/>
    </row>
    <row r="2231">
      <c r="H2231" s="39"/>
      <c r="J2231" s="28"/>
    </row>
    <row r="2232">
      <c r="H2232" s="39"/>
      <c r="J2232" s="28"/>
    </row>
    <row r="2233">
      <c r="H2233" s="39"/>
      <c r="J2233" s="28"/>
    </row>
    <row r="2234">
      <c r="H2234" s="39"/>
      <c r="J2234" s="28"/>
    </row>
    <row r="2235">
      <c r="H2235" s="39"/>
      <c r="J2235" s="28"/>
    </row>
    <row r="2236">
      <c r="H2236" s="39"/>
      <c r="J2236" s="28"/>
    </row>
    <row r="2237">
      <c r="H2237" s="39"/>
      <c r="J2237" s="28"/>
    </row>
    <row r="2238">
      <c r="H2238" s="39"/>
      <c r="J2238" s="28"/>
    </row>
    <row r="2239">
      <c r="H2239" s="39"/>
      <c r="J2239" s="28"/>
    </row>
    <row r="2240">
      <c r="H2240" s="39"/>
      <c r="J2240" s="28"/>
    </row>
    <row r="2241">
      <c r="H2241" s="39"/>
      <c r="J2241" s="28"/>
    </row>
    <row r="2242">
      <c r="H2242" s="39"/>
      <c r="J2242" s="28"/>
    </row>
    <row r="2243">
      <c r="H2243" s="39"/>
      <c r="J2243" s="28"/>
    </row>
    <row r="2244">
      <c r="H2244" s="39"/>
      <c r="J2244" s="28"/>
    </row>
    <row r="2245">
      <c r="H2245" s="39"/>
      <c r="J2245" s="28"/>
    </row>
    <row r="2246">
      <c r="H2246" s="39"/>
      <c r="J2246" s="28"/>
    </row>
    <row r="2247">
      <c r="H2247" s="39"/>
      <c r="J2247" s="28"/>
    </row>
    <row r="2248">
      <c r="H2248" s="39"/>
      <c r="J2248" s="28"/>
    </row>
    <row r="2249">
      <c r="H2249" s="39"/>
      <c r="J2249" s="28"/>
    </row>
    <row r="2250">
      <c r="H2250" s="39"/>
      <c r="J2250" s="28"/>
    </row>
    <row r="2251">
      <c r="H2251" s="39"/>
      <c r="J2251" s="28"/>
    </row>
    <row r="2252">
      <c r="H2252" s="39"/>
      <c r="J2252" s="28"/>
    </row>
    <row r="2253">
      <c r="H2253" s="39"/>
      <c r="J2253" s="28"/>
    </row>
    <row r="2254">
      <c r="H2254" s="39"/>
      <c r="J2254" s="28"/>
    </row>
    <row r="2255">
      <c r="H2255" s="39"/>
      <c r="J2255" s="28"/>
    </row>
    <row r="2256">
      <c r="H2256" s="39"/>
      <c r="J2256" s="28"/>
    </row>
    <row r="2257">
      <c r="H2257" s="39"/>
      <c r="J2257" s="28"/>
    </row>
    <row r="2258">
      <c r="H2258" s="39"/>
      <c r="J2258" s="28"/>
    </row>
    <row r="2259">
      <c r="H2259" s="39"/>
      <c r="J2259" s="28"/>
    </row>
    <row r="2260">
      <c r="H2260" s="39"/>
      <c r="J2260" s="28"/>
    </row>
    <row r="2261">
      <c r="H2261" s="39"/>
      <c r="J2261" s="28"/>
    </row>
    <row r="2262">
      <c r="H2262" s="39"/>
      <c r="J2262" s="28"/>
    </row>
    <row r="2263">
      <c r="H2263" s="39"/>
      <c r="J2263" s="28"/>
    </row>
    <row r="2264">
      <c r="H2264" s="39"/>
      <c r="J2264" s="28"/>
    </row>
    <row r="2265">
      <c r="H2265" s="39"/>
      <c r="J2265" s="28"/>
    </row>
    <row r="2266">
      <c r="H2266" s="39"/>
      <c r="J2266" s="28"/>
    </row>
    <row r="2267">
      <c r="H2267" s="39"/>
      <c r="J2267" s="28"/>
    </row>
    <row r="2268">
      <c r="H2268" s="39"/>
      <c r="J2268" s="28"/>
    </row>
    <row r="2269">
      <c r="H2269" s="39"/>
      <c r="J2269" s="28"/>
    </row>
    <row r="2270">
      <c r="H2270" s="39"/>
      <c r="J2270" s="28"/>
    </row>
    <row r="2271">
      <c r="H2271" s="39"/>
      <c r="J2271" s="28"/>
    </row>
    <row r="2272">
      <c r="H2272" s="39"/>
      <c r="J2272" s="28"/>
    </row>
    <row r="2273">
      <c r="H2273" s="39"/>
      <c r="J2273" s="28"/>
    </row>
    <row r="2274">
      <c r="H2274" s="39"/>
      <c r="J2274" s="28"/>
    </row>
    <row r="2275">
      <c r="H2275" s="39"/>
      <c r="J2275" s="28"/>
    </row>
    <row r="2276">
      <c r="H2276" s="39"/>
      <c r="J2276" s="28"/>
    </row>
    <row r="2277">
      <c r="H2277" s="39"/>
      <c r="J2277" s="28"/>
    </row>
    <row r="2278">
      <c r="H2278" s="39"/>
      <c r="J2278" s="28"/>
    </row>
    <row r="2279">
      <c r="H2279" s="39"/>
      <c r="J2279" s="28"/>
    </row>
    <row r="2280">
      <c r="H2280" s="39"/>
      <c r="J2280" s="28"/>
    </row>
    <row r="2281">
      <c r="H2281" s="39"/>
      <c r="J2281" s="28"/>
    </row>
    <row r="2282">
      <c r="H2282" s="39"/>
      <c r="J2282" s="28"/>
    </row>
    <row r="2283">
      <c r="H2283" s="39"/>
      <c r="J2283" s="28"/>
    </row>
    <row r="2284">
      <c r="H2284" s="39"/>
      <c r="J2284" s="28"/>
    </row>
    <row r="2285">
      <c r="H2285" s="39"/>
      <c r="J2285" s="28"/>
    </row>
    <row r="2286">
      <c r="H2286" s="39"/>
      <c r="J2286" s="28"/>
    </row>
    <row r="2287">
      <c r="H2287" s="39"/>
      <c r="J2287" s="28"/>
    </row>
    <row r="2288">
      <c r="H2288" s="39"/>
      <c r="J2288" s="28"/>
    </row>
    <row r="2289">
      <c r="H2289" s="39"/>
      <c r="J2289" s="28"/>
    </row>
    <row r="2290">
      <c r="H2290" s="39"/>
      <c r="J2290" s="28"/>
    </row>
    <row r="2291">
      <c r="H2291" s="39"/>
      <c r="J2291" s="28"/>
    </row>
    <row r="2292">
      <c r="H2292" s="39"/>
      <c r="J2292" s="28"/>
    </row>
    <row r="2293">
      <c r="H2293" s="39"/>
      <c r="J2293" s="28"/>
    </row>
    <row r="2294">
      <c r="H2294" s="39"/>
      <c r="J2294" s="28"/>
    </row>
    <row r="2295">
      <c r="H2295" s="39"/>
      <c r="J2295" s="28"/>
    </row>
    <row r="2296">
      <c r="H2296" s="39"/>
      <c r="J2296" s="28"/>
    </row>
    <row r="2297">
      <c r="H2297" s="39"/>
      <c r="J2297" s="28"/>
    </row>
    <row r="2298">
      <c r="H2298" s="39"/>
      <c r="J2298" s="28"/>
    </row>
    <row r="2299">
      <c r="H2299" s="39"/>
      <c r="J2299" s="28"/>
    </row>
    <row r="2300">
      <c r="H2300" s="39"/>
      <c r="J2300" s="28"/>
    </row>
    <row r="2301">
      <c r="H2301" s="39"/>
      <c r="J2301" s="28"/>
    </row>
    <row r="2302">
      <c r="H2302" s="39"/>
      <c r="J2302" s="28"/>
    </row>
    <row r="2303">
      <c r="H2303" s="39"/>
      <c r="J2303" s="28"/>
    </row>
    <row r="2304">
      <c r="H2304" s="39"/>
      <c r="J2304" s="28"/>
    </row>
    <row r="2305">
      <c r="H2305" s="39"/>
      <c r="J2305" s="28"/>
    </row>
    <row r="2306">
      <c r="H2306" s="39"/>
      <c r="J2306" s="28"/>
    </row>
    <row r="2307">
      <c r="H2307" s="39"/>
      <c r="J2307" s="28"/>
    </row>
    <row r="2308">
      <c r="H2308" s="39"/>
      <c r="J2308" s="28"/>
    </row>
    <row r="2309">
      <c r="H2309" s="39"/>
      <c r="J2309" s="28"/>
    </row>
    <row r="2310">
      <c r="H2310" s="39"/>
      <c r="J2310" s="28"/>
    </row>
    <row r="2311">
      <c r="H2311" s="39"/>
      <c r="J2311" s="28"/>
    </row>
    <row r="2312">
      <c r="H2312" s="39"/>
      <c r="J2312" s="28"/>
    </row>
    <row r="2313">
      <c r="H2313" s="39"/>
      <c r="J2313" s="28"/>
    </row>
    <row r="2314">
      <c r="H2314" s="39"/>
      <c r="J2314" s="28"/>
    </row>
    <row r="2315">
      <c r="H2315" s="39"/>
      <c r="J2315" s="28"/>
    </row>
    <row r="2316">
      <c r="H2316" s="39"/>
      <c r="J2316" s="28"/>
    </row>
    <row r="2317">
      <c r="H2317" s="39"/>
      <c r="J2317" s="28"/>
    </row>
    <row r="2318">
      <c r="H2318" s="39"/>
      <c r="J2318" s="28"/>
    </row>
    <row r="2319">
      <c r="H2319" s="39"/>
      <c r="J2319" s="28"/>
    </row>
    <row r="2320">
      <c r="H2320" s="39"/>
      <c r="J2320" s="28"/>
    </row>
    <row r="2321">
      <c r="H2321" s="39"/>
      <c r="J2321" s="28"/>
    </row>
    <row r="2322">
      <c r="H2322" s="39"/>
      <c r="J2322" s="28"/>
    </row>
    <row r="2323">
      <c r="H2323" s="39"/>
      <c r="J2323" s="28"/>
    </row>
    <row r="2324">
      <c r="H2324" s="39"/>
      <c r="J2324" s="28"/>
    </row>
    <row r="2325">
      <c r="H2325" s="39"/>
      <c r="J2325" s="28"/>
    </row>
    <row r="2326">
      <c r="H2326" s="39"/>
      <c r="J2326" s="28"/>
    </row>
    <row r="2327">
      <c r="H2327" s="39"/>
      <c r="J2327" s="28"/>
    </row>
    <row r="2328">
      <c r="H2328" s="39"/>
      <c r="J2328" s="28"/>
    </row>
    <row r="2329">
      <c r="H2329" s="39"/>
      <c r="J2329" s="28"/>
    </row>
    <row r="2330">
      <c r="H2330" s="39"/>
      <c r="J2330" s="28"/>
    </row>
    <row r="2331">
      <c r="H2331" s="39"/>
      <c r="J2331" s="28"/>
    </row>
    <row r="2332">
      <c r="H2332" s="39"/>
      <c r="J2332" s="28"/>
    </row>
    <row r="2333">
      <c r="H2333" s="39"/>
      <c r="J2333" s="28"/>
    </row>
    <row r="2334">
      <c r="H2334" s="39"/>
      <c r="J2334" s="28"/>
    </row>
    <row r="2335">
      <c r="H2335" s="39"/>
      <c r="J2335" s="28"/>
    </row>
    <row r="2336">
      <c r="H2336" s="39"/>
      <c r="J2336" s="28"/>
    </row>
    <row r="2337">
      <c r="H2337" s="39"/>
      <c r="J2337" s="28"/>
    </row>
    <row r="2338">
      <c r="H2338" s="39"/>
      <c r="J2338" s="28"/>
    </row>
    <row r="2339">
      <c r="H2339" s="39"/>
      <c r="J2339" s="28"/>
    </row>
    <row r="2340">
      <c r="H2340" s="39"/>
      <c r="J2340" s="28"/>
    </row>
    <row r="2341">
      <c r="H2341" s="39"/>
      <c r="J2341" s="28"/>
    </row>
    <row r="2342">
      <c r="H2342" s="39"/>
      <c r="J2342" s="28"/>
    </row>
    <row r="2343">
      <c r="H2343" s="39"/>
      <c r="J2343" s="28"/>
    </row>
    <row r="2344">
      <c r="H2344" s="39"/>
      <c r="J2344" s="28"/>
    </row>
    <row r="2345">
      <c r="H2345" s="39"/>
      <c r="J2345" s="28"/>
    </row>
    <row r="2346">
      <c r="H2346" s="39"/>
      <c r="J2346" s="28"/>
    </row>
    <row r="2347">
      <c r="H2347" s="39"/>
      <c r="J2347" s="28"/>
    </row>
    <row r="2348">
      <c r="H2348" s="39"/>
      <c r="J2348" s="28"/>
    </row>
    <row r="2349">
      <c r="H2349" s="39"/>
      <c r="J2349" s="28"/>
    </row>
    <row r="2350">
      <c r="H2350" s="39"/>
      <c r="J2350" s="28"/>
    </row>
    <row r="2351">
      <c r="H2351" s="39"/>
      <c r="J2351" s="28"/>
    </row>
  </sheetData>
  <conditionalFormatting sqref="H2:H2351">
    <cfRule type="notContainsText" dxfId="6" priority="1" operator="notContains" text="0d60a5d4939d7ac3238c">
      <formula>ISERROR(SEARCH(("0d60a5d4939d7ac3238c"),(H2)))</formula>
    </cfRule>
  </conditionalFormatting>
  <conditionalFormatting sqref="H2:H2351">
    <cfRule type="containsBlanks" dxfId="7" priority="2">
      <formula>LEN(TRIM(H2))=0</formula>
    </cfRule>
  </conditionalFormatting>
  <dataValidations>
    <dataValidation type="list" allowBlank="1" sqref="E2:E1349">
      <formula1>"BRA - D001,BRA - D002,BRA - D003,BRA - D004,BRA - D005,BRA - D006,BRA - D007,BRA - D009,BRA - D010,BRA - D011,BRA - D014,BRA - D015,BRA - D016,BRA - D017,BRA - D018,BRA - D019,BRA - D020,BRA - D021,BRA - D022,BRA - D023,BRA - D026,BRA - D027,BRA - D028,BR"&amp;"A - D029,BRA - D032,BRA - D033,BRA - D035,BRA - D036,BRA - D037,BRA - D038,BRA - D039,BRA - D040,BRA - D041,BRA - D042,BRA - D043,BRA - D044,BRA - D045,BRA - D046,BRA - D047,BRA - D048,BRA - D049,BRA - D050,BRA - D051"</formula1>
    </dataValidation>
    <dataValidation type="custom" allowBlank="1" showDropDown="1" sqref="I2:J1349">
      <formula1>OR(TIMEVALUE(TEXT(I2, "hh:mm:ss"))=I2, AND(ISNUMBER(I2), LEFT(CELL("format", I2))="D"))</formula1>
    </dataValidation>
    <dataValidation type="list" allowBlank="1" sqref="D2:D1349 F2:F1349">
      <formula1>#REF!</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25"/>
    <col customWidth="1" min="2" max="2" width="17.75"/>
    <col customWidth="1" min="3" max="3" width="33.63"/>
    <col customWidth="1" min="4" max="4" width="33.88"/>
    <col customWidth="1" min="5" max="5" width="14.0"/>
    <col customWidth="1" min="6" max="6" width="68.25"/>
  </cols>
  <sheetData>
    <row r="1" ht="22.5" customHeight="1">
      <c r="A1" s="29" t="s">
        <v>903</v>
      </c>
      <c r="B1" s="29" t="s">
        <v>904</v>
      </c>
      <c r="C1" s="29" t="s">
        <v>905</v>
      </c>
      <c r="D1" s="29" t="s">
        <v>906</v>
      </c>
      <c r="E1" s="29" t="s">
        <v>907</v>
      </c>
      <c r="F1" s="29" t="s">
        <v>862</v>
      </c>
      <c r="G1" s="29" t="s">
        <v>908</v>
      </c>
      <c r="H1" s="29" t="s">
        <v>909</v>
      </c>
      <c r="I1" s="40"/>
      <c r="J1" s="40"/>
      <c r="K1" s="40"/>
      <c r="L1" s="40"/>
      <c r="M1" s="40"/>
      <c r="N1" s="40"/>
      <c r="O1" s="40"/>
      <c r="P1" s="40"/>
      <c r="Q1" s="40"/>
      <c r="R1" s="40"/>
      <c r="S1" s="40"/>
      <c r="T1" s="40"/>
      <c r="U1" s="40"/>
      <c r="V1" s="40"/>
      <c r="W1" s="40"/>
      <c r="X1" s="40"/>
      <c r="Y1" s="40"/>
      <c r="Z1" s="40"/>
      <c r="AA1" s="40"/>
    </row>
    <row r="2" ht="22.5" customHeight="1">
      <c r="A2" s="41" t="s">
        <v>910</v>
      </c>
      <c r="B2" s="41" t="s">
        <v>910</v>
      </c>
      <c r="C2" s="41" t="str">
        <f>VLOOKUP(A2,Table2[[customer_name]:[customer_id]],2,0)</f>
        <v>3927b076-3af9-11ed-b939-506b8dbc8dfb</v>
      </c>
      <c r="D2" s="41" t="str">
        <f>VLOOKUP(B2,Table2[[customer_name]:[customer_id]],2,0)</f>
        <v>3927b076-3af9-11ed-b939-506b8dbc8dfb</v>
      </c>
      <c r="E2" s="41" t="s">
        <v>911</v>
      </c>
      <c r="F2" s="41" t="str">
        <f>VLOOKUP(A2,Table2[[customer_name]:[address_line_1]],3,0)</f>
        <v>Diag Laboratories, 414, 420 Đ. Cao Thắng, Phường 12, Quận 10, Thành phố Hồ Chí Minh 72510</v>
      </c>
      <c r="G2" s="41">
        <f>VLOOKUP(C2,'Location Table'!B:K,9,FALSE)</f>
        <v>10.775086</v>
      </c>
      <c r="H2" s="41">
        <f>VLOOKUP(C2,'Location Table'!B:K,10,FALSE)</f>
        <v>106.672714</v>
      </c>
      <c r="I2" s="40"/>
      <c r="J2" s="40"/>
      <c r="K2" s="40"/>
      <c r="L2" s="40"/>
      <c r="M2" s="40"/>
      <c r="N2" s="40"/>
      <c r="O2" s="40"/>
      <c r="P2" s="40"/>
      <c r="S2" s="40"/>
      <c r="T2" s="40"/>
      <c r="U2" s="40"/>
      <c r="V2" s="40"/>
      <c r="W2" s="40"/>
      <c r="X2" s="40"/>
      <c r="Y2" s="40"/>
      <c r="Z2" s="40"/>
      <c r="AA2" s="40"/>
    </row>
    <row r="3" ht="22.5" customHeight="1">
      <c r="A3" s="41" t="s">
        <v>813</v>
      </c>
      <c r="B3" s="41" t="s">
        <v>910</v>
      </c>
      <c r="C3" s="41" t="str">
        <f>VLOOKUP(A3,Table2[[customer_name]:[customer_id]],2,0)</f>
        <v>7bc36d6c-3d6a-11ed-a1ac-506b8dbc8dfb</v>
      </c>
      <c r="D3" s="41" t="str">
        <f>VLOOKUP(B3,Table2[[customer_name]:[customer_id]],2,0)</f>
        <v>3927b076-3af9-11ed-b939-506b8dbc8dfb</v>
      </c>
      <c r="E3" s="41" t="s">
        <v>912</v>
      </c>
      <c r="F3" s="41" t="str">
        <f>VLOOKUP(A3,Table2[[customer_name]:[address_line_1]],3,0)</f>
        <v>Diag Laboratories, 309 Dương Trần Phú, Phường 3, Quận 5, Thành phố Hồ Chí Minh 72710</v>
      </c>
      <c r="G3" s="41">
        <f>VLOOKUP(C3,'Location Table'!B:K,9,FALSE)</f>
        <v>10.756428</v>
      </c>
      <c r="H3" s="41">
        <f>VLOOKUP(C3,'Location Table'!B:K,10,FALSE)</f>
        <v>106.673397</v>
      </c>
      <c r="I3" s="40"/>
      <c r="J3" s="40"/>
      <c r="K3" s="40"/>
      <c r="L3" s="40"/>
      <c r="M3" s="40"/>
      <c r="N3" s="40"/>
      <c r="O3" s="40"/>
      <c r="P3" s="40"/>
      <c r="S3" s="40"/>
      <c r="T3" s="40"/>
      <c r="U3" s="40"/>
      <c r="V3" s="40"/>
      <c r="W3" s="40"/>
      <c r="X3" s="40"/>
      <c r="Y3" s="40"/>
      <c r="Z3" s="40"/>
      <c r="AA3" s="40"/>
    </row>
    <row r="4" ht="22.5" customHeight="1">
      <c r="A4" s="41" t="s">
        <v>814</v>
      </c>
      <c r="B4" s="41" t="s">
        <v>910</v>
      </c>
      <c r="C4" s="41" t="str">
        <f>VLOOKUP(A4,Table2[[customer_name]:[customer_id]],2,0)</f>
        <v>557ec732-3af9-11ed-b159-506b8dbc8dfb</v>
      </c>
      <c r="D4" s="41" t="str">
        <f>VLOOKUP(B4,Table2[[customer_name]:[customer_id]],2,0)</f>
        <v>3927b076-3af9-11ed-b939-506b8dbc8dfb</v>
      </c>
      <c r="E4" s="41" t="s">
        <v>913</v>
      </c>
      <c r="F4" s="41" t="str">
        <f>VLOOKUP(A4,Table2[[customer_name]:[address_line_1]],3,0)</f>
        <v>Diag Laboratories, 231 Hoàng Văn Thụ, Phường 8, Phú Nhuận, Thành phố Hồ Chí Minh 72217</v>
      </c>
      <c r="G4" s="41">
        <f>VLOOKUP(C4,'Location Table'!B:K,9,FALSE)</f>
        <v>10.799748</v>
      </c>
      <c r="H4" s="41">
        <f>VLOOKUP(C4,'Location Table'!B:K,10,FALSE)</f>
        <v>106.669596</v>
      </c>
      <c r="I4" s="40"/>
      <c r="J4" s="40"/>
      <c r="K4" s="40"/>
      <c r="L4" s="40"/>
      <c r="M4" s="40"/>
      <c r="N4" s="40"/>
      <c r="O4" s="40"/>
      <c r="P4" s="40"/>
      <c r="S4" s="40"/>
      <c r="T4" s="40"/>
      <c r="U4" s="40"/>
      <c r="V4" s="40"/>
      <c r="W4" s="40"/>
      <c r="X4" s="40"/>
      <c r="Y4" s="40"/>
      <c r="Z4" s="40"/>
      <c r="AA4" s="40"/>
    </row>
    <row r="5" ht="22.5" customHeight="1">
      <c r="A5" s="41" t="s">
        <v>895</v>
      </c>
      <c r="B5" s="41" t="s">
        <v>910</v>
      </c>
      <c r="C5" s="41" t="str">
        <f>VLOOKUP(A5,Table2[[customer_name]:[customer_id]],2,0)</f>
        <v>1c89cd22-3d6b-11ed-b2d6-506b8dbc8dfb</v>
      </c>
      <c r="D5" s="41" t="str">
        <f>VLOOKUP(B5,Table2[[customer_name]:[customer_id]],2,0)</f>
        <v>3927b076-3af9-11ed-b939-506b8dbc8dfb</v>
      </c>
      <c r="E5" s="41" t="s">
        <v>914</v>
      </c>
      <c r="F5" s="41" t="str">
        <f>VLOOKUP(A5,Table2[[customer_name]:[address_line_1]],3,0)</f>
        <v>Diag Laboratories, 75 Đ. Lê Văn Việt, Hiệp Phú, Quận 9, Thành phố Hồ Chí Minh</v>
      </c>
      <c r="G5" s="41">
        <f>VLOOKUP(C5,'Location Table'!B:K,9,FALSE)</f>
        <v>10.84737</v>
      </c>
      <c r="H5" s="41">
        <f>VLOOKUP(C5,'Location Table'!B:K,10,FALSE)</f>
        <v>106.776574</v>
      </c>
      <c r="I5" s="40"/>
      <c r="J5" s="40"/>
      <c r="K5" s="40"/>
      <c r="L5" s="40"/>
      <c r="M5" s="40"/>
      <c r="N5" s="40"/>
      <c r="O5" s="40"/>
      <c r="P5" s="40"/>
      <c r="S5" s="40"/>
      <c r="T5" s="40"/>
      <c r="U5" s="40"/>
      <c r="V5" s="40"/>
      <c r="W5" s="40"/>
      <c r="X5" s="40"/>
      <c r="Y5" s="40"/>
      <c r="Z5" s="40"/>
      <c r="AA5" s="40"/>
    </row>
    <row r="6" ht="22.5" customHeight="1">
      <c r="A6" s="41" t="s">
        <v>518</v>
      </c>
      <c r="B6" s="41" t="s">
        <v>910</v>
      </c>
      <c r="C6" s="41" t="str">
        <f>VLOOKUP(A6,Table2[[customer_name]:[customer_id]],2,0)</f>
        <v>c4f51f56-1ba8-11f1-9378-fa163ee8d8ac</v>
      </c>
      <c r="D6" s="41" t="str">
        <f>VLOOKUP(B6,Table2[[customer_name]:[customer_id]],2,0)</f>
        <v>3927b076-3af9-11ed-b939-506b8dbc8dfb</v>
      </c>
      <c r="E6" s="41" t="s">
        <v>915</v>
      </c>
      <c r="F6" s="41" t="str">
        <f>VLOOKUP(A6,Table2[[customer_name]:[address_line_1]],3,0)</f>
        <v>99 Đ. Bình Thới, Phường 11, Quận 11, Thành phố Hồ Chí Minh 72620</v>
      </c>
      <c r="G6" s="41">
        <f>VLOOKUP(C6,'Location Table'!B:K,9,FALSE)</f>
        <v>10.767069</v>
      </c>
      <c r="H6" s="41">
        <f>VLOOKUP(C6,'Location Table'!B:K,10,FALSE)</f>
        <v>106.64929</v>
      </c>
      <c r="I6" s="40"/>
      <c r="J6" s="40"/>
      <c r="K6" s="40"/>
      <c r="L6" s="40"/>
      <c r="M6" s="40"/>
      <c r="N6" s="40"/>
      <c r="O6" s="40"/>
      <c r="P6" s="40"/>
      <c r="S6" s="40"/>
      <c r="T6" s="40"/>
      <c r="U6" s="40"/>
      <c r="V6" s="40"/>
      <c r="W6" s="40"/>
      <c r="X6" s="40"/>
      <c r="Y6" s="40"/>
      <c r="Z6" s="40"/>
      <c r="AA6" s="40"/>
    </row>
    <row r="7" ht="22.5" customHeight="1">
      <c r="A7" s="41" t="s">
        <v>894</v>
      </c>
      <c r="B7" s="41" t="s">
        <v>910</v>
      </c>
      <c r="C7" s="41" t="str">
        <f>VLOOKUP(A7,Table2[[customer_name]:[customer_id]],2,0)</f>
        <v>c07bc96a-3d81-11ed-989f-506b8dbc8dfb</v>
      </c>
      <c r="D7" s="41" t="str">
        <f>VLOOKUP(B7,Table2[[customer_name]:[customer_id]],2,0)</f>
        <v>3927b076-3af9-11ed-b939-506b8dbc8dfb</v>
      </c>
      <c r="E7" s="41" t="s">
        <v>916</v>
      </c>
      <c r="F7" s="41" t="str">
        <f>VLOOKUP(A7,Table2[[customer_name]:[address_line_1]],3,0)</f>
        <v>Diag Laboratories, 198 Nguyễn Thị Thập, Bình Thuận, Quận 7, Thành phố Hồ Chí Minh 72914</v>
      </c>
      <c r="G7" s="41">
        <f>VLOOKUP(C7,'Location Table'!B:K,9,FALSE)</f>
        <v>10.73842</v>
      </c>
      <c r="H7" s="41">
        <f>VLOOKUP(C7,'Location Table'!B:K,10,FALSE)</f>
        <v>106.716414</v>
      </c>
      <c r="I7" s="40"/>
      <c r="J7" s="40"/>
      <c r="K7" s="40"/>
      <c r="L7" s="40"/>
      <c r="M7" s="40"/>
      <c r="N7" s="40"/>
      <c r="O7" s="40"/>
      <c r="P7" s="40"/>
      <c r="S7" s="40"/>
      <c r="T7" s="40"/>
      <c r="U7" s="40"/>
      <c r="V7" s="40"/>
      <c r="W7" s="40"/>
      <c r="X7" s="40"/>
      <c r="Y7" s="40"/>
      <c r="Z7" s="40"/>
      <c r="AA7" s="40"/>
    </row>
    <row r="8" ht="22.5" customHeight="1">
      <c r="A8" s="41" t="s">
        <v>510</v>
      </c>
      <c r="B8" s="41" t="s">
        <v>910</v>
      </c>
      <c r="C8" s="41" t="str">
        <f>VLOOKUP(A8,Table2[[customer_name]:[customer_id]],2,0)</f>
        <v>debfa9a0-3d81-11ed-9ba7-506b8dbc8dfb</v>
      </c>
      <c r="D8" s="41" t="str">
        <f>VLOOKUP(B8,Table2[[customer_name]:[customer_id]],2,0)</f>
        <v>3927b076-3af9-11ed-b939-506b8dbc8dfb</v>
      </c>
      <c r="E8" s="41" t="s">
        <v>917</v>
      </c>
      <c r="F8" s="41" t="str">
        <f>VLOOKUP(A8,Table2[[customer_name]:[address_line_1]],3,0)</f>
        <v>275 Tô Ngọc Vân, Linh Đông, Thủ Đức, Thành phố Hồ Chí Minh</v>
      </c>
      <c r="G8" s="41">
        <f>VLOOKUP(C8,'Location Table'!B:K,9,FALSE)</f>
        <v>10.858457</v>
      </c>
      <c r="H8" s="41">
        <f>VLOOKUP(C8,'Location Table'!B:K,10,FALSE)</f>
        <v>106.748749</v>
      </c>
      <c r="I8" s="40"/>
      <c r="J8" s="40"/>
      <c r="K8" s="40"/>
      <c r="L8" s="40"/>
      <c r="M8" s="40"/>
      <c r="N8" s="40"/>
      <c r="O8" s="40"/>
      <c r="P8" s="40"/>
      <c r="S8" s="40"/>
      <c r="T8" s="40"/>
      <c r="U8" s="40"/>
      <c r="V8" s="40"/>
      <c r="W8" s="40"/>
      <c r="X8" s="40"/>
      <c r="Y8" s="40"/>
      <c r="Z8" s="40"/>
      <c r="AA8" s="40"/>
    </row>
    <row r="9" ht="22.5" customHeight="1">
      <c r="A9" s="41" t="s">
        <v>896</v>
      </c>
      <c r="B9" s="41" t="s">
        <v>910</v>
      </c>
      <c r="C9" s="41" t="str">
        <f>VLOOKUP(A9,Table2[[customer_name]:[customer_id]],2,0)</f>
        <v>7e6eb83c-3d83-11ed-b414-506b8dbc8dfb</v>
      </c>
      <c r="D9" s="41" t="str">
        <f>VLOOKUP(B9,Table2[[customer_name]:[customer_id]],2,0)</f>
        <v>3927b076-3af9-11ed-b939-506b8dbc8dfb</v>
      </c>
      <c r="E9" s="41" t="s">
        <v>918</v>
      </c>
      <c r="F9" s="41" t="str">
        <f>VLOOKUP(A9,Table2[[customer_name]:[address_line_1]],3,0)</f>
        <v>7 Phan Văn Hớn, Tân Thới Nhất, Quận 12, Thành phố Hồ Chí Minh</v>
      </c>
      <c r="G9" s="41">
        <f>VLOOKUP(C9,'Location Table'!B:K,9,FALSE)</f>
        <v>10.82720763</v>
      </c>
      <c r="H9" s="41">
        <f>VLOOKUP(C9,'Location Table'!B:K,10,FALSE)</f>
        <v>106.6247449</v>
      </c>
      <c r="I9" s="40"/>
      <c r="J9" s="40"/>
      <c r="K9" s="40"/>
      <c r="L9" s="40"/>
      <c r="M9" s="40"/>
      <c r="N9" s="40"/>
      <c r="O9" s="40"/>
      <c r="P9" s="40"/>
      <c r="S9" s="40"/>
      <c r="T9" s="40"/>
      <c r="U9" s="40"/>
      <c r="V9" s="40"/>
      <c r="W9" s="40"/>
      <c r="X9" s="40"/>
      <c r="Y9" s="40"/>
      <c r="Z9" s="40"/>
      <c r="AA9" s="40"/>
    </row>
    <row r="10" ht="22.5" customHeight="1">
      <c r="A10" s="41" t="s">
        <v>789</v>
      </c>
      <c r="B10" s="41" t="s">
        <v>910</v>
      </c>
      <c r="C10" s="41" t="str">
        <f>VLOOKUP(A10,Table2[[customer_name]:[customer_id]],2,0)</f>
        <v>9a15e7a4-3d83-11ed-be4e-506b8dbc8dfb</v>
      </c>
      <c r="D10" s="41" t="str">
        <f>VLOOKUP(B10,Table2[[customer_name]:[customer_id]],2,0)</f>
        <v>3927b076-3af9-11ed-b939-506b8dbc8dfb</v>
      </c>
      <c r="E10" s="41" t="s">
        <v>919</v>
      </c>
      <c r="F10" s="41" t="str">
        <f>VLOOKUP(A10,Table2[[customer_name]:[address_line_1]],3,0)</f>
        <v>Trung Tâm Y Khoa Diag - Tên Lửa, 101 103 Đ. Tên Lửa, Bình Trị Đông B, Bình Tân, Thành phố Hồ Chí Minh 71908</v>
      </c>
      <c r="G10" s="41">
        <f>VLOOKUP(C10,'Location Table'!B:K,9,FALSE)</f>
        <v>10.746023</v>
      </c>
      <c r="H10" s="41">
        <f>VLOOKUP(C10,'Location Table'!B:K,10,FALSE)</f>
        <v>106.612324</v>
      </c>
      <c r="I10" s="40"/>
      <c r="J10" s="40"/>
      <c r="K10" s="40"/>
      <c r="L10" s="40"/>
      <c r="M10" s="40"/>
      <c r="N10" s="40"/>
      <c r="O10" s="40"/>
      <c r="P10" s="40"/>
      <c r="S10" s="40"/>
      <c r="T10" s="40"/>
      <c r="U10" s="40"/>
      <c r="V10" s="40"/>
      <c r="W10" s="40"/>
      <c r="X10" s="40"/>
      <c r="Y10" s="40"/>
      <c r="Z10" s="40"/>
      <c r="AA10" s="40"/>
    </row>
    <row r="11" ht="22.5" customHeight="1">
      <c r="A11" s="41" t="s">
        <v>893</v>
      </c>
      <c r="B11" s="41" t="s">
        <v>910</v>
      </c>
      <c r="C11" s="41" t="str">
        <f>VLOOKUP(A11,Table2[[customer_name]:[customer_id]],2,0)</f>
        <v>bbdd2320-3d83-11ed-a15b-506b8dbc8dfb</v>
      </c>
      <c r="D11" s="41" t="str">
        <f>VLOOKUP(B11,Table2[[customer_name]:[customer_id]],2,0)</f>
        <v>3927b076-3af9-11ed-b939-506b8dbc8dfb</v>
      </c>
      <c r="E11" s="41" t="s">
        <v>920</v>
      </c>
      <c r="F11" s="41" t="str">
        <f>VLOOKUP(A11,Table2[[customer_name]:[address_line_1]],3,0)</f>
        <v>742 Lũy Bán Bích, Tân Thành, Tân Phú, Thành phố Hồ Chí Minh</v>
      </c>
      <c r="G11" s="41">
        <f>VLOOKUP(C11,'Location Table'!B:K,9,FALSE)</f>
        <v>10.79434659</v>
      </c>
      <c r="H11" s="41">
        <f>VLOOKUP(C11,'Location Table'!B:K,10,FALSE)</f>
        <v>106.6381749</v>
      </c>
      <c r="I11" s="40"/>
      <c r="J11" s="40"/>
      <c r="K11" s="40"/>
      <c r="L11" s="40"/>
      <c r="M11" s="40"/>
      <c r="N11" s="40"/>
      <c r="O11" s="40"/>
      <c r="P11" s="40"/>
      <c r="S11" s="40"/>
      <c r="T11" s="40"/>
      <c r="U11" s="40"/>
      <c r="V11" s="40"/>
      <c r="W11" s="40"/>
      <c r="X11" s="40"/>
      <c r="Y11" s="40"/>
      <c r="Z11" s="40"/>
      <c r="AA11" s="40"/>
    </row>
    <row r="12" ht="22.5" customHeight="1">
      <c r="A12" s="41" t="s">
        <v>892</v>
      </c>
      <c r="B12" s="41" t="s">
        <v>510</v>
      </c>
      <c r="C12" s="41" t="str">
        <f>VLOOKUP(A12,Table2[[customer_name]:[customer_id]],2,0)</f>
        <v>c79d5fa2-3d85-11ed-a6db-506b8dbc8dfb</v>
      </c>
      <c r="D12" s="41" t="str">
        <f>VLOOKUP(B12,Table2[[customer_name]:[customer_id]],2,0)</f>
        <v>debfa9a0-3d81-11ed-9ba7-506b8dbc8dfb</v>
      </c>
      <c r="E12" s="41" t="s">
        <v>921</v>
      </c>
      <c r="F12" s="41" t="str">
        <f>VLOOKUP(A12,Table2[[customer_name]:[address_line_1]],3,0)</f>
        <v>Diag Laboratories, 495 Đ. Cách Mạng Tháng 8, Phú Cường, Thủ Dầu Một, Bình Dương 75153</v>
      </c>
      <c r="G12" s="41">
        <f>VLOOKUP(C12,'Location Table'!B:K,9,FALSE)</f>
        <v>10.979216</v>
      </c>
      <c r="H12" s="41">
        <f>VLOOKUP(C12,'Location Table'!B:K,10,FALSE)</f>
        <v>106.655488</v>
      </c>
      <c r="I12" s="40"/>
      <c r="J12" s="40"/>
      <c r="K12" s="40"/>
      <c r="L12" s="40"/>
      <c r="M12" s="40"/>
      <c r="N12" s="40"/>
      <c r="O12" s="40"/>
      <c r="P12" s="40"/>
      <c r="S12" s="40"/>
      <c r="T12" s="40"/>
      <c r="U12" s="40"/>
      <c r="V12" s="40"/>
      <c r="W12" s="40"/>
      <c r="X12" s="40"/>
      <c r="Y12" s="40"/>
      <c r="Z12" s="40"/>
      <c r="AA12" s="40"/>
    </row>
    <row r="13" ht="22.5" customHeight="1">
      <c r="A13" s="41" t="s">
        <v>891</v>
      </c>
      <c r="B13" s="41" t="s">
        <v>895</v>
      </c>
      <c r="C13" s="41" t="str">
        <f>VLOOKUP(A13,Table2[[customer_name]:[customer_id]],2,0)</f>
        <v>0c0b1998-3d88-11ed-8d9a-506b8dbc8dfb</v>
      </c>
      <c r="D13" s="41" t="str">
        <f>VLOOKUP(B13,Table2[[customer_name]:[customer_id]],2,0)</f>
        <v>1c89cd22-3d6b-11ed-b2d6-506b8dbc8dfb</v>
      </c>
      <c r="E13" s="41" t="s">
        <v>922</v>
      </c>
      <c r="F13" s="41" t="str">
        <f>VLOOKUP(A13,Table2[[customer_name]:[address_line_1]],3,0)</f>
        <v>Diag Laboratories, 139 - 141 (số cũ, 241 Đ. Võ Thị Sáu, Khu Phố 7, Tp. Biên Hòa, Đồng Nai 76108</v>
      </c>
      <c r="G13" s="41">
        <f>VLOOKUP(C13,'Location Table'!B:K,9,FALSE)</f>
        <v>10.947309</v>
      </c>
      <c r="H13" s="41">
        <f>VLOOKUP(C13,'Location Table'!B:K,10,FALSE)</f>
        <v>106.828412</v>
      </c>
      <c r="I13" s="40"/>
      <c r="J13" s="40"/>
      <c r="K13" s="40"/>
      <c r="L13" s="40"/>
      <c r="M13" s="40"/>
      <c r="N13" s="40"/>
      <c r="O13" s="40"/>
      <c r="P13" s="40"/>
      <c r="S13" s="40"/>
      <c r="T13" s="40"/>
      <c r="U13" s="40"/>
      <c r="V13" s="40"/>
      <c r="W13" s="40"/>
      <c r="X13" s="40"/>
      <c r="Y13" s="40"/>
      <c r="Z13" s="40"/>
      <c r="AA13" s="40"/>
    </row>
    <row r="14" ht="22.5" customHeight="1">
      <c r="A14" s="41" t="s">
        <v>890</v>
      </c>
      <c r="B14" s="41" t="s">
        <v>510</v>
      </c>
      <c r="C14" s="41" t="str">
        <f>VLOOKUP(A14,Table2[[customer_name]:[customer_id]],2,0)</f>
        <v>f61cca44-3d89-11ed-b141-506b8dbc8dfb</v>
      </c>
      <c r="D14" s="41" t="str">
        <f>VLOOKUP(B14,Table2[[customer_name]:[customer_id]],2,0)</f>
        <v>debfa9a0-3d81-11ed-9ba7-506b8dbc8dfb</v>
      </c>
      <c r="E14" s="41" t="s">
        <v>923</v>
      </c>
      <c r="F14" s="41" t="str">
        <f>VLOOKUP(A14,Table2[[customer_name]:[address_line_1]],3,0)</f>
        <v>Diag Laboratories, 271 Nguyễn An Ninh, Khu phố Bình Minh 2, Dĩ An, Bình Dương 75306</v>
      </c>
      <c r="G14" s="41">
        <f>VLOOKUP(C14,'Location Table'!B:K,9,FALSE)</f>
        <v>10.905611</v>
      </c>
      <c r="H14" s="41">
        <f>VLOOKUP(C14,'Location Table'!B:K,10,FALSE)</f>
        <v>106.76818</v>
      </c>
      <c r="I14" s="40"/>
      <c r="J14" s="40"/>
      <c r="K14" s="40"/>
      <c r="L14" s="40"/>
      <c r="M14" s="40"/>
      <c r="N14" s="40"/>
      <c r="O14" s="40"/>
      <c r="P14" s="40"/>
      <c r="S14" s="40"/>
      <c r="T14" s="40"/>
      <c r="U14" s="40"/>
      <c r="V14" s="40"/>
      <c r="W14" s="40"/>
      <c r="X14" s="40"/>
      <c r="Y14" s="40"/>
      <c r="Z14" s="40"/>
      <c r="AA14" s="40"/>
    </row>
    <row r="15" ht="22.5" customHeight="1">
      <c r="A15" s="41" t="s">
        <v>889</v>
      </c>
      <c r="B15" s="41" t="s">
        <v>910</v>
      </c>
      <c r="C15" s="41" t="str">
        <f>VLOOKUP(A15,Table2[[customer_name]:[customer_id]],2,0)</f>
        <v>6ec25112-3d8a-11ed-acb2-506b8dbc8dfb</v>
      </c>
      <c r="D15" s="41" t="str">
        <f>VLOOKUP(B15,Table2[[customer_name]:[customer_id]],2,0)</f>
        <v>3927b076-3af9-11ed-b939-506b8dbc8dfb</v>
      </c>
      <c r="E15" s="41" t="s">
        <v>924</v>
      </c>
      <c r="F15" s="41" t="str">
        <f>VLOOKUP(A15,Table2[[customer_name]:[address_line_1]],3,0)</f>
        <v>Diag Laboratories, 85 Nơ Trang Long, P.11, Bình Thạnh, Thành phố Hồ Chí Minh 72313</v>
      </c>
      <c r="G15" s="41">
        <f>VLOOKUP(C15,'Location Table'!B:K,9,FALSE)</f>
        <v>10.809442</v>
      </c>
      <c r="H15" s="41">
        <f>VLOOKUP(C15,'Location Table'!B:K,10,FALSE)</f>
        <v>106.695022</v>
      </c>
      <c r="I15" s="40"/>
      <c r="J15" s="40"/>
      <c r="K15" s="40"/>
      <c r="L15" s="40"/>
      <c r="M15" s="40"/>
      <c r="N15" s="40"/>
      <c r="O15" s="40"/>
      <c r="P15" s="40"/>
      <c r="S15" s="40"/>
      <c r="T15" s="40"/>
      <c r="U15" s="40"/>
      <c r="V15" s="40"/>
      <c r="W15" s="40"/>
      <c r="X15" s="40"/>
      <c r="Y15" s="40"/>
      <c r="Z15" s="40"/>
      <c r="AA15" s="40"/>
    </row>
    <row r="16" ht="22.5" customHeight="1">
      <c r="A16" s="41" t="s">
        <v>888</v>
      </c>
      <c r="B16" s="41" t="s">
        <v>910</v>
      </c>
      <c r="C16" s="41" t="str">
        <f>VLOOKUP(A16,Table2[[customer_name]:[customer_id]],2,0)</f>
        <v>8d623ace-3d8a-11ed-87cc-506b8dbc8dfb</v>
      </c>
      <c r="D16" s="41" t="str">
        <f>VLOOKUP(B16,Table2[[customer_name]:[customer_id]],2,0)</f>
        <v>3927b076-3af9-11ed-b939-506b8dbc8dfb</v>
      </c>
      <c r="E16" s="41" t="s">
        <v>925</v>
      </c>
      <c r="F16" s="41" t="str">
        <f>VLOOKUP(A16,Table2[[customer_name]:[address_line_1]],3,0)</f>
        <v>Diag Laboratories, 53 Nguyễn Du, Bến Nghé, Quận 1, Thành phố Hồ Chí Minh 710100</v>
      </c>
      <c r="G16" s="41">
        <f>VLOOKUP(C16,'Location Table'!B:K,9,FALSE)</f>
        <v>10.779712</v>
      </c>
      <c r="H16" s="41">
        <f>VLOOKUP(C16,'Location Table'!B:K,10,FALSE)</f>
        <v>106.70079</v>
      </c>
      <c r="I16" s="40"/>
      <c r="J16" s="40"/>
      <c r="K16" s="40"/>
      <c r="L16" s="40"/>
      <c r="M16" s="40"/>
      <c r="N16" s="40"/>
      <c r="O16" s="40"/>
      <c r="P16" s="40"/>
      <c r="S16" s="40"/>
      <c r="T16" s="40"/>
      <c r="U16" s="40"/>
      <c r="V16" s="40"/>
      <c r="W16" s="40"/>
      <c r="X16" s="40"/>
      <c r="Y16" s="40"/>
      <c r="Z16" s="40"/>
      <c r="AA16" s="40"/>
    </row>
    <row r="17" ht="22.5" customHeight="1">
      <c r="A17" s="41" t="s">
        <v>887</v>
      </c>
      <c r="B17" s="41" t="s">
        <v>910</v>
      </c>
      <c r="C17" s="41" t="str">
        <f>VLOOKUP(A17,Table2[[customer_name]:[customer_id]],2,0)</f>
        <v>a693faa0-3d8a-11ed-9fed-506b8dbc8dfb</v>
      </c>
      <c r="D17" s="41" t="str">
        <f>VLOOKUP(B17,Table2[[customer_name]:[customer_id]],2,0)</f>
        <v>3927b076-3af9-11ed-b939-506b8dbc8dfb</v>
      </c>
      <c r="E17" s="41" t="s">
        <v>926</v>
      </c>
      <c r="F17" s="41" t="str">
        <f>VLOOKUP(A17,Table2[[customer_name]:[address_line_1]],3,0)</f>
        <v>Diag Laboratories, 158 Đ. Trần Não, P. Bình An, Quận 2, Thành phố Hồ Chí Minh 71108</v>
      </c>
      <c r="G17" s="41">
        <f>VLOOKUP(C17,'Location Table'!B:K,9,FALSE)</f>
        <v>10.792031</v>
      </c>
      <c r="H17" s="41">
        <f>VLOOKUP(C17,'Location Table'!B:K,10,FALSE)</f>
        <v>106.73036</v>
      </c>
      <c r="I17" s="40"/>
      <c r="J17" s="40"/>
      <c r="K17" s="40"/>
      <c r="L17" s="40"/>
      <c r="M17" s="40"/>
      <c r="N17" s="40"/>
      <c r="O17" s="40"/>
      <c r="P17" s="40"/>
      <c r="S17" s="40"/>
      <c r="T17" s="40"/>
      <c r="U17" s="40"/>
      <c r="V17" s="40"/>
      <c r="W17" s="40"/>
      <c r="X17" s="40"/>
      <c r="Y17" s="40"/>
      <c r="Z17" s="40"/>
      <c r="AA17" s="40"/>
    </row>
    <row r="18" ht="22.5" customHeight="1">
      <c r="A18" s="41" t="s">
        <v>886</v>
      </c>
      <c r="B18" s="41" t="s">
        <v>910</v>
      </c>
      <c r="C18" s="41" t="str">
        <f>VLOOKUP(A18,Table2[[customer_name]:[customer_id]],2,0)</f>
        <v>27eaf120-3d8c-11ed-9f85-506b8dbc8dfb</v>
      </c>
      <c r="D18" s="41" t="str">
        <f>VLOOKUP(B18,Table2[[customer_name]:[customer_id]],2,0)</f>
        <v>3927b076-3af9-11ed-b939-506b8dbc8dfb</v>
      </c>
      <c r="E18" s="41" t="s">
        <v>927</v>
      </c>
      <c r="F18" s="41" t="str">
        <f>VLOOKUP(A18,Table2[[customer_name]:[address_line_1]],3,0)</f>
        <v>Diag Laboratories, 793 Nguyễn Kiệm, Phường 3, Gò Vấp, Thành phố Hồ Chí Minh 71409</v>
      </c>
      <c r="G18" s="41">
        <f>VLOOKUP(C18,'Location Table'!B:K,9,FALSE)</f>
        <v>10.818625</v>
      </c>
      <c r="H18" s="41">
        <f>VLOOKUP(C18,'Location Table'!B:K,10,FALSE)</f>
        <v>106.678662</v>
      </c>
      <c r="I18" s="40"/>
      <c r="J18" s="40"/>
      <c r="K18" s="40"/>
      <c r="L18" s="40"/>
      <c r="M18" s="40"/>
      <c r="N18" s="40"/>
      <c r="O18" s="40"/>
      <c r="P18" s="40"/>
      <c r="S18" s="40"/>
      <c r="T18" s="40"/>
      <c r="U18" s="40"/>
      <c r="V18" s="40"/>
      <c r="W18" s="40"/>
      <c r="X18" s="40"/>
      <c r="Y18" s="40"/>
      <c r="Z18" s="40"/>
      <c r="AA18" s="40"/>
    </row>
    <row r="19" ht="22.5" customHeight="1">
      <c r="A19" s="41" t="s">
        <v>868</v>
      </c>
      <c r="B19" s="41" t="s">
        <v>928</v>
      </c>
      <c r="C19" s="41" t="str">
        <f>VLOOKUP(A19,Table2[[customer_name]:[customer_id]],2,0)</f>
        <v>47cc1bf4-3d8c-11ed-95fc-506b8dbc8dfb</v>
      </c>
      <c r="D19" s="41" t="str">
        <f>VLOOKUP(B19,Table2[[customer_name]:[customer_id]],2,0)</f>
        <v>4aa193d2-b1dd-11ef-b42b-506b8d9879b5</v>
      </c>
      <c r="E19" s="41" t="s">
        <v>929</v>
      </c>
      <c r="F19" s="41" t="str">
        <f>VLOOKUP(A19,Table2[[customer_name]:[address_line_1]],3,0)</f>
        <v>Diag Laboratories, 102, 104 Nam Kỳ Khởi Nghĩa, Phường 4, Thành phố Mỹ Tho, Tiền Giang 84114</v>
      </c>
      <c r="G19" s="41">
        <f>VLOOKUP(C19,'Location Table'!B:K,9,FALSE)</f>
        <v>10.35665</v>
      </c>
      <c r="H19" s="41">
        <f>VLOOKUP(C19,'Location Table'!B:K,10,FALSE)</f>
        <v>106.361731</v>
      </c>
      <c r="I19" s="40"/>
      <c r="J19" s="40"/>
      <c r="K19" s="40"/>
      <c r="L19" s="40"/>
      <c r="M19" s="40"/>
      <c r="N19" s="40"/>
      <c r="O19" s="40"/>
      <c r="P19" s="40"/>
      <c r="S19" s="40"/>
      <c r="T19" s="40"/>
      <c r="U19" s="40"/>
      <c r="V19" s="40"/>
      <c r="W19" s="40"/>
      <c r="X19" s="40"/>
      <c r="Y19" s="40"/>
      <c r="Z19" s="40"/>
      <c r="AA19" s="40"/>
    </row>
    <row r="20" ht="22.5" customHeight="1">
      <c r="A20" s="41" t="s">
        <v>897</v>
      </c>
      <c r="B20" s="41" t="s">
        <v>910</v>
      </c>
      <c r="C20" s="41" t="str">
        <f>VLOOKUP(A20,Table2[[customer_name]:[customer_id]],2,0)</f>
        <v>65d58b76-3d8c-11ed-b92b-506b8dbc8dfb</v>
      </c>
      <c r="D20" s="41" t="str">
        <f>VLOOKUP(B20,Table2[[customer_name]:[customer_id]],2,0)</f>
        <v>3927b076-3af9-11ed-b939-506b8dbc8dfb</v>
      </c>
      <c r="E20" s="41" t="s">
        <v>930</v>
      </c>
      <c r="F20" s="41" t="str">
        <f>VLOOKUP(A20,Table2[[customer_name]:[address_line_1]],3,0)</f>
        <v>467B Quang Trung, Phường 12, Gò Vấp, Thành phố Hồ Chí Minh</v>
      </c>
      <c r="G20" s="41">
        <f>VLOOKUP(C20,'Location Table'!B:K,9,FALSE)</f>
        <v>10.84253244</v>
      </c>
      <c r="H20" s="41">
        <f>VLOOKUP(C20,'Location Table'!B:K,10,FALSE)</f>
        <v>106.6427306</v>
      </c>
      <c r="I20" s="40"/>
      <c r="J20" s="40"/>
      <c r="K20" s="40"/>
      <c r="L20" s="40"/>
      <c r="M20" s="40"/>
      <c r="N20" s="40"/>
      <c r="O20" s="40"/>
      <c r="P20" s="40"/>
      <c r="S20" s="40"/>
      <c r="T20" s="40"/>
      <c r="U20" s="40"/>
      <c r="V20" s="40"/>
      <c r="W20" s="40"/>
      <c r="X20" s="40"/>
      <c r="Y20" s="40"/>
      <c r="Z20" s="40"/>
      <c r="AA20" s="40"/>
    </row>
    <row r="21" ht="22.5" customHeight="1">
      <c r="A21" s="41" t="s">
        <v>863</v>
      </c>
      <c r="B21" s="41" t="s">
        <v>931</v>
      </c>
      <c r="C21" s="41" t="str">
        <f>VLOOKUP(A21,Table2[[customer_name]:[customer_id]],2,0)</f>
        <v>c0bd4c76-3d8d-11ed-892d-506b8dbc8dfb</v>
      </c>
      <c r="D21" s="41" t="str">
        <f>VLOOKUP(B21,Table2[[customer_name]:[customer_id]],2,0)</f>
        <v>5e748868-446d-11ed-ac56-506b8dbc8dfb</v>
      </c>
      <c r="E21" s="41" t="s">
        <v>932</v>
      </c>
      <c r="F21" s="41" t="str">
        <f>VLOOKUP(A21,Table2[[customer_name]:[address_line_1]],3,0)</f>
        <v>Diag Laboratories, 260a Lê Lợi, P.4, Thành phố Vũng Tầu, Bà Rịa - Vũng Tàu 78209</v>
      </c>
      <c r="G21" s="41">
        <f>VLOOKUP(C21,'Location Table'!B:K,9,FALSE)</f>
        <v>10.361207</v>
      </c>
      <c r="H21" s="41">
        <f>VLOOKUP(C21,'Location Table'!B:K,10,FALSE)</f>
        <v>107.075646</v>
      </c>
      <c r="I21" s="40"/>
      <c r="J21" s="40"/>
      <c r="K21" s="40"/>
      <c r="L21" s="40"/>
      <c r="M21" s="40"/>
      <c r="N21" s="40"/>
      <c r="O21" s="40"/>
      <c r="P21" s="40"/>
      <c r="S21" s="40"/>
      <c r="T21" s="40"/>
      <c r="U21" s="40"/>
      <c r="V21" s="40"/>
      <c r="W21" s="40"/>
      <c r="X21" s="40"/>
      <c r="Y21" s="40"/>
      <c r="Z21" s="40"/>
      <c r="AA21" s="40"/>
    </row>
    <row r="22" ht="22.5" customHeight="1">
      <c r="A22" s="41" t="s">
        <v>804</v>
      </c>
      <c r="B22" s="41" t="s">
        <v>910</v>
      </c>
      <c r="C22" s="41" t="str">
        <f>VLOOKUP(A22,Table2[[customer_name]:[customer_id]],2,0)</f>
        <v>c995bfaa-3d9b-11ed-9a28-506b8dbc8dfb</v>
      </c>
      <c r="D22" s="41" t="str">
        <f>VLOOKUP(B22,Table2[[customer_name]:[customer_id]],2,0)</f>
        <v>3927b076-3af9-11ed-b939-506b8dbc8dfb</v>
      </c>
      <c r="E22" s="41" t="s">
        <v>933</v>
      </c>
      <c r="F22" s="41" t="str">
        <f>VLOOKUP(A22,Table2[[customer_name]:[address_line_1]],3,0)</f>
        <v>Diag laboratories, 239 Khánh Hội, Phường 5, Quận 4, Thành phố Hồ Chí Minh 72809</v>
      </c>
      <c r="G22" s="41">
        <f>VLOOKUP(C22,'Location Table'!B:K,9,FALSE)</f>
        <v>10.759073</v>
      </c>
      <c r="H22" s="41">
        <f>VLOOKUP(C22,'Location Table'!B:K,10,FALSE)</f>
        <v>106.698812</v>
      </c>
      <c r="I22" s="40"/>
      <c r="J22" s="40"/>
      <c r="K22" s="40"/>
      <c r="L22" s="40"/>
      <c r="M22" s="40"/>
      <c r="N22" s="40"/>
      <c r="O22" s="40"/>
      <c r="P22" s="40"/>
      <c r="S22" s="40"/>
      <c r="T22" s="40"/>
      <c r="U22" s="40"/>
      <c r="V22" s="40"/>
      <c r="W22" s="40"/>
      <c r="X22" s="40"/>
      <c r="Y22" s="40"/>
      <c r="Z22" s="40"/>
      <c r="AA22" s="40"/>
    </row>
    <row r="23" ht="22.5" customHeight="1">
      <c r="A23" s="41" t="s">
        <v>885</v>
      </c>
      <c r="B23" s="41" t="s">
        <v>910</v>
      </c>
      <c r="C23" s="41" t="str">
        <f>VLOOKUP(A23,Table2[[customer_name]:[customer_id]],2,0)</f>
        <v>fee8236e-3d9b-11ed-9cc5-506b8dbc8dfb</v>
      </c>
      <c r="D23" s="41" t="str">
        <f>VLOOKUP(B23,Table2[[customer_name]:[customer_id]],2,0)</f>
        <v>3927b076-3af9-11ed-b939-506b8dbc8dfb</v>
      </c>
      <c r="E23" s="41" t="s">
        <v>934</v>
      </c>
      <c r="F23" s="41" t="str">
        <f>VLOOKUP(A23,Table2[[customer_name]:[address_line_1]],3,0)</f>
        <v>Diag laboratories, 199B Phạm Hùng, Phường 4, Quận 8, Thành phố Hồ Chí Minh 73018</v>
      </c>
      <c r="G23" s="41">
        <f>VLOOKUP(C23,'Location Table'!B:K,9,FALSE)</f>
        <v>10.738902</v>
      </c>
      <c r="H23" s="41">
        <f>VLOOKUP(C23,'Location Table'!B:K,10,FALSE)</f>
        <v>106.669958</v>
      </c>
      <c r="I23" s="40"/>
      <c r="J23" s="40"/>
      <c r="K23" s="40"/>
      <c r="L23" s="40"/>
      <c r="M23" s="40"/>
      <c r="N23" s="40"/>
      <c r="O23" s="40"/>
      <c r="P23" s="40"/>
      <c r="S23" s="40"/>
      <c r="T23" s="40"/>
      <c r="U23" s="40"/>
      <c r="V23" s="40"/>
      <c r="W23" s="40"/>
      <c r="X23" s="40"/>
      <c r="Y23" s="40"/>
      <c r="Z23" s="40"/>
      <c r="AA23" s="40"/>
    </row>
    <row r="24" ht="22.5" customHeight="1">
      <c r="A24" s="41" t="s">
        <v>850</v>
      </c>
      <c r="B24" s="41" t="s">
        <v>896</v>
      </c>
      <c r="C24" s="41" t="str">
        <f>VLOOKUP(A24,Table2[[customer_name]:[customer_id]],2,0)</f>
        <v>90de3042-3d9c-11ed-a60a-506b8dbc8dfb</v>
      </c>
      <c r="D24" s="41" t="str">
        <f>VLOOKUP(B24,Table2[[customer_name]:[customer_id]],2,0)</f>
        <v>7e6eb83c-3d83-11ed-b414-506b8dbc8dfb</v>
      </c>
      <c r="E24" s="41" t="s">
        <v>935</v>
      </c>
      <c r="F24" s="41" t="str">
        <f>VLOOKUP(A24,Table2[[customer_name]:[address_line_1]],3,0)</f>
        <v>Diag Laboratories, 39 TL8, TT. Củ Chi, Củ Chi, Thành phố Hồ Chí Minh 71606</v>
      </c>
      <c r="G24" s="41">
        <f>VLOOKUP(C24,'Location Table'!B:K,9,FALSE)</f>
        <v>10.970374</v>
      </c>
      <c r="H24" s="41">
        <f>VLOOKUP(C24,'Location Table'!B:K,10,FALSE)</f>
        <v>106.489534</v>
      </c>
      <c r="I24" s="40"/>
      <c r="J24" s="40"/>
      <c r="K24" s="40"/>
      <c r="L24" s="40"/>
      <c r="M24" s="40"/>
      <c r="N24" s="40"/>
      <c r="O24" s="40"/>
      <c r="P24" s="40"/>
      <c r="S24" s="40"/>
      <c r="T24" s="40"/>
      <c r="U24" s="40"/>
      <c r="V24" s="40"/>
      <c r="W24" s="40"/>
      <c r="X24" s="40"/>
      <c r="Y24" s="40"/>
      <c r="Z24" s="40"/>
      <c r="AA24" s="40"/>
    </row>
    <row r="25" ht="22.5" customHeight="1">
      <c r="A25" s="41" t="s">
        <v>884</v>
      </c>
      <c r="B25" s="41" t="s">
        <v>910</v>
      </c>
      <c r="C25" s="41" t="str">
        <f>VLOOKUP(A25,Table2[[customer_name]:[customer_id]],2,0)</f>
        <v>c81985d4-3d9c-11ed-8951-506b8dbc8dfb</v>
      </c>
      <c r="D25" s="41" t="str">
        <f>VLOOKUP(B25,Table2[[customer_name]:[customer_id]],2,0)</f>
        <v>3927b076-3af9-11ed-b939-506b8dbc8dfb</v>
      </c>
      <c r="E25" s="41" t="s">
        <v>936</v>
      </c>
      <c r="F25" s="41" t="str">
        <f>VLOOKUP(A25,Table2[[customer_name]:[address_line_1]],3,0)</f>
        <v>Diag Laboratories, 101 Đ. Đinh Tiên Hoàng, Đa Kao, Quận 1, Thành phố Hồ Chí Minh 71007</v>
      </c>
      <c r="G25" s="41">
        <f>VLOOKUP(C25,'Location Table'!B:K,9,FALSE)</f>
        <v>10.79036</v>
      </c>
      <c r="H25" s="41">
        <f>VLOOKUP(C25,'Location Table'!B:K,10,FALSE)</f>
        <v>106.697328</v>
      </c>
      <c r="I25" s="40"/>
      <c r="J25" s="40"/>
      <c r="K25" s="40"/>
      <c r="L25" s="40"/>
      <c r="M25" s="40"/>
      <c r="N25" s="40"/>
      <c r="O25" s="40"/>
      <c r="P25" s="40"/>
      <c r="S25" s="40"/>
      <c r="T25" s="40"/>
      <c r="U25" s="40"/>
      <c r="V25" s="40"/>
      <c r="W25" s="40"/>
      <c r="X25" s="40"/>
      <c r="Y25" s="40"/>
      <c r="Z25" s="40"/>
      <c r="AA25" s="40"/>
    </row>
    <row r="26" ht="22.5" customHeight="1">
      <c r="A26" s="41" t="s">
        <v>870</v>
      </c>
      <c r="B26" s="41" t="s">
        <v>660</v>
      </c>
      <c r="C26" s="41" t="str">
        <f>VLOOKUP(A26,Table2[[customer_name]:[customer_id]],2,0)</f>
        <v>c450f244-3b21-11f1-9378-fa163ee8d8ac</v>
      </c>
      <c r="D26" s="41" t="str">
        <f>VLOOKUP(B26,Table2[[customer_name]:[customer_id]],2,0)</f>
        <v>b959ed68-446d-11ed-b04f-506b8dbc8dfb</v>
      </c>
      <c r="E26" s="41"/>
      <c r="F26" s="41" t="str">
        <f>VLOOKUP(A26,Table2[[customer_name]:[address_line_1]],3,0)</f>
        <v>54Z1B, Đ. Trần Nam Phú, Khu vực 2, Tân An, Cần Thơ</v>
      </c>
      <c r="G26" s="41">
        <f>VLOOKUP(C26,'Location Table'!B:K,9,FALSE)</f>
        <v>10.03381258</v>
      </c>
      <c r="H26" s="41">
        <f>VLOOKUP(C26,'Location Table'!B:K,10,FALSE)</f>
        <v>105.7637348</v>
      </c>
      <c r="I26" s="40"/>
      <c r="J26" s="40"/>
      <c r="K26" s="40"/>
      <c r="L26" s="40"/>
      <c r="M26" s="40"/>
      <c r="N26" s="40"/>
      <c r="O26" s="40"/>
      <c r="P26" s="40"/>
      <c r="S26" s="40"/>
      <c r="T26" s="40"/>
      <c r="U26" s="40"/>
      <c r="V26" s="40"/>
      <c r="W26" s="40"/>
      <c r="X26" s="40"/>
      <c r="Y26" s="40"/>
      <c r="Z26" s="40"/>
      <c r="AA26" s="40"/>
    </row>
    <row r="27" ht="22.5" customHeight="1">
      <c r="A27" s="41" t="s">
        <v>883</v>
      </c>
      <c r="B27" s="41" t="s">
        <v>510</v>
      </c>
      <c r="C27" s="41" t="str">
        <f>VLOOKUP(A27,Table2[[customer_name]:[customer_id]],2,0)</f>
        <v>17dd37b4-3d9d-11ed-93b6-506b8dbc8dfb</v>
      </c>
      <c r="D27" s="41" t="str">
        <f>VLOOKUP(B27,Table2[[customer_name]:[customer_id]],2,0)</f>
        <v>debfa9a0-3d81-11ed-9ba7-506b8dbc8dfb</v>
      </c>
      <c r="E27" s="41" t="s">
        <v>937</v>
      </c>
      <c r="F27" s="41" t="str">
        <f>VLOOKUP(A27,Table2[[customer_name]:[address_line_1]],3,0)</f>
        <v>Diag Laboratories, 67A Nguyễn Văn Tiết, Lái Thiêu, Thuận An, Bình Dương 75206</v>
      </c>
      <c r="G27" s="41">
        <f>VLOOKUP(C27,'Location Table'!B:K,9,FALSE)</f>
        <v>10.90835</v>
      </c>
      <c r="H27" s="41">
        <f>VLOOKUP(C27,'Location Table'!B:K,10,FALSE)</f>
        <v>106.70142</v>
      </c>
      <c r="I27" s="40"/>
      <c r="J27" s="40"/>
      <c r="K27" s="40"/>
      <c r="L27" s="40"/>
      <c r="M27" s="40"/>
      <c r="N27" s="40"/>
      <c r="O27" s="40"/>
      <c r="P27" s="40"/>
      <c r="S27" s="40"/>
      <c r="T27" s="40"/>
      <c r="U27" s="40"/>
      <c r="V27" s="40"/>
      <c r="W27" s="40"/>
      <c r="X27" s="40"/>
      <c r="Y27" s="40"/>
      <c r="Z27" s="40"/>
      <c r="AA27" s="40"/>
    </row>
    <row r="28" ht="22.5" customHeight="1">
      <c r="A28" s="41" t="s">
        <v>797</v>
      </c>
      <c r="B28" s="41" t="s">
        <v>896</v>
      </c>
      <c r="C28" s="41" t="str">
        <f>VLOOKUP(A28,Table2[[customer_name]:[customer_id]],2,0)</f>
        <v>24b9b3d6-3d9d-11ed-b9a1-506b8dbc8dfb</v>
      </c>
      <c r="D28" s="41" t="str">
        <f>VLOOKUP(B28,Table2[[customer_name]:[customer_id]],2,0)</f>
        <v>7e6eb83c-3d83-11ed-b414-506b8dbc8dfb</v>
      </c>
      <c r="E28" s="41" t="s">
        <v>938</v>
      </c>
      <c r="F28" s="41" t="str">
        <f>VLOOKUP(A28,Table2[[customer_name]:[address_line_1]],3,0)</f>
        <v>Diag Laboratories, 31, 5 Đ. Quang Trung, TT. Hóc Môn, Hóc Môn, Thành phố Hồ Chí Minh 71706</v>
      </c>
      <c r="G28" s="41">
        <f>VLOOKUP(C28,'Location Table'!B:K,9,FALSE)</f>
        <v>10.888009</v>
      </c>
      <c r="H28" s="41">
        <f>VLOOKUP(C28,'Location Table'!B:K,10,FALSE)</f>
        <v>106.598528</v>
      </c>
      <c r="I28" s="40"/>
      <c r="J28" s="40"/>
      <c r="K28" s="40"/>
      <c r="L28" s="40"/>
      <c r="M28" s="40"/>
      <c r="N28" s="40"/>
      <c r="O28" s="40"/>
      <c r="P28" s="40"/>
      <c r="S28" s="40"/>
      <c r="T28" s="40"/>
      <c r="U28" s="40"/>
      <c r="V28" s="40"/>
      <c r="W28" s="40"/>
      <c r="X28" s="40"/>
      <c r="Y28" s="40"/>
      <c r="Z28" s="40"/>
      <c r="AA28" s="40"/>
    </row>
    <row r="29" ht="22.5" customHeight="1">
      <c r="A29" s="41" t="s">
        <v>882</v>
      </c>
      <c r="B29" s="41" t="s">
        <v>910</v>
      </c>
      <c r="C29" s="41" t="str">
        <f>VLOOKUP(A29,Table2[[customer_name]:[customer_id]],2,0)</f>
        <v>77531e70-3d9d-11ed-bccd-506b8dbc8dfb</v>
      </c>
      <c r="D29" s="41" t="str">
        <f>VLOOKUP(B29,Table2[[customer_name]:[customer_id]],2,0)</f>
        <v>3927b076-3af9-11ed-b939-506b8dbc8dfb</v>
      </c>
      <c r="E29" s="41" t="s">
        <v>939</v>
      </c>
      <c r="F29" s="41" t="str">
        <f>VLOOKUP(A29,Table2[[customer_name]:[address_line_1]],3,0)</f>
        <v>Diag Laboratories, 1375, 1377 Huỳnh Tấn Phát, KP4, Quận 7, Thành phố Hồ Chí Minh 72907</v>
      </c>
      <c r="G29" s="41">
        <f>VLOOKUP(C29,'Location Table'!B:K,9,FALSE)</f>
        <v>10.715441</v>
      </c>
      <c r="H29" s="41">
        <f>VLOOKUP(C29,'Location Table'!B:K,10,FALSE)</f>
        <v>106.737061</v>
      </c>
      <c r="I29" s="40"/>
      <c r="J29" s="40"/>
      <c r="K29" s="40"/>
      <c r="L29" s="40"/>
      <c r="M29" s="40"/>
      <c r="N29" s="40"/>
      <c r="O29" s="40"/>
      <c r="P29" s="40"/>
      <c r="S29" s="40"/>
      <c r="T29" s="40"/>
      <c r="U29" s="40"/>
      <c r="V29" s="40"/>
      <c r="W29" s="40"/>
      <c r="X29" s="40"/>
      <c r="Y29" s="40"/>
      <c r="Z29" s="40"/>
      <c r="AA29" s="40"/>
    </row>
    <row r="30" ht="22.5" customHeight="1">
      <c r="A30" s="41" t="s">
        <v>872</v>
      </c>
      <c r="B30" s="41" t="s">
        <v>910</v>
      </c>
      <c r="C30" s="41" t="str">
        <f>VLOOKUP(A30,Table2[[customer_name]:[customer_id]],2,0)</f>
        <v>a22daf7a-3d9d-11ed-8890-506b8dbc8dfb</v>
      </c>
      <c r="D30" s="41" t="str">
        <f>VLOOKUP(B30,Table2[[customer_name]:[customer_id]],2,0)</f>
        <v>3927b076-3af9-11ed-b939-506b8dbc8dfb</v>
      </c>
      <c r="E30" s="41" t="s">
        <v>937</v>
      </c>
      <c r="F30" s="41" t="str">
        <f>VLOOKUP(A30,Table2[[customer_name]:[address_line_1]],3,0)</f>
        <v>Diag Laboratories, 129 Nguyễn Đình Chiểu, Phường 1, Tân An, Long An 82106</v>
      </c>
      <c r="G30" s="41">
        <f>VLOOKUP(C30,'Location Table'!B:K,9,FALSE)</f>
        <v>10.535476</v>
      </c>
      <c r="H30" s="41">
        <f>VLOOKUP(C30,'Location Table'!B:K,10,FALSE)</f>
        <v>106.417043</v>
      </c>
      <c r="I30" s="40"/>
      <c r="J30" s="40"/>
      <c r="K30" s="40"/>
      <c r="L30" s="40"/>
      <c r="M30" s="40"/>
      <c r="N30" s="40"/>
      <c r="O30" s="40"/>
      <c r="P30" s="40"/>
      <c r="S30" s="40"/>
      <c r="T30" s="40"/>
      <c r="U30" s="40"/>
      <c r="V30" s="40"/>
      <c r="W30" s="40"/>
      <c r="X30" s="40"/>
      <c r="Y30" s="40"/>
      <c r="Z30" s="40"/>
      <c r="AA30" s="40"/>
    </row>
    <row r="31" ht="22.5" customHeight="1">
      <c r="A31" s="41" t="s">
        <v>872</v>
      </c>
      <c r="B31" s="41" t="s">
        <v>940</v>
      </c>
      <c r="C31" s="41" t="str">
        <f>VLOOKUP(A31,Table2[[customer_name]:[customer_id]],2,0)</f>
        <v>a22daf7a-3d9d-11ed-8890-506b8dbc8dfb</v>
      </c>
      <c r="D31" s="41" t="str">
        <f>VLOOKUP(B31,Table2[[customer_name]:[customer_id]],2,0)</f>
        <v>8350b9b4-5e65-11ee-aa4d-506b8d9879b5</v>
      </c>
      <c r="E31" s="41" t="s">
        <v>941</v>
      </c>
      <c r="F31" s="41" t="str">
        <f>VLOOKUP(A31,Table2[[customer_name]:[address_line_1]],3,0)</f>
        <v>Diag Laboratories, 129 Nguyễn Đình Chiểu, Phường 1, Tân An, Long An 82106</v>
      </c>
      <c r="G31" s="41">
        <f>VLOOKUP(C31,'Location Table'!B:K,9,FALSE)</f>
        <v>10.535476</v>
      </c>
      <c r="H31" s="41">
        <f>VLOOKUP(C31,'Location Table'!B:K,10,FALSE)</f>
        <v>106.417043</v>
      </c>
      <c r="I31" s="40"/>
      <c r="J31" s="40"/>
      <c r="K31" s="40"/>
      <c r="L31" s="40"/>
      <c r="M31" s="40"/>
      <c r="N31" s="40"/>
      <c r="O31" s="40"/>
      <c r="P31" s="40"/>
      <c r="S31" s="40"/>
      <c r="T31" s="40"/>
      <c r="U31" s="40"/>
      <c r="V31" s="40"/>
      <c r="W31" s="40"/>
      <c r="X31" s="40"/>
      <c r="Y31" s="40"/>
      <c r="Z31" s="40"/>
      <c r="AA31" s="40"/>
    </row>
    <row r="32" ht="22.5" customHeight="1">
      <c r="A32" s="41" t="s">
        <v>898</v>
      </c>
      <c r="B32" s="41" t="s">
        <v>910</v>
      </c>
      <c r="C32" s="41" t="str">
        <f>VLOOKUP(A32,Table2[[customer_name]:[customer_id]],2,0)</f>
        <v>ec32d0d2-ceec-11ee-bad2-506b8d9879b5</v>
      </c>
      <c r="D32" s="41" t="str">
        <f>VLOOKUP(B32,Table2[[customer_name]:[customer_id]],2,0)</f>
        <v>3927b076-3af9-11ed-b939-506b8dbc8dfb</v>
      </c>
      <c r="E32" s="41" t="s">
        <v>942</v>
      </c>
      <c r="F32" s="41" t="str">
        <f>VLOOKUP(A32,Table2[[customer_name]:[address_line_1]],3,0)</f>
        <v>323 Đ. Nguyễn Duy Trinh, Phường Bình Trưng Tây, Quận 2, Thành phố Hồ Chí Minh</v>
      </c>
      <c r="G32" s="41">
        <f>VLOOKUP(C32,'Location Table'!B:K,9,FALSE)</f>
        <v>10.788097</v>
      </c>
      <c r="H32" s="41">
        <f>VLOOKUP(C32,'Location Table'!B:K,10,FALSE)</f>
        <v>106.766239</v>
      </c>
      <c r="I32" s="40"/>
      <c r="J32" s="40"/>
      <c r="K32" s="40"/>
      <c r="L32" s="40"/>
      <c r="M32" s="40"/>
      <c r="N32" s="40"/>
      <c r="O32" s="40"/>
      <c r="P32" s="40"/>
      <c r="S32" s="40"/>
      <c r="T32" s="40"/>
      <c r="U32" s="40"/>
      <c r="V32" s="40"/>
      <c r="W32" s="40"/>
      <c r="X32" s="40"/>
      <c r="Y32" s="40"/>
      <c r="Z32" s="40"/>
      <c r="AA32" s="40"/>
    </row>
    <row r="33" ht="22.5" customHeight="1">
      <c r="A33" s="41" t="s">
        <v>806</v>
      </c>
      <c r="B33" s="41" t="s">
        <v>910</v>
      </c>
      <c r="C33" s="41" t="str">
        <f>VLOOKUP(A33,Table2[[customer_name]:[customer_id]],2,0)</f>
        <v>cc143b9c-ceec-11ee-9518-506b8d9879b5</v>
      </c>
      <c r="D33" s="41" t="str">
        <f>VLOOKUP(B33,Table2[[customer_name]:[customer_id]],2,0)</f>
        <v>3927b076-3af9-11ed-b939-506b8dbc8dfb</v>
      </c>
      <c r="E33" s="41" t="s">
        <v>943</v>
      </c>
      <c r="F33" s="41" t="str">
        <f>VLOOKUP(A33,Table2[[customer_name]:[address_line_1]],3,0)</f>
        <v>1166 Đ. Cách Mạng Tháng 8, Phường 4, Tân Bình, Thành phố Hồ Chí Minh</v>
      </c>
      <c r="G33" s="41">
        <f>VLOOKUP(C33,'Location Table'!B:K,9,FALSE)</f>
        <v>10.791934</v>
      </c>
      <c r="H33" s="41">
        <f>VLOOKUP(C33,'Location Table'!B:K,10,FALSE)</f>
        <v>106.655502</v>
      </c>
      <c r="I33" s="40"/>
      <c r="J33" s="40"/>
      <c r="K33" s="40"/>
      <c r="L33" s="40"/>
      <c r="M33" s="40"/>
      <c r="N33" s="40"/>
      <c r="O33" s="40"/>
      <c r="P33" s="40"/>
      <c r="S33" s="40"/>
      <c r="T33" s="40"/>
      <c r="U33" s="40"/>
      <c r="V33" s="40"/>
      <c r="W33" s="40"/>
      <c r="X33" s="40"/>
      <c r="Y33" s="40"/>
      <c r="Z33" s="40"/>
      <c r="AA33" s="40"/>
    </row>
    <row r="34" ht="22.5" customHeight="1">
      <c r="A34" s="41" t="s">
        <v>808</v>
      </c>
      <c r="B34" s="41" t="s">
        <v>910</v>
      </c>
      <c r="C34" s="41" t="str">
        <f>VLOOKUP(A34,Table2[[customer_name]:[customer_id]],2,0)</f>
        <v>b188329c-ceec-11ee-bae4-506b8d9879b5</v>
      </c>
      <c r="D34" s="41" t="str">
        <f>VLOOKUP(B34,Table2[[customer_name]:[customer_id]],2,0)</f>
        <v>3927b076-3af9-11ed-b939-506b8dbc8dfb</v>
      </c>
      <c r="E34" s="41" t="s">
        <v>944</v>
      </c>
      <c r="F34" s="41" t="str">
        <f>VLOOKUP(A34,Table2[[customer_name]:[address_line_1]],3,0)</f>
        <v>375 Đ. Nguyễn Văn Luông, Phường 12, Quận 6, Thành phố Hồ Chí Minh</v>
      </c>
      <c r="G34" s="41">
        <f>VLOOKUP(C34,'Location Table'!B:K,9,FALSE)</f>
        <v>10.751132</v>
      </c>
      <c r="H34" s="41">
        <f>VLOOKUP(C34,'Location Table'!B:K,10,FALSE)</f>
        <v>106.634999</v>
      </c>
      <c r="I34" s="40"/>
      <c r="J34" s="40"/>
      <c r="K34" s="40"/>
      <c r="L34" s="40"/>
      <c r="M34" s="40"/>
      <c r="N34" s="40"/>
      <c r="O34" s="40"/>
      <c r="P34" s="40"/>
      <c r="S34" s="40"/>
      <c r="T34" s="40"/>
      <c r="U34" s="40"/>
      <c r="V34" s="40"/>
      <c r="W34" s="40"/>
      <c r="X34" s="40"/>
      <c r="Y34" s="40"/>
      <c r="Z34" s="40"/>
      <c r="AA34" s="40"/>
    </row>
    <row r="35" ht="22.5" customHeight="1">
      <c r="A35" s="41" t="s">
        <v>809</v>
      </c>
      <c r="B35" s="41" t="s">
        <v>910</v>
      </c>
      <c r="C35" s="41" t="str">
        <f>VLOOKUP(A35,Table2[[customer_name]:[customer_id]],2,0)</f>
        <v>af190f62-0ce6-11ef-ba8a-506b8d9879b5</v>
      </c>
      <c r="D35" s="41" t="str">
        <f>VLOOKUP(B35,Table2[[customer_name]:[customer_id]],2,0)</f>
        <v>3927b076-3af9-11ed-b939-506b8dbc8dfb</v>
      </c>
      <c r="E35" s="41" t="s">
        <v>945</v>
      </c>
      <c r="F35" s="41" t="str">
        <f>VLOOKUP(A35,Table2[[customer_name]:[address_line_1]],3,0)</f>
        <v>869 Đ. Phan Văn Trị, Phường 7, Gò Vấp, Thành phố Hồ Chí Minh</v>
      </c>
      <c r="G35" s="41">
        <f>VLOOKUP(C35,'Location Table'!B:K,9,FALSE)</f>
        <v>10.829273</v>
      </c>
      <c r="H35" s="41">
        <f>VLOOKUP(C35,'Location Table'!B:K,10,FALSE)</f>
        <v>106.681601</v>
      </c>
      <c r="I35" s="40"/>
      <c r="J35" s="40"/>
      <c r="K35" s="40"/>
      <c r="L35" s="40"/>
      <c r="M35" s="40"/>
      <c r="N35" s="40"/>
      <c r="O35" s="40"/>
      <c r="P35" s="40"/>
      <c r="S35" s="40"/>
      <c r="T35" s="40"/>
      <c r="U35" s="40"/>
      <c r="V35" s="40"/>
      <c r="W35" s="40"/>
      <c r="X35" s="40"/>
      <c r="Y35" s="40"/>
      <c r="Z35" s="40"/>
      <c r="AA35" s="40"/>
    </row>
    <row r="36" ht="22.5" customHeight="1">
      <c r="A36" s="41" t="s">
        <v>819</v>
      </c>
      <c r="B36" s="41" t="s">
        <v>910</v>
      </c>
      <c r="C36" s="41" t="str">
        <f>VLOOKUP(A36,Table2[[customer_name]:[customer_id]],2,0)</f>
        <v>21dcad6a-0ce7-11ef-af2f-506b8d9879b5</v>
      </c>
      <c r="D36" s="41" t="str">
        <f>VLOOKUP(B36,Table2[[customer_name]:[customer_id]],2,0)</f>
        <v>3927b076-3af9-11ed-b939-506b8dbc8dfb</v>
      </c>
      <c r="E36" s="41" t="s">
        <v>946</v>
      </c>
      <c r="F36" s="41" t="str">
        <f>VLOOKUP(A36,Table2[[customer_name]:[address_line_1]],3,0)</f>
        <v>75-77 Nguyễn Thị Tú, Bình Hưng Hoà B, Bình Tân, Thành phố Hồ Chí Minh</v>
      </c>
      <c r="G36" s="41">
        <f>VLOOKUP(C36,'Location Table'!B:K,9,FALSE)</f>
        <v>10.815858</v>
      </c>
      <c r="H36" s="41">
        <f>VLOOKUP(C36,'Location Table'!B:K,10,FALSE)</f>
        <v>106.598525</v>
      </c>
      <c r="I36" s="40"/>
      <c r="J36" s="40"/>
      <c r="K36" s="40"/>
      <c r="L36" s="40"/>
      <c r="M36" s="40"/>
      <c r="N36" s="40"/>
      <c r="O36" s="40"/>
      <c r="P36" s="40"/>
      <c r="S36" s="40"/>
      <c r="T36" s="40"/>
      <c r="U36" s="40"/>
      <c r="V36" s="40"/>
      <c r="W36" s="40"/>
      <c r="X36" s="40"/>
      <c r="Y36" s="40"/>
      <c r="Z36" s="40"/>
      <c r="AA36" s="40"/>
    </row>
    <row r="37" ht="22.5" customHeight="1">
      <c r="A37" s="41" t="s">
        <v>899</v>
      </c>
      <c r="B37" s="41" t="s">
        <v>910</v>
      </c>
      <c r="C37" s="41" t="str">
        <f>VLOOKUP(A37,Table2[[customer_name]:[customer_id]],2,0)</f>
        <v>37c8f934-0ce8-11ef-900c-506b8d9879b5</v>
      </c>
      <c r="D37" s="41" t="str">
        <f>VLOOKUP(B37,Table2[[customer_name]:[customer_id]],2,0)</f>
        <v>3927b076-3af9-11ed-b939-506b8dbc8dfb</v>
      </c>
      <c r="E37" s="41" t="s">
        <v>947</v>
      </c>
      <c r="F37" s="41" t="str">
        <f>VLOOKUP(A37,Table2[[customer_name]:[address_line_1]],3,0)</f>
        <v>1B Đường số 5, Phước Bình, Quận 9, Thành phố Hồ Chí Minh</v>
      </c>
      <c r="G37" s="41">
        <f>VLOOKUP(C37,'Location Table'!B:K,9,FALSE)</f>
        <v>10.81819039</v>
      </c>
      <c r="H37" s="41">
        <f>VLOOKUP(C37,'Location Table'!B:K,10,FALSE)</f>
        <v>106.7730649</v>
      </c>
      <c r="I37" s="40"/>
      <c r="J37" s="40"/>
      <c r="K37" s="40"/>
      <c r="L37" s="40"/>
      <c r="M37" s="40"/>
      <c r="N37" s="40"/>
      <c r="O37" s="40"/>
      <c r="P37" s="40"/>
      <c r="S37" s="40"/>
      <c r="T37" s="40"/>
      <c r="U37" s="40"/>
      <c r="V37" s="40"/>
      <c r="W37" s="40"/>
      <c r="X37" s="40"/>
      <c r="Y37" s="40"/>
      <c r="Z37" s="40"/>
      <c r="AA37" s="40"/>
    </row>
    <row r="38" ht="22.5" customHeight="1">
      <c r="A38" s="41" t="s">
        <v>820</v>
      </c>
      <c r="B38" s="41" t="s">
        <v>910</v>
      </c>
      <c r="C38" s="41" t="str">
        <f>VLOOKUP(A38,Table2[[customer_name]:[customer_id]],2,0)</f>
        <v>e5c037c2-0ce9-11ef-a2d8-506b8d9879b5</v>
      </c>
      <c r="D38" s="41" t="str">
        <f>VLOOKUP(B38,Table2[[customer_name]:[customer_id]],2,0)</f>
        <v>3927b076-3af9-11ed-b939-506b8dbc8dfb</v>
      </c>
      <c r="E38" s="41" t="s">
        <v>948</v>
      </c>
      <c r="F38" s="41" t="str">
        <f>VLOOKUP(A38,Table2[[customer_name]:[address_line_1]],3,0)</f>
        <v>377 Đ. Lê Văn Quới, Bình Trị Đông A, Bình Tân, Hồ Chí Minh</v>
      </c>
      <c r="G38" s="41">
        <f>VLOOKUP(C38,'Location Table'!B:K,9,FALSE)</f>
        <v>10.77618193</v>
      </c>
      <c r="H38" s="41">
        <f>VLOOKUP(C38,'Location Table'!B:K,10,FALSE)</f>
        <v>106.607045</v>
      </c>
      <c r="I38" s="40"/>
      <c r="J38" s="40"/>
      <c r="K38" s="40"/>
      <c r="L38" s="40"/>
      <c r="M38" s="40"/>
      <c r="N38" s="40"/>
      <c r="O38" s="40"/>
      <c r="P38" s="40"/>
      <c r="S38" s="40"/>
      <c r="T38" s="40"/>
      <c r="U38" s="40"/>
      <c r="V38" s="40"/>
      <c r="W38" s="40"/>
      <c r="X38" s="40"/>
      <c r="Y38" s="40"/>
      <c r="Z38" s="40"/>
      <c r="AA38" s="40"/>
    </row>
    <row r="39" ht="22.5" customHeight="1">
      <c r="A39" s="41" t="s">
        <v>811</v>
      </c>
      <c r="B39" s="41" t="s">
        <v>910</v>
      </c>
      <c r="C39" s="41" t="str">
        <f>VLOOKUP(A39,Table2[[customer_name]:[customer_id]],2,0)</f>
        <v>ea93538a-5dd7-11ef-b329-506b8d9879b5</v>
      </c>
      <c r="D39" s="41" t="str">
        <f>VLOOKUP(B39,Table2[[customer_name]:[customer_id]],2,0)</f>
        <v>3927b076-3af9-11ed-b939-506b8dbc8dfb</v>
      </c>
      <c r="E39" s="41" t="s">
        <v>949</v>
      </c>
      <c r="F39" s="41" t="str">
        <f>VLOOKUP(A39,Table2[[customer_name]:[address_line_1]],3,0)</f>
        <v>145 D. Bá Trạc, Phường 1, Quận 8, Hồ Chí Minh</v>
      </c>
      <c r="G39" s="41">
        <f>VLOOKUP(C39,'Location Table'!B:K,9,FALSE)</f>
        <v>10.747607</v>
      </c>
      <c r="H39" s="41">
        <f>VLOOKUP(C39,'Location Table'!B:K,10,FALSE)</f>
        <v>106.688976</v>
      </c>
      <c r="I39" s="40"/>
      <c r="J39" s="40"/>
      <c r="K39" s="40"/>
      <c r="L39" s="40"/>
      <c r="M39" s="40"/>
      <c r="N39" s="40"/>
      <c r="O39" s="40"/>
      <c r="P39" s="40"/>
      <c r="S39" s="40"/>
      <c r="T39" s="40"/>
      <c r="U39" s="40"/>
      <c r="V39" s="40"/>
      <c r="W39" s="40"/>
      <c r="X39" s="40"/>
      <c r="Y39" s="40"/>
      <c r="Z39" s="40"/>
      <c r="AA39" s="40"/>
    </row>
    <row r="40" ht="22.5" customHeight="1">
      <c r="A40" s="41" t="s">
        <v>900</v>
      </c>
      <c r="B40" s="41" t="s">
        <v>910</v>
      </c>
      <c r="C40" s="41" t="str">
        <f>VLOOKUP(A40,Table2[[customer_name]:[customer_id]],2,0)</f>
        <v>088b3eac-73db-11ef-a38c-506b8d9879b5</v>
      </c>
      <c r="D40" s="41" t="str">
        <f>VLOOKUP(B40,Table2[[customer_name]:[customer_id]],2,0)</f>
        <v>3927b076-3af9-11ed-b939-506b8dbc8dfb</v>
      </c>
      <c r="E40" s="41" t="s">
        <v>950</v>
      </c>
      <c r="F40" s="41" t="str">
        <f>VLOOKUP(A40,Table2[[customer_name]:[address_line_1]],3,0)</f>
        <v>417 Hai Bà Trưng, Phường 8, Quận 3, Hồ Chí Minh</v>
      </c>
      <c r="G40" s="41">
        <f>VLOOKUP(C40,'Location Table'!B:K,9,FALSE)</f>
        <v>10.790614</v>
      </c>
      <c r="H40" s="41">
        <f>VLOOKUP(C40,'Location Table'!B:K,10,FALSE)</f>
        <v>106.688313</v>
      </c>
      <c r="I40" s="40"/>
      <c r="J40" s="40"/>
      <c r="K40" s="40"/>
      <c r="L40" s="40"/>
      <c r="M40" s="40"/>
      <c r="N40" s="40"/>
      <c r="O40" s="40"/>
      <c r="P40" s="40"/>
      <c r="S40" s="40"/>
      <c r="T40" s="40"/>
      <c r="U40" s="40"/>
      <c r="V40" s="40"/>
      <c r="W40" s="40"/>
      <c r="X40" s="40"/>
      <c r="Y40" s="40"/>
      <c r="Z40" s="40"/>
      <c r="AA40" s="40"/>
    </row>
    <row r="41" ht="22.5" customHeight="1">
      <c r="A41" s="41" t="s">
        <v>901</v>
      </c>
      <c r="B41" s="41" t="s">
        <v>910</v>
      </c>
      <c r="C41" s="41" t="str">
        <f>VLOOKUP(A41,Table2[[customer_name]:[customer_id]],2,0)</f>
        <v>16db29e0-73db-11ef-baa3-506b8d9879b5</v>
      </c>
      <c r="D41" s="41" t="str">
        <f>VLOOKUP(B41,Table2[[customer_name]:[customer_id]],2,0)</f>
        <v>3927b076-3af9-11ed-b939-506b8dbc8dfb</v>
      </c>
      <c r="E41" s="41" t="s">
        <v>951</v>
      </c>
      <c r="F41" s="41" t="str">
        <f>VLOOKUP(A41,Table2[[customer_name]:[address_line_1]],3,0)</f>
        <v>227A Xô Viết Nghệ Tĩnh, Phường 17, Bình Thạnh, Hồ Chí Minh</v>
      </c>
      <c r="G41" s="41">
        <f>VLOOKUP(C41,'Location Table'!B:K,9,FALSE)</f>
        <v>10.800274</v>
      </c>
      <c r="H41" s="41">
        <f>VLOOKUP(C41,'Location Table'!B:K,10,FALSE)</f>
        <v>106.710945</v>
      </c>
      <c r="I41" s="40"/>
      <c r="J41" s="40"/>
      <c r="K41" s="40"/>
      <c r="L41" s="40"/>
      <c r="M41" s="40"/>
      <c r="N41" s="40"/>
      <c r="O41" s="40"/>
      <c r="P41" s="40"/>
      <c r="S41" s="40"/>
      <c r="T41" s="40"/>
      <c r="U41" s="40"/>
      <c r="V41" s="40"/>
      <c r="W41" s="40"/>
      <c r="X41" s="40"/>
      <c r="Y41" s="40"/>
      <c r="Z41" s="40"/>
      <c r="AA41" s="40"/>
    </row>
    <row r="42" ht="22.5" customHeight="1">
      <c r="A42" s="41" t="s">
        <v>822</v>
      </c>
      <c r="B42" s="41" t="s">
        <v>910</v>
      </c>
      <c r="C42" s="41" t="str">
        <f>VLOOKUP(A42,Table2[[customer_name]:[customer_id]],2,0)</f>
        <v>21415bde-73db-11ef-8478-506b8d9879b5</v>
      </c>
      <c r="D42" s="41" t="str">
        <f>VLOOKUP(B42,Table2[[customer_name]:[customer_id]],2,0)</f>
        <v>3927b076-3af9-11ed-b939-506b8dbc8dfb</v>
      </c>
      <c r="E42" s="41" t="s">
        <v>952</v>
      </c>
      <c r="F42" s="41" t="str">
        <f>VLOOKUP(A42,Table2[[customer_name]:[address_line_1]],3,0)</f>
        <v>213 Phó Cơ Điều, Phường 6, Quận 11, Hồ Chí Minh</v>
      </c>
      <c r="G42" s="41">
        <f>VLOOKUP(C42,'Location Table'!B:K,9,FALSE)</f>
        <v>10.761946</v>
      </c>
      <c r="H42" s="41">
        <f>VLOOKUP(C42,'Location Table'!B:K,10,FALSE)</f>
        <v>106.65693</v>
      </c>
      <c r="I42" s="40"/>
      <c r="J42" s="40"/>
      <c r="K42" s="40"/>
      <c r="L42" s="40"/>
      <c r="M42" s="40"/>
      <c r="N42" s="40"/>
      <c r="O42" s="40"/>
      <c r="P42" s="40"/>
      <c r="S42" s="40"/>
      <c r="T42" s="40"/>
      <c r="U42" s="40"/>
      <c r="V42" s="40"/>
      <c r="W42" s="40"/>
      <c r="X42" s="40"/>
      <c r="Y42" s="40"/>
      <c r="Z42" s="40"/>
      <c r="AA42" s="40"/>
    </row>
    <row r="43" ht="22.5" customHeight="1">
      <c r="A43" s="41" t="s">
        <v>824</v>
      </c>
      <c r="B43" s="41" t="s">
        <v>910</v>
      </c>
      <c r="C43" s="41" t="str">
        <f>VLOOKUP(A43,Table2[[customer_name]:[customer_id]],2,0)</f>
        <v>2d13fd86-73db-11ef-a0d1-506b8d9879b5</v>
      </c>
      <c r="D43" s="41" t="str">
        <f>VLOOKUP(B43,Table2[[customer_name]:[customer_id]],2,0)</f>
        <v>3927b076-3af9-11ed-b939-506b8dbc8dfb</v>
      </c>
      <c r="E43" s="41" t="s">
        <v>953</v>
      </c>
      <c r="F43" s="41" t="str">
        <f>VLOOKUP(A43,Table2[[customer_name]:[address_line_1]],3,0)</f>
        <v>653 Lạc Long Quân, Phường 8, Tân Bình, Hồ Chí Minh</v>
      </c>
      <c r="G43" s="41">
        <f>VLOOKUP(C43,'Location Table'!B:K,9,FALSE)</f>
        <v>10.77995</v>
      </c>
      <c r="H43" s="41">
        <f>VLOOKUP(C43,'Location Table'!B:K,10,FALSE)</f>
        <v>106.649843</v>
      </c>
      <c r="I43" s="40"/>
      <c r="J43" s="40"/>
      <c r="K43" s="40"/>
      <c r="L43" s="40"/>
      <c r="M43" s="40"/>
      <c r="N43" s="40"/>
      <c r="O43" s="40"/>
      <c r="P43" s="40"/>
      <c r="S43" s="40"/>
      <c r="T43" s="40"/>
      <c r="U43" s="40"/>
      <c r="V43" s="40"/>
      <c r="W43" s="40"/>
      <c r="X43" s="40"/>
      <c r="Y43" s="40"/>
      <c r="Z43" s="40"/>
      <c r="AA43" s="40"/>
    </row>
    <row r="44" ht="22.5" customHeight="1">
      <c r="A44" s="41" t="s">
        <v>825</v>
      </c>
      <c r="B44" s="41" t="s">
        <v>910</v>
      </c>
      <c r="C44" s="41" t="str">
        <f>VLOOKUP(A44,Table2[[customer_name]:[customer_id]],2,0)</f>
        <v>0df4f904-0f8b-11f0-b683-506b8d982279</v>
      </c>
      <c r="D44" s="41" t="str">
        <f>VLOOKUP(B44,Table2[[customer_name]:[customer_id]],2,0)</f>
        <v>3927b076-3af9-11ed-b939-506b8dbc8dfb</v>
      </c>
      <c r="E44" s="41" t="s">
        <v>954</v>
      </c>
      <c r="F44" s="41" t="str">
        <f>VLOOKUP(A44,Table2[[customer_name]:[address_line_1]],3,0)</f>
        <v>1075 Đ. Nguyễn Trãi, Phường 14, Quận 5, Hồ Chí Minh</v>
      </c>
      <c r="G44" s="41">
        <f>VLOOKUP(C44,'Location Table'!B:K,9,FALSE)</f>
        <v>10.753095</v>
      </c>
      <c r="H44" s="41">
        <f>VLOOKUP(C44,'Location Table'!B:K,10,FALSE)</f>
        <v>106.650836</v>
      </c>
      <c r="I44" s="40"/>
      <c r="J44" s="40"/>
      <c r="K44" s="40"/>
      <c r="L44" s="40"/>
      <c r="M44" s="40"/>
      <c r="N44" s="40"/>
      <c r="O44" s="40"/>
      <c r="P44" s="40"/>
      <c r="S44" s="40"/>
      <c r="T44" s="40"/>
      <c r="U44" s="40"/>
      <c r="V44" s="40"/>
      <c r="W44" s="40"/>
      <c r="X44" s="40"/>
      <c r="Y44" s="40"/>
      <c r="Z44" s="40"/>
      <c r="AA44" s="40"/>
    </row>
    <row r="45" ht="22.5" customHeight="1">
      <c r="A45" s="41" t="s">
        <v>902</v>
      </c>
      <c r="B45" s="41" t="s">
        <v>910</v>
      </c>
      <c r="C45" s="41" t="str">
        <f>VLOOKUP(A45,Table2[[customer_name]:[customer_id]],2,0)</f>
        <v>3d68332c-6698-11f0-a623-506b8d982279</v>
      </c>
      <c r="D45" s="41" t="str">
        <f>VLOOKUP(B45,Table2[[customer_name]:[customer_id]],2,0)</f>
        <v>3927b076-3af9-11ed-b939-506b8dbc8dfb</v>
      </c>
      <c r="E45" s="41" t="s">
        <v>955</v>
      </c>
      <c r="F45" s="41" t="str">
        <f>VLOOKUP(A45,Table2[[customer_name]:[address_line_1]],3,0)</f>
        <v>211 Đ. Lê Văn Sỹ, Phường 12, Quận 3, Hồ Chí Minh</v>
      </c>
      <c r="G45" s="41">
        <f>VLOOKUP(C45,'Location Table'!B:K,9,FALSE)</f>
        <v>10.786807</v>
      </c>
      <c r="H45" s="41">
        <f>VLOOKUP(C45,'Location Table'!B:K,10,FALSE)</f>
        <v>106.679405</v>
      </c>
      <c r="I45" s="40"/>
      <c r="J45" s="40"/>
      <c r="K45" s="40"/>
      <c r="L45" s="40"/>
      <c r="M45" s="40"/>
      <c r="N45" s="40"/>
      <c r="O45" s="40"/>
      <c r="P45" s="40"/>
      <c r="S45" s="40"/>
      <c r="T45" s="40"/>
      <c r="U45" s="40"/>
      <c r="V45" s="40"/>
      <c r="W45" s="40"/>
      <c r="X45" s="40"/>
      <c r="Y45" s="40"/>
      <c r="Z45" s="40"/>
      <c r="AA45" s="40"/>
    </row>
    <row r="46" ht="22.5" customHeight="1">
      <c r="A46" s="42" t="s">
        <v>832</v>
      </c>
      <c r="B46" s="41" t="s">
        <v>910</v>
      </c>
      <c r="C46" s="41" t="str">
        <f>VLOOKUP(A46,Table2[[customer_name]:[customer_id]],2,0)</f>
        <v>4daa0bca-2d7b-11f1-9378-fa163ee8d8ac</v>
      </c>
      <c r="D46" s="41" t="str">
        <f>VLOOKUP(B46,Table2[[customer_name]:[customer_id]],2,0)</f>
        <v>3927b076-3af9-11ed-b939-506b8dbc8dfb</v>
      </c>
      <c r="E46" s="41" t="s">
        <v>956</v>
      </c>
      <c r="F46" s="41" t="str">
        <f>VLOOKUP(A46,Table2[[customer_name]:[address_line_1]],3,0)</f>
        <v>51 Võ Nguyên Giáp, Thảo Điền, An Khánh, Hồ Chí Minh</v>
      </c>
      <c r="G46" s="41">
        <f>VLOOKUP(C46,'Location Table'!B:K,9,FALSE)</f>
        <v>10.80086399</v>
      </c>
      <c r="H46" s="41">
        <f>VLOOKUP(C46,'Location Table'!B:K,10,FALSE)</f>
        <v>106.7345728</v>
      </c>
      <c r="I46" s="40"/>
      <c r="J46" s="40"/>
      <c r="K46" s="40"/>
      <c r="L46" s="40"/>
      <c r="M46" s="40"/>
      <c r="N46" s="40"/>
      <c r="O46" s="40"/>
      <c r="P46" s="40"/>
      <c r="S46" s="40"/>
      <c r="T46" s="40"/>
      <c r="U46" s="40"/>
      <c r="V46" s="40"/>
      <c r="W46" s="40"/>
      <c r="X46" s="40"/>
      <c r="Y46" s="40"/>
      <c r="Z46" s="40"/>
      <c r="AA46" s="40"/>
    </row>
    <row r="47" ht="22.5" customHeight="1">
      <c r="A47" s="41" t="s">
        <v>826</v>
      </c>
      <c r="B47" s="41" t="s">
        <v>910</v>
      </c>
      <c r="C47" s="41" t="str">
        <f>VLOOKUP(A47,Table2[[customer_name]:[customer_id]],2,0)</f>
        <v>0452953a-f967-11ef-8764-506b8d9879b5</v>
      </c>
      <c r="D47" s="41" t="str">
        <f>VLOOKUP(B47,Table2[[customer_name]:[customer_id]],2,0)</f>
        <v>3927b076-3af9-11ed-b939-506b8dbc8dfb</v>
      </c>
      <c r="E47" s="41" t="s">
        <v>957</v>
      </c>
      <c r="F47" s="41" t="str">
        <f>VLOOKUP(A47,Table2[[customer_name]:[address_line_1]],3,0)</f>
        <v>283 Cách Mạng Tháng Tám, Phường 12, Quận 10, Hồ Chí Minh</v>
      </c>
      <c r="G47" s="41">
        <f>VLOOKUP(C47,'Location Table'!B:K,9,FALSE)</f>
        <v>10.77846</v>
      </c>
      <c r="H47" s="41">
        <f>VLOOKUP(C47,'Location Table'!B:K,10,FALSE)</f>
        <v>106.67974</v>
      </c>
      <c r="I47" s="40"/>
      <c r="J47" s="40"/>
      <c r="K47" s="40"/>
      <c r="L47" s="40"/>
      <c r="M47" s="40"/>
      <c r="N47" s="40"/>
      <c r="O47" s="40"/>
      <c r="P47" s="40"/>
      <c r="Q47" s="40"/>
      <c r="R47" s="40"/>
      <c r="S47" s="40"/>
      <c r="T47" s="40"/>
      <c r="U47" s="40"/>
      <c r="V47" s="40"/>
      <c r="W47" s="40"/>
      <c r="X47" s="40"/>
      <c r="Y47" s="40"/>
      <c r="Z47" s="40"/>
      <c r="AA47"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6.5"/>
    <col customWidth="1" min="2" max="2" width="33.13"/>
    <col customWidth="1" min="3" max="3" width="171.5"/>
    <col customWidth="1" min="4" max="4" width="15.25"/>
    <col customWidth="1" min="5" max="5" width="14.38"/>
    <col customWidth="1" min="6" max="6" width="32.75"/>
    <col customWidth="1" min="7" max="7" width="7.88"/>
    <col customWidth="1" min="8" max="8" width="17.25"/>
    <col customWidth="1" min="9" max="9" width="17.63"/>
    <col customWidth="1" min="10" max="11" width="11.75"/>
  </cols>
  <sheetData>
    <row r="1" ht="22.5" customHeight="1">
      <c r="A1" s="43" t="s">
        <v>958</v>
      </c>
      <c r="B1" s="43" t="s">
        <v>0</v>
      </c>
      <c r="C1" s="43" t="s">
        <v>959</v>
      </c>
      <c r="D1" s="43" t="s">
        <v>960</v>
      </c>
      <c r="E1" s="43" t="s">
        <v>906</v>
      </c>
      <c r="F1" s="43" t="s">
        <v>961</v>
      </c>
      <c r="G1" s="43" t="s">
        <v>962</v>
      </c>
      <c r="H1" s="43" t="s">
        <v>963</v>
      </c>
      <c r="I1" s="43" t="s">
        <v>964</v>
      </c>
      <c r="J1" s="43" t="s">
        <v>908</v>
      </c>
      <c r="K1" s="43" t="s">
        <v>965</v>
      </c>
    </row>
    <row r="2" ht="22.5" customHeight="1">
      <c r="A2" s="44" t="s">
        <v>966</v>
      </c>
      <c r="B2" s="44" t="s">
        <v>967</v>
      </c>
      <c r="C2" s="44" t="s">
        <v>968</v>
      </c>
      <c r="D2" s="44" t="s">
        <v>969</v>
      </c>
      <c r="E2" s="45"/>
      <c r="F2" s="44" t="str">
        <f t="array" ref="F2:F3002">IFNA(VLOOKUP(E2:E3002,'Location Table'!A:C,2,false),"")</f>
        <v/>
      </c>
      <c r="G2" s="46"/>
      <c r="H2" s="47" t="s">
        <v>970</v>
      </c>
      <c r="I2" s="47" t="s">
        <v>893</v>
      </c>
      <c r="J2" s="44">
        <v>10.801039</v>
      </c>
      <c r="K2" s="48">
        <v>106.638388</v>
      </c>
    </row>
    <row r="3" ht="22.5" customHeight="1">
      <c r="A3" s="44" t="s">
        <v>620</v>
      </c>
      <c r="B3" s="44" t="s">
        <v>971</v>
      </c>
      <c r="C3" s="44" t="s">
        <v>972</v>
      </c>
      <c r="D3" s="44" t="s">
        <v>973</v>
      </c>
      <c r="E3" s="49" t="s">
        <v>894</v>
      </c>
      <c r="F3" s="44" t="s">
        <v>974</v>
      </c>
      <c r="G3" s="44">
        <v>70.0</v>
      </c>
      <c r="H3" s="47" t="s">
        <v>970</v>
      </c>
      <c r="I3" s="47" t="s">
        <v>894</v>
      </c>
      <c r="J3" s="44">
        <v>10.740682</v>
      </c>
      <c r="K3" s="48">
        <v>106.706448</v>
      </c>
    </row>
    <row r="4" ht="22.5" customHeight="1">
      <c r="A4" s="44" t="s">
        <v>665</v>
      </c>
      <c r="B4" s="44" t="s">
        <v>975</v>
      </c>
      <c r="C4" s="44" t="s">
        <v>976</v>
      </c>
      <c r="D4" s="44" t="s">
        <v>977</v>
      </c>
      <c r="E4" s="49" t="s">
        <v>900</v>
      </c>
      <c r="F4" s="44" t="s">
        <v>978</v>
      </c>
      <c r="G4" s="44">
        <v>69.0</v>
      </c>
      <c r="H4" s="47" t="s">
        <v>970</v>
      </c>
      <c r="I4" s="47" t="s">
        <v>902</v>
      </c>
      <c r="J4" s="44">
        <v>10.785639</v>
      </c>
      <c r="K4" s="48">
        <v>106.678579</v>
      </c>
    </row>
    <row r="5" ht="22.5" customHeight="1">
      <c r="A5" s="44" t="s">
        <v>979</v>
      </c>
      <c r="B5" s="44" t="s">
        <v>980</v>
      </c>
      <c r="C5" s="44" t="s">
        <v>981</v>
      </c>
      <c r="D5" s="44" t="s">
        <v>982</v>
      </c>
      <c r="E5" s="49" t="s">
        <v>510</v>
      </c>
      <c r="F5" s="44" t="s">
        <v>983</v>
      </c>
      <c r="G5" s="44">
        <v>70.0</v>
      </c>
      <c r="H5" s="47" t="s">
        <v>970</v>
      </c>
      <c r="I5" s="47" t="s">
        <v>510</v>
      </c>
      <c r="J5" s="44">
        <v>10.836647</v>
      </c>
      <c r="K5" s="48">
        <v>106.727228</v>
      </c>
    </row>
    <row r="6" ht="22.5" customHeight="1">
      <c r="A6" s="44" t="s">
        <v>456</v>
      </c>
      <c r="B6" s="44" t="s">
        <v>984</v>
      </c>
      <c r="C6" s="44" t="s">
        <v>985</v>
      </c>
      <c r="D6" s="44" t="s">
        <v>986</v>
      </c>
      <c r="E6" s="49" t="s">
        <v>910</v>
      </c>
      <c r="F6" s="44" t="s">
        <v>987</v>
      </c>
      <c r="G6" s="44">
        <v>60.0</v>
      </c>
      <c r="H6" s="47" t="s">
        <v>970</v>
      </c>
      <c r="I6" s="47" t="s">
        <v>824</v>
      </c>
      <c r="J6" s="44">
        <v>10.775252</v>
      </c>
      <c r="K6" s="48">
        <v>106.659158</v>
      </c>
    </row>
    <row r="7" ht="22.5" customHeight="1">
      <c r="A7" s="44" t="s">
        <v>619</v>
      </c>
      <c r="B7" s="44" t="s">
        <v>988</v>
      </c>
      <c r="C7" s="44" t="s">
        <v>989</v>
      </c>
      <c r="D7" s="44" t="s">
        <v>990</v>
      </c>
      <c r="E7" s="49" t="s">
        <v>882</v>
      </c>
      <c r="F7" s="44" t="s">
        <v>991</v>
      </c>
      <c r="G7" s="44">
        <v>60.0</v>
      </c>
      <c r="H7" s="47" t="s">
        <v>970</v>
      </c>
      <c r="I7" s="47" t="s">
        <v>882</v>
      </c>
      <c r="J7" s="44">
        <v>10.721606</v>
      </c>
      <c r="K7" s="48">
        <v>106.736074</v>
      </c>
    </row>
    <row r="8" ht="22.5" customHeight="1">
      <c r="A8" s="44" t="s">
        <v>702</v>
      </c>
      <c r="B8" s="44" t="s">
        <v>992</v>
      </c>
      <c r="C8" s="44" t="s">
        <v>993</v>
      </c>
      <c r="D8" s="44" t="s">
        <v>973</v>
      </c>
      <c r="E8" s="49" t="s">
        <v>894</v>
      </c>
      <c r="F8" s="44" t="s">
        <v>974</v>
      </c>
      <c r="G8" s="44">
        <v>80.0</v>
      </c>
      <c r="H8" s="47" t="s">
        <v>970</v>
      </c>
      <c r="I8" s="47" t="s">
        <v>811</v>
      </c>
      <c r="J8" s="44">
        <v>10.742431</v>
      </c>
      <c r="K8" s="48">
        <v>106.699646</v>
      </c>
    </row>
    <row r="9" ht="22.5" customHeight="1">
      <c r="A9" s="44" t="s">
        <v>994</v>
      </c>
      <c r="B9" s="44" t="s">
        <v>995</v>
      </c>
      <c r="C9" s="44" t="s">
        <v>996</v>
      </c>
      <c r="D9" s="44" t="s">
        <v>997</v>
      </c>
      <c r="E9" s="49" t="s">
        <v>808</v>
      </c>
      <c r="F9" s="44" t="s">
        <v>998</v>
      </c>
      <c r="G9" s="44">
        <v>70.0</v>
      </c>
      <c r="H9" s="47" t="s">
        <v>970</v>
      </c>
      <c r="I9" s="47" t="s">
        <v>825</v>
      </c>
      <c r="J9" s="44">
        <v>10.750961</v>
      </c>
      <c r="K9" s="48">
        <v>106.645063</v>
      </c>
    </row>
    <row r="10" ht="22.5" customHeight="1">
      <c r="A10" s="44" t="s">
        <v>999</v>
      </c>
      <c r="B10" s="44" t="s">
        <v>1000</v>
      </c>
      <c r="C10" s="44" t="s">
        <v>1001</v>
      </c>
      <c r="D10" s="44" t="s">
        <v>1002</v>
      </c>
      <c r="E10" s="49" t="s">
        <v>872</v>
      </c>
      <c r="F10" s="44" t="s">
        <v>1003</v>
      </c>
      <c r="G10" s="44">
        <v>120.0</v>
      </c>
      <c r="H10" s="47" t="s">
        <v>970</v>
      </c>
      <c r="I10" s="47" t="s">
        <v>882</v>
      </c>
      <c r="J10" s="44">
        <v>10.600969</v>
      </c>
      <c r="K10" s="48">
        <v>106.664161</v>
      </c>
    </row>
    <row r="11" ht="22.5" customHeight="1">
      <c r="A11" s="44" t="s">
        <v>1004</v>
      </c>
      <c r="B11" s="44" t="s">
        <v>1005</v>
      </c>
      <c r="C11" s="44" t="s">
        <v>1006</v>
      </c>
      <c r="D11" s="44" t="s">
        <v>1007</v>
      </c>
      <c r="E11" s="49" t="s">
        <v>510</v>
      </c>
      <c r="F11" s="44" t="s">
        <v>983</v>
      </c>
      <c r="G11" s="50">
        <v>66.0</v>
      </c>
      <c r="H11" s="47" t="s">
        <v>970</v>
      </c>
      <c r="I11" s="47" t="s">
        <v>510</v>
      </c>
      <c r="J11" s="44">
        <v>10.86434</v>
      </c>
      <c r="K11" s="48">
        <v>106.745671</v>
      </c>
    </row>
    <row r="12" ht="22.5" customHeight="1">
      <c r="A12" s="44" t="s">
        <v>334</v>
      </c>
      <c r="B12" s="44" t="s">
        <v>1008</v>
      </c>
      <c r="C12" s="44" t="s">
        <v>1009</v>
      </c>
      <c r="D12" s="44" t="s">
        <v>1010</v>
      </c>
      <c r="E12" s="49" t="s">
        <v>518</v>
      </c>
      <c r="F12" s="44" t="s">
        <v>1011</v>
      </c>
      <c r="G12" s="44">
        <v>60.0</v>
      </c>
      <c r="H12" s="47" t="s">
        <v>970</v>
      </c>
      <c r="I12" s="47" t="s">
        <v>518</v>
      </c>
      <c r="J12" s="44">
        <v>10.7691968</v>
      </c>
      <c r="K12" s="48">
        <v>106.6516161</v>
      </c>
    </row>
    <row r="13" ht="22.5" customHeight="1">
      <c r="A13" s="44" t="s">
        <v>344</v>
      </c>
      <c r="B13" s="44" t="s">
        <v>1012</v>
      </c>
      <c r="C13" s="44" t="s">
        <v>1013</v>
      </c>
      <c r="D13" s="44" t="s">
        <v>1014</v>
      </c>
      <c r="E13" s="49" t="s">
        <v>813</v>
      </c>
      <c r="F13" s="44" t="s">
        <v>1015</v>
      </c>
      <c r="G13" s="44">
        <v>76.0</v>
      </c>
      <c r="H13" s="47" t="s">
        <v>970</v>
      </c>
      <c r="I13" s="47" t="s">
        <v>813</v>
      </c>
      <c r="J13" s="44">
        <v>10.75599</v>
      </c>
      <c r="K13" s="48">
        <v>106.682547</v>
      </c>
    </row>
    <row r="14" ht="22.5" customHeight="1">
      <c r="A14" s="44" t="s">
        <v>345</v>
      </c>
      <c r="B14" s="44" t="s">
        <v>1016</v>
      </c>
      <c r="C14" s="44" t="s">
        <v>1017</v>
      </c>
      <c r="D14" s="44" t="s">
        <v>1018</v>
      </c>
      <c r="E14" s="49" t="s">
        <v>808</v>
      </c>
      <c r="F14" s="44" t="s">
        <v>998</v>
      </c>
      <c r="G14" s="44">
        <v>60.0</v>
      </c>
      <c r="H14" s="47" t="s">
        <v>970</v>
      </c>
      <c r="I14" s="47" t="s">
        <v>808</v>
      </c>
      <c r="J14" s="44">
        <v>10.744399</v>
      </c>
      <c r="K14" s="48">
        <v>106.630441</v>
      </c>
    </row>
    <row r="15" ht="22.5" customHeight="1">
      <c r="A15" s="44" t="s">
        <v>415</v>
      </c>
      <c r="B15" s="44" t="s">
        <v>1019</v>
      </c>
      <c r="C15" s="44" t="s">
        <v>1020</v>
      </c>
      <c r="D15" s="44" t="s">
        <v>1021</v>
      </c>
      <c r="E15" s="49" t="s">
        <v>809</v>
      </c>
      <c r="F15" s="44" t="s">
        <v>1022</v>
      </c>
      <c r="G15" s="44">
        <v>68.0</v>
      </c>
      <c r="H15" s="47" t="s">
        <v>970</v>
      </c>
      <c r="I15" s="47" t="s">
        <v>809</v>
      </c>
      <c r="J15" s="44">
        <v>10.841724</v>
      </c>
      <c r="K15" s="48">
        <v>106.676419</v>
      </c>
    </row>
    <row r="16" ht="22.5" customHeight="1">
      <c r="A16" s="44" t="s">
        <v>1023</v>
      </c>
      <c r="B16" s="44" t="s">
        <v>1024</v>
      </c>
      <c r="C16" s="44" t="s">
        <v>1025</v>
      </c>
      <c r="D16" s="44" t="s">
        <v>1026</v>
      </c>
      <c r="E16" s="49" t="s">
        <v>897</v>
      </c>
      <c r="F16" s="44" t="s">
        <v>1027</v>
      </c>
      <c r="G16" s="44">
        <v>68.0</v>
      </c>
      <c r="H16" s="47" t="s">
        <v>970</v>
      </c>
      <c r="I16" s="47" t="s">
        <v>897</v>
      </c>
      <c r="J16" s="44">
        <v>10.845453</v>
      </c>
      <c r="K16" s="48">
        <v>106.65799</v>
      </c>
    </row>
    <row r="17" ht="22.5" customHeight="1">
      <c r="A17" s="44" t="s">
        <v>229</v>
      </c>
      <c r="B17" s="44" t="s">
        <v>1028</v>
      </c>
      <c r="C17" s="44" t="s">
        <v>1029</v>
      </c>
      <c r="D17" s="44" t="s">
        <v>1030</v>
      </c>
      <c r="E17" s="49" t="s">
        <v>887</v>
      </c>
      <c r="F17" s="44" t="s">
        <v>1031</v>
      </c>
      <c r="G17" s="44">
        <v>74.0</v>
      </c>
      <c r="H17" s="47" t="s">
        <v>970</v>
      </c>
      <c r="I17" s="47" t="s">
        <v>832</v>
      </c>
      <c r="J17" s="44">
        <v>10.791184</v>
      </c>
      <c r="K17" s="48">
        <v>106.74771</v>
      </c>
    </row>
    <row r="18" ht="22.5" customHeight="1">
      <c r="A18" s="44" t="s">
        <v>241</v>
      </c>
      <c r="B18" s="44" t="s">
        <v>1032</v>
      </c>
      <c r="C18" s="44" t="s">
        <v>1033</v>
      </c>
      <c r="D18" s="44" t="s">
        <v>1030</v>
      </c>
      <c r="E18" s="49" t="s">
        <v>887</v>
      </c>
      <c r="F18" s="44" t="s">
        <v>1031</v>
      </c>
      <c r="G18" s="44">
        <v>74.0</v>
      </c>
      <c r="H18" s="47" t="s">
        <v>970</v>
      </c>
      <c r="I18" s="47" t="s">
        <v>832</v>
      </c>
      <c r="J18" s="44">
        <v>10.798539</v>
      </c>
      <c r="K18" s="48">
        <v>106.738441</v>
      </c>
    </row>
    <row r="19" ht="22.5" customHeight="1">
      <c r="A19" s="44" t="s">
        <v>231</v>
      </c>
      <c r="B19" s="44" t="s">
        <v>1034</v>
      </c>
      <c r="C19" s="44" t="s">
        <v>1035</v>
      </c>
      <c r="D19" s="44" t="s">
        <v>1036</v>
      </c>
      <c r="E19" s="49" t="s">
        <v>898</v>
      </c>
      <c r="F19" s="44" t="s">
        <v>1037</v>
      </c>
      <c r="G19" s="44">
        <v>74.0</v>
      </c>
      <c r="H19" s="47" t="s">
        <v>970</v>
      </c>
      <c r="I19" s="47" t="s">
        <v>898</v>
      </c>
      <c r="J19" s="44">
        <v>10.788017</v>
      </c>
      <c r="K19" s="48">
        <v>106.760903</v>
      </c>
    </row>
    <row r="20" ht="22.5" customHeight="1">
      <c r="A20" s="44" t="s">
        <v>227</v>
      </c>
      <c r="B20" s="44" t="s">
        <v>1038</v>
      </c>
      <c r="C20" s="44" t="s">
        <v>1039</v>
      </c>
      <c r="D20" s="44" t="s">
        <v>1030</v>
      </c>
      <c r="E20" s="49" t="s">
        <v>887</v>
      </c>
      <c r="F20" s="44" t="s">
        <v>1031</v>
      </c>
      <c r="G20" s="44">
        <v>74.0</v>
      </c>
      <c r="H20" s="47" t="s">
        <v>970</v>
      </c>
      <c r="I20" s="47" t="s">
        <v>832</v>
      </c>
      <c r="J20" s="44">
        <v>10.793804</v>
      </c>
      <c r="K20" s="48">
        <v>106.746704</v>
      </c>
    </row>
    <row r="21" ht="22.5" customHeight="1">
      <c r="A21" s="44" t="s">
        <v>387</v>
      </c>
      <c r="B21" s="44" t="s">
        <v>1040</v>
      </c>
      <c r="C21" s="44" t="s">
        <v>1041</v>
      </c>
      <c r="D21" s="44" t="s">
        <v>1042</v>
      </c>
      <c r="E21" s="49" t="s">
        <v>889</v>
      </c>
      <c r="F21" s="44" t="s">
        <v>1043</v>
      </c>
      <c r="G21" s="44">
        <v>60.0</v>
      </c>
      <c r="H21" s="47" t="s">
        <v>970</v>
      </c>
      <c r="I21" s="47" t="s">
        <v>889</v>
      </c>
      <c r="J21" s="44">
        <v>10.815205</v>
      </c>
      <c r="K21" s="48">
        <v>106.697762</v>
      </c>
    </row>
    <row r="22" ht="22.5" customHeight="1">
      <c r="A22" s="44" t="s">
        <v>1044</v>
      </c>
      <c r="B22" s="44" t="s">
        <v>1045</v>
      </c>
      <c r="C22" s="44" t="s">
        <v>1046</v>
      </c>
      <c r="D22" s="44" t="s">
        <v>1047</v>
      </c>
      <c r="E22" s="49" t="s">
        <v>889</v>
      </c>
      <c r="F22" s="44" t="s">
        <v>1043</v>
      </c>
      <c r="G22" s="44">
        <v>60.0</v>
      </c>
      <c r="H22" s="47" t="s">
        <v>970</v>
      </c>
      <c r="I22" s="47" t="s">
        <v>889</v>
      </c>
      <c r="J22" s="44">
        <v>10.80308</v>
      </c>
      <c r="K22" s="48">
        <v>106.69458</v>
      </c>
    </row>
    <row r="23" ht="22.5" customHeight="1">
      <c r="A23" s="44" t="s">
        <v>1048</v>
      </c>
      <c r="B23" s="44" t="s">
        <v>1049</v>
      </c>
      <c r="C23" s="44" t="s">
        <v>1050</v>
      </c>
      <c r="D23" s="44" t="s">
        <v>1051</v>
      </c>
      <c r="E23" s="49" t="s">
        <v>863</v>
      </c>
      <c r="F23" s="44" t="s">
        <v>1052</v>
      </c>
      <c r="G23" s="44">
        <v>60.0</v>
      </c>
      <c r="H23" s="47" t="s">
        <v>970</v>
      </c>
      <c r="I23" s="47" t="s">
        <v>863</v>
      </c>
      <c r="J23" s="44">
        <v>10.350375665409</v>
      </c>
      <c r="K23" s="48">
        <v>107.07144484751</v>
      </c>
    </row>
    <row r="24" ht="22.5" customHeight="1">
      <c r="A24" s="44" t="s">
        <v>1053</v>
      </c>
      <c r="B24" s="44" t="s">
        <v>1054</v>
      </c>
      <c r="C24" s="44" t="s">
        <v>1055</v>
      </c>
      <c r="D24" s="44" t="s">
        <v>1056</v>
      </c>
      <c r="E24" s="49" t="s">
        <v>850</v>
      </c>
      <c r="F24" s="44" t="s">
        <v>1057</v>
      </c>
      <c r="G24" s="44">
        <v>60.0</v>
      </c>
      <c r="H24" s="47" t="s">
        <v>970</v>
      </c>
      <c r="I24" s="47" t="s">
        <v>850</v>
      </c>
      <c r="J24" s="44">
        <v>10.958072</v>
      </c>
      <c r="K24" s="48">
        <v>106.510788</v>
      </c>
    </row>
    <row r="25" ht="22.5" customHeight="1">
      <c r="A25" s="44" t="s">
        <v>1058</v>
      </c>
      <c r="B25" s="44" t="s">
        <v>1059</v>
      </c>
      <c r="C25" s="44" t="s">
        <v>1060</v>
      </c>
      <c r="D25" s="44" t="s">
        <v>1021</v>
      </c>
      <c r="E25" s="49" t="s">
        <v>897</v>
      </c>
      <c r="F25" s="44" t="s">
        <v>1027</v>
      </c>
      <c r="G25" s="44">
        <v>68.0</v>
      </c>
      <c r="H25" s="47" t="s">
        <v>970</v>
      </c>
      <c r="I25" s="47" t="s">
        <v>809</v>
      </c>
      <c r="J25" s="44">
        <v>10.837124</v>
      </c>
      <c r="K25" s="48">
        <v>106.670794</v>
      </c>
    </row>
    <row r="26" ht="22.5" customHeight="1">
      <c r="A26" s="44" t="s">
        <v>1061</v>
      </c>
      <c r="B26" s="44" t="s">
        <v>1062</v>
      </c>
      <c r="C26" s="44" t="s">
        <v>1063</v>
      </c>
      <c r="D26" s="44" t="s">
        <v>1026</v>
      </c>
      <c r="E26" s="49" t="s">
        <v>897</v>
      </c>
      <c r="F26" s="44" t="s">
        <v>1027</v>
      </c>
      <c r="G26" s="44">
        <v>68.0</v>
      </c>
      <c r="H26" s="47" t="s">
        <v>970</v>
      </c>
      <c r="I26" s="47" t="s">
        <v>809</v>
      </c>
      <c r="J26" s="44">
        <v>10.834938</v>
      </c>
      <c r="K26" s="48">
        <v>106.664117</v>
      </c>
    </row>
    <row r="27" ht="22.5" customHeight="1">
      <c r="A27" s="44" t="s">
        <v>1064</v>
      </c>
      <c r="B27" s="44" t="s">
        <v>1065</v>
      </c>
      <c r="C27" s="44" t="s">
        <v>1066</v>
      </c>
      <c r="D27" s="44" t="s">
        <v>1067</v>
      </c>
      <c r="E27" s="49" t="s">
        <v>897</v>
      </c>
      <c r="F27" s="44" t="s">
        <v>1027</v>
      </c>
      <c r="G27" s="44">
        <v>75.0</v>
      </c>
      <c r="H27" s="47" t="s">
        <v>970</v>
      </c>
      <c r="I27" s="47" t="s">
        <v>897</v>
      </c>
      <c r="J27" s="44">
        <v>10.840885696512</v>
      </c>
      <c r="K27" s="48">
        <v>106.63012104483</v>
      </c>
    </row>
    <row r="28" ht="22.5" customHeight="1">
      <c r="A28" s="44" t="s">
        <v>1068</v>
      </c>
      <c r="B28" s="44" t="s">
        <v>1069</v>
      </c>
      <c r="C28" s="44" t="s">
        <v>1070</v>
      </c>
      <c r="D28" s="44" t="s">
        <v>1042</v>
      </c>
      <c r="E28" s="49" t="s">
        <v>889</v>
      </c>
      <c r="F28" s="44" t="s">
        <v>1043</v>
      </c>
      <c r="G28" s="44">
        <v>60.0</v>
      </c>
      <c r="H28" s="47" t="s">
        <v>970</v>
      </c>
      <c r="I28" s="47" t="s">
        <v>889</v>
      </c>
      <c r="J28" s="44">
        <v>10.805597</v>
      </c>
      <c r="K28" s="48">
        <v>106.696356</v>
      </c>
    </row>
    <row r="29" ht="22.5" customHeight="1">
      <c r="A29" s="44" t="s">
        <v>234</v>
      </c>
      <c r="B29" s="44" t="s">
        <v>1071</v>
      </c>
      <c r="C29" s="44" t="s">
        <v>1072</v>
      </c>
      <c r="D29" s="44" t="s">
        <v>1030</v>
      </c>
      <c r="E29" s="49" t="s">
        <v>887</v>
      </c>
      <c r="F29" s="44" t="s">
        <v>1031</v>
      </c>
      <c r="G29" s="44">
        <v>74.0</v>
      </c>
      <c r="H29" s="47" t="s">
        <v>970</v>
      </c>
      <c r="I29" s="47" t="s">
        <v>832</v>
      </c>
      <c r="J29" s="44">
        <v>10.794801</v>
      </c>
      <c r="K29" s="48">
        <v>106.745107</v>
      </c>
    </row>
    <row r="30" ht="22.5" customHeight="1">
      <c r="A30" s="44" t="s">
        <v>1073</v>
      </c>
      <c r="B30" s="44" t="s">
        <v>1074</v>
      </c>
      <c r="C30" s="44" t="s">
        <v>1075</v>
      </c>
      <c r="D30" s="44" t="s">
        <v>1076</v>
      </c>
      <c r="E30" s="49" t="s">
        <v>813</v>
      </c>
      <c r="F30" s="44" t="s">
        <v>1015</v>
      </c>
      <c r="G30" s="44">
        <v>76.0</v>
      </c>
      <c r="H30" s="47" t="s">
        <v>970</v>
      </c>
      <c r="I30" s="47" t="s">
        <v>813</v>
      </c>
      <c r="J30" s="44">
        <v>10.75589</v>
      </c>
      <c r="K30" s="48">
        <v>106.675205</v>
      </c>
    </row>
    <row r="31" ht="22.5" customHeight="1">
      <c r="A31" s="44" t="s">
        <v>1077</v>
      </c>
      <c r="B31" s="44" t="s">
        <v>1078</v>
      </c>
      <c r="C31" s="44" t="s">
        <v>1079</v>
      </c>
      <c r="D31" s="44" t="s">
        <v>973</v>
      </c>
      <c r="E31" s="49" t="s">
        <v>894</v>
      </c>
      <c r="F31" s="44" t="s">
        <v>974</v>
      </c>
      <c r="G31" s="44">
        <v>68.0</v>
      </c>
      <c r="H31" s="47" t="s">
        <v>970</v>
      </c>
      <c r="I31" s="47" t="s">
        <v>894</v>
      </c>
      <c r="J31" s="44">
        <v>10.738037964716</v>
      </c>
      <c r="K31" s="48">
        <v>106.71123386572</v>
      </c>
    </row>
    <row r="32" ht="22.5" customHeight="1">
      <c r="A32" s="44" t="s">
        <v>207</v>
      </c>
      <c r="B32" s="44" t="s">
        <v>1080</v>
      </c>
      <c r="C32" s="44" t="s">
        <v>1081</v>
      </c>
      <c r="D32" s="44" t="s">
        <v>1036</v>
      </c>
      <c r="E32" s="49" t="s">
        <v>898</v>
      </c>
      <c r="F32" s="44" t="s">
        <v>1037</v>
      </c>
      <c r="G32" s="44">
        <v>74.0</v>
      </c>
      <c r="H32" s="47" t="s">
        <v>970</v>
      </c>
      <c r="I32" s="47" t="s">
        <v>898</v>
      </c>
      <c r="J32" s="44">
        <v>10.788512</v>
      </c>
      <c r="K32" s="48">
        <v>106.777012</v>
      </c>
    </row>
    <row r="33" ht="22.5" customHeight="1">
      <c r="A33" s="44" t="s">
        <v>208</v>
      </c>
      <c r="B33" s="44" t="s">
        <v>1082</v>
      </c>
      <c r="C33" s="44" t="s">
        <v>1083</v>
      </c>
      <c r="D33" s="44" t="s">
        <v>1084</v>
      </c>
      <c r="E33" s="49" t="s">
        <v>898</v>
      </c>
      <c r="F33" s="44" t="s">
        <v>1037</v>
      </c>
      <c r="G33" s="44">
        <v>74.0</v>
      </c>
      <c r="H33" s="47" t="s">
        <v>970</v>
      </c>
      <c r="I33" s="47" t="s">
        <v>898</v>
      </c>
      <c r="J33" s="44">
        <v>10.781795</v>
      </c>
      <c r="K33" s="48">
        <v>106.761067</v>
      </c>
    </row>
    <row r="34" ht="22.5" customHeight="1">
      <c r="A34" s="44" t="s">
        <v>148</v>
      </c>
      <c r="B34" s="44" t="s">
        <v>1085</v>
      </c>
      <c r="C34" s="44" t="s">
        <v>1086</v>
      </c>
      <c r="D34" s="44" t="s">
        <v>1087</v>
      </c>
      <c r="E34" s="49" t="s">
        <v>893</v>
      </c>
      <c r="F34" s="44" t="s">
        <v>1088</v>
      </c>
      <c r="G34" s="44">
        <v>60.0</v>
      </c>
      <c r="H34" s="47" t="s">
        <v>970</v>
      </c>
      <c r="I34" s="47" t="s">
        <v>893</v>
      </c>
      <c r="J34" s="44">
        <v>10.796991</v>
      </c>
      <c r="K34" s="48">
        <v>106.63072</v>
      </c>
    </row>
    <row r="35" ht="22.5" customHeight="1">
      <c r="A35" s="44" t="s">
        <v>564</v>
      </c>
      <c r="B35" s="44" t="s">
        <v>1089</v>
      </c>
      <c r="C35" s="44" t="s">
        <v>1090</v>
      </c>
      <c r="D35" s="44" t="s">
        <v>973</v>
      </c>
      <c r="E35" s="49" t="s">
        <v>894</v>
      </c>
      <c r="F35" s="44" t="s">
        <v>974</v>
      </c>
      <c r="G35" s="44">
        <v>70.0</v>
      </c>
      <c r="H35" s="47" t="s">
        <v>970</v>
      </c>
      <c r="I35" s="47" t="s">
        <v>894</v>
      </c>
      <c r="J35" s="44">
        <v>10.745036</v>
      </c>
      <c r="K35" s="48">
        <v>106.712496</v>
      </c>
    </row>
    <row r="36" ht="22.5" customHeight="1">
      <c r="A36" s="44" t="s">
        <v>356</v>
      </c>
      <c r="B36" s="44" t="s">
        <v>1091</v>
      </c>
      <c r="C36" s="44" t="s">
        <v>1092</v>
      </c>
      <c r="D36" s="44" t="s">
        <v>1093</v>
      </c>
      <c r="E36" s="49" t="s">
        <v>809</v>
      </c>
      <c r="F36" s="44" t="s">
        <v>1022</v>
      </c>
      <c r="G36" s="50">
        <v>68.0</v>
      </c>
      <c r="H36" s="47" t="s">
        <v>970</v>
      </c>
      <c r="I36" s="47" t="s">
        <v>886</v>
      </c>
      <c r="J36" s="44">
        <v>10.820842</v>
      </c>
      <c r="K36" s="48">
        <v>106.683703</v>
      </c>
    </row>
    <row r="37" ht="22.5" customHeight="1">
      <c r="A37" s="44" t="s">
        <v>1094</v>
      </c>
      <c r="B37" s="44" t="s">
        <v>1095</v>
      </c>
      <c r="C37" s="44" t="s">
        <v>1096</v>
      </c>
      <c r="D37" s="44" t="s">
        <v>1097</v>
      </c>
      <c r="E37" s="49"/>
      <c r="F37" s="44" t="s">
        <v>1098</v>
      </c>
      <c r="G37" s="44"/>
      <c r="H37" s="47" t="s">
        <v>970</v>
      </c>
      <c r="I37" s="47" t="s">
        <v>863</v>
      </c>
      <c r="J37" s="44">
        <v>10.392135</v>
      </c>
      <c r="K37" s="48">
        <v>107.12989</v>
      </c>
    </row>
    <row r="38" ht="22.5" customHeight="1">
      <c r="A38" s="44" t="s">
        <v>1099</v>
      </c>
      <c r="B38" s="44" t="s">
        <v>1100</v>
      </c>
      <c r="C38" s="44" t="s">
        <v>1101</v>
      </c>
      <c r="D38" s="44" t="s">
        <v>1097</v>
      </c>
      <c r="E38" s="49" t="s">
        <v>863</v>
      </c>
      <c r="F38" s="44" t="s">
        <v>1052</v>
      </c>
      <c r="G38" s="44">
        <v>60.0</v>
      </c>
      <c r="H38" s="47" t="s">
        <v>970</v>
      </c>
      <c r="I38" s="47" t="s">
        <v>863</v>
      </c>
      <c r="J38" s="44">
        <v>10.392135</v>
      </c>
      <c r="K38" s="48">
        <v>107.12989</v>
      </c>
    </row>
    <row r="39" ht="22.5" customHeight="1">
      <c r="A39" s="44" t="s">
        <v>121</v>
      </c>
      <c r="B39" s="44" t="s">
        <v>1102</v>
      </c>
      <c r="C39" s="44" t="s">
        <v>1103</v>
      </c>
      <c r="D39" s="44" t="s">
        <v>1104</v>
      </c>
      <c r="E39" s="49" t="s">
        <v>893</v>
      </c>
      <c r="F39" s="44" t="s">
        <v>1088</v>
      </c>
      <c r="G39" s="44">
        <v>60.0</v>
      </c>
      <c r="H39" s="47" t="s">
        <v>970</v>
      </c>
      <c r="I39" s="47" t="s">
        <v>518</v>
      </c>
      <c r="J39" s="44">
        <v>10.772311</v>
      </c>
      <c r="K39" s="48">
        <v>106.631879</v>
      </c>
    </row>
    <row r="40" ht="22.5" customHeight="1">
      <c r="A40" s="44" t="s">
        <v>281</v>
      </c>
      <c r="B40" s="44" t="s">
        <v>1105</v>
      </c>
      <c r="C40" s="44" t="s">
        <v>1106</v>
      </c>
      <c r="D40" s="44" t="s">
        <v>1107</v>
      </c>
      <c r="E40" s="49" t="s">
        <v>892</v>
      </c>
      <c r="F40" s="44" t="s">
        <v>1108</v>
      </c>
      <c r="G40" s="44">
        <v>70.0</v>
      </c>
      <c r="H40" s="47" t="s">
        <v>970</v>
      </c>
      <c r="I40" s="47" t="s">
        <v>892</v>
      </c>
      <c r="J40" s="44">
        <v>10.980302818757</v>
      </c>
      <c r="K40" s="48">
        <v>106.65709127429</v>
      </c>
    </row>
    <row r="41" ht="22.5" customHeight="1">
      <c r="A41" s="44" t="s">
        <v>531</v>
      </c>
      <c r="B41" s="44" t="s">
        <v>1109</v>
      </c>
      <c r="C41" s="44" t="s">
        <v>1110</v>
      </c>
      <c r="D41" s="44" t="s">
        <v>1111</v>
      </c>
      <c r="E41" s="49" t="s">
        <v>820</v>
      </c>
      <c r="F41" s="44" t="s">
        <v>1112</v>
      </c>
      <c r="G41" s="44">
        <v>60.0</v>
      </c>
      <c r="H41" s="47" t="s">
        <v>970</v>
      </c>
      <c r="I41" s="47" t="s">
        <v>820</v>
      </c>
      <c r="J41" s="44">
        <v>10.775517</v>
      </c>
      <c r="K41" s="48">
        <v>106.609132</v>
      </c>
    </row>
    <row r="42" ht="22.5" customHeight="1">
      <c r="A42" s="44" t="s">
        <v>1113</v>
      </c>
      <c r="B42" s="44" t="s">
        <v>1114</v>
      </c>
      <c r="C42" s="44" t="s">
        <v>1115</v>
      </c>
      <c r="D42" s="44" t="s">
        <v>1116</v>
      </c>
      <c r="E42" s="49" t="s">
        <v>885</v>
      </c>
      <c r="F42" s="44" t="s">
        <v>1117</v>
      </c>
      <c r="G42" s="44">
        <v>60.0</v>
      </c>
      <c r="H42" s="47" t="s">
        <v>970</v>
      </c>
      <c r="I42" s="47" t="s">
        <v>811</v>
      </c>
      <c r="J42" s="44">
        <v>10.747967</v>
      </c>
      <c r="K42" s="48">
        <v>106.68536</v>
      </c>
    </row>
    <row r="43" ht="22.5" customHeight="1">
      <c r="A43" s="44" t="s">
        <v>352</v>
      </c>
      <c r="B43" s="44" t="s">
        <v>1118</v>
      </c>
      <c r="C43" s="44" t="s">
        <v>1119</v>
      </c>
      <c r="D43" s="44" t="s">
        <v>1120</v>
      </c>
      <c r="E43" s="49" t="s">
        <v>895</v>
      </c>
      <c r="F43" s="44" t="s">
        <v>1121</v>
      </c>
      <c r="G43" s="44">
        <v>72.0</v>
      </c>
      <c r="H43" s="47" t="s">
        <v>970</v>
      </c>
      <c r="I43" s="47" t="s">
        <v>895</v>
      </c>
      <c r="J43" s="44">
        <v>10.844619</v>
      </c>
      <c r="K43" s="48">
        <v>106.781214</v>
      </c>
    </row>
    <row r="44" ht="22.5" customHeight="1">
      <c r="A44" s="44" t="s">
        <v>57</v>
      </c>
      <c r="B44" s="44" t="s">
        <v>1122</v>
      </c>
      <c r="C44" s="44" t="s">
        <v>1123</v>
      </c>
      <c r="D44" s="44" t="s">
        <v>1124</v>
      </c>
      <c r="E44" s="49" t="s">
        <v>891</v>
      </c>
      <c r="F44" s="44" t="s">
        <v>1125</v>
      </c>
      <c r="G44" s="50">
        <v>30.0</v>
      </c>
      <c r="H44" s="47" t="s">
        <v>970</v>
      </c>
      <c r="I44" s="47" t="s">
        <v>891</v>
      </c>
      <c r="J44" s="44">
        <v>10.973664</v>
      </c>
      <c r="K44" s="48">
        <v>106.851875</v>
      </c>
    </row>
    <row r="45" ht="22.5" customHeight="1">
      <c r="A45" s="44" t="s">
        <v>1126</v>
      </c>
      <c r="B45" s="44" t="s">
        <v>1127</v>
      </c>
      <c r="C45" s="44" t="s">
        <v>1128</v>
      </c>
      <c r="D45" s="44" t="s">
        <v>1129</v>
      </c>
      <c r="E45" s="49"/>
      <c r="F45" s="44" t="s">
        <v>1098</v>
      </c>
      <c r="G45" s="44"/>
      <c r="H45" s="47" t="s">
        <v>970</v>
      </c>
      <c r="I45" s="47" t="s">
        <v>910</v>
      </c>
      <c r="J45" s="44">
        <v>10.773981</v>
      </c>
      <c r="K45" s="48">
        <v>106.666034</v>
      </c>
    </row>
    <row r="46" ht="22.5" customHeight="1">
      <c r="A46" s="44" t="s">
        <v>775</v>
      </c>
      <c r="B46" s="44" t="s">
        <v>1130</v>
      </c>
      <c r="C46" s="44" t="s">
        <v>1131</v>
      </c>
      <c r="D46" s="44" t="s">
        <v>1132</v>
      </c>
      <c r="E46" s="49" t="s">
        <v>897</v>
      </c>
      <c r="F46" s="44" t="s">
        <v>1027</v>
      </c>
      <c r="G46" s="44">
        <v>80.0</v>
      </c>
      <c r="H46" s="47" t="s">
        <v>970</v>
      </c>
      <c r="I46" s="47" t="s">
        <v>897</v>
      </c>
      <c r="J46" s="44">
        <v>10.876252</v>
      </c>
      <c r="K46" s="48">
        <v>106.640652</v>
      </c>
    </row>
    <row r="47" ht="22.5" customHeight="1">
      <c r="A47" s="44" t="s">
        <v>689</v>
      </c>
      <c r="B47" s="44" t="s">
        <v>1133</v>
      </c>
      <c r="C47" s="44" t="s">
        <v>1134</v>
      </c>
      <c r="D47" s="44" t="s">
        <v>1135</v>
      </c>
      <c r="E47" s="49" t="s">
        <v>888</v>
      </c>
      <c r="F47" s="44" t="s">
        <v>1136</v>
      </c>
      <c r="G47" s="44">
        <v>30.0</v>
      </c>
      <c r="H47" s="47" t="s">
        <v>970</v>
      </c>
      <c r="I47" s="47" t="s">
        <v>888</v>
      </c>
      <c r="J47" s="44">
        <v>10.782497</v>
      </c>
      <c r="K47" s="48">
        <v>106.705437</v>
      </c>
    </row>
    <row r="48" ht="22.5" customHeight="1">
      <c r="A48" s="44" t="s">
        <v>425</v>
      </c>
      <c r="B48" s="44" t="s">
        <v>1137</v>
      </c>
      <c r="C48" s="44" t="s">
        <v>1138</v>
      </c>
      <c r="D48" s="44" t="s">
        <v>1139</v>
      </c>
      <c r="E48" s="49" t="s">
        <v>894</v>
      </c>
      <c r="F48" s="44" t="s">
        <v>974</v>
      </c>
      <c r="G48" s="44">
        <v>60.0</v>
      </c>
      <c r="H48" s="47" t="s">
        <v>970</v>
      </c>
      <c r="I48" s="47" t="s">
        <v>894</v>
      </c>
      <c r="J48" s="44">
        <v>10.71518</v>
      </c>
      <c r="K48" s="48">
        <v>106.700384</v>
      </c>
    </row>
    <row r="49" ht="22.5" customHeight="1">
      <c r="A49" s="44" t="s">
        <v>1140</v>
      </c>
      <c r="B49" s="44" t="s">
        <v>1141</v>
      </c>
      <c r="C49" s="44" t="s">
        <v>1142</v>
      </c>
      <c r="D49" s="44" t="s">
        <v>1143</v>
      </c>
      <c r="E49" s="49" t="s">
        <v>872</v>
      </c>
      <c r="F49" s="44" t="s">
        <v>1003</v>
      </c>
      <c r="G49" s="50">
        <v>60.0</v>
      </c>
      <c r="H49" s="47" t="s">
        <v>970</v>
      </c>
      <c r="I49" s="47" t="s">
        <v>872</v>
      </c>
      <c r="J49" s="44">
        <v>10.438952</v>
      </c>
      <c r="K49" s="48">
        <v>106.471012</v>
      </c>
    </row>
    <row r="50" ht="22.5" customHeight="1">
      <c r="A50" s="44" t="s">
        <v>1144</v>
      </c>
      <c r="B50" s="44" t="s">
        <v>1145</v>
      </c>
      <c r="C50" s="44" t="s">
        <v>1146</v>
      </c>
      <c r="D50" s="44" t="s">
        <v>1084</v>
      </c>
      <c r="E50" s="49"/>
      <c r="F50" s="44" t="s">
        <v>1098</v>
      </c>
      <c r="G50" s="44"/>
      <c r="H50" s="47" t="s">
        <v>970</v>
      </c>
      <c r="I50" s="47" t="s">
        <v>898</v>
      </c>
      <c r="J50" s="44">
        <v>10.764656</v>
      </c>
      <c r="K50" s="48">
        <v>106.757606</v>
      </c>
    </row>
    <row r="51" ht="22.5" customHeight="1">
      <c r="A51" s="44" t="s">
        <v>1147</v>
      </c>
      <c r="B51" s="44" t="s">
        <v>1148</v>
      </c>
      <c r="C51" s="44" t="s">
        <v>1149</v>
      </c>
      <c r="D51" s="44" t="s">
        <v>986</v>
      </c>
      <c r="E51" s="49" t="s">
        <v>910</v>
      </c>
      <c r="F51" s="44" t="s">
        <v>987</v>
      </c>
      <c r="G51" s="44">
        <v>30.0</v>
      </c>
      <c r="H51" s="47" t="s">
        <v>970</v>
      </c>
      <c r="I51" s="47" t="s">
        <v>813</v>
      </c>
      <c r="J51" s="44">
        <v>10.759758</v>
      </c>
      <c r="K51" s="48">
        <v>106.665604</v>
      </c>
    </row>
    <row r="52" ht="22.5" customHeight="1">
      <c r="A52" s="44" t="s">
        <v>433</v>
      </c>
      <c r="B52" s="44" t="s">
        <v>1150</v>
      </c>
      <c r="C52" s="44" t="s">
        <v>1151</v>
      </c>
      <c r="D52" s="44" t="s">
        <v>969</v>
      </c>
      <c r="E52" s="49" t="s">
        <v>893</v>
      </c>
      <c r="F52" s="44" t="s">
        <v>1088</v>
      </c>
      <c r="G52" s="44">
        <v>60.0</v>
      </c>
      <c r="H52" s="47" t="s">
        <v>970</v>
      </c>
      <c r="I52" s="47" t="s">
        <v>893</v>
      </c>
      <c r="J52" s="44">
        <v>10.801187</v>
      </c>
      <c r="K52" s="48">
        <v>106.638107</v>
      </c>
    </row>
    <row r="53" ht="22.5" customHeight="1">
      <c r="A53" s="44" t="s">
        <v>146</v>
      </c>
      <c r="B53" s="44" t="s">
        <v>1152</v>
      </c>
      <c r="C53" s="44" t="s">
        <v>1153</v>
      </c>
      <c r="D53" s="44" t="s">
        <v>1154</v>
      </c>
      <c r="E53" s="49" t="s">
        <v>893</v>
      </c>
      <c r="F53" s="44" t="s">
        <v>1088</v>
      </c>
      <c r="G53" s="44">
        <v>60.0</v>
      </c>
      <c r="H53" s="47" t="s">
        <v>970</v>
      </c>
      <c r="I53" s="47" t="s">
        <v>893</v>
      </c>
      <c r="J53" s="44">
        <v>10.781752</v>
      </c>
      <c r="K53" s="48">
        <v>106.630591</v>
      </c>
    </row>
    <row r="54" ht="22.5" customHeight="1">
      <c r="A54" s="44" t="s">
        <v>1155</v>
      </c>
      <c r="B54" s="44" t="s">
        <v>1156</v>
      </c>
      <c r="C54" s="44" t="s">
        <v>1157</v>
      </c>
      <c r="D54" s="44" t="s">
        <v>973</v>
      </c>
      <c r="E54" s="49" t="s">
        <v>894</v>
      </c>
      <c r="F54" s="44" t="s">
        <v>974</v>
      </c>
      <c r="G54" s="44">
        <v>68.0</v>
      </c>
      <c r="H54" s="47" t="s">
        <v>970</v>
      </c>
      <c r="I54" s="47" t="s">
        <v>894</v>
      </c>
      <c r="J54" s="44">
        <v>10.730237</v>
      </c>
      <c r="K54" s="48">
        <v>106.707213</v>
      </c>
    </row>
    <row r="55" ht="22.5" customHeight="1">
      <c r="A55" s="44" t="s">
        <v>1158</v>
      </c>
      <c r="B55" s="44" t="s">
        <v>1159</v>
      </c>
      <c r="C55" s="44" t="s">
        <v>1160</v>
      </c>
      <c r="D55" s="44" t="s">
        <v>1129</v>
      </c>
      <c r="E55" s="49" t="s">
        <v>910</v>
      </c>
      <c r="F55" s="44" t="s">
        <v>987</v>
      </c>
      <c r="G55" s="44">
        <v>30.0</v>
      </c>
      <c r="H55" s="47" t="s">
        <v>970</v>
      </c>
      <c r="I55" s="47" t="s">
        <v>826</v>
      </c>
      <c r="J55" s="44">
        <v>10.776962</v>
      </c>
      <c r="K55" s="48">
        <v>106.680439</v>
      </c>
    </row>
    <row r="56" ht="22.5" customHeight="1">
      <c r="A56" s="44" t="s">
        <v>1161</v>
      </c>
      <c r="B56" s="44" t="s">
        <v>1162</v>
      </c>
      <c r="C56" s="44" t="s">
        <v>1163</v>
      </c>
      <c r="D56" s="44" t="s">
        <v>1021</v>
      </c>
      <c r="E56" s="49" t="s">
        <v>897</v>
      </c>
      <c r="F56" s="44" t="s">
        <v>1027</v>
      </c>
      <c r="G56" s="44">
        <v>68.0</v>
      </c>
      <c r="H56" s="47" t="s">
        <v>970</v>
      </c>
      <c r="I56" s="47" t="s">
        <v>809</v>
      </c>
      <c r="J56" s="44">
        <v>10.837835</v>
      </c>
      <c r="K56" s="48">
        <v>106.669156</v>
      </c>
    </row>
    <row r="57" ht="22.5" customHeight="1">
      <c r="A57" s="44" t="s">
        <v>1164</v>
      </c>
      <c r="B57" s="44" t="s">
        <v>1165</v>
      </c>
      <c r="C57" s="44" t="s">
        <v>1166</v>
      </c>
      <c r="D57" s="44" t="s">
        <v>1167</v>
      </c>
      <c r="E57" s="49" t="s">
        <v>789</v>
      </c>
      <c r="F57" s="44" t="s">
        <v>1168</v>
      </c>
      <c r="G57" s="44">
        <v>69.0</v>
      </c>
      <c r="H57" s="47" t="s">
        <v>970</v>
      </c>
      <c r="I57" s="47" t="s">
        <v>789</v>
      </c>
      <c r="J57" s="44">
        <v>10.74726</v>
      </c>
      <c r="K57" s="48">
        <v>106.61189</v>
      </c>
    </row>
    <row r="58" ht="22.5" customHeight="1">
      <c r="A58" s="44" t="s">
        <v>1169</v>
      </c>
      <c r="B58" s="44" t="s">
        <v>1170</v>
      </c>
      <c r="C58" s="44" t="s">
        <v>1171</v>
      </c>
      <c r="D58" s="44" t="s">
        <v>982</v>
      </c>
      <c r="E58" s="49" t="s">
        <v>510</v>
      </c>
      <c r="F58" s="44" t="s">
        <v>983</v>
      </c>
      <c r="G58" s="44">
        <v>66.0</v>
      </c>
      <c r="H58" s="47" t="s">
        <v>970</v>
      </c>
      <c r="I58" s="47" t="s">
        <v>832</v>
      </c>
      <c r="J58" s="44">
        <v>10.826911</v>
      </c>
      <c r="K58" s="48">
        <v>106.723097</v>
      </c>
    </row>
    <row r="59" ht="22.5" customHeight="1">
      <c r="A59" s="44" t="s">
        <v>1172</v>
      </c>
      <c r="B59" s="44" t="s">
        <v>1173</v>
      </c>
      <c r="C59" s="44" t="s">
        <v>1174</v>
      </c>
      <c r="D59" s="44" t="s">
        <v>982</v>
      </c>
      <c r="E59" s="49" t="s">
        <v>510</v>
      </c>
      <c r="F59" s="44" t="s">
        <v>983</v>
      </c>
      <c r="G59" s="44">
        <v>66.0</v>
      </c>
      <c r="H59" s="47" t="s">
        <v>970</v>
      </c>
      <c r="I59" s="47" t="s">
        <v>832</v>
      </c>
      <c r="J59" s="44">
        <v>10.822979</v>
      </c>
      <c r="K59" s="48">
        <v>106.722846</v>
      </c>
    </row>
    <row r="60" ht="22.5" customHeight="1">
      <c r="A60" s="44" t="s">
        <v>1175</v>
      </c>
      <c r="B60" s="44" t="s">
        <v>1176</v>
      </c>
      <c r="C60" s="44" t="s">
        <v>1177</v>
      </c>
      <c r="D60" s="44" t="s">
        <v>973</v>
      </c>
      <c r="E60" s="49" t="s">
        <v>894</v>
      </c>
      <c r="F60" s="44" t="s">
        <v>974</v>
      </c>
      <c r="G60" s="44">
        <v>68.0</v>
      </c>
      <c r="H60" s="47" t="s">
        <v>970</v>
      </c>
      <c r="I60" s="47" t="s">
        <v>894</v>
      </c>
      <c r="J60" s="44">
        <v>10.745095</v>
      </c>
      <c r="K60" s="48">
        <v>106.712564</v>
      </c>
    </row>
    <row r="61" ht="22.5" customHeight="1">
      <c r="A61" s="44" t="s">
        <v>288</v>
      </c>
      <c r="B61" s="44" t="s">
        <v>1178</v>
      </c>
      <c r="C61" s="44" t="s">
        <v>1179</v>
      </c>
      <c r="D61" s="44" t="s">
        <v>1180</v>
      </c>
      <c r="E61" s="49" t="s">
        <v>892</v>
      </c>
      <c r="F61" s="44" t="s">
        <v>1108</v>
      </c>
      <c r="G61" s="44">
        <v>90.0</v>
      </c>
      <c r="H61" s="47" t="s">
        <v>970</v>
      </c>
      <c r="I61" s="47" t="s">
        <v>892</v>
      </c>
      <c r="J61" s="44">
        <v>10.996742</v>
      </c>
      <c r="K61" s="48">
        <v>106.65639</v>
      </c>
    </row>
    <row r="62" ht="22.5" customHeight="1">
      <c r="A62" s="44" t="s">
        <v>1181</v>
      </c>
      <c r="B62" s="44" t="s">
        <v>1182</v>
      </c>
      <c r="C62" s="44" t="s">
        <v>1183</v>
      </c>
      <c r="D62" s="44" t="s">
        <v>1120</v>
      </c>
      <c r="E62" s="49" t="s">
        <v>895</v>
      </c>
      <c r="F62" s="44" t="s">
        <v>1121</v>
      </c>
      <c r="G62" s="44">
        <v>87.0</v>
      </c>
      <c r="H62" s="47" t="s">
        <v>970</v>
      </c>
      <c r="I62" s="47" t="s">
        <v>895</v>
      </c>
      <c r="J62" s="44">
        <v>10.858777</v>
      </c>
      <c r="K62" s="48">
        <v>106.813615</v>
      </c>
    </row>
    <row r="63" ht="22.5" customHeight="1">
      <c r="A63" s="44" t="s">
        <v>1184</v>
      </c>
      <c r="B63" s="44" t="s">
        <v>1185</v>
      </c>
      <c r="C63" s="44" t="s">
        <v>1186</v>
      </c>
      <c r="D63" s="44" t="s">
        <v>1135</v>
      </c>
      <c r="E63" s="49" t="s">
        <v>888</v>
      </c>
      <c r="F63" s="44" t="s">
        <v>1136</v>
      </c>
      <c r="G63" s="44">
        <v>30.0</v>
      </c>
      <c r="H63" s="47" t="s">
        <v>970</v>
      </c>
      <c r="I63" s="47" t="s">
        <v>888</v>
      </c>
      <c r="J63" s="44">
        <v>10.77693</v>
      </c>
      <c r="K63" s="48">
        <v>106.704939</v>
      </c>
    </row>
    <row r="64" ht="22.5" customHeight="1">
      <c r="A64" s="44" t="s">
        <v>116</v>
      </c>
      <c r="B64" s="44" t="s">
        <v>1187</v>
      </c>
      <c r="C64" s="44" t="s">
        <v>1188</v>
      </c>
      <c r="D64" s="44" t="s">
        <v>1189</v>
      </c>
      <c r="E64" s="49" t="s">
        <v>893</v>
      </c>
      <c r="F64" s="44" t="s">
        <v>1088</v>
      </c>
      <c r="G64" s="50">
        <v>60.0</v>
      </c>
      <c r="H64" s="47" t="s">
        <v>970</v>
      </c>
      <c r="I64" s="47" t="s">
        <v>893</v>
      </c>
      <c r="J64" s="44">
        <v>10.806486</v>
      </c>
      <c r="K64" s="48">
        <v>106.634196</v>
      </c>
    </row>
    <row r="65" ht="22.5" customHeight="1">
      <c r="A65" s="44" t="s">
        <v>1190</v>
      </c>
      <c r="B65" s="44" t="s">
        <v>1191</v>
      </c>
      <c r="C65" s="44" t="s">
        <v>1192</v>
      </c>
      <c r="D65" s="44" t="s">
        <v>1087</v>
      </c>
      <c r="E65" s="51"/>
      <c r="F65" s="44" t="s">
        <v>1098</v>
      </c>
      <c r="G65" s="46"/>
      <c r="H65" s="47" t="s">
        <v>970</v>
      </c>
      <c r="I65" s="47" t="s">
        <v>893</v>
      </c>
      <c r="J65" s="44">
        <v>10.796192</v>
      </c>
      <c r="K65" s="48">
        <v>106.634335</v>
      </c>
    </row>
    <row r="66" ht="22.5" customHeight="1">
      <c r="A66" s="44" t="s">
        <v>1193</v>
      </c>
      <c r="B66" s="44" t="s">
        <v>1194</v>
      </c>
      <c r="C66" s="44" t="s">
        <v>1195</v>
      </c>
      <c r="D66" s="44" t="s">
        <v>1087</v>
      </c>
      <c r="E66" s="51"/>
      <c r="F66" s="44" t="s">
        <v>1098</v>
      </c>
      <c r="G66" s="46"/>
      <c r="H66" s="47" t="s">
        <v>970</v>
      </c>
      <c r="I66" s="47" t="s">
        <v>893</v>
      </c>
      <c r="J66" s="44">
        <v>10.796192</v>
      </c>
      <c r="K66" s="48">
        <v>106.634335</v>
      </c>
    </row>
    <row r="67" ht="22.5" customHeight="1">
      <c r="A67" s="44" t="s">
        <v>1196</v>
      </c>
      <c r="B67" s="44" t="s">
        <v>1197</v>
      </c>
      <c r="C67" s="44" t="s">
        <v>1198</v>
      </c>
      <c r="D67" s="44" t="s">
        <v>1116</v>
      </c>
      <c r="E67" s="49"/>
      <c r="F67" s="44" t="s">
        <v>1098</v>
      </c>
      <c r="G67" s="44"/>
      <c r="H67" s="47" t="s">
        <v>970</v>
      </c>
      <c r="I67" s="47" t="s">
        <v>885</v>
      </c>
      <c r="J67" s="44">
        <v>10.746293</v>
      </c>
      <c r="K67" s="48">
        <v>106.668955</v>
      </c>
    </row>
    <row r="68" ht="22.5" customHeight="1">
      <c r="A68" s="44" t="s">
        <v>1199</v>
      </c>
      <c r="B68" s="44" t="s">
        <v>1200</v>
      </c>
      <c r="C68" s="44" t="s">
        <v>1201</v>
      </c>
      <c r="D68" s="44" t="s">
        <v>1026</v>
      </c>
      <c r="E68" s="49" t="s">
        <v>886</v>
      </c>
      <c r="F68" s="44" t="s">
        <v>1202</v>
      </c>
      <c r="G68" s="44">
        <v>60.0</v>
      </c>
      <c r="H68" s="47" t="s">
        <v>970</v>
      </c>
      <c r="I68" s="47" t="s">
        <v>897</v>
      </c>
      <c r="J68" s="44">
        <v>10.848632</v>
      </c>
      <c r="K68" s="48">
        <v>106.649181</v>
      </c>
    </row>
    <row r="69" ht="22.5" customHeight="1">
      <c r="A69" s="44" t="s">
        <v>1203</v>
      </c>
      <c r="B69" s="44" t="s">
        <v>1204</v>
      </c>
      <c r="C69" s="44" t="s">
        <v>1205</v>
      </c>
      <c r="D69" s="44" t="s">
        <v>1116</v>
      </c>
      <c r="E69" s="49" t="s">
        <v>885</v>
      </c>
      <c r="F69" s="44" t="s">
        <v>1117</v>
      </c>
      <c r="G69" s="50">
        <v>60.0</v>
      </c>
      <c r="H69" s="47" t="s">
        <v>970</v>
      </c>
      <c r="I69" s="47" t="s">
        <v>885</v>
      </c>
      <c r="J69" s="44">
        <v>10.741667</v>
      </c>
      <c r="K69" s="48">
        <v>106.676389</v>
      </c>
    </row>
    <row r="70" ht="22.5" customHeight="1">
      <c r="A70" s="44" t="s">
        <v>1206</v>
      </c>
      <c r="B70" s="44" t="s">
        <v>1207</v>
      </c>
      <c r="C70" s="44" t="s">
        <v>1208</v>
      </c>
      <c r="D70" s="44" t="s">
        <v>1129</v>
      </c>
      <c r="E70" s="49"/>
      <c r="F70" s="44" t="s">
        <v>1098</v>
      </c>
      <c r="G70" s="44"/>
      <c r="H70" s="47" t="s">
        <v>970</v>
      </c>
      <c r="I70" s="47" t="s">
        <v>910</v>
      </c>
      <c r="J70" s="44">
        <v>10.775086</v>
      </c>
      <c r="K70" s="48">
        <v>106.672714</v>
      </c>
    </row>
    <row r="71" ht="22.5" customHeight="1">
      <c r="A71" s="44" t="s">
        <v>1209</v>
      </c>
      <c r="B71" s="44" t="s">
        <v>1210</v>
      </c>
      <c r="C71" s="44" t="s">
        <v>1211</v>
      </c>
      <c r="D71" s="44" t="s">
        <v>1212</v>
      </c>
      <c r="E71" s="49" t="s">
        <v>885</v>
      </c>
      <c r="F71" s="44" t="s">
        <v>1117</v>
      </c>
      <c r="G71" s="44">
        <v>60.0</v>
      </c>
      <c r="H71" s="47" t="s">
        <v>970</v>
      </c>
      <c r="I71" s="47" t="s">
        <v>825</v>
      </c>
      <c r="J71" s="44">
        <v>10.74563</v>
      </c>
      <c r="K71" s="48">
        <v>106.658907</v>
      </c>
    </row>
    <row r="72" ht="22.5" customHeight="1">
      <c r="A72" s="44" t="s">
        <v>595</v>
      </c>
      <c r="B72" s="44" t="s">
        <v>1213</v>
      </c>
      <c r="C72" s="44" t="s">
        <v>1214</v>
      </c>
      <c r="D72" s="44" t="s">
        <v>1007</v>
      </c>
      <c r="E72" s="49" t="s">
        <v>510</v>
      </c>
      <c r="F72" s="44" t="s">
        <v>983</v>
      </c>
      <c r="G72" s="44">
        <v>66.0</v>
      </c>
      <c r="H72" s="47" t="s">
        <v>970</v>
      </c>
      <c r="I72" s="47" t="s">
        <v>510</v>
      </c>
      <c r="J72" s="44">
        <v>10.86434</v>
      </c>
      <c r="K72" s="48">
        <v>106.745671</v>
      </c>
    </row>
    <row r="73" ht="22.5" customHeight="1">
      <c r="A73" s="44" t="s">
        <v>1215</v>
      </c>
      <c r="B73" s="44" t="s">
        <v>1216</v>
      </c>
      <c r="C73" s="44" t="s">
        <v>1006</v>
      </c>
      <c r="D73" s="44" t="s">
        <v>1007</v>
      </c>
      <c r="E73" s="49" t="s">
        <v>510</v>
      </c>
      <c r="F73" s="44" t="s">
        <v>983</v>
      </c>
      <c r="G73" s="44">
        <v>51.0</v>
      </c>
      <c r="H73" s="47" t="s">
        <v>970</v>
      </c>
      <c r="I73" s="47" t="s">
        <v>510</v>
      </c>
      <c r="J73" s="44">
        <v>10.86434</v>
      </c>
      <c r="K73" s="48">
        <v>106.745671</v>
      </c>
    </row>
    <row r="74" ht="22.5" customHeight="1">
      <c r="A74" s="44" t="s">
        <v>579</v>
      </c>
      <c r="B74" s="44" t="s">
        <v>1217</v>
      </c>
      <c r="C74" s="44" t="s">
        <v>1218</v>
      </c>
      <c r="D74" s="44" t="s">
        <v>1219</v>
      </c>
      <c r="E74" s="49" t="s">
        <v>868</v>
      </c>
      <c r="F74" s="44" t="s">
        <v>1220</v>
      </c>
      <c r="G74" s="44">
        <v>30.0</v>
      </c>
      <c r="H74" s="47" t="s">
        <v>970</v>
      </c>
      <c r="I74" s="47" t="s">
        <v>868</v>
      </c>
      <c r="J74" s="44">
        <v>10.364670687099</v>
      </c>
      <c r="K74" s="48">
        <v>106.36498686665</v>
      </c>
    </row>
    <row r="75" ht="22.5" customHeight="1">
      <c r="A75" s="44" t="s">
        <v>1221</v>
      </c>
      <c r="B75" s="44" t="s">
        <v>1222</v>
      </c>
      <c r="C75" s="44" t="s">
        <v>1223</v>
      </c>
      <c r="D75" s="44" t="s">
        <v>1224</v>
      </c>
      <c r="E75" s="49" t="s">
        <v>872</v>
      </c>
      <c r="F75" s="44" t="s">
        <v>1003</v>
      </c>
      <c r="G75" s="44">
        <v>60.0</v>
      </c>
      <c r="H75" s="47" t="s">
        <v>970</v>
      </c>
      <c r="I75" s="47" t="s">
        <v>872</v>
      </c>
      <c r="J75" s="44">
        <v>10.558931</v>
      </c>
      <c r="K75" s="48">
        <v>106.413603</v>
      </c>
    </row>
    <row r="76" ht="22.5" customHeight="1">
      <c r="A76" s="44" t="s">
        <v>553</v>
      </c>
      <c r="B76" s="44" t="s">
        <v>1225</v>
      </c>
      <c r="C76" s="44" t="s">
        <v>1226</v>
      </c>
      <c r="D76" s="44" t="s">
        <v>1227</v>
      </c>
      <c r="E76" s="49" t="s">
        <v>890</v>
      </c>
      <c r="F76" s="44" t="s">
        <v>1228</v>
      </c>
      <c r="G76" s="44">
        <v>30.0</v>
      </c>
      <c r="H76" s="47" t="s">
        <v>970</v>
      </c>
      <c r="I76" s="47" t="s">
        <v>890</v>
      </c>
      <c r="J76" s="44">
        <v>10.913697</v>
      </c>
      <c r="K76" s="48">
        <v>106.76879</v>
      </c>
    </row>
    <row r="77" ht="22.5" customHeight="1">
      <c r="A77" s="44" t="s">
        <v>506</v>
      </c>
      <c r="B77" s="44" t="s">
        <v>1229</v>
      </c>
      <c r="C77" s="44" t="s">
        <v>1230</v>
      </c>
      <c r="D77" s="44" t="s">
        <v>1167</v>
      </c>
      <c r="E77" s="49" t="s">
        <v>789</v>
      </c>
      <c r="F77" s="44" t="s">
        <v>1168</v>
      </c>
      <c r="G77" s="44">
        <v>54.0</v>
      </c>
      <c r="H77" s="47" t="s">
        <v>970</v>
      </c>
      <c r="I77" s="47" t="s">
        <v>789</v>
      </c>
      <c r="J77" s="44">
        <v>10.746719</v>
      </c>
      <c r="K77" s="48">
        <v>106.613241</v>
      </c>
    </row>
    <row r="78" ht="22.5" customHeight="1">
      <c r="A78" s="44" t="s">
        <v>1231</v>
      </c>
      <c r="B78" s="44" t="s">
        <v>1232</v>
      </c>
      <c r="C78" s="44" t="s">
        <v>1233</v>
      </c>
      <c r="D78" s="44" t="s">
        <v>969</v>
      </c>
      <c r="E78" s="49" t="s">
        <v>893</v>
      </c>
      <c r="F78" s="44" t="s">
        <v>1088</v>
      </c>
      <c r="G78" s="44">
        <v>60.0</v>
      </c>
      <c r="H78" s="47" t="s">
        <v>970</v>
      </c>
      <c r="I78" s="47" t="s">
        <v>893</v>
      </c>
      <c r="J78" s="44">
        <v>10.802601</v>
      </c>
      <c r="K78" s="48">
        <v>106.638419</v>
      </c>
    </row>
    <row r="79" ht="22.5" customHeight="1">
      <c r="A79" s="44" t="s">
        <v>65</v>
      </c>
      <c r="B79" s="44" t="s">
        <v>1234</v>
      </c>
      <c r="C79" s="44" t="s">
        <v>1235</v>
      </c>
      <c r="D79" s="44" t="s">
        <v>1236</v>
      </c>
      <c r="E79" s="49" t="s">
        <v>891</v>
      </c>
      <c r="F79" s="44" t="s">
        <v>1125</v>
      </c>
      <c r="G79" s="44">
        <v>45.0</v>
      </c>
      <c r="H79" s="47" t="s">
        <v>970</v>
      </c>
      <c r="I79" s="47" t="s">
        <v>891</v>
      </c>
      <c r="J79" s="44">
        <v>10.962806</v>
      </c>
      <c r="K79" s="48">
        <v>106.887072</v>
      </c>
    </row>
    <row r="80" ht="22.5" customHeight="1">
      <c r="A80" s="44" t="s">
        <v>382</v>
      </c>
      <c r="B80" s="44" t="s">
        <v>1237</v>
      </c>
      <c r="C80" s="44" t="s">
        <v>1238</v>
      </c>
      <c r="D80" s="44" t="s">
        <v>1239</v>
      </c>
      <c r="E80" s="49" t="s">
        <v>789</v>
      </c>
      <c r="F80" s="44" t="s">
        <v>1168</v>
      </c>
      <c r="G80" s="44">
        <v>69.0</v>
      </c>
      <c r="H80" s="47" t="s">
        <v>970</v>
      </c>
      <c r="I80" s="47" t="s">
        <v>789</v>
      </c>
      <c r="J80" s="44">
        <v>10.75644</v>
      </c>
      <c r="K80" s="48">
        <v>106.591426</v>
      </c>
    </row>
    <row r="81" ht="22.5" customHeight="1">
      <c r="A81" s="44" t="s">
        <v>380</v>
      </c>
      <c r="B81" s="44" t="s">
        <v>1240</v>
      </c>
      <c r="C81" s="44" t="s">
        <v>1241</v>
      </c>
      <c r="D81" s="44" t="s">
        <v>1111</v>
      </c>
      <c r="E81" s="49" t="s">
        <v>820</v>
      </c>
      <c r="F81" s="44" t="s">
        <v>1112</v>
      </c>
      <c r="G81" s="44">
        <v>69.0</v>
      </c>
      <c r="H81" s="47" t="s">
        <v>970</v>
      </c>
      <c r="I81" s="47" t="s">
        <v>820</v>
      </c>
      <c r="J81" s="44">
        <v>10.776559</v>
      </c>
      <c r="K81" s="48">
        <v>106.604912</v>
      </c>
    </row>
    <row r="82" ht="22.5" customHeight="1">
      <c r="A82" s="44" t="s">
        <v>385</v>
      </c>
      <c r="B82" s="44" t="s">
        <v>1242</v>
      </c>
      <c r="C82" s="44" t="s">
        <v>1243</v>
      </c>
      <c r="D82" s="44" t="s">
        <v>1167</v>
      </c>
      <c r="E82" s="49" t="s">
        <v>789</v>
      </c>
      <c r="F82" s="44" t="s">
        <v>1168</v>
      </c>
      <c r="G82" s="44">
        <v>69.0</v>
      </c>
      <c r="H82" s="47" t="s">
        <v>970</v>
      </c>
      <c r="I82" s="47" t="s">
        <v>789</v>
      </c>
      <c r="J82" s="44">
        <v>10.749988</v>
      </c>
      <c r="K82" s="48">
        <v>106.61135</v>
      </c>
    </row>
    <row r="83" ht="22.5" customHeight="1">
      <c r="A83" s="44" t="s">
        <v>79</v>
      </c>
      <c r="B83" s="44" t="s">
        <v>1244</v>
      </c>
      <c r="C83" s="44" t="s">
        <v>1245</v>
      </c>
      <c r="D83" s="44" t="s">
        <v>1246</v>
      </c>
      <c r="E83" s="49" t="s">
        <v>891</v>
      </c>
      <c r="F83" s="44" t="s">
        <v>1125</v>
      </c>
      <c r="G83" s="44">
        <v>60.0</v>
      </c>
      <c r="H83" s="47" t="s">
        <v>970</v>
      </c>
      <c r="I83" s="47" t="s">
        <v>891</v>
      </c>
      <c r="J83" s="44">
        <v>10.886434711362</v>
      </c>
      <c r="K83" s="48">
        <v>106.85987099491</v>
      </c>
    </row>
    <row r="84" ht="22.5" customHeight="1">
      <c r="A84" s="44" t="s">
        <v>1247</v>
      </c>
      <c r="B84" s="44" t="s">
        <v>1248</v>
      </c>
      <c r="C84" s="44" t="s">
        <v>1249</v>
      </c>
      <c r="D84" s="44" t="s">
        <v>1239</v>
      </c>
      <c r="E84" s="49" t="s">
        <v>789</v>
      </c>
      <c r="F84" s="44" t="s">
        <v>1168</v>
      </c>
      <c r="G84" s="44">
        <v>39.0</v>
      </c>
      <c r="H84" s="47" t="s">
        <v>970</v>
      </c>
      <c r="I84" s="47" t="s">
        <v>789</v>
      </c>
      <c r="J84" s="44">
        <v>10.75204699686</v>
      </c>
      <c r="K84" s="48">
        <v>106.59170914042</v>
      </c>
    </row>
    <row r="85" ht="22.5" customHeight="1">
      <c r="A85" s="44" t="s">
        <v>256</v>
      </c>
      <c r="B85" s="44" t="s">
        <v>1250</v>
      </c>
      <c r="C85" s="44" t="s">
        <v>1251</v>
      </c>
      <c r="D85" s="44" t="s">
        <v>1180</v>
      </c>
      <c r="E85" s="49" t="s">
        <v>892</v>
      </c>
      <c r="F85" s="44" t="s">
        <v>1108</v>
      </c>
      <c r="G85" s="50">
        <v>60.0</v>
      </c>
      <c r="H85" s="47" t="s">
        <v>970</v>
      </c>
      <c r="I85" s="47" t="s">
        <v>892</v>
      </c>
      <c r="J85" s="44">
        <v>10.996889</v>
      </c>
      <c r="K85" s="48">
        <v>106.656539</v>
      </c>
    </row>
    <row r="86" ht="22.5" customHeight="1">
      <c r="A86" s="44" t="s">
        <v>1252</v>
      </c>
      <c r="B86" s="44" t="s">
        <v>1253</v>
      </c>
      <c r="C86" s="44" t="s">
        <v>1254</v>
      </c>
      <c r="D86" s="44" t="s">
        <v>1042</v>
      </c>
      <c r="E86" s="49"/>
      <c r="F86" s="44" t="s">
        <v>1098</v>
      </c>
      <c r="G86" s="44"/>
      <c r="H86" s="47" t="s">
        <v>970</v>
      </c>
      <c r="I86" s="47" t="s">
        <v>901</v>
      </c>
      <c r="J86" s="44">
        <v>10.81650287734</v>
      </c>
      <c r="K86" s="48">
        <v>106.71132089559</v>
      </c>
    </row>
    <row r="87" ht="22.5" customHeight="1">
      <c r="A87" s="44" t="s">
        <v>81</v>
      </c>
      <c r="B87" s="44" t="s">
        <v>1255</v>
      </c>
      <c r="C87" s="44" t="s">
        <v>1256</v>
      </c>
      <c r="D87" s="44" t="s">
        <v>1236</v>
      </c>
      <c r="E87" s="49" t="s">
        <v>891</v>
      </c>
      <c r="F87" s="44" t="s">
        <v>1125</v>
      </c>
      <c r="G87" s="44">
        <v>45.0</v>
      </c>
      <c r="H87" s="47" t="s">
        <v>970</v>
      </c>
      <c r="I87" s="47" t="s">
        <v>891</v>
      </c>
      <c r="J87" s="44">
        <v>10.907687</v>
      </c>
      <c r="K87" s="48">
        <v>106.890026</v>
      </c>
    </row>
    <row r="88" ht="22.5" customHeight="1">
      <c r="A88" s="44" t="s">
        <v>157</v>
      </c>
      <c r="B88" s="44" t="s">
        <v>1257</v>
      </c>
      <c r="C88" s="44" t="s">
        <v>1258</v>
      </c>
      <c r="D88" s="44" t="s">
        <v>1189</v>
      </c>
      <c r="E88" s="49" t="s">
        <v>893</v>
      </c>
      <c r="F88" s="44" t="s">
        <v>1088</v>
      </c>
      <c r="G88" s="44">
        <v>60.0</v>
      </c>
      <c r="H88" s="47" t="s">
        <v>970</v>
      </c>
      <c r="I88" s="47" t="s">
        <v>893</v>
      </c>
      <c r="J88" s="44">
        <v>10.800381</v>
      </c>
      <c r="K88" s="48">
        <v>106.621206</v>
      </c>
    </row>
    <row r="89" ht="22.5" customHeight="1">
      <c r="A89" s="44" t="s">
        <v>1259</v>
      </c>
      <c r="B89" s="44" t="s">
        <v>1260</v>
      </c>
      <c r="C89" s="44" t="s">
        <v>1261</v>
      </c>
      <c r="D89" s="44" t="s">
        <v>1129</v>
      </c>
      <c r="E89" s="49" t="s">
        <v>910</v>
      </c>
      <c r="F89" s="44" t="s">
        <v>987</v>
      </c>
      <c r="G89" s="44">
        <v>60.0</v>
      </c>
      <c r="H89" s="47" t="s">
        <v>970</v>
      </c>
      <c r="I89" s="47" t="s">
        <v>910</v>
      </c>
      <c r="J89" s="44">
        <v>10.768869059831</v>
      </c>
      <c r="K89" s="48">
        <v>106.66842585566</v>
      </c>
    </row>
    <row r="90" ht="22.5" customHeight="1">
      <c r="A90" s="44" t="s">
        <v>1262</v>
      </c>
      <c r="B90" s="44" t="s">
        <v>1263</v>
      </c>
      <c r="C90" s="44" t="s">
        <v>1264</v>
      </c>
      <c r="D90" s="44" t="s">
        <v>1007</v>
      </c>
      <c r="E90" s="49" t="s">
        <v>510</v>
      </c>
      <c r="F90" s="44" t="s">
        <v>983</v>
      </c>
      <c r="G90" s="44">
        <v>66.0</v>
      </c>
      <c r="H90" s="47" t="s">
        <v>970</v>
      </c>
      <c r="I90" s="47" t="s">
        <v>510</v>
      </c>
      <c r="J90" s="44">
        <v>10.864588</v>
      </c>
      <c r="K90" s="48">
        <v>106.74765</v>
      </c>
    </row>
    <row r="91" ht="22.5" customHeight="1">
      <c r="A91" s="44" t="s">
        <v>1265</v>
      </c>
      <c r="B91" s="44" t="s">
        <v>1266</v>
      </c>
      <c r="C91" s="44" t="s">
        <v>1267</v>
      </c>
      <c r="D91" s="44" t="s">
        <v>1268</v>
      </c>
      <c r="E91" s="49" t="s">
        <v>910</v>
      </c>
      <c r="F91" s="44" t="s">
        <v>987</v>
      </c>
      <c r="G91" s="44">
        <v>69.0</v>
      </c>
      <c r="H91" s="47" t="s">
        <v>970</v>
      </c>
      <c r="I91" s="47" t="s">
        <v>900</v>
      </c>
      <c r="J91" s="44">
        <v>10.783807</v>
      </c>
      <c r="K91" s="48">
        <v>106.690022</v>
      </c>
    </row>
    <row r="92" ht="22.5" customHeight="1">
      <c r="A92" s="44" t="s">
        <v>1269</v>
      </c>
      <c r="B92" s="44" t="s">
        <v>1270</v>
      </c>
      <c r="C92" s="44" t="s">
        <v>1271</v>
      </c>
      <c r="D92" s="44" t="s">
        <v>1272</v>
      </c>
      <c r="E92" s="49" t="s">
        <v>808</v>
      </c>
      <c r="F92" s="44" t="s">
        <v>998</v>
      </c>
      <c r="G92" s="44">
        <v>60.0</v>
      </c>
      <c r="H92" s="47" t="s">
        <v>970</v>
      </c>
      <c r="I92" s="47" t="s">
        <v>808</v>
      </c>
      <c r="J92" s="44">
        <v>10.755888</v>
      </c>
      <c r="K92" s="48">
        <v>106.632285</v>
      </c>
    </row>
    <row r="93" ht="22.5" customHeight="1">
      <c r="A93" s="44" t="s">
        <v>406</v>
      </c>
      <c r="B93" s="44" t="s">
        <v>1273</v>
      </c>
      <c r="C93" s="44" t="s">
        <v>1274</v>
      </c>
      <c r="D93" s="44" t="s">
        <v>1018</v>
      </c>
      <c r="E93" s="49" t="s">
        <v>808</v>
      </c>
      <c r="F93" s="44" t="s">
        <v>998</v>
      </c>
      <c r="G93" s="44">
        <v>60.0</v>
      </c>
      <c r="H93" s="47" t="s">
        <v>970</v>
      </c>
      <c r="I93" s="47" t="s">
        <v>808</v>
      </c>
      <c r="J93" s="44">
        <v>10.747499</v>
      </c>
      <c r="K93" s="48">
        <v>106.635258</v>
      </c>
    </row>
    <row r="94" ht="22.5" customHeight="1">
      <c r="A94" s="44" t="s">
        <v>405</v>
      </c>
      <c r="B94" s="44" t="s">
        <v>1275</v>
      </c>
      <c r="C94" s="44" t="s">
        <v>1276</v>
      </c>
      <c r="D94" s="44" t="s">
        <v>997</v>
      </c>
      <c r="E94" s="49" t="s">
        <v>808</v>
      </c>
      <c r="F94" s="44" t="s">
        <v>998</v>
      </c>
      <c r="G94" s="44">
        <v>60.0</v>
      </c>
      <c r="H94" s="47" t="s">
        <v>970</v>
      </c>
      <c r="I94" s="47" t="s">
        <v>825</v>
      </c>
      <c r="J94" s="44">
        <v>10.749455</v>
      </c>
      <c r="K94" s="48">
        <v>106.645057</v>
      </c>
    </row>
    <row r="95" ht="22.5" customHeight="1">
      <c r="A95" s="44" t="s">
        <v>1277</v>
      </c>
      <c r="B95" s="44" t="s">
        <v>1278</v>
      </c>
      <c r="C95" s="44" t="s">
        <v>1279</v>
      </c>
      <c r="D95" s="44" t="s">
        <v>1280</v>
      </c>
      <c r="E95" s="49" t="s">
        <v>510</v>
      </c>
      <c r="F95" s="44" t="s">
        <v>983</v>
      </c>
      <c r="G95" s="44">
        <v>66.0</v>
      </c>
      <c r="H95" s="47" t="s">
        <v>970</v>
      </c>
      <c r="I95" s="47" t="s">
        <v>895</v>
      </c>
      <c r="J95" s="44">
        <v>10.851196</v>
      </c>
      <c r="K95" s="48">
        <v>106.762825</v>
      </c>
    </row>
    <row r="96" ht="22.5" customHeight="1">
      <c r="A96" s="44" t="s">
        <v>1281</v>
      </c>
      <c r="B96" s="44" t="s">
        <v>1282</v>
      </c>
      <c r="C96" s="44" t="s">
        <v>1283</v>
      </c>
      <c r="D96" s="44" t="s">
        <v>986</v>
      </c>
      <c r="E96" s="49" t="s">
        <v>822</v>
      </c>
      <c r="F96" s="44" t="s">
        <v>1284</v>
      </c>
      <c r="G96" s="44">
        <v>30.0</v>
      </c>
      <c r="H96" s="47" t="s">
        <v>970</v>
      </c>
      <c r="I96" s="47" t="s">
        <v>822</v>
      </c>
      <c r="J96" s="44">
        <v>10.769119</v>
      </c>
      <c r="K96" s="48">
        <v>106.659352</v>
      </c>
    </row>
    <row r="97" ht="22.5" customHeight="1">
      <c r="A97" s="44" t="s">
        <v>561</v>
      </c>
      <c r="B97" s="44" t="s">
        <v>1285</v>
      </c>
      <c r="C97" s="44" t="s">
        <v>1006</v>
      </c>
      <c r="D97" s="44" t="s">
        <v>1007</v>
      </c>
      <c r="E97" s="49" t="s">
        <v>510</v>
      </c>
      <c r="F97" s="44" t="s">
        <v>983</v>
      </c>
      <c r="G97" s="44">
        <v>66.0</v>
      </c>
      <c r="H97" s="47" t="s">
        <v>970</v>
      </c>
      <c r="I97" s="47" t="s">
        <v>510</v>
      </c>
      <c r="J97" s="44">
        <v>10.86434</v>
      </c>
      <c r="K97" s="48">
        <v>106.745671</v>
      </c>
    </row>
    <row r="98" ht="22.5" customHeight="1">
      <c r="A98" s="44" t="s">
        <v>1286</v>
      </c>
      <c r="B98" s="44" t="s">
        <v>1287</v>
      </c>
      <c r="C98" s="44" t="s">
        <v>1006</v>
      </c>
      <c r="D98" s="44" t="s">
        <v>1007</v>
      </c>
      <c r="E98" s="49" t="s">
        <v>510</v>
      </c>
      <c r="F98" s="44" t="s">
        <v>983</v>
      </c>
      <c r="G98" s="44">
        <v>66.0</v>
      </c>
      <c r="H98" s="47" t="s">
        <v>970</v>
      </c>
      <c r="I98" s="47" t="s">
        <v>510</v>
      </c>
      <c r="J98" s="44">
        <v>10.86434</v>
      </c>
      <c r="K98" s="48">
        <v>106.745671</v>
      </c>
    </row>
    <row r="99" ht="22.5" customHeight="1">
      <c r="A99" s="44" t="s">
        <v>1288</v>
      </c>
      <c r="B99" s="44" t="s">
        <v>1289</v>
      </c>
      <c r="C99" s="44" t="s">
        <v>1290</v>
      </c>
      <c r="D99" s="44" t="s">
        <v>1167</v>
      </c>
      <c r="E99" s="49" t="s">
        <v>789</v>
      </c>
      <c r="F99" s="44" t="s">
        <v>1168</v>
      </c>
      <c r="G99" s="50">
        <v>69.0</v>
      </c>
      <c r="H99" s="47" t="s">
        <v>970</v>
      </c>
      <c r="I99" s="47" t="s">
        <v>789</v>
      </c>
      <c r="J99" s="44">
        <v>10.75148</v>
      </c>
      <c r="K99" s="48">
        <v>106.614404</v>
      </c>
    </row>
    <row r="100" ht="22.5" customHeight="1">
      <c r="A100" s="44" t="s">
        <v>1291</v>
      </c>
      <c r="B100" s="44" t="s">
        <v>1292</v>
      </c>
      <c r="C100" s="44" t="s">
        <v>1293</v>
      </c>
      <c r="D100" s="44" t="s">
        <v>982</v>
      </c>
      <c r="E100" s="49"/>
      <c r="F100" s="44" t="s">
        <v>1098</v>
      </c>
      <c r="G100" s="44"/>
      <c r="H100" s="47" t="s">
        <v>970</v>
      </c>
      <c r="I100" s="47" t="s">
        <v>832</v>
      </c>
      <c r="J100" s="44">
        <v>10.827003</v>
      </c>
      <c r="K100" s="48">
        <v>106.722965</v>
      </c>
    </row>
    <row r="101" ht="22.5" customHeight="1">
      <c r="A101" s="44" t="s">
        <v>520</v>
      </c>
      <c r="B101" s="44" t="s">
        <v>1294</v>
      </c>
      <c r="C101" s="44" t="s">
        <v>1295</v>
      </c>
      <c r="D101" s="44" t="s">
        <v>1129</v>
      </c>
      <c r="E101" s="49" t="s">
        <v>910</v>
      </c>
      <c r="F101" s="44" t="s">
        <v>987</v>
      </c>
      <c r="G101" s="44">
        <v>40.0</v>
      </c>
      <c r="H101" s="47" t="s">
        <v>970</v>
      </c>
      <c r="I101" s="47" t="s">
        <v>910</v>
      </c>
      <c r="J101" s="44">
        <v>10.776052</v>
      </c>
      <c r="K101" s="48">
        <v>106.671847</v>
      </c>
    </row>
    <row r="102" ht="22.5" customHeight="1">
      <c r="A102" s="44" t="s">
        <v>704</v>
      </c>
      <c r="B102" s="44" t="s">
        <v>1296</v>
      </c>
      <c r="C102" s="44" t="s">
        <v>1297</v>
      </c>
      <c r="D102" s="44" t="s">
        <v>1021</v>
      </c>
      <c r="E102" s="49" t="s">
        <v>897</v>
      </c>
      <c r="F102" s="44" t="s">
        <v>1027</v>
      </c>
      <c r="G102" s="44">
        <v>53.0</v>
      </c>
      <c r="H102" s="47" t="s">
        <v>970</v>
      </c>
      <c r="I102" s="47" t="s">
        <v>809</v>
      </c>
      <c r="J102" s="44">
        <v>10.833059</v>
      </c>
      <c r="K102" s="48">
        <v>106.664537</v>
      </c>
    </row>
    <row r="103" ht="22.5" customHeight="1">
      <c r="A103" s="44" t="s">
        <v>487</v>
      </c>
      <c r="B103" s="44" t="s">
        <v>1298</v>
      </c>
      <c r="C103" s="44" t="s">
        <v>1214</v>
      </c>
      <c r="D103" s="44" t="s">
        <v>1007</v>
      </c>
      <c r="E103" s="49" t="s">
        <v>894</v>
      </c>
      <c r="F103" s="44" t="s">
        <v>974</v>
      </c>
      <c r="G103" s="44">
        <v>68.0</v>
      </c>
      <c r="H103" s="47" t="s">
        <v>970</v>
      </c>
      <c r="I103" s="47" t="s">
        <v>510</v>
      </c>
      <c r="J103" s="44">
        <v>10.86434</v>
      </c>
      <c r="K103" s="48">
        <v>106.745671</v>
      </c>
    </row>
    <row r="104" ht="22.5" customHeight="1">
      <c r="A104" s="44" t="s">
        <v>500</v>
      </c>
      <c r="B104" s="44" t="s">
        <v>1299</v>
      </c>
      <c r="C104" s="44" t="s">
        <v>1300</v>
      </c>
      <c r="D104" s="44" t="s">
        <v>986</v>
      </c>
      <c r="E104" s="49" t="s">
        <v>910</v>
      </c>
      <c r="F104" s="44" t="s">
        <v>987</v>
      </c>
      <c r="G104" s="44">
        <v>30.0</v>
      </c>
      <c r="H104" s="47" t="s">
        <v>970</v>
      </c>
      <c r="I104" s="47" t="s">
        <v>822</v>
      </c>
      <c r="J104" s="44">
        <v>10.769125</v>
      </c>
      <c r="K104" s="48">
        <v>106.661549</v>
      </c>
    </row>
    <row r="105" ht="22.5" customHeight="1">
      <c r="A105" s="44" t="s">
        <v>735</v>
      </c>
      <c r="B105" s="44" t="s">
        <v>1301</v>
      </c>
      <c r="C105" s="44" t="s">
        <v>1302</v>
      </c>
      <c r="D105" s="44" t="s">
        <v>1303</v>
      </c>
      <c r="E105" s="49" t="s">
        <v>789</v>
      </c>
      <c r="F105" s="44" t="s">
        <v>1168</v>
      </c>
      <c r="G105" s="44">
        <v>60.0</v>
      </c>
      <c r="H105" s="47" t="s">
        <v>970</v>
      </c>
      <c r="I105" s="47" t="s">
        <v>789</v>
      </c>
      <c r="J105" s="44">
        <v>10.693756</v>
      </c>
      <c r="K105" s="48">
        <v>106.580183</v>
      </c>
    </row>
    <row r="106" ht="22.5" customHeight="1">
      <c r="A106" s="44" t="s">
        <v>774</v>
      </c>
      <c r="B106" s="44" t="s">
        <v>1304</v>
      </c>
      <c r="C106" s="44" t="s">
        <v>1305</v>
      </c>
      <c r="D106" s="44" t="s">
        <v>1306</v>
      </c>
      <c r="E106" s="49" t="s">
        <v>892</v>
      </c>
      <c r="F106" s="44" t="s">
        <v>1108</v>
      </c>
      <c r="G106" s="44">
        <v>100.0</v>
      </c>
      <c r="H106" s="47" t="s">
        <v>970</v>
      </c>
      <c r="I106" s="47" t="s">
        <v>892</v>
      </c>
      <c r="J106" s="44">
        <v>11.13011</v>
      </c>
      <c r="K106" s="48">
        <v>106.603447</v>
      </c>
    </row>
    <row r="107" ht="22.5" customHeight="1">
      <c r="A107" s="44" t="s">
        <v>402</v>
      </c>
      <c r="B107" s="44" t="s">
        <v>1307</v>
      </c>
      <c r="C107" s="44" t="s">
        <v>1308</v>
      </c>
      <c r="D107" s="44" t="s">
        <v>1268</v>
      </c>
      <c r="E107" s="49" t="s">
        <v>888</v>
      </c>
      <c r="F107" s="44" t="s">
        <v>1136</v>
      </c>
      <c r="G107" s="44">
        <v>69.0</v>
      </c>
      <c r="H107" s="47" t="s">
        <v>970</v>
      </c>
      <c r="I107" s="47" t="s">
        <v>902</v>
      </c>
      <c r="J107" s="44">
        <v>10.785292</v>
      </c>
      <c r="K107" s="48">
        <v>106.682797</v>
      </c>
    </row>
    <row r="108" ht="22.5" customHeight="1">
      <c r="A108" s="44" t="s">
        <v>540</v>
      </c>
      <c r="B108" s="44" t="s">
        <v>1309</v>
      </c>
      <c r="C108" s="44" t="s">
        <v>1310</v>
      </c>
      <c r="D108" s="44" t="s">
        <v>990</v>
      </c>
      <c r="E108" s="49" t="s">
        <v>894</v>
      </c>
      <c r="F108" s="44" t="s">
        <v>974</v>
      </c>
      <c r="G108" s="44">
        <v>38.0</v>
      </c>
      <c r="H108" s="47" t="s">
        <v>970</v>
      </c>
      <c r="I108" s="47" t="s">
        <v>894</v>
      </c>
      <c r="J108" s="44">
        <v>10.732503</v>
      </c>
      <c r="K108" s="48">
        <v>106.718007</v>
      </c>
    </row>
    <row r="109" ht="22.5" customHeight="1">
      <c r="A109" s="44" t="s">
        <v>434</v>
      </c>
      <c r="B109" s="44" t="s">
        <v>1311</v>
      </c>
      <c r="C109" s="44" t="s">
        <v>1312</v>
      </c>
      <c r="D109" s="44" t="s">
        <v>982</v>
      </c>
      <c r="E109" s="49" t="s">
        <v>510</v>
      </c>
      <c r="F109" s="44" t="s">
        <v>983</v>
      </c>
      <c r="G109" s="44">
        <v>66.0</v>
      </c>
      <c r="H109" s="47" t="s">
        <v>970</v>
      </c>
      <c r="I109" s="47" t="s">
        <v>510</v>
      </c>
      <c r="J109" s="44">
        <v>10.845143</v>
      </c>
      <c r="K109" s="48">
        <v>106.727423</v>
      </c>
    </row>
    <row r="110" ht="22.5" customHeight="1">
      <c r="A110" s="44" t="s">
        <v>683</v>
      </c>
      <c r="B110" s="44" t="s">
        <v>1313</v>
      </c>
      <c r="C110" s="44" t="s">
        <v>1314</v>
      </c>
      <c r="D110" s="44" t="s">
        <v>973</v>
      </c>
      <c r="E110" s="49" t="s">
        <v>894</v>
      </c>
      <c r="F110" s="44" t="s">
        <v>974</v>
      </c>
      <c r="G110" s="44">
        <v>68.0</v>
      </c>
      <c r="H110" s="47" t="s">
        <v>970</v>
      </c>
      <c r="I110" s="47" t="s">
        <v>894</v>
      </c>
      <c r="J110" s="44">
        <v>10.729432</v>
      </c>
      <c r="K110" s="48">
        <v>106.70437</v>
      </c>
    </row>
    <row r="111" ht="22.5" customHeight="1">
      <c r="A111" s="44" t="s">
        <v>177</v>
      </c>
      <c r="B111" s="44" t="s">
        <v>1315</v>
      </c>
      <c r="C111" s="44" t="s">
        <v>1316</v>
      </c>
      <c r="D111" s="44" t="s">
        <v>1317</v>
      </c>
      <c r="E111" s="49" t="s">
        <v>894</v>
      </c>
      <c r="F111" s="44" t="s">
        <v>974</v>
      </c>
      <c r="G111" s="44">
        <v>68.0</v>
      </c>
      <c r="H111" s="47" t="s">
        <v>970</v>
      </c>
      <c r="I111" s="47" t="s">
        <v>894</v>
      </c>
      <c r="J111" s="44">
        <v>10.738155</v>
      </c>
      <c r="K111" s="48">
        <v>106.721114</v>
      </c>
    </row>
    <row r="112" ht="22.5" customHeight="1">
      <c r="A112" s="44" t="s">
        <v>1318</v>
      </c>
      <c r="B112" s="44" t="s">
        <v>1319</v>
      </c>
      <c r="C112" s="44" t="s">
        <v>1320</v>
      </c>
      <c r="D112" s="44" t="s">
        <v>1067</v>
      </c>
      <c r="E112" s="49" t="s">
        <v>897</v>
      </c>
      <c r="F112" s="44" t="s">
        <v>1027</v>
      </c>
      <c r="G112" s="44">
        <v>75.0</v>
      </c>
      <c r="H112" s="47" t="s">
        <v>970</v>
      </c>
      <c r="I112" s="47" t="s">
        <v>896</v>
      </c>
      <c r="J112" s="44">
        <v>10.832409</v>
      </c>
      <c r="K112" s="48">
        <v>106.615338</v>
      </c>
    </row>
    <row r="113" ht="22.5" customHeight="1">
      <c r="A113" s="44" t="s">
        <v>1321</v>
      </c>
      <c r="B113" s="44" t="s">
        <v>1322</v>
      </c>
      <c r="C113" s="44" t="s">
        <v>1323</v>
      </c>
      <c r="D113" s="44" t="s">
        <v>1303</v>
      </c>
      <c r="E113" s="49" t="s">
        <v>789</v>
      </c>
      <c r="F113" s="44" t="s">
        <v>1168</v>
      </c>
      <c r="G113" s="44">
        <v>60.0</v>
      </c>
      <c r="H113" s="47" t="s">
        <v>970</v>
      </c>
      <c r="I113" s="47" t="s">
        <v>789</v>
      </c>
      <c r="J113" s="44">
        <v>10.709293</v>
      </c>
      <c r="K113" s="48">
        <v>106.576039</v>
      </c>
    </row>
    <row r="114" ht="22.5" customHeight="1">
      <c r="A114" s="44" t="s">
        <v>1324</v>
      </c>
      <c r="B114" s="44" t="s">
        <v>1325</v>
      </c>
      <c r="C114" s="44" t="s">
        <v>1326</v>
      </c>
      <c r="D114" s="44" t="s">
        <v>990</v>
      </c>
      <c r="E114" s="49" t="s">
        <v>894</v>
      </c>
      <c r="F114" s="44" t="s">
        <v>974</v>
      </c>
      <c r="G114" s="44">
        <v>38.0</v>
      </c>
      <c r="H114" s="47" t="s">
        <v>970</v>
      </c>
      <c r="I114" s="47" t="s">
        <v>894</v>
      </c>
      <c r="J114" s="44">
        <v>10.727509</v>
      </c>
      <c r="K114" s="48">
        <v>106.720261</v>
      </c>
    </row>
    <row r="115" ht="22.5" customHeight="1">
      <c r="A115" s="44" t="s">
        <v>481</v>
      </c>
      <c r="B115" s="44" t="s">
        <v>1327</v>
      </c>
      <c r="C115" s="44" t="s">
        <v>1328</v>
      </c>
      <c r="D115" s="44" t="s">
        <v>1007</v>
      </c>
      <c r="E115" s="49" t="s">
        <v>510</v>
      </c>
      <c r="F115" s="44" t="s">
        <v>983</v>
      </c>
      <c r="G115" s="44">
        <v>51.0</v>
      </c>
      <c r="H115" s="47" t="s">
        <v>970</v>
      </c>
      <c r="I115" s="47" t="s">
        <v>510</v>
      </c>
      <c r="J115" s="44">
        <v>10.878192</v>
      </c>
      <c r="K115" s="48">
        <v>106.731674</v>
      </c>
    </row>
    <row r="116" ht="22.5" customHeight="1">
      <c r="A116" s="44" t="s">
        <v>1329</v>
      </c>
      <c r="B116" s="44" t="s">
        <v>1330</v>
      </c>
      <c r="C116" s="44" t="s">
        <v>1331</v>
      </c>
      <c r="D116" s="44" t="s">
        <v>1007</v>
      </c>
      <c r="E116" s="49" t="s">
        <v>510</v>
      </c>
      <c r="F116" s="44" t="s">
        <v>983</v>
      </c>
      <c r="G116" s="44">
        <v>106.0</v>
      </c>
      <c r="H116" s="47" t="s">
        <v>970</v>
      </c>
      <c r="I116" s="47" t="s">
        <v>510</v>
      </c>
      <c r="J116" s="44">
        <v>10.862592</v>
      </c>
      <c r="K116" s="48">
        <v>106.746294</v>
      </c>
    </row>
    <row r="117" ht="22.5" customHeight="1">
      <c r="A117" s="44" t="s">
        <v>1332</v>
      </c>
      <c r="B117" s="44" t="s">
        <v>1333</v>
      </c>
      <c r="C117" s="44" t="s">
        <v>1334</v>
      </c>
      <c r="D117" s="44" t="s">
        <v>1139</v>
      </c>
      <c r="E117" s="49" t="s">
        <v>894</v>
      </c>
      <c r="F117" s="44" t="s">
        <v>974</v>
      </c>
      <c r="G117" s="44">
        <v>68.0</v>
      </c>
      <c r="H117" s="47" t="s">
        <v>970</v>
      </c>
      <c r="I117" s="47" t="s">
        <v>882</v>
      </c>
      <c r="J117" s="44">
        <v>10.694429</v>
      </c>
      <c r="K117" s="48">
        <v>106.740123</v>
      </c>
    </row>
    <row r="118" ht="22.5" customHeight="1">
      <c r="A118" s="44" t="s">
        <v>636</v>
      </c>
      <c r="B118" s="44" t="s">
        <v>1335</v>
      </c>
      <c r="C118" s="44" t="s">
        <v>1336</v>
      </c>
      <c r="D118" s="44" t="s">
        <v>973</v>
      </c>
      <c r="E118" s="49" t="s">
        <v>894</v>
      </c>
      <c r="F118" s="44" t="s">
        <v>974</v>
      </c>
      <c r="G118" s="44">
        <v>38.0</v>
      </c>
      <c r="H118" s="47" t="s">
        <v>970</v>
      </c>
      <c r="I118" s="47" t="s">
        <v>894</v>
      </c>
      <c r="J118" s="44">
        <v>10.731856</v>
      </c>
      <c r="K118" s="48">
        <v>106.7079</v>
      </c>
    </row>
    <row r="119" ht="22.5" customHeight="1">
      <c r="A119" s="44" t="s">
        <v>1337</v>
      </c>
      <c r="B119" s="44" t="s">
        <v>1338</v>
      </c>
      <c r="C119" s="44" t="s">
        <v>1339</v>
      </c>
      <c r="D119" s="44" t="s">
        <v>1007</v>
      </c>
      <c r="E119" s="49" t="s">
        <v>510</v>
      </c>
      <c r="F119" s="44" t="s">
        <v>983</v>
      </c>
      <c r="G119" s="44">
        <v>66.0</v>
      </c>
      <c r="H119" s="47" t="s">
        <v>970</v>
      </c>
      <c r="I119" s="47" t="s">
        <v>510</v>
      </c>
      <c r="J119" s="44">
        <v>10.87854</v>
      </c>
      <c r="K119" s="48">
        <v>106.73105</v>
      </c>
    </row>
    <row r="120" ht="22.5" customHeight="1">
      <c r="A120" s="44" t="s">
        <v>543</v>
      </c>
      <c r="B120" s="44" t="s">
        <v>1340</v>
      </c>
      <c r="C120" s="44" t="s">
        <v>1341</v>
      </c>
      <c r="D120" s="44" t="s">
        <v>1014</v>
      </c>
      <c r="E120" s="49" t="s">
        <v>813</v>
      </c>
      <c r="F120" s="44" t="s">
        <v>1015</v>
      </c>
      <c r="G120" s="44">
        <v>46.0</v>
      </c>
      <c r="H120" s="47" t="s">
        <v>970</v>
      </c>
      <c r="I120" s="47" t="s">
        <v>813</v>
      </c>
      <c r="J120" s="44">
        <v>10.754167</v>
      </c>
      <c r="K120" s="48">
        <v>106.678333</v>
      </c>
    </row>
    <row r="121" ht="22.5" customHeight="1">
      <c r="A121" s="44" t="s">
        <v>1342</v>
      </c>
      <c r="B121" s="44" t="s">
        <v>1343</v>
      </c>
      <c r="C121" s="44" t="s">
        <v>1344</v>
      </c>
      <c r="D121" s="44" t="s">
        <v>1345</v>
      </c>
      <c r="E121" s="49" t="s">
        <v>822</v>
      </c>
      <c r="F121" s="44" t="s">
        <v>1284</v>
      </c>
      <c r="G121" s="44">
        <v>60.0</v>
      </c>
      <c r="H121" s="47" t="s">
        <v>970</v>
      </c>
      <c r="I121" s="47" t="s">
        <v>822</v>
      </c>
      <c r="J121" s="44">
        <v>10.75931</v>
      </c>
      <c r="K121" s="48">
        <v>106.656188</v>
      </c>
    </row>
    <row r="122" ht="22.5" customHeight="1">
      <c r="A122" s="44" t="s">
        <v>1346</v>
      </c>
      <c r="B122" s="44" t="s">
        <v>1347</v>
      </c>
      <c r="C122" s="44" t="s">
        <v>1348</v>
      </c>
      <c r="D122" s="44" t="s">
        <v>1345</v>
      </c>
      <c r="E122" s="49" t="s">
        <v>808</v>
      </c>
      <c r="F122" s="44" t="s">
        <v>998</v>
      </c>
      <c r="G122" s="44">
        <v>60.0</v>
      </c>
      <c r="H122" s="47" t="s">
        <v>970</v>
      </c>
      <c r="I122" s="47" t="s">
        <v>825</v>
      </c>
      <c r="J122" s="44">
        <v>10.758343</v>
      </c>
      <c r="K122" s="48">
        <v>106.642601</v>
      </c>
    </row>
    <row r="123" ht="22.5" customHeight="1">
      <c r="A123" s="44" t="s">
        <v>1349</v>
      </c>
      <c r="B123" s="44" t="s">
        <v>1350</v>
      </c>
      <c r="C123" s="44" t="s">
        <v>1351</v>
      </c>
      <c r="D123" s="44" t="s">
        <v>1076</v>
      </c>
      <c r="E123" s="49" t="s">
        <v>813</v>
      </c>
      <c r="F123" s="44" t="s">
        <v>1015</v>
      </c>
      <c r="G123" s="44">
        <v>76.0</v>
      </c>
      <c r="H123" s="47" t="s">
        <v>970</v>
      </c>
      <c r="I123" s="47" t="s">
        <v>813</v>
      </c>
      <c r="J123" s="44">
        <v>10.754244</v>
      </c>
      <c r="K123" s="48">
        <v>106.671571</v>
      </c>
    </row>
    <row r="124" ht="22.5" customHeight="1">
      <c r="A124" s="44" t="s">
        <v>135</v>
      </c>
      <c r="B124" s="44" t="s">
        <v>1352</v>
      </c>
      <c r="C124" s="44" t="s">
        <v>1353</v>
      </c>
      <c r="D124" s="44" t="s">
        <v>1104</v>
      </c>
      <c r="E124" s="49" t="s">
        <v>893</v>
      </c>
      <c r="F124" s="44" t="s">
        <v>1088</v>
      </c>
      <c r="G124" s="44">
        <v>30.0</v>
      </c>
      <c r="H124" s="47" t="s">
        <v>970</v>
      </c>
      <c r="I124" s="47" t="s">
        <v>820</v>
      </c>
      <c r="J124" s="44">
        <v>10.772399</v>
      </c>
      <c r="K124" s="48">
        <v>106.624831</v>
      </c>
    </row>
    <row r="125" ht="22.5" customHeight="1">
      <c r="A125" s="44" t="s">
        <v>411</v>
      </c>
      <c r="B125" s="44" t="s">
        <v>1354</v>
      </c>
      <c r="C125" s="44" t="s">
        <v>1355</v>
      </c>
      <c r="D125" s="44" t="s">
        <v>1120</v>
      </c>
      <c r="E125" s="49" t="s">
        <v>895</v>
      </c>
      <c r="F125" s="44" t="s">
        <v>1121</v>
      </c>
      <c r="G125" s="44">
        <v>72.0</v>
      </c>
      <c r="H125" s="47" t="s">
        <v>970</v>
      </c>
      <c r="I125" s="47" t="s">
        <v>895</v>
      </c>
      <c r="J125" s="44">
        <v>10.846952</v>
      </c>
      <c r="K125" s="48">
        <v>106.777419</v>
      </c>
    </row>
    <row r="126" ht="22.5" customHeight="1">
      <c r="A126" s="44" t="s">
        <v>1356</v>
      </c>
      <c r="B126" s="44" t="s">
        <v>1357</v>
      </c>
      <c r="C126" s="44" t="s">
        <v>1358</v>
      </c>
      <c r="D126" s="44" t="s">
        <v>1359</v>
      </c>
      <c r="E126" s="49" t="s">
        <v>813</v>
      </c>
      <c r="F126" s="44" t="s">
        <v>1015</v>
      </c>
      <c r="G126" s="44">
        <v>76.0</v>
      </c>
      <c r="H126" s="47" t="s">
        <v>970</v>
      </c>
      <c r="I126" s="47" t="s">
        <v>822</v>
      </c>
      <c r="J126" s="44">
        <v>10.754445150097</v>
      </c>
      <c r="K126" s="48">
        <v>106.66220397907</v>
      </c>
    </row>
    <row r="127" ht="22.5" customHeight="1">
      <c r="A127" s="44" t="s">
        <v>1360</v>
      </c>
      <c r="B127" s="44" t="s">
        <v>1361</v>
      </c>
      <c r="C127" s="44" t="s">
        <v>1362</v>
      </c>
      <c r="D127" s="44" t="s">
        <v>1014</v>
      </c>
      <c r="E127" s="49" t="s">
        <v>813</v>
      </c>
      <c r="F127" s="44" t="s">
        <v>1015</v>
      </c>
      <c r="G127" s="44">
        <v>76.0</v>
      </c>
      <c r="H127" s="47" t="s">
        <v>970</v>
      </c>
      <c r="I127" s="47" t="s">
        <v>813</v>
      </c>
      <c r="J127" s="44">
        <v>10.757242</v>
      </c>
      <c r="K127" s="48">
        <v>106.68078</v>
      </c>
    </row>
    <row r="128" ht="22.5" customHeight="1">
      <c r="A128" s="44" t="s">
        <v>1363</v>
      </c>
      <c r="B128" s="44" t="s">
        <v>1364</v>
      </c>
      <c r="C128" s="44" t="s">
        <v>1365</v>
      </c>
      <c r="D128" s="44" t="s">
        <v>986</v>
      </c>
      <c r="E128" s="49" t="s">
        <v>910</v>
      </c>
      <c r="F128" s="44" t="s">
        <v>987</v>
      </c>
      <c r="G128" s="44">
        <v>60.0</v>
      </c>
      <c r="H128" s="47" t="s">
        <v>970</v>
      </c>
      <c r="I128" s="47" t="s">
        <v>822</v>
      </c>
      <c r="J128" s="44">
        <v>10.767412</v>
      </c>
      <c r="K128" s="48">
        <v>106.660336</v>
      </c>
    </row>
    <row r="129" ht="22.5" customHeight="1">
      <c r="A129" s="44" t="s">
        <v>462</v>
      </c>
      <c r="B129" s="44" t="s">
        <v>1366</v>
      </c>
      <c r="C129" s="44" t="s">
        <v>1367</v>
      </c>
      <c r="D129" s="44" t="s">
        <v>1368</v>
      </c>
      <c r="E129" s="49" t="s">
        <v>814</v>
      </c>
      <c r="F129" s="44" t="s">
        <v>1369</v>
      </c>
      <c r="G129" s="44">
        <v>30.0</v>
      </c>
      <c r="H129" s="47" t="s">
        <v>970</v>
      </c>
      <c r="I129" s="47" t="s">
        <v>814</v>
      </c>
      <c r="J129" s="44">
        <v>10.792199</v>
      </c>
      <c r="K129" s="48">
        <v>106.672629</v>
      </c>
    </row>
    <row r="130" ht="22.5" customHeight="1">
      <c r="A130" s="44" t="s">
        <v>1370</v>
      </c>
      <c r="B130" s="44" t="s">
        <v>1371</v>
      </c>
      <c r="C130" s="44" t="s">
        <v>1372</v>
      </c>
      <c r="D130" s="44" t="s">
        <v>1359</v>
      </c>
      <c r="E130" s="49" t="s">
        <v>813</v>
      </c>
      <c r="F130" s="44" t="s">
        <v>1015</v>
      </c>
      <c r="G130" s="44">
        <v>76.0</v>
      </c>
      <c r="H130" s="47" t="s">
        <v>970</v>
      </c>
      <c r="I130" s="47" t="s">
        <v>822</v>
      </c>
      <c r="J130" s="44">
        <v>10.755588</v>
      </c>
      <c r="K130" s="48">
        <v>106.661776</v>
      </c>
    </row>
    <row r="131" ht="22.5" customHeight="1">
      <c r="A131" s="44" t="s">
        <v>1373</v>
      </c>
      <c r="B131" s="44" t="s">
        <v>1374</v>
      </c>
      <c r="C131" s="44" t="s">
        <v>1375</v>
      </c>
      <c r="D131" s="44" t="s">
        <v>1014</v>
      </c>
      <c r="E131" s="49" t="s">
        <v>813</v>
      </c>
      <c r="F131" s="44" t="s">
        <v>1015</v>
      </c>
      <c r="G131" s="44">
        <v>75.0</v>
      </c>
      <c r="H131" s="47" t="s">
        <v>970</v>
      </c>
      <c r="I131" s="47" t="s">
        <v>811</v>
      </c>
      <c r="J131" s="44">
        <v>10.754606</v>
      </c>
      <c r="K131" s="48">
        <v>106.683766</v>
      </c>
    </row>
    <row r="132" ht="22.5" customHeight="1">
      <c r="A132" s="44" t="s">
        <v>792</v>
      </c>
      <c r="B132" s="44" t="s">
        <v>1376</v>
      </c>
      <c r="C132" s="44" t="s">
        <v>1377</v>
      </c>
      <c r="D132" s="44" t="s">
        <v>1378</v>
      </c>
      <c r="E132" s="49" t="s">
        <v>892</v>
      </c>
      <c r="F132" s="44" t="s">
        <v>1108</v>
      </c>
      <c r="G132" s="44">
        <v>60.0</v>
      </c>
      <c r="H132" s="47" t="s">
        <v>970</v>
      </c>
      <c r="I132" s="47" t="s">
        <v>891</v>
      </c>
      <c r="J132" s="44">
        <v>11.0854347</v>
      </c>
      <c r="K132" s="48">
        <v>106.7802729</v>
      </c>
    </row>
    <row r="133" ht="22.5" customHeight="1">
      <c r="A133" s="44" t="s">
        <v>1379</v>
      </c>
      <c r="B133" s="44" t="s">
        <v>1380</v>
      </c>
      <c r="C133" s="44" t="s">
        <v>1381</v>
      </c>
      <c r="D133" s="44" t="s">
        <v>1167</v>
      </c>
      <c r="E133" s="49" t="s">
        <v>789</v>
      </c>
      <c r="F133" s="44" t="s">
        <v>1168</v>
      </c>
      <c r="G133" s="44">
        <v>70.0</v>
      </c>
      <c r="H133" s="47" t="s">
        <v>970</v>
      </c>
      <c r="I133" s="47" t="s">
        <v>789</v>
      </c>
      <c r="J133" s="44">
        <v>10.742161</v>
      </c>
      <c r="K133" s="48">
        <v>106.61993932</v>
      </c>
    </row>
    <row r="134" ht="22.5" customHeight="1">
      <c r="A134" s="44" t="s">
        <v>209</v>
      </c>
      <c r="B134" s="44" t="s">
        <v>1382</v>
      </c>
      <c r="C134" s="44" t="s">
        <v>1383</v>
      </c>
      <c r="D134" s="44" t="s">
        <v>1030</v>
      </c>
      <c r="E134" s="49" t="s">
        <v>887</v>
      </c>
      <c r="F134" s="44" t="s">
        <v>1031</v>
      </c>
      <c r="G134" s="44">
        <v>74.0</v>
      </c>
      <c r="H134" s="47" t="s">
        <v>970</v>
      </c>
      <c r="I134" s="47" t="s">
        <v>832</v>
      </c>
      <c r="J134" s="44">
        <v>10.805575</v>
      </c>
      <c r="K134" s="48">
        <v>106.735806</v>
      </c>
    </row>
    <row r="135" ht="22.5" customHeight="1">
      <c r="A135" s="44" t="s">
        <v>213</v>
      </c>
      <c r="B135" s="44" t="s">
        <v>1384</v>
      </c>
      <c r="C135" s="44" t="s">
        <v>1385</v>
      </c>
      <c r="D135" s="44" t="s">
        <v>1030</v>
      </c>
      <c r="E135" s="49" t="s">
        <v>887</v>
      </c>
      <c r="F135" s="44" t="s">
        <v>1031</v>
      </c>
      <c r="G135" s="44">
        <v>44.0</v>
      </c>
      <c r="H135" s="47" t="s">
        <v>970</v>
      </c>
      <c r="I135" s="47" t="s">
        <v>887</v>
      </c>
      <c r="J135" s="44">
        <v>10.787519</v>
      </c>
      <c r="K135" s="48">
        <v>106.733423</v>
      </c>
    </row>
    <row r="136" ht="22.5" customHeight="1">
      <c r="A136" s="44" t="s">
        <v>1386</v>
      </c>
      <c r="B136" s="44" t="s">
        <v>1387</v>
      </c>
      <c r="C136" s="44" t="s">
        <v>1388</v>
      </c>
      <c r="D136" s="44" t="s">
        <v>1111</v>
      </c>
      <c r="E136" s="49" t="s">
        <v>789</v>
      </c>
      <c r="F136" s="44" t="s">
        <v>1168</v>
      </c>
      <c r="G136" s="50">
        <v>69.0</v>
      </c>
      <c r="H136" s="47" t="s">
        <v>970</v>
      </c>
      <c r="I136" s="47" t="s">
        <v>820</v>
      </c>
      <c r="J136" s="44">
        <v>10.76436</v>
      </c>
      <c r="K136" s="48">
        <v>106.60321</v>
      </c>
    </row>
    <row r="137" ht="22.5" customHeight="1">
      <c r="A137" s="44" t="s">
        <v>1389</v>
      </c>
      <c r="B137" s="44" t="s">
        <v>1390</v>
      </c>
      <c r="C137" s="44" t="s">
        <v>1391</v>
      </c>
      <c r="D137" s="44" t="s">
        <v>1093</v>
      </c>
      <c r="E137" s="49" t="s">
        <v>809</v>
      </c>
      <c r="F137" s="44" t="s">
        <v>1022</v>
      </c>
      <c r="G137" s="44">
        <v>90.0</v>
      </c>
      <c r="H137" s="47" t="s">
        <v>970</v>
      </c>
      <c r="I137" s="47" t="s">
        <v>809</v>
      </c>
      <c r="J137" s="44">
        <v>10.827457</v>
      </c>
      <c r="K137" s="48">
        <v>106.681194</v>
      </c>
    </row>
    <row r="138" ht="22.5" customHeight="1">
      <c r="A138" s="44" t="s">
        <v>1392</v>
      </c>
      <c r="B138" s="44" t="s">
        <v>1393</v>
      </c>
      <c r="C138" s="44" t="s">
        <v>1394</v>
      </c>
      <c r="D138" s="44" t="s">
        <v>1120</v>
      </c>
      <c r="E138" s="49" t="s">
        <v>896</v>
      </c>
      <c r="F138" s="44" t="s">
        <v>1395</v>
      </c>
      <c r="G138" s="50">
        <v>60.0</v>
      </c>
      <c r="H138" s="47" t="s">
        <v>970</v>
      </c>
      <c r="I138" s="47" t="s">
        <v>895</v>
      </c>
      <c r="J138" s="44">
        <v>10.847097</v>
      </c>
      <c r="K138" s="48">
        <v>106.8166</v>
      </c>
    </row>
    <row r="139" ht="22.5" customHeight="1">
      <c r="A139" s="44" t="s">
        <v>1396</v>
      </c>
      <c r="B139" s="44" t="s">
        <v>1397</v>
      </c>
      <c r="C139" s="44" t="s">
        <v>1398</v>
      </c>
      <c r="D139" s="44" t="s">
        <v>1076</v>
      </c>
      <c r="E139" s="49"/>
      <c r="F139" s="44" t="s">
        <v>1098</v>
      </c>
      <c r="G139" s="44"/>
      <c r="H139" s="47" t="s">
        <v>970</v>
      </c>
      <c r="I139" s="47" t="s">
        <v>813</v>
      </c>
      <c r="J139" s="44">
        <v>10.75642</v>
      </c>
      <c r="K139" s="48">
        <v>106.673404</v>
      </c>
    </row>
    <row r="140" ht="22.5" customHeight="1">
      <c r="A140" s="44" t="s">
        <v>221</v>
      </c>
      <c r="B140" s="44" t="s">
        <v>1399</v>
      </c>
      <c r="C140" s="44" t="s">
        <v>1400</v>
      </c>
      <c r="D140" s="44" t="s">
        <v>1030</v>
      </c>
      <c r="E140" s="49" t="s">
        <v>887</v>
      </c>
      <c r="F140" s="44" t="s">
        <v>1031</v>
      </c>
      <c r="G140" s="44">
        <v>70.0</v>
      </c>
      <c r="H140" s="47" t="s">
        <v>970</v>
      </c>
      <c r="I140" s="47" t="s">
        <v>832</v>
      </c>
      <c r="J140" s="44">
        <v>10.80128</v>
      </c>
      <c r="K140" s="48">
        <v>106.732872</v>
      </c>
    </row>
    <row r="141" ht="22.5" customHeight="1">
      <c r="A141" s="44" t="s">
        <v>1401</v>
      </c>
      <c r="B141" s="44" t="s">
        <v>1402</v>
      </c>
      <c r="C141" s="44" t="s">
        <v>1403</v>
      </c>
      <c r="D141" s="44" t="s">
        <v>1303</v>
      </c>
      <c r="E141" s="49" t="s">
        <v>789</v>
      </c>
      <c r="F141" s="44" t="s">
        <v>1168</v>
      </c>
      <c r="G141" s="44">
        <v>60.0</v>
      </c>
      <c r="H141" s="47" t="s">
        <v>970</v>
      </c>
      <c r="I141" s="47" t="s">
        <v>789</v>
      </c>
      <c r="J141" s="44">
        <v>10.708722</v>
      </c>
      <c r="K141" s="48">
        <v>106.574097</v>
      </c>
    </row>
    <row r="142" ht="22.5" customHeight="1">
      <c r="A142" s="44" t="s">
        <v>125</v>
      </c>
      <c r="B142" s="44" t="s">
        <v>1404</v>
      </c>
      <c r="C142" s="44" t="s">
        <v>1405</v>
      </c>
      <c r="D142" s="44" t="s">
        <v>1104</v>
      </c>
      <c r="E142" s="49" t="s">
        <v>893</v>
      </c>
      <c r="F142" s="44" t="s">
        <v>1088</v>
      </c>
      <c r="G142" s="44">
        <v>30.0</v>
      </c>
      <c r="H142" s="47" t="s">
        <v>970</v>
      </c>
      <c r="I142" s="47" t="s">
        <v>518</v>
      </c>
      <c r="J142" s="44">
        <v>10.771686</v>
      </c>
      <c r="K142" s="48">
        <v>106.628724</v>
      </c>
    </row>
    <row r="143" ht="22.5" customHeight="1">
      <c r="A143" s="44" t="s">
        <v>753</v>
      </c>
      <c r="B143" s="44" t="s">
        <v>1406</v>
      </c>
      <c r="C143" s="44" t="s">
        <v>1407</v>
      </c>
      <c r="D143" s="44" t="s">
        <v>1408</v>
      </c>
      <c r="E143" s="49" t="s">
        <v>797</v>
      </c>
      <c r="F143" s="44" t="s">
        <v>1409</v>
      </c>
      <c r="G143" s="44">
        <v>30.0</v>
      </c>
      <c r="H143" s="47" t="s">
        <v>970</v>
      </c>
      <c r="I143" s="47" t="s">
        <v>797</v>
      </c>
      <c r="J143" s="44">
        <v>10.868937</v>
      </c>
      <c r="K143" s="48">
        <v>106.597391</v>
      </c>
    </row>
    <row r="144" ht="22.5" customHeight="1">
      <c r="A144" s="44" t="s">
        <v>1410</v>
      </c>
      <c r="B144" s="44" t="s">
        <v>1411</v>
      </c>
      <c r="C144" s="44" t="s">
        <v>1412</v>
      </c>
      <c r="D144" s="44" t="s">
        <v>1317</v>
      </c>
      <c r="E144" s="49" t="s">
        <v>894</v>
      </c>
      <c r="F144" s="44" t="s">
        <v>974</v>
      </c>
      <c r="G144" s="44">
        <v>38.0</v>
      </c>
      <c r="H144" s="47" t="s">
        <v>970</v>
      </c>
      <c r="I144" s="47" t="s">
        <v>894</v>
      </c>
      <c r="J144" s="44">
        <v>10.741392</v>
      </c>
      <c r="K144" s="48">
        <v>106.728779</v>
      </c>
    </row>
    <row r="145" ht="22.5" customHeight="1">
      <c r="A145" s="44" t="s">
        <v>555</v>
      </c>
      <c r="B145" s="44" t="s">
        <v>1413</v>
      </c>
      <c r="C145" s="44" t="s">
        <v>1414</v>
      </c>
      <c r="D145" s="44" t="s">
        <v>1227</v>
      </c>
      <c r="E145" s="49" t="s">
        <v>890</v>
      </c>
      <c r="F145" s="44" t="s">
        <v>1228</v>
      </c>
      <c r="G145" s="44">
        <v>30.0</v>
      </c>
      <c r="H145" s="47" t="s">
        <v>970</v>
      </c>
      <c r="I145" s="47" t="s">
        <v>890</v>
      </c>
      <c r="J145" s="44">
        <v>10.907794</v>
      </c>
      <c r="K145" s="48">
        <v>106.760024</v>
      </c>
    </row>
    <row r="146" ht="22.5" customHeight="1">
      <c r="A146" s="44" t="s">
        <v>1415</v>
      </c>
      <c r="B146" s="44" t="s">
        <v>1416</v>
      </c>
      <c r="C146" s="44" t="s">
        <v>1417</v>
      </c>
      <c r="D146" s="44" t="s">
        <v>1272</v>
      </c>
      <c r="E146" s="49" t="s">
        <v>808</v>
      </c>
      <c r="F146" s="44" t="s">
        <v>998</v>
      </c>
      <c r="G146" s="44">
        <v>60.0</v>
      </c>
      <c r="H146" s="47" t="s">
        <v>970</v>
      </c>
      <c r="I146" s="47" t="s">
        <v>808</v>
      </c>
      <c r="J146" s="44">
        <v>10.75977</v>
      </c>
      <c r="K146" s="48">
        <v>106.629204</v>
      </c>
    </row>
    <row r="147" ht="22.5" customHeight="1">
      <c r="A147" s="44" t="s">
        <v>1418</v>
      </c>
      <c r="B147" s="44" t="s">
        <v>1419</v>
      </c>
      <c r="C147" s="44" t="s">
        <v>1420</v>
      </c>
      <c r="D147" s="44" t="s">
        <v>1116</v>
      </c>
      <c r="E147" s="49" t="s">
        <v>885</v>
      </c>
      <c r="F147" s="44" t="s">
        <v>1117</v>
      </c>
      <c r="G147" s="44">
        <v>60.0</v>
      </c>
      <c r="H147" s="47" t="s">
        <v>970</v>
      </c>
      <c r="I147" s="47" t="s">
        <v>885</v>
      </c>
      <c r="J147" s="44">
        <v>10.745139</v>
      </c>
      <c r="K147" s="48">
        <v>106.663414</v>
      </c>
    </row>
    <row r="148" ht="22.5" customHeight="1">
      <c r="A148" s="44" t="s">
        <v>1421</v>
      </c>
      <c r="B148" s="44" t="s">
        <v>1422</v>
      </c>
      <c r="C148" s="44" t="s">
        <v>1423</v>
      </c>
      <c r="D148" s="44" t="s">
        <v>1424</v>
      </c>
      <c r="E148" s="49" t="s">
        <v>822</v>
      </c>
      <c r="F148" s="44" t="s">
        <v>1284</v>
      </c>
      <c r="G148" s="44">
        <v>60.0</v>
      </c>
      <c r="H148" s="47" t="s">
        <v>970</v>
      </c>
      <c r="I148" s="47" t="s">
        <v>822</v>
      </c>
      <c r="J148" s="44">
        <v>10.765667</v>
      </c>
      <c r="K148" s="48">
        <v>106.654127</v>
      </c>
    </row>
    <row r="149" ht="22.5" customHeight="1">
      <c r="A149" s="44" t="s">
        <v>1425</v>
      </c>
      <c r="B149" s="44" t="s">
        <v>1426</v>
      </c>
      <c r="C149" s="44" t="s">
        <v>1427</v>
      </c>
      <c r="D149" s="44" t="s">
        <v>1120</v>
      </c>
      <c r="E149" s="49" t="s">
        <v>895</v>
      </c>
      <c r="F149" s="44" t="s">
        <v>1121</v>
      </c>
      <c r="G149" s="44">
        <v>72.0</v>
      </c>
      <c r="H149" s="47" t="s">
        <v>970</v>
      </c>
      <c r="I149" s="47" t="s">
        <v>895</v>
      </c>
      <c r="J149" s="44">
        <v>10.844929</v>
      </c>
      <c r="K149" s="48">
        <v>106.790001</v>
      </c>
    </row>
    <row r="150" ht="22.5" customHeight="1">
      <c r="A150" s="44" t="s">
        <v>404</v>
      </c>
      <c r="B150" s="44" t="s">
        <v>1428</v>
      </c>
      <c r="C150" s="44" t="s">
        <v>1429</v>
      </c>
      <c r="D150" s="44" t="s">
        <v>1359</v>
      </c>
      <c r="E150" s="49" t="s">
        <v>813</v>
      </c>
      <c r="F150" s="44" t="s">
        <v>1015</v>
      </c>
      <c r="G150" s="50">
        <v>76.0</v>
      </c>
      <c r="H150" s="47" t="s">
        <v>970</v>
      </c>
      <c r="I150" s="47" t="s">
        <v>825</v>
      </c>
      <c r="J150" s="44">
        <v>10.750939</v>
      </c>
      <c r="K150" s="48">
        <v>106.659484</v>
      </c>
    </row>
    <row r="151" ht="22.5" customHeight="1">
      <c r="A151" s="44" t="s">
        <v>1430</v>
      </c>
      <c r="B151" s="44" t="s">
        <v>1431</v>
      </c>
      <c r="C151" s="44" t="s">
        <v>1432</v>
      </c>
      <c r="D151" s="44" t="s">
        <v>1433</v>
      </c>
      <c r="E151" s="49"/>
      <c r="F151" s="44" t="s">
        <v>1098</v>
      </c>
      <c r="G151" s="44"/>
      <c r="H151" s="47" t="s">
        <v>970</v>
      </c>
      <c r="I151" s="47" t="s">
        <v>813</v>
      </c>
      <c r="J151" s="44">
        <v>10.762439</v>
      </c>
      <c r="K151" s="48">
        <v>106.67042</v>
      </c>
    </row>
    <row r="152" ht="22.5" customHeight="1">
      <c r="A152" s="44" t="s">
        <v>631</v>
      </c>
      <c r="B152" s="44" t="s">
        <v>1434</v>
      </c>
      <c r="C152" s="44" t="s">
        <v>1435</v>
      </c>
      <c r="D152" s="44" t="s">
        <v>1135</v>
      </c>
      <c r="E152" s="49" t="s">
        <v>888</v>
      </c>
      <c r="F152" s="44" t="s">
        <v>1136</v>
      </c>
      <c r="G152" s="44">
        <v>60.0</v>
      </c>
      <c r="H152" s="47" t="s">
        <v>970</v>
      </c>
      <c r="I152" s="47" t="s">
        <v>888</v>
      </c>
      <c r="J152" s="44">
        <v>10.778261</v>
      </c>
      <c r="K152" s="48">
        <v>106.702934</v>
      </c>
    </row>
    <row r="153" ht="22.5" customHeight="1">
      <c r="A153" s="44" t="s">
        <v>1436</v>
      </c>
      <c r="B153" s="44" t="s">
        <v>1437</v>
      </c>
      <c r="C153" s="44" t="s">
        <v>1438</v>
      </c>
      <c r="D153" s="44" t="s">
        <v>1268</v>
      </c>
      <c r="E153" s="49" t="s">
        <v>888</v>
      </c>
      <c r="F153" s="44" t="s">
        <v>1136</v>
      </c>
      <c r="G153" s="44">
        <v>69.0</v>
      </c>
      <c r="H153" s="47" t="s">
        <v>970</v>
      </c>
      <c r="I153" s="47" t="s">
        <v>826</v>
      </c>
      <c r="J153" s="44">
        <v>10.776723</v>
      </c>
      <c r="K153" s="48">
        <v>106.68937</v>
      </c>
    </row>
    <row r="154" ht="22.5" customHeight="1">
      <c r="A154" s="44" t="s">
        <v>1439</v>
      </c>
      <c r="B154" s="44" t="s">
        <v>1440</v>
      </c>
      <c r="C154" s="44" t="s">
        <v>1441</v>
      </c>
      <c r="D154" s="44" t="s">
        <v>1442</v>
      </c>
      <c r="E154" s="49" t="s">
        <v>888</v>
      </c>
      <c r="F154" s="44" t="s">
        <v>1136</v>
      </c>
      <c r="G154" s="44">
        <v>60.0</v>
      </c>
      <c r="H154" s="47" t="s">
        <v>970</v>
      </c>
      <c r="I154" s="47" t="s">
        <v>804</v>
      </c>
      <c r="J154" s="44">
        <v>10.76497213942</v>
      </c>
      <c r="K154" s="48">
        <v>106.69515991878</v>
      </c>
    </row>
    <row r="155" ht="22.5" customHeight="1">
      <c r="A155" s="44" t="s">
        <v>1443</v>
      </c>
      <c r="B155" s="44" t="s">
        <v>1444</v>
      </c>
      <c r="C155" s="44" t="s">
        <v>1445</v>
      </c>
      <c r="D155" s="44" t="s">
        <v>1120</v>
      </c>
      <c r="E155" s="49" t="s">
        <v>895</v>
      </c>
      <c r="F155" s="44" t="s">
        <v>1121</v>
      </c>
      <c r="G155" s="44">
        <v>72.0</v>
      </c>
      <c r="H155" s="47" t="s">
        <v>970</v>
      </c>
      <c r="I155" s="47" t="s">
        <v>895</v>
      </c>
      <c r="J155" s="44">
        <v>10.845958</v>
      </c>
      <c r="K155" s="48">
        <v>106.778488</v>
      </c>
    </row>
    <row r="156" ht="22.5" customHeight="1">
      <c r="A156" s="44" t="s">
        <v>1446</v>
      </c>
      <c r="B156" s="44" t="s">
        <v>1447</v>
      </c>
      <c r="C156" s="44" t="s">
        <v>1448</v>
      </c>
      <c r="D156" s="44" t="s">
        <v>1120</v>
      </c>
      <c r="E156" s="49" t="s">
        <v>895</v>
      </c>
      <c r="F156" s="44" t="s">
        <v>1121</v>
      </c>
      <c r="G156" s="44">
        <v>72.0</v>
      </c>
      <c r="H156" s="47" t="s">
        <v>970</v>
      </c>
      <c r="I156" s="47" t="s">
        <v>895</v>
      </c>
      <c r="J156" s="44">
        <v>10.847102</v>
      </c>
      <c r="K156" s="48">
        <v>106.777031</v>
      </c>
    </row>
    <row r="157" ht="22.5" customHeight="1">
      <c r="A157" s="44" t="s">
        <v>1449</v>
      </c>
      <c r="B157" s="44" t="s">
        <v>1450</v>
      </c>
      <c r="C157" s="44" t="s">
        <v>1451</v>
      </c>
      <c r="D157" s="44" t="s">
        <v>1076</v>
      </c>
      <c r="E157" s="49" t="s">
        <v>813</v>
      </c>
      <c r="F157" s="44" t="s">
        <v>1015</v>
      </c>
      <c r="G157" s="44">
        <v>76.0</v>
      </c>
      <c r="H157" s="47" t="s">
        <v>970</v>
      </c>
      <c r="I157" s="47" t="s">
        <v>813</v>
      </c>
      <c r="J157" s="44">
        <v>10.75447</v>
      </c>
      <c r="K157" s="48">
        <v>106.666566</v>
      </c>
    </row>
    <row r="158" ht="22.5" customHeight="1">
      <c r="A158" s="44" t="s">
        <v>1452</v>
      </c>
      <c r="B158" s="44" t="s">
        <v>1453</v>
      </c>
      <c r="C158" s="44" t="s">
        <v>1454</v>
      </c>
      <c r="D158" s="44" t="s">
        <v>1129</v>
      </c>
      <c r="E158" s="49" t="s">
        <v>910</v>
      </c>
      <c r="F158" s="44" t="s">
        <v>987</v>
      </c>
      <c r="G158" s="44">
        <v>60.0</v>
      </c>
      <c r="H158" s="47" t="s">
        <v>970</v>
      </c>
      <c r="I158" s="47" t="s">
        <v>910</v>
      </c>
      <c r="J158" s="44">
        <v>10.774758</v>
      </c>
      <c r="K158" s="48">
        <v>106.667154</v>
      </c>
    </row>
    <row r="159" ht="22.5" customHeight="1">
      <c r="A159" s="44" t="s">
        <v>496</v>
      </c>
      <c r="B159" s="44" t="s">
        <v>1455</v>
      </c>
      <c r="C159" s="44" t="s">
        <v>1456</v>
      </c>
      <c r="D159" s="44" t="s">
        <v>1268</v>
      </c>
      <c r="E159" s="49" t="s">
        <v>910</v>
      </c>
      <c r="F159" s="44" t="s">
        <v>987</v>
      </c>
      <c r="G159" s="44">
        <v>39.0</v>
      </c>
      <c r="H159" s="47" t="s">
        <v>970</v>
      </c>
      <c r="I159" s="47" t="s">
        <v>884</v>
      </c>
      <c r="J159" s="44">
        <v>10.784846</v>
      </c>
      <c r="K159" s="48">
        <v>106.69422</v>
      </c>
    </row>
    <row r="160" ht="22.5" customHeight="1">
      <c r="A160" s="44" t="s">
        <v>1457</v>
      </c>
      <c r="B160" s="44" t="s">
        <v>1458</v>
      </c>
      <c r="C160" s="44" t="s">
        <v>1459</v>
      </c>
      <c r="D160" s="44" t="s">
        <v>1442</v>
      </c>
      <c r="E160" s="49" t="s">
        <v>888</v>
      </c>
      <c r="F160" s="44" t="s">
        <v>1136</v>
      </c>
      <c r="G160" s="44">
        <v>30.0</v>
      </c>
      <c r="H160" s="47" t="s">
        <v>970</v>
      </c>
      <c r="I160" s="47" t="s">
        <v>804</v>
      </c>
      <c r="J160" s="44">
        <v>10.759476</v>
      </c>
      <c r="K160" s="48">
        <v>106.69224</v>
      </c>
    </row>
    <row r="161" ht="22.5" customHeight="1">
      <c r="A161" s="44" t="s">
        <v>1460</v>
      </c>
      <c r="B161" s="44" t="s">
        <v>1461</v>
      </c>
      <c r="C161" s="44" t="s">
        <v>1462</v>
      </c>
      <c r="D161" s="44" t="s">
        <v>1359</v>
      </c>
      <c r="E161" s="49" t="s">
        <v>910</v>
      </c>
      <c r="F161" s="44" t="s">
        <v>987</v>
      </c>
      <c r="G161" s="44">
        <v>60.0</v>
      </c>
      <c r="H161" s="47" t="s">
        <v>970</v>
      </c>
      <c r="I161" s="47" t="s">
        <v>813</v>
      </c>
      <c r="J161" s="44">
        <v>10.758584</v>
      </c>
      <c r="K161" s="48">
        <v>106.665548</v>
      </c>
    </row>
    <row r="162" ht="22.5" customHeight="1">
      <c r="A162" s="44" t="s">
        <v>695</v>
      </c>
      <c r="B162" s="44" t="s">
        <v>1463</v>
      </c>
      <c r="C162" s="44" t="s">
        <v>1464</v>
      </c>
      <c r="D162" s="44" t="s">
        <v>1116</v>
      </c>
      <c r="E162" s="49" t="s">
        <v>885</v>
      </c>
      <c r="F162" s="44" t="s">
        <v>1117</v>
      </c>
      <c r="G162" s="44">
        <v>30.0</v>
      </c>
      <c r="H162" s="47" t="s">
        <v>970</v>
      </c>
      <c r="I162" s="47" t="s">
        <v>885</v>
      </c>
      <c r="J162" s="44">
        <v>10.739418</v>
      </c>
      <c r="K162" s="48">
        <v>106.675501</v>
      </c>
    </row>
    <row r="163" ht="22.5" customHeight="1">
      <c r="A163" s="44" t="s">
        <v>533</v>
      </c>
      <c r="B163" s="44" t="s">
        <v>1465</v>
      </c>
      <c r="C163" s="44" t="s">
        <v>1466</v>
      </c>
      <c r="D163" s="44" t="s">
        <v>1129</v>
      </c>
      <c r="E163" s="49" t="s">
        <v>910</v>
      </c>
      <c r="F163" s="44" t="s">
        <v>987</v>
      </c>
      <c r="G163" s="44">
        <v>30.0</v>
      </c>
      <c r="H163" s="47" t="s">
        <v>970</v>
      </c>
      <c r="I163" s="47" t="s">
        <v>826</v>
      </c>
      <c r="J163" s="44">
        <v>10.777271</v>
      </c>
      <c r="K163" s="48">
        <v>106.679458</v>
      </c>
    </row>
    <row r="164" ht="22.5" customHeight="1">
      <c r="A164" s="44" t="s">
        <v>1467</v>
      </c>
      <c r="B164" s="44" t="s">
        <v>1468</v>
      </c>
      <c r="C164" s="44" t="s">
        <v>1469</v>
      </c>
      <c r="D164" s="44" t="s">
        <v>1470</v>
      </c>
      <c r="E164" s="49" t="s">
        <v>883</v>
      </c>
      <c r="F164" s="44" t="s">
        <v>1471</v>
      </c>
      <c r="G164" s="44">
        <v>85.0</v>
      </c>
      <c r="H164" s="47" t="s">
        <v>970</v>
      </c>
      <c r="I164" s="47" t="s">
        <v>510</v>
      </c>
      <c r="J164" s="44">
        <v>10.868259</v>
      </c>
      <c r="K164" s="48">
        <v>106.714463</v>
      </c>
    </row>
    <row r="165" ht="22.5" customHeight="1">
      <c r="A165" s="44" t="s">
        <v>728</v>
      </c>
      <c r="B165" s="44" t="s">
        <v>1472</v>
      </c>
      <c r="C165" s="44" t="s">
        <v>1473</v>
      </c>
      <c r="D165" s="44" t="s">
        <v>1474</v>
      </c>
      <c r="E165" s="49" t="s">
        <v>897</v>
      </c>
      <c r="F165" s="44" t="s">
        <v>1027</v>
      </c>
      <c r="G165" s="44">
        <v>90.0</v>
      </c>
      <c r="H165" s="47" t="s">
        <v>970</v>
      </c>
      <c r="I165" s="47" t="s">
        <v>809</v>
      </c>
      <c r="J165" s="44">
        <v>10.855259</v>
      </c>
      <c r="K165" s="48">
        <v>106.675902</v>
      </c>
    </row>
    <row r="166" ht="22.5" customHeight="1">
      <c r="A166" s="44" t="s">
        <v>1475</v>
      </c>
      <c r="B166" s="44" t="s">
        <v>1476</v>
      </c>
      <c r="C166" s="44" t="s">
        <v>1477</v>
      </c>
      <c r="D166" s="44" t="s">
        <v>1478</v>
      </c>
      <c r="E166" s="49" t="s">
        <v>899</v>
      </c>
      <c r="F166" s="44" t="s">
        <v>1479</v>
      </c>
      <c r="G166" s="44">
        <v>72.0</v>
      </c>
      <c r="H166" s="47" t="s">
        <v>970</v>
      </c>
      <c r="I166" s="47" t="s">
        <v>899</v>
      </c>
      <c r="J166" s="44">
        <v>10.817417</v>
      </c>
      <c r="K166" s="48">
        <v>106.774421</v>
      </c>
    </row>
    <row r="167" ht="22.5" customHeight="1">
      <c r="A167" s="44" t="s">
        <v>143</v>
      </c>
      <c r="B167" s="44" t="s">
        <v>1480</v>
      </c>
      <c r="C167" s="44" t="s">
        <v>1481</v>
      </c>
      <c r="D167" s="44" t="s">
        <v>1104</v>
      </c>
      <c r="E167" s="49" t="s">
        <v>893</v>
      </c>
      <c r="F167" s="44" t="s">
        <v>1088</v>
      </c>
      <c r="G167" s="44">
        <v>60.0</v>
      </c>
      <c r="H167" s="47" t="s">
        <v>970</v>
      </c>
      <c r="I167" s="47" t="s">
        <v>518</v>
      </c>
      <c r="J167" s="44">
        <v>10.771595</v>
      </c>
      <c r="K167" s="48">
        <v>106.628451</v>
      </c>
    </row>
    <row r="168" ht="22.5" customHeight="1">
      <c r="A168" s="44" t="s">
        <v>1482</v>
      </c>
      <c r="B168" s="44" t="s">
        <v>1483</v>
      </c>
      <c r="C168" s="44" t="s">
        <v>1484</v>
      </c>
      <c r="D168" s="44" t="s">
        <v>986</v>
      </c>
      <c r="E168" s="49" t="s">
        <v>910</v>
      </c>
      <c r="F168" s="44" t="s">
        <v>987</v>
      </c>
      <c r="G168" s="44">
        <v>60.0</v>
      </c>
      <c r="H168" s="47" t="s">
        <v>970</v>
      </c>
      <c r="I168" s="47" t="s">
        <v>910</v>
      </c>
      <c r="J168" s="44">
        <v>10.775228</v>
      </c>
      <c r="K168" s="48">
        <v>106.662749</v>
      </c>
    </row>
    <row r="169" ht="22.5" customHeight="1">
      <c r="A169" s="44" t="s">
        <v>1485</v>
      </c>
      <c r="B169" s="44" t="s">
        <v>1486</v>
      </c>
      <c r="C169" s="44" t="s">
        <v>1487</v>
      </c>
      <c r="D169" s="44" t="s">
        <v>1093</v>
      </c>
      <c r="E169" s="49" t="s">
        <v>809</v>
      </c>
      <c r="F169" s="44" t="s">
        <v>1022</v>
      </c>
      <c r="G169" s="44">
        <v>70.0</v>
      </c>
      <c r="H169" s="47" t="s">
        <v>970</v>
      </c>
      <c r="I169" s="47" t="s">
        <v>809</v>
      </c>
      <c r="J169" s="44">
        <v>10.825511</v>
      </c>
      <c r="K169" s="48">
        <v>106.686754</v>
      </c>
    </row>
    <row r="170" ht="22.5" customHeight="1">
      <c r="A170" s="44" t="s">
        <v>666</v>
      </c>
      <c r="B170" s="44" t="s">
        <v>1488</v>
      </c>
      <c r="C170" s="44" t="s">
        <v>1489</v>
      </c>
      <c r="D170" s="44" t="s">
        <v>1359</v>
      </c>
      <c r="E170" s="49" t="s">
        <v>822</v>
      </c>
      <c r="F170" s="44" t="s">
        <v>1284</v>
      </c>
      <c r="G170" s="44">
        <v>60.0</v>
      </c>
      <c r="H170" s="47" t="s">
        <v>970</v>
      </c>
      <c r="I170" s="47" t="s">
        <v>822</v>
      </c>
      <c r="J170" s="44">
        <v>10.754256161899</v>
      </c>
      <c r="K170" s="48">
        <v>106.6622188442</v>
      </c>
    </row>
    <row r="171" ht="22.5" customHeight="1">
      <c r="A171" s="44" t="s">
        <v>645</v>
      </c>
      <c r="B171" s="44" t="s">
        <v>1490</v>
      </c>
      <c r="C171" s="44" t="s">
        <v>1491</v>
      </c>
      <c r="D171" s="44" t="s">
        <v>1014</v>
      </c>
      <c r="E171" s="49" t="s">
        <v>910</v>
      </c>
      <c r="F171" s="44" t="s">
        <v>987</v>
      </c>
      <c r="G171" s="44">
        <v>76.0</v>
      </c>
      <c r="H171" s="47" t="s">
        <v>970</v>
      </c>
      <c r="I171" s="47" t="s">
        <v>813</v>
      </c>
      <c r="J171" s="44">
        <v>10.759472</v>
      </c>
      <c r="K171" s="48">
        <v>106.680486</v>
      </c>
    </row>
    <row r="172" ht="22.5" customHeight="1">
      <c r="A172" s="44" t="s">
        <v>175</v>
      </c>
      <c r="B172" s="44" t="s">
        <v>1492</v>
      </c>
      <c r="C172" s="44" t="s">
        <v>1493</v>
      </c>
      <c r="D172" s="44" t="s">
        <v>990</v>
      </c>
      <c r="E172" s="49" t="s">
        <v>894</v>
      </c>
      <c r="F172" s="44" t="s">
        <v>974</v>
      </c>
      <c r="G172" s="44">
        <v>70.0</v>
      </c>
      <c r="H172" s="47" t="s">
        <v>970</v>
      </c>
      <c r="I172" s="47" t="s">
        <v>894</v>
      </c>
      <c r="J172" s="44">
        <v>10.737331</v>
      </c>
      <c r="K172" s="48">
        <v>106.724166</v>
      </c>
    </row>
    <row r="173" ht="22.5" customHeight="1">
      <c r="A173" s="44" t="s">
        <v>787</v>
      </c>
      <c r="B173" s="44" t="s">
        <v>1494</v>
      </c>
      <c r="C173" s="44" t="s">
        <v>1495</v>
      </c>
      <c r="D173" s="44" t="s">
        <v>1496</v>
      </c>
      <c r="E173" s="49" t="s">
        <v>804</v>
      </c>
      <c r="F173" s="44" t="s">
        <v>1497</v>
      </c>
      <c r="G173" s="44">
        <v>70.0</v>
      </c>
      <c r="H173" s="47" t="s">
        <v>970</v>
      </c>
      <c r="I173" s="47" t="s">
        <v>804</v>
      </c>
      <c r="J173" s="44">
        <v>10.755199</v>
      </c>
      <c r="K173" s="48">
        <v>106.698506</v>
      </c>
    </row>
    <row r="174" ht="22.5" customHeight="1">
      <c r="A174" s="44" t="s">
        <v>828</v>
      </c>
      <c r="B174" s="44" t="s">
        <v>1498</v>
      </c>
      <c r="C174" s="44" t="s">
        <v>1499</v>
      </c>
      <c r="D174" s="44" t="s">
        <v>969</v>
      </c>
      <c r="E174" s="49" t="s">
        <v>806</v>
      </c>
      <c r="F174" s="44" t="s">
        <v>1500</v>
      </c>
      <c r="G174" s="44">
        <v>60.0</v>
      </c>
      <c r="H174" s="47" t="s">
        <v>970</v>
      </c>
      <c r="I174" s="47" t="s">
        <v>893</v>
      </c>
      <c r="J174" s="44">
        <v>10.795876</v>
      </c>
      <c r="K174" s="48">
        <v>106.641053</v>
      </c>
    </row>
    <row r="175" ht="22.5" customHeight="1">
      <c r="A175" s="44" t="s">
        <v>1501</v>
      </c>
      <c r="B175" s="44" t="s">
        <v>1502</v>
      </c>
      <c r="C175" s="44" t="s">
        <v>1503</v>
      </c>
      <c r="D175" s="44" t="s">
        <v>1227</v>
      </c>
      <c r="E175" s="49" t="s">
        <v>890</v>
      </c>
      <c r="F175" s="44" t="s">
        <v>1228</v>
      </c>
      <c r="G175" s="44">
        <v>60.0</v>
      </c>
      <c r="H175" s="47" t="s">
        <v>970</v>
      </c>
      <c r="I175" s="47" t="s">
        <v>890</v>
      </c>
      <c r="J175" s="44">
        <v>10.910497</v>
      </c>
      <c r="K175" s="48">
        <v>106.781597</v>
      </c>
    </row>
    <row r="176" ht="22.5" customHeight="1">
      <c r="A176" s="44" t="s">
        <v>396</v>
      </c>
      <c r="B176" s="44" t="s">
        <v>1504</v>
      </c>
      <c r="C176" s="44" t="s">
        <v>1505</v>
      </c>
      <c r="D176" s="44" t="s">
        <v>1506</v>
      </c>
      <c r="E176" s="49" t="s">
        <v>897</v>
      </c>
      <c r="F176" s="44" t="s">
        <v>1027</v>
      </c>
      <c r="G176" s="44">
        <v>75.0</v>
      </c>
      <c r="H176" s="47" t="s">
        <v>970</v>
      </c>
      <c r="I176" s="47" t="s">
        <v>797</v>
      </c>
      <c r="J176" s="44">
        <v>10.875993</v>
      </c>
      <c r="K176" s="48">
        <v>106.623922</v>
      </c>
    </row>
    <row r="177" ht="22.5" customHeight="1">
      <c r="A177" s="44" t="s">
        <v>1507</v>
      </c>
      <c r="B177" s="44" t="s">
        <v>1508</v>
      </c>
      <c r="C177" s="44" t="s">
        <v>1509</v>
      </c>
      <c r="D177" s="44" t="s">
        <v>1510</v>
      </c>
      <c r="E177" s="49" t="s">
        <v>804</v>
      </c>
      <c r="F177" s="44" t="s">
        <v>1497</v>
      </c>
      <c r="G177" s="44">
        <v>70.0</v>
      </c>
      <c r="H177" s="47" t="s">
        <v>970</v>
      </c>
      <c r="I177" s="47" t="s">
        <v>804</v>
      </c>
      <c r="J177" s="44">
        <v>10.765397</v>
      </c>
      <c r="K177" s="48">
        <v>106.702102</v>
      </c>
    </row>
    <row r="178" ht="22.5" customHeight="1">
      <c r="A178" s="44" t="s">
        <v>1511</v>
      </c>
      <c r="B178" s="44" t="s">
        <v>1512</v>
      </c>
      <c r="C178" s="44" t="s">
        <v>1503</v>
      </c>
      <c r="D178" s="44" t="s">
        <v>1227</v>
      </c>
      <c r="E178" s="49" t="s">
        <v>890</v>
      </c>
      <c r="F178" s="44" t="s">
        <v>1228</v>
      </c>
      <c r="G178" s="44">
        <v>30.0</v>
      </c>
      <c r="H178" s="47" t="s">
        <v>970</v>
      </c>
      <c r="I178" s="47" t="s">
        <v>890</v>
      </c>
      <c r="J178" s="44">
        <v>10.910127</v>
      </c>
      <c r="K178" s="48">
        <v>106.782134</v>
      </c>
    </row>
    <row r="179" ht="22.5" customHeight="1">
      <c r="A179" s="44" t="s">
        <v>1513</v>
      </c>
      <c r="B179" s="44" t="s">
        <v>1514</v>
      </c>
      <c r="C179" s="44" t="s">
        <v>1515</v>
      </c>
      <c r="D179" s="44" t="s">
        <v>1227</v>
      </c>
      <c r="E179" s="49" t="s">
        <v>890</v>
      </c>
      <c r="F179" s="44" t="s">
        <v>1228</v>
      </c>
      <c r="G179" s="44">
        <v>60.0</v>
      </c>
      <c r="H179" s="47" t="s">
        <v>970</v>
      </c>
      <c r="I179" s="47" t="s">
        <v>890</v>
      </c>
      <c r="J179" s="44">
        <v>10.908354574245</v>
      </c>
      <c r="K179" s="48">
        <v>106.77626111663</v>
      </c>
    </row>
    <row r="180" ht="22.5" customHeight="1">
      <c r="A180" s="44" t="s">
        <v>1516</v>
      </c>
      <c r="B180" s="44" t="s">
        <v>1517</v>
      </c>
      <c r="C180" s="44" t="s">
        <v>1006</v>
      </c>
      <c r="D180" s="44" t="s">
        <v>1007</v>
      </c>
      <c r="E180" s="49" t="s">
        <v>510</v>
      </c>
      <c r="F180" s="44" t="s">
        <v>983</v>
      </c>
      <c r="G180" s="44">
        <v>66.0</v>
      </c>
      <c r="H180" s="47" t="s">
        <v>970</v>
      </c>
      <c r="I180" s="47" t="s">
        <v>510</v>
      </c>
      <c r="J180" s="44">
        <v>10.86434</v>
      </c>
      <c r="K180" s="48">
        <v>106.745671</v>
      </c>
    </row>
    <row r="181" ht="22.5" customHeight="1">
      <c r="A181" s="44" t="s">
        <v>1518</v>
      </c>
      <c r="B181" s="44" t="s">
        <v>1519</v>
      </c>
      <c r="C181" s="44" t="s">
        <v>1520</v>
      </c>
      <c r="D181" s="44" t="s">
        <v>1224</v>
      </c>
      <c r="E181" s="49" t="s">
        <v>872</v>
      </c>
      <c r="F181" s="44" t="s">
        <v>1003</v>
      </c>
      <c r="G181" s="44">
        <v>30.0</v>
      </c>
      <c r="H181" s="47" t="s">
        <v>970</v>
      </c>
      <c r="I181" s="47" t="s">
        <v>872</v>
      </c>
      <c r="J181" s="44">
        <v>10.536302</v>
      </c>
      <c r="K181" s="48">
        <v>106.416238</v>
      </c>
    </row>
    <row r="182" ht="22.5" customHeight="1">
      <c r="A182" s="44" t="s">
        <v>126</v>
      </c>
      <c r="B182" s="44" t="s">
        <v>1521</v>
      </c>
      <c r="C182" s="44" t="s">
        <v>1522</v>
      </c>
      <c r="D182" s="44" t="s">
        <v>1076</v>
      </c>
      <c r="E182" s="49" t="s">
        <v>813</v>
      </c>
      <c r="F182" s="44" t="s">
        <v>1015</v>
      </c>
      <c r="G182" s="44">
        <v>61.0</v>
      </c>
      <c r="H182" s="47" t="s">
        <v>970</v>
      </c>
      <c r="I182" s="47" t="s">
        <v>813</v>
      </c>
      <c r="J182" s="44">
        <v>10.756141</v>
      </c>
      <c r="K182" s="48">
        <v>106.672589</v>
      </c>
    </row>
    <row r="183" ht="22.5" customHeight="1">
      <c r="A183" s="44" t="s">
        <v>397</v>
      </c>
      <c r="B183" s="44" t="s">
        <v>1523</v>
      </c>
      <c r="C183" s="44" t="s">
        <v>1524</v>
      </c>
      <c r="D183" s="44" t="s">
        <v>1506</v>
      </c>
      <c r="E183" s="49" t="s">
        <v>897</v>
      </c>
      <c r="F183" s="44" t="s">
        <v>1027</v>
      </c>
      <c r="G183" s="44">
        <v>75.0</v>
      </c>
      <c r="H183" s="47" t="s">
        <v>970</v>
      </c>
      <c r="I183" s="47" t="s">
        <v>797</v>
      </c>
      <c r="J183" s="44">
        <v>10.875993</v>
      </c>
      <c r="K183" s="48">
        <v>106.623922</v>
      </c>
    </row>
    <row r="184" ht="22.5" customHeight="1">
      <c r="A184" s="44" t="s">
        <v>1525</v>
      </c>
      <c r="B184" s="44" t="s">
        <v>1526</v>
      </c>
      <c r="C184" s="44" t="s">
        <v>1527</v>
      </c>
      <c r="D184" s="44" t="s">
        <v>1528</v>
      </c>
      <c r="E184" s="49" t="s">
        <v>910</v>
      </c>
      <c r="F184" s="44" t="s">
        <v>987</v>
      </c>
      <c r="G184" s="44">
        <v>69.0</v>
      </c>
      <c r="H184" s="47" t="s">
        <v>970</v>
      </c>
      <c r="I184" s="47" t="s">
        <v>826</v>
      </c>
      <c r="J184" s="44">
        <v>10.772365</v>
      </c>
      <c r="K184" s="48">
        <v>106.679147</v>
      </c>
    </row>
    <row r="185" ht="22.5" customHeight="1">
      <c r="A185" s="44" t="s">
        <v>1529</v>
      </c>
      <c r="B185" s="44" t="s">
        <v>1530</v>
      </c>
      <c r="C185" s="44" t="s">
        <v>1531</v>
      </c>
      <c r="D185" s="44" t="s">
        <v>1532</v>
      </c>
      <c r="E185" s="49" t="s">
        <v>893</v>
      </c>
      <c r="F185" s="44" t="s">
        <v>1088</v>
      </c>
      <c r="G185" s="44">
        <v>30.0</v>
      </c>
      <c r="H185" s="47" t="s">
        <v>970</v>
      </c>
      <c r="I185" s="47" t="s">
        <v>814</v>
      </c>
      <c r="J185" s="44">
        <v>10.796452</v>
      </c>
      <c r="K185" s="48">
        <v>106.664472</v>
      </c>
    </row>
    <row r="186" ht="22.5" customHeight="1">
      <c r="A186" s="44" t="s">
        <v>1533</v>
      </c>
      <c r="B186" s="44" t="s">
        <v>1534</v>
      </c>
      <c r="C186" s="44" t="s">
        <v>1535</v>
      </c>
      <c r="D186" s="44" t="s">
        <v>1129</v>
      </c>
      <c r="E186" s="49" t="s">
        <v>910</v>
      </c>
      <c r="F186" s="44" t="s">
        <v>987</v>
      </c>
      <c r="G186" s="44">
        <v>60.0</v>
      </c>
      <c r="H186" s="47" t="s">
        <v>970</v>
      </c>
      <c r="I186" s="47" t="s">
        <v>826</v>
      </c>
      <c r="J186" s="44">
        <v>10.774457</v>
      </c>
      <c r="K186" s="48">
        <v>106.677636</v>
      </c>
    </row>
    <row r="187" ht="22.5" customHeight="1">
      <c r="A187" s="44" t="s">
        <v>1536</v>
      </c>
      <c r="B187" s="44" t="s">
        <v>1537</v>
      </c>
      <c r="C187" s="44" t="s">
        <v>1538</v>
      </c>
      <c r="D187" s="44" t="s">
        <v>1268</v>
      </c>
      <c r="E187" s="49" t="s">
        <v>910</v>
      </c>
      <c r="F187" s="44" t="s">
        <v>987</v>
      </c>
      <c r="G187" s="44">
        <v>69.0</v>
      </c>
      <c r="H187" s="47" t="s">
        <v>970</v>
      </c>
      <c r="I187" s="47" t="s">
        <v>826</v>
      </c>
      <c r="J187" s="44">
        <v>10.777703</v>
      </c>
      <c r="K187" s="48">
        <v>106.688795</v>
      </c>
    </row>
    <row r="188" ht="22.5" customHeight="1">
      <c r="A188" s="44" t="s">
        <v>1539</v>
      </c>
      <c r="B188" s="44" t="s">
        <v>1540</v>
      </c>
      <c r="C188" s="44" t="s">
        <v>1541</v>
      </c>
      <c r="D188" s="44" t="s">
        <v>1542</v>
      </c>
      <c r="E188" s="49" t="s">
        <v>888</v>
      </c>
      <c r="F188" s="44" t="s">
        <v>1136</v>
      </c>
      <c r="G188" s="44">
        <v>60.0</v>
      </c>
      <c r="H188" s="47" t="s">
        <v>970</v>
      </c>
      <c r="I188" s="47" t="s">
        <v>884</v>
      </c>
      <c r="J188" s="44">
        <v>10.792301</v>
      </c>
      <c r="K188" s="48">
        <v>106.695764</v>
      </c>
    </row>
    <row r="189" ht="22.5" customHeight="1">
      <c r="A189" s="44" t="s">
        <v>1543</v>
      </c>
      <c r="B189" s="44" t="s">
        <v>1544</v>
      </c>
      <c r="C189" s="44" t="s">
        <v>1545</v>
      </c>
      <c r="D189" s="44" t="s">
        <v>1546</v>
      </c>
      <c r="E189" s="49" t="s">
        <v>797</v>
      </c>
      <c r="F189" s="44" t="s">
        <v>1409</v>
      </c>
      <c r="G189" s="44">
        <v>60.0</v>
      </c>
      <c r="H189" s="47" t="s">
        <v>970</v>
      </c>
      <c r="I189" s="47" t="s">
        <v>797</v>
      </c>
      <c r="J189" s="44">
        <v>10.877285</v>
      </c>
      <c r="K189" s="48">
        <v>106.599175</v>
      </c>
    </row>
    <row r="190" ht="22.5" customHeight="1">
      <c r="A190" s="44" t="s">
        <v>1547</v>
      </c>
      <c r="B190" s="44" t="s">
        <v>1548</v>
      </c>
      <c r="C190" s="44" t="s">
        <v>1549</v>
      </c>
      <c r="D190" s="44" t="s">
        <v>973</v>
      </c>
      <c r="E190" s="49" t="s">
        <v>894</v>
      </c>
      <c r="F190" s="44" t="s">
        <v>974</v>
      </c>
      <c r="G190" s="44">
        <v>38.0</v>
      </c>
      <c r="H190" s="47" t="s">
        <v>970</v>
      </c>
      <c r="I190" s="47" t="s">
        <v>894</v>
      </c>
      <c r="J190" s="44">
        <v>10.725324</v>
      </c>
      <c r="K190" s="48">
        <v>106.710787</v>
      </c>
    </row>
    <row r="191" ht="22.5" customHeight="1">
      <c r="A191" s="44" t="s">
        <v>711</v>
      </c>
      <c r="B191" s="44" t="s">
        <v>1550</v>
      </c>
      <c r="C191" s="44" t="s">
        <v>1551</v>
      </c>
      <c r="D191" s="44" t="s">
        <v>1135</v>
      </c>
      <c r="E191" s="49" t="s">
        <v>888</v>
      </c>
      <c r="F191" s="44" t="s">
        <v>1136</v>
      </c>
      <c r="G191" s="44">
        <v>60.0</v>
      </c>
      <c r="H191" s="47" t="s">
        <v>970</v>
      </c>
      <c r="I191" s="47" t="s">
        <v>888</v>
      </c>
      <c r="J191" s="44">
        <v>10.769996</v>
      </c>
      <c r="K191" s="48">
        <v>106.701776</v>
      </c>
    </row>
    <row r="192" ht="22.5" customHeight="1">
      <c r="A192" s="44" t="s">
        <v>1552</v>
      </c>
      <c r="B192" s="44" t="s">
        <v>1553</v>
      </c>
      <c r="C192" s="44" t="s">
        <v>1554</v>
      </c>
      <c r="D192" s="44" t="s">
        <v>1129</v>
      </c>
      <c r="E192" s="49" t="s">
        <v>910</v>
      </c>
      <c r="F192" s="44" t="s">
        <v>987</v>
      </c>
      <c r="G192" s="44">
        <v>60.0</v>
      </c>
      <c r="H192" s="47" t="s">
        <v>970</v>
      </c>
      <c r="I192" s="47" t="s">
        <v>826</v>
      </c>
      <c r="J192" s="44">
        <v>10.77451</v>
      </c>
      <c r="K192" s="48">
        <v>106.677565</v>
      </c>
    </row>
    <row r="193" ht="22.5" customHeight="1">
      <c r="A193" s="44" t="s">
        <v>1555</v>
      </c>
      <c r="B193" s="44" t="s">
        <v>1556</v>
      </c>
      <c r="C193" s="44" t="s">
        <v>1557</v>
      </c>
      <c r="D193" s="44" t="s">
        <v>1268</v>
      </c>
      <c r="E193" s="49" t="s">
        <v>910</v>
      </c>
      <c r="F193" s="44" t="s">
        <v>987</v>
      </c>
      <c r="G193" s="44">
        <v>69.0</v>
      </c>
      <c r="H193" s="47" t="s">
        <v>970</v>
      </c>
      <c r="I193" s="47" t="s">
        <v>900</v>
      </c>
      <c r="J193" s="44">
        <v>10.781574</v>
      </c>
      <c r="K193" s="48">
        <v>106.690144</v>
      </c>
    </row>
    <row r="194" ht="22.5" customHeight="1">
      <c r="A194" s="44" t="s">
        <v>1558</v>
      </c>
      <c r="B194" s="44" t="s">
        <v>1559</v>
      </c>
      <c r="C194" s="44" t="s">
        <v>1503</v>
      </c>
      <c r="D194" s="44" t="s">
        <v>1227</v>
      </c>
      <c r="E194" s="49" t="s">
        <v>890</v>
      </c>
      <c r="F194" s="44" t="s">
        <v>1228</v>
      </c>
      <c r="G194" s="44">
        <v>60.0</v>
      </c>
      <c r="H194" s="47" t="s">
        <v>970</v>
      </c>
      <c r="I194" s="47" t="s">
        <v>890</v>
      </c>
      <c r="J194" s="44">
        <v>10.910127</v>
      </c>
      <c r="K194" s="48">
        <v>106.782134</v>
      </c>
    </row>
    <row r="195" ht="22.5" customHeight="1">
      <c r="A195" s="44" t="s">
        <v>386</v>
      </c>
      <c r="B195" s="44" t="s">
        <v>1560</v>
      </c>
      <c r="C195" s="44" t="s">
        <v>1561</v>
      </c>
      <c r="D195" s="44" t="s">
        <v>1042</v>
      </c>
      <c r="E195" s="49" t="s">
        <v>901</v>
      </c>
      <c r="F195" s="44" t="s">
        <v>1562</v>
      </c>
      <c r="G195" s="44">
        <v>60.0</v>
      </c>
      <c r="H195" s="47" t="s">
        <v>970</v>
      </c>
      <c r="I195" s="47" t="s">
        <v>901</v>
      </c>
      <c r="J195" s="44">
        <v>10.803529</v>
      </c>
      <c r="K195" s="48">
        <v>106.703878</v>
      </c>
    </row>
    <row r="196" ht="22.5" customHeight="1">
      <c r="A196" s="44" t="s">
        <v>1563</v>
      </c>
      <c r="B196" s="44" t="s">
        <v>1564</v>
      </c>
      <c r="C196" s="44" t="s">
        <v>1565</v>
      </c>
      <c r="D196" s="44" t="s">
        <v>1076</v>
      </c>
      <c r="E196" s="49" t="s">
        <v>813</v>
      </c>
      <c r="F196" s="44" t="s">
        <v>1015</v>
      </c>
      <c r="G196" s="44">
        <v>76.0</v>
      </c>
      <c r="H196" s="47" t="s">
        <v>970</v>
      </c>
      <c r="I196" s="47" t="s">
        <v>813</v>
      </c>
      <c r="J196" s="44">
        <v>10.755002</v>
      </c>
      <c r="K196" s="48">
        <v>106.670535</v>
      </c>
    </row>
    <row r="197" ht="22.5" customHeight="1">
      <c r="A197" s="44" t="s">
        <v>1566</v>
      </c>
      <c r="B197" s="44" t="s">
        <v>1567</v>
      </c>
      <c r="C197" s="44" t="s">
        <v>1568</v>
      </c>
      <c r="D197" s="44" t="s">
        <v>1542</v>
      </c>
      <c r="E197" s="49" t="s">
        <v>888</v>
      </c>
      <c r="F197" s="44" t="s">
        <v>1136</v>
      </c>
      <c r="G197" s="44">
        <v>45.0</v>
      </c>
      <c r="H197" s="47" t="s">
        <v>970</v>
      </c>
      <c r="I197" s="47" t="s">
        <v>884</v>
      </c>
      <c r="J197" s="44">
        <v>10.790399</v>
      </c>
      <c r="K197" s="48">
        <v>106.694789</v>
      </c>
    </row>
    <row r="198" ht="22.5" customHeight="1">
      <c r="A198" s="44" t="s">
        <v>719</v>
      </c>
      <c r="B198" s="44" t="s">
        <v>1569</v>
      </c>
      <c r="C198" s="44" t="s">
        <v>1570</v>
      </c>
      <c r="D198" s="44" t="s">
        <v>1571</v>
      </c>
      <c r="E198" s="49" t="s">
        <v>797</v>
      </c>
      <c r="F198" s="44" t="s">
        <v>1409</v>
      </c>
      <c r="G198" s="44">
        <v>45.0</v>
      </c>
      <c r="H198" s="47" t="s">
        <v>970</v>
      </c>
      <c r="I198" s="47" t="s">
        <v>819</v>
      </c>
      <c r="J198" s="44">
        <v>10.85059002</v>
      </c>
      <c r="K198" s="48">
        <v>106.5865029</v>
      </c>
    </row>
    <row r="199" ht="22.5" customHeight="1">
      <c r="A199" s="44" t="s">
        <v>1572</v>
      </c>
      <c r="B199" s="44" t="s">
        <v>1573</v>
      </c>
      <c r="C199" s="44" t="s">
        <v>1006</v>
      </c>
      <c r="D199" s="44" t="s">
        <v>1007</v>
      </c>
      <c r="E199" s="49" t="s">
        <v>510</v>
      </c>
      <c r="F199" s="44" t="s">
        <v>983</v>
      </c>
      <c r="G199" s="44">
        <v>66.0</v>
      </c>
      <c r="H199" s="47" t="s">
        <v>970</v>
      </c>
      <c r="I199" s="47" t="s">
        <v>510</v>
      </c>
      <c r="J199" s="44">
        <v>10.86434</v>
      </c>
      <c r="K199" s="48">
        <v>106.745671</v>
      </c>
    </row>
    <row r="200" ht="22.5" customHeight="1">
      <c r="A200" s="44" t="s">
        <v>1574</v>
      </c>
      <c r="B200" s="44" t="s">
        <v>1575</v>
      </c>
      <c r="C200" s="44" t="s">
        <v>1576</v>
      </c>
      <c r="D200" s="44" t="s">
        <v>1129</v>
      </c>
      <c r="E200" s="49" t="s">
        <v>910</v>
      </c>
      <c r="F200" s="44" t="s">
        <v>987</v>
      </c>
      <c r="G200" s="44">
        <v>30.0</v>
      </c>
      <c r="H200" s="47" t="s">
        <v>970</v>
      </c>
      <c r="I200" s="47" t="s">
        <v>826</v>
      </c>
      <c r="J200" s="44">
        <v>10.777196</v>
      </c>
      <c r="K200" s="48">
        <v>106.679911</v>
      </c>
    </row>
    <row r="201" ht="22.5" customHeight="1">
      <c r="A201" s="44" t="s">
        <v>1577</v>
      </c>
      <c r="B201" s="44" t="s">
        <v>1578</v>
      </c>
      <c r="C201" s="44" t="s">
        <v>1579</v>
      </c>
      <c r="D201" s="44" t="s">
        <v>1120</v>
      </c>
      <c r="E201" s="49" t="s">
        <v>895</v>
      </c>
      <c r="F201" s="44" t="s">
        <v>1121</v>
      </c>
      <c r="G201" s="44">
        <v>72.0</v>
      </c>
      <c r="H201" s="47" t="s">
        <v>970</v>
      </c>
      <c r="I201" s="47" t="s">
        <v>895</v>
      </c>
      <c r="J201" s="44">
        <v>10.845958</v>
      </c>
      <c r="K201" s="48">
        <v>106.778488</v>
      </c>
    </row>
    <row r="202" ht="22.5" customHeight="1">
      <c r="A202" s="44" t="s">
        <v>1580</v>
      </c>
      <c r="B202" s="44" t="s">
        <v>1581</v>
      </c>
      <c r="C202" s="44" t="s">
        <v>1582</v>
      </c>
      <c r="D202" s="44" t="s">
        <v>1583</v>
      </c>
      <c r="E202" s="49" t="s">
        <v>872</v>
      </c>
      <c r="F202" s="44" t="s">
        <v>1003</v>
      </c>
      <c r="G202" s="44">
        <v>45.0</v>
      </c>
      <c r="H202" s="47" t="s">
        <v>970</v>
      </c>
      <c r="I202" s="47" t="s">
        <v>872</v>
      </c>
      <c r="J202" s="44">
        <v>10.520953</v>
      </c>
      <c r="K202" s="48">
        <v>106.421413</v>
      </c>
    </row>
    <row r="203" ht="22.5" customHeight="1">
      <c r="A203" s="44" t="s">
        <v>451</v>
      </c>
      <c r="B203" s="44" t="s">
        <v>1584</v>
      </c>
      <c r="C203" s="44" t="s">
        <v>1585</v>
      </c>
      <c r="D203" s="44" t="s">
        <v>1586</v>
      </c>
      <c r="E203" s="49" t="s">
        <v>872</v>
      </c>
      <c r="F203" s="44" t="s">
        <v>1003</v>
      </c>
      <c r="G203" s="44">
        <v>60.0</v>
      </c>
      <c r="H203" s="47" t="s">
        <v>970</v>
      </c>
      <c r="I203" s="47" t="s">
        <v>872</v>
      </c>
      <c r="J203" s="44">
        <v>10.490788</v>
      </c>
      <c r="K203" s="48">
        <v>106.372759</v>
      </c>
    </row>
    <row r="204" ht="22.5" customHeight="1">
      <c r="A204" s="44" t="s">
        <v>1587</v>
      </c>
      <c r="B204" s="44" t="s">
        <v>1588</v>
      </c>
      <c r="C204" s="44" t="s">
        <v>1589</v>
      </c>
      <c r="D204" s="44" t="s">
        <v>1236</v>
      </c>
      <c r="E204" s="49" t="s">
        <v>895</v>
      </c>
      <c r="F204" s="44" t="s">
        <v>1121</v>
      </c>
      <c r="G204" s="44">
        <v>90.0</v>
      </c>
      <c r="H204" s="47" t="s">
        <v>970</v>
      </c>
      <c r="I204" s="47" t="s">
        <v>895</v>
      </c>
      <c r="J204" s="44">
        <v>10.842472150517</v>
      </c>
      <c r="K204" s="48">
        <v>106.83714384608</v>
      </c>
    </row>
    <row r="205" ht="22.5" customHeight="1">
      <c r="A205" s="44" t="s">
        <v>684</v>
      </c>
      <c r="B205" s="44" t="s">
        <v>1590</v>
      </c>
      <c r="C205" s="44" t="s">
        <v>1591</v>
      </c>
      <c r="D205" s="44" t="s">
        <v>1359</v>
      </c>
      <c r="E205" s="49" t="s">
        <v>813</v>
      </c>
      <c r="F205" s="44" t="s">
        <v>1015</v>
      </c>
      <c r="G205" s="50">
        <v>60.0</v>
      </c>
      <c r="H205" s="47" t="s">
        <v>970</v>
      </c>
      <c r="I205" s="47" t="s">
        <v>813</v>
      </c>
      <c r="J205" s="44">
        <v>10.754933</v>
      </c>
      <c r="K205" s="48">
        <v>106.666381</v>
      </c>
    </row>
    <row r="206" ht="22.5" customHeight="1">
      <c r="A206" s="44" t="s">
        <v>685</v>
      </c>
      <c r="B206" s="44" t="s">
        <v>1592</v>
      </c>
      <c r="C206" s="44" t="s">
        <v>1593</v>
      </c>
      <c r="D206" s="44" t="s">
        <v>1317</v>
      </c>
      <c r="E206" s="49" t="s">
        <v>894</v>
      </c>
      <c r="F206" s="44" t="s">
        <v>974</v>
      </c>
      <c r="G206" s="44">
        <v>90.0</v>
      </c>
      <c r="H206" s="47" t="s">
        <v>970</v>
      </c>
      <c r="I206" s="47" t="s">
        <v>894</v>
      </c>
      <c r="J206" s="44">
        <v>10.755451626455</v>
      </c>
      <c r="K206" s="48">
        <v>106.7243849399</v>
      </c>
    </row>
    <row r="207" ht="22.5" customHeight="1">
      <c r="A207" s="44" t="s">
        <v>1594</v>
      </c>
      <c r="B207" s="44" t="s">
        <v>1595</v>
      </c>
      <c r="C207" s="44" t="s">
        <v>1596</v>
      </c>
      <c r="D207" s="44" t="s">
        <v>1433</v>
      </c>
      <c r="E207" s="49" t="s">
        <v>910</v>
      </c>
      <c r="F207" s="44" t="s">
        <v>987</v>
      </c>
      <c r="G207" s="44">
        <v>90.0</v>
      </c>
      <c r="H207" s="47" t="s">
        <v>970</v>
      </c>
      <c r="I207" s="47" t="s">
        <v>910</v>
      </c>
      <c r="J207" s="44">
        <v>10.769126</v>
      </c>
      <c r="K207" s="48">
        <v>106.671012</v>
      </c>
    </row>
    <row r="208" ht="22.5" customHeight="1">
      <c r="A208" s="44" t="s">
        <v>291</v>
      </c>
      <c r="B208" s="44" t="s">
        <v>1597</v>
      </c>
      <c r="C208" s="44" t="s">
        <v>1598</v>
      </c>
      <c r="D208" s="44" t="s">
        <v>1180</v>
      </c>
      <c r="E208" s="49" t="s">
        <v>892</v>
      </c>
      <c r="F208" s="44" t="s">
        <v>1108</v>
      </c>
      <c r="G208" s="44">
        <v>60.0</v>
      </c>
      <c r="H208" s="47" t="s">
        <v>970</v>
      </c>
      <c r="I208" s="47" t="s">
        <v>892</v>
      </c>
      <c r="J208" s="44">
        <v>10.996742</v>
      </c>
      <c r="K208" s="48">
        <v>106.65639</v>
      </c>
    </row>
    <row r="209" ht="22.5" customHeight="1">
      <c r="A209" s="44" t="s">
        <v>1599</v>
      </c>
      <c r="B209" s="44" t="s">
        <v>1600</v>
      </c>
      <c r="C209" s="44" t="s">
        <v>1601</v>
      </c>
      <c r="D209" s="44" t="s">
        <v>990</v>
      </c>
      <c r="E209" s="49" t="s">
        <v>894</v>
      </c>
      <c r="F209" s="44" t="s">
        <v>974</v>
      </c>
      <c r="G209" s="44">
        <v>68.0</v>
      </c>
      <c r="H209" s="47" t="s">
        <v>970</v>
      </c>
      <c r="I209" s="47" t="s">
        <v>894</v>
      </c>
      <c r="J209" s="44">
        <v>10.736028</v>
      </c>
      <c r="K209" s="48">
        <v>106.718337</v>
      </c>
    </row>
    <row r="210" ht="22.5" customHeight="1">
      <c r="A210" s="44" t="s">
        <v>1602</v>
      </c>
      <c r="B210" s="44" t="s">
        <v>1603</v>
      </c>
      <c r="C210" s="44" t="s">
        <v>1604</v>
      </c>
      <c r="D210" s="44" t="s">
        <v>1546</v>
      </c>
      <c r="E210" s="49" t="s">
        <v>797</v>
      </c>
      <c r="F210" s="44" t="s">
        <v>1409</v>
      </c>
      <c r="G210" s="44">
        <v>60.0</v>
      </c>
      <c r="H210" s="47" t="s">
        <v>970</v>
      </c>
      <c r="I210" s="47" t="s">
        <v>797</v>
      </c>
      <c r="J210" s="44">
        <v>10.888374</v>
      </c>
      <c r="K210" s="48">
        <v>106.598006</v>
      </c>
    </row>
    <row r="211" ht="22.5" customHeight="1">
      <c r="A211" s="44" t="s">
        <v>1605</v>
      </c>
      <c r="B211" s="44" t="s">
        <v>1606</v>
      </c>
      <c r="C211" s="44" t="s">
        <v>1607</v>
      </c>
      <c r="D211" s="44" t="s">
        <v>986</v>
      </c>
      <c r="E211" s="49" t="s">
        <v>910</v>
      </c>
      <c r="F211" s="44" t="s">
        <v>987</v>
      </c>
      <c r="G211" s="44">
        <v>45.0</v>
      </c>
      <c r="H211" s="47" t="s">
        <v>970</v>
      </c>
      <c r="I211" s="47" t="s">
        <v>822</v>
      </c>
      <c r="J211" s="44">
        <v>10.769784</v>
      </c>
      <c r="K211" s="48">
        <v>106.658513</v>
      </c>
    </row>
    <row r="212" ht="22.5" customHeight="1">
      <c r="A212" s="44" t="s">
        <v>295</v>
      </c>
      <c r="B212" s="44" t="s">
        <v>1608</v>
      </c>
      <c r="C212" s="44" t="s">
        <v>1609</v>
      </c>
      <c r="D212" s="44" t="s">
        <v>1107</v>
      </c>
      <c r="E212" s="49" t="s">
        <v>892</v>
      </c>
      <c r="F212" s="44" t="s">
        <v>1108</v>
      </c>
      <c r="G212" s="44">
        <v>30.0</v>
      </c>
      <c r="H212" s="47" t="s">
        <v>970</v>
      </c>
      <c r="I212" s="47" t="s">
        <v>892</v>
      </c>
      <c r="J212" s="44">
        <v>10.986911</v>
      </c>
      <c r="K212" s="48">
        <v>106.664316</v>
      </c>
    </row>
    <row r="213" ht="22.5" customHeight="1">
      <c r="A213" s="44" t="s">
        <v>1610</v>
      </c>
      <c r="B213" s="44" t="s">
        <v>1611</v>
      </c>
      <c r="C213" s="44" t="s">
        <v>1006</v>
      </c>
      <c r="D213" s="44" t="s">
        <v>1007</v>
      </c>
      <c r="E213" s="49" t="s">
        <v>510</v>
      </c>
      <c r="F213" s="44" t="s">
        <v>983</v>
      </c>
      <c r="G213" s="44">
        <v>66.0</v>
      </c>
      <c r="H213" s="47" t="s">
        <v>970</v>
      </c>
      <c r="I213" s="47" t="s">
        <v>510</v>
      </c>
      <c r="J213" s="44">
        <v>10.86434</v>
      </c>
      <c r="K213" s="48">
        <v>106.745671</v>
      </c>
    </row>
    <row r="214" ht="22.5" customHeight="1">
      <c r="A214" s="44" t="s">
        <v>1612</v>
      </c>
      <c r="B214" s="44" t="s">
        <v>1613</v>
      </c>
      <c r="C214" s="44" t="s">
        <v>1614</v>
      </c>
      <c r="D214" s="44" t="s">
        <v>1359</v>
      </c>
      <c r="E214" s="49" t="s">
        <v>813</v>
      </c>
      <c r="F214" s="44" t="s">
        <v>1015</v>
      </c>
      <c r="G214" s="44">
        <v>46.0</v>
      </c>
      <c r="H214" s="47" t="s">
        <v>970</v>
      </c>
      <c r="I214" s="47" t="s">
        <v>822</v>
      </c>
      <c r="J214" s="44">
        <v>10.758783</v>
      </c>
      <c r="K214" s="48">
        <v>106.664073</v>
      </c>
    </row>
    <row r="215" ht="22.5" customHeight="1">
      <c r="A215" s="44" t="s">
        <v>1615</v>
      </c>
      <c r="B215" s="44" t="s">
        <v>1616</v>
      </c>
      <c r="C215" s="44" t="s">
        <v>1503</v>
      </c>
      <c r="D215" s="44" t="s">
        <v>1227</v>
      </c>
      <c r="E215" s="49" t="s">
        <v>890</v>
      </c>
      <c r="F215" s="44" t="s">
        <v>1228</v>
      </c>
      <c r="G215" s="44">
        <v>30.0</v>
      </c>
      <c r="H215" s="47" t="s">
        <v>970</v>
      </c>
      <c r="I215" s="47" t="s">
        <v>890</v>
      </c>
      <c r="J215" s="44">
        <v>10.910497</v>
      </c>
      <c r="K215" s="48">
        <v>106.781597</v>
      </c>
    </row>
    <row r="216" ht="22.5" customHeight="1">
      <c r="A216" s="44" t="s">
        <v>489</v>
      </c>
      <c r="B216" s="44" t="s">
        <v>1617</v>
      </c>
      <c r="C216" s="44" t="s">
        <v>1618</v>
      </c>
      <c r="D216" s="44" t="s">
        <v>1014</v>
      </c>
      <c r="E216" s="49" t="s">
        <v>910</v>
      </c>
      <c r="F216" s="44" t="s">
        <v>987</v>
      </c>
      <c r="G216" s="44">
        <v>60.0</v>
      </c>
      <c r="H216" s="47" t="s">
        <v>970</v>
      </c>
      <c r="I216" s="47" t="s">
        <v>813</v>
      </c>
      <c r="J216" s="44">
        <v>10.759866</v>
      </c>
      <c r="K216" s="48">
        <v>106.677041</v>
      </c>
    </row>
    <row r="217" ht="22.5" customHeight="1">
      <c r="A217" s="44" t="s">
        <v>377</v>
      </c>
      <c r="B217" s="44" t="s">
        <v>1619</v>
      </c>
      <c r="C217" s="44" t="s">
        <v>1620</v>
      </c>
      <c r="D217" s="44" t="s">
        <v>1621</v>
      </c>
      <c r="E217" s="49" t="s">
        <v>885</v>
      </c>
      <c r="F217" s="44" t="s">
        <v>1117</v>
      </c>
      <c r="G217" s="44">
        <v>60.0</v>
      </c>
      <c r="H217" s="47" t="s">
        <v>970</v>
      </c>
      <c r="I217" s="47" t="s">
        <v>885</v>
      </c>
      <c r="J217" s="44">
        <v>10.7286211</v>
      </c>
      <c r="K217" s="48">
        <v>106.6773805</v>
      </c>
    </row>
    <row r="218" ht="22.5" customHeight="1">
      <c r="A218" s="44" t="s">
        <v>378</v>
      </c>
      <c r="B218" s="44" t="s">
        <v>1622</v>
      </c>
      <c r="C218" s="44" t="s">
        <v>1623</v>
      </c>
      <c r="D218" s="44" t="s">
        <v>1621</v>
      </c>
      <c r="E218" s="49" t="s">
        <v>885</v>
      </c>
      <c r="F218" s="44" t="s">
        <v>1117</v>
      </c>
      <c r="G218" s="44">
        <v>60.0</v>
      </c>
      <c r="H218" s="47" t="s">
        <v>970</v>
      </c>
      <c r="I218" s="47" t="s">
        <v>885</v>
      </c>
      <c r="J218" s="44">
        <v>10.730018</v>
      </c>
      <c r="K218" s="48">
        <v>106.655924</v>
      </c>
    </row>
    <row r="219" ht="22.5" customHeight="1">
      <c r="A219" s="44" t="s">
        <v>309</v>
      </c>
      <c r="B219" s="44" t="s">
        <v>1624</v>
      </c>
      <c r="C219" s="44" t="s">
        <v>1625</v>
      </c>
      <c r="D219" s="44" t="s">
        <v>1180</v>
      </c>
      <c r="E219" s="49" t="s">
        <v>892</v>
      </c>
      <c r="F219" s="44" t="s">
        <v>1108</v>
      </c>
      <c r="G219" s="44">
        <v>60.0</v>
      </c>
      <c r="H219" s="47" t="s">
        <v>970</v>
      </c>
      <c r="I219" s="47" t="s">
        <v>892</v>
      </c>
      <c r="J219" s="44">
        <v>10.987936</v>
      </c>
      <c r="K219" s="48">
        <v>106.692676</v>
      </c>
    </row>
    <row r="220" ht="22.5" customHeight="1">
      <c r="A220" s="44" t="s">
        <v>429</v>
      </c>
      <c r="B220" s="44" t="s">
        <v>1626</v>
      </c>
      <c r="C220" s="44" t="s">
        <v>1627</v>
      </c>
      <c r="D220" s="44" t="s">
        <v>1628</v>
      </c>
      <c r="E220" s="49" t="s">
        <v>893</v>
      </c>
      <c r="F220" s="44" t="s">
        <v>1088</v>
      </c>
      <c r="G220" s="44">
        <v>60.0</v>
      </c>
      <c r="H220" s="47" t="s">
        <v>970</v>
      </c>
      <c r="I220" s="47" t="s">
        <v>893</v>
      </c>
      <c r="J220" s="44">
        <v>10.78954</v>
      </c>
      <c r="K220" s="48">
        <v>106.643096</v>
      </c>
    </row>
    <row r="221" ht="22.5" customHeight="1">
      <c r="A221" s="44" t="s">
        <v>431</v>
      </c>
      <c r="B221" s="44" t="s">
        <v>1629</v>
      </c>
      <c r="C221" s="44" t="s">
        <v>1630</v>
      </c>
      <c r="D221" s="44" t="s">
        <v>1631</v>
      </c>
      <c r="E221" s="49" t="s">
        <v>518</v>
      </c>
      <c r="F221" s="44" t="s">
        <v>1011</v>
      </c>
      <c r="G221" s="44">
        <v>90.0</v>
      </c>
      <c r="H221" s="47" t="s">
        <v>970</v>
      </c>
      <c r="I221" s="47" t="s">
        <v>518</v>
      </c>
      <c r="J221" s="44">
        <v>10.771587</v>
      </c>
      <c r="K221" s="48">
        <v>106.652644</v>
      </c>
    </row>
    <row r="222" ht="22.5" customHeight="1">
      <c r="A222" s="44" t="s">
        <v>1632</v>
      </c>
      <c r="B222" s="44" t="s">
        <v>1633</v>
      </c>
      <c r="C222" s="44" t="s">
        <v>1634</v>
      </c>
      <c r="D222" s="44" t="s">
        <v>1628</v>
      </c>
      <c r="E222" s="49" t="s">
        <v>806</v>
      </c>
      <c r="F222" s="44" t="s">
        <v>1500</v>
      </c>
      <c r="G222" s="44">
        <v>60.0</v>
      </c>
      <c r="H222" s="47" t="s">
        <v>970</v>
      </c>
      <c r="I222" s="47" t="s">
        <v>806</v>
      </c>
      <c r="J222" s="44">
        <v>10.795342</v>
      </c>
      <c r="K222" s="48">
        <v>106.650279</v>
      </c>
    </row>
    <row r="223" ht="22.5" customHeight="1">
      <c r="A223" s="44" t="s">
        <v>759</v>
      </c>
      <c r="B223" s="44" t="s">
        <v>1635</v>
      </c>
      <c r="C223" s="44" t="s">
        <v>1636</v>
      </c>
      <c r="D223" s="44" t="s">
        <v>1637</v>
      </c>
      <c r="E223" s="49" t="s">
        <v>660</v>
      </c>
      <c r="F223" s="44" t="s">
        <v>1638</v>
      </c>
      <c r="G223" s="44">
        <v>60.0</v>
      </c>
      <c r="H223" s="47" t="s">
        <v>970</v>
      </c>
      <c r="I223" s="47" t="s">
        <v>870</v>
      </c>
      <c r="J223" s="44">
        <v>10.017130033796</v>
      </c>
      <c r="K223" s="48">
        <v>105.73919637066</v>
      </c>
    </row>
    <row r="224" ht="22.5" customHeight="1">
      <c r="A224" s="44" t="s">
        <v>614</v>
      </c>
      <c r="B224" s="44" t="s">
        <v>1639</v>
      </c>
      <c r="C224" s="44" t="s">
        <v>1640</v>
      </c>
      <c r="D224" s="44" t="s">
        <v>1227</v>
      </c>
      <c r="E224" s="49" t="s">
        <v>890</v>
      </c>
      <c r="F224" s="44" t="s">
        <v>1228</v>
      </c>
      <c r="G224" s="44">
        <v>60.0</v>
      </c>
      <c r="H224" s="47" t="s">
        <v>970</v>
      </c>
      <c r="I224" s="47" t="s">
        <v>890</v>
      </c>
      <c r="J224" s="44">
        <v>10.918607</v>
      </c>
      <c r="K224" s="48">
        <v>106.768034</v>
      </c>
    </row>
    <row r="225" ht="22.5" customHeight="1">
      <c r="A225" s="44" t="s">
        <v>1641</v>
      </c>
      <c r="B225" s="44" t="s">
        <v>1642</v>
      </c>
      <c r="C225" s="44" t="s">
        <v>1643</v>
      </c>
      <c r="D225" s="44" t="s">
        <v>1644</v>
      </c>
      <c r="E225" s="49" t="s">
        <v>868</v>
      </c>
      <c r="F225" s="44" t="s">
        <v>1220</v>
      </c>
      <c r="G225" s="44">
        <v>30.0</v>
      </c>
      <c r="H225" s="47" t="s">
        <v>970</v>
      </c>
      <c r="I225" s="47" t="s">
        <v>868</v>
      </c>
      <c r="J225" s="44">
        <v>10.351744</v>
      </c>
      <c r="K225" s="48">
        <v>106.349081</v>
      </c>
    </row>
    <row r="226" ht="22.5" customHeight="1">
      <c r="A226" s="44" t="s">
        <v>1645</v>
      </c>
      <c r="B226" s="44" t="s">
        <v>1646</v>
      </c>
      <c r="C226" s="44" t="s">
        <v>1647</v>
      </c>
      <c r="D226" s="44" t="s">
        <v>1648</v>
      </c>
      <c r="E226" s="49" t="s">
        <v>883</v>
      </c>
      <c r="F226" s="44" t="s">
        <v>1471</v>
      </c>
      <c r="G226" s="44">
        <v>85.0</v>
      </c>
      <c r="H226" s="47" t="s">
        <v>970</v>
      </c>
      <c r="I226" s="47" t="s">
        <v>883</v>
      </c>
      <c r="J226" s="44">
        <v>10.94248</v>
      </c>
      <c r="K226" s="48">
        <v>106.725955</v>
      </c>
    </row>
    <row r="227" ht="22.5" customHeight="1">
      <c r="A227" s="44" t="s">
        <v>1649</v>
      </c>
      <c r="B227" s="44" t="s">
        <v>1650</v>
      </c>
      <c r="C227" s="44" t="s">
        <v>1651</v>
      </c>
      <c r="D227" s="44" t="s">
        <v>1470</v>
      </c>
      <c r="E227" s="49" t="s">
        <v>883</v>
      </c>
      <c r="F227" s="44" t="s">
        <v>1471</v>
      </c>
      <c r="G227" s="44">
        <v>85.0</v>
      </c>
      <c r="H227" s="47" t="s">
        <v>970</v>
      </c>
      <c r="I227" s="47" t="s">
        <v>883</v>
      </c>
      <c r="J227" s="44">
        <v>10.901468</v>
      </c>
      <c r="K227" s="48">
        <v>106.700792</v>
      </c>
    </row>
    <row r="228" ht="22.5" customHeight="1">
      <c r="A228" s="44" t="s">
        <v>1652</v>
      </c>
      <c r="B228" s="44" t="s">
        <v>1653</v>
      </c>
      <c r="C228" s="44" t="s">
        <v>1654</v>
      </c>
      <c r="D228" s="44" t="s">
        <v>1571</v>
      </c>
      <c r="E228" s="49" t="s">
        <v>797</v>
      </c>
      <c r="F228" s="44" t="s">
        <v>1409</v>
      </c>
      <c r="G228" s="44">
        <v>45.0</v>
      </c>
      <c r="H228" s="47" t="s">
        <v>970</v>
      </c>
      <c r="I228" s="47" t="s">
        <v>797</v>
      </c>
      <c r="J228" s="44">
        <v>10.860326</v>
      </c>
      <c r="K228" s="48">
        <v>106.610395</v>
      </c>
    </row>
    <row r="229" ht="22.5" customHeight="1">
      <c r="A229" s="44" t="s">
        <v>1655</v>
      </c>
      <c r="B229" s="44" t="s">
        <v>1656</v>
      </c>
      <c r="C229" s="44" t="s">
        <v>1503</v>
      </c>
      <c r="D229" s="44" t="s">
        <v>1227</v>
      </c>
      <c r="E229" s="49" t="s">
        <v>890</v>
      </c>
      <c r="F229" s="44" t="s">
        <v>1228</v>
      </c>
      <c r="G229" s="44">
        <v>30.0</v>
      </c>
      <c r="H229" s="47" t="s">
        <v>970</v>
      </c>
      <c r="I229" s="47" t="s">
        <v>890</v>
      </c>
      <c r="J229" s="44">
        <v>10.910497</v>
      </c>
      <c r="K229" s="48">
        <v>106.781597</v>
      </c>
    </row>
    <row r="230" ht="22.5" customHeight="1">
      <c r="A230" s="44" t="s">
        <v>1657</v>
      </c>
      <c r="B230" s="44" t="s">
        <v>1658</v>
      </c>
      <c r="C230" s="44" t="s">
        <v>1659</v>
      </c>
      <c r="D230" s="44" t="s">
        <v>1026</v>
      </c>
      <c r="E230" s="49" t="s">
        <v>897</v>
      </c>
      <c r="F230" s="44" t="s">
        <v>1027</v>
      </c>
      <c r="G230" s="44">
        <v>60.0</v>
      </c>
      <c r="H230" s="47" t="s">
        <v>970</v>
      </c>
      <c r="I230" s="47" t="s">
        <v>897</v>
      </c>
      <c r="J230" s="44">
        <v>10.83714</v>
      </c>
      <c r="K230" s="48">
        <v>106.656284</v>
      </c>
    </row>
    <row r="231" ht="22.5" customHeight="1">
      <c r="A231" s="44" t="s">
        <v>40</v>
      </c>
      <c r="B231" s="44" t="s">
        <v>1660</v>
      </c>
      <c r="C231" s="44" t="s">
        <v>1661</v>
      </c>
      <c r="D231" s="44" t="s">
        <v>1662</v>
      </c>
      <c r="E231" s="49" t="s">
        <v>891</v>
      </c>
      <c r="F231" s="44" t="s">
        <v>1125</v>
      </c>
      <c r="G231" s="44">
        <v>30.0</v>
      </c>
      <c r="H231" s="47" t="s">
        <v>970</v>
      </c>
      <c r="I231" s="47" t="s">
        <v>891</v>
      </c>
      <c r="J231" s="44">
        <v>10.905609</v>
      </c>
      <c r="K231" s="48">
        <v>106.850434</v>
      </c>
    </row>
    <row r="232" ht="22.5" customHeight="1">
      <c r="A232" s="44" t="s">
        <v>1663</v>
      </c>
      <c r="B232" s="44" t="s">
        <v>1664</v>
      </c>
      <c r="C232" s="44" t="s">
        <v>1665</v>
      </c>
      <c r="D232" s="44" t="s">
        <v>1470</v>
      </c>
      <c r="E232" s="49" t="s">
        <v>883</v>
      </c>
      <c r="F232" s="44" t="s">
        <v>1471</v>
      </c>
      <c r="G232" s="44">
        <v>85.0</v>
      </c>
      <c r="H232" s="47" t="s">
        <v>970</v>
      </c>
      <c r="I232" s="47" t="s">
        <v>883</v>
      </c>
      <c r="J232" s="44">
        <v>10.883746863422</v>
      </c>
      <c r="K232" s="48">
        <v>106.69775764876</v>
      </c>
    </row>
    <row r="233" ht="22.5" customHeight="1">
      <c r="A233" s="44" t="s">
        <v>584</v>
      </c>
      <c r="B233" s="44" t="s">
        <v>1666</v>
      </c>
      <c r="C233" s="44" t="s">
        <v>1667</v>
      </c>
      <c r="D233" s="44" t="s">
        <v>1668</v>
      </c>
      <c r="E233" s="49" t="s">
        <v>797</v>
      </c>
      <c r="F233" s="44" t="s">
        <v>1409</v>
      </c>
      <c r="G233" s="44">
        <v>100.0</v>
      </c>
      <c r="H233" s="47" t="s">
        <v>970</v>
      </c>
      <c r="I233" s="47" t="s">
        <v>797</v>
      </c>
      <c r="J233" s="44">
        <v>10.887183</v>
      </c>
      <c r="K233" s="48">
        <v>106.607541</v>
      </c>
    </row>
    <row r="234" ht="22.5" customHeight="1">
      <c r="A234" s="44" t="s">
        <v>218</v>
      </c>
      <c r="B234" s="44" t="s">
        <v>1669</v>
      </c>
      <c r="C234" s="44" t="s">
        <v>1670</v>
      </c>
      <c r="D234" s="44" t="s">
        <v>1030</v>
      </c>
      <c r="E234" s="49" t="s">
        <v>887</v>
      </c>
      <c r="F234" s="44" t="s">
        <v>1031</v>
      </c>
      <c r="G234" s="44">
        <v>70.0</v>
      </c>
      <c r="H234" s="47" t="s">
        <v>970</v>
      </c>
      <c r="I234" s="47" t="s">
        <v>832</v>
      </c>
      <c r="J234" s="44">
        <v>10.802707</v>
      </c>
      <c r="K234" s="48">
        <v>106.735506</v>
      </c>
    </row>
    <row r="235" ht="22.5" customHeight="1">
      <c r="A235" s="44" t="s">
        <v>1671</v>
      </c>
      <c r="B235" s="44" t="s">
        <v>1672</v>
      </c>
      <c r="C235" s="44" t="s">
        <v>1673</v>
      </c>
      <c r="D235" s="44" t="s">
        <v>1067</v>
      </c>
      <c r="E235" s="49" t="s">
        <v>897</v>
      </c>
      <c r="F235" s="44" t="s">
        <v>1027</v>
      </c>
      <c r="G235" s="44">
        <v>75.0</v>
      </c>
      <c r="H235" s="47" t="s">
        <v>970</v>
      </c>
      <c r="I235" s="47" t="s">
        <v>896</v>
      </c>
      <c r="J235" s="44">
        <v>10.83717</v>
      </c>
      <c r="K235" s="48">
        <v>106.618389</v>
      </c>
    </row>
    <row r="236" ht="22.5" customHeight="1">
      <c r="A236" s="44" t="s">
        <v>1674</v>
      </c>
      <c r="B236" s="44" t="s">
        <v>1675</v>
      </c>
      <c r="C236" s="44" t="s">
        <v>1676</v>
      </c>
      <c r="D236" s="44" t="s">
        <v>1239</v>
      </c>
      <c r="E236" s="49" t="s">
        <v>789</v>
      </c>
      <c r="F236" s="44" t="s">
        <v>1168</v>
      </c>
      <c r="G236" s="44">
        <v>54.0</v>
      </c>
      <c r="H236" s="47" t="s">
        <v>970</v>
      </c>
      <c r="I236" s="47" t="s">
        <v>789</v>
      </c>
      <c r="J236" s="44">
        <v>10.725645</v>
      </c>
      <c r="K236" s="48">
        <v>106.595353</v>
      </c>
    </row>
    <row r="237" ht="22.5" customHeight="1">
      <c r="A237" s="44" t="s">
        <v>1677</v>
      </c>
      <c r="B237" s="44" t="s">
        <v>1678</v>
      </c>
      <c r="C237" s="44" t="s">
        <v>1679</v>
      </c>
      <c r="D237" s="44" t="s">
        <v>1135</v>
      </c>
      <c r="E237" s="49" t="s">
        <v>888</v>
      </c>
      <c r="F237" s="44" t="s">
        <v>1136</v>
      </c>
      <c r="G237" s="44">
        <v>60.0</v>
      </c>
      <c r="H237" s="47" t="s">
        <v>970</v>
      </c>
      <c r="I237" s="47" t="s">
        <v>888</v>
      </c>
      <c r="J237" s="44">
        <v>10.77209298997</v>
      </c>
      <c r="K237" s="48">
        <v>106.70210913416</v>
      </c>
    </row>
    <row r="238" ht="22.5" customHeight="1">
      <c r="A238" s="44" t="s">
        <v>762</v>
      </c>
      <c r="B238" s="44" t="s">
        <v>1680</v>
      </c>
      <c r="C238" s="44" t="s">
        <v>1681</v>
      </c>
      <c r="D238" s="44" t="s">
        <v>1682</v>
      </c>
      <c r="E238" s="49" t="s">
        <v>868</v>
      </c>
      <c r="F238" s="44" t="s">
        <v>1220</v>
      </c>
      <c r="G238" s="44">
        <v>30.0</v>
      </c>
      <c r="H238" s="47" t="s">
        <v>970</v>
      </c>
      <c r="I238" s="47" t="s">
        <v>868</v>
      </c>
      <c r="J238" s="44">
        <v>10.371492</v>
      </c>
      <c r="K238" s="48">
        <v>106.341613</v>
      </c>
    </row>
    <row r="239" ht="22.5" customHeight="1">
      <c r="A239" s="44" t="s">
        <v>1683</v>
      </c>
      <c r="B239" s="44" t="s">
        <v>1684</v>
      </c>
      <c r="C239" s="44" t="s">
        <v>1685</v>
      </c>
      <c r="D239" s="44" t="s">
        <v>986</v>
      </c>
      <c r="E239" s="49" t="s">
        <v>910</v>
      </c>
      <c r="F239" s="44" t="s">
        <v>987</v>
      </c>
      <c r="G239" s="44">
        <v>60.0</v>
      </c>
      <c r="H239" s="47" t="s">
        <v>970</v>
      </c>
      <c r="I239" s="47" t="s">
        <v>824</v>
      </c>
      <c r="J239" s="44">
        <v>10.780271</v>
      </c>
      <c r="K239" s="48">
        <v>106.66045</v>
      </c>
    </row>
    <row r="240" ht="22.5" customHeight="1">
      <c r="A240" s="44" t="s">
        <v>1686</v>
      </c>
      <c r="B240" s="44" t="s">
        <v>1687</v>
      </c>
      <c r="C240" s="44" t="s">
        <v>1688</v>
      </c>
      <c r="D240" s="44" t="s">
        <v>1097</v>
      </c>
      <c r="E240" s="49" t="s">
        <v>863</v>
      </c>
      <c r="F240" s="44" t="s">
        <v>1052</v>
      </c>
      <c r="G240" s="44">
        <v>60.0</v>
      </c>
      <c r="H240" s="47" t="s">
        <v>970</v>
      </c>
      <c r="I240" s="47" t="s">
        <v>863</v>
      </c>
      <c r="J240" s="44">
        <v>10.392319574691</v>
      </c>
      <c r="K240" s="48">
        <v>107.13037299761</v>
      </c>
    </row>
    <row r="241" ht="22.5" customHeight="1">
      <c r="A241" s="44" t="s">
        <v>332</v>
      </c>
      <c r="B241" s="44" t="s">
        <v>1689</v>
      </c>
      <c r="C241" s="44" t="s">
        <v>1690</v>
      </c>
      <c r="D241" s="44" t="s">
        <v>1691</v>
      </c>
      <c r="E241" s="49" t="s">
        <v>850</v>
      </c>
      <c r="F241" s="44" t="s">
        <v>1057</v>
      </c>
      <c r="G241" s="44">
        <v>120.0</v>
      </c>
      <c r="H241" s="47" t="s">
        <v>970</v>
      </c>
      <c r="I241" s="47" t="s">
        <v>892</v>
      </c>
      <c r="J241" s="44">
        <v>10.983662</v>
      </c>
      <c r="K241" s="48">
        <v>106.573959</v>
      </c>
    </row>
    <row r="242" ht="22.5" customHeight="1">
      <c r="A242" s="44" t="s">
        <v>1692</v>
      </c>
      <c r="B242" s="44" t="s">
        <v>1693</v>
      </c>
      <c r="C242" s="44" t="s">
        <v>1694</v>
      </c>
      <c r="D242" s="44" t="s">
        <v>986</v>
      </c>
      <c r="E242" s="49" t="s">
        <v>910</v>
      </c>
      <c r="F242" s="44" t="s">
        <v>987</v>
      </c>
      <c r="G242" s="44">
        <v>45.0</v>
      </c>
      <c r="H242" s="47" t="s">
        <v>970</v>
      </c>
      <c r="I242" s="47" t="s">
        <v>822</v>
      </c>
      <c r="J242" s="44">
        <v>10.769784</v>
      </c>
      <c r="K242" s="48">
        <v>106.658513</v>
      </c>
    </row>
    <row r="243" ht="22.5" customHeight="1">
      <c r="A243" s="44" t="s">
        <v>1695</v>
      </c>
      <c r="B243" s="44" t="s">
        <v>1696</v>
      </c>
      <c r="C243" s="44" t="s">
        <v>1697</v>
      </c>
      <c r="D243" s="44" t="s">
        <v>1047</v>
      </c>
      <c r="E243" s="49" t="s">
        <v>901</v>
      </c>
      <c r="F243" s="44" t="s">
        <v>1562</v>
      </c>
      <c r="G243" s="44">
        <v>60.0</v>
      </c>
      <c r="H243" s="47" t="s">
        <v>970</v>
      </c>
      <c r="I243" s="47" t="s">
        <v>901</v>
      </c>
      <c r="J243" s="44">
        <v>10.801813</v>
      </c>
      <c r="K243" s="48">
        <v>106.709418</v>
      </c>
    </row>
    <row r="244" ht="22.5" customHeight="1">
      <c r="A244" s="44" t="s">
        <v>449</v>
      </c>
      <c r="B244" s="44" t="s">
        <v>1698</v>
      </c>
      <c r="C244" s="44" t="s">
        <v>1699</v>
      </c>
      <c r="D244" s="44" t="s">
        <v>1700</v>
      </c>
      <c r="E244" s="49" t="s">
        <v>822</v>
      </c>
      <c r="F244" s="44" t="s">
        <v>1284</v>
      </c>
      <c r="G244" s="44">
        <v>60.0</v>
      </c>
      <c r="H244" s="47" t="s">
        <v>970</v>
      </c>
      <c r="I244" s="47" t="s">
        <v>518</v>
      </c>
      <c r="J244" s="44">
        <v>10.760571</v>
      </c>
      <c r="K244" s="48">
        <v>106.648121</v>
      </c>
    </row>
    <row r="245" ht="22.5" customHeight="1">
      <c r="A245" s="44" t="s">
        <v>219</v>
      </c>
      <c r="B245" s="44" t="s">
        <v>1701</v>
      </c>
      <c r="C245" s="44" t="s">
        <v>1702</v>
      </c>
      <c r="D245" s="44" t="s">
        <v>1030</v>
      </c>
      <c r="E245" s="49" t="s">
        <v>887</v>
      </c>
      <c r="F245" s="44" t="s">
        <v>1031</v>
      </c>
      <c r="G245" s="44">
        <v>80.0</v>
      </c>
      <c r="H245" s="47" t="s">
        <v>970</v>
      </c>
      <c r="I245" s="47" t="s">
        <v>832</v>
      </c>
      <c r="J245" s="44">
        <v>10.808212</v>
      </c>
      <c r="K245" s="48">
        <v>106.725111</v>
      </c>
    </row>
    <row r="246" ht="22.5" customHeight="1">
      <c r="A246" s="44" t="s">
        <v>1703</v>
      </c>
      <c r="B246" s="44" t="s">
        <v>1704</v>
      </c>
      <c r="C246" s="44" t="s">
        <v>1705</v>
      </c>
      <c r="D246" s="44" t="s">
        <v>1007</v>
      </c>
      <c r="E246" s="49" t="s">
        <v>510</v>
      </c>
      <c r="F246" s="44" t="s">
        <v>983</v>
      </c>
      <c r="G246" s="44">
        <v>66.0</v>
      </c>
      <c r="H246" s="47" t="s">
        <v>970</v>
      </c>
      <c r="I246" s="47" t="s">
        <v>883</v>
      </c>
      <c r="J246" s="44">
        <v>10.891008</v>
      </c>
      <c r="K246" s="48">
        <v>106.717521</v>
      </c>
    </row>
    <row r="247" ht="22.5" customHeight="1">
      <c r="A247" s="44" t="s">
        <v>1706</v>
      </c>
      <c r="B247" s="44" t="s">
        <v>1707</v>
      </c>
      <c r="C247" s="44" t="s">
        <v>1708</v>
      </c>
      <c r="D247" s="44" t="s">
        <v>1280</v>
      </c>
      <c r="E247" s="49" t="s">
        <v>895</v>
      </c>
      <c r="F247" s="44" t="s">
        <v>1121</v>
      </c>
      <c r="G247" s="44">
        <v>96.0</v>
      </c>
      <c r="H247" s="47" t="s">
        <v>970</v>
      </c>
      <c r="I247" s="47" t="s">
        <v>895</v>
      </c>
      <c r="J247" s="44">
        <v>10.849288</v>
      </c>
      <c r="K247" s="48">
        <v>106.766579</v>
      </c>
    </row>
    <row r="248" ht="22.5" customHeight="1">
      <c r="A248" s="44" t="s">
        <v>760</v>
      </c>
      <c r="B248" s="44" t="s">
        <v>1709</v>
      </c>
      <c r="C248" s="44" t="s">
        <v>1710</v>
      </c>
      <c r="D248" s="44" t="s">
        <v>1711</v>
      </c>
      <c r="E248" s="49" t="s">
        <v>897</v>
      </c>
      <c r="F248" s="44" t="s">
        <v>1027</v>
      </c>
      <c r="G248" s="44">
        <v>80.0</v>
      </c>
      <c r="H248" s="47" t="s">
        <v>970</v>
      </c>
      <c r="I248" s="47" t="s">
        <v>883</v>
      </c>
      <c r="J248" s="44">
        <v>10.880033</v>
      </c>
      <c r="K248" s="48">
        <v>106.680134</v>
      </c>
    </row>
    <row r="249" ht="22.5" customHeight="1">
      <c r="A249" s="44" t="s">
        <v>1712</v>
      </c>
      <c r="B249" s="44" t="s">
        <v>1713</v>
      </c>
      <c r="C249" s="44" t="s">
        <v>1714</v>
      </c>
      <c r="D249" s="44" t="s">
        <v>1227</v>
      </c>
      <c r="E249" s="49" t="s">
        <v>890</v>
      </c>
      <c r="F249" s="44" t="s">
        <v>1228</v>
      </c>
      <c r="G249" s="44">
        <v>60.0</v>
      </c>
      <c r="H249" s="47" t="s">
        <v>970</v>
      </c>
      <c r="I249" s="47" t="s">
        <v>890</v>
      </c>
      <c r="J249" s="44">
        <v>10.910127</v>
      </c>
      <c r="K249" s="48">
        <v>106.782134</v>
      </c>
    </row>
    <row r="250" ht="22.5" customHeight="1">
      <c r="A250" s="44" t="s">
        <v>195</v>
      </c>
      <c r="B250" s="44" t="s">
        <v>1715</v>
      </c>
      <c r="C250" s="44" t="s">
        <v>1716</v>
      </c>
      <c r="D250" s="44" t="s">
        <v>1084</v>
      </c>
      <c r="E250" s="49" t="s">
        <v>887</v>
      </c>
      <c r="F250" s="44" t="s">
        <v>1031</v>
      </c>
      <c r="G250" s="44">
        <v>74.0</v>
      </c>
      <c r="H250" s="47" t="s">
        <v>970</v>
      </c>
      <c r="I250" s="47" t="s">
        <v>898</v>
      </c>
      <c r="J250" s="44">
        <v>10.776926</v>
      </c>
      <c r="K250" s="48">
        <v>106.751605</v>
      </c>
    </row>
    <row r="251" ht="22.5" customHeight="1">
      <c r="A251" s="44" t="s">
        <v>581</v>
      </c>
      <c r="B251" s="44" t="s">
        <v>1717</v>
      </c>
      <c r="C251" s="44" t="s">
        <v>1718</v>
      </c>
      <c r="D251" s="44" t="s">
        <v>1051</v>
      </c>
      <c r="E251" s="49" t="s">
        <v>863</v>
      </c>
      <c r="F251" s="44" t="s">
        <v>1052</v>
      </c>
      <c r="G251" s="44">
        <v>30.0</v>
      </c>
      <c r="H251" s="47" t="s">
        <v>970</v>
      </c>
      <c r="I251" s="47" t="s">
        <v>863</v>
      </c>
      <c r="J251" s="44">
        <v>10.351656</v>
      </c>
      <c r="K251" s="48">
        <v>107.08306</v>
      </c>
    </row>
    <row r="252" ht="22.5" customHeight="1">
      <c r="A252" s="44" t="s">
        <v>33</v>
      </c>
      <c r="B252" s="44" t="s">
        <v>1719</v>
      </c>
      <c r="C252" s="44" t="s">
        <v>1720</v>
      </c>
      <c r="D252" s="44" t="s">
        <v>1662</v>
      </c>
      <c r="E252" s="49" t="s">
        <v>891</v>
      </c>
      <c r="F252" s="44" t="s">
        <v>1125</v>
      </c>
      <c r="G252" s="44">
        <v>60.0</v>
      </c>
      <c r="H252" s="47" t="s">
        <v>970</v>
      </c>
      <c r="I252" s="47" t="s">
        <v>891</v>
      </c>
      <c r="J252" s="44">
        <v>10.951314</v>
      </c>
      <c r="K252" s="48">
        <v>106.867294</v>
      </c>
    </row>
    <row r="253" ht="22.5" customHeight="1">
      <c r="A253" s="44" t="s">
        <v>1721</v>
      </c>
      <c r="B253" s="44" t="s">
        <v>1722</v>
      </c>
      <c r="C253" s="44" t="s">
        <v>1723</v>
      </c>
      <c r="D253" s="44" t="s">
        <v>1139</v>
      </c>
      <c r="E253" s="49" t="s">
        <v>882</v>
      </c>
      <c r="F253" s="44" t="s">
        <v>991</v>
      </c>
      <c r="G253" s="44">
        <v>60.0</v>
      </c>
      <c r="H253" s="47" t="s">
        <v>970</v>
      </c>
      <c r="I253" s="47" t="s">
        <v>882</v>
      </c>
      <c r="J253" s="44">
        <v>10.69506102646</v>
      </c>
      <c r="K253" s="48">
        <v>106.704787838</v>
      </c>
    </row>
    <row r="254" ht="22.5" customHeight="1">
      <c r="A254" s="44" t="s">
        <v>1724</v>
      </c>
      <c r="B254" s="44" t="s">
        <v>1725</v>
      </c>
      <c r="C254" s="44" t="s">
        <v>1726</v>
      </c>
      <c r="D254" s="44" t="s">
        <v>1227</v>
      </c>
      <c r="E254" s="49" t="s">
        <v>890</v>
      </c>
      <c r="F254" s="44" t="s">
        <v>1228</v>
      </c>
      <c r="G254" s="44">
        <v>60.0</v>
      </c>
      <c r="H254" s="47" t="s">
        <v>970</v>
      </c>
      <c r="I254" s="47" t="s">
        <v>890</v>
      </c>
      <c r="J254" s="44">
        <v>10.908049744505</v>
      </c>
      <c r="K254" s="48">
        <v>106.74701123034</v>
      </c>
    </row>
    <row r="255" ht="22.5" customHeight="1">
      <c r="A255" s="44" t="s">
        <v>1727</v>
      </c>
      <c r="B255" s="44" t="s">
        <v>1728</v>
      </c>
      <c r="C255" s="44" t="s">
        <v>1729</v>
      </c>
      <c r="D255" s="44" t="s">
        <v>1359</v>
      </c>
      <c r="E255" s="49" t="s">
        <v>813</v>
      </c>
      <c r="F255" s="44" t="s">
        <v>1015</v>
      </c>
      <c r="G255" s="44">
        <v>91.0</v>
      </c>
      <c r="H255" s="47" t="s">
        <v>970</v>
      </c>
      <c r="I255" s="47" t="s">
        <v>822</v>
      </c>
      <c r="J255" s="44">
        <v>10.756361</v>
      </c>
      <c r="K255" s="48">
        <v>106.657094</v>
      </c>
    </row>
    <row r="256" ht="22.5" customHeight="1">
      <c r="A256" s="44" t="s">
        <v>1730</v>
      </c>
      <c r="B256" s="44" t="s">
        <v>1731</v>
      </c>
      <c r="C256" s="44" t="s">
        <v>1732</v>
      </c>
      <c r="D256" s="44" t="s">
        <v>1154</v>
      </c>
      <c r="E256" s="49" t="s">
        <v>893</v>
      </c>
      <c r="F256" s="44" t="s">
        <v>1088</v>
      </c>
      <c r="G256" s="50">
        <v>70.0</v>
      </c>
      <c r="H256" s="47" t="s">
        <v>970</v>
      </c>
      <c r="I256" s="47" t="s">
        <v>893</v>
      </c>
      <c r="J256" s="44">
        <v>10.789338</v>
      </c>
      <c r="K256" s="48">
        <v>106.622341</v>
      </c>
    </row>
    <row r="257" ht="22.5" customHeight="1">
      <c r="A257" s="44" t="s">
        <v>1733</v>
      </c>
      <c r="B257" s="44" t="s">
        <v>1734</v>
      </c>
      <c r="C257" s="44" t="s">
        <v>1735</v>
      </c>
      <c r="D257" s="44" t="s">
        <v>1736</v>
      </c>
      <c r="E257" s="49" t="s">
        <v>893</v>
      </c>
      <c r="F257" s="44" t="s">
        <v>1088</v>
      </c>
      <c r="G257" s="44">
        <v>70.0</v>
      </c>
      <c r="H257" s="47" t="s">
        <v>970</v>
      </c>
      <c r="I257" s="47" t="s">
        <v>824</v>
      </c>
      <c r="J257" s="44">
        <v>10.774791</v>
      </c>
      <c r="K257" s="48">
        <v>106.638469</v>
      </c>
    </row>
    <row r="258" ht="22.5" customHeight="1">
      <c r="A258" s="44" t="s">
        <v>518</v>
      </c>
      <c r="B258" s="44" t="s">
        <v>1011</v>
      </c>
      <c r="C258" s="44" t="s">
        <v>1737</v>
      </c>
      <c r="D258" s="44" t="s">
        <v>1424</v>
      </c>
      <c r="E258" s="49"/>
      <c r="F258" s="44" t="s">
        <v>1098</v>
      </c>
      <c r="G258" s="44"/>
      <c r="H258" s="47" t="s">
        <v>970</v>
      </c>
      <c r="I258" s="47" t="s">
        <v>518</v>
      </c>
      <c r="J258" s="44">
        <v>10.767069</v>
      </c>
      <c r="K258" s="48">
        <v>106.64929</v>
      </c>
    </row>
    <row r="259" ht="22.5" customHeight="1">
      <c r="A259" s="44" t="s">
        <v>1738</v>
      </c>
      <c r="B259" s="44" t="s">
        <v>1739</v>
      </c>
      <c r="C259" s="44" t="s">
        <v>1740</v>
      </c>
      <c r="D259" s="44" t="s">
        <v>1741</v>
      </c>
      <c r="E259" s="49" t="s">
        <v>882</v>
      </c>
      <c r="F259" s="44" t="s">
        <v>991</v>
      </c>
      <c r="G259" s="44">
        <v>68.0</v>
      </c>
      <c r="H259" s="47" t="s">
        <v>970</v>
      </c>
      <c r="I259" s="47" t="s">
        <v>882</v>
      </c>
      <c r="J259" s="44">
        <v>10.715707</v>
      </c>
      <c r="K259" s="48">
        <v>106.741306</v>
      </c>
    </row>
    <row r="260" ht="22.5" customHeight="1">
      <c r="A260" s="44" t="s">
        <v>737</v>
      </c>
      <c r="B260" s="44" t="s">
        <v>1742</v>
      </c>
      <c r="C260" s="44" t="s">
        <v>1743</v>
      </c>
      <c r="D260" s="44" t="s">
        <v>1648</v>
      </c>
      <c r="E260" s="49" t="s">
        <v>883</v>
      </c>
      <c r="F260" s="44" t="s">
        <v>1471</v>
      </c>
      <c r="G260" s="44">
        <v>100.0</v>
      </c>
      <c r="H260" s="47" t="s">
        <v>970</v>
      </c>
      <c r="I260" s="47" t="s">
        <v>890</v>
      </c>
      <c r="J260" s="44">
        <v>10.936594</v>
      </c>
      <c r="K260" s="48">
        <v>106.742709</v>
      </c>
    </row>
    <row r="261" ht="22.5" customHeight="1">
      <c r="A261" s="44" t="s">
        <v>1744</v>
      </c>
      <c r="B261" s="44" t="s">
        <v>1745</v>
      </c>
      <c r="C261" s="44" t="s">
        <v>1746</v>
      </c>
      <c r="D261" s="44" t="s">
        <v>1747</v>
      </c>
      <c r="E261" s="49" t="s">
        <v>883</v>
      </c>
      <c r="F261" s="44" t="s">
        <v>1471</v>
      </c>
      <c r="G261" s="50">
        <v>55.0</v>
      </c>
      <c r="H261" s="47" t="s">
        <v>970</v>
      </c>
      <c r="I261" s="47" t="s">
        <v>883</v>
      </c>
      <c r="J261" s="44">
        <v>10.928684</v>
      </c>
      <c r="K261" s="48">
        <v>106.711977</v>
      </c>
    </row>
    <row r="262" ht="22.5" customHeight="1">
      <c r="A262" s="44" t="s">
        <v>1748</v>
      </c>
      <c r="B262" s="44" t="s">
        <v>1749</v>
      </c>
      <c r="C262" s="44" t="s">
        <v>1750</v>
      </c>
      <c r="D262" s="44" t="s">
        <v>1621</v>
      </c>
      <c r="E262" s="49" t="s">
        <v>789</v>
      </c>
      <c r="F262" s="44" t="s">
        <v>1168</v>
      </c>
      <c r="G262" s="50">
        <v>60.0</v>
      </c>
      <c r="H262" s="47" t="s">
        <v>970</v>
      </c>
      <c r="I262" s="47" t="s">
        <v>885</v>
      </c>
      <c r="J262" s="44">
        <v>10.733195</v>
      </c>
      <c r="K262" s="48">
        <v>106.669959</v>
      </c>
    </row>
    <row r="263" ht="22.5" customHeight="1">
      <c r="A263" s="44" t="s">
        <v>1751</v>
      </c>
      <c r="B263" s="44" t="s">
        <v>1752</v>
      </c>
      <c r="C263" s="44" t="s">
        <v>1753</v>
      </c>
      <c r="D263" s="44" t="s">
        <v>986</v>
      </c>
      <c r="E263" s="49" t="s">
        <v>789</v>
      </c>
      <c r="F263" s="44" t="s">
        <v>1168</v>
      </c>
      <c r="G263" s="44">
        <v>60.0</v>
      </c>
      <c r="H263" s="47" t="s">
        <v>970</v>
      </c>
      <c r="I263" s="47" t="s">
        <v>910</v>
      </c>
      <c r="J263" s="44">
        <v>10.773454</v>
      </c>
      <c r="K263" s="48">
        <v>106.664547</v>
      </c>
    </row>
    <row r="264" ht="22.5" customHeight="1">
      <c r="A264" s="44" t="s">
        <v>303</v>
      </c>
      <c r="B264" s="44" t="s">
        <v>1754</v>
      </c>
      <c r="C264" s="44" t="s">
        <v>1755</v>
      </c>
      <c r="D264" s="44" t="s">
        <v>1756</v>
      </c>
      <c r="E264" s="49" t="s">
        <v>892</v>
      </c>
      <c r="F264" s="44" t="s">
        <v>1108</v>
      </c>
      <c r="G264" s="44">
        <v>60.0</v>
      </c>
      <c r="H264" s="47" t="s">
        <v>970</v>
      </c>
      <c r="I264" s="47" t="s">
        <v>892</v>
      </c>
      <c r="J264" s="44">
        <v>11.049154</v>
      </c>
      <c r="K264" s="48">
        <v>106.680603</v>
      </c>
    </row>
    <row r="265" ht="22.5" customHeight="1">
      <c r="A265" s="44" t="s">
        <v>663</v>
      </c>
      <c r="B265" s="44" t="s">
        <v>1757</v>
      </c>
      <c r="C265" s="44" t="s">
        <v>1758</v>
      </c>
      <c r="D265" s="44" t="s">
        <v>1510</v>
      </c>
      <c r="E265" s="49" t="s">
        <v>804</v>
      </c>
      <c r="F265" s="44" t="s">
        <v>1497</v>
      </c>
      <c r="G265" s="44">
        <v>30.0</v>
      </c>
      <c r="H265" s="47" t="s">
        <v>970</v>
      </c>
      <c r="I265" s="47" t="s">
        <v>804</v>
      </c>
      <c r="J265" s="44">
        <v>10.765334</v>
      </c>
      <c r="K265" s="48">
        <v>106.702183</v>
      </c>
    </row>
    <row r="266" ht="22.5" customHeight="1">
      <c r="A266" s="44" t="s">
        <v>541</v>
      </c>
      <c r="B266" s="44" t="s">
        <v>1759</v>
      </c>
      <c r="C266" s="44" t="s">
        <v>1760</v>
      </c>
      <c r="D266" s="44" t="s">
        <v>1076</v>
      </c>
      <c r="E266" s="49" t="s">
        <v>813</v>
      </c>
      <c r="F266" s="44" t="s">
        <v>1015</v>
      </c>
      <c r="G266" s="44">
        <v>60.0</v>
      </c>
      <c r="H266" s="47" t="s">
        <v>970</v>
      </c>
      <c r="I266" s="47" t="s">
        <v>813</v>
      </c>
      <c r="J266" s="44">
        <v>10.754261</v>
      </c>
      <c r="K266" s="48">
        <v>106.671585</v>
      </c>
    </row>
    <row r="267" ht="22.5" customHeight="1">
      <c r="A267" s="44" t="s">
        <v>662</v>
      </c>
      <c r="B267" s="44" t="s">
        <v>1761</v>
      </c>
      <c r="C267" s="44" t="s">
        <v>1762</v>
      </c>
      <c r="D267" s="44" t="s">
        <v>1510</v>
      </c>
      <c r="E267" s="49" t="s">
        <v>804</v>
      </c>
      <c r="F267" s="44" t="s">
        <v>1497</v>
      </c>
      <c r="G267" s="44">
        <v>70.0</v>
      </c>
      <c r="H267" s="47" t="s">
        <v>970</v>
      </c>
      <c r="I267" s="47" t="s">
        <v>804</v>
      </c>
      <c r="J267" s="44">
        <v>10.765248</v>
      </c>
      <c r="K267" s="48">
        <v>106.701973</v>
      </c>
    </row>
    <row r="268" ht="22.5" customHeight="1">
      <c r="A268" s="44" t="s">
        <v>667</v>
      </c>
      <c r="B268" s="44" t="s">
        <v>1763</v>
      </c>
      <c r="C268" s="44" t="s">
        <v>1764</v>
      </c>
      <c r="D268" s="44" t="s">
        <v>1026</v>
      </c>
      <c r="E268" s="49" t="s">
        <v>897</v>
      </c>
      <c r="F268" s="44" t="s">
        <v>1027</v>
      </c>
      <c r="G268" s="50">
        <v>90.0</v>
      </c>
      <c r="H268" s="47" t="s">
        <v>970</v>
      </c>
      <c r="I268" s="47" t="s">
        <v>897</v>
      </c>
      <c r="J268" s="44">
        <v>10.843764</v>
      </c>
      <c r="K268" s="48">
        <v>106.647864</v>
      </c>
    </row>
    <row r="269" ht="22.5" customHeight="1">
      <c r="A269" s="44" t="s">
        <v>1765</v>
      </c>
      <c r="B269" s="44" t="s">
        <v>1766</v>
      </c>
      <c r="C269" s="44" t="s">
        <v>1767</v>
      </c>
      <c r="D269" s="44" t="s">
        <v>1631</v>
      </c>
      <c r="E269" s="49" t="s">
        <v>518</v>
      </c>
      <c r="F269" s="44" t="s">
        <v>1011</v>
      </c>
      <c r="G269" s="44">
        <v>60.0</v>
      </c>
      <c r="H269" s="47" t="s">
        <v>970</v>
      </c>
      <c r="I269" s="47" t="s">
        <v>518</v>
      </c>
      <c r="J269" s="44">
        <v>10.770659</v>
      </c>
      <c r="K269" s="48">
        <v>106.652512</v>
      </c>
    </row>
    <row r="270" ht="22.5" customHeight="1">
      <c r="A270" s="44" t="s">
        <v>746</v>
      </c>
      <c r="B270" s="44" t="s">
        <v>1768</v>
      </c>
      <c r="C270" s="44" t="s">
        <v>1769</v>
      </c>
      <c r="D270" s="44" t="s">
        <v>1227</v>
      </c>
      <c r="E270" s="49" t="s">
        <v>883</v>
      </c>
      <c r="F270" s="44" t="s">
        <v>1471</v>
      </c>
      <c r="G270" s="44">
        <v>90.0</v>
      </c>
      <c r="H270" s="47" t="s">
        <v>970</v>
      </c>
      <c r="I270" s="47" t="s">
        <v>890</v>
      </c>
      <c r="J270" s="44">
        <v>10.889812</v>
      </c>
      <c r="K270" s="48">
        <v>106.73997</v>
      </c>
    </row>
    <row r="271" ht="22.5" customHeight="1">
      <c r="A271" s="44" t="s">
        <v>730</v>
      </c>
      <c r="B271" s="44" t="s">
        <v>1770</v>
      </c>
      <c r="C271" s="44" t="s">
        <v>1771</v>
      </c>
      <c r="D271" s="44" t="s">
        <v>1506</v>
      </c>
      <c r="E271" s="49" t="s">
        <v>897</v>
      </c>
      <c r="F271" s="44" t="s">
        <v>1027</v>
      </c>
      <c r="G271" s="50">
        <v>75.0</v>
      </c>
      <c r="H271" s="47" t="s">
        <v>970</v>
      </c>
      <c r="I271" s="47" t="s">
        <v>797</v>
      </c>
      <c r="J271" s="44">
        <v>10.866957327554</v>
      </c>
      <c r="K271" s="48">
        <v>106.61528096676</v>
      </c>
    </row>
    <row r="272" ht="22.5" customHeight="1">
      <c r="A272" s="44" t="s">
        <v>882</v>
      </c>
      <c r="B272" s="44" t="s">
        <v>991</v>
      </c>
      <c r="C272" s="44" t="s">
        <v>1772</v>
      </c>
      <c r="D272" s="44" t="s">
        <v>1741</v>
      </c>
      <c r="E272" s="49" t="s">
        <v>910</v>
      </c>
      <c r="F272" s="44" t="s">
        <v>987</v>
      </c>
      <c r="G272" s="44">
        <v>60.0</v>
      </c>
      <c r="H272" s="47" t="s">
        <v>970</v>
      </c>
      <c r="I272" s="47" t="s">
        <v>882</v>
      </c>
      <c r="J272" s="44">
        <v>10.715441</v>
      </c>
      <c r="K272" s="48">
        <v>106.737061</v>
      </c>
    </row>
    <row r="273" ht="22.5" customHeight="1">
      <c r="A273" s="44" t="s">
        <v>872</v>
      </c>
      <c r="B273" s="44" t="s">
        <v>1003</v>
      </c>
      <c r="C273" s="44" t="s">
        <v>1773</v>
      </c>
      <c r="D273" s="44" t="s">
        <v>1224</v>
      </c>
      <c r="E273" s="49"/>
      <c r="F273" s="44" t="s">
        <v>1098</v>
      </c>
      <c r="G273" s="44"/>
      <c r="H273" s="47" t="s">
        <v>970</v>
      </c>
      <c r="I273" s="47" t="s">
        <v>872</v>
      </c>
      <c r="J273" s="44">
        <v>10.535476</v>
      </c>
      <c r="K273" s="48">
        <v>106.417043</v>
      </c>
    </row>
    <row r="274" ht="22.5" customHeight="1">
      <c r="A274" s="44" t="s">
        <v>1774</v>
      </c>
      <c r="B274" s="44" t="s">
        <v>1775</v>
      </c>
      <c r="C274" s="44" t="s">
        <v>1776</v>
      </c>
      <c r="D274" s="44" t="s">
        <v>1700</v>
      </c>
      <c r="E274" s="49" t="s">
        <v>808</v>
      </c>
      <c r="F274" s="44" t="s">
        <v>998</v>
      </c>
      <c r="G274" s="44">
        <v>60.0</v>
      </c>
      <c r="H274" s="47" t="s">
        <v>970</v>
      </c>
      <c r="I274" s="47" t="s">
        <v>518</v>
      </c>
      <c r="J274" s="44">
        <v>10.762544</v>
      </c>
      <c r="K274" s="48">
        <v>106.644849</v>
      </c>
    </row>
    <row r="275" ht="22.5" customHeight="1">
      <c r="A275" s="44" t="s">
        <v>74</v>
      </c>
      <c r="B275" s="44" t="s">
        <v>1777</v>
      </c>
      <c r="C275" s="44" t="s">
        <v>1778</v>
      </c>
      <c r="D275" s="44" t="s">
        <v>1779</v>
      </c>
      <c r="E275" s="49" t="s">
        <v>891</v>
      </c>
      <c r="F275" s="44" t="s">
        <v>1125</v>
      </c>
      <c r="G275" s="44">
        <v>60.0</v>
      </c>
      <c r="H275" s="47" t="s">
        <v>970</v>
      </c>
      <c r="I275" s="47" t="s">
        <v>891</v>
      </c>
      <c r="J275" s="44">
        <v>10.937289</v>
      </c>
      <c r="K275" s="48">
        <v>106.827503</v>
      </c>
    </row>
    <row r="276" ht="22.5" customHeight="1">
      <c r="A276" s="44" t="s">
        <v>835</v>
      </c>
      <c r="B276" s="44" t="s">
        <v>1780</v>
      </c>
      <c r="C276" s="44" t="s">
        <v>1781</v>
      </c>
      <c r="D276" s="44" t="s">
        <v>1662</v>
      </c>
      <c r="E276" s="49" t="s">
        <v>891</v>
      </c>
      <c r="F276" s="44" t="s">
        <v>1125</v>
      </c>
      <c r="G276" s="44">
        <v>90.0</v>
      </c>
      <c r="H276" s="47" t="s">
        <v>970</v>
      </c>
      <c r="I276" s="47" t="s">
        <v>891</v>
      </c>
      <c r="J276" s="44">
        <v>10.944442</v>
      </c>
      <c r="K276" s="48">
        <v>106.857845</v>
      </c>
    </row>
    <row r="277" ht="22.5" customHeight="1">
      <c r="A277" s="44" t="s">
        <v>1782</v>
      </c>
      <c r="B277" s="44" t="s">
        <v>1783</v>
      </c>
      <c r="C277" s="44" t="s">
        <v>1784</v>
      </c>
      <c r="D277" s="44" t="s">
        <v>1785</v>
      </c>
      <c r="E277" s="49"/>
      <c r="F277" s="44" t="s">
        <v>1098</v>
      </c>
      <c r="G277" s="44"/>
      <c r="H277" s="47" t="s">
        <v>970</v>
      </c>
      <c r="I277" s="47" t="s">
        <v>870</v>
      </c>
      <c r="J277" s="44">
        <v>9.853102</v>
      </c>
      <c r="K277" s="48">
        <v>105.238174</v>
      </c>
    </row>
    <row r="278" ht="22.5" customHeight="1">
      <c r="A278" s="44" t="s">
        <v>1786</v>
      </c>
      <c r="B278" s="44" t="s">
        <v>1787</v>
      </c>
      <c r="C278" s="44" t="s">
        <v>1788</v>
      </c>
      <c r="D278" s="44" t="s">
        <v>1014</v>
      </c>
      <c r="E278" s="49" t="s">
        <v>910</v>
      </c>
      <c r="F278" s="44" t="s">
        <v>987</v>
      </c>
      <c r="G278" s="44">
        <v>90.0</v>
      </c>
      <c r="H278" s="47" t="s">
        <v>970</v>
      </c>
      <c r="I278" s="47" t="s">
        <v>813</v>
      </c>
      <c r="J278" s="44">
        <v>10.760003</v>
      </c>
      <c r="K278" s="48">
        <v>106.676995</v>
      </c>
    </row>
    <row r="279" ht="22.5" customHeight="1">
      <c r="A279" s="44" t="s">
        <v>1789</v>
      </c>
      <c r="B279" s="44" t="s">
        <v>1790</v>
      </c>
      <c r="C279" s="44" t="s">
        <v>1791</v>
      </c>
      <c r="D279" s="44" t="s">
        <v>1167</v>
      </c>
      <c r="E279" s="49"/>
      <c r="F279" s="44" t="s">
        <v>1098</v>
      </c>
      <c r="G279" s="44"/>
      <c r="H279" s="47" t="s">
        <v>970</v>
      </c>
      <c r="I279" s="47" t="s">
        <v>789</v>
      </c>
      <c r="J279" s="44">
        <v>10.739119</v>
      </c>
      <c r="K279" s="48">
        <v>106.615475</v>
      </c>
    </row>
    <row r="280" ht="22.5" customHeight="1">
      <c r="A280" s="44" t="s">
        <v>1792</v>
      </c>
      <c r="B280" s="44" t="s">
        <v>1793</v>
      </c>
      <c r="C280" s="44" t="s">
        <v>1794</v>
      </c>
      <c r="D280" s="44" t="s">
        <v>1036</v>
      </c>
      <c r="E280" s="49" t="s">
        <v>898</v>
      </c>
      <c r="F280" s="44" t="s">
        <v>1037</v>
      </c>
      <c r="G280" s="44">
        <v>90.0</v>
      </c>
      <c r="H280" s="47" t="s">
        <v>970</v>
      </c>
      <c r="I280" s="47" t="s">
        <v>898</v>
      </c>
      <c r="J280" s="44">
        <v>10.787692</v>
      </c>
      <c r="K280" s="48">
        <v>106.771501</v>
      </c>
    </row>
    <row r="281" ht="22.5" customHeight="1">
      <c r="A281" s="44" t="s">
        <v>837</v>
      </c>
      <c r="B281" s="44" t="s">
        <v>1795</v>
      </c>
      <c r="C281" s="44" t="s">
        <v>1796</v>
      </c>
      <c r="D281" s="44" t="s">
        <v>1010</v>
      </c>
      <c r="E281" s="49" t="s">
        <v>518</v>
      </c>
      <c r="F281" s="44" t="s">
        <v>1011</v>
      </c>
      <c r="G281" s="44">
        <v>90.0</v>
      </c>
      <c r="H281" s="47" t="s">
        <v>970</v>
      </c>
      <c r="I281" s="47" t="s">
        <v>518</v>
      </c>
      <c r="J281" s="44">
        <v>10.772117</v>
      </c>
      <c r="K281" s="48">
        <v>106.649687</v>
      </c>
    </row>
    <row r="282" ht="22.5" customHeight="1">
      <c r="A282" s="44" t="s">
        <v>72</v>
      </c>
      <c r="B282" s="44" t="s">
        <v>1797</v>
      </c>
      <c r="C282" s="44" t="s">
        <v>1798</v>
      </c>
      <c r="D282" s="44" t="s">
        <v>1662</v>
      </c>
      <c r="E282" s="49" t="s">
        <v>891</v>
      </c>
      <c r="F282" s="44" t="s">
        <v>1125</v>
      </c>
      <c r="G282" s="44">
        <v>80.0</v>
      </c>
      <c r="H282" s="47" t="s">
        <v>970</v>
      </c>
      <c r="I282" s="47" t="s">
        <v>891</v>
      </c>
      <c r="J282" s="44">
        <v>10.956193135319</v>
      </c>
      <c r="K282" s="48">
        <v>106.87435747013</v>
      </c>
    </row>
    <row r="283" ht="22.5" customHeight="1">
      <c r="A283" s="44" t="s">
        <v>1799</v>
      </c>
      <c r="B283" s="44" t="s">
        <v>1800</v>
      </c>
      <c r="C283" s="44" t="s">
        <v>1801</v>
      </c>
      <c r="D283" s="44" t="s">
        <v>1802</v>
      </c>
      <c r="E283" s="49" t="s">
        <v>888</v>
      </c>
      <c r="F283" s="44" t="s">
        <v>1136</v>
      </c>
      <c r="G283" s="44">
        <v>60.0</v>
      </c>
      <c r="H283" s="47" t="s">
        <v>970</v>
      </c>
      <c r="I283" s="47" t="s">
        <v>888</v>
      </c>
      <c r="J283" s="44">
        <v>10.770091</v>
      </c>
      <c r="K283" s="48">
        <v>106.700527</v>
      </c>
    </row>
    <row r="284" ht="22.5" customHeight="1">
      <c r="A284" s="44" t="s">
        <v>910</v>
      </c>
      <c r="B284" s="44" t="s">
        <v>987</v>
      </c>
      <c r="C284" s="44" t="s">
        <v>1208</v>
      </c>
      <c r="D284" s="44" t="s">
        <v>1129</v>
      </c>
      <c r="E284" s="49"/>
      <c r="F284" s="44" t="s">
        <v>1098</v>
      </c>
      <c r="G284" s="44"/>
      <c r="H284" s="47" t="s">
        <v>970</v>
      </c>
      <c r="I284" s="47" t="s">
        <v>910</v>
      </c>
      <c r="J284" s="44">
        <v>10.775086</v>
      </c>
      <c r="K284" s="48">
        <v>106.672714</v>
      </c>
    </row>
    <row r="285" ht="22.5" customHeight="1">
      <c r="A285" s="44" t="s">
        <v>895</v>
      </c>
      <c r="B285" s="44" t="s">
        <v>1121</v>
      </c>
      <c r="C285" s="44" t="s">
        <v>1803</v>
      </c>
      <c r="D285" s="44" t="s">
        <v>1120</v>
      </c>
      <c r="E285" s="49" t="s">
        <v>910</v>
      </c>
      <c r="F285" s="44" t="s">
        <v>987</v>
      </c>
      <c r="G285" s="44">
        <v>60.0</v>
      </c>
      <c r="H285" s="47" t="s">
        <v>970</v>
      </c>
      <c r="I285" s="47" t="s">
        <v>895</v>
      </c>
      <c r="J285" s="44">
        <v>10.84737</v>
      </c>
      <c r="K285" s="48">
        <v>106.776574</v>
      </c>
    </row>
    <row r="286" ht="22.5" customHeight="1">
      <c r="A286" s="44" t="s">
        <v>894</v>
      </c>
      <c r="B286" s="44" t="s">
        <v>974</v>
      </c>
      <c r="C286" s="44" t="s">
        <v>1804</v>
      </c>
      <c r="D286" s="44" t="s">
        <v>1317</v>
      </c>
      <c r="E286" s="49" t="s">
        <v>910</v>
      </c>
      <c r="F286" s="44" t="s">
        <v>987</v>
      </c>
      <c r="G286" s="44">
        <v>60.0</v>
      </c>
      <c r="H286" s="47" t="s">
        <v>970</v>
      </c>
      <c r="I286" s="47" t="s">
        <v>894</v>
      </c>
      <c r="J286" s="44">
        <v>10.73842</v>
      </c>
      <c r="K286" s="48">
        <v>106.716414</v>
      </c>
    </row>
    <row r="287" ht="22.5" customHeight="1">
      <c r="A287" s="44" t="s">
        <v>510</v>
      </c>
      <c r="B287" s="44" t="s">
        <v>983</v>
      </c>
      <c r="C287" s="44" t="s">
        <v>1805</v>
      </c>
      <c r="D287" s="44" t="s">
        <v>1280</v>
      </c>
      <c r="E287" s="49" t="s">
        <v>910</v>
      </c>
      <c r="F287" s="44" t="s">
        <v>987</v>
      </c>
      <c r="G287" s="44">
        <v>60.0</v>
      </c>
      <c r="H287" s="47" t="s">
        <v>970</v>
      </c>
      <c r="I287" s="47" t="s">
        <v>510</v>
      </c>
      <c r="J287" s="44">
        <v>10.858457</v>
      </c>
      <c r="K287" s="48">
        <v>106.748749</v>
      </c>
    </row>
    <row r="288" ht="22.5" customHeight="1">
      <c r="A288" s="44" t="s">
        <v>893</v>
      </c>
      <c r="B288" s="44" t="s">
        <v>1088</v>
      </c>
      <c r="C288" s="44" t="s">
        <v>1806</v>
      </c>
      <c r="D288" s="44" t="s">
        <v>1087</v>
      </c>
      <c r="E288" s="49" t="s">
        <v>910</v>
      </c>
      <c r="F288" s="44" t="s">
        <v>987</v>
      </c>
      <c r="G288" s="50">
        <v>60.0</v>
      </c>
      <c r="H288" s="47" t="s">
        <v>970</v>
      </c>
      <c r="I288" s="47" t="s">
        <v>893</v>
      </c>
      <c r="J288" s="44">
        <v>10.79434658901</v>
      </c>
      <c r="K288" s="48">
        <v>106.63817490717</v>
      </c>
    </row>
    <row r="289" ht="22.5" customHeight="1">
      <c r="A289" s="44" t="s">
        <v>892</v>
      </c>
      <c r="B289" s="44" t="s">
        <v>1108</v>
      </c>
      <c r="C289" s="44" t="s">
        <v>1807</v>
      </c>
      <c r="D289" s="44" t="s">
        <v>1107</v>
      </c>
      <c r="E289" s="49" t="s">
        <v>510</v>
      </c>
      <c r="F289" s="44" t="s">
        <v>983</v>
      </c>
      <c r="G289" s="50">
        <v>60.0</v>
      </c>
      <c r="H289" s="47" t="s">
        <v>970</v>
      </c>
      <c r="I289" s="47" t="s">
        <v>892</v>
      </c>
      <c r="J289" s="44">
        <v>10.979216</v>
      </c>
      <c r="K289" s="48">
        <v>106.655488</v>
      </c>
    </row>
    <row r="290" ht="22.5" customHeight="1">
      <c r="A290" s="44" t="s">
        <v>891</v>
      </c>
      <c r="B290" s="44" t="s">
        <v>1125</v>
      </c>
      <c r="C290" s="44" t="s">
        <v>1808</v>
      </c>
      <c r="D290" s="44" t="s">
        <v>1779</v>
      </c>
      <c r="E290" s="49" t="s">
        <v>895</v>
      </c>
      <c r="F290" s="44" t="s">
        <v>1121</v>
      </c>
      <c r="G290" s="44">
        <v>60.0</v>
      </c>
      <c r="H290" s="47" t="s">
        <v>970</v>
      </c>
      <c r="I290" s="47" t="s">
        <v>891</v>
      </c>
      <c r="J290" s="44">
        <v>10.947309</v>
      </c>
      <c r="K290" s="48">
        <v>106.828412</v>
      </c>
    </row>
    <row r="291" ht="22.5" customHeight="1">
      <c r="A291" s="44" t="s">
        <v>890</v>
      </c>
      <c r="B291" s="44" t="s">
        <v>1228</v>
      </c>
      <c r="C291" s="44" t="s">
        <v>1809</v>
      </c>
      <c r="D291" s="44" t="s">
        <v>1227</v>
      </c>
      <c r="E291" s="49" t="s">
        <v>510</v>
      </c>
      <c r="F291" s="44" t="s">
        <v>983</v>
      </c>
      <c r="G291" s="44">
        <v>60.0</v>
      </c>
      <c r="H291" s="47" t="s">
        <v>970</v>
      </c>
      <c r="I291" s="47" t="s">
        <v>890</v>
      </c>
      <c r="J291" s="44">
        <v>10.905611</v>
      </c>
      <c r="K291" s="48">
        <v>106.76818</v>
      </c>
    </row>
    <row r="292" ht="22.5" customHeight="1">
      <c r="A292" s="44" t="s">
        <v>889</v>
      </c>
      <c r="B292" s="44" t="s">
        <v>1043</v>
      </c>
      <c r="C292" s="44" t="s">
        <v>1810</v>
      </c>
      <c r="D292" s="44" t="s">
        <v>1811</v>
      </c>
      <c r="E292" s="49" t="s">
        <v>910</v>
      </c>
      <c r="F292" s="44" t="s">
        <v>987</v>
      </c>
      <c r="G292" s="44">
        <v>60.0</v>
      </c>
      <c r="H292" s="47" t="s">
        <v>970</v>
      </c>
      <c r="I292" s="47" t="s">
        <v>889</v>
      </c>
      <c r="J292" s="44">
        <v>10.809442</v>
      </c>
      <c r="K292" s="48">
        <v>106.695022</v>
      </c>
    </row>
    <row r="293" ht="22.5" customHeight="1">
      <c r="A293" s="44" t="s">
        <v>888</v>
      </c>
      <c r="B293" s="44" t="s">
        <v>1136</v>
      </c>
      <c r="C293" s="44" t="s">
        <v>1812</v>
      </c>
      <c r="D293" s="44" t="s">
        <v>1135</v>
      </c>
      <c r="E293" s="49" t="s">
        <v>910</v>
      </c>
      <c r="F293" s="44" t="s">
        <v>987</v>
      </c>
      <c r="G293" s="44">
        <v>60.0</v>
      </c>
      <c r="H293" s="47" t="s">
        <v>970</v>
      </c>
      <c r="I293" s="47" t="s">
        <v>888</v>
      </c>
      <c r="J293" s="44">
        <v>10.779712</v>
      </c>
      <c r="K293" s="48">
        <v>106.70079</v>
      </c>
    </row>
    <row r="294" ht="22.5" customHeight="1">
      <c r="A294" s="44" t="s">
        <v>887</v>
      </c>
      <c r="B294" s="44" t="s">
        <v>1031</v>
      </c>
      <c r="C294" s="44" t="s">
        <v>1813</v>
      </c>
      <c r="D294" s="44" t="s">
        <v>1030</v>
      </c>
      <c r="E294" s="49" t="s">
        <v>910</v>
      </c>
      <c r="F294" s="44" t="s">
        <v>987</v>
      </c>
      <c r="G294" s="44">
        <v>60.0</v>
      </c>
      <c r="H294" s="47" t="s">
        <v>970</v>
      </c>
      <c r="I294" s="47" t="s">
        <v>887</v>
      </c>
      <c r="J294" s="44">
        <v>10.792031</v>
      </c>
      <c r="K294" s="48">
        <v>106.73036</v>
      </c>
    </row>
    <row r="295" ht="22.5" customHeight="1">
      <c r="A295" s="44" t="s">
        <v>886</v>
      </c>
      <c r="B295" s="44" t="s">
        <v>1202</v>
      </c>
      <c r="C295" s="44" t="s">
        <v>1814</v>
      </c>
      <c r="D295" s="44" t="s">
        <v>1093</v>
      </c>
      <c r="E295" s="49" t="s">
        <v>910</v>
      </c>
      <c r="F295" s="44" t="s">
        <v>987</v>
      </c>
      <c r="G295" s="44">
        <v>60.0</v>
      </c>
      <c r="H295" s="47" t="s">
        <v>970</v>
      </c>
      <c r="I295" s="47" t="s">
        <v>886</v>
      </c>
      <c r="J295" s="44">
        <v>10.818625</v>
      </c>
      <c r="K295" s="48">
        <v>106.678662</v>
      </c>
    </row>
    <row r="296" ht="22.5" customHeight="1">
      <c r="A296" s="44" t="s">
        <v>868</v>
      </c>
      <c r="B296" s="44" t="s">
        <v>1220</v>
      </c>
      <c r="C296" s="44" t="s">
        <v>1815</v>
      </c>
      <c r="D296" s="44" t="s">
        <v>1219</v>
      </c>
      <c r="E296" s="49"/>
      <c r="F296" s="44" t="s">
        <v>1098</v>
      </c>
      <c r="G296" s="44"/>
      <c r="H296" s="47" t="s">
        <v>970</v>
      </c>
      <c r="I296" s="47" t="s">
        <v>868</v>
      </c>
      <c r="J296" s="44">
        <v>10.35665</v>
      </c>
      <c r="K296" s="48">
        <v>106.361731</v>
      </c>
    </row>
    <row r="297" ht="22.5" customHeight="1">
      <c r="A297" s="44" t="s">
        <v>863</v>
      </c>
      <c r="B297" s="44" t="s">
        <v>1052</v>
      </c>
      <c r="C297" s="44" t="s">
        <v>1816</v>
      </c>
      <c r="D297" s="44" t="s">
        <v>1051</v>
      </c>
      <c r="E297" s="49"/>
      <c r="F297" s="44" t="s">
        <v>1098</v>
      </c>
      <c r="G297" s="44"/>
      <c r="H297" s="47" t="s">
        <v>970</v>
      </c>
      <c r="I297" s="47" t="s">
        <v>863</v>
      </c>
      <c r="J297" s="44">
        <v>10.361207</v>
      </c>
      <c r="K297" s="48">
        <v>107.075646</v>
      </c>
    </row>
    <row r="298" ht="22.5" customHeight="1">
      <c r="A298" s="44" t="s">
        <v>804</v>
      </c>
      <c r="B298" s="44" t="s">
        <v>1497</v>
      </c>
      <c r="C298" s="44" t="s">
        <v>1817</v>
      </c>
      <c r="D298" s="44" t="s">
        <v>1496</v>
      </c>
      <c r="E298" s="49" t="s">
        <v>910</v>
      </c>
      <c r="F298" s="44" t="s">
        <v>987</v>
      </c>
      <c r="G298" s="44">
        <v>60.0</v>
      </c>
      <c r="H298" s="47" t="s">
        <v>970</v>
      </c>
      <c r="I298" s="47" t="s">
        <v>804</v>
      </c>
      <c r="J298" s="44">
        <v>10.759073</v>
      </c>
      <c r="K298" s="48">
        <v>106.698812</v>
      </c>
    </row>
    <row r="299" ht="22.5" customHeight="1">
      <c r="A299" s="44" t="s">
        <v>885</v>
      </c>
      <c r="B299" s="44" t="s">
        <v>1117</v>
      </c>
      <c r="C299" s="44" t="s">
        <v>1818</v>
      </c>
      <c r="D299" s="44" t="s">
        <v>1116</v>
      </c>
      <c r="E299" s="49" t="s">
        <v>910</v>
      </c>
      <c r="F299" s="44" t="s">
        <v>987</v>
      </c>
      <c r="G299" s="44">
        <v>60.0</v>
      </c>
      <c r="H299" s="47" t="s">
        <v>970</v>
      </c>
      <c r="I299" s="47" t="s">
        <v>885</v>
      </c>
      <c r="J299" s="44">
        <v>10.738902</v>
      </c>
      <c r="K299" s="48">
        <v>106.669958</v>
      </c>
    </row>
    <row r="300" ht="22.5" customHeight="1">
      <c r="A300" s="44" t="s">
        <v>850</v>
      </c>
      <c r="B300" s="44" t="s">
        <v>1057</v>
      </c>
      <c r="C300" s="44" t="s">
        <v>1819</v>
      </c>
      <c r="D300" s="44" t="s">
        <v>1820</v>
      </c>
      <c r="E300" s="49" t="s">
        <v>896</v>
      </c>
      <c r="F300" s="44" t="s">
        <v>1395</v>
      </c>
      <c r="G300" s="44">
        <v>60.0</v>
      </c>
      <c r="H300" s="47" t="s">
        <v>970</v>
      </c>
      <c r="I300" s="47" t="s">
        <v>850</v>
      </c>
      <c r="J300" s="44">
        <v>10.970374</v>
      </c>
      <c r="K300" s="48">
        <v>106.489534</v>
      </c>
    </row>
    <row r="301" ht="22.5" customHeight="1">
      <c r="A301" s="44" t="s">
        <v>884</v>
      </c>
      <c r="B301" s="44" t="s">
        <v>1821</v>
      </c>
      <c r="C301" s="44" t="s">
        <v>1822</v>
      </c>
      <c r="D301" s="44" t="s">
        <v>1542</v>
      </c>
      <c r="E301" s="49" t="s">
        <v>910</v>
      </c>
      <c r="F301" s="44" t="s">
        <v>987</v>
      </c>
      <c r="G301" s="44">
        <v>60.0</v>
      </c>
      <c r="H301" s="47" t="s">
        <v>970</v>
      </c>
      <c r="I301" s="47" t="s">
        <v>884</v>
      </c>
      <c r="J301" s="44">
        <v>10.79036</v>
      </c>
      <c r="K301" s="48">
        <v>106.697328</v>
      </c>
    </row>
    <row r="302" ht="22.5" customHeight="1">
      <c r="A302" s="44" t="s">
        <v>883</v>
      </c>
      <c r="B302" s="44" t="s">
        <v>1471</v>
      </c>
      <c r="C302" s="44" t="s">
        <v>1823</v>
      </c>
      <c r="D302" s="44" t="s">
        <v>1470</v>
      </c>
      <c r="E302" s="49" t="s">
        <v>510</v>
      </c>
      <c r="F302" s="44" t="s">
        <v>983</v>
      </c>
      <c r="G302" s="44">
        <v>60.0</v>
      </c>
      <c r="H302" s="47" t="s">
        <v>970</v>
      </c>
      <c r="I302" s="47" t="s">
        <v>883</v>
      </c>
      <c r="J302" s="44">
        <v>10.90835</v>
      </c>
      <c r="K302" s="48">
        <v>106.70142</v>
      </c>
    </row>
    <row r="303" ht="22.5" customHeight="1">
      <c r="A303" s="44" t="s">
        <v>797</v>
      </c>
      <c r="B303" s="44" t="s">
        <v>1409</v>
      </c>
      <c r="C303" s="44" t="s">
        <v>1824</v>
      </c>
      <c r="D303" s="44" t="s">
        <v>1546</v>
      </c>
      <c r="E303" s="49" t="s">
        <v>896</v>
      </c>
      <c r="F303" s="44" t="s">
        <v>1395</v>
      </c>
      <c r="G303" s="44">
        <v>60.0</v>
      </c>
      <c r="H303" s="47" t="s">
        <v>970</v>
      </c>
      <c r="I303" s="47" t="s">
        <v>797</v>
      </c>
      <c r="J303" s="44">
        <v>10.888009</v>
      </c>
      <c r="K303" s="48">
        <v>106.598528</v>
      </c>
    </row>
    <row r="304" ht="22.5" customHeight="1">
      <c r="A304" s="44" t="s">
        <v>789</v>
      </c>
      <c r="B304" s="44" t="s">
        <v>1168</v>
      </c>
      <c r="C304" s="44" t="s">
        <v>1825</v>
      </c>
      <c r="D304" s="44" t="s">
        <v>1167</v>
      </c>
      <c r="E304" s="49" t="s">
        <v>910</v>
      </c>
      <c r="F304" s="44" t="s">
        <v>987</v>
      </c>
      <c r="G304" s="44">
        <v>60.0</v>
      </c>
      <c r="H304" s="47" t="s">
        <v>970</v>
      </c>
      <c r="I304" s="47" t="s">
        <v>789</v>
      </c>
      <c r="J304" s="44">
        <v>10.746023</v>
      </c>
      <c r="K304" s="48">
        <v>106.612324</v>
      </c>
    </row>
    <row r="305" ht="22.5" customHeight="1">
      <c r="A305" s="44" t="s">
        <v>1826</v>
      </c>
      <c r="B305" s="44" t="s">
        <v>1827</v>
      </c>
      <c r="C305" s="44" t="s">
        <v>1828</v>
      </c>
      <c r="D305" s="44" t="s">
        <v>1129</v>
      </c>
      <c r="E305" s="49" t="s">
        <v>910</v>
      </c>
      <c r="F305" s="44" t="s">
        <v>987</v>
      </c>
      <c r="G305" s="50">
        <v>30.0</v>
      </c>
      <c r="H305" s="47" t="s">
        <v>970</v>
      </c>
      <c r="I305" s="47" t="s">
        <v>910</v>
      </c>
      <c r="J305" s="44">
        <v>10.775385</v>
      </c>
      <c r="K305" s="48">
        <v>106.671039</v>
      </c>
    </row>
    <row r="306" ht="22.5" customHeight="1">
      <c r="A306" s="44" t="s">
        <v>1829</v>
      </c>
      <c r="B306" s="44" t="s">
        <v>1830</v>
      </c>
      <c r="C306" s="44" t="s">
        <v>1831</v>
      </c>
      <c r="D306" s="44" t="s">
        <v>1832</v>
      </c>
      <c r="E306" s="49" t="s">
        <v>901</v>
      </c>
      <c r="F306" s="44" t="s">
        <v>1562</v>
      </c>
      <c r="G306" s="50">
        <v>60.0</v>
      </c>
      <c r="H306" s="47" t="s">
        <v>970</v>
      </c>
      <c r="I306" s="47" t="s">
        <v>887</v>
      </c>
      <c r="J306" s="44">
        <v>10.795112</v>
      </c>
      <c r="K306" s="48">
        <v>106.722096</v>
      </c>
    </row>
    <row r="307" ht="22.5" customHeight="1">
      <c r="A307" s="44" t="s">
        <v>1833</v>
      </c>
      <c r="B307" s="44" t="s">
        <v>1834</v>
      </c>
      <c r="C307" s="44" t="s">
        <v>1835</v>
      </c>
      <c r="D307" s="44" t="s">
        <v>1111</v>
      </c>
      <c r="E307" s="49" t="s">
        <v>789</v>
      </c>
      <c r="F307" s="44" t="s">
        <v>1168</v>
      </c>
      <c r="G307" s="44">
        <v>54.0</v>
      </c>
      <c r="H307" s="47" t="s">
        <v>970</v>
      </c>
      <c r="I307" s="47" t="s">
        <v>820</v>
      </c>
      <c r="J307" s="44">
        <v>10.76436</v>
      </c>
      <c r="K307" s="48">
        <v>106.60321</v>
      </c>
    </row>
    <row r="308" ht="22.5" customHeight="1">
      <c r="A308" s="44" t="s">
        <v>686</v>
      </c>
      <c r="B308" s="44" t="s">
        <v>1836</v>
      </c>
      <c r="C308" s="44" t="s">
        <v>1837</v>
      </c>
      <c r="D308" s="44" t="s">
        <v>973</v>
      </c>
      <c r="E308" s="49" t="s">
        <v>894</v>
      </c>
      <c r="F308" s="44" t="s">
        <v>974</v>
      </c>
      <c r="G308" s="44">
        <v>68.0</v>
      </c>
      <c r="H308" s="47" t="s">
        <v>970</v>
      </c>
      <c r="I308" s="47" t="s">
        <v>894</v>
      </c>
      <c r="J308" s="44">
        <v>10.729276</v>
      </c>
      <c r="K308" s="48">
        <v>106.705708</v>
      </c>
    </row>
    <row r="309" ht="22.5" customHeight="1">
      <c r="A309" s="44" t="s">
        <v>245</v>
      </c>
      <c r="B309" s="44" t="s">
        <v>1838</v>
      </c>
      <c r="C309" s="44" t="s">
        <v>1839</v>
      </c>
      <c r="D309" s="44" t="s">
        <v>1180</v>
      </c>
      <c r="E309" s="49" t="s">
        <v>892</v>
      </c>
      <c r="F309" s="44" t="s">
        <v>1108</v>
      </c>
      <c r="G309" s="44">
        <v>30.0</v>
      </c>
      <c r="H309" s="47" t="s">
        <v>970</v>
      </c>
      <c r="I309" s="47" t="s">
        <v>892</v>
      </c>
      <c r="J309" s="44">
        <v>10.976281</v>
      </c>
      <c r="K309" s="48">
        <v>106.670333</v>
      </c>
    </row>
    <row r="310" ht="22.5" customHeight="1">
      <c r="A310" s="44" t="s">
        <v>1840</v>
      </c>
      <c r="B310" s="44" t="s">
        <v>1841</v>
      </c>
      <c r="C310" s="44" t="s">
        <v>1835</v>
      </c>
      <c r="D310" s="44" t="s">
        <v>1111</v>
      </c>
      <c r="E310" s="49" t="s">
        <v>789</v>
      </c>
      <c r="F310" s="44" t="s">
        <v>1168</v>
      </c>
      <c r="G310" s="44">
        <v>39.0</v>
      </c>
      <c r="H310" s="47" t="s">
        <v>970</v>
      </c>
      <c r="I310" s="47" t="s">
        <v>820</v>
      </c>
      <c r="J310" s="44">
        <v>10.76436</v>
      </c>
      <c r="K310" s="48">
        <v>106.60321</v>
      </c>
    </row>
    <row r="311" ht="22.5" customHeight="1">
      <c r="A311" s="44" t="s">
        <v>42</v>
      </c>
      <c r="B311" s="44" t="s">
        <v>1842</v>
      </c>
      <c r="C311" s="44" t="s">
        <v>1843</v>
      </c>
      <c r="D311" s="44" t="s">
        <v>1662</v>
      </c>
      <c r="E311" s="49" t="s">
        <v>891</v>
      </c>
      <c r="F311" s="44" t="s">
        <v>1125</v>
      </c>
      <c r="G311" s="44">
        <v>60.0</v>
      </c>
      <c r="H311" s="47" t="s">
        <v>970</v>
      </c>
      <c r="I311" s="47" t="s">
        <v>891</v>
      </c>
      <c r="J311" s="44">
        <v>10.956198</v>
      </c>
      <c r="K311" s="48">
        <v>106.874357</v>
      </c>
    </row>
    <row r="312" ht="22.5" customHeight="1">
      <c r="A312" s="44" t="s">
        <v>1844</v>
      </c>
      <c r="B312" s="44" t="s">
        <v>1845</v>
      </c>
      <c r="C312" s="44" t="s">
        <v>1846</v>
      </c>
      <c r="D312" s="44" t="s">
        <v>1236</v>
      </c>
      <c r="E312" s="49" t="s">
        <v>891</v>
      </c>
      <c r="F312" s="44" t="s">
        <v>1125</v>
      </c>
      <c r="G312" s="44">
        <v>90.0</v>
      </c>
      <c r="H312" s="47" t="s">
        <v>970</v>
      </c>
      <c r="I312" s="47" t="s">
        <v>891</v>
      </c>
      <c r="J312" s="44">
        <v>10.967154</v>
      </c>
      <c r="K312" s="48">
        <v>106.900315</v>
      </c>
    </row>
    <row r="313" ht="22.5" customHeight="1">
      <c r="A313" s="44" t="s">
        <v>1847</v>
      </c>
      <c r="B313" s="44" t="s">
        <v>1848</v>
      </c>
      <c r="C313" s="44" t="s">
        <v>1849</v>
      </c>
      <c r="D313" s="44" t="s">
        <v>1268</v>
      </c>
      <c r="E313" s="49"/>
      <c r="F313" s="44" t="s">
        <v>1098</v>
      </c>
      <c r="G313" s="44"/>
      <c r="H313" s="47" t="s">
        <v>970</v>
      </c>
      <c r="I313" s="47" t="s">
        <v>826</v>
      </c>
      <c r="J313" s="44">
        <v>10.776407</v>
      </c>
      <c r="K313" s="48">
        <v>106.686573</v>
      </c>
    </row>
    <row r="314" ht="22.5" customHeight="1">
      <c r="A314" s="44" t="s">
        <v>1850</v>
      </c>
      <c r="B314" s="44" t="s">
        <v>1851</v>
      </c>
      <c r="C314" s="44" t="s">
        <v>1852</v>
      </c>
      <c r="D314" s="44" t="s">
        <v>1853</v>
      </c>
      <c r="E314" s="49"/>
      <c r="F314" s="44" t="s">
        <v>1098</v>
      </c>
      <c r="G314" s="44"/>
      <c r="H314" s="47" t="s">
        <v>970</v>
      </c>
      <c r="I314" s="47" t="s">
        <v>863</v>
      </c>
      <c r="J314" s="44">
        <v>10.505999264265</v>
      </c>
      <c r="K314" s="48">
        <v>107.09123659815</v>
      </c>
    </row>
    <row r="315" ht="22.5" customHeight="1">
      <c r="A315" s="44" t="s">
        <v>838</v>
      </c>
      <c r="B315" s="44" t="s">
        <v>1854</v>
      </c>
      <c r="C315" s="44" t="s">
        <v>1796</v>
      </c>
      <c r="D315" s="44" t="s">
        <v>1010</v>
      </c>
      <c r="E315" s="49" t="s">
        <v>518</v>
      </c>
      <c r="F315" s="44" t="s">
        <v>1011</v>
      </c>
      <c r="G315" s="44">
        <v>90.0</v>
      </c>
      <c r="H315" s="47" t="s">
        <v>970</v>
      </c>
      <c r="I315" s="47" t="s">
        <v>518</v>
      </c>
      <c r="J315" s="44">
        <v>10.772117</v>
      </c>
      <c r="K315" s="48">
        <v>106.649687</v>
      </c>
    </row>
    <row r="316" ht="22.5" customHeight="1">
      <c r="A316" s="44" t="s">
        <v>66</v>
      </c>
      <c r="B316" s="44" t="s">
        <v>1855</v>
      </c>
      <c r="C316" s="44" t="s">
        <v>1856</v>
      </c>
      <c r="D316" s="44" t="s">
        <v>1857</v>
      </c>
      <c r="E316" s="49" t="s">
        <v>891</v>
      </c>
      <c r="F316" s="44" t="s">
        <v>1125</v>
      </c>
      <c r="G316" s="44">
        <v>60.0</v>
      </c>
      <c r="H316" s="47" t="s">
        <v>970</v>
      </c>
      <c r="I316" s="47" t="s">
        <v>891</v>
      </c>
      <c r="J316" s="44">
        <v>10.937526</v>
      </c>
      <c r="K316" s="48">
        <v>106.804028</v>
      </c>
    </row>
    <row r="317" ht="22.5" customHeight="1">
      <c r="A317" s="44" t="s">
        <v>588</v>
      </c>
      <c r="B317" s="44" t="s">
        <v>1858</v>
      </c>
      <c r="C317" s="44" t="s">
        <v>1859</v>
      </c>
      <c r="D317" s="44" t="s">
        <v>1860</v>
      </c>
      <c r="E317" s="49" t="s">
        <v>814</v>
      </c>
      <c r="F317" s="44" t="s">
        <v>1369</v>
      </c>
      <c r="G317" s="44">
        <v>30.0</v>
      </c>
      <c r="H317" s="47" t="s">
        <v>970</v>
      </c>
      <c r="I317" s="47" t="s">
        <v>814</v>
      </c>
      <c r="J317" s="44">
        <v>10.804582</v>
      </c>
      <c r="K317" s="48">
        <v>106.675875</v>
      </c>
    </row>
    <row r="318" ht="22.5" customHeight="1">
      <c r="A318" s="44" t="s">
        <v>1861</v>
      </c>
      <c r="B318" s="44" t="s">
        <v>1862</v>
      </c>
      <c r="C318" s="44" t="s">
        <v>1859</v>
      </c>
      <c r="D318" s="44" t="s">
        <v>1860</v>
      </c>
      <c r="E318" s="49" t="s">
        <v>814</v>
      </c>
      <c r="F318" s="44" t="s">
        <v>1369</v>
      </c>
      <c r="G318" s="44">
        <v>30.0</v>
      </c>
      <c r="H318" s="47" t="s">
        <v>970</v>
      </c>
      <c r="I318" s="47" t="s">
        <v>814</v>
      </c>
      <c r="J318" s="44">
        <v>10.804582</v>
      </c>
      <c r="K318" s="48">
        <v>106.675875</v>
      </c>
    </row>
    <row r="319" ht="22.5" customHeight="1">
      <c r="A319" s="44" t="s">
        <v>55</v>
      </c>
      <c r="B319" s="44" t="s">
        <v>1863</v>
      </c>
      <c r="C319" s="44" t="s">
        <v>1864</v>
      </c>
      <c r="D319" s="44" t="s">
        <v>1662</v>
      </c>
      <c r="E319" s="49" t="s">
        <v>891</v>
      </c>
      <c r="F319" s="44" t="s">
        <v>1125</v>
      </c>
      <c r="G319" s="44">
        <v>60.0</v>
      </c>
      <c r="H319" s="47" t="s">
        <v>970</v>
      </c>
      <c r="I319" s="47" t="s">
        <v>891</v>
      </c>
      <c r="J319" s="44">
        <v>10.952683</v>
      </c>
      <c r="K319" s="48">
        <v>106.867861</v>
      </c>
    </row>
    <row r="320" ht="22.5" customHeight="1">
      <c r="A320" s="44" t="s">
        <v>61</v>
      </c>
      <c r="B320" s="44" t="s">
        <v>1865</v>
      </c>
      <c r="C320" s="44" t="s">
        <v>1866</v>
      </c>
      <c r="D320" s="44" t="s">
        <v>1662</v>
      </c>
      <c r="E320" s="49" t="s">
        <v>891</v>
      </c>
      <c r="F320" s="44" t="s">
        <v>1125</v>
      </c>
      <c r="G320" s="44">
        <v>90.0</v>
      </c>
      <c r="H320" s="47" t="s">
        <v>970</v>
      </c>
      <c r="I320" s="47" t="s">
        <v>891</v>
      </c>
      <c r="J320" s="44">
        <v>10.952683</v>
      </c>
      <c r="K320" s="48">
        <v>106.867861</v>
      </c>
    </row>
    <row r="321" ht="22.5" customHeight="1">
      <c r="A321" s="44" t="s">
        <v>56</v>
      </c>
      <c r="B321" s="44" t="s">
        <v>1867</v>
      </c>
      <c r="C321" s="44" t="s">
        <v>1864</v>
      </c>
      <c r="D321" s="44" t="s">
        <v>1662</v>
      </c>
      <c r="E321" s="49" t="s">
        <v>891</v>
      </c>
      <c r="F321" s="44" t="s">
        <v>1125</v>
      </c>
      <c r="G321" s="44">
        <v>60.0</v>
      </c>
      <c r="H321" s="47" t="s">
        <v>970</v>
      </c>
      <c r="I321" s="47" t="s">
        <v>891</v>
      </c>
      <c r="J321" s="44">
        <v>10.952683</v>
      </c>
      <c r="K321" s="48">
        <v>106.867861</v>
      </c>
    </row>
    <row r="322" ht="22.5" customHeight="1">
      <c r="A322" s="44" t="s">
        <v>1868</v>
      </c>
      <c r="B322" s="44" t="s">
        <v>1869</v>
      </c>
      <c r="C322" s="44" t="s">
        <v>1870</v>
      </c>
      <c r="D322" s="44" t="s">
        <v>1007</v>
      </c>
      <c r="E322" s="49" t="s">
        <v>510</v>
      </c>
      <c r="F322" s="44" t="s">
        <v>983</v>
      </c>
      <c r="G322" s="44">
        <v>51.0</v>
      </c>
      <c r="H322" s="47" t="s">
        <v>970</v>
      </c>
      <c r="I322" s="47" t="s">
        <v>510</v>
      </c>
      <c r="J322" s="44">
        <v>10.86434</v>
      </c>
      <c r="K322" s="48">
        <v>106.745671</v>
      </c>
    </row>
    <row r="323" ht="22.5" customHeight="1">
      <c r="A323" s="44" t="s">
        <v>1871</v>
      </c>
      <c r="B323" s="44" t="s">
        <v>1872</v>
      </c>
      <c r="C323" s="44" t="s">
        <v>1873</v>
      </c>
      <c r="D323" s="44" t="s">
        <v>1051</v>
      </c>
      <c r="E323" s="49" t="s">
        <v>863</v>
      </c>
      <c r="F323" s="44" t="s">
        <v>1052</v>
      </c>
      <c r="G323" s="44">
        <v>30.0</v>
      </c>
      <c r="H323" s="47" t="s">
        <v>970</v>
      </c>
      <c r="I323" s="47" t="s">
        <v>863</v>
      </c>
      <c r="J323" s="44">
        <v>10.354789</v>
      </c>
      <c r="K323" s="48">
        <v>107.074491</v>
      </c>
    </row>
    <row r="324" ht="22.5" customHeight="1">
      <c r="A324" s="44" t="s">
        <v>1874</v>
      </c>
      <c r="B324" s="44" t="s">
        <v>1875</v>
      </c>
      <c r="C324" s="44" t="s">
        <v>1876</v>
      </c>
      <c r="D324" s="44" t="s">
        <v>1007</v>
      </c>
      <c r="E324" s="49" t="s">
        <v>510</v>
      </c>
      <c r="F324" s="44" t="s">
        <v>983</v>
      </c>
      <c r="G324" s="44">
        <v>66.0</v>
      </c>
      <c r="H324" s="47" t="s">
        <v>970</v>
      </c>
      <c r="I324" s="47" t="s">
        <v>510</v>
      </c>
      <c r="J324" s="44">
        <v>10.86434</v>
      </c>
      <c r="K324" s="48">
        <v>106.745671</v>
      </c>
    </row>
    <row r="325" ht="22.5" customHeight="1">
      <c r="A325" s="44" t="s">
        <v>1877</v>
      </c>
      <c r="B325" s="44" t="s">
        <v>1878</v>
      </c>
      <c r="C325" s="44" t="s">
        <v>1879</v>
      </c>
      <c r="D325" s="44" t="s">
        <v>1542</v>
      </c>
      <c r="E325" s="49" t="s">
        <v>884</v>
      </c>
      <c r="F325" s="44" t="s">
        <v>1821</v>
      </c>
      <c r="G325" s="44">
        <v>30.0</v>
      </c>
      <c r="H325" s="47" t="s">
        <v>970</v>
      </c>
      <c r="I325" s="47" t="s">
        <v>900</v>
      </c>
      <c r="J325" s="44">
        <v>10.790679</v>
      </c>
      <c r="K325" s="48">
        <v>106.691699</v>
      </c>
    </row>
    <row r="326" ht="22.5" customHeight="1">
      <c r="A326" s="44" t="s">
        <v>1880</v>
      </c>
      <c r="B326" s="44" t="s">
        <v>1881</v>
      </c>
      <c r="C326" s="44" t="s">
        <v>1882</v>
      </c>
      <c r="D326" s="44" t="s">
        <v>1883</v>
      </c>
      <c r="E326" s="49" t="s">
        <v>883</v>
      </c>
      <c r="F326" s="44" t="s">
        <v>1471</v>
      </c>
      <c r="G326" s="44">
        <v>55.0</v>
      </c>
      <c r="H326" s="47" t="s">
        <v>970</v>
      </c>
      <c r="I326" s="47" t="s">
        <v>883</v>
      </c>
      <c r="J326" s="44">
        <v>10.890831</v>
      </c>
      <c r="K326" s="48">
        <v>106.729471</v>
      </c>
    </row>
    <row r="327" ht="22.5" customHeight="1">
      <c r="A327" s="44" t="s">
        <v>1884</v>
      </c>
      <c r="B327" s="44" t="s">
        <v>1885</v>
      </c>
      <c r="C327" s="44" t="s">
        <v>1886</v>
      </c>
      <c r="D327" s="44" t="s">
        <v>1648</v>
      </c>
      <c r="E327" s="49" t="s">
        <v>883</v>
      </c>
      <c r="F327" s="44" t="s">
        <v>1471</v>
      </c>
      <c r="G327" s="44">
        <v>85.0</v>
      </c>
      <c r="H327" s="47" t="s">
        <v>970</v>
      </c>
      <c r="I327" s="47" t="s">
        <v>890</v>
      </c>
      <c r="J327" s="44">
        <v>10.943106097978</v>
      </c>
      <c r="K327" s="48">
        <v>106.74300934795</v>
      </c>
    </row>
    <row r="328" ht="22.5" customHeight="1">
      <c r="A328" s="44" t="s">
        <v>1887</v>
      </c>
      <c r="B328" s="44" t="s">
        <v>1888</v>
      </c>
      <c r="C328" s="44" t="s">
        <v>1835</v>
      </c>
      <c r="D328" s="44" t="s">
        <v>1111</v>
      </c>
      <c r="E328" s="49" t="s">
        <v>789</v>
      </c>
      <c r="F328" s="44" t="s">
        <v>1168</v>
      </c>
      <c r="G328" s="44">
        <v>39.0</v>
      </c>
      <c r="H328" s="47" t="s">
        <v>970</v>
      </c>
      <c r="I328" s="47" t="s">
        <v>820</v>
      </c>
      <c r="J328" s="44">
        <v>10.76436</v>
      </c>
      <c r="K328" s="48">
        <v>106.60321</v>
      </c>
    </row>
    <row r="329" ht="22.5" customHeight="1">
      <c r="A329" s="44" t="s">
        <v>852</v>
      </c>
      <c r="B329" s="44" t="s">
        <v>1889</v>
      </c>
      <c r="C329" s="44" t="s">
        <v>1890</v>
      </c>
      <c r="D329" s="44" t="s">
        <v>1018</v>
      </c>
      <c r="E329" s="49" t="s">
        <v>808</v>
      </c>
      <c r="F329" s="44" t="s">
        <v>998</v>
      </c>
      <c r="G329" s="44">
        <v>60.0</v>
      </c>
      <c r="H329" s="47" t="s">
        <v>1891</v>
      </c>
      <c r="I329" s="47" t="s">
        <v>808</v>
      </c>
      <c r="J329" s="44">
        <v>10.746623</v>
      </c>
      <c r="K329" s="48">
        <v>106.629599</v>
      </c>
    </row>
    <row r="330" ht="22.5" customHeight="1">
      <c r="A330" s="44" t="s">
        <v>1892</v>
      </c>
      <c r="B330" s="44" t="s">
        <v>1893</v>
      </c>
      <c r="C330" s="44" t="s">
        <v>1894</v>
      </c>
      <c r="D330" s="44" t="s">
        <v>1895</v>
      </c>
      <c r="E330" s="49"/>
      <c r="F330" s="44" t="s">
        <v>1098</v>
      </c>
      <c r="G330" s="44"/>
      <c r="H330" s="47"/>
      <c r="I330" s="47" t="s">
        <v>897</v>
      </c>
      <c r="J330" s="44">
        <v>10.847838</v>
      </c>
      <c r="K330" s="48">
        <v>106.646969</v>
      </c>
    </row>
    <row r="331" ht="22.5" customHeight="1">
      <c r="A331" s="44" t="s">
        <v>1896</v>
      </c>
      <c r="B331" s="44" t="s">
        <v>1897</v>
      </c>
      <c r="C331" s="44" t="s">
        <v>1898</v>
      </c>
      <c r="D331" s="44" t="s">
        <v>1895</v>
      </c>
      <c r="E331" s="49"/>
      <c r="F331" s="44" t="s">
        <v>1098</v>
      </c>
      <c r="G331" s="50"/>
      <c r="H331" s="47"/>
      <c r="I331" s="47" t="s">
        <v>897</v>
      </c>
      <c r="J331" s="44">
        <v>10.847843255126</v>
      </c>
      <c r="K331" s="48">
        <v>106.64697323606</v>
      </c>
    </row>
    <row r="332" ht="22.5" customHeight="1">
      <c r="A332" s="44" t="s">
        <v>1899</v>
      </c>
      <c r="B332" s="44" t="s">
        <v>1900</v>
      </c>
      <c r="C332" s="44" t="s">
        <v>1901</v>
      </c>
      <c r="D332" s="44" t="s">
        <v>1433</v>
      </c>
      <c r="E332" s="49" t="s">
        <v>910</v>
      </c>
      <c r="F332" s="44" t="s">
        <v>987</v>
      </c>
      <c r="G332" s="44">
        <v>45.0</v>
      </c>
      <c r="H332" s="47" t="s">
        <v>970</v>
      </c>
      <c r="I332" s="47" t="s">
        <v>910</v>
      </c>
      <c r="J332" s="44">
        <v>10.76856</v>
      </c>
      <c r="K332" s="48">
        <v>106.670159</v>
      </c>
    </row>
    <row r="333" ht="22.5" customHeight="1">
      <c r="A333" s="44" t="s">
        <v>1902</v>
      </c>
      <c r="B333" s="44" t="s">
        <v>1903</v>
      </c>
      <c r="C333" s="44" t="s">
        <v>1904</v>
      </c>
      <c r="D333" s="44" t="s">
        <v>1905</v>
      </c>
      <c r="E333" s="49" t="s">
        <v>890</v>
      </c>
      <c r="F333" s="44" t="s">
        <v>1228</v>
      </c>
      <c r="G333" s="44">
        <v>60.0</v>
      </c>
      <c r="H333" s="47" t="s">
        <v>970</v>
      </c>
      <c r="I333" s="47" t="s">
        <v>890</v>
      </c>
      <c r="J333" s="44">
        <v>10.892438</v>
      </c>
      <c r="K333" s="48">
        <v>106.814047</v>
      </c>
    </row>
    <row r="334" ht="22.5" customHeight="1">
      <c r="A334" s="44" t="s">
        <v>119</v>
      </c>
      <c r="B334" s="44" t="s">
        <v>1906</v>
      </c>
      <c r="C334" s="44" t="s">
        <v>1907</v>
      </c>
      <c r="D334" s="44" t="s">
        <v>1154</v>
      </c>
      <c r="E334" s="49" t="s">
        <v>893</v>
      </c>
      <c r="F334" s="44" t="s">
        <v>1088</v>
      </c>
      <c r="G334" s="44">
        <v>30.0</v>
      </c>
      <c r="H334" s="47" t="s">
        <v>970</v>
      </c>
      <c r="I334" s="47" t="s">
        <v>893</v>
      </c>
      <c r="J334" s="44">
        <v>10.783949</v>
      </c>
      <c r="K334" s="48">
        <v>106.636162</v>
      </c>
    </row>
    <row r="335" ht="22.5" customHeight="1">
      <c r="A335" s="44" t="s">
        <v>297</v>
      </c>
      <c r="B335" s="44" t="s">
        <v>1908</v>
      </c>
      <c r="C335" s="44" t="s">
        <v>1909</v>
      </c>
      <c r="D335" s="44" t="s">
        <v>1910</v>
      </c>
      <c r="E335" s="49" t="s">
        <v>892</v>
      </c>
      <c r="F335" s="44" t="s">
        <v>1108</v>
      </c>
      <c r="G335" s="44">
        <v>45.0</v>
      </c>
      <c r="H335" s="47" t="s">
        <v>970</v>
      </c>
      <c r="I335" s="47" t="s">
        <v>892</v>
      </c>
      <c r="J335" s="44">
        <v>11.022044</v>
      </c>
      <c r="K335" s="48">
        <v>106.651589</v>
      </c>
    </row>
    <row r="336" ht="22.5" customHeight="1">
      <c r="A336" s="44" t="s">
        <v>573</v>
      </c>
      <c r="B336" s="44" t="s">
        <v>1911</v>
      </c>
      <c r="C336" s="44" t="s">
        <v>996</v>
      </c>
      <c r="D336" s="44" t="s">
        <v>997</v>
      </c>
      <c r="E336" s="49" t="s">
        <v>808</v>
      </c>
      <c r="F336" s="44" t="s">
        <v>998</v>
      </c>
      <c r="G336" s="44">
        <v>60.0</v>
      </c>
      <c r="H336" s="47" t="s">
        <v>970</v>
      </c>
      <c r="I336" s="47" t="s">
        <v>825</v>
      </c>
      <c r="J336" s="44">
        <v>10.750961</v>
      </c>
      <c r="K336" s="48">
        <v>106.645063</v>
      </c>
    </row>
    <row r="337" ht="22.5" customHeight="1">
      <c r="A337" s="44" t="s">
        <v>798</v>
      </c>
      <c r="B337" s="44" t="s">
        <v>1912</v>
      </c>
      <c r="C337" s="44" t="s">
        <v>981</v>
      </c>
      <c r="D337" s="44" t="s">
        <v>982</v>
      </c>
      <c r="E337" s="49" t="s">
        <v>510</v>
      </c>
      <c r="F337" s="44" t="s">
        <v>983</v>
      </c>
      <c r="G337" s="50">
        <v>80.0</v>
      </c>
      <c r="H337" s="47" t="s">
        <v>970</v>
      </c>
      <c r="I337" s="47" t="s">
        <v>510</v>
      </c>
      <c r="J337" s="44">
        <v>10.836647</v>
      </c>
      <c r="K337" s="48">
        <v>106.727228</v>
      </c>
    </row>
    <row r="338" ht="22.5" customHeight="1">
      <c r="A338" s="44" t="s">
        <v>637</v>
      </c>
      <c r="B338" s="44" t="s">
        <v>1913</v>
      </c>
      <c r="C338" s="44" t="s">
        <v>1914</v>
      </c>
      <c r="D338" s="44" t="s">
        <v>1546</v>
      </c>
      <c r="E338" s="49" t="s">
        <v>797</v>
      </c>
      <c r="F338" s="44" t="s">
        <v>1409</v>
      </c>
      <c r="G338" s="44">
        <v>70.0</v>
      </c>
      <c r="H338" s="47" t="s">
        <v>970</v>
      </c>
      <c r="I338" s="47" t="s">
        <v>797</v>
      </c>
      <c r="J338" s="44">
        <v>10.871885</v>
      </c>
      <c r="K338" s="48">
        <v>106.597507</v>
      </c>
    </row>
    <row r="339" ht="22.5" customHeight="1">
      <c r="A339" s="44" t="s">
        <v>483</v>
      </c>
      <c r="B339" s="44" t="s">
        <v>1915</v>
      </c>
      <c r="C339" s="44" t="s">
        <v>1916</v>
      </c>
      <c r="D339" s="44" t="s">
        <v>1917</v>
      </c>
      <c r="E339" s="49" t="s">
        <v>895</v>
      </c>
      <c r="F339" s="44" t="s">
        <v>1121</v>
      </c>
      <c r="G339" s="44">
        <v>70.0</v>
      </c>
      <c r="H339" s="47" t="s">
        <v>970</v>
      </c>
      <c r="I339" s="47" t="s">
        <v>899</v>
      </c>
      <c r="J339" s="44">
        <v>10.819911</v>
      </c>
      <c r="K339" s="48">
        <v>106.832161</v>
      </c>
    </row>
    <row r="340" ht="22.5" customHeight="1">
      <c r="A340" s="44" t="s">
        <v>788</v>
      </c>
      <c r="B340" s="44" t="s">
        <v>1918</v>
      </c>
      <c r="C340" s="44" t="s">
        <v>1919</v>
      </c>
      <c r="D340" s="44" t="s">
        <v>1303</v>
      </c>
      <c r="E340" s="49" t="s">
        <v>813</v>
      </c>
      <c r="F340" s="44" t="s">
        <v>1015</v>
      </c>
      <c r="G340" s="44">
        <v>120.0</v>
      </c>
      <c r="H340" s="47" t="s">
        <v>970</v>
      </c>
      <c r="I340" s="47" t="s">
        <v>789</v>
      </c>
      <c r="J340" s="44">
        <v>10.690939955572</v>
      </c>
      <c r="K340" s="48">
        <v>106.57453048222</v>
      </c>
    </row>
    <row r="341" ht="22.5" customHeight="1">
      <c r="A341" s="44" t="s">
        <v>603</v>
      </c>
      <c r="B341" s="44" t="s">
        <v>1920</v>
      </c>
      <c r="C341" s="44" t="s">
        <v>1921</v>
      </c>
      <c r="D341" s="44" t="s">
        <v>1116</v>
      </c>
      <c r="E341" s="49" t="s">
        <v>885</v>
      </c>
      <c r="F341" s="44" t="s">
        <v>1117</v>
      </c>
      <c r="G341" s="44">
        <v>80.0</v>
      </c>
      <c r="H341" s="47" t="s">
        <v>970</v>
      </c>
      <c r="I341" s="47" t="s">
        <v>813</v>
      </c>
      <c r="J341" s="44">
        <v>10.748739</v>
      </c>
      <c r="K341" s="48">
        <v>106.671697</v>
      </c>
    </row>
    <row r="342" ht="22.5" customHeight="1">
      <c r="A342" s="44" t="s">
        <v>1922</v>
      </c>
      <c r="B342" s="44" t="s">
        <v>1923</v>
      </c>
      <c r="C342" s="44" t="s">
        <v>1924</v>
      </c>
      <c r="D342" s="44" t="s">
        <v>1925</v>
      </c>
      <c r="E342" s="49" t="s">
        <v>885</v>
      </c>
      <c r="F342" s="44" t="s">
        <v>1117</v>
      </c>
      <c r="G342" s="44">
        <v>80.0</v>
      </c>
      <c r="H342" s="47" t="s">
        <v>970</v>
      </c>
      <c r="I342" s="47" t="s">
        <v>885</v>
      </c>
      <c r="J342" s="44">
        <v>10.73508</v>
      </c>
      <c r="K342" s="48">
        <v>106.652406</v>
      </c>
    </row>
    <row r="343" ht="22.5" customHeight="1">
      <c r="A343" s="44" t="s">
        <v>1926</v>
      </c>
      <c r="B343" s="44" t="s">
        <v>1927</v>
      </c>
      <c r="C343" s="44" t="s">
        <v>1928</v>
      </c>
      <c r="D343" s="44" t="s">
        <v>1929</v>
      </c>
      <c r="E343" s="49"/>
      <c r="F343" s="44" t="s">
        <v>1098</v>
      </c>
      <c r="G343" s="44"/>
      <c r="H343" s="47" t="s">
        <v>970</v>
      </c>
      <c r="I343" s="47" t="s">
        <v>806</v>
      </c>
      <c r="J343" s="44">
        <v>10.795077</v>
      </c>
      <c r="K343" s="48">
        <v>106.656357</v>
      </c>
    </row>
    <row r="344" ht="22.5" customHeight="1">
      <c r="A344" s="44" t="s">
        <v>722</v>
      </c>
      <c r="B344" s="44" t="s">
        <v>1930</v>
      </c>
      <c r="C344" s="44" t="s">
        <v>1931</v>
      </c>
      <c r="D344" s="44" t="s">
        <v>1662</v>
      </c>
      <c r="E344" s="49" t="s">
        <v>891</v>
      </c>
      <c r="F344" s="44" t="s">
        <v>1125</v>
      </c>
      <c r="G344" s="44">
        <v>30.0</v>
      </c>
      <c r="H344" s="47" t="s">
        <v>970</v>
      </c>
      <c r="I344" s="47" t="s">
        <v>891</v>
      </c>
      <c r="J344" s="44">
        <v>10.956198</v>
      </c>
      <c r="K344" s="48">
        <v>106.874357</v>
      </c>
    </row>
    <row r="345" ht="22.5" customHeight="1">
      <c r="A345" s="44" t="s">
        <v>1932</v>
      </c>
      <c r="B345" s="44" t="s">
        <v>1933</v>
      </c>
      <c r="C345" s="44" t="s">
        <v>1934</v>
      </c>
      <c r="D345" s="44" t="s">
        <v>1014</v>
      </c>
      <c r="E345" s="49" t="s">
        <v>813</v>
      </c>
      <c r="F345" s="44" t="s">
        <v>1015</v>
      </c>
      <c r="G345" s="44">
        <v>76.0</v>
      </c>
      <c r="H345" s="47" t="s">
        <v>970</v>
      </c>
      <c r="I345" s="47" t="s">
        <v>813</v>
      </c>
      <c r="J345" s="44">
        <v>10.76065519231</v>
      </c>
      <c r="K345" s="48">
        <v>106.68267298604</v>
      </c>
    </row>
    <row r="346" ht="22.5" customHeight="1">
      <c r="A346" s="44" t="s">
        <v>40</v>
      </c>
      <c r="B346" s="44" t="s">
        <v>1935</v>
      </c>
      <c r="C346" s="44" t="s">
        <v>1843</v>
      </c>
      <c r="D346" s="44" t="s">
        <v>1662</v>
      </c>
      <c r="E346" s="49" t="s">
        <v>891</v>
      </c>
      <c r="F346" s="44" t="s">
        <v>1125</v>
      </c>
      <c r="G346" s="44">
        <v>30.0</v>
      </c>
      <c r="H346" s="47" t="s">
        <v>970</v>
      </c>
      <c r="I346" s="47" t="s">
        <v>891</v>
      </c>
      <c r="J346" s="44">
        <v>10.956198</v>
      </c>
      <c r="K346" s="48">
        <v>106.874357</v>
      </c>
    </row>
    <row r="347" ht="22.5" customHeight="1">
      <c r="A347" s="44" t="s">
        <v>542</v>
      </c>
      <c r="B347" s="44" t="s">
        <v>1936</v>
      </c>
      <c r="C347" s="44" t="s">
        <v>1760</v>
      </c>
      <c r="D347" s="44" t="s">
        <v>1076</v>
      </c>
      <c r="E347" s="49" t="s">
        <v>813</v>
      </c>
      <c r="F347" s="44" t="s">
        <v>1015</v>
      </c>
      <c r="G347" s="44">
        <v>60.0</v>
      </c>
      <c r="H347" s="47" t="s">
        <v>970</v>
      </c>
      <c r="I347" s="47" t="s">
        <v>813</v>
      </c>
      <c r="J347" s="44">
        <v>10.754261</v>
      </c>
      <c r="K347" s="48">
        <v>106.671585</v>
      </c>
    </row>
    <row r="348" ht="22.5" customHeight="1">
      <c r="A348" s="44" t="s">
        <v>490</v>
      </c>
      <c r="B348" s="44" t="s">
        <v>1937</v>
      </c>
      <c r="C348" s="44" t="s">
        <v>1938</v>
      </c>
      <c r="D348" s="44" t="s">
        <v>1939</v>
      </c>
      <c r="E348" s="49" t="s">
        <v>895</v>
      </c>
      <c r="F348" s="44" t="s">
        <v>1121</v>
      </c>
      <c r="G348" s="44">
        <v>70.0</v>
      </c>
      <c r="H348" s="47" t="s">
        <v>970</v>
      </c>
      <c r="I348" s="47" t="s">
        <v>895</v>
      </c>
      <c r="J348" s="44">
        <v>10.861491</v>
      </c>
      <c r="K348" s="48">
        <v>106.780439</v>
      </c>
    </row>
    <row r="349" ht="22.5" customHeight="1">
      <c r="A349" s="44" t="s">
        <v>1940</v>
      </c>
      <c r="B349" s="44" t="s">
        <v>1941</v>
      </c>
      <c r="C349" s="44" t="s">
        <v>1942</v>
      </c>
      <c r="D349" s="44" t="s">
        <v>1345</v>
      </c>
      <c r="E349" s="49" t="s">
        <v>822</v>
      </c>
      <c r="F349" s="44" t="s">
        <v>1284</v>
      </c>
      <c r="G349" s="44">
        <v>60.0</v>
      </c>
      <c r="H349" s="47" t="s">
        <v>970</v>
      </c>
      <c r="I349" s="47" t="s">
        <v>808</v>
      </c>
      <c r="J349" s="44">
        <v>10.755749</v>
      </c>
      <c r="K349" s="48">
        <v>106.637286</v>
      </c>
    </row>
    <row r="350" ht="22.5" customHeight="1">
      <c r="A350" s="44" t="s">
        <v>687</v>
      </c>
      <c r="B350" s="44" t="s">
        <v>1943</v>
      </c>
      <c r="C350" s="44" t="s">
        <v>1944</v>
      </c>
      <c r="D350" s="44" t="s">
        <v>1026</v>
      </c>
      <c r="E350" s="49" t="s">
        <v>897</v>
      </c>
      <c r="F350" s="44" t="s">
        <v>1027</v>
      </c>
      <c r="G350" s="44">
        <v>70.0</v>
      </c>
      <c r="H350" s="47" t="s">
        <v>970</v>
      </c>
      <c r="I350" s="47" t="s">
        <v>897</v>
      </c>
      <c r="J350" s="44">
        <v>10.834649</v>
      </c>
      <c r="K350" s="48">
        <v>106.66155</v>
      </c>
    </row>
    <row r="351" ht="22.5" customHeight="1">
      <c r="A351" s="44" t="s">
        <v>1945</v>
      </c>
      <c r="B351" s="44" t="s">
        <v>1946</v>
      </c>
      <c r="C351" s="44" t="s">
        <v>1947</v>
      </c>
      <c r="D351" s="44" t="s">
        <v>1272</v>
      </c>
      <c r="E351" s="49" t="s">
        <v>808</v>
      </c>
      <c r="F351" s="44" t="s">
        <v>998</v>
      </c>
      <c r="G351" s="44">
        <v>60.0</v>
      </c>
      <c r="H351" s="47" t="s">
        <v>970</v>
      </c>
      <c r="I351" s="47" t="s">
        <v>808</v>
      </c>
      <c r="J351" s="44">
        <v>10.754504</v>
      </c>
      <c r="K351" s="48">
        <v>106.624611</v>
      </c>
    </row>
    <row r="352" ht="22.5" customHeight="1">
      <c r="A352" s="44" t="s">
        <v>1948</v>
      </c>
      <c r="B352" s="44" t="s">
        <v>1949</v>
      </c>
      <c r="C352" s="44" t="s">
        <v>1950</v>
      </c>
      <c r="D352" s="44" t="s">
        <v>1802</v>
      </c>
      <c r="E352" s="49" t="s">
        <v>888</v>
      </c>
      <c r="F352" s="44" t="s">
        <v>1136</v>
      </c>
      <c r="G352" s="44">
        <v>30.0</v>
      </c>
      <c r="H352" s="47" t="s">
        <v>970</v>
      </c>
      <c r="I352" s="47" t="s">
        <v>826</v>
      </c>
      <c r="J352" s="44">
        <v>10.770722</v>
      </c>
      <c r="K352" s="48">
        <v>106.688879</v>
      </c>
    </row>
    <row r="353" ht="22.5" customHeight="1">
      <c r="A353" s="44" t="s">
        <v>184</v>
      </c>
      <c r="B353" s="44" t="s">
        <v>1951</v>
      </c>
      <c r="C353" s="44" t="s">
        <v>1952</v>
      </c>
      <c r="D353" s="44" t="s">
        <v>1030</v>
      </c>
      <c r="E353" s="49" t="s">
        <v>887</v>
      </c>
      <c r="F353" s="44" t="s">
        <v>1031</v>
      </c>
      <c r="G353" s="44">
        <v>44.0</v>
      </c>
      <c r="H353" s="47" t="s">
        <v>970</v>
      </c>
      <c r="I353" s="47" t="s">
        <v>888</v>
      </c>
      <c r="J353" s="44">
        <v>10.779038</v>
      </c>
      <c r="K353" s="48">
        <v>106.713822</v>
      </c>
    </row>
    <row r="354" ht="22.5" customHeight="1">
      <c r="A354" s="44" t="s">
        <v>845</v>
      </c>
      <c r="B354" s="44" t="s">
        <v>1953</v>
      </c>
      <c r="C354" s="44" t="s">
        <v>1954</v>
      </c>
      <c r="D354" s="44" t="s">
        <v>1583</v>
      </c>
      <c r="E354" s="49" t="s">
        <v>872</v>
      </c>
      <c r="F354" s="44" t="s">
        <v>1003</v>
      </c>
      <c r="G354" s="44">
        <v>30.0</v>
      </c>
      <c r="H354" s="47" t="s">
        <v>970</v>
      </c>
      <c r="I354" s="47" t="s">
        <v>872</v>
      </c>
      <c r="J354" s="44">
        <v>10.520953</v>
      </c>
      <c r="K354" s="48">
        <v>106.421413</v>
      </c>
    </row>
    <row r="355" ht="22.5" customHeight="1">
      <c r="A355" s="44" t="s">
        <v>547</v>
      </c>
      <c r="B355" s="44" t="s">
        <v>1955</v>
      </c>
      <c r="C355" s="44" t="s">
        <v>1956</v>
      </c>
      <c r="D355" s="44" t="s">
        <v>1167</v>
      </c>
      <c r="E355" s="49" t="s">
        <v>789</v>
      </c>
      <c r="F355" s="44" t="s">
        <v>1168</v>
      </c>
      <c r="G355" s="44">
        <v>39.0</v>
      </c>
      <c r="H355" s="47" t="s">
        <v>970</v>
      </c>
      <c r="I355" s="47" t="s">
        <v>789</v>
      </c>
      <c r="J355" s="44">
        <v>10.740598</v>
      </c>
      <c r="K355" s="48">
        <v>106.607192</v>
      </c>
    </row>
    <row r="356" ht="22.5" customHeight="1">
      <c r="A356" s="44" t="s">
        <v>29</v>
      </c>
      <c r="B356" s="44" t="s">
        <v>1957</v>
      </c>
      <c r="C356" s="44" t="s">
        <v>1958</v>
      </c>
      <c r="D356" s="44" t="s">
        <v>1662</v>
      </c>
      <c r="E356" s="49" t="s">
        <v>891</v>
      </c>
      <c r="F356" s="44" t="s">
        <v>1125</v>
      </c>
      <c r="G356" s="44">
        <v>60.0</v>
      </c>
      <c r="H356" s="47" t="s">
        <v>970</v>
      </c>
      <c r="I356" s="47" t="s">
        <v>891</v>
      </c>
      <c r="J356" s="44">
        <v>10.951314</v>
      </c>
      <c r="K356" s="48">
        <v>106.867294</v>
      </c>
    </row>
    <row r="357" ht="22.5" customHeight="1">
      <c r="A357" s="44" t="s">
        <v>843</v>
      </c>
      <c r="B357" s="44" t="s">
        <v>1959</v>
      </c>
      <c r="C357" s="44" t="s">
        <v>1960</v>
      </c>
      <c r="D357" s="44" t="s">
        <v>1007</v>
      </c>
      <c r="E357" s="49" t="s">
        <v>510</v>
      </c>
      <c r="F357" s="44" t="s">
        <v>983</v>
      </c>
      <c r="G357" s="44">
        <v>90.0</v>
      </c>
      <c r="H357" s="47" t="s">
        <v>970</v>
      </c>
      <c r="I357" s="47" t="s">
        <v>883</v>
      </c>
      <c r="J357" s="44">
        <v>10.890743</v>
      </c>
      <c r="K357" s="48">
        <v>106.72618</v>
      </c>
    </row>
    <row r="358" ht="22.5" customHeight="1">
      <c r="A358" s="44" t="s">
        <v>851</v>
      </c>
      <c r="B358" s="44" t="s">
        <v>1961</v>
      </c>
      <c r="C358" s="44" t="s">
        <v>1962</v>
      </c>
      <c r="D358" s="44" t="s">
        <v>1280</v>
      </c>
      <c r="E358" s="49" t="s">
        <v>510</v>
      </c>
      <c r="F358" s="44" t="s">
        <v>983</v>
      </c>
      <c r="G358" s="44">
        <v>70.0</v>
      </c>
      <c r="H358" s="47" t="s">
        <v>970</v>
      </c>
      <c r="I358" s="47" t="s">
        <v>510</v>
      </c>
      <c r="J358" s="44">
        <v>10.8469</v>
      </c>
      <c r="K358" s="48">
        <v>106.751224</v>
      </c>
    </row>
    <row r="359" ht="22.5" customHeight="1">
      <c r="A359" s="44" t="s">
        <v>1963</v>
      </c>
      <c r="B359" s="44" t="s">
        <v>1964</v>
      </c>
      <c r="C359" s="44" t="s">
        <v>1965</v>
      </c>
      <c r="D359" s="44" t="s">
        <v>1929</v>
      </c>
      <c r="E359" s="49" t="s">
        <v>893</v>
      </c>
      <c r="F359" s="44" t="s">
        <v>1088</v>
      </c>
      <c r="G359" s="44">
        <v>60.0</v>
      </c>
      <c r="H359" s="47" t="s">
        <v>970</v>
      </c>
      <c r="I359" s="47" t="s">
        <v>806</v>
      </c>
      <c r="J359" s="44">
        <v>10.791362801286</v>
      </c>
      <c r="K359" s="48">
        <v>106.65342214263</v>
      </c>
    </row>
    <row r="360" ht="22.5" customHeight="1">
      <c r="A360" s="44" t="s">
        <v>1966</v>
      </c>
      <c r="B360" s="44" t="s">
        <v>1967</v>
      </c>
      <c r="C360" s="44" t="s">
        <v>1968</v>
      </c>
      <c r="D360" s="44" t="s">
        <v>1433</v>
      </c>
      <c r="E360" s="49"/>
      <c r="F360" s="44" t="s">
        <v>1098</v>
      </c>
      <c r="G360" s="44"/>
      <c r="H360" s="47" t="s">
        <v>1891</v>
      </c>
      <c r="I360" s="47" t="s">
        <v>910</v>
      </c>
      <c r="J360" s="44">
        <v>10.7685107</v>
      </c>
      <c r="K360" s="48">
        <v>106.6690687</v>
      </c>
    </row>
    <row r="361" ht="22.5" customHeight="1">
      <c r="A361" s="44" t="s">
        <v>857</v>
      </c>
      <c r="B361" s="44" t="s">
        <v>1969</v>
      </c>
      <c r="C361" s="44" t="s">
        <v>1970</v>
      </c>
      <c r="D361" s="44" t="s">
        <v>1779</v>
      </c>
      <c r="E361" s="49"/>
      <c r="F361" s="44" t="s">
        <v>1098</v>
      </c>
      <c r="G361" s="44"/>
      <c r="H361" s="47" t="s">
        <v>1891</v>
      </c>
      <c r="I361" s="47" t="s">
        <v>891</v>
      </c>
      <c r="J361" s="44">
        <v>10.953804095481</v>
      </c>
      <c r="K361" s="48">
        <v>106.8179859127</v>
      </c>
    </row>
    <row r="362" ht="22.5" customHeight="1">
      <c r="A362" s="44" t="s">
        <v>1971</v>
      </c>
      <c r="B362" s="44" t="s">
        <v>1972</v>
      </c>
      <c r="C362" s="44" t="s">
        <v>1973</v>
      </c>
      <c r="D362" s="44" t="s">
        <v>1227</v>
      </c>
      <c r="E362" s="49" t="s">
        <v>890</v>
      </c>
      <c r="F362" s="44" t="s">
        <v>1228</v>
      </c>
      <c r="G362" s="44">
        <v>40.0</v>
      </c>
      <c r="H362" s="47" t="s">
        <v>1891</v>
      </c>
      <c r="I362" s="47" t="s">
        <v>890</v>
      </c>
      <c r="J362" s="44">
        <v>10.9059559</v>
      </c>
      <c r="K362" s="48">
        <v>106.7650926</v>
      </c>
    </row>
    <row r="363" ht="22.5" customHeight="1">
      <c r="A363" s="44" t="s">
        <v>1974</v>
      </c>
      <c r="B363" s="44" t="s">
        <v>1975</v>
      </c>
      <c r="C363" s="44" t="s">
        <v>1976</v>
      </c>
      <c r="D363" s="44" t="s">
        <v>1977</v>
      </c>
      <c r="E363" s="49"/>
      <c r="F363" s="44" t="s">
        <v>1098</v>
      </c>
      <c r="G363" s="44"/>
      <c r="H363" s="47" t="s">
        <v>1891</v>
      </c>
      <c r="I363" s="47" t="s">
        <v>863</v>
      </c>
      <c r="J363" s="44">
        <v>10.495396</v>
      </c>
      <c r="K363" s="48">
        <v>107.172524</v>
      </c>
    </row>
    <row r="364" ht="22.5" customHeight="1">
      <c r="A364" s="44" t="s">
        <v>220</v>
      </c>
      <c r="B364" s="44" t="s">
        <v>1978</v>
      </c>
      <c r="C364" s="44" t="s">
        <v>1979</v>
      </c>
      <c r="D364" s="44" t="s">
        <v>1030</v>
      </c>
      <c r="E364" s="49" t="s">
        <v>887</v>
      </c>
      <c r="F364" s="44" t="s">
        <v>1031</v>
      </c>
      <c r="G364" s="44">
        <v>70.0</v>
      </c>
      <c r="H364" s="47" t="s">
        <v>970</v>
      </c>
      <c r="I364" s="47" t="s">
        <v>832</v>
      </c>
      <c r="J364" s="44">
        <v>10.796543</v>
      </c>
      <c r="K364" s="48">
        <v>106.734519</v>
      </c>
    </row>
    <row r="365" ht="22.5" customHeight="1">
      <c r="A365" s="44" t="s">
        <v>180</v>
      </c>
      <c r="B365" s="44" t="s">
        <v>1980</v>
      </c>
      <c r="C365" s="44" t="s">
        <v>1493</v>
      </c>
      <c r="D365" s="44" t="s">
        <v>990</v>
      </c>
      <c r="E365" s="49" t="s">
        <v>894</v>
      </c>
      <c r="F365" s="44" t="s">
        <v>974</v>
      </c>
      <c r="G365" s="44">
        <v>70.0</v>
      </c>
      <c r="H365" s="47" t="s">
        <v>970</v>
      </c>
      <c r="I365" s="47" t="s">
        <v>894</v>
      </c>
      <c r="J365" s="44">
        <v>10.737331</v>
      </c>
      <c r="K365" s="48">
        <v>106.724166</v>
      </c>
    </row>
    <row r="366" ht="22.5" customHeight="1">
      <c r="A366" s="44" t="s">
        <v>1981</v>
      </c>
      <c r="B366" s="44" t="s">
        <v>1982</v>
      </c>
      <c r="C366" s="44" t="s">
        <v>1983</v>
      </c>
      <c r="D366" s="44" t="s">
        <v>1135</v>
      </c>
      <c r="E366" s="49" t="s">
        <v>884</v>
      </c>
      <c r="F366" s="44" t="s">
        <v>1821</v>
      </c>
      <c r="G366" s="44">
        <v>60.0</v>
      </c>
      <c r="H366" s="47" t="s">
        <v>970</v>
      </c>
      <c r="I366" s="47" t="s">
        <v>884</v>
      </c>
      <c r="J366" s="44">
        <v>10.791007</v>
      </c>
      <c r="K366" s="48">
        <v>106.701268</v>
      </c>
    </row>
    <row r="367" ht="22.5" customHeight="1">
      <c r="A367" s="44" t="s">
        <v>545</v>
      </c>
      <c r="B367" s="44" t="s">
        <v>1984</v>
      </c>
      <c r="C367" s="44" t="s">
        <v>1985</v>
      </c>
      <c r="D367" s="44" t="s">
        <v>1076</v>
      </c>
      <c r="E367" s="49" t="s">
        <v>813</v>
      </c>
      <c r="F367" s="44" t="s">
        <v>1015</v>
      </c>
      <c r="G367" s="44">
        <v>60.0</v>
      </c>
      <c r="H367" s="47" t="s">
        <v>970</v>
      </c>
      <c r="I367" s="47" t="s">
        <v>813</v>
      </c>
      <c r="J367" s="44">
        <v>10.760237</v>
      </c>
      <c r="K367" s="48">
        <v>106.670966</v>
      </c>
    </row>
    <row r="368" ht="22.5" customHeight="1">
      <c r="A368" s="44" t="s">
        <v>710</v>
      </c>
      <c r="B368" s="44" t="s">
        <v>1986</v>
      </c>
      <c r="C368" s="44" t="s">
        <v>1987</v>
      </c>
      <c r="D368" s="44" t="s">
        <v>1988</v>
      </c>
      <c r="E368" s="49" t="s">
        <v>901</v>
      </c>
      <c r="F368" s="44" t="s">
        <v>1562</v>
      </c>
      <c r="G368" s="44">
        <v>70.0</v>
      </c>
      <c r="H368" s="47" t="s">
        <v>970</v>
      </c>
      <c r="I368" s="47" t="s">
        <v>901</v>
      </c>
      <c r="J368" s="44">
        <v>10.815111</v>
      </c>
      <c r="K368" s="48">
        <v>106.720857</v>
      </c>
    </row>
    <row r="369" ht="22.5" customHeight="1">
      <c r="A369" s="44" t="s">
        <v>1989</v>
      </c>
      <c r="B369" s="44" t="s">
        <v>1990</v>
      </c>
      <c r="C369" s="44" t="s">
        <v>1503</v>
      </c>
      <c r="D369" s="44" t="s">
        <v>1227</v>
      </c>
      <c r="E369" s="49" t="s">
        <v>890</v>
      </c>
      <c r="F369" s="44" t="s">
        <v>1228</v>
      </c>
      <c r="G369" s="44">
        <v>30.0</v>
      </c>
      <c r="H369" s="47" t="s">
        <v>970</v>
      </c>
      <c r="I369" s="47" t="s">
        <v>890</v>
      </c>
      <c r="J369" s="44">
        <v>10.910497</v>
      </c>
      <c r="K369" s="48">
        <v>106.781597</v>
      </c>
    </row>
    <row r="370" ht="22.5" customHeight="1">
      <c r="A370" s="44" t="s">
        <v>1991</v>
      </c>
      <c r="B370" s="44" t="s">
        <v>1992</v>
      </c>
      <c r="C370" s="44" t="s">
        <v>1993</v>
      </c>
      <c r="D370" s="44" t="s">
        <v>1994</v>
      </c>
      <c r="E370" s="49" t="s">
        <v>890</v>
      </c>
      <c r="F370" s="44" t="s">
        <v>1228</v>
      </c>
      <c r="G370" s="44">
        <v>60.0</v>
      </c>
      <c r="H370" s="47" t="s">
        <v>970</v>
      </c>
      <c r="I370" s="47" t="s">
        <v>890</v>
      </c>
      <c r="J370" s="44">
        <v>10.929495356596</v>
      </c>
      <c r="K370" s="48">
        <v>106.76496151437</v>
      </c>
    </row>
    <row r="371" ht="22.5" customHeight="1">
      <c r="A371" s="44" t="s">
        <v>1995</v>
      </c>
      <c r="B371" s="44" t="s">
        <v>1996</v>
      </c>
      <c r="C371" s="44" t="s">
        <v>1997</v>
      </c>
      <c r="D371" s="44" t="s">
        <v>1236</v>
      </c>
      <c r="E371" s="49" t="s">
        <v>895</v>
      </c>
      <c r="F371" s="44" t="s">
        <v>1121</v>
      </c>
      <c r="G371" s="44">
        <v>120.0</v>
      </c>
      <c r="H371" s="47" t="s">
        <v>970</v>
      </c>
      <c r="I371" s="47" t="s">
        <v>895</v>
      </c>
      <c r="J371" s="44">
        <v>10.843244402632</v>
      </c>
      <c r="K371" s="48">
        <v>106.84084849703</v>
      </c>
    </row>
    <row r="372" ht="22.5" customHeight="1">
      <c r="A372" s="44" t="s">
        <v>1998</v>
      </c>
      <c r="B372" s="44" t="s">
        <v>1999</v>
      </c>
      <c r="C372" s="44" t="s">
        <v>2000</v>
      </c>
      <c r="D372" s="44" t="s">
        <v>1120</v>
      </c>
      <c r="E372" s="49" t="s">
        <v>895</v>
      </c>
      <c r="F372" s="44" t="s">
        <v>1121</v>
      </c>
      <c r="G372" s="44">
        <v>72.0</v>
      </c>
      <c r="H372" s="47" t="s">
        <v>970</v>
      </c>
      <c r="I372" s="47" t="s">
        <v>895</v>
      </c>
      <c r="J372" s="44">
        <v>10.844929</v>
      </c>
      <c r="K372" s="48">
        <v>106.790001</v>
      </c>
    </row>
    <row r="373" ht="22.5" customHeight="1">
      <c r="A373" s="44" t="s">
        <v>2001</v>
      </c>
      <c r="B373" s="44" t="s">
        <v>2002</v>
      </c>
      <c r="C373" s="44" t="s">
        <v>1870</v>
      </c>
      <c r="D373" s="44" t="s">
        <v>1007</v>
      </c>
      <c r="E373" s="49" t="s">
        <v>510</v>
      </c>
      <c r="F373" s="44" t="s">
        <v>983</v>
      </c>
      <c r="G373" s="44">
        <v>66.0</v>
      </c>
      <c r="H373" s="47" t="s">
        <v>970</v>
      </c>
      <c r="I373" s="47" t="s">
        <v>510</v>
      </c>
      <c r="J373" s="44">
        <v>10.86434</v>
      </c>
      <c r="K373" s="48">
        <v>106.745671</v>
      </c>
    </row>
    <row r="374" ht="22.5" customHeight="1">
      <c r="A374" s="44" t="s">
        <v>287</v>
      </c>
      <c r="B374" s="44" t="s">
        <v>2003</v>
      </c>
      <c r="C374" s="44" t="s">
        <v>2004</v>
      </c>
      <c r="D374" s="44" t="s">
        <v>1180</v>
      </c>
      <c r="E374" s="49" t="s">
        <v>892</v>
      </c>
      <c r="F374" s="44" t="s">
        <v>1108</v>
      </c>
      <c r="G374" s="44">
        <v>100.0</v>
      </c>
      <c r="H374" s="47" t="s">
        <v>970</v>
      </c>
      <c r="I374" s="47" t="s">
        <v>892</v>
      </c>
      <c r="J374" s="44">
        <v>10.996961</v>
      </c>
      <c r="K374" s="48">
        <v>106.656264</v>
      </c>
    </row>
    <row r="375" ht="22.5" customHeight="1">
      <c r="A375" s="44" t="s">
        <v>2005</v>
      </c>
      <c r="B375" s="44" t="s">
        <v>2006</v>
      </c>
      <c r="C375" s="44" t="s">
        <v>2007</v>
      </c>
      <c r="D375" s="44" t="s">
        <v>1628</v>
      </c>
      <c r="E375" s="49" t="s">
        <v>824</v>
      </c>
      <c r="F375" s="44" t="s">
        <v>2008</v>
      </c>
      <c r="G375" s="44">
        <v>60.0</v>
      </c>
      <c r="H375" s="47" t="s">
        <v>970</v>
      </c>
      <c r="I375" s="47" t="s">
        <v>824</v>
      </c>
      <c r="J375" s="44">
        <v>10.780015</v>
      </c>
      <c r="K375" s="48">
        <v>106.649829</v>
      </c>
    </row>
    <row r="376" ht="22.5" customHeight="1">
      <c r="A376" s="44" t="s">
        <v>76</v>
      </c>
      <c r="B376" s="44" t="s">
        <v>2009</v>
      </c>
      <c r="C376" s="44" t="s">
        <v>1958</v>
      </c>
      <c r="D376" s="44" t="s">
        <v>1662</v>
      </c>
      <c r="E376" s="49" t="s">
        <v>891</v>
      </c>
      <c r="F376" s="44" t="s">
        <v>1125</v>
      </c>
      <c r="G376" s="44">
        <v>60.0</v>
      </c>
      <c r="H376" s="47" t="s">
        <v>970</v>
      </c>
      <c r="I376" s="47" t="s">
        <v>891</v>
      </c>
      <c r="J376" s="44">
        <v>10.951314</v>
      </c>
      <c r="K376" s="48">
        <v>106.867294</v>
      </c>
    </row>
    <row r="377" ht="22.5" customHeight="1">
      <c r="A377" s="44" t="s">
        <v>2010</v>
      </c>
      <c r="B377" s="44" t="s">
        <v>2011</v>
      </c>
      <c r="C377" s="44" t="s">
        <v>2012</v>
      </c>
      <c r="D377" s="44" t="s">
        <v>1368</v>
      </c>
      <c r="E377" s="49" t="s">
        <v>814</v>
      </c>
      <c r="F377" s="44" t="s">
        <v>1369</v>
      </c>
      <c r="G377" s="44">
        <v>60.0</v>
      </c>
      <c r="H377" s="47" t="s">
        <v>970</v>
      </c>
      <c r="I377" s="47" t="s">
        <v>902</v>
      </c>
      <c r="J377" s="44">
        <v>10.790562</v>
      </c>
      <c r="K377" s="48">
        <v>106.672625</v>
      </c>
    </row>
    <row r="378" ht="22.5" customHeight="1">
      <c r="A378" s="44" t="s">
        <v>2013</v>
      </c>
      <c r="B378" s="44" t="s">
        <v>2014</v>
      </c>
      <c r="C378" s="44" t="s">
        <v>1876</v>
      </c>
      <c r="D378" s="44" t="s">
        <v>1007</v>
      </c>
      <c r="E378" s="49" t="s">
        <v>510</v>
      </c>
      <c r="F378" s="44" t="s">
        <v>983</v>
      </c>
      <c r="G378" s="44">
        <v>66.0</v>
      </c>
      <c r="H378" s="47" t="s">
        <v>970</v>
      </c>
      <c r="I378" s="47" t="s">
        <v>510</v>
      </c>
      <c r="J378" s="44">
        <v>10.86434</v>
      </c>
      <c r="K378" s="48">
        <v>106.745671</v>
      </c>
    </row>
    <row r="379" ht="22.5" customHeight="1">
      <c r="A379" s="44" t="s">
        <v>469</v>
      </c>
      <c r="B379" s="44" t="s">
        <v>2015</v>
      </c>
      <c r="C379" s="44" t="s">
        <v>2016</v>
      </c>
      <c r="D379" s="44" t="s">
        <v>1129</v>
      </c>
      <c r="E379" s="49" t="s">
        <v>910</v>
      </c>
      <c r="F379" s="44" t="s">
        <v>987</v>
      </c>
      <c r="G379" s="44">
        <v>30.0</v>
      </c>
      <c r="H379" s="47" t="s">
        <v>970</v>
      </c>
      <c r="I379" s="47" t="s">
        <v>910</v>
      </c>
      <c r="J379" s="44">
        <v>10.771797</v>
      </c>
      <c r="K379" s="48">
        <v>106.671377</v>
      </c>
    </row>
    <row r="380" ht="22.5" customHeight="1">
      <c r="A380" s="44" t="s">
        <v>2017</v>
      </c>
      <c r="B380" s="44" t="s">
        <v>2018</v>
      </c>
      <c r="C380" s="44" t="s">
        <v>2019</v>
      </c>
      <c r="D380" s="44" t="s">
        <v>1470</v>
      </c>
      <c r="E380" s="49" t="s">
        <v>883</v>
      </c>
      <c r="F380" s="44" t="s">
        <v>1471</v>
      </c>
      <c r="G380" s="44">
        <v>70.0</v>
      </c>
      <c r="H380" s="47" t="s">
        <v>970</v>
      </c>
      <c r="I380" s="47" t="s">
        <v>883</v>
      </c>
      <c r="J380" s="44">
        <v>10.917606</v>
      </c>
      <c r="K380" s="48">
        <v>106.708772</v>
      </c>
    </row>
    <row r="381" ht="22.5" customHeight="1">
      <c r="A381" s="44" t="s">
        <v>2020</v>
      </c>
      <c r="B381" s="44" t="s">
        <v>2021</v>
      </c>
      <c r="C381" s="44" t="s">
        <v>2022</v>
      </c>
      <c r="D381" s="44" t="s">
        <v>1280</v>
      </c>
      <c r="E381" s="49" t="s">
        <v>510</v>
      </c>
      <c r="F381" s="44" t="s">
        <v>983</v>
      </c>
      <c r="G381" s="44">
        <v>66.0</v>
      </c>
      <c r="H381" s="47" t="s">
        <v>970</v>
      </c>
      <c r="I381" s="47" t="s">
        <v>510</v>
      </c>
      <c r="J381" s="44">
        <v>10.848398</v>
      </c>
      <c r="K381" s="48">
        <v>106.754989</v>
      </c>
    </row>
    <row r="382" ht="22.5" customHeight="1">
      <c r="A382" s="44" t="s">
        <v>846</v>
      </c>
      <c r="B382" s="44" t="s">
        <v>2023</v>
      </c>
      <c r="C382" s="44" t="s">
        <v>2024</v>
      </c>
      <c r="D382" s="44" t="s">
        <v>1236</v>
      </c>
      <c r="E382" s="49" t="s">
        <v>891</v>
      </c>
      <c r="F382" s="44" t="s">
        <v>1125</v>
      </c>
      <c r="G382" s="44">
        <v>90.0</v>
      </c>
      <c r="H382" s="47" t="s">
        <v>970</v>
      </c>
      <c r="I382" s="47" t="s">
        <v>891</v>
      </c>
      <c r="J382" s="44">
        <v>10.967154</v>
      </c>
      <c r="K382" s="48">
        <v>106.900315</v>
      </c>
    </row>
    <row r="383" ht="22.5" customHeight="1">
      <c r="A383" s="44" t="s">
        <v>2025</v>
      </c>
      <c r="B383" s="44" t="s">
        <v>2026</v>
      </c>
      <c r="C383" s="44" t="s">
        <v>2027</v>
      </c>
      <c r="D383" s="44" t="s">
        <v>986</v>
      </c>
      <c r="E383" s="49" t="s">
        <v>822</v>
      </c>
      <c r="F383" s="44" t="s">
        <v>1284</v>
      </c>
      <c r="G383" s="44">
        <v>30.0</v>
      </c>
      <c r="H383" s="47" t="s">
        <v>970</v>
      </c>
      <c r="I383" s="47" t="s">
        <v>822</v>
      </c>
      <c r="J383" s="44">
        <v>10.759388</v>
      </c>
      <c r="K383" s="48">
        <v>106.66249</v>
      </c>
    </row>
    <row r="384" ht="22.5" customHeight="1">
      <c r="A384" s="44" t="s">
        <v>58</v>
      </c>
      <c r="B384" s="44" t="s">
        <v>2028</v>
      </c>
      <c r="C384" s="44" t="s">
        <v>2029</v>
      </c>
      <c r="D384" s="44" t="s">
        <v>1662</v>
      </c>
      <c r="E384" s="49" t="s">
        <v>891</v>
      </c>
      <c r="F384" s="44" t="s">
        <v>1125</v>
      </c>
      <c r="G384" s="44">
        <v>45.0</v>
      </c>
      <c r="H384" s="47" t="s">
        <v>970</v>
      </c>
      <c r="I384" s="47" t="s">
        <v>891</v>
      </c>
      <c r="J384" s="44">
        <v>10.959471</v>
      </c>
      <c r="K384" s="48">
        <v>106.843275</v>
      </c>
    </row>
    <row r="385" ht="22.5" customHeight="1">
      <c r="A385" s="44" t="s">
        <v>2030</v>
      </c>
      <c r="B385" s="44" t="s">
        <v>2031</v>
      </c>
      <c r="C385" s="44" t="s">
        <v>2032</v>
      </c>
      <c r="D385" s="44" t="s">
        <v>1236</v>
      </c>
      <c r="E385" s="49" t="s">
        <v>510</v>
      </c>
      <c r="F385" s="44" t="s">
        <v>983</v>
      </c>
      <c r="G385" s="44">
        <v>81.0</v>
      </c>
      <c r="H385" s="47" t="s">
        <v>970</v>
      </c>
      <c r="I385" s="47" t="s">
        <v>895</v>
      </c>
      <c r="J385" s="44">
        <v>10.867191</v>
      </c>
      <c r="K385" s="48">
        <v>106.813836</v>
      </c>
    </row>
    <row r="386" ht="22.5" customHeight="1">
      <c r="A386" s="44" t="s">
        <v>736</v>
      </c>
      <c r="B386" s="44" t="s">
        <v>2033</v>
      </c>
      <c r="C386" s="44" t="s">
        <v>2034</v>
      </c>
      <c r="D386" s="44" t="s">
        <v>1571</v>
      </c>
      <c r="E386" s="49" t="s">
        <v>797</v>
      </c>
      <c r="F386" s="44" t="s">
        <v>1409</v>
      </c>
      <c r="G386" s="44">
        <v>45.0</v>
      </c>
      <c r="H386" s="47" t="s">
        <v>970</v>
      </c>
      <c r="I386" s="47" t="s">
        <v>797</v>
      </c>
      <c r="J386" s="44">
        <v>10.86494417546</v>
      </c>
      <c r="K386" s="48">
        <v>106.57033786138</v>
      </c>
    </row>
    <row r="387" ht="22.5" customHeight="1">
      <c r="A387" s="44" t="s">
        <v>2035</v>
      </c>
      <c r="B387" s="44" t="s">
        <v>2036</v>
      </c>
      <c r="C387" s="44" t="s">
        <v>2037</v>
      </c>
      <c r="D387" s="44" t="s">
        <v>1668</v>
      </c>
      <c r="E387" s="49" t="s">
        <v>797</v>
      </c>
      <c r="F387" s="44" t="s">
        <v>1409</v>
      </c>
      <c r="G387" s="50">
        <v>75.0</v>
      </c>
      <c r="H387" s="47" t="s">
        <v>970</v>
      </c>
      <c r="I387" s="47" t="s">
        <v>797</v>
      </c>
      <c r="J387" s="44">
        <v>10.882031</v>
      </c>
      <c r="K387" s="48">
        <v>106.608385</v>
      </c>
    </row>
    <row r="388" ht="22.5" customHeight="1">
      <c r="A388" s="44" t="s">
        <v>2038</v>
      </c>
      <c r="B388" s="44" t="s">
        <v>2039</v>
      </c>
      <c r="C388" s="44" t="s">
        <v>2040</v>
      </c>
      <c r="D388" s="44" t="s">
        <v>1116</v>
      </c>
      <c r="E388" s="49"/>
      <c r="F388" s="44" t="s">
        <v>1098</v>
      </c>
      <c r="G388" s="50"/>
      <c r="H388" s="47"/>
      <c r="I388" s="47" t="s">
        <v>811</v>
      </c>
      <c r="J388" s="44">
        <v>10.742529902201</v>
      </c>
      <c r="K388" s="48">
        <v>106.68620453369</v>
      </c>
    </row>
    <row r="389" ht="22.5" customHeight="1">
      <c r="A389" s="44" t="s">
        <v>2041</v>
      </c>
      <c r="B389" s="44" t="s">
        <v>2042</v>
      </c>
      <c r="C389" s="44" t="s">
        <v>2043</v>
      </c>
      <c r="D389" s="44" t="s">
        <v>1268</v>
      </c>
      <c r="E389" s="49"/>
      <c r="F389" s="44" t="s">
        <v>1098</v>
      </c>
      <c r="G389" s="44"/>
      <c r="H389" s="47"/>
      <c r="I389" s="47" t="s">
        <v>826</v>
      </c>
      <c r="J389" s="44">
        <v>10.7764873</v>
      </c>
      <c r="K389" s="48">
        <v>106.690402</v>
      </c>
    </row>
    <row r="390" ht="22.5" customHeight="1">
      <c r="A390" s="44" t="s">
        <v>2044</v>
      </c>
      <c r="B390" s="44" t="s">
        <v>2045</v>
      </c>
      <c r="C390" s="44" t="s">
        <v>2046</v>
      </c>
      <c r="D390" s="44" t="s">
        <v>1135</v>
      </c>
      <c r="E390" s="49" t="s">
        <v>884</v>
      </c>
      <c r="F390" s="44" t="s">
        <v>1821</v>
      </c>
      <c r="G390" s="44">
        <v>30.0</v>
      </c>
      <c r="H390" s="47" t="s">
        <v>970</v>
      </c>
      <c r="I390" s="47" t="s">
        <v>884</v>
      </c>
      <c r="J390" s="44">
        <v>10.786196</v>
      </c>
      <c r="K390" s="48">
        <v>106.697671</v>
      </c>
    </row>
    <row r="391" ht="22.5" customHeight="1">
      <c r="A391" s="44" t="s">
        <v>505</v>
      </c>
      <c r="B391" s="44" t="s">
        <v>2047</v>
      </c>
      <c r="C391" s="44" t="s">
        <v>2048</v>
      </c>
      <c r="D391" s="44" t="s">
        <v>1802</v>
      </c>
      <c r="E391" s="49" t="s">
        <v>910</v>
      </c>
      <c r="F391" s="44" t="s">
        <v>987</v>
      </c>
      <c r="G391" s="44">
        <v>45.0</v>
      </c>
      <c r="H391" s="47" t="s">
        <v>970</v>
      </c>
      <c r="I391" s="47" t="s">
        <v>804</v>
      </c>
      <c r="J391" s="44">
        <v>10.769776</v>
      </c>
      <c r="K391" s="48">
        <v>106.690886</v>
      </c>
    </row>
    <row r="392" ht="22.5" customHeight="1">
      <c r="A392" s="44" t="s">
        <v>239</v>
      </c>
      <c r="B392" s="44" t="s">
        <v>2049</v>
      </c>
      <c r="C392" s="44" t="s">
        <v>2050</v>
      </c>
      <c r="D392" s="44" t="s">
        <v>1030</v>
      </c>
      <c r="E392" s="49" t="s">
        <v>887</v>
      </c>
      <c r="F392" s="44" t="s">
        <v>1031</v>
      </c>
      <c r="G392" s="44">
        <v>74.0</v>
      </c>
      <c r="H392" s="47" t="s">
        <v>970</v>
      </c>
      <c r="I392" s="47" t="s">
        <v>832</v>
      </c>
      <c r="J392" s="44">
        <v>10.801819</v>
      </c>
      <c r="K392" s="48">
        <v>106.748419</v>
      </c>
    </row>
    <row r="393" ht="22.5" customHeight="1">
      <c r="A393" s="44" t="s">
        <v>2051</v>
      </c>
      <c r="B393" s="44" t="s">
        <v>2052</v>
      </c>
      <c r="C393" s="44" t="s">
        <v>2053</v>
      </c>
      <c r="D393" s="44" t="s">
        <v>1832</v>
      </c>
      <c r="E393" s="49" t="s">
        <v>901</v>
      </c>
      <c r="F393" s="44" t="s">
        <v>1562</v>
      </c>
      <c r="G393" s="50">
        <v>70.0</v>
      </c>
      <c r="H393" s="47" t="s">
        <v>970</v>
      </c>
      <c r="I393" s="47" t="s">
        <v>901</v>
      </c>
      <c r="J393" s="44">
        <v>10.802019</v>
      </c>
      <c r="K393" s="48">
        <v>106.715612</v>
      </c>
    </row>
    <row r="394" ht="22.5" customHeight="1">
      <c r="A394" s="44" t="s">
        <v>138</v>
      </c>
      <c r="B394" s="44" t="s">
        <v>2054</v>
      </c>
      <c r="C394" s="44" t="s">
        <v>2055</v>
      </c>
      <c r="D394" s="44" t="s">
        <v>1087</v>
      </c>
      <c r="E394" s="49" t="s">
        <v>893</v>
      </c>
      <c r="F394" s="44" t="s">
        <v>1088</v>
      </c>
      <c r="G394" s="44">
        <v>30.0</v>
      </c>
      <c r="H394" s="47" t="s">
        <v>970</v>
      </c>
      <c r="I394" s="47" t="s">
        <v>893</v>
      </c>
      <c r="J394" s="44">
        <v>10.794642</v>
      </c>
      <c r="K394" s="48">
        <v>106.635488</v>
      </c>
    </row>
    <row r="395" ht="22.5" customHeight="1">
      <c r="A395" s="44" t="s">
        <v>80</v>
      </c>
      <c r="B395" s="44" t="s">
        <v>2056</v>
      </c>
      <c r="C395" s="44" t="s">
        <v>2057</v>
      </c>
      <c r="D395" s="44" t="s">
        <v>1236</v>
      </c>
      <c r="E395" s="49" t="s">
        <v>891</v>
      </c>
      <c r="F395" s="44" t="s">
        <v>1125</v>
      </c>
      <c r="G395" s="44">
        <v>45.0</v>
      </c>
      <c r="H395" s="47" t="s">
        <v>970</v>
      </c>
      <c r="I395" s="47" t="s">
        <v>891</v>
      </c>
      <c r="J395" s="44">
        <v>10.933132</v>
      </c>
      <c r="K395" s="48">
        <v>106.877014</v>
      </c>
    </row>
    <row r="396" ht="22.5" customHeight="1">
      <c r="A396" s="44" t="s">
        <v>2058</v>
      </c>
      <c r="B396" s="44" t="s">
        <v>2059</v>
      </c>
      <c r="C396" s="44" t="s">
        <v>2060</v>
      </c>
      <c r="D396" s="44" t="s">
        <v>1442</v>
      </c>
      <c r="E396" s="49" t="s">
        <v>813</v>
      </c>
      <c r="F396" s="44" t="s">
        <v>1015</v>
      </c>
      <c r="G396" s="44">
        <v>70.0</v>
      </c>
      <c r="H396" s="47" t="s">
        <v>970</v>
      </c>
      <c r="I396" s="47" t="s">
        <v>811</v>
      </c>
      <c r="J396" s="44">
        <v>10.758066</v>
      </c>
      <c r="K396" s="48">
        <v>106.68562</v>
      </c>
    </row>
    <row r="397" ht="22.5" customHeight="1">
      <c r="A397" s="44" t="s">
        <v>2061</v>
      </c>
      <c r="B397" s="44" t="s">
        <v>2062</v>
      </c>
      <c r="C397" s="44" t="s">
        <v>2063</v>
      </c>
      <c r="D397" s="44" t="s">
        <v>1272</v>
      </c>
      <c r="E397" s="49" t="s">
        <v>808</v>
      </c>
      <c r="F397" s="44" t="s">
        <v>998</v>
      </c>
      <c r="G397" s="44">
        <v>70.0</v>
      </c>
      <c r="H397" s="47" t="s">
        <v>970</v>
      </c>
      <c r="I397" s="47" t="s">
        <v>808</v>
      </c>
      <c r="J397" s="44">
        <v>10.75579</v>
      </c>
      <c r="K397" s="48">
        <v>106.624738</v>
      </c>
    </row>
    <row r="398" ht="22.5" customHeight="1">
      <c r="A398" s="44" t="s">
        <v>21</v>
      </c>
      <c r="B398" s="44" t="s">
        <v>2064</v>
      </c>
      <c r="C398" s="44" t="s">
        <v>1958</v>
      </c>
      <c r="D398" s="44" t="s">
        <v>1662</v>
      </c>
      <c r="E398" s="49" t="s">
        <v>891</v>
      </c>
      <c r="F398" s="44" t="s">
        <v>1125</v>
      </c>
      <c r="G398" s="44">
        <v>60.0</v>
      </c>
      <c r="H398" s="47" t="s">
        <v>970</v>
      </c>
      <c r="I398" s="47" t="s">
        <v>891</v>
      </c>
      <c r="J398" s="44">
        <v>10.951314</v>
      </c>
      <c r="K398" s="48">
        <v>106.867294</v>
      </c>
    </row>
    <row r="399" ht="22.5" customHeight="1">
      <c r="A399" s="44" t="s">
        <v>574</v>
      </c>
      <c r="B399" s="44" t="s">
        <v>2065</v>
      </c>
      <c r="C399" s="44" t="s">
        <v>2066</v>
      </c>
      <c r="D399" s="44" t="s">
        <v>2067</v>
      </c>
      <c r="E399" s="49" t="s">
        <v>900</v>
      </c>
      <c r="F399" s="44" t="s">
        <v>978</v>
      </c>
      <c r="G399" s="44">
        <v>30.0</v>
      </c>
      <c r="H399" s="47" t="s">
        <v>970</v>
      </c>
      <c r="I399" s="47" t="s">
        <v>814</v>
      </c>
      <c r="J399" s="44">
        <v>10.798892</v>
      </c>
      <c r="K399" s="48">
        <v>106.680256</v>
      </c>
    </row>
    <row r="400" ht="22.5" customHeight="1">
      <c r="A400" s="44" t="s">
        <v>71</v>
      </c>
      <c r="B400" s="44" t="s">
        <v>2068</v>
      </c>
      <c r="C400" s="44" t="s">
        <v>2069</v>
      </c>
      <c r="D400" s="44" t="s">
        <v>1857</v>
      </c>
      <c r="E400" s="49" t="s">
        <v>891</v>
      </c>
      <c r="F400" s="44" t="s">
        <v>1125</v>
      </c>
      <c r="G400" s="44">
        <v>45.0</v>
      </c>
      <c r="H400" s="47" t="s">
        <v>970</v>
      </c>
      <c r="I400" s="47" t="s">
        <v>891</v>
      </c>
      <c r="J400" s="44">
        <v>10.937123892506</v>
      </c>
      <c r="K400" s="48">
        <v>106.81253850672</v>
      </c>
    </row>
    <row r="401" ht="22.5" customHeight="1">
      <c r="A401" s="44" t="s">
        <v>453</v>
      </c>
      <c r="B401" s="44" t="s">
        <v>2070</v>
      </c>
      <c r="C401" s="44" t="s">
        <v>2071</v>
      </c>
      <c r="D401" s="44" t="s">
        <v>2072</v>
      </c>
      <c r="E401" s="49" t="s">
        <v>872</v>
      </c>
      <c r="F401" s="44" t="s">
        <v>1003</v>
      </c>
      <c r="G401" s="50">
        <v>60.0</v>
      </c>
      <c r="H401" s="47" t="s">
        <v>970</v>
      </c>
      <c r="I401" s="47" t="s">
        <v>872</v>
      </c>
      <c r="J401" s="44">
        <v>10.514141</v>
      </c>
      <c r="K401" s="48">
        <v>106.511312</v>
      </c>
    </row>
    <row r="402" ht="22.5" customHeight="1">
      <c r="A402" s="44" t="s">
        <v>2073</v>
      </c>
      <c r="B402" s="44" t="s">
        <v>2074</v>
      </c>
      <c r="C402" s="44" t="s">
        <v>2075</v>
      </c>
      <c r="D402" s="44" t="s">
        <v>1424</v>
      </c>
      <c r="E402" s="49" t="s">
        <v>822</v>
      </c>
      <c r="F402" s="44" t="s">
        <v>1284</v>
      </c>
      <c r="G402" s="44">
        <v>60.0</v>
      </c>
      <c r="H402" s="47" t="s">
        <v>970</v>
      </c>
      <c r="I402" s="47" t="s">
        <v>822</v>
      </c>
      <c r="J402" s="44">
        <v>10.761394</v>
      </c>
      <c r="K402" s="48">
        <v>106.655146</v>
      </c>
    </row>
    <row r="403" ht="22.5" customHeight="1">
      <c r="A403" s="44" t="s">
        <v>2076</v>
      </c>
      <c r="B403" s="44" t="s">
        <v>2077</v>
      </c>
      <c r="C403" s="44" t="s">
        <v>2078</v>
      </c>
      <c r="D403" s="44" t="s">
        <v>1076</v>
      </c>
      <c r="E403" s="49" t="s">
        <v>813</v>
      </c>
      <c r="F403" s="44" t="s">
        <v>1015</v>
      </c>
      <c r="G403" s="44">
        <v>76.0</v>
      </c>
      <c r="H403" s="47" t="s">
        <v>970</v>
      </c>
      <c r="I403" s="47" t="s">
        <v>813</v>
      </c>
      <c r="J403" s="44">
        <v>10.755107865789</v>
      </c>
      <c r="K403" s="48">
        <v>106.67054520738</v>
      </c>
    </row>
    <row r="404" ht="22.5" customHeight="1">
      <c r="A404" s="44" t="s">
        <v>2079</v>
      </c>
      <c r="B404" s="44" t="s">
        <v>2080</v>
      </c>
      <c r="C404" s="44" t="s">
        <v>2048</v>
      </c>
      <c r="D404" s="44" t="s">
        <v>1802</v>
      </c>
      <c r="E404" s="49" t="s">
        <v>888</v>
      </c>
      <c r="F404" s="44" t="s">
        <v>1136</v>
      </c>
      <c r="G404" s="44">
        <v>30.0</v>
      </c>
      <c r="H404" s="47" t="s">
        <v>970</v>
      </c>
      <c r="I404" s="47" t="s">
        <v>804</v>
      </c>
      <c r="J404" s="44">
        <v>10.769776</v>
      </c>
      <c r="K404" s="48">
        <v>106.690886</v>
      </c>
    </row>
    <row r="405" ht="22.5" customHeight="1">
      <c r="A405" s="44" t="s">
        <v>2081</v>
      </c>
      <c r="B405" s="44" t="s">
        <v>2082</v>
      </c>
      <c r="C405" s="44" t="s">
        <v>2083</v>
      </c>
      <c r="D405" s="44" t="s">
        <v>1036</v>
      </c>
      <c r="E405" s="49" t="s">
        <v>887</v>
      </c>
      <c r="F405" s="44" t="s">
        <v>1031</v>
      </c>
      <c r="G405" s="44">
        <v>80.0</v>
      </c>
      <c r="H405" s="47" t="s">
        <v>970</v>
      </c>
      <c r="I405" s="47" t="s">
        <v>898</v>
      </c>
      <c r="J405" s="44">
        <v>10.784496</v>
      </c>
      <c r="K405" s="48">
        <v>106.747717</v>
      </c>
    </row>
    <row r="406" ht="22.5" customHeight="1">
      <c r="A406" s="44" t="s">
        <v>551</v>
      </c>
      <c r="B406" s="44" t="s">
        <v>2084</v>
      </c>
      <c r="C406" s="44" t="s">
        <v>2085</v>
      </c>
      <c r="D406" s="44" t="s">
        <v>1219</v>
      </c>
      <c r="E406" s="49" t="s">
        <v>868</v>
      </c>
      <c r="F406" s="44" t="s">
        <v>1220</v>
      </c>
      <c r="G406" s="44">
        <v>60.0</v>
      </c>
      <c r="H406" s="47" t="s">
        <v>970</v>
      </c>
      <c r="I406" s="47" t="s">
        <v>868</v>
      </c>
      <c r="J406" s="44">
        <v>10.356942</v>
      </c>
      <c r="K406" s="48">
        <v>106.364616</v>
      </c>
    </row>
    <row r="407" ht="22.5" customHeight="1">
      <c r="A407" s="44" t="s">
        <v>2086</v>
      </c>
      <c r="B407" s="44" t="s">
        <v>2087</v>
      </c>
      <c r="C407" s="44" t="s">
        <v>2088</v>
      </c>
      <c r="D407" s="44" t="s">
        <v>1047</v>
      </c>
      <c r="E407" s="49" t="s">
        <v>889</v>
      </c>
      <c r="F407" s="44" t="s">
        <v>1043</v>
      </c>
      <c r="G407" s="44">
        <v>90.0</v>
      </c>
      <c r="H407" s="47" t="s">
        <v>970</v>
      </c>
      <c r="I407" s="47" t="s">
        <v>884</v>
      </c>
      <c r="J407" s="44">
        <v>10.798726</v>
      </c>
      <c r="K407" s="48">
        <v>106.695815</v>
      </c>
    </row>
    <row r="408" ht="22.5" customHeight="1">
      <c r="A408" s="44" t="s">
        <v>2089</v>
      </c>
      <c r="B408" s="44" t="s">
        <v>2090</v>
      </c>
      <c r="C408" s="44" t="s">
        <v>2091</v>
      </c>
      <c r="D408" s="44" t="s">
        <v>1303</v>
      </c>
      <c r="E408" s="49"/>
      <c r="F408" s="44" t="s">
        <v>1098</v>
      </c>
      <c r="G408" s="44"/>
      <c r="H408" s="47" t="s">
        <v>970</v>
      </c>
      <c r="I408" s="47" t="s">
        <v>789</v>
      </c>
      <c r="J408" s="44">
        <v>10.709293</v>
      </c>
      <c r="K408" s="48">
        <v>106.576039</v>
      </c>
    </row>
    <row r="409" ht="22.5" customHeight="1">
      <c r="A409" s="44" t="s">
        <v>2092</v>
      </c>
      <c r="B409" s="44" t="s">
        <v>2093</v>
      </c>
      <c r="C409" s="44" t="s">
        <v>2094</v>
      </c>
      <c r="D409" s="44" t="s">
        <v>1227</v>
      </c>
      <c r="E409" s="49" t="s">
        <v>890</v>
      </c>
      <c r="F409" s="44" t="s">
        <v>1228</v>
      </c>
      <c r="G409" s="44">
        <v>60.0</v>
      </c>
      <c r="H409" s="47" t="s">
        <v>970</v>
      </c>
      <c r="I409" s="47" t="s">
        <v>510</v>
      </c>
      <c r="J409" s="44">
        <v>10.871427</v>
      </c>
      <c r="K409" s="48">
        <v>106.755082</v>
      </c>
    </row>
    <row r="410" ht="22.5" customHeight="1">
      <c r="A410" s="44" t="s">
        <v>2095</v>
      </c>
      <c r="B410" s="44" t="s">
        <v>2096</v>
      </c>
      <c r="C410" s="44" t="s">
        <v>2097</v>
      </c>
      <c r="D410" s="44" t="s">
        <v>1132</v>
      </c>
      <c r="E410" s="49" t="s">
        <v>897</v>
      </c>
      <c r="F410" s="44" t="s">
        <v>1027</v>
      </c>
      <c r="G410" s="50">
        <v>60.0</v>
      </c>
      <c r="H410" s="47" t="s">
        <v>970</v>
      </c>
      <c r="I410" s="47" t="s">
        <v>897</v>
      </c>
      <c r="J410" s="44">
        <v>10.877057</v>
      </c>
      <c r="K410" s="48">
        <v>106.642853</v>
      </c>
    </row>
    <row r="411" ht="22.5" customHeight="1">
      <c r="A411" s="44" t="s">
        <v>2098</v>
      </c>
      <c r="B411" s="44" t="s">
        <v>2099</v>
      </c>
      <c r="C411" s="44" t="s">
        <v>2100</v>
      </c>
      <c r="D411" s="44" t="s">
        <v>1007</v>
      </c>
      <c r="E411" s="49" t="s">
        <v>510</v>
      </c>
      <c r="F411" s="44" t="s">
        <v>983</v>
      </c>
      <c r="G411" s="44">
        <v>66.0</v>
      </c>
      <c r="H411" s="47" t="s">
        <v>970</v>
      </c>
      <c r="I411" s="47" t="s">
        <v>510</v>
      </c>
      <c r="J411" s="44">
        <v>10.86434</v>
      </c>
      <c r="K411" s="48">
        <v>106.745671</v>
      </c>
    </row>
    <row r="412" ht="22.5" customHeight="1">
      <c r="A412" s="44" t="s">
        <v>536</v>
      </c>
      <c r="B412" s="44" t="s">
        <v>2101</v>
      </c>
      <c r="C412" s="44" t="s">
        <v>2102</v>
      </c>
      <c r="D412" s="44" t="s">
        <v>2067</v>
      </c>
      <c r="E412" s="49" t="s">
        <v>900</v>
      </c>
      <c r="F412" s="44" t="s">
        <v>978</v>
      </c>
      <c r="G412" s="44">
        <v>30.0</v>
      </c>
      <c r="H412" s="47" t="s">
        <v>970</v>
      </c>
      <c r="I412" s="47" t="s">
        <v>900</v>
      </c>
      <c r="J412" s="44">
        <v>10.792945</v>
      </c>
      <c r="K412" s="48">
        <v>106.685771</v>
      </c>
    </row>
    <row r="413" ht="22.5" customHeight="1">
      <c r="A413" s="44" t="s">
        <v>2103</v>
      </c>
      <c r="B413" s="44" t="s">
        <v>2104</v>
      </c>
      <c r="C413" s="44" t="s">
        <v>2105</v>
      </c>
      <c r="D413" s="44" t="s">
        <v>1853</v>
      </c>
      <c r="E413" s="49"/>
      <c r="F413" s="44" t="s">
        <v>1098</v>
      </c>
      <c r="G413" s="44"/>
      <c r="H413" s="47" t="s">
        <v>970</v>
      </c>
      <c r="I413" s="47" t="s">
        <v>863</v>
      </c>
      <c r="J413" s="44">
        <v>10.502738</v>
      </c>
      <c r="K413" s="48">
        <v>107.148475</v>
      </c>
    </row>
    <row r="414" ht="22.5" customHeight="1">
      <c r="A414" s="44" t="s">
        <v>2106</v>
      </c>
      <c r="B414" s="44" t="s">
        <v>2107</v>
      </c>
      <c r="C414" s="44" t="s">
        <v>2108</v>
      </c>
      <c r="D414" s="44" t="s">
        <v>2109</v>
      </c>
      <c r="E414" s="49" t="s">
        <v>891</v>
      </c>
      <c r="F414" s="44" t="s">
        <v>1125</v>
      </c>
      <c r="G414" s="50">
        <v>130.0</v>
      </c>
      <c r="H414" s="47" t="s">
        <v>970</v>
      </c>
      <c r="I414" s="47" t="s">
        <v>891</v>
      </c>
      <c r="J414" s="44">
        <v>10.881607835976</v>
      </c>
      <c r="K414" s="48">
        <v>106.99406260925</v>
      </c>
    </row>
    <row r="415" ht="22.5" customHeight="1">
      <c r="A415" s="44" t="s">
        <v>793</v>
      </c>
      <c r="B415" s="44" t="s">
        <v>2110</v>
      </c>
      <c r="C415" s="44" t="s">
        <v>2111</v>
      </c>
      <c r="D415" s="44" t="s">
        <v>1303</v>
      </c>
      <c r="E415" s="49" t="s">
        <v>789</v>
      </c>
      <c r="F415" s="44" t="s">
        <v>1168</v>
      </c>
      <c r="G415" s="44">
        <v>45.0</v>
      </c>
      <c r="H415" s="47" t="s">
        <v>970</v>
      </c>
      <c r="I415" s="47" t="s">
        <v>789</v>
      </c>
      <c r="J415" s="44">
        <v>10.704985</v>
      </c>
      <c r="K415" s="48">
        <v>106.596534</v>
      </c>
    </row>
    <row r="416" ht="22.5" customHeight="1">
      <c r="A416" s="44" t="s">
        <v>2112</v>
      </c>
      <c r="B416" s="44" t="s">
        <v>2113</v>
      </c>
      <c r="C416" s="44" t="s">
        <v>1870</v>
      </c>
      <c r="D416" s="44" t="s">
        <v>1007</v>
      </c>
      <c r="E416" s="49" t="s">
        <v>510</v>
      </c>
      <c r="F416" s="44" t="s">
        <v>983</v>
      </c>
      <c r="G416" s="50">
        <v>66.0</v>
      </c>
      <c r="H416" s="47" t="s">
        <v>970</v>
      </c>
      <c r="I416" s="47" t="s">
        <v>510</v>
      </c>
      <c r="J416" s="44">
        <v>10.86434</v>
      </c>
      <c r="K416" s="48">
        <v>106.745671</v>
      </c>
    </row>
    <row r="417" ht="22.5" customHeight="1">
      <c r="A417" s="44" t="s">
        <v>2114</v>
      </c>
      <c r="B417" s="44" t="s">
        <v>2115</v>
      </c>
      <c r="C417" s="44" t="s">
        <v>2116</v>
      </c>
      <c r="D417" s="44" t="s">
        <v>1303</v>
      </c>
      <c r="E417" s="49" t="s">
        <v>789</v>
      </c>
      <c r="F417" s="44" t="s">
        <v>1168</v>
      </c>
      <c r="G417" s="44">
        <v>60.0</v>
      </c>
      <c r="H417" s="47" t="s">
        <v>970</v>
      </c>
      <c r="I417" s="47" t="s">
        <v>789</v>
      </c>
      <c r="J417" s="44">
        <v>10.708722</v>
      </c>
      <c r="K417" s="48">
        <v>106.574097</v>
      </c>
    </row>
    <row r="418" ht="22.5" customHeight="1">
      <c r="A418" s="44" t="s">
        <v>2117</v>
      </c>
      <c r="B418" s="44" t="s">
        <v>2118</v>
      </c>
      <c r="C418" s="44" t="s">
        <v>2119</v>
      </c>
      <c r="D418" s="44" t="s">
        <v>1802</v>
      </c>
      <c r="E418" s="49" t="s">
        <v>888</v>
      </c>
      <c r="F418" s="44" t="s">
        <v>1136</v>
      </c>
      <c r="G418" s="44">
        <v>69.0</v>
      </c>
      <c r="H418" s="47" t="s">
        <v>970</v>
      </c>
      <c r="I418" s="47" t="s">
        <v>826</v>
      </c>
      <c r="J418" s="44">
        <v>10.769805</v>
      </c>
      <c r="K418" s="48">
        <v>106.685918</v>
      </c>
    </row>
    <row r="419" ht="22.5" customHeight="1">
      <c r="A419" s="44" t="s">
        <v>2120</v>
      </c>
      <c r="B419" s="44" t="s">
        <v>2121</v>
      </c>
      <c r="C419" s="44" t="s">
        <v>2122</v>
      </c>
      <c r="D419" s="44" t="s">
        <v>1929</v>
      </c>
      <c r="E419" s="49" t="s">
        <v>806</v>
      </c>
      <c r="F419" s="44" t="s">
        <v>1500</v>
      </c>
      <c r="G419" s="44">
        <v>60.0</v>
      </c>
      <c r="H419" s="47" t="s">
        <v>970</v>
      </c>
      <c r="I419" s="47" t="s">
        <v>806</v>
      </c>
      <c r="J419" s="44">
        <v>10.790102</v>
      </c>
      <c r="K419" s="48">
        <v>106.658314</v>
      </c>
    </row>
    <row r="420" ht="22.5" customHeight="1">
      <c r="A420" s="44" t="s">
        <v>813</v>
      </c>
      <c r="B420" s="44" t="s">
        <v>1015</v>
      </c>
      <c r="C420" s="44" t="s">
        <v>2123</v>
      </c>
      <c r="D420" s="44" t="s">
        <v>1076</v>
      </c>
      <c r="E420" s="49" t="s">
        <v>910</v>
      </c>
      <c r="F420" s="44" t="s">
        <v>987</v>
      </c>
      <c r="G420" s="44">
        <v>60.0</v>
      </c>
      <c r="H420" s="47" t="s">
        <v>970</v>
      </c>
      <c r="I420" s="47" t="s">
        <v>813</v>
      </c>
      <c r="J420" s="44">
        <v>10.756428</v>
      </c>
      <c r="K420" s="48">
        <v>106.673397</v>
      </c>
    </row>
    <row r="421" ht="22.5" customHeight="1">
      <c r="A421" s="44" t="s">
        <v>2124</v>
      </c>
      <c r="B421" s="44" t="s">
        <v>2125</v>
      </c>
      <c r="C421" s="44" t="s">
        <v>2126</v>
      </c>
      <c r="D421" s="44" t="s">
        <v>1051</v>
      </c>
      <c r="E421" s="49"/>
      <c r="F421" s="44" t="s">
        <v>1098</v>
      </c>
      <c r="G421" s="44"/>
      <c r="H421" s="47" t="s">
        <v>970</v>
      </c>
      <c r="I421" s="47" t="s">
        <v>863</v>
      </c>
      <c r="J421" s="44">
        <v>10.348436</v>
      </c>
      <c r="K421" s="48">
        <v>107.075255</v>
      </c>
    </row>
    <row r="422" ht="22.5" customHeight="1">
      <c r="A422" s="44" t="s">
        <v>70</v>
      </c>
      <c r="B422" s="44" t="s">
        <v>2127</v>
      </c>
      <c r="C422" s="44" t="s">
        <v>2128</v>
      </c>
      <c r="D422" s="44" t="s">
        <v>2129</v>
      </c>
      <c r="E422" s="49" t="s">
        <v>891</v>
      </c>
      <c r="F422" s="44" t="s">
        <v>1125</v>
      </c>
      <c r="G422" s="44">
        <v>60.0</v>
      </c>
      <c r="H422" s="47" t="s">
        <v>970</v>
      </c>
      <c r="I422" s="47" t="s">
        <v>891</v>
      </c>
      <c r="J422" s="44">
        <v>10.989298</v>
      </c>
      <c r="K422" s="48">
        <v>106.878573</v>
      </c>
    </row>
    <row r="423" ht="22.5" customHeight="1">
      <c r="A423" s="44" t="s">
        <v>2130</v>
      </c>
      <c r="B423" s="44" t="s">
        <v>2131</v>
      </c>
      <c r="C423" s="44" t="s">
        <v>2132</v>
      </c>
      <c r="D423" s="44" t="s">
        <v>973</v>
      </c>
      <c r="E423" s="49" t="s">
        <v>894</v>
      </c>
      <c r="F423" s="44" t="s">
        <v>974</v>
      </c>
      <c r="G423" s="50">
        <v>68.0</v>
      </c>
      <c r="H423" s="47" t="s">
        <v>970</v>
      </c>
      <c r="I423" s="47" t="s">
        <v>894</v>
      </c>
      <c r="J423" s="44">
        <v>10.737047</v>
      </c>
      <c r="K423" s="48">
        <v>106.711814</v>
      </c>
    </row>
    <row r="424" ht="22.5" customHeight="1">
      <c r="A424" s="44" t="s">
        <v>814</v>
      </c>
      <c r="B424" s="44" t="s">
        <v>1369</v>
      </c>
      <c r="C424" s="44" t="s">
        <v>2133</v>
      </c>
      <c r="D424" s="44" t="s">
        <v>1368</v>
      </c>
      <c r="E424" s="49" t="s">
        <v>910</v>
      </c>
      <c r="F424" s="44" t="s">
        <v>987</v>
      </c>
      <c r="G424" s="50">
        <v>60.0</v>
      </c>
      <c r="H424" s="47" t="s">
        <v>970</v>
      </c>
      <c r="I424" s="47" t="s">
        <v>814</v>
      </c>
      <c r="J424" s="44">
        <v>10.799748</v>
      </c>
      <c r="K424" s="48">
        <v>106.669596</v>
      </c>
    </row>
    <row r="425" ht="22.5" customHeight="1">
      <c r="A425" s="44" t="s">
        <v>2134</v>
      </c>
      <c r="B425" s="44" t="s">
        <v>2135</v>
      </c>
      <c r="C425" s="44" t="s">
        <v>2136</v>
      </c>
      <c r="D425" s="44" t="s">
        <v>1007</v>
      </c>
      <c r="E425" s="49" t="s">
        <v>510</v>
      </c>
      <c r="F425" s="44" t="s">
        <v>983</v>
      </c>
      <c r="G425" s="44">
        <v>66.0</v>
      </c>
      <c r="H425" s="47" t="s">
        <v>970</v>
      </c>
      <c r="I425" s="47" t="s">
        <v>510</v>
      </c>
      <c r="J425" s="44">
        <v>10.86434</v>
      </c>
      <c r="K425" s="48">
        <v>106.745671</v>
      </c>
    </row>
    <row r="426" ht="22.5" customHeight="1">
      <c r="A426" s="44" t="s">
        <v>2137</v>
      </c>
      <c r="B426" s="44" t="s">
        <v>2138</v>
      </c>
      <c r="C426" s="44" t="s">
        <v>2040</v>
      </c>
      <c r="D426" s="44" t="s">
        <v>1116</v>
      </c>
      <c r="E426" s="49"/>
      <c r="F426" s="44" t="s">
        <v>1098</v>
      </c>
      <c r="G426" s="44"/>
      <c r="H426" s="47" t="s">
        <v>970</v>
      </c>
      <c r="I426" s="47" t="s">
        <v>811</v>
      </c>
      <c r="J426" s="44">
        <v>10.741242439124</v>
      </c>
      <c r="K426" s="48">
        <v>106.68615097714</v>
      </c>
    </row>
    <row r="427" ht="22.5" customHeight="1">
      <c r="A427" s="44" t="s">
        <v>2139</v>
      </c>
      <c r="B427" s="44" t="s">
        <v>2140</v>
      </c>
      <c r="C427" s="44" t="s">
        <v>2141</v>
      </c>
      <c r="D427" s="44" t="s">
        <v>1051</v>
      </c>
      <c r="E427" s="49"/>
      <c r="F427" s="44" t="s">
        <v>1098</v>
      </c>
      <c r="G427" s="44"/>
      <c r="H427" s="47" t="s">
        <v>970</v>
      </c>
      <c r="I427" s="47" t="s">
        <v>863</v>
      </c>
      <c r="J427" s="44">
        <v>10.356560929222</v>
      </c>
      <c r="K427" s="48">
        <v>107.07468722772</v>
      </c>
    </row>
    <row r="428" ht="22.5" customHeight="1">
      <c r="A428" s="44" t="s">
        <v>2142</v>
      </c>
      <c r="B428" s="44" t="s">
        <v>2143</v>
      </c>
      <c r="C428" s="44" t="s">
        <v>2144</v>
      </c>
      <c r="D428" s="44" t="s">
        <v>1135</v>
      </c>
      <c r="E428" s="49" t="s">
        <v>884</v>
      </c>
      <c r="F428" s="44" t="s">
        <v>1821</v>
      </c>
      <c r="G428" s="44">
        <v>30.0</v>
      </c>
      <c r="H428" s="47" t="s">
        <v>970</v>
      </c>
      <c r="I428" s="47" t="s">
        <v>888</v>
      </c>
      <c r="J428" s="44">
        <v>10.784383</v>
      </c>
      <c r="K428" s="48">
        <v>106.699301</v>
      </c>
    </row>
    <row r="429" ht="22.5" customHeight="1">
      <c r="A429" s="44" t="s">
        <v>2145</v>
      </c>
      <c r="B429" s="44" t="s">
        <v>2146</v>
      </c>
      <c r="C429" s="44" t="s">
        <v>2147</v>
      </c>
      <c r="D429" s="44" t="s">
        <v>2148</v>
      </c>
      <c r="E429" s="49"/>
      <c r="F429" s="44" t="s">
        <v>1098</v>
      </c>
      <c r="G429" s="50"/>
      <c r="H429" s="47" t="s">
        <v>970</v>
      </c>
      <c r="I429" s="47" t="s">
        <v>863</v>
      </c>
      <c r="J429" s="44">
        <v>10.365343992804</v>
      </c>
      <c r="K429" s="48">
        <v>107.09038372881</v>
      </c>
    </row>
    <row r="430" ht="22.5" customHeight="1">
      <c r="A430" s="44" t="s">
        <v>2149</v>
      </c>
      <c r="B430" s="44" t="s">
        <v>2150</v>
      </c>
      <c r="C430" s="44" t="s">
        <v>2151</v>
      </c>
      <c r="D430" s="44" t="s">
        <v>2152</v>
      </c>
      <c r="E430" s="49"/>
      <c r="F430" s="44" t="s">
        <v>1098</v>
      </c>
      <c r="G430" s="44"/>
      <c r="H430" s="47" t="s">
        <v>970</v>
      </c>
      <c r="I430" s="47" t="s">
        <v>863</v>
      </c>
      <c r="J430" s="44">
        <v>10.390196380102</v>
      </c>
      <c r="K430" s="48">
        <v>107.1039403191</v>
      </c>
    </row>
    <row r="431" ht="22.5" customHeight="1">
      <c r="A431" s="44" t="s">
        <v>2153</v>
      </c>
      <c r="B431" s="44" t="s">
        <v>2154</v>
      </c>
      <c r="C431" s="44" t="s">
        <v>2155</v>
      </c>
      <c r="D431" s="44" t="s">
        <v>2152</v>
      </c>
      <c r="E431" s="49"/>
      <c r="F431" s="44" t="s">
        <v>1098</v>
      </c>
      <c r="G431" s="44"/>
      <c r="H431" s="47" t="s">
        <v>970</v>
      </c>
      <c r="I431" s="47" t="s">
        <v>863</v>
      </c>
      <c r="J431" s="44">
        <v>10.392684770505</v>
      </c>
      <c r="K431" s="48">
        <v>107.11809652207</v>
      </c>
    </row>
    <row r="432" ht="22.5" customHeight="1">
      <c r="A432" s="44" t="s">
        <v>2156</v>
      </c>
      <c r="B432" s="44" t="s">
        <v>2157</v>
      </c>
      <c r="C432" s="44" t="s">
        <v>2158</v>
      </c>
      <c r="D432" s="44" t="s">
        <v>2129</v>
      </c>
      <c r="E432" s="49"/>
      <c r="F432" s="44" t="s">
        <v>1098</v>
      </c>
      <c r="G432" s="50"/>
      <c r="H432" s="47" t="s">
        <v>970</v>
      </c>
      <c r="I432" s="47" t="s">
        <v>891</v>
      </c>
      <c r="J432" s="44">
        <v>10.974237</v>
      </c>
      <c r="K432" s="48">
        <v>106.860069</v>
      </c>
    </row>
    <row r="433" ht="22.5" customHeight="1">
      <c r="A433" s="44" t="s">
        <v>2159</v>
      </c>
      <c r="B433" s="44" t="s">
        <v>2160</v>
      </c>
      <c r="C433" s="44" t="s">
        <v>2161</v>
      </c>
      <c r="D433" s="44" t="s">
        <v>1007</v>
      </c>
      <c r="E433" s="49" t="s">
        <v>510</v>
      </c>
      <c r="F433" s="44" t="s">
        <v>983</v>
      </c>
      <c r="G433" s="44">
        <v>66.0</v>
      </c>
      <c r="H433" s="47" t="s">
        <v>970</v>
      </c>
      <c r="I433" s="47" t="s">
        <v>510</v>
      </c>
      <c r="J433" s="44">
        <v>10.863078</v>
      </c>
      <c r="K433" s="48">
        <v>106.745325</v>
      </c>
    </row>
    <row r="434" ht="22.5" customHeight="1">
      <c r="A434" s="44" t="s">
        <v>2162</v>
      </c>
      <c r="B434" s="44" t="s">
        <v>2163</v>
      </c>
      <c r="C434" s="44" t="s">
        <v>2164</v>
      </c>
      <c r="D434" s="44" t="s">
        <v>990</v>
      </c>
      <c r="E434" s="49"/>
      <c r="F434" s="44" t="s">
        <v>1098</v>
      </c>
      <c r="G434" s="44"/>
      <c r="H434" s="47" t="s">
        <v>970</v>
      </c>
      <c r="I434" s="47" t="s">
        <v>894</v>
      </c>
      <c r="J434" s="44">
        <v>10.734458</v>
      </c>
      <c r="K434" s="48">
        <v>106.717799</v>
      </c>
    </row>
    <row r="435" ht="22.5" customHeight="1">
      <c r="A435" s="44" t="s">
        <v>2165</v>
      </c>
      <c r="B435" s="44" t="s">
        <v>2166</v>
      </c>
      <c r="C435" s="44" t="s">
        <v>2167</v>
      </c>
      <c r="D435" s="44" t="s">
        <v>1180</v>
      </c>
      <c r="E435" s="49" t="s">
        <v>892</v>
      </c>
      <c r="F435" s="44" t="s">
        <v>1108</v>
      </c>
      <c r="G435" s="50">
        <v>60.0</v>
      </c>
      <c r="H435" s="47" t="s">
        <v>970</v>
      </c>
      <c r="I435" s="47" t="s">
        <v>892</v>
      </c>
      <c r="J435" s="44">
        <v>10.985123</v>
      </c>
      <c r="K435" s="48">
        <v>106.666156</v>
      </c>
    </row>
    <row r="436" ht="22.5" customHeight="1">
      <c r="A436" s="44" t="s">
        <v>2168</v>
      </c>
      <c r="B436" s="44" t="s">
        <v>2169</v>
      </c>
      <c r="C436" s="44" t="s">
        <v>2170</v>
      </c>
      <c r="D436" s="44" t="s">
        <v>1905</v>
      </c>
      <c r="E436" s="49" t="s">
        <v>890</v>
      </c>
      <c r="F436" s="44" t="s">
        <v>1228</v>
      </c>
      <c r="G436" s="44">
        <v>60.0</v>
      </c>
      <c r="H436" s="47" t="s">
        <v>970</v>
      </c>
      <c r="I436" s="47" t="s">
        <v>890</v>
      </c>
      <c r="J436" s="44">
        <v>10.889034</v>
      </c>
      <c r="K436" s="48">
        <v>106.777296</v>
      </c>
    </row>
    <row r="437" ht="22.5" customHeight="1">
      <c r="A437" s="44" t="s">
        <v>2171</v>
      </c>
      <c r="B437" s="44" t="s">
        <v>2172</v>
      </c>
      <c r="C437" s="44" t="s">
        <v>2173</v>
      </c>
      <c r="D437" s="44" t="s">
        <v>1470</v>
      </c>
      <c r="E437" s="49" t="s">
        <v>883</v>
      </c>
      <c r="F437" s="44" t="s">
        <v>1471</v>
      </c>
      <c r="G437" s="44">
        <v>90.0</v>
      </c>
      <c r="H437" s="47" t="s">
        <v>970</v>
      </c>
      <c r="I437" s="47" t="s">
        <v>883</v>
      </c>
      <c r="J437" s="44">
        <v>10.931772</v>
      </c>
      <c r="K437" s="48">
        <v>106.686127</v>
      </c>
    </row>
    <row r="438" ht="22.5" customHeight="1">
      <c r="A438" s="44" t="s">
        <v>617</v>
      </c>
      <c r="B438" s="44" t="s">
        <v>2174</v>
      </c>
      <c r="C438" s="44" t="s">
        <v>2175</v>
      </c>
      <c r="D438" s="44" t="s">
        <v>1668</v>
      </c>
      <c r="E438" s="49" t="s">
        <v>797</v>
      </c>
      <c r="F438" s="44" t="s">
        <v>1409</v>
      </c>
      <c r="G438" s="44">
        <v>30.0</v>
      </c>
      <c r="H438" s="47" t="s">
        <v>970</v>
      </c>
      <c r="I438" s="47" t="s">
        <v>797</v>
      </c>
      <c r="J438" s="44">
        <v>10.893699</v>
      </c>
      <c r="K438" s="48">
        <v>106.612315</v>
      </c>
    </row>
    <row r="439" ht="22.5" customHeight="1">
      <c r="A439" s="44" t="s">
        <v>2176</v>
      </c>
      <c r="B439" s="44" t="s">
        <v>2177</v>
      </c>
      <c r="C439" s="44" t="s">
        <v>2178</v>
      </c>
      <c r="D439" s="44" t="s">
        <v>2179</v>
      </c>
      <c r="E439" s="49"/>
      <c r="F439" s="44" t="s">
        <v>1098</v>
      </c>
      <c r="G439" s="50"/>
      <c r="H439" s="47" t="s">
        <v>970</v>
      </c>
      <c r="I439" s="47" t="s">
        <v>898</v>
      </c>
      <c r="J439" s="44">
        <v>10.745264</v>
      </c>
      <c r="K439" s="48">
        <v>106.918996</v>
      </c>
    </row>
    <row r="440" ht="22.5" customHeight="1">
      <c r="A440" s="44" t="s">
        <v>83</v>
      </c>
      <c r="B440" s="44" t="s">
        <v>2180</v>
      </c>
      <c r="C440" s="44" t="s">
        <v>2181</v>
      </c>
      <c r="D440" s="44" t="s">
        <v>1662</v>
      </c>
      <c r="E440" s="49" t="s">
        <v>891</v>
      </c>
      <c r="F440" s="44" t="s">
        <v>1125</v>
      </c>
      <c r="G440" s="44">
        <v>60.0</v>
      </c>
      <c r="H440" s="47" t="s">
        <v>970</v>
      </c>
      <c r="I440" s="47" t="s">
        <v>891</v>
      </c>
      <c r="J440" s="44">
        <v>10.956205794925</v>
      </c>
      <c r="K440" s="48">
        <v>106.87436924427</v>
      </c>
    </row>
    <row r="441" ht="22.5" customHeight="1">
      <c r="A441" s="44" t="s">
        <v>2182</v>
      </c>
      <c r="B441" s="44" t="s">
        <v>2183</v>
      </c>
      <c r="C441" s="44" t="s">
        <v>2184</v>
      </c>
      <c r="D441" s="44" t="s">
        <v>1929</v>
      </c>
      <c r="E441" s="49" t="s">
        <v>806</v>
      </c>
      <c r="F441" s="44" t="s">
        <v>1500</v>
      </c>
      <c r="G441" s="44">
        <v>60.0</v>
      </c>
      <c r="H441" s="47" t="s">
        <v>970</v>
      </c>
      <c r="I441" s="47" t="s">
        <v>806</v>
      </c>
      <c r="J441" s="44">
        <v>10.790563</v>
      </c>
      <c r="K441" s="48">
        <v>106.653435</v>
      </c>
    </row>
    <row r="442" ht="22.5" customHeight="1">
      <c r="A442" s="44" t="s">
        <v>2185</v>
      </c>
      <c r="B442" s="44" t="s">
        <v>2186</v>
      </c>
      <c r="C442" s="44" t="s">
        <v>2187</v>
      </c>
      <c r="D442" s="44" t="s">
        <v>2148</v>
      </c>
      <c r="E442" s="49" t="s">
        <v>863</v>
      </c>
      <c r="F442" s="44" t="s">
        <v>1052</v>
      </c>
      <c r="G442" s="44">
        <v>60.0</v>
      </c>
      <c r="H442" s="47" t="s">
        <v>970</v>
      </c>
      <c r="I442" s="47" t="s">
        <v>863</v>
      </c>
      <c r="J442" s="44">
        <v>10.364763363403</v>
      </c>
      <c r="K442" s="48">
        <v>107.09332280076</v>
      </c>
    </row>
    <row r="443" ht="22.5" customHeight="1">
      <c r="A443" s="44" t="s">
        <v>2188</v>
      </c>
      <c r="B443" s="44" t="s">
        <v>2189</v>
      </c>
      <c r="C443" s="44" t="s">
        <v>2190</v>
      </c>
      <c r="D443" s="44" t="s">
        <v>2191</v>
      </c>
      <c r="E443" s="49"/>
      <c r="F443" s="44" t="s">
        <v>1098</v>
      </c>
      <c r="G443" s="44"/>
      <c r="H443" s="47" t="s">
        <v>970</v>
      </c>
      <c r="I443" s="47" t="s">
        <v>891</v>
      </c>
      <c r="J443" s="44">
        <v>11.530417</v>
      </c>
      <c r="K443" s="48">
        <v>107.808784</v>
      </c>
    </row>
    <row r="444" ht="22.5" customHeight="1">
      <c r="A444" s="44" t="s">
        <v>2192</v>
      </c>
      <c r="B444" s="44" t="s">
        <v>2193</v>
      </c>
      <c r="C444" s="44" t="s">
        <v>1938</v>
      </c>
      <c r="D444" s="44" t="s">
        <v>1939</v>
      </c>
      <c r="E444" s="49" t="s">
        <v>510</v>
      </c>
      <c r="F444" s="44" t="s">
        <v>983</v>
      </c>
      <c r="G444" s="44">
        <v>90.0</v>
      </c>
      <c r="H444" s="47" t="s">
        <v>970</v>
      </c>
      <c r="I444" s="47" t="s">
        <v>895</v>
      </c>
      <c r="J444" s="44">
        <v>10.861491</v>
      </c>
      <c r="K444" s="48">
        <v>106.780439</v>
      </c>
    </row>
    <row r="445" ht="22.5" customHeight="1">
      <c r="A445" s="44" t="s">
        <v>2194</v>
      </c>
      <c r="B445" s="44" t="s">
        <v>2195</v>
      </c>
      <c r="C445" s="44" t="s">
        <v>2196</v>
      </c>
      <c r="D445" s="44" t="s">
        <v>1433</v>
      </c>
      <c r="E445" s="49"/>
      <c r="F445" s="44" t="s">
        <v>1098</v>
      </c>
      <c r="G445" s="44"/>
      <c r="H445" s="47" t="s">
        <v>970</v>
      </c>
      <c r="I445" s="47" t="s">
        <v>813</v>
      </c>
      <c r="J445" s="44">
        <v>10.761697</v>
      </c>
      <c r="K445" s="48">
        <v>106.670896</v>
      </c>
    </row>
    <row r="446" ht="22.5" customHeight="1">
      <c r="A446" s="44" t="s">
        <v>2197</v>
      </c>
      <c r="B446" s="44" t="s">
        <v>2198</v>
      </c>
      <c r="C446" s="44" t="s">
        <v>2199</v>
      </c>
      <c r="D446" s="44" t="s">
        <v>2200</v>
      </c>
      <c r="E446" s="49" t="s">
        <v>789</v>
      </c>
      <c r="F446" s="44" t="s">
        <v>1168</v>
      </c>
      <c r="G446" s="44">
        <v>90.0</v>
      </c>
      <c r="H446" s="47" t="s">
        <v>970</v>
      </c>
      <c r="I446" s="47" t="s">
        <v>820</v>
      </c>
      <c r="J446" s="44">
        <v>10.772557</v>
      </c>
      <c r="K446" s="48">
        <v>106.581427</v>
      </c>
    </row>
    <row r="447" ht="22.5" customHeight="1">
      <c r="A447" s="44" t="s">
        <v>2201</v>
      </c>
      <c r="B447" s="44" t="s">
        <v>2202</v>
      </c>
      <c r="C447" s="44" t="s">
        <v>2203</v>
      </c>
      <c r="D447" s="44" t="s">
        <v>1104</v>
      </c>
      <c r="E447" s="49" t="s">
        <v>893</v>
      </c>
      <c r="F447" s="44" t="s">
        <v>1088</v>
      </c>
      <c r="G447" s="44">
        <v>75.0</v>
      </c>
      <c r="H447" s="47" t="s">
        <v>970</v>
      </c>
      <c r="I447" s="47" t="s">
        <v>820</v>
      </c>
      <c r="J447" s="44">
        <v>10.782465</v>
      </c>
      <c r="K447" s="48">
        <v>106.621403</v>
      </c>
    </row>
    <row r="448" ht="22.5" customHeight="1">
      <c r="A448" s="44" t="s">
        <v>2204</v>
      </c>
      <c r="B448" s="44" t="s">
        <v>2205</v>
      </c>
      <c r="C448" s="44" t="s">
        <v>2206</v>
      </c>
      <c r="D448" s="44" t="s">
        <v>1433</v>
      </c>
      <c r="E448" s="49" t="s">
        <v>910</v>
      </c>
      <c r="F448" s="44" t="s">
        <v>987</v>
      </c>
      <c r="G448" s="44">
        <v>30.0</v>
      </c>
      <c r="H448" s="47" t="s">
        <v>970</v>
      </c>
      <c r="I448" s="47" t="s">
        <v>910</v>
      </c>
      <c r="J448" s="44">
        <v>10.773346</v>
      </c>
      <c r="K448" s="48">
        <v>106.67722</v>
      </c>
    </row>
    <row r="449" ht="22.5" customHeight="1">
      <c r="A449" s="44" t="s">
        <v>2207</v>
      </c>
      <c r="B449" s="44" t="s">
        <v>2208</v>
      </c>
      <c r="C449" s="44" t="s">
        <v>1835</v>
      </c>
      <c r="D449" s="44" t="s">
        <v>1111</v>
      </c>
      <c r="E449" s="49" t="s">
        <v>789</v>
      </c>
      <c r="F449" s="44" t="s">
        <v>1168</v>
      </c>
      <c r="G449" s="44">
        <v>69.0</v>
      </c>
      <c r="H449" s="47" t="s">
        <v>970</v>
      </c>
      <c r="I449" s="47" t="s">
        <v>820</v>
      </c>
      <c r="J449" s="44">
        <v>10.76436</v>
      </c>
      <c r="K449" s="48">
        <v>106.60321</v>
      </c>
    </row>
    <row r="450" ht="22.5" customHeight="1">
      <c r="A450" s="44" t="s">
        <v>834</v>
      </c>
      <c r="B450" s="44" t="s">
        <v>2209</v>
      </c>
      <c r="C450" s="44" t="s">
        <v>2210</v>
      </c>
      <c r="D450" s="44" t="s">
        <v>1007</v>
      </c>
      <c r="E450" s="49" t="s">
        <v>510</v>
      </c>
      <c r="F450" s="44" t="s">
        <v>983</v>
      </c>
      <c r="G450" s="44">
        <v>70.0</v>
      </c>
      <c r="H450" s="47" t="s">
        <v>970</v>
      </c>
      <c r="I450" s="47" t="s">
        <v>510</v>
      </c>
      <c r="J450" s="44">
        <v>10.865951991132</v>
      </c>
      <c r="K450" s="48">
        <v>106.74008164302</v>
      </c>
    </row>
    <row r="451" ht="22.5" customHeight="1">
      <c r="A451" s="44" t="s">
        <v>831</v>
      </c>
      <c r="B451" s="44" t="s">
        <v>2211</v>
      </c>
      <c r="C451" s="44" t="s">
        <v>2212</v>
      </c>
      <c r="D451" s="44" t="s">
        <v>2067</v>
      </c>
      <c r="E451" s="49" t="s">
        <v>900</v>
      </c>
      <c r="F451" s="44" t="s">
        <v>978</v>
      </c>
      <c r="G451" s="44">
        <v>60.0</v>
      </c>
      <c r="H451" s="47" t="s">
        <v>970</v>
      </c>
      <c r="I451" s="47" t="s">
        <v>900</v>
      </c>
      <c r="J451" s="44">
        <v>10.798652</v>
      </c>
      <c r="K451" s="48">
        <v>106.681984</v>
      </c>
    </row>
    <row r="452" ht="22.5" customHeight="1">
      <c r="A452" s="44" t="s">
        <v>2213</v>
      </c>
      <c r="B452" s="44" t="s">
        <v>2214</v>
      </c>
      <c r="C452" s="44" t="s">
        <v>2215</v>
      </c>
      <c r="D452" s="44" t="s">
        <v>1433</v>
      </c>
      <c r="E452" s="49"/>
      <c r="F452" s="44" t="s">
        <v>1098</v>
      </c>
      <c r="G452" s="44"/>
      <c r="H452" s="47" t="s">
        <v>970</v>
      </c>
      <c r="I452" s="47" t="s">
        <v>813</v>
      </c>
      <c r="J452" s="44">
        <v>10.764421</v>
      </c>
      <c r="K452" s="48">
        <v>106.672116</v>
      </c>
    </row>
    <row r="453" ht="22.5" customHeight="1">
      <c r="A453" s="44" t="s">
        <v>2216</v>
      </c>
      <c r="B453" s="44" t="s">
        <v>2217</v>
      </c>
      <c r="C453" s="44" t="s">
        <v>2218</v>
      </c>
      <c r="D453" s="44" t="s">
        <v>1528</v>
      </c>
      <c r="E453" s="49" t="s">
        <v>910</v>
      </c>
      <c r="F453" s="44" t="s">
        <v>987</v>
      </c>
      <c r="G453" s="44">
        <v>69.0</v>
      </c>
      <c r="H453" s="47" t="s">
        <v>970</v>
      </c>
      <c r="I453" s="47" t="s">
        <v>910</v>
      </c>
      <c r="J453" s="44">
        <v>10.771465</v>
      </c>
      <c r="K453" s="48">
        <v>106.677846</v>
      </c>
    </row>
    <row r="454" ht="22.5" customHeight="1">
      <c r="A454" s="44" t="s">
        <v>2219</v>
      </c>
      <c r="B454" s="44" t="s">
        <v>2220</v>
      </c>
      <c r="C454" s="44" t="s">
        <v>2221</v>
      </c>
      <c r="D454" s="44" t="s">
        <v>977</v>
      </c>
      <c r="E454" s="49" t="s">
        <v>900</v>
      </c>
      <c r="F454" s="44" t="s">
        <v>978</v>
      </c>
      <c r="G454" s="44">
        <v>69.0</v>
      </c>
      <c r="H454" s="47" t="s">
        <v>970</v>
      </c>
      <c r="I454" s="47" t="s">
        <v>902</v>
      </c>
      <c r="J454" s="44">
        <v>10.790097</v>
      </c>
      <c r="K454" s="48">
        <v>106.676961</v>
      </c>
    </row>
    <row r="455" ht="22.5" customHeight="1">
      <c r="A455" s="44" t="s">
        <v>189</v>
      </c>
      <c r="B455" s="44" t="s">
        <v>2222</v>
      </c>
      <c r="C455" s="44" t="s">
        <v>2223</v>
      </c>
      <c r="D455" s="44" t="s">
        <v>1030</v>
      </c>
      <c r="E455" s="49" t="s">
        <v>887</v>
      </c>
      <c r="F455" s="44" t="s">
        <v>1031</v>
      </c>
      <c r="G455" s="44">
        <v>74.0</v>
      </c>
      <c r="H455" s="47" t="s">
        <v>970</v>
      </c>
      <c r="I455" s="47" t="s">
        <v>832</v>
      </c>
      <c r="J455" s="44">
        <v>10.806053</v>
      </c>
      <c r="K455" s="48">
        <v>106.734176</v>
      </c>
    </row>
    <row r="456" ht="22.5" customHeight="1">
      <c r="A456" s="44" t="s">
        <v>841</v>
      </c>
      <c r="B456" s="44" t="s">
        <v>2224</v>
      </c>
      <c r="C456" s="44" t="s">
        <v>2225</v>
      </c>
      <c r="D456" s="44" t="s">
        <v>1180</v>
      </c>
      <c r="E456" s="49" t="s">
        <v>892</v>
      </c>
      <c r="F456" s="44" t="s">
        <v>1108</v>
      </c>
      <c r="G456" s="44">
        <v>60.0</v>
      </c>
      <c r="H456" s="47" t="s">
        <v>970</v>
      </c>
      <c r="I456" s="47" t="s">
        <v>892</v>
      </c>
      <c r="J456" s="44">
        <v>10.985836</v>
      </c>
      <c r="K456" s="48">
        <v>106.679309</v>
      </c>
    </row>
    <row r="457" ht="22.5" customHeight="1">
      <c r="A457" s="44" t="s">
        <v>840</v>
      </c>
      <c r="B457" s="44" t="s">
        <v>2226</v>
      </c>
      <c r="C457" s="44" t="s">
        <v>2227</v>
      </c>
      <c r="D457" s="44" t="s">
        <v>1227</v>
      </c>
      <c r="E457" s="49" t="s">
        <v>890</v>
      </c>
      <c r="F457" s="44" t="s">
        <v>1228</v>
      </c>
      <c r="G457" s="44">
        <v>60.0</v>
      </c>
      <c r="H457" s="47" t="s">
        <v>970</v>
      </c>
      <c r="I457" s="47" t="s">
        <v>890</v>
      </c>
      <c r="J457" s="44">
        <v>10.903254587902</v>
      </c>
      <c r="K457" s="48">
        <v>106.75546707538</v>
      </c>
    </row>
    <row r="458" ht="22.5" customHeight="1">
      <c r="A458" s="44" t="s">
        <v>847</v>
      </c>
      <c r="B458" s="44" t="s">
        <v>2228</v>
      </c>
      <c r="C458" s="44" t="s">
        <v>1006</v>
      </c>
      <c r="D458" s="44" t="s">
        <v>1939</v>
      </c>
      <c r="E458" s="49"/>
      <c r="F458" s="44" t="s">
        <v>1098</v>
      </c>
      <c r="G458" s="44"/>
      <c r="H458" s="47" t="s">
        <v>970</v>
      </c>
      <c r="I458" s="47" t="s">
        <v>510</v>
      </c>
      <c r="J458" s="44">
        <v>10.864332</v>
      </c>
      <c r="K458" s="48">
        <v>106.745598</v>
      </c>
    </row>
    <row r="459" ht="22.5" customHeight="1">
      <c r="A459" s="44" t="s">
        <v>2229</v>
      </c>
      <c r="B459" s="44" t="s">
        <v>2230</v>
      </c>
      <c r="C459" s="44" t="s">
        <v>2231</v>
      </c>
      <c r="D459" s="44" t="s">
        <v>2232</v>
      </c>
      <c r="E459" s="49" t="s">
        <v>896</v>
      </c>
      <c r="F459" s="44" t="s">
        <v>1395</v>
      </c>
      <c r="G459" s="44">
        <v>75.0</v>
      </c>
      <c r="H459" s="47" t="s">
        <v>970</v>
      </c>
      <c r="I459" s="47" t="s">
        <v>896</v>
      </c>
      <c r="J459" s="44">
        <v>10.823721</v>
      </c>
      <c r="K459" s="48">
        <v>106.637188</v>
      </c>
    </row>
    <row r="460" ht="22.5" customHeight="1">
      <c r="A460" s="44" t="s">
        <v>2233</v>
      </c>
      <c r="B460" s="44" t="s">
        <v>2234</v>
      </c>
      <c r="C460" s="44" t="s">
        <v>2235</v>
      </c>
      <c r="D460" s="44" t="s">
        <v>1076</v>
      </c>
      <c r="E460" s="49" t="s">
        <v>813</v>
      </c>
      <c r="F460" s="44" t="s">
        <v>1015</v>
      </c>
      <c r="G460" s="44">
        <v>46.0</v>
      </c>
      <c r="H460" s="47" t="s">
        <v>970</v>
      </c>
      <c r="I460" s="47" t="s">
        <v>813</v>
      </c>
      <c r="J460" s="44">
        <v>10.757117</v>
      </c>
      <c r="K460" s="48">
        <v>106.673655</v>
      </c>
    </row>
    <row r="461" ht="22.5" customHeight="1">
      <c r="A461" s="44" t="s">
        <v>794</v>
      </c>
      <c r="B461" s="44" t="s">
        <v>2236</v>
      </c>
      <c r="C461" s="44" t="s">
        <v>2237</v>
      </c>
      <c r="D461" s="44" t="s">
        <v>1378</v>
      </c>
      <c r="E461" s="49" t="s">
        <v>892</v>
      </c>
      <c r="F461" s="44" t="s">
        <v>1108</v>
      </c>
      <c r="G461" s="44">
        <v>60.0</v>
      </c>
      <c r="H461" s="47" t="s">
        <v>970</v>
      </c>
      <c r="I461" s="47" t="s">
        <v>891</v>
      </c>
      <c r="J461" s="44">
        <v>11.085435</v>
      </c>
      <c r="K461" s="48">
        <v>106.780273</v>
      </c>
    </row>
    <row r="462" ht="22.5" customHeight="1">
      <c r="A462" s="44" t="s">
        <v>2238</v>
      </c>
      <c r="B462" s="44" t="s">
        <v>2239</v>
      </c>
      <c r="C462" s="44" t="s">
        <v>2240</v>
      </c>
      <c r="D462" s="44" t="s">
        <v>1378</v>
      </c>
      <c r="E462" s="49" t="s">
        <v>892</v>
      </c>
      <c r="F462" s="44" t="s">
        <v>1108</v>
      </c>
      <c r="G462" s="44">
        <v>120.0</v>
      </c>
      <c r="H462" s="47" t="s">
        <v>970</v>
      </c>
      <c r="I462" s="47" t="s">
        <v>891</v>
      </c>
      <c r="J462" s="44">
        <v>11.077951</v>
      </c>
      <c r="K462" s="48">
        <v>106.797295</v>
      </c>
    </row>
    <row r="463" ht="22.5" customHeight="1">
      <c r="A463" s="44" t="s">
        <v>2241</v>
      </c>
      <c r="B463" s="44" t="s">
        <v>2242</v>
      </c>
      <c r="C463" s="44" t="s">
        <v>2240</v>
      </c>
      <c r="D463" s="44" t="s">
        <v>1378</v>
      </c>
      <c r="E463" s="49"/>
      <c r="F463" s="44" t="s">
        <v>1098</v>
      </c>
      <c r="G463" s="44"/>
      <c r="H463" s="47" t="s">
        <v>970</v>
      </c>
      <c r="I463" s="47" t="s">
        <v>891</v>
      </c>
      <c r="J463" s="44">
        <v>11.0779513</v>
      </c>
      <c r="K463" s="48">
        <v>106.7972949</v>
      </c>
    </row>
    <row r="464" ht="22.5" customHeight="1">
      <c r="A464" s="44" t="s">
        <v>2243</v>
      </c>
      <c r="B464" s="44" t="s">
        <v>2244</v>
      </c>
      <c r="C464" s="44" t="s">
        <v>2245</v>
      </c>
      <c r="D464" s="44" t="s">
        <v>1272</v>
      </c>
      <c r="E464" s="49" t="s">
        <v>808</v>
      </c>
      <c r="F464" s="44" t="s">
        <v>998</v>
      </c>
      <c r="G464" s="50">
        <v>60.0</v>
      </c>
      <c r="H464" s="47" t="s">
        <v>970</v>
      </c>
      <c r="I464" s="47" t="s">
        <v>808</v>
      </c>
      <c r="J464" s="44">
        <v>10.752021</v>
      </c>
      <c r="K464" s="48">
        <v>106.632039</v>
      </c>
    </row>
    <row r="465" ht="22.5" customHeight="1">
      <c r="A465" s="44" t="s">
        <v>532</v>
      </c>
      <c r="B465" s="44" t="s">
        <v>2246</v>
      </c>
      <c r="C465" s="44" t="s">
        <v>2247</v>
      </c>
      <c r="D465" s="44" t="s">
        <v>1167</v>
      </c>
      <c r="E465" s="49" t="s">
        <v>789</v>
      </c>
      <c r="F465" s="44" t="s">
        <v>1168</v>
      </c>
      <c r="G465" s="44">
        <v>54.0</v>
      </c>
      <c r="H465" s="47" t="s">
        <v>970</v>
      </c>
      <c r="I465" s="47" t="s">
        <v>789</v>
      </c>
      <c r="J465" s="44">
        <v>10.740969</v>
      </c>
      <c r="K465" s="48">
        <v>106.609135</v>
      </c>
    </row>
    <row r="466" ht="22.5" customHeight="1">
      <c r="A466" s="44" t="s">
        <v>2248</v>
      </c>
      <c r="B466" s="44" t="s">
        <v>2249</v>
      </c>
      <c r="C466" s="44" t="s">
        <v>2250</v>
      </c>
      <c r="D466" s="44" t="s">
        <v>1087</v>
      </c>
      <c r="E466" s="49" t="s">
        <v>893</v>
      </c>
      <c r="F466" s="44" t="s">
        <v>1088</v>
      </c>
      <c r="G466" s="44">
        <v>75.0</v>
      </c>
      <c r="H466" s="47" t="s">
        <v>970</v>
      </c>
      <c r="I466" s="47" t="s">
        <v>893</v>
      </c>
      <c r="J466" s="44">
        <v>10.796835</v>
      </c>
      <c r="K466" s="48">
        <v>106.633258</v>
      </c>
    </row>
    <row r="467" ht="22.5" customHeight="1">
      <c r="A467" s="44" t="s">
        <v>2251</v>
      </c>
      <c r="B467" s="44" t="s">
        <v>2252</v>
      </c>
      <c r="C467" s="44" t="s">
        <v>2253</v>
      </c>
      <c r="D467" s="44" t="s">
        <v>1167</v>
      </c>
      <c r="E467" s="49"/>
      <c r="F467" s="44" t="s">
        <v>1098</v>
      </c>
      <c r="G467" s="44"/>
      <c r="H467" s="47" t="s">
        <v>970</v>
      </c>
      <c r="I467" s="47" t="s">
        <v>789</v>
      </c>
      <c r="J467" s="44">
        <v>10.746052</v>
      </c>
      <c r="K467" s="48">
        <v>106.612337</v>
      </c>
    </row>
    <row r="468" ht="22.5" customHeight="1">
      <c r="A468" s="44" t="s">
        <v>84</v>
      </c>
      <c r="B468" s="44" t="s">
        <v>2254</v>
      </c>
      <c r="C468" s="44" t="s">
        <v>2255</v>
      </c>
      <c r="D468" s="44" t="s">
        <v>1779</v>
      </c>
      <c r="E468" s="49" t="s">
        <v>891</v>
      </c>
      <c r="F468" s="44" t="s">
        <v>1125</v>
      </c>
      <c r="G468" s="44">
        <v>30.0</v>
      </c>
      <c r="H468" s="47" t="s">
        <v>970</v>
      </c>
      <c r="I468" s="47" t="s">
        <v>891</v>
      </c>
      <c r="J468" s="44">
        <v>10.956342</v>
      </c>
      <c r="K468" s="48">
        <v>106.805403</v>
      </c>
    </row>
    <row r="469" ht="22.5" customHeight="1">
      <c r="A469" s="44" t="s">
        <v>2256</v>
      </c>
      <c r="B469" s="44" t="s">
        <v>2257</v>
      </c>
      <c r="C469" s="44" t="s">
        <v>1427</v>
      </c>
      <c r="D469" s="44" t="s">
        <v>1120</v>
      </c>
      <c r="E469" s="49" t="s">
        <v>895</v>
      </c>
      <c r="F469" s="44" t="s">
        <v>1121</v>
      </c>
      <c r="G469" s="44">
        <v>72.0</v>
      </c>
      <c r="H469" s="47" t="s">
        <v>970</v>
      </c>
      <c r="I469" s="47" t="s">
        <v>895</v>
      </c>
      <c r="J469" s="44">
        <v>10.844929</v>
      </c>
      <c r="K469" s="48">
        <v>106.790001</v>
      </c>
    </row>
    <row r="470" ht="22.5" customHeight="1">
      <c r="A470" s="44" t="s">
        <v>856</v>
      </c>
      <c r="B470" s="44" t="s">
        <v>2258</v>
      </c>
      <c r="C470" s="44" t="s">
        <v>2259</v>
      </c>
      <c r="D470" s="44" t="s">
        <v>1107</v>
      </c>
      <c r="E470" s="49" t="s">
        <v>883</v>
      </c>
      <c r="F470" s="44" t="s">
        <v>1471</v>
      </c>
      <c r="G470" s="44">
        <v>85.0</v>
      </c>
      <c r="H470" s="47" t="s">
        <v>970</v>
      </c>
      <c r="I470" s="47" t="s">
        <v>883</v>
      </c>
      <c r="J470" s="44">
        <v>10.910348</v>
      </c>
      <c r="K470" s="48">
        <v>106.700959</v>
      </c>
    </row>
    <row r="471" ht="22.5" customHeight="1">
      <c r="A471" s="44" t="s">
        <v>2260</v>
      </c>
      <c r="B471" s="44" t="s">
        <v>2261</v>
      </c>
      <c r="C471" s="44" t="s">
        <v>2262</v>
      </c>
      <c r="D471" s="44" t="s">
        <v>1076</v>
      </c>
      <c r="E471" s="49" t="s">
        <v>813</v>
      </c>
      <c r="F471" s="44" t="s">
        <v>1015</v>
      </c>
      <c r="G471" s="44">
        <v>76.0</v>
      </c>
      <c r="H471" s="47" t="s">
        <v>970</v>
      </c>
      <c r="I471" s="47" t="s">
        <v>813</v>
      </c>
      <c r="J471" s="44">
        <v>10.755002</v>
      </c>
      <c r="K471" s="48">
        <v>106.670535</v>
      </c>
    </row>
    <row r="472" ht="22.5" customHeight="1">
      <c r="A472" s="44" t="s">
        <v>2263</v>
      </c>
      <c r="B472" s="44" t="s">
        <v>2264</v>
      </c>
      <c r="C472" s="44" t="s">
        <v>2265</v>
      </c>
      <c r="D472" s="44" t="s">
        <v>1929</v>
      </c>
      <c r="E472" s="49" t="s">
        <v>814</v>
      </c>
      <c r="F472" s="44" t="s">
        <v>1369</v>
      </c>
      <c r="G472" s="44">
        <v>60.0</v>
      </c>
      <c r="H472" s="47" t="s">
        <v>970</v>
      </c>
      <c r="I472" s="47" t="s">
        <v>806</v>
      </c>
      <c r="J472" s="44">
        <v>10.794505</v>
      </c>
      <c r="K472" s="48">
        <v>106.654986</v>
      </c>
    </row>
    <row r="473" ht="22.5" customHeight="1">
      <c r="A473" s="44" t="s">
        <v>566</v>
      </c>
      <c r="B473" s="44" t="s">
        <v>2266</v>
      </c>
      <c r="C473" s="44" t="s">
        <v>2267</v>
      </c>
      <c r="D473" s="44" t="s">
        <v>1076</v>
      </c>
      <c r="E473" s="49" t="s">
        <v>813</v>
      </c>
      <c r="F473" s="44" t="s">
        <v>1015</v>
      </c>
      <c r="G473" s="44">
        <v>61.0</v>
      </c>
      <c r="H473" s="47" t="s">
        <v>970</v>
      </c>
      <c r="I473" s="47" t="s">
        <v>813</v>
      </c>
      <c r="J473" s="44">
        <v>10.759004562307</v>
      </c>
      <c r="K473" s="48">
        <v>106.66809774403</v>
      </c>
    </row>
    <row r="474" ht="22.5" customHeight="1">
      <c r="A474" s="44" t="s">
        <v>2268</v>
      </c>
      <c r="B474" s="44" t="s">
        <v>2269</v>
      </c>
      <c r="C474" s="44" t="s">
        <v>2270</v>
      </c>
      <c r="D474" s="44" t="s">
        <v>1359</v>
      </c>
      <c r="E474" s="49" t="s">
        <v>813</v>
      </c>
      <c r="F474" s="44" t="s">
        <v>1015</v>
      </c>
      <c r="G474" s="44">
        <v>76.0</v>
      </c>
      <c r="H474" s="47" t="s">
        <v>970</v>
      </c>
      <c r="I474" s="47" t="s">
        <v>813</v>
      </c>
      <c r="J474" s="44">
        <v>10.756331</v>
      </c>
      <c r="K474" s="48">
        <v>106.665504</v>
      </c>
    </row>
    <row r="475" ht="22.5" customHeight="1">
      <c r="A475" s="44" t="s">
        <v>848</v>
      </c>
      <c r="B475" s="44" t="s">
        <v>2271</v>
      </c>
      <c r="C475" s="44" t="s">
        <v>2272</v>
      </c>
      <c r="D475" s="44" t="s">
        <v>1236</v>
      </c>
      <c r="E475" s="49" t="s">
        <v>891</v>
      </c>
      <c r="F475" s="44" t="s">
        <v>1125</v>
      </c>
      <c r="G475" s="44">
        <v>90.0</v>
      </c>
      <c r="H475" s="47" t="s">
        <v>970</v>
      </c>
      <c r="I475" s="47" t="s">
        <v>891</v>
      </c>
      <c r="J475" s="44">
        <v>10.967147989641</v>
      </c>
      <c r="K475" s="48">
        <v>106.90030042154</v>
      </c>
    </row>
    <row r="476" ht="22.5" customHeight="1">
      <c r="A476" s="44" t="s">
        <v>2273</v>
      </c>
      <c r="B476" s="44" t="s">
        <v>2274</v>
      </c>
      <c r="C476" s="44" t="s">
        <v>2275</v>
      </c>
      <c r="D476" s="44" t="s">
        <v>1546</v>
      </c>
      <c r="E476" s="49" t="s">
        <v>797</v>
      </c>
      <c r="F476" s="44" t="s">
        <v>1409</v>
      </c>
      <c r="G476" s="44">
        <v>45.0</v>
      </c>
      <c r="H476" s="47" t="s">
        <v>970</v>
      </c>
      <c r="I476" s="47" t="s">
        <v>797</v>
      </c>
      <c r="J476" s="44">
        <v>10.907561</v>
      </c>
      <c r="K476" s="48">
        <v>106.5808981</v>
      </c>
    </row>
    <row r="477" ht="22.5" customHeight="1">
      <c r="A477" s="44" t="s">
        <v>2276</v>
      </c>
      <c r="B477" s="44" t="s">
        <v>2277</v>
      </c>
      <c r="C477" s="44" t="s">
        <v>2000</v>
      </c>
      <c r="D477" s="44" t="s">
        <v>1120</v>
      </c>
      <c r="E477" s="49" t="s">
        <v>895</v>
      </c>
      <c r="F477" s="44" t="s">
        <v>1121</v>
      </c>
      <c r="G477" s="44">
        <v>72.0</v>
      </c>
      <c r="H477" s="47" t="s">
        <v>970</v>
      </c>
      <c r="I477" s="47" t="s">
        <v>895</v>
      </c>
      <c r="J477" s="44">
        <v>10.844929</v>
      </c>
      <c r="K477" s="48">
        <v>106.790001</v>
      </c>
    </row>
    <row r="478" ht="22.5" customHeight="1">
      <c r="A478" s="44" t="s">
        <v>2278</v>
      </c>
      <c r="B478" s="44" t="s">
        <v>2279</v>
      </c>
      <c r="C478" s="44" t="s">
        <v>2280</v>
      </c>
      <c r="D478" s="44" t="s">
        <v>1167</v>
      </c>
      <c r="E478" s="49" t="s">
        <v>789</v>
      </c>
      <c r="F478" s="44" t="s">
        <v>1168</v>
      </c>
      <c r="G478" s="44">
        <v>90.0</v>
      </c>
      <c r="H478" s="47" t="s">
        <v>970</v>
      </c>
      <c r="I478" s="47" t="s">
        <v>789</v>
      </c>
      <c r="J478" s="44">
        <v>10.751528</v>
      </c>
      <c r="K478" s="48">
        <v>106.611557</v>
      </c>
    </row>
    <row r="479" ht="22.5" customHeight="1">
      <c r="A479" s="44" t="s">
        <v>2281</v>
      </c>
      <c r="B479" s="44" t="s">
        <v>2282</v>
      </c>
      <c r="C479" s="44" t="s">
        <v>1938</v>
      </c>
      <c r="D479" s="44" t="s">
        <v>1939</v>
      </c>
      <c r="E479" s="49" t="s">
        <v>510</v>
      </c>
      <c r="F479" s="44" t="s">
        <v>983</v>
      </c>
      <c r="G479" s="44">
        <v>90.0</v>
      </c>
      <c r="H479" s="47" t="s">
        <v>970</v>
      </c>
      <c r="I479" s="47" t="s">
        <v>895</v>
      </c>
      <c r="J479" s="44">
        <v>10.861491</v>
      </c>
      <c r="K479" s="48">
        <v>106.780439</v>
      </c>
    </row>
    <row r="480" ht="22.5" customHeight="1">
      <c r="A480" s="44" t="s">
        <v>45</v>
      </c>
      <c r="B480" s="44" t="s">
        <v>2283</v>
      </c>
      <c r="C480" s="44" t="s">
        <v>1931</v>
      </c>
      <c r="D480" s="44" t="s">
        <v>1662</v>
      </c>
      <c r="E480" s="49" t="s">
        <v>891</v>
      </c>
      <c r="F480" s="44" t="s">
        <v>1125</v>
      </c>
      <c r="G480" s="44">
        <v>60.0</v>
      </c>
      <c r="H480" s="47" t="s">
        <v>970</v>
      </c>
      <c r="I480" s="47" t="s">
        <v>891</v>
      </c>
      <c r="J480" s="44">
        <v>10.956198</v>
      </c>
      <c r="K480" s="48">
        <v>106.874357</v>
      </c>
    </row>
    <row r="481" ht="22.5" customHeight="1">
      <c r="A481" s="44" t="s">
        <v>2284</v>
      </c>
      <c r="B481" s="44" t="s">
        <v>2285</v>
      </c>
      <c r="C481" s="44" t="s">
        <v>2286</v>
      </c>
      <c r="D481" s="44" t="s">
        <v>1021</v>
      </c>
      <c r="E481" s="49" t="s">
        <v>809</v>
      </c>
      <c r="F481" s="44" t="s">
        <v>1022</v>
      </c>
      <c r="G481" s="44">
        <v>75.0</v>
      </c>
      <c r="H481" s="47" t="s">
        <v>970</v>
      </c>
      <c r="I481" s="47" t="s">
        <v>809</v>
      </c>
      <c r="J481" s="44">
        <v>10.837999</v>
      </c>
      <c r="K481" s="48">
        <v>106.670236</v>
      </c>
    </row>
    <row r="482" ht="22.5" customHeight="1">
      <c r="A482" s="44" t="s">
        <v>2287</v>
      </c>
      <c r="B482" s="44" t="s">
        <v>2288</v>
      </c>
      <c r="C482" s="44" t="s">
        <v>2289</v>
      </c>
      <c r="D482" s="44" t="s">
        <v>986</v>
      </c>
      <c r="E482" s="49" t="s">
        <v>518</v>
      </c>
      <c r="F482" s="44" t="s">
        <v>1011</v>
      </c>
      <c r="G482" s="44">
        <v>75.0</v>
      </c>
      <c r="H482" s="47" t="s">
        <v>970</v>
      </c>
      <c r="I482" s="47" t="s">
        <v>822</v>
      </c>
      <c r="J482" s="44">
        <v>10.770506</v>
      </c>
      <c r="K482" s="48">
        <v>106.659448</v>
      </c>
    </row>
    <row r="483" ht="22.5" customHeight="1">
      <c r="A483" s="44" t="s">
        <v>2290</v>
      </c>
      <c r="B483" s="44" t="s">
        <v>2291</v>
      </c>
      <c r="C483" s="44" t="s">
        <v>2292</v>
      </c>
      <c r="D483" s="44" t="s">
        <v>1268</v>
      </c>
      <c r="E483" s="49" t="s">
        <v>888</v>
      </c>
      <c r="F483" s="44" t="s">
        <v>1136</v>
      </c>
      <c r="G483" s="44">
        <v>69.0</v>
      </c>
      <c r="H483" s="47" t="s">
        <v>970</v>
      </c>
      <c r="I483" s="47" t="s">
        <v>902</v>
      </c>
      <c r="J483" s="44">
        <v>10.785961</v>
      </c>
      <c r="K483" s="48">
        <v>106.681862</v>
      </c>
    </row>
    <row r="484" ht="22.5" customHeight="1">
      <c r="A484" s="44" t="s">
        <v>2293</v>
      </c>
      <c r="B484" s="44" t="s">
        <v>2294</v>
      </c>
      <c r="C484" s="44" t="s">
        <v>2295</v>
      </c>
      <c r="D484" s="44" t="s">
        <v>1268</v>
      </c>
      <c r="E484" s="49" t="s">
        <v>910</v>
      </c>
      <c r="F484" s="44" t="s">
        <v>987</v>
      </c>
      <c r="G484" s="44">
        <v>69.0</v>
      </c>
      <c r="H484" s="47" t="s">
        <v>970</v>
      </c>
      <c r="I484" s="47" t="s">
        <v>826</v>
      </c>
      <c r="J484" s="44">
        <v>10.780546</v>
      </c>
      <c r="K484" s="48">
        <v>106.683786</v>
      </c>
    </row>
    <row r="485" ht="22.5" customHeight="1">
      <c r="A485" s="44" t="s">
        <v>844</v>
      </c>
      <c r="B485" s="44" t="s">
        <v>2296</v>
      </c>
      <c r="C485" s="44" t="s">
        <v>2297</v>
      </c>
      <c r="D485" s="44" t="s">
        <v>1747</v>
      </c>
      <c r="E485" s="49" t="s">
        <v>883</v>
      </c>
      <c r="F485" s="44" t="s">
        <v>1471</v>
      </c>
      <c r="G485" s="50">
        <v>60.0</v>
      </c>
      <c r="H485" s="47" t="s">
        <v>970</v>
      </c>
      <c r="I485" s="47" t="s">
        <v>883</v>
      </c>
      <c r="J485" s="44">
        <v>10.958474</v>
      </c>
      <c r="K485" s="48">
        <v>106.715984</v>
      </c>
    </row>
    <row r="486" ht="22.5" customHeight="1">
      <c r="A486" s="44" t="s">
        <v>2298</v>
      </c>
      <c r="B486" s="44" t="s">
        <v>2299</v>
      </c>
      <c r="C486" s="44" t="s">
        <v>2300</v>
      </c>
      <c r="D486" s="44" t="s">
        <v>1139</v>
      </c>
      <c r="E486" s="49"/>
      <c r="F486" s="44" t="s">
        <v>1098</v>
      </c>
      <c r="G486" s="44"/>
      <c r="H486" s="47" t="s">
        <v>1891</v>
      </c>
      <c r="I486" s="47" t="s">
        <v>894</v>
      </c>
      <c r="J486" s="44">
        <v>10.712278400287</v>
      </c>
      <c r="K486" s="48">
        <v>106.70719941318</v>
      </c>
    </row>
    <row r="487" ht="22.5" customHeight="1">
      <c r="A487" s="44" t="s">
        <v>2301</v>
      </c>
      <c r="B487" s="44" t="s">
        <v>2302</v>
      </c>
      <c r="C487" s="44" t="s">
        <v>1835</v>
      </c>
      <c r="D487" s="44" t="s">
        <v>1111</v>
      </c>
      <c r="E487" s="49" t="s">
        <v>789</v>
      </c>
      <c r="F487" s="44" t="s">
        <v>1168</v>
      </c>
      <c r="G487" s="44">
        <v>69.0</v>
      </c>
      <c r="H487" s="47" t="s">
        <v>970</v>
      </c>
      <c r="I487" s="47" t="s">
        <v>820</v>
      </c>
      <c r="J487" s="44">
        <v>10.76436</v>
      </c>
      <c r="K487" s="48">
        <v>106.60321</v>
      </c>
    </row>
    <row r="488" ht="22.5" customHeight="1">
      <c r="A488" s="44" t="s">
        <v>2303</v>
      </c>
      <c r="B488" s="44" t="s">
        <v>2304</v>
      </c>
      <c r="C488" s="44" t="s">
        <v>1835</v>
      </c>
      <c r="D488" s="44" t="s">
        <v>1111</v>
      </c>
      <c r="E488" s="49" t="s">
        <v>789</v>
      </c>
      <c r="F488" s="44" t="s">
        <v>1168</v>
      </c>
      <c r="G488" s="44">
        <v>69.0</v>
      </c>
      <c r="H488" s="47" t="s">
        <v>970</v>
      </c>
      <c r="I488" s="47" t="s">
        <v>820</v>
      </c>
      <c r="J488" s="44">
        <v>10.76436</v>
      </c>
      <c r="K488" s="48">
        <v>106.60321</v>
      </c>
    </row>
    <row r="489" ht="22.5" customHeight="1">
      <c r="A489" s="44" t="s">
        <v>2305</v>
      </c>
      <c r="B489" s="44" t="s">
        <v>2306</v>
      </c>
      <c r="C489" s="44" t="s">
        <v>2000</v>
      </c>
      <c r="D489" s="44" t="s">
        <v>1120</v>
      </c>
      <c r="E489" s="49" t="s">
        <v>895</v>
      </c>
      <c r="F489" s="44" t="s">
        <v>1121</v>
      </c>
      <c r="G489" s="44">
        <v>72.0</v>
      </c>
      <c r="H489" s="47" t="s">
        <v>970</v>
      </c>
      <c r="I489" s="47" t="s">
        <v>895</v>
      </c>
      <c r="J489" s="44">
        <v>10.844929</v>
      </c>
      <c r="K489" s="48">
        <v>106.790001</v>
      </c>
    </row>
    <row r="490" ht="22.5" customHeight="1">
      <c r="A490" s="44" t="s">
        <v>2307</v>
      </c>
      <c r="B490" s="44" t="s">
        <v>2308</v>
      </c>
      <c r="C490" s="44" t="s">
        <v>1835</v>
      </c>
      <c r="D490" s="44" t="s">
        <v>1111</v>
      </c>
      <c r="E490" s="49" t="s">
        <v>789</v>
      </c>
      <c r="F490" s="44" t="s">
        <v>1168</v>
      </c>
      <c r="G490" s="44">
        <v>69.0</v>
      </c>
      <c r="H490" s="47" t="s">
        <v>970</v>
      </c>
      <c r="I490" s="47" t="s">
        <v>820</v>
      </c>
      <c r="J490" s="44">
        <v>10.76436</v>
      </c>
      <c r="K490" s="48">
        <v>106.60321</v>
      </c>
    </row>
    <row r="491" ht="22.5" customHeight="1">
      <c r="A491" s="44" t="s">
        <v>2309</v>
      </c>
      <c r="B491" s="44" t="s">
        <v>2310</v>
      </c>
      <c r="C491" s="44" t="s">
        <v>2100</v>
      </c>
      <c r="D491" s="44" t="s">
        <v>1007</v>
      </c>
      <c r="E491" s="49" t="s">
        <v>510</v>
      </c>
      <c r="F491" s="44" t="s">
        <v>983</v>
      </c>
      <c r="G491" s="44">
        <v>66.0</v>
      </c>
      <c r="H491" s="47" t="s">
        <v>970</v>
      </c>
      <c r="I491" s="47" t="s">
        <v>510</v>
      </c>
      <c r="J491" s="44">
        <v>10.86434</v>
      </c>
      <c r="K491" s="48">
        <v>106.745671</v>
      </c>
    </row>
    <row r="492" ht="22.5" customHeight="1">
      <c r="A492" s="44" t="s">
        <v>238</v>
      </c>
      <c r="B492" s="44" t="s">
        <v>2311</v>
      </c>
      <c r="C492" s="44" t="s">
        <v>2312</v>
      </c>
      <c r="D492" s="44" t="s">
        <v>1036</v>
      </c>
      <c r="E492" s="49" t="s">
        <v>898</v>
      </c>
      <c r="F492" s="44" t="s">
        <v>1037</v>
      </c>
      <c r="G492" s="44">
        <v>59.0</v>
      </c>
      <c r="H492" s="47" t="s">
        <v>970</v>
      </c>
      <c r="I492" s="47" t="s">
        <v>898</v>
      </c>
      <c r="J492" s="44">
        <v>10.78863841</v>
      </c>
      <c r="K492" s="48">
        <v>106.75609</v>
      </c>
    </row>
    <row r="493" ht="22.5" customHeight="1">
      <c r="A493" s="44" t="s">
        <v>2313</v>
      </c>
      <c r="B493" s="44" t="s">
        <v>2314</v>
      </c>
      <c r="C493" s="44" t="s">
        <v>2315</v>
      </c>
      <c r="D493" s="44" t="s">
        <v>1111</v>
      </c>
      <c r="E493" s="49" t="s">
        <v>820</v>
      </c>
      <c r="F493" s="44" t="s">
        <v>1112</v>
      </c>
      <c r="G493" s="44">
        <v>60.0</v>
      </c>
      <c r="H493" s="47" t="s">
        <v>970</v>
      </c>
      <c r="I493" s="47" t="s">
        <v>820</v>
      </c>
      <c r="J493" s="44">
        <v>10.763157058691</v>
      </c>
      <c r="K493" s="48">
        <v>106.62031020522</v>
      </c>
    </row>
    <row r="494" ht="22.5" customHeight="1">
      <c r="A494" s="44" t="s">
        <v>2316</v>
      </c>
      <c r="B494" s="44" t="s">
        <v>2317</v>
      </c>
      <c r="C494" s="44" t="s">
        <v>2318</v>
      </c>
      <c r="D494" s="44" t="s">
        <v>1433</v>
      </c>
      <c r="E494" s="49" t="s">
        <v>910</v>
      </c>
      <c r="F494" s="44" t="s">
        <v>987</v>
      </c>
      <c r="G494" s="44">
        <v>45.0</v>
      </c>
      <c r="H494" s="47" t="s">
        <v>970</v>
      </c>
      <c r="I494" s="47" t="s">
        <v>826</v>
      </c>
      <c r="J494" s="44">
        <v>10.774508</v>
      </c>
      <c r="K494" s="48">
        <v>106.679145</v>
      </c>
    </row>
    <row r="495" ht="22.5" customHeight="1">
      <c r="A495" s="44" t="s">
        <v>2319</v>
      </c>
      <c r="B495" s="44" t="s">
        <v>2320</v>
      </c>
      <c r="C495" s="44" t="s">
        <v>2321</v>
      </c>
      <c r="D495" s="44" t="s">
        <v>1895</v>
      </c>
      <c r="E495" s="49" t="s">
        <v>897</v>
      </c>
      <c r="F495" s="44" t="s">
        <v>1027</v>
      </c>
      <c r="G495" s="44">
        <v>60.0</v>
      </c>
      <c r="H495" s="47" t="s">
        <v>970</v>
      </c>
      <c r="I495" s="47" t="s">
        <v>897</v>
      </c>
      <c r="J495" s="44">
        <v>10.847838</v>
      </c>
      <c r="K495" s="48">
        <v>106.646969</v>
      </c>
    </row>
    <row r="496" ht="22.5" customHeight="1">
      <c r="A496" s="44" t="s">
        <v>2322</v>
      </c>
      <c r="B496" s="44" t="s">
        <v>2323</v>
      </c>
      <c r="C496" s="44" t="s">
        <v>2324</v>
      </c>
      <c r="D496" s="44" t="s">
        <v>1368</v>
      </c>
      <c r="E496" s="49" t="s">
        <v>814</v>
      </c>
      <c r="F496" s="44" t="s">
        <v>1369</v>
      </c>
      <c r="G496" s="44">
        <v>70.0</v>
      </c>
      <c r="H496" s="47" t="s">
        <v>970</v>
      </c>
      <c r="I496" s="47" t="s">
        <v>814</v>
      </c>
      <c r="J496" s="44">
        <v>10.790957</v>
      </c>
      <c r="K496" s="48">
        <v>106.666087</v>
      </c>
    </row>
    <row r="497" ht="22.5" customHeight="1">
      <c r="A497" s="44" t="s">
        <v>2325</v>
      </c>
      <c r="B497" s="44" t="s">
        <v>2326</v>
      </c>
      <c r="C497" s="44" t="s">
        <v>2327</v>
      </c>
      <c r="D497" s="44" t="s">
        <v>1368</v>
      </c>
      <c r="E497" s="49" t="s">
        <v>814</v>
      </c>
      <c r="F497" s="44" t="s">
        <v>1369</v>
      </c>
      <c r="G497" s="44">
        <v>60.0</v>
      </c>
      <c r="H497" s="47" t="s">
        <v>970</v>
      </c>
      <c r="I497" s="47" t="s">
        <v>814</v>
      </c>
      <c r="J497" s="44">
        <v>10.79816</v>
      </c>
      <c r="K497" s="48">
        <v>106.671912</v>
      </c>
    </row>
    <row r="498" ht="22.5" customHeight="1">
      <c r="A498" s="44" t="s">
        <v>150</v>
      </c>
      <c r="B498" s="44" t="s">
        <v>2328</v>
      </c>
      <c r="C498" s="44" t="s">
        <v>2329</v>
      </c>
      <c r="D498" s="44" t="s">
        <v>1007</v>
      </c>
      <c r="E498" s="49" t="s">
        <v>510</v>
      </c>
      <c r="F498" s="44" t="s">
        <v>983</v>
      </c>
      <c r="G498" s="44">
        <v>66.0</v>
      </c>
      <c r="H498" s="47" t="s">
        <v>970</v>
      </c>
      <c r="I498" s="47" t="s">
        <v>510</v>
      </c>
      <c r="J498" s="44">
        <v>10.863527</v>
      </c>
      <c r="K498" s="48">
        <v>106.746764</v>
      </c>
    </row>
    <row r="499" ht="22.5" customHeight="1">
      <c r="A499" s="44" t="s">
        <v>2330</v>
      </c>
      <c r="B499" s="44" t="s">
        <v>2331</v>
      </c>
      <c r="C499" s="44" t="s">
        <v>2332</v>
      </c>
      <c r="D499" s="44" t="s">
        <v>1929</v>
      </c>
      <c r="E499" s="49"/>
      <c r="F499" s="44" t="s">
        <v>1098</v>
      </c>
      <c r="G499" s="44"/>
      <c r="H499" s="47" t="s">
        <v>970</v>
      </c>
      <c r="I499" s="47" t="s">
        <v>806</v>
      </c>
      <c r="J499" s="44">
        <v>10.78577</v>
      </c>
      <c r="K499" s="48">
        <v>106.656166</v>
      </c>
    </row>
    <row r="500" ht="22.5" customHeight="1">
      <c r="A500" s="44" t="s">
        <v>2333</v>
      </c>
      <c r="B500" s="44" t="s">
        <v>2334</v>
      </c>
      <c r="C500" s="44" t="s">
        <v>2335</v>
      </c>
      <c r="D500" s="44" t="s">
        <v>977</v>
      </c>
      <c r="E500" s="49" t="s">
        <v>888</v>
      </c>
      <c r="F500" s="44" t="s">
        <v>1136</v>
      </c>
      <c r="G500" s="44">
        <v>69.0</v>
      </c>
      <c r="H500" s="47" t="s">
        <v>970</v>
      </c>
      <c r="I500" s="47" t="s">
        <v>902</v>
      </c>
      <c r="J500" s="44">
        <v>10.784352</v>
      </c>
      <c r="K500" s="48">
        <v>106.684027</v>
      </c>
    </row>
    <row r="501" ht="22.5" customHeight="1">
      <c r="A501" s="44" t="s">
        <v>721</v>
      </c>
      <c r="B501" s="44" t="s">
        <v>2336</v>
      </c>
      <c r="C501" s="44" t="s">
        <v>2337</v>
      </c>
      <c r="D501" s="44" t="s">
        <v>2232</v>
      </c>
      <c r="E501" s="49" t="s">
        <v>893</v>
      </c>
      <c r="F501" s="44" t="s">
        <v>1088</v>
      </c>
      <c r="G501" s="44">
        <v>45.0</v>
      </c>
      <c r="H501" s="47" t="s">
        <v>970</v>
      </c>
      <c r="I501" s="47" t="s">
        <v>896</v>
      </c>
      <c r="J501" s="44">
        <v>10.818457</v>
      </c>
      <c r="K501" s="48">
        <v>106.633612</v>
      </c>
    </row>
    <row r="502" ht="22.5" customHeight="1">
      <c r="A502" s="44" t="s">
        <v>2338</v>
      </c>
      <c r="B502" s="44" t="s">
        <v>2339</v>
      </c>
      <c r="C502" s="44" t="s">
        <v>2340</v>
      </c>
      <c r="D502" s="44" t="s">
        <v>1129</v>
      </c>
      <c r="E502" s="49" t="s">
        <v>910</v>
      </c>
      <c r="F502" s="44" t="s">
        <v>987</v>
      </c>
      <c r="G502" s="44">
        <v>30.0</v>
      </c>
      <c r="H502" s="47" t="s">
        <v>970</v>
      </c>
      <c r="I502" s="47" t="s">
        <v>910</v>
      </c>
      <c r="J502" s="44">
        <v>10.775115</v>
      </c>
      <c r="K502" s="48">
        <v>106.674201</v>
      </c>
    </row>
    <row r="503" ht="22.5" customHeight="1">
      <c r="A503" s="44" t="s">
        <v>2341</v>
      </c>
      <c r="B503" s="44" t="s">
        <v>2342</v>
      </c>
      <c r="C503" s="44" t="s">
        <v>2343</v>
      </c>
      <c r="D503" s="44" t="s">
        <v>1268</v>
      </c>
      <c r="E503" s="49" t="s">
        <v>888</v>
      </c>
      <c r="F503" s="44" t="s">
        <v>1136</v>
      </c>
      <c r="G503" s="44">
        <v>69.0</v>
      </c>
      <c r="H503" s="47" t="s">
        <v>970</v>
      </c>
      <c r="I503" s="47" t="s">
        <v>900</v>
      </c>
      <c r="J503" s="44">
        <v>10.78764</v>
      </c>
      <c r="K503" s="48">
        <v>106.692082</v>
      </c>
    </row>
    <row r="504" ht="22.5" customHeight="1">
      <c r="A504" s="44" t="s">
        <v>2344</v>
      </c>
      <c r="B504" s="44" t="s">
        <v>2345</v>
      </c>
      <c r="C504" s="44" t="s">
        <v>2346</v>
      </c>
      <c r="D504" s="44" t="s">
        <v>1929</v>
      </c>
      <c r="E504" s="49" t="s">
        <v>814</v>
      </c>
      <c r="F504" s="44" t="s">
        <v>1369</v>
      </c>
      <c r="G504" s="44">
        <v>60.0</v>
      </c>
      <c r="H504" s="47" t="s">
        <v>970</v>
      </c>
      <c r="I504" s="47" t="s">
        <v>806</v>
      </c>
      <c r="J504" s="44">
        <v>10.794510120165</v>
      </c>
      <c r="K504" s="48">
        <v>106.6549852025</v>
      </c>
    </row>
    <row r="505" ht="22.5" customHeight="1">
      <c r="A505" s="44" t="s">
        <v>2347</v>
      </c>
      <c r="B505" s="44" t="s">
        <v>2348</v>
      </c>
      <c r="C505" s="44" t="s">
        <v>2349</v>
      </c>
      <c r="D505" s="44" t="s">
        <v>1883</v>
      </c>
      <c r="E505" s="49" t="s">
        <v>883</v>
      </c>
      <c r="F505" s="44" t="s">
        <v>1471</v>
      </c>
      <c r="G505" s="44">
        <v>120.0</v>
      </c>
      <c r="H505" s="47" t="s">
        <v>970</v>
      </c>
      <c r="I505" s="47" t="s">
        <v>883</v>
      </c>
      <c r="J505" s="44">
        <v>10.883742856698</v>
      </c>
      <c r="K505" s="48">
        <v>106.70884084233</v>
      </c>
    </row>
    <row r="506" ht="22.5" customHeight="1">
      <c r="A506" s="44" t="s">
        <v>639</v>
      </c>
      <c r="B506" s="44" t="s">
        <v>2350</v>
      </c>
      <c r="C506" s="44" t="s">
        <v>2351</v>
      </c>
      <c r="D506" s="44" t="s">
        <v>1528</v>
      </c>
      <c r="E506" s="49" t="s">
        <v>910</v>
      </c>
      <c r="F506" s="44" t="s">
        <v>987</v>
      </c>
      <c r="G506" s="44">
        <v>39.0</v>
      </c>
      <c r="H506" s="47" t="s">
        <v>970</v>
      </c>
      <c r="I506" s="47" t="s">
        <v>826</v>
      </c>
      <c r="J506" s="44">
        <v>10.769867</v>
      </c>
      <c r="K506" s="48">
        <v>106.685571</v>
      </c>
    </row>
    <row r="507" ht="22.5" customHeight="1">
      <c r="A507" s="44" t="s">
        <v>2352</v>
      </c>
      <c r="B507" s="44" t="s">
        <v>2353</v>
      </c>
      <c r="C507" s="44" t="s">
        <v>2354</v>
      </c>
      <c r="D507" s="44" t="s">
        <v>1317</v>
      </c>
      <c r="E507" s="49" t="s">
        <v>894</v>
      </c>
      <c r="F507" s="44" t="s">
        <v>974</v>
      </c>
      <c r="G507" s="44">
        <v>68.0</v>
      </c>
      <c r="H507" s="47" t="s">
        <v>970</v>
      </c>
      <c r="I507" s="47" t="s">
        <v>894</v>
      </c>
      <c r="J507" s="44">
        <v>10.748207</v>
      </c>
      <c r="K507" s="48">
        <v>106.723642</v>
      </c>
    </row>
    <row r="508" ht="22.5" customHeight="1">
      <c r="A508" s="44" t="s">
        <v>2355</v>
      </c>
      <c r="B508" s="44" t="s">
        <v>2356</v>
      </c>
      <c r="C508" s="44" t="s">
        <v>2357</v>
      </c>
      <c r="D508" s="44" t="s">
        <v>1470</v>
      </c>
      <c r="E508" s="49" t="s">
        <v>883</v>
      </c>
      <c r="F508" s="44" t="s">
        <v>1471</v>
      </c>
      <c r="G508" s="44">
        <v>60.0</v>
      </c>
      <c r="H508" s="47" t="s">
        <v>970</v>
      </c>
      <c r="I508" s="47" t="s">
        <v>883</v>
      </c>
      <c r="J508" s="44">
        <v>10.908657896956</v>
      </c>
      <c r="K508" s="48">
        <v>106.70164772884</v>
      </c>
    </row>
    <row r="509" ht="22.5" customHeight="1">
      <c r="A509" s="44" t="s">
        <v>2358</v>
      </c>
      <c r="B509" s="44" t="s">
        <v>2359</v>
      </c>
      <c r="C509" s="44" t="s">
        <v>2360</v>
      </c>
      <c r="D509" s="44" t="s">
        <v>1496</v>
      </c>
      <c r="E509" s="52" t="s">
        <v>804</v>
      </c>
      <c r="F509" s="44" t="s">
        <v>1497</v>
      </c>
      <c r="G509" s="44">
        <v>60.0</v>
      </c>
      <c r="H509" s="47" t="s">
        <v>970</v>
      </c>
      <c r="I509" s="47" t="s">
        <v>804</v>
      </c>
      <c r="J509" s="44">
        <v>10.75305</v>
      </c>
      <c r="K509" s="48">
        <v>106.701686</v>
      </c>
    </row>
    <row r="510" ht="22.5" customHeight="1">
      <c r="A510" s="44" t="s">
        <v>2361</v>
      </c>
      <c r="B510" s="44" t="s">
        <v>2362</v>
      </c>
      <c r="C510" s="44" t="s">
        <v>2363</v>
      </c>
      <c r="D510" s="44" t="s">
        <v>1832</v>
      </c>
      <c r="E510" s="52" t="s">
        <v>901</v>
      </c>
      <c r="F510" s="44" t="s">
        <v>1562</v>
      </c>
      <c r="G510" s="44">
        <v>60.0</v>
      </c>
      <c r="H510" s="47" t="s">
        <v>970</v>
      </c>
      <c r="I510" s="47" t="s">
        <v>901</v>
      </c>
      <c r="J510" s="44">
        <v>10.797918</v>
      </c>
      <c r="K510" s="48">
        <v>106.717655</v>
      </c>
    </row>
    <row r="511" ht="22.5" customHeight="1">
      <c r="A511" s="44" t="s">
        <v>829</v>
      </c>
      <c r="B511" s="44" t="s">
        <v>2364</v>
      </c>
      <c r="C511" s="44" t="s">
        <v>2365</v>
      </c>
      <c r="D511" s="44" t="s">
        <v>1030</v>
      </c>
      <c r="E511" s="49" t="s">
        <v>887</v>
      </c>
      <c r="F511" s="44" t="s">
        <v>1031</v>
      </c>
      <c r="G511" s="44">
        <v>60.0</v>
      </c>
      <c r="H511" s="47" t="s">
        <v>970</v>
      </c>
      <c r="I511" s="47" t="s">
        <v>887</v>
      </c>
      <c r="J511" s="44">
        <v>10.766555</v>
      </c>
      <c r="K511" s="48">
        <v>106.726012</v>
      </c>
    </row>
    <row r="512" ht="22.5" customHeight="1">
      <c r="A512" s="44" t="s">
        <v>2366</v>
      </c>
      <c r="B512" s="44" t="s">
        <v>2367</v>
      </c>
      <c r="C512" s="44" t="s">
        <v>2368</v>
      </c>
      <c r="D512" s="44" t="s">
        <v>1917</v>
      </c>
      <c r="E512" s="49" t="s">
        <v>898</v>
      </c>
      <c r="F512" s="44" t="s">
        <v>1037</v>
      </c>
      <c r="G512" s="44">
        <v>70.0</v>
      </c>
      <c r="H512" s="47" t="s">
        <v>970</v>
      </c>
      <c r="I512" s="47" t="s">
        <v>899</v>
      </c>
      <c r="J512" s="44">
        <v>10.807878</v>
      </c>
      <c r="K512" s="48">
        <v>106.827121</v>
      </c>
    </row>
    <row r="513" ht="22.5" customHeight="1">
      <c r="A513" s="44" t="s">
        <v>2369</v>
      </c>
      <c r="B513" s="44" t="s">
        <v>2370</v>
      </c>
      <c r="C513" s="44" t="s">
        <v>1618</v>
      </c>
      <c r="D513" s="44" t="s">
        <v>1014</v>
      </c>
      <c r="E513" s="49" t="s">
        <v>910</v>
      </c>
      <c r="F513" s="44" t="s">
        <v>987</v>
      </c>
      <c r="G513" s="50">
        <v>60.0</v>
      </c>
      <c r="H513" s="47" t="s">
        <v>970</v>
      </c>
      <c r="I513" s="47" t="s">
        <v>813</v>
      </c>
      <c r="J513" s="44">
        <v>10.759864</v>
      </c>
      <c r="K513" s="48">
        <v>106.677034</v>
      </c>
    </row>
    <row r="514" ht="22.5" customHeight="1">
      <c r="A514" s="44" t="s">
        <v>2371</v>
      </c>
      <c r="B514" s="44" t="s">
        <v>2372</v>
      </c>
      <c r="C514" s="44" t="s">
        <v>2373</v>
      </c>
      <c r="D514" s="44" t="s">
        <v>2374</v>
      </c>
      <c r="E514" s="49" t="s">
        <v>897</v>
      </c>
      <c r="F514" s="44" t="s">
        <v>1027</v>
      </c>
      <c r="G514" s="50">
        <v>70.0</v>
      </c>
      <c r="H514" s="47" t="s">
        <v>970</v>
      </c>
      <c r="I514" s="47" t="s">
        <v>809</v>
      </c>
      <c r="J514" s="44">
        <v>10.844939</v>
      </c>
      <c r="K514" s="48">
        <v>106.673087</v>
      </c>
    </row>
    <row r="515" ht="22.5" customHeight="1">
      <c r="A515" s="44" t="s">
        <v>2375</v>
      </c>
      <c r="B515" s="44" t="s">
        <v>2376</v>
      </c>
      <c r="C515" s="44" t="s">
        <v>2377</v>
      </c>
      <c r="D515" s="44" t="s">
        <v>1280</v>
      </c>
      <c r="E515" s="49" t="s">
        <v>510</v>
      </c>
      <c r="F515" s="44" t="s">
        <v>983</v>
      </c>
      <c r="G515" s="50">
        <v>70.0</v>
      </c>
      <c r="H515" s="47" t="s">
        <v>970</v>
      </c>
      <c r="I515" s="47" t="s">
        <v>510</v>
      </c>
      <c r="J515" s="44">
        <v>10.848418</v>
      </c>
      <c r="K515" s="48">
        <v>106.756461</v>
      </c>
    </row>
    <row r="516" ht="22.5" customHeight="1">
      <c r="A516" s="44" t="s">
        <v>2378</v>
      </c>
      <c r="B516" s="44" t="s">
        <v>2379</v>
      </c>
      <c r="C516" s="44" t="s">
        <v>2380</v>
      </c>
      <c r="D516" s="44" t="s">
        <v>2381</v>
      </c>
      <c r="E516" s="49"/>
      <c r="F516" s="44" t="s">
        <v>1098</v>
      </c>
      <c r="G516" s="44"/>
      <c r="H516" s="47" t="s">
        <v>970</v>
      </c>
      <c r="I516" s="47" t="s">
        <v>870</v>
      </c>
      <c r="J516" s="44">
        <v>10.031587114026</v>
      </c>
      <c r="K516" s="48">
        <v>105.78340637179</v>
      </c>
    </row>
    <row r="517" ht="22.5" customHeight="1">
      <c r="A517" s="44" t="s">
        <v>763</v>
      </c>
      <c r="B517" s="44" t="s">
        <v>2382</v>
      </c>
      <c r="C517" s="44" t="s">
        <v>2383</v>
      </c>
      <c r="D517" s="44" t="s">
        <v>1433</v>
      </c>
      <c r="E517" s="49" t="s">
        <v>910</v>
      </c>
      <c r="F517" s="44" t="s">
        <v>987</v>
      </c>
      <c r="G517" s="50">
        <v>30.0</v>
      </c>
      <c r="H517" s="47" t="s">
        <v>970</v>
      </c>
      <c r="I517" s="47" t="s">
        <v>813</v>
      </c>
      <c r="J517" s="44">
        <v>10.763967</v>
      </c>
      <c r="K517" s="48">
        <v>106.66926</v>
      </c>
    </row>
    <row r="518" ht="22.5" customHeight="1">
      <c r="A518" s="44" t="s">
        <v>870</v>
      </c>
      <c r="B518" s="44" t="s">
        <v>2384</v>
      </c>
      <c r="C518" s="44" t="s">
        <v>2385</v>
      </c>
      <c r="D518" s="44"/>
      <c r="E518" s="49"/>
      <c r="F518" s="44" t="s">
        <v>1098</v>
      </c>
      <c r="G518" s="50"/>
      <c r="H518" s="47" t="s">
        <v>970</v>
      </c>
      <c r="I518" s="47" t="s">
        <v>870</v>
      </c>
      <c r="J518" s="44">
        <v>10.033812583157</v>
      </c>
      <c r="K518" s="48">
        <v>105.76373482505</v>
      </c>
    </row>
    <row r="519" ht="22.5" customHeight="1">
      <c r="A519" s="44" t="s">
        <v>2386</v>
      </c>
      <c r="B519" s="44" t="s">
        <v>2387</v>
      </c>
      <c r="C519" s="44" t="s">
        <v>2388</v>
      </c>
      <c r="D519" s="44" t="s">
        <v>1139</v>
      </c>
      <c r="E519" s="49" t="s">
        <v>882</v>
      </c>
      <c r="F519" s="44" t="s">
        <v>991</v>
      </c>
      <c r="G519" s="44"/>
      <c r="H519" s="47" t="s">
        <v>1891</v>
      </c>
      <c r="I519" s="47" t="s">
        <v>882</v>
      </c>
      <c r="J519" s="44">
        <v>10.690088424115</v>
      </c>
      <c r="K519" s="48">
        <v>106.74186982699</v>
      </c>
    </row>
    <row r="520" ht="22.5" customHeight="1">
      <c r="A520" s="44" t="s">
        <v>2389</v>
      </c>
      <c r="B520" s="44" t="s">
        <v>2390</v>
      </c>
      <c r="C520" s="44" t="s">
        <v>2391</v>
      </c>
      <c r="D520" s="44" t="s">
        <v>1139</v>
      </c>
      <c r="E520" s="49" t="s">
        <v>882</v>
      </c>
      <c r="F520" s="44" t="s">
        <v>991</v>
      </c>
      <c r="G520" s="44">
        <v>60.0</v>
      </c>
      <c r="H520" s="47" t="s">
        <v>2392</v>
      </c>
      <c r="I520" s="47" t="s">
        <v>882</v>
      </c>
      <c r="J520" s="44">
        <v>10.690088424115</v>
      </c>
      <c r="K520" s="48">
        <v>106.74191274233</v>
      </c>
    </row>
    <row r="521" ht="22.5" customHeight="1">
      <c r="A521" s="44" t="s">
        <v>2393</v>
      </c>
      <c r="B521" s="44" t="s">
        <v>2394</v>
      </c>
      <c r="C521" s="44" t="s">
        <v>2395</v>
      </c>
      <c r="D521" s="44" t="s">
        <v>1014</v>
      </c>
      <c r="E521" s="49"/>
      <c r="F521" s="44" t="s">
        <v>1098</v>
      </c>
      <c r="G521" s="44"/>
      <c r="H521" s="47" t="s">
        <v>1891</v>
      </c>
      <c r="I521" s="47" t="s">
        <v>813</v>
      </c>
      <c r="J521" s="44">
        <v>10.759987</v>
      </c>
      <c r="K521" s="48">
        <v>106.676998</v>
      </c>
    </row>
    <row r="522" ht="22.5" customHeight="1">
      <c r="A522" s="44" t="s">
        <v>2396</v>
      </c>
      <c r="B522" s="44" t="s">
        <v>2397</v>
      </c>
      <c r="C522" s="44" t="s">
        <v>2398</v>
      </c>
      <c r="D522" s="44" t="s">
        <v>1026</v>
      </c>
      <c r="E522" s="49" t="s">
        <v>897</v>
      </c>
      <c r="F522" s="44" t="s">
        <v>1027</v>
      </c>
      <c r="G522" s="44">
        <v>68.0</v>
      </c>
      <c r="H522" s="47" t="s">
        <v>970</v>
      </c>
      <c r="I522" s="47" t="s">
        <v>897</v>
      </c>
      <c r="J522" s="44">
        <v>10.850122</v>
      </c>
      <c r="K522" s="48">
        <v>106.652409</v>
      </c>
    </row>
    <row r="523" ht="22.5" customHeight="1">
      <c r="A523" s="44" t="s">
        <v>2399</v>
      </c>
      <c r="B523" s="44" t="s">
        <v>2400</v>
      </c>
      <c r="C523" s="44" t="s">
        <v>2401</v>
      </c>
      <c r="D523" s="44" t="s">
        <v>986</v>
      </c>
      <c r="E523" s="49" t="s">
        <v>822</v>
      </c>
      <c r="F523" s="44" t="s">
        <v>1284</v>
      </c>
      <c r="G523" s="44">
        <v>30.0</v>
      </c>
      <c r="H523" s="47" t="s">
        <v>970</v>
      </c>
      <c r="I523" s="47" t="s">
        <v>822</v>
      </c>
      <c r="J523" s="44">
        <v>10.75885</v>
      </c>
      <c r="K523" s="48">
        <v>106.661577</v>
      </c>
    </row>
    <row r="524" ht="22.5" customHeight="1">
      <c r="A524" s="44" t="s">
        <v>401</v>
      </c>
      <c r="B524" s="44" t="s">
        <v>2402</v>
      </c>
      <c r="C524" s="44" t="s">
        <v>2403</v>
      </c>
      <c r="D524" s="44" t="s">
        <v>1542</v>
      </c>
      <c r="E524" s="49" t="s">
        <v>884</v>
      </c>
      <c r="F524" s="44" t="s">
        <v>1821</v>
      </c>
      <c r="G524" s="44">
        <v>60.0</v>
      </c>
      <c r="H524" s="47" t="s">
        <v>970</v>
      </c>
      <c r="I524" s="47" t="s">
        <v>884</v>
      </c>
      <c r="J524" s="44">
        <v>10.792596</v>
      </c>
      <c r="K524" s="48">
        <v>106.696058</v>
      </c>
    </row>
    <row r="525" ht="22.5" customHeight="1">
      <c r="A525" s="44" t="s">
        <v>2404</v>
      </c>
      <c r="B525" s="44" t="s">
        <v>2405</v>
      </c>
      <c r="C525" s="44" t="s">
        <v>2406</v>
      </c>
      <c r="D525" s="44" t="s">
        <v>1014</v>
      </c>
      <c r="E525" s="49" t="s">
        <v>813</v>
      </c>
      <c r="F525" s="44" t="s">
        <v>1015</v>
      </c>
      <c r="G525" s="44">
        <v>46.0</v>
      </c>
      <c r="H525" s="47" t="s">
        <v>970</v>
      </c>
      <c r="I525" s="47" t="s">
        <v>813</v>
      </c>
      <c r="J525" s="44">
        <v>10.759332</v>
      </c>
      <c r="K525" s="48">
        <v>106.680086</v>
      </c>
    </row>
    <row r="526" ht="22.5" customHeight="1">
      <c r="A526" s="44" t="s">
        <v>2407</v>
      </c>
      <c r="B526" s="44" t="s">
        <v>2408</v>
      </c>
      <c r="C526" s="44" t="s">
        <v>2409</v>
      </c>
      <c r="D526" s="44" t="s">
        <v>1478</v>
      </c>
      <c r="E526" s="49" t="s">
        <v>510</v>
      </c>
      <c r="F526" s="44" t="s">
        <v>983</v>
      </c>
      <c r="G526" s="44">
        <v>66.0</v>
      </c>
      <c r="H526" s="47" t="s">
        <v>970</v>
      </c>
      <c r="I526" s="47" t="s">
        <v>899</v>
      </c>
      <c r="J526" s="44">
        <v>10.823885045325</v>
      </c>
      <c r="K526" s="48">
        <v>106.76628782939</v>
      </c>
    </row>
    <row r="527" ht="22.5" customHeight="1">
      <c r="A527" s="44" t="s">
        <v>2410</v>
      </c>
      <c r="B527" s="44" t="s">
        <v>2411</v>
      </c>
      <c r="C527" s="44" t="s">
        <v>2412</v>
      </c>
      <c r="D527" s="44" t="s">
        <v>1532</v>
      </c>
      <c r="E527" s="49" t="s">
        <v>814</v>
      </c>
      <c r="F527" s="44" t="s">
        <v>1369</v>
      </c>
      <c r="G527" s="44">
        <v>90.0</v>
      </c>
      <c r="H527" s="47" t="s">
        <v>970</v>
      </c>
      <c r="I527" s="47" t="s">
        <v>814</v>
      </c>
      <c r="J527" s="44">
        <v>10.795053</v>
      </c>
      <c r="K527" s="48">
        <v>106.667443</v>
      </c>
    </row>
    <row r="528" ht="22.5" customHeight="1">
      <c r="A528" s="44" t="s">
        <v>842</v>
      </c>
      <c r="B528" s="44" t="s">
        <v>2413</v>
      </c>
      <c r="C528" s="44" t="s">
        <v>2414</v>
      </c>
      <c r="D528" s="44" t="s">
        <v>1691</v>
      </c>
      <c r="E528" s="49" t="s">
        <v>850</v>
      </c>
      <c r="F528" s="44" t="s">
        <v>1057</v>
      </c>
      <c r="G528" s="44">
        <v>120.0</v>
      </c>
      <c r="H528" s="47" t="s">
        <v>970</v>
      </c>
      <c r="I528" s="47" t="s">
        <v>892</v>
      </c>
      <c r="J528" s="44">
        <v>10.983838</v>
      </c>
      <c r="K528" s="48">
        <v>106.574576</v>
      </c>
    </row>
    <row r="529" ht="22.5" customHeight="1">
      <c r="A529" s="44" t="s">
        <v>832</v>
      </c>
      <c r="B529" s="44" t="s">
        <v>2415</v>
      </c>
      <c r="C529" s="44" t="s">
        <v>2416</v>
      </c>
      <c r="D529" s="44" t="s">
        <v>1030</v>
      </c>
      <c r="E529" s="49"/>
      <c r="F529" s="44" t="s">
        <v>1098</v>
      </c>
      <c r="G529" s="44"/>
      <c r="H529" s="47" t="s">
        <v>970</v>
      </c>
      <c r="I529" s="47" t="s">
        <v>832</v>
      </c>
      <c r="J529" s="44">
        <v>10.800863986465</v>
      </c>
      <c r="K529" s="48">
        <v>106.73457280514</v>
      </c>
    </row>
    <row r="530" ht="22.5" customHeight="1">
      <c r="A530" s="44" t="s">
        <v>839</v>
      </c>
      <c r="B530" s="44" t="s">
        <v>2417</v>
      </c>
      <c r="C530" s="44" t="s">
        <v>2418</v>
      </c>
      <c r="D530" s="44" t="s">
        <v>2419</v>
      </c>
      <c r="E530" s="49" t="s">
        <v>883</v>
      </c>
      <c r="F530" s="44" t="s">
        <v>1471</v>
      </c>
      <c r="G530" s="44">
        <v>80.0</v>
      </c>
      <c r="H530" s="47" t="s">
        <v>970</v>
      </c>
      <c r="I530" s="47" t="s">
        <v>883</v>
      </c>
      <c r="J530" s="44">
        <v>10.948916</v>
      </c>
      <c r="K530" s="48">
        <v>106.68832</v>
      </c>
    </row>
    <row r="531" ht="22.5" customHeight="1">
      <c r="A531" s="44" t="s">
        <v>2420</v>
      </c>
      <c r="B531" s="44" t="s">
        <v>2421</v>
      </c>
      <c r="C531" s="44" t="s">
        <v>2422</v>
      </c>
      <c r="D531" s="44" t="s">
        <v>1883</v>
      </c>
      <c r="E531" s="49" t="s">
        <v>883</v>
      </c>
      <c r="F531" s="44" t="s">
        <v>1471</v>
      </c>
      <c r="G531" s="44">
        <v>85.0</v>
      </c>
      <c r="H531" s="47" t="s">
        <v>970</v>
      </c>
      <c r="I531" s="47" t="s">
        <v>883</v>
      </c>
      <c r="J531" s="44">
        <v>10.921851639433</v>
      </c>
      <c r="K531" s="48">
        <v>106.73503853489</v>
      </c>
    </row>
    <row r="532" ht="22.5" customHeight="1">
      <c r="A532" s="44" t="s">
        <v>2423</v>
      </c>
      <c r="B532" s="44" t="s">
        <v>2424</v>
      </c>
      <c r="C532" s="44" t="s">
        <v>2425</v>
      </c>
      <c r="D532" s="44" t="s">
        <v>1021</v>
      </c>
      <c r="E532" s="49" t="s">
        <v>809</v>
      </c>
      <c r="F532" s="44" t="s">
        <v>1022</v>
      </c>
      <c r="G532" s="44">
        <v>68.0</v>
      </c>
      <c r="H532" s="47" t="s">
        <v>970</v>
      </c>
      <c r="I532" s="47" t="s">
        <v>809</v>
      </c>
      <c r="J532" s="44">
        <v>10.844376</v>
      </c>
      <c r="K532" s="48">
        <v>106.677045</v>
      </c>
    </row>
    <row r="533" ht="22.5" customHeight="1">
      <c r="A533" s="44" t="s">
        <v>145</v>
      </c>
      <c r="B533" s="44" t="s">
        <v>2426</v>
      </c>
      <c r="C533" s="44" t="s">
        <v>2427</v>
      </c>
      <c r="D533" s="44" t="s">
        <v>1189</v>
      </c>
      <c r="E533" s="49" t="s">
        <v>893</v>
      </c>
      <c r="F533" s="44" t="s">
        <v>1088</v>
      </c>
      <c r="G533" s="44">
        <v>60.0</v>
      </c>
      <c r="H533" s="47" t="s">
        <v>970</v>
      </c>
      <c r="I533" s="47" t="s">
        <v>819</v>
      </c>
      <c r="J533" s="44">
        <v>10.811465</v>
      </c>
      <c r="K533" s="48">
        <v>106.610721</v>
      </c>
    </row>
    <row r="534" ht="22.5" customHeight="1">
      <c r="A534" s="44" t="s">
        <v>2428</v>
      </c>
      <c r="B534" s="44" t="s">
        <v>2429</v>
      </c>
      <c r="C534" s="44" t="s">
        <v>2430</v>
      </c>
      <c r="D534" s="44" t="s">
        <v>1227</v>
      </c>
      <c r="E534" s="49" t="s">
        <v>890</v>
      </c>
      <c r="F534" s="44" t="s">
        <v>1228</v>
      </c>
      <c r="G534" s="44">
        <v>30.0</v>
      </c>
      <c r="H534" s="47" t="s">
        <v>970</v>
      </c>
      <c r="I534" s="47" t="s">
        <v>890</v>
      </c>
      <c r="J534" s="44">
        <v>10.911016</v>
      </c>
      <c r="K534" s="48">
        <v>106.781359</v>
      </c>
    </row>
    <row r="535" ht="22.5" customHeight="1">
      <c r="A535" s="44" t="s">
        <v>307</v>
      </c>
      <c r="B535" s="44" t="s">
        <v>2431</v>
      </c>
      <c r="C535" s="44" t="s">
        <v>2432</v>
      </c>
      <c r="D535" s="44" t="s">
        <v>1107</v>
      </c>
      <c r="E535" s="49" t="s">
        <v>892</v>
      </c>
      <c r="F535" s="44" t="s">
        <v>1108</v>
      </c>
      <c r="G535" s="44">
        <v>60.0</v>
      </c>
      <c r="H535" s="47" t="s">
        <v>970</v>
      </c>
      <c r="I535" s="47" t="s">
        <v>892</v>
      </c>
      <c r="J535" s="44">
        <v>10.964082209581</v>
      </c>
      <c r="K535" s="48">
        <v>106.66537438823</v>
      </c>
    </row>
    <row r="536" ht="22.5" customHeight="1">
      <c r="A536" s="44" t="s">
        <v>310</v>
      </c>
      <c r="B536" s="44" t="s">
        <v>2433</v>
      </c>
      <c r="C536" s="44" t="s">
        <v>2434</v>
      </c>
      <c r="D536" s="44" t="s">
        <v>1107</v>
      </c>
      <c r="E536" s="49" t="s">
        <v>892</v>
      </c>
      <c r="F536" s="44" t="s">
        <v>1108</v>
      </c>
      <c r="G536" s="50">
        <v>45.0</v>
      </c>
      <c r="H536" s="47" t="s">
        <v>970</v>
      </c>
      <c r="I536" s="47" t="s">
        <v>892</v>
      </c>
      <c r="J536" s="44">
        <v>10.962541</v>
      </c>
      <c r="K536" s="48">
        <v>106.676592</v>
      </c>
    </row>
    <row r="537" ht="22.5" customHeight="1">
      <c r="A537" s="44" t="s">
        <v>2435</v>
      </c>
      <c r="B537" s="44" t="s">
        <v>2436</v>
      </c>
      <c r="C537" s="44" t="s">
        <v>2437</v>
      </c>
      <c r="D537" s="44" t="s">
        <v>1648</v>
      </c>
      <c r="E537" s="49" t="s">
        <v>883</v>
      </c>
      <c r="F537" s="44" t="s">
        <v>1471</v>
      </c>
      <c r="G537" s="50">
        <v>85.0</v>
      </c>
      <c r="H537" s="47" t="s">
        <v>970</v>
      </c>
      <c r="I537" s="47" t="s">
        <v>890</v>
      </c>
      <c r="J537" s="44">
        <v>10.929119662499</v>
      </c>
      <c r="K537" s="48">
        <v>106.74050410307</v>
      </c>
    </row>
    <row r="538" ht="22.5" customHeight="1">
      <c r="A538" s="44" t="s">
        <v>2438</v>
      </c>
      <c r="B538" s="44" t="s">
        <v>2439</v>
      </c>
      <c r="C538" s="44" t="s">
        <v>2440</v>
      </c>
      <c r="D538" s="44" t="s">
        <v>1779</v>
      </c>
      <c r="E538" s="49"/>
      <c r="F538" s="44" t="s">
        <v>1098</v>
      </c>
      <c r="G538" s="44"/>
      <c r="H538" s="47"/>
      <c r="I538" s="47" t="s">
        <v>891</v>
      </c>
      <c r="J538" s="44">
        <v>10.933239747874</v>
      </c>
      <c r="K538" s="48">
        <v>106.85346857301</v>
      </c>
    </row>
    <row r="539" ht="22.5" customHeight="1">
      <c r="A539" s="44" t="s">
        <v>14</v>
      </c>
      <c r="B539" s="44" t="s">
        <v>2441</v>
      </c>
      <c r="C539" s="44" t="s">
        <v>2442</v>
      </c>
      <c r="D539" s="44" t="s">
        <v>1779</v>
      </c>
      <c r="E539" s="49" t="s">
        <v>891</v>
      </c>
      <c r="F539" s="44" t="s">
        <v>1125</v>
      </c>
      <c r="G539" s="44">
        <v>60.0</v>
      </c>
      <c r="H539" s="47" t="s">
        <v>970</v>
      </c>
      <c r="I539" s="47" t="s">
        <v>891</v>
      </c>
      <c r="J539" s="44">
        <v>10.94985</v>
      </c>
      <c r="K539" s="48">
        <v>106.829761</v>
      </c>
    </row>
    <row r="540" ht="22.5" customHeight="1">
      <c r="A540" s="44" t="s">
        <v>16</v>
      </c>
      <c r="B540" s="44" t="s">
        <v>2443</v>
      </c>
      <c r="C540" s="44" t="s">
        <v>2444</v>
      </c>
      <c r="D540" s="44" t="s">
        <v>1779</v>
      </c>
      <c r="E540" s="49" t="s">
        <v>891</v>
      </c>
      <c r="F540" s="44" t="s">
        <v>1125</v>
      </c>
      <c r="G540" s="44">
        <v>60.0</v>
      </c>
      <c r="H540" s="47" t="s">
        <v>970</v>
      </c>
      <c r="I540" s="47" t="s">
        <v>891</v>
      </c>
      <c r="J540" s="44">
        <v>10.933679</v>
      </c>
      <c r="K540" s="48">
        <v>106.830421</v>
      </c>
    </row>
    <row r="541" ht="22.5" customHeight="1">
      <c r="A541" s="44" t="s">
        <v>2445</v>
      </c>
      <c r="B541" s="44" t="s">
        <v>2446</v>
      </c>
      <c r="C541" s="44" t="s">
        <v>2447</v>
      </c>
      <c r="D541" s="44" t="s">
        <v>1135</v>
      </c>
      <c r="E541" s="49" t="s">
        <v>888</v>
      </c>
      <c r="F541" s="44" t="s">
        <v>1136</v>
      </c>
      <c r="G541" s="44">
        <v>60.0</v>
      </c>
      <c r="H541" s="47" t="s">
        <v>970</v>
      </c>
      <c r="I541" s="47" t="s">
        <v>888</v>
      </c>
      <c r="J541" s="44">
        <v>10.781153</v>
      </c>
      <c r="K541" s="48">
        <v>106.70047</v>
      </c>
    </row>
    <row r="542" ht="22.5" customHeight="1">
      <c r="A542" s="44" t="s">
        <v>2448</v>
      </c>
      <c r="B542" s="44" t="s">
        <v>2449</v>
      </c>
      <c r="C542" s="44" t="s">
        <v>2450</v>
      </c>
      <c r="D542" s="44" t="s">
        <v>1883</v>
      </c>
      <c r="E542" s="49" t="s">
        <v>883</v>
      </c>
      <c r="F542" s="44" t="s">
        <v>1471</v>
      </c>
      <c r="G542" s="44">
        <v>80.0</v>
      </c>
      <c r="H542" s="47" t="s">
        <v>970</v>
      </c>
      <c r="I542" s="47" t="s">
        <v>883</v>
      </c>
      <c r="J542" s="44">
        <v>10.91786</v>
      </c>
      <c r="K542" s="48">
        <v>106.713564</v>
      </c>
    </row>
    <row r="543" ht="22.5" customHeight="1">
      <c r="A543" s="44" t="s">
        <v>384</v>
      </c>
      <c r="B543" s="44" t="s">
        <v>2451</v>
      </c>
      <c r="C543" s="44" t="s">
        <v>2452</v>
      </c>
      <c r="D543" s="44" t="s">
        <v>1167</v>
      </c>
      <c r="E543" s="49" t="s">
        <v>789</v>
      </c>
      <c r="F543" s="44" t="s">
        <v>1168</v>
      </c>
      <c r="G543" s="44">
        <v>69.0</v>
      </c>
      <c r="H543" s="47" t="s">
        <v>970</v>
      </c>
      <c r="I543" s="47" t="s">
        <v>789</v>
      </c>
      <c r="J543" s="44">
        <v>10.739082</v>
      </c>
      <c r="K543" s="48">
        <v>106.614928</v>
      </c>
    </row>
    <row r="544" ht="22.5" customHeight="1">
      <c r="A544" s="44" t="s">
        <v>2453</v>
      </c>
      <c r="B544" s="44" t="s">
        <v>2454</v>
      </c>
      <c r="C544" s="44" t="s">
        <v>2455</v>
      </c>
      <c r="D544" s="44" t="s">
        <v>973</v>
      </c>
      <c r="E544" s="49" t="s">
        <v>894</v>
      </c>
      <c r="F544" s="44" t="s">
        <v>974</v>
      </c>
      <c r="G544" s="44">
        <v>68.0</v>
      </c>
      <c r="H544" s="47" t="s">
        <v>970</v>
      </c>
      <c r="I544" s="47" t="s">
        <v>894</v>
      </c>
      <c r="J544" s="44">
        <v>10.733005</v>
      </c>
      <c r="K544" s="48">
        <v>106.709883</v>
      </c>
    </row>
    <row r="545" ht="22.5" customHeight="1">
      <c r="A545" s="44" t="s">
        <v>2456</v>
      </c>
      <c r="B545" s="44" t="s">
        <v>2457</v>
      </c>
      <c r="C545" s="44" t="s">
        <v>2458</v>
      </c>
      <c r="D545" s="44" t="s">
        <v>1167</v>
      </c>
      <c r="E545" s="49" t="s">
        <v>789</v>
      </c>
      <c r="F545" s="44" t="s">
        <v>1168</v>
      </c>
      <c r="G545" s="44">
        <v>69.0</v>
      </c>
      <c r="H545" s="47" t="s">
        <v>970</v>
      </c>
      <c r="I545" s="47" t="s">
        <v>789</v>
      </c>
      <c r="J545" s="44">
        <v>10.755659</v>
      </c>
      <c r="K545" s="48">
        <v>106.609785</v>
      </c>
    </row>
    <row r="546" ht="22.5" customHeight="1">
      <c r="A546" s="44" t="s">
        <v>2459</v>
      </c>
      <c r="B546" s="44" t="s">
        <v>2460</v>
      </c>
      <c r="C546" s="44" t="s">
        <v>2461</v>
      </c>
      <c r="D546" s="44" t="s">
        <v>2462</v>
      </c>
      <c r="E546" s="49" t="s">
        <v>789</v>
      </c>
      <c r="F546" s="44" t="s">
        <v>1168</v>
      </c>
      <c r="G546" s="44">
        <v>60.0</v>
      </c>
      <c r="H546" s="47" t="s">
        <v>970</v>
      </c>
      <c r="I546" s="47" t="s">
        <v>819</v>
      </c>
      <c r="J546" s="44">
        <v>10.812757</v>
      </c>
      <c r="K546" s="48">
        <v>106.578949</v>
      </c>
    </row>
    <row r="547" ht="22.5" customHeight="1">
      <c r="A547" s="44" t="s">
        <v>395</v>
      </c>
      <c r="B547" s="44" t="s">
        <v>2463</v>
      </c>
      <c r="C547" s="44" t="s">
        <v>2464</v>
      </c>
      <c r="D547" s="44" t="s">
        <v>1132</v>
      </c>
      <c r="E547" s="49" t="s">
        <v>897</v>
      </c>
      <c r="F547" s="44" t="s">
        <v>1027</v>
      </c>
      <c r="G547" s="44">
        <v>75.0</v>
      </c>
      <c r="H547" s="47" t="s">
        <v>970</v>
      </c>
      <c r="I547" s="47" t="s">
        <v>897</v>
      </c>
      <c r="J547" s="44">
        <v>10.862936</v>
      </c>
      <c r="K547" s="48">
        <v>106.649567</v>
      </c>
    </row>
    <row r="548" ht="22.5" customHeight="1">
      <c r="A548" s="44" t="s">
        <v>2465</v>
      </c>
      <c r="B548" s="44" t="s">
        <v>2466</v>
      </c>
      <c r="C548" s="44" t="s">
        <v>2467</v>
      </c>
      <c r="D548" s="44" t="s">
        <v>973</v>
      </c>
      <c r="E548" s="49" t="s">
        <v>894</v>
      </c>
      <c r="F548" s="44" t="s">
        <v>974</v>
      </c>
      <c r="G548" s="44">
        <v>83.0</v>
      </c>
      <c r="H548" s="47" t="s">
        <v>970</v>
      </c>
      <c r="I548" s="47" t="s">
        <v>894</v>
      </c>
      <c r="J548" s="44">
        <v>10.727907</v>
      </c>
      <c r="K548" s="48">
        <v>106.707524</v>
      </c>
    </row>
    <row r="549" ht="22.5" customHeight="1">
      <c r="A549" s="44" t="s">
        <v>2468</v>
      </c>
      <c r="B549" s="44" t="s">
        <v>2469</v>
      </c>
      <c r="C549" s="44" t="s">
        <v>2470</v>
      </c>
      <c r="D549" s="44" t="s">
        <v>1811</v>
      </c>
      <c r="E549" s="49" t="s">
        <v>898</v>
      </c>
      <c r="F549" s="44" t="s">
        <v>1037</v>
      </c>
      <c r="G549" s="44">
        <v>90.0</v>
      </c>
      <c r="H549" s="47" t="s">
        <v>970</v>
      </c>
      <c r="I549" s="47" t="s">
        <v>809</v>
      </c>
      <c r="J549" s="44">
        <v>10.831681</v>
      </c>
      <c r="K549" s="48">
        <v>106.705184</v>
      </c>
    </row>
    <row r="550" ht="22.5" customHeight="1">
      <c r="A550" s="44" t="s">
        <v>2471</v>
      </c>
      <c r="B550" s="44" t="s">
        <v>2472</v>
      </c>
      <c r="C550" s="44" t="s">
        <v>2473</v>
      </c>
      <c r="D550" s="44" t="s">
        <v>1359</v>
      </c>
      <c r="E550" s="49" t="s">
        <v>822</v>
      </c>
      <c r="F550" s="44" t="s">
        <v>1284</v>
      </c>
      <c r="G550" s="44">
        <v>90.0</v>
      </c>
      <c r="H550" s="47" t="s">
        <v>970</v>
      </c>
      <c r="I550" s="47" t="s">
        <v>822</v>
      </c>
      <c r="J550" s="44">
        <v>10.755826</v>
      </c>
      <c r="K550" s="48">
        <v>106.657933</v>
      </c>
    </row>
    <row r="551" ht="22.5" customHeight="1">
      <c r="A551" s="44" t="s">
        <v>2474</v>
      </c>
      <c r="B551" s="44" t="s">
        <v>2475</v>
      </c>
      <c r="C551" s="44" t="s">
        <v>2476</v>
      </c>
      <c r="D551" s="44" t="s">
        <v>1026</v>
      </c>
      <c r="E551" s="49" t="s">
        <v>897</v>
      </c>
      <c r="F551" s="44" t="s">
        <v>1027</v>
      </c>
      <c r="G551" s="44">
        <v>90.0</v>
      </c>
      <c r="H551" s="47" t="s">
        <v>970</v>
      </c>
      <c r="I551" s="47" t="s">
        <v>897</v>
      </c>
      <c r="J551" s="44">
        <v>10.839616</v>
      </c>
      <c r="K551" s="48">
        <v>106.64676</v>
      </c>
    </row>
    <row r="552" ht="22.5" customHeight="1">
      <c r="A552" s="44" t="s">
        <v>2477</v>
      </c>
      <c r="B552" s="44" t="s">
        <v>2478</v>
      </c>
      <c r="C552" s="44" t="s">
        <v>2479</v>
      </c>
      <c r="D552" s="44" t="s">
        <v>1007</v>
      </c>
      <c r="E552" s="49"/>
      <c r="F552" s="44" t="s">
        <v>1098</v>
      </c>
      <c r="G552" s="44"/>
      <c r="H552" s="47" t="s">
        <v>970</v>
      </c>
      <c r="I552" s="47" t="s">
        <v>510</v>
      </c>
      <c r="J552" s="44">
        <v>10.864332</v>
      </c>
      <c r="K552" s="48">
        <v>106.745598</v>
      </c>
    </row>
    <row r="553" ht="22.5" customHeight="1">
      <c r="A553" s="44" t="s">
        <v>2480</v>
      </c>
      <c r="B553" s="44" t="s">
        <v>2481</v>
      </c>
      <c r="C553" s="44" t="s">
        <v>2482</v>
      </c>
      <c r="D553" s="44" t="s">
        <v>1030</v>
      </c>
      <c r="E553" s="49"/>
      <c r="F553" s="44" t="s">
        <v>1098</v>
      </c>
      <c r="G553" s="44"/>
      <c r="H553" s="47" t="s">
        <v>970</v>
      </c>
      <c r="I553" s="47" t="s">
        <v>832</v>
      </c>
      <c r="J553" s="44">
        <v>10.798414</v>
      </c>
      <c r="K553" s="48">
        <v>106.73415</v>
      </c>
    </row>
    <row r="554" ht="22.5" customHeight="1">
      <c r="A554" s="44" t="s">
        <v>630</v>
      </c>
      <c r="B554" s="44" t="s">
        <v>2483</v>
      </c>
      <c r="C554" s="44" t="s">
        <v>2484</v>
      </c>
      <c r="D554" s="44" t="s">
        <v>1860</v>
      </c>
      <c r="E554" s="49" t="s">
        <v>814</v>
      </c>
      <c r="F554" s="44" t="s">
        <v>1369</v>
      </c>
      <c r="G554" s="44">
        <v>30.0</v>
      </c>
      <c r="H554" s="47" t="s">
        <v>970</v>
      </c>
      <c r="I554" s="47" t="s">
        <v>889</v>
      </c>
      <c r="J554" s="44">
        <v>10.805884</v>
      </c>
      <c r="K554" s="48">
        <v>106.687405</v>
      </c>
    </row>
    <row r="555" ht="22.5" customHeight="1">
      <c r="A555" s="44" t="s">
        <v>141</v>
      </c>
      <c r="B555" s="44" t="s">
        <v>2485</v>
      </c>
      <c r="C555" s="44" t="s">
        <v>2486</v>
      </c>
      <c r="D555" s="44" t="s">
        <v>1433</v>
      </c>
      <c r="E555" s="49" t="s">
        <v>910</v>
      </c>
      <c r="F555" s="44" t="s">
        <v>987</v>
      </c>
      <c r="G555" s="44">
        <v>60.0</v>
      </c>
      <c r="H555" s="47" t="s">
        <v>970</v>
      </c>
      <c r="I555" s="47" t="s">
        <v>813</v>
      </c>
      <c r="J555" s="44">
        <v>10.762831</v>
      </c>
      <c r="K555" s="48">
        <v>106.668358</v>
      </c>
    </row>
    <row r="556" ht="22.5" customHeight="1">
      <c r="A556" s="44" t="s">
        <v>864</v>
      </c>
      <c r="B556" s="44" t="s">
        <v>2487</v>
      </c>
      <c r="C556" s="44" t="s">
        <v>2488</v>
      </c>
      <c r="D556" s="44" t="s">
        <v>1135</v>
      </c>
      <c r="E556" s="49"/>
      <c r="F556" s="44" t="s">
        <v>1098</v>
      </c>
      <c r="G556" s="44"/>
      <c r="H556" s="47" t="s">
        <v>970</v>
      </c>
      <c r="I556" s="47" t="s">
        <v>804</v>
      </c>
      <c r="J556" s="44">
        <v>10.76898</v>
      </c>
      <c r="K556" s="48">
        <v>106.699658</v>
      </c>
    </row>
    <row r="557" ht="22.5" customHeight="1">
      <c r="A557" s="44" t="s">
        <v>2489</v>
      </c>
      <c r="B557" s="44" t="s">
        <v>2490</v>
      </c>
      <c r="C557" s="44" t="s">
        <v>2491</v>
      </c>
      <c r="D557" s="44" t="s">
        <v>1129</v>
      </c>
      <c r="E557" s="49"/>
      <c r="F557" s="44" t="s">
        <v>1098</v>
      </c>
      <c r="G557" s="44"/>
      <c r="H557" s="47" t="s">
        <v>970</v>
      </c>
      <c r="I557" s="47" t="s">
        <v>910</v>
      </c>
      <c r="J557" s="44">
        <v>10.775086</v>
      </c>
      <c r="K557" s="48">
        <v>106.672685</v>
      </c>
    </row>
    <row r="558" ht="22.5" customHeight="1">
      <c r="A558" s="44" t="s">
        <v>660</v>
      </c>
      <c r="B558" s="44" t="s">
        <v>1638</v>
      </c>
      <c r="C558" s="44" t="s">
        <v>2492</v>
      </c>
      <c r="D558" s="44" t="s">
        <v>2493</v>
      </c>
      <c r="E558" s="49"/>
      <c r="F558" s="44" t="s">
        <v>1098</v>
      </c>
      <c r="G558" s="44"/>
      <c r="H558" s="47" t="s">
        <v>970</v>
      </c>
      <c r="I558" s="47" t="s">
        <v>870</v>
      </c>
      <c r="J558" s="44">
        <v>10.005829</v>
      </c>
      <c r="K558" s="48">
        <v>105.77173</v>
      </c>
    </row>
    <row r="559" ht="22.5" customHeight="1">
      <c r="A559" s="44" t="s">
        <v>931</v>
      </c>
      <c r="B559" s="44" t="s">
        <v>2494</v>
      </c>
      <c r="C559" s="44" t="s">
        <v>2495</v>
      </c>
      <c r="D559" s="44" t="s">
        <v>1051</v>
      </c>
      <c r="E559" s="49"/>
      <c r="F559" s="44" t="s">
        <v>1098</v>
      </c>
      <c r="G559" s="44"/>
      <c r="H559" s="47" t="s">
        <v>970</v>
      </c>
      <c r="I559" s="47" t="s">
        <v>863</v>
      </c>
      <c r="J559" s="44">
        <v>10.348147</v>
      </c>
      <c r="K559" s="48">
        <v>107.075773</v>
      </c>
    </row>
    <row r="560" ht="22.5" customHeight="1">
      <c r="A560" s="44" t="s">
        <v>2496</v>
      </c>
      <c r="B560" s="44" t="s">
        <v>2497</v>
      </c>
      <c r="C560" s="44" t="s">
        <v>2498</v>
      </c>
      <c r="D560" s="44" t="s">
        <v>1129</v>
      </c>
      <c r="E560" s="49" t="s">
        <v>910</v>
      </c>
      <c r="F560" s="44" t="s">
        <v>987</v>
      </c>
      <c r="G560" s="44">
        <v>60.0</v>
      </c>
      <c r="H560" s="47" t="s">
        <v>970</v>
      </c>
      <c r="I560" s="47" t="s">
        <v>910</v>
      </c>
      <c r="J560" s="44">
        <v>10.775487</v>
      </c>
      <c r="K560" s="48">
        <v>106.664777</v>
      </c>
    </row>
    <row r="561" ht="22.5" customHeight="1">
      <c r="A561" s="44" t="s">
        <v>871</v>
      </c>
      <c r="B561" s="44" t="s">
        <v>2499</v>
      </c>
      <c r="C561" s="44" t="s">
        <v>2500</v>
      </c>
      <c r="D561" s="44" t="s">
        <v>1014</v>
      </c>
      <c r="E561" s="49"/>
      <c r="F561" s="44" t="s">
        <v>1098</v>
      </c>
      <c r="G561" s="44"/>
      <c r="H561" s="47" t="s">
        <v>970</v>
      </c>
      <c r="I561" s="47" t="s">
        <v>813</v>
      </c>
      <c r="J561" s="44">
        <v>10.761627</v>
      </c>
      <c r="K561" s="48">
        <v>106.676907</v>
      </c>
    </row>
    <row r="562" ht="22.5" customHeight="1">
      <c r="A562" s="44" t="s">
        <v>2501</v>
      </c>
      <c r="B562" s="44" t="s">
        <v>2502</v>
      </c>
      <c r="C562" s="44" t="s">
        <v>2503</v>
      </c>
      <c r="D562" s="44" t="s">
        <v>1120</v>
      </c>
      <c r="E562" s="49" t="s">
        <v>895</v>
      </c>
      <c r="F562" s="44" t="s">
        <v>1121</v>
      </c>
      <c r="G562" s="44">
        <v>72.0</v>
      </c>
      <c r="H562" s="47" t="s">
        <v>970</v>
      </c>
      <c r="I562" s="47" t="s">
        <v>895</v>
      </c>
      <c r="J562" s="44">
        <v>10.849326</v>
      </c>
      <c r="K562" s="48">
        <v>106.799845</v>
      </c>
    </row>
    <row r="563" ht="22.5" customHeight="1">
      <c r="A563" s="44" t="s">
        <v>2504</v>
      </c>
      <c r="B563" s="44" t="s">
        <v>2505</v>
      </c>
      <c r="C563" s="44" t="s">
        <v>2506</v>
      </c>
      <c r="D563" s="44" t="s">
        <v>1506</v>
      </c>
      <c r="E563" s="49" t="s">
        <v>897</v>
      </c>
      <c r="F563" s="44" t="s">
        <v>1027</v>
      </c>
      <c r="G563" s="44">
        <v>115.0</v>
      </c>
      <c r="H563" s="47" t="s">
        <v>970</v>
      </c>
      <c r="I563" s="47" t="s">
        <v>797</v>
      </c>
      <c r="J563" s="44">
        <v>10.86139</v>
      </c>
      <c r="K563" s="48">
        <v>106.611357</v>
      </c>
    </row>
    <row r="564" ht="22.5" customHeight="1">
      <c r="A564" s="44" t="s">
        <v>375</v>
      </c>
      <c r="B564" s="44" t="s">
        <v>2507</v>
      </c>
      <c r="C564" s="44" t="s">
        <v>2508</v>
      </c>
      <c r="D564" s="44" t="s">
        <v>2509</v>
      </c>
      <c r="E564" s="49" t="s">
        <v>910</v>
      </c>
      <c r="F564" s="44" t="s">
        <v>987</v>
      </c>
      <c r="G564" s="44">
        <v>100.0</v>
      </c>
      <c r="H564" s="47" t="s">
        <v>970</v>
      </c>
      <c r="I564" s="47" t="s">
        <v>789</v>
      </c>
      <c r="J564" s="44">
        <v>10.654115214738</v>
      </c>
      <c r="K564" s="48">
        <v>106.58666905155</v>
      </c>
    </row>
    <row r="565" ht="22.5" customHeight="1">
      <c r="A565" s="44" t="s">
        <v>2510</v>
      </c>
      <c r="B565" s="44" t="s">
        <v>2511</v>
      </c>
      <c r="C565" s="44" t="s">
        <v>2512</v>
      </c>
      <c r="D565" s="44" t="s">
        <v>1939</v>
      </c>
      <c r="E565" s="49" t="s">
        <v>510</v>
      </c>
      <c r="F565" s="44" t="s">
        <v>983</v>
      </c>
      <c r="G565" s="44">
        <v>60.0</v>
      </c>
      <c r="H565" s="47" t="s">
        <v>970</v>
      </c>
      <c r="I565" s="47" t="s">
        <v>895</v>
      </c>
      <c r="J565" s="44">
        <v>10.861369</v>
      </c>
      <c r="K565" s="48">
        <v>106.779868</v>
      </c>
    </row>
    <row r="566" ht="22.5" customHeight="1">
      <c r="A566" s="44" t="s">
        <v>418</v>
      </c>
      <c r="B566" s="44" t="s">
        <v>2513</v>
      </c>
      <c r="C566" s="44" t="s">
        <v>2514</v>
      </c>
      <c r="D566" s="44" t="s">
        <v>1026</v>
      </c>
      <c r="E566" s="49" t="s">
        <v>897</v>
      </c>
      <c r="F566" s="44" t="s">
        <v>1027</v>
      </c>
      <c r="G566" s="44">
        <v>68.0</v>
      </c>
      <c r="H566" s="47" t="s">
        <v>970</v>
      </c>
      <c r="I566" s="47" t="s">
        <v>809</v>
      </c>
      <c r="J566" s="44">
        <v>10.836481</v>
      </c>
      <c r="K566" s="48">
        <v>106.664724</v>
      </c>
    </row>
    <row r="567" ht="22.5" customHeight="1">
      <c r="A567" s="44" t="s">
        <v>714</v>
      </c>
      <c r="B567" s="44" t="s">
        <v>2515</v>
      </c>
      <c r="C567" s="44" t="s">
        <v>2447</v>
      </c>
      <c r="D567" s="44" t="s">
        <v>1135</v>
      </c>
      <c r="E567" s="49" t="s">
        <v>910</v>
      </c>
      <c r="F567" s="44" t="s">
        <v>987</v>
      </c>
      <c r="G567" s="44">
        <v>45.0</v>
      </c>
      <c r="H567" s="47" t="s">
        <v>970</v>
      </c>
      <c r="I567" s="47" t="s">
        <v>888</v>
      </c>
      <c r="J567" s="44">
        <v>10.781153</v>
      </c>
      <c r="K567" s="48">
        <v>106.70047</v>
      </c>
    </row>
    <row r="568" ht="22.5" customHeight="1">
      <c r="A568" s="44" t="s">
        <v>2516</v>
      </c>
      <c r="B568" s="44" t="s">
        <v>2517</v>
      </c>
      <c r="C568" s="44" t="s">
        <v>2518</v>
      </c>
      <c r="D568" s="44" t="s">
        <v>1802</v>
      </c>
      <c r="E568" s="49"/>
      <c r="F568" s="44" t="s">
        <v>1098</v>
      </c>
      <c r="G568" s="44"/>
      <c r="H568" s="47" t="s">
        <v>970</v>
      </c>
      <c r="I568" s="47" t="s">
        <v>826</v>
      </c>
      <c r="J568" s="44">
        <v>10.769024</v>
      </c>
      <c r="K568" s="48">
        <v>106.687037</v>
      </c>
    </row>
    <row r="569" ht="22.5" customHeight="1">
      <c r="A569" s="44" t="s">
        <v>2519</v>
      </c>
      <c r="B569" s="44" t="s">
        <v>2520</v>
      </c>
      <c r="C569" s="44" t="s">
        <v>1351</v>
      </c>
      <c r="D569" s="44" t="s">
        <v>1076</v>
      </c>
      <c r="E569" s="49" t="s">
        <v>813</v>
      </c>
      <c r="F569" s="44" t="s">
        <v>1015</v>
      </c>
      <c r="G569" s="50">
        <v>116.0</v>
      </c>
      <c r="H569" s="47" t="s">
        <v>970</v>
      </c>
      <c r="I569" s="47" t="s">
        <v>813</v>
      </c>
      <c r="J569" s="44">
        <v>10.754244</v>
      </c>
      <c r="K569" s="48">
        <v>106.671571</v>
      </c>
    </row>
    <row r="570" ht="22.5" customHeight="1">
      <c r="A570" s="44" t="s">
        <v>2521</v>
      </c>
      <c r="B570" s="44" t="s">
        <v>2522</v>
      </c>
      <c r="C570" s="44" t="s">
        <v>1351</v>
      </c>
      <c r="D570" s="44" t="s">
        <v>1076</v>
      </c>
      <c r="E570" s="49" t="s">
        <v>813</v>
      </c>
      <c r="F570" s="44" t="s">
        <v>1015</v>
      </c>
      <c r="G570" s="44">
        <v>76.0</v>
      </c>
      <c r="H570" s="47" t="s">
        <v>970</v>
      </c>
      <c r="I570" s="47" t="s">
        <v>813</v>
      </c>
      <c r="J570" s="44">
        <v>10.754244</v>
      </c>
      <c r="K570" s="48">
        <v>106.671571</v>
      </c>
    </row>
    <row r="571" ht="22.5" customHeight="1">
      <c r="A571" s="44" t="s">
        <v>2523</v>
      </c>
      <c r="B571" s="44" t="s">
        <v>2524</v>
      </c>
      <c r="C571" s="44" t="s">
        <v>1006</v>
      </c>
      <c r="D571" s="44" t="s">
        <v>1007</v>
      </c>
      <c r="E571" s="49" t="s">
        <v>510</v>
      </c>
      <c r="F571" s="44" t="s">
        <v>983</v>
      </c>
      <c r="G571" s="44">
        <v>106.0</v>
      </c>
      <c r="H571" s="47" t="s">
        <v>970</v>
      </c>
      <c r="I571" s="47" t="s">
        <v>510</v>
      </c>
      <c r="J571" s="44">
        <v>10.864436</v>
      </c>
      <c r="K571" s="48">
        <v>106.74569</v>
      </c>
    </row>
    <row r="572" ht="22.5" customHeight="1">
      <c r="A572" s="44" t="s">
        <v>755</v>
      </c>
      <c r="B572" s="44" t="s">
        <v>2525</v>
      </c>
      <c r="C572" s="44" t="s">
        <v>2526</v>
      </c>
      <c r="D572" s="44" t="s">
        <v>1124</v>
      </c>
      <c r="E572" s="49" t="s">
        <v>891</v>
      </c>
      <c r="F572" s="44" t="s">
        <v>1125</v>
      </c>
      <c r="G572" s="44">
        <v>100.0</v>
      </c>
      <c r="H572" s="47" t="s">
        <v>970</v>
      </c>
      <c r="I572" s="47" t="s">
        <v>891</v>
      </c>
      <c r="J572" s="44">
        <v>11.011293</v>
      </c>
      <c r="K572" s="48">
        <v>106.838562</v>
      </c>
    </row>
    <row r="573" ht="22.5" customHeight="1">
      <c r="A573" s="44" t="s">
        <v>2527</v>
      </c>
      <c r="B573" s="44" t="s">
        <v>2528</v>
      </c>
      <c r="C573" s="44" t="s">
        <v>1006</v>
      </c>
      <c r="D573" s="44" t="s">
        <v>1007</v>
      </c>
      <c r="E573" s="49" t="s">
        <v>510</v>
      </c>
      <c r="F573" s="44" t="s">
        <v>983</v>
      </c>
      <c r="G573" s="44">
        <v>96.0</v>
      </c>
      <c r="H573" s="47" t="s">
        <v>970</v>
      </c>
      <c r="I573" s="47" t="s">
        <v>510</v>
      </c>
      <c r="J573" s="44">
        <v>10.864436</v>
      </c>
      <c r="K573" s="48">
        <v>106.74569</v>
      </c>
    </row>
    <row r="574" ht="22.5" customHeight="1">
      <c r="A574" s="44" t="s">
        <v>2529</v>
      </c>
      <c r="B574" s="44" t="s">
        <v>2530</v>
      </c>
      <c r="C574" s="44" t="s">
        <v>2531</v>
      </c>
      <c r="D574" s="44" t="s">
        <v>1047</v>
      </c>
      <c r="E574" s="49" t="s">
        <v>889</v>
      </c>
      <c r="F574" s="44" t="s">
        <v>1043</v>
      </c>
      <c r="G574" s="44">
        <v>90.0</v>
      </c>
      <c r="H574" s="47" t="s">
        <v>970</v>
      </c>
      <c r="I574" s="47" t="s">
        <v>889</v>
      </c>
      <c r="J574" s="44">
        <v>10.805501</v>
      </c>
      <c r="K574" s="48">
        <v>106.691031</v>
      </c>
    </row>
    <row r="575" ht="22.5" customHeight="1">
      <c r="A575" s="44" t="s">
        <v>114</v>
      </c>
      <c r="B575" s="44" t="s">
        <v>2532</v>
      </c>
      <c r="C575" s="44" t="s">
        <v>2533</v>
      </c>
      <c r="D575" s="44" t="s">
        <v>1189</v>
      </c>
      <c r="E575" s="49" t="s">
        <v>893</v>
      </c>
      <c r="F575" s="44" t="s">
        <v>1088</v>
      </c>
      <c r="G575" s="44">
        <v>60.0</v>
      </c>
      <c r="H575" s="47" t="s">
        <v>970</v>
      </c>
      <c r="I575" s="47" t="s">
        <v>893</v>
      </c>
      <c r="J575" s="44">
        <v>10.806952</v>
      </c>
      <c r="K575" s="48">
        <v>106.627716</v>
      </c>
    </row>
    <row r="576" ht="22.5" customHeight="1">
      <c r="A576" s="44" t="s">
        <v>2534</v>
      </c>
      <c r="B576" s="44" t="s">
        <v>2535</v>
      </c>
      <c r="C576" s="44" t="s">
        <v>2536</v>
      </c>
      <c r="D576" s="44" t="s">
        <v>1368</v>
      </c>
      <c r="E576" s="49" t="s">
        <v>814</v>
      </c>
      <c r="F576" s="44" t="s">
        <v>1369</v>
      </c>
      <c r="G576" s="44">
        <v>60.0</v>
      </c>
      <c r="H576" s="47" t="s">
        <v>970</v>
      </c>
      <c r="I576" s="47" t="s">
        <v>814</v>
      </c>
      <c r="J576" s="44">
        <v>10.79502</v>
      </c>
      <c r="K576" s="48">
        <v>106.672605</v>
      </c>
    </row>
    <row r="577" ht="22.5" customHeight="1">
      <c r="A577" s="44" t="s">
        <v>2537</v>
      </c>
      <c r="B577" s="44" t="s">
        <v>2538</v>
      </c>
      <c r="C577" s="44" t="s">
        <v>2539</v>
      </c>
      <c r="D577" s="44" t="s">
        <v>1097</v>
      </c>
      <c r="E577" s="49" t="s">
        <v>863</v>
      </c>
      <c r="F577" s="44" t="s">
        <v>1052</v>
      </c>
      <c r="G577" s="44">
        <v>60.0</v>
      </c>
      <c r="H577" s="47" t="s">
        <v>970</v>
      </c>
      <c r="I577" s="47" t="s">
        <v>863</v>
      </c>
      <c r="J577" s="44">
        <v>10.392135</v>
      </c>
      <c r="K577" s="48">
        <v>107.12989</v>
      </c>
    </row>
    <row r="578" ht="22.5" customHeight="1">
      <c r="A578" s="44" t="s">
        <v>758</v>
      </c>
      <c r="B578" s="44" t="s">
        <v>2540</v>
      </c>
      <c r="C578" s="44" t="s">
        <v>1006</v>
      </c>
      <c r="D578" s="44" t="s">
        <v>1007</v>
      </c>
      <c r="E578" s="49" t="s">
        <v>510</v>
      </c>
      <c r="F578" s="44" t="s">
        <v>983</v>
      </c>
      <c r="G578" s="44">
        <v>66.0</v>
      </c>
      <c r="H578" s="47" t="s">
        <v>970</v>
      </c>
      <c r="I578" s="47" t="s">
        <v>510</v>
      </c>
      <c r="J578" s="44">
        <v>10.86434</v>
      </c>
      <c r="K578" s="48">
        <v>106.745671</v>
      </c>
    </row>
    <row r="579" ht="22.5" customHeight="1">
      <c r="A579" s="44" t="s">
        <v>2541</v>
      </c>
      <c r="B579" s="44" t="s">
        <v>2542</v>
      </c>
      <c r="C579" s="44" t="s">
        <v>2543</v>
      </c>
      <c r="D579" s="44" t="s">
        <v>1042</v>
      </c>
      <c r="E579" s="49"/>
      <c r="F579" s="44" t="s">
        <v>1098</v>
      </c>
      <c r="G579" s="44"/>
      <c r="H579" s="47" t="s">
        <v>970</v>
      </c>
      <c r="I579" s="47" t="s">
        <v>889</v>
      </c>
      <c r="J579" s="44">
        <v>10.815252</v>
      </c>
      <c r="K579" s="48">
        <v>106.707654</v>
      </c>
    </row>
    <row r="580" ht="22.5" customHeight="1">
      <c r="A580" s="44" t="s">
        <v>669</v>
      </c>
      <c r="B580" s="44" t="s">
        <v>2544</v>
      </c>
      <c r="C580" s="44" t="s">
        <v>2545</v>
      </c>
      <c r="D580" s="44" t="s">
        <v>990</v>
      </c>
      <c r="E580" s="49" t="s">
        <v>894</v>
      </c>
      <c r="F580" s="44" t="s">
        <v>974</v>
      </c>
      <c r="G580" s="44">
        <v>38.0</v>
      </c>
      <c r="H580" s="47" t="s">
        <v>970</v>
      </c>
      <c r="I580" s="47" t="s">
        <v>882</v>
      </c>
      <c r="J580" s="44">
        <v>10.722487</v>
      </c>
      <c r="K580" s="48">
        <v>106.726215</v>
      </c>
    </row>
    <row r="581" ht="22.5" customHeight="1">
      <c r="A581" s="44" t="s">
        <v>26</v>
      </c>
      <c r="B581" s="44" t="s">
        <v>2546</v>
      </c>
      <c r="C581" s="44" t="s">
        <v>2547</v>
      </c>
      <c r="D581" s="44" t="s">
        <v>1857</v>
      </c>
      <c r="E581" s="49" t="s">
        <v>891</v>
      </c>
      <c r="F581" s="44" t="s">
        <v>1125</v>
      </c>
      <c r="G581" s="44">
        <v>60.0</v>
      </c>
      <c r="H581" s="47" t="s">
        <v>970</v>
      </c>
      <c r="I581" s="47" t="s">
        <v>891</v>
      </c>
      <c r="J581" s="44">
        <v>10.934519</v>
      </c>
      <c r="K581" s="48">
        <v>106.816414</v>
      </c>
    </row>
    <row r="582" ht="22.5" customHeight="1">
      <c r="A582" s="44" t="s">
        <v>2548</v>
      </c>
      <c r="B582" s="44" t="s">
        <v>2549</v>
      </c>
      <c r="C582" s="44" t="s">
        <v>2550</v>
      </c>
      <c r="D582" s="44" t="s">
        <v>973</v>
      </c>
      <c r="E582" s="49" t="s">
        <v>894</v>
      </c>
      <c r="F582" s="44" t="s">
        <v>974</v>
      </c>
      <c r="G582" s="44">
        <v>38.0</v>
      </c>
      <c r="H582" s="47" t="s">
        <v>970</v>
      </c>
      <c r="I582" s="47" t="s">
        <v>894</v>
      </c>
      <c r="J582" s="44">
        <v>10.73087</v>
      </c>
      <c r="K582" s="48">
        <v>106.707489</v>
      </c>
    </row>
    <row r="583" ht="22.5" customHeight="1">
      <c r="A583" s="44" t="s">
        <v>778</v>
      </c>
      <c r="B583" s="44" t="s">
        <v>2551</v>
      </c>
      <c r="C583" s="44" t="s">
        <v>2552</v>
      </c>
      <c r="D583" s="44" t="s">
        <v>1474</v>
      </c>
      <c r="E583" s="49" t="s">
        <v>897</v>
      </c>
      <c r="F583" s="44" t="s">
        <v>1027</v>
      </c>
      <c r="G583" s="44">
        <v>90.0</v>
      </c>
      <c r="H583" s="47" t="s">
        <v>970</v>
      </c>
      <c r="I583" s="47" t="s">
        <v>897</v>
      </c>
      <c r="J583" s="44">
        <v>10.872572</v>
      </c>
      <c r="K583" s="48">
        <v>106.649411</v>
      </c>
    </row>
    <row r="584" ht="22.5" customHeight="1">
      <c r="A584" s="44" t="s">
        <v>2553</v>
      </c>
      <c r="B584" s="44" t="s">
        <v>2554</v>
      </c>
      <c r="C584" s="44" t="s">
        <v>2555</v>
      </c>
      <c r="D584" s="44" t="s">
        <v>1621</v>
      </c>
      <c r="E584" s="49"/>
      <c r="F584" s="44" t="s">
        <v>1098</v>
      </c>
      <c r="G584" s="44"/>
      <c r="H584" s="47" t="s">
        <v>1891</v>
      </c>
      <c r="I584" s="47" t="s">
        <v>885</v>
      </c>
      <c r="J584" s="44">
        <v>10.730503</v>
      </c>
      <c r="K584" s="48">
        <v>106.656123</v>
      </c>
    </row>
    <row r="585" ht="22.5" customHeight="1">
      <c r="A585" s="44" t="s">
        <v>2556</v>
      </c>
      <c r="B585" s="44" t="s">
        <v>2557</v>
      </c>
      <c r="C585" s="44" t="s">
        <v>1006</v>
      </c>
      <c r="D585" s="44" t="s">
        <v>1007</v>
      </c>
      <c r="E585" s="49" t="s">
        <v>510</v>
      </c>
      <c r="F585" s="44" t="s">
        <v>983</v>
      </c>
      <c r="G585" s="50">
        <v>66.0</v>
      </c>
      <c r="H585" s="47" t="s">
        <v>970</v>
      </c>
      <c r="I585" s="47" t="s">
        <v>510</v>
      </c>
      <c r="J585" s="44">
        <v>10.86434</v>
      </c>
      <c r="K585" s="48">
        <v>106.745671</v>
      </c>
    </row>
    <row r="586" ht="22.5" customHeight="1">
      <c r="A586" s="44" t="s">
        <v>2558</v>
      </c>
      <c r="B586" s="44" t="s">
        <v>2559</v>
      </c>
      <c r="C586" s="44" t="s">
        <v>1214</v>
      </c>
      <c r="D586" s="44" t="s">
        <v>1007</v>
      </c>
      <c r="E586" s="49" t="s">
        <v>510</v>
      </c>
      <c r="F586" s="44" t="s">
        <v>983</v>
      </c>
      <c r="G586" s="44">
        <v>66.0</v>
      </c>
      <c r="H586" s="47" t="s">
        <v>970</v>
      </c>
      <c r="I586" s="47" t="s">
        <v>510</v>
      </c>
      <c r="J586" s="44">
        <v>10.86434</v>
      </c>
      <c r="K586" s="48">
        <v>106.745671</v>
      </c>
    </row>
    <row r="587" ht="22.5" customHeight="1">
      <c r="A587" s="44" t="s">
        <v>2560</v>
      </c>
      <c r="B587" s="44" t="s">
        <v>2561</v>
      </c>
      <c r="C587" s="44" t="s">
        <v>2562</v>
      </c>
      <c r="D587" s="44" t="s">
        <v>1026</v>
      </c>
      <c r="E587" s="49" t="s">
        <v>897</v>
      </c>
      <c r="F587" s="44" t="s">
        <v>1027</v>
      </c>
      <c r="G587" s="44">
        <v>68.0</v>
      </c>
      <c r="H587" s="47" t="s">
        <v>970</v>
      </c>
      <c r="I587" s="47" t="s">
        <v>897</v>
      </c>
      <c r="J587" s="44">
        <v>10.847248</v>
      </c>
      <c r="K587" s="48">
        <v>106.65781</v>
      </c>
    </row>
    <row r="588" ht="22.5" customHeight="1">
      <c r="A588" s="44" t="s">
        <v>472</v>
      </c>
      <c r="B588" s="44" t="s">
        <v>2563</v>
      </c>
      <c r="C588" s="44" t="s">
        <v>2564</v>
      </c>
      <c r="D588" s="44" t="s">
        <v>1433</v>
      </c>
      <c r="E588" s="49" t="s">
        <v>910</v>
      </c>
      <c r="F588" s="44" t="s">
        <v>987</v>
      </c>
      <c r="G588" s="44">
        <v>30.0</v>
      </c>
      <c r="H588" s="47" t="s">
        <v>970</v>
      </c>
      <c r="I588" s="47" t="s">
        <v>813</v>
      </c>
      <c r="J588" s="44">
        <v>10.759864</v>
      </c>
      <c r="K588" s="48">
        <v>106.677032</v>
      </c>
    </row>
    <row r="589" ht="22.5" customHeight="1">
      <c r="A589" s="44" t="s">
        <v>2565</v>
      </c>
      <c r="B589" s="44" t="s">
        <v>2566</v>
      </c>
      <c r="C589" s="44" t="s">
        <v>1006</v>
      </c>
      <c r="D589" s="44" t="s">
        <v>1007</v>
      </c>
      <c r="E589" s="49" t="s">
        <v>510</v>
      </c>
      <c r="F589" s="44" t="s">
        <v>983</v>
      </c>
      <c r="G589" s="44">
        <v>66.0</v>
      </c>
      <c r="H589" s="47" t="s">
        <v>970</v>
      </c>
      <c r="I589" s="47" t="s">
        <v>510</v>
      </c>
      <c r="J589" s="44">
        <v>10.86434</v>
      </c>
      <c r="K589" s="48">
        <v>106.745671</v>
      </c>
    </row>
    <row r="590" ht="22.5" customHeight="1">
      <c r="A590" s="44" t="s">
        <v>366</v>
      </c>
      <c r="B590" s="44" t="s">
        <v>2567</v>
      </c>
      <c r="C590" s="44" t="s">
        <v>2568</v>
      </c>
      <c r="D590" s="44" t="s">
        <v>1139</v>
      </c>
      <c r="E590" s="49" t="s">
        <v>882</v>
      </c>
      <c r="F590" s="44" t="s">
        <v>991</v>
      </c>
      <c r="G590" s="44">
        <v>60.0</v>
      </c>
      <c r="H590" s="47" t="s">
        <v>970</v>
      </c>
      <c r="I590" s="47" t="s">
        <v>882</v>
      </c>
      <c r="J590" s="44">
        <v>10.686889631821</v>
      </c>
      <c r="K590" s="48">
        <v>106.74353216013</v>
      </c>
    </row>
    <row r="591" ht="22.5" customHeight="1">
      <c r="A591" s="44" t="s">
        <v>204</v>
      </c>
      <c r="B591" s="44" t="s">
        <v>2569</v>
      </c>
      <c r="C591" s="44" t="s">
        <v>2570</v>
      </c>
      <c r="D591" s="44" t="s">
        <v>1084</v>
      </c>
      <c r="E591" s="49" t="s">
        <v>898</v>
      </c>
      <c r="F591" s="44" t="s">
        <v>1037</v>
      </c>
      <c r="G591" s="44">
        <v>74.0</v>
      </c>
      <c r="H591" s="47" t="s">
        <v>970</v>
      </c>
      <c r="I591" s="47" t="s">
        <v>898</v>
      </c>
      <c r="J591" s="44">
        <v>10.776618</v>
      </c>
      <c r="K591" s="48">
        <v>106.76536</v>
      </c>
    </row>
    <row r="592" ht="22.5" customHeight="1">
      <c r="A592" s="44" t="s">
        <v>2571</v>
      </c>
      <c r="B592" s="44" t="s">
        <v>2572</v>
      </c>
      <c r="C592" s="44" t="s">
        <v>2573</v>
      </c>
      <c r="D592" s="44" t="s">
        <v>986</v>
      </c>
      <c r="E592" s="49" t="s">
        <v>822</v>
      </c>
      <c r="F592" s="44" t="s">
        <v>1284</v>
      </c>
      <c r="G592" s="44">
        <v>60.0</v>
      </c>
      <c r="H592" s="47" t="s">
        <v>970</v>
      </c>
      <c r="I592" s="47" t="s">
        <v>822</v>
      </c>
      <c r="J592" s="44">
        <v>10.769119</v>
      </c>
      <c r="K592" s="48">
        <v>106.659352</v>
      </c>
    </row>
    <row r="593" ht="22.5" customHeight="1">
      <c r="A593" s="44" t="s">
        <v>2574</v>
      </c>
      <c r="B593" s="44" t="s">
        <v>2575</v>
      </c>
      <c r="C593" s="44" t="s">
        <v>2576</v>
      </c>
      <c r="D593" s="44" t="s">
        <v>1021</v>
      </c>
      <c r="E593" s="49" t="s">
        <v>897</v>
      </c>
      <c r="F593" s="44" t="s">
        <v>1027</v>
      </c>
      <c r="G593" s="44">
        <v>68.0</v>
      </c>
      <c r="H593" s="47" t="s">
        <v>970</v>
      </c>
      <c r="I593" s="47" t="s">
        <v>809</v>
      </c>
      <c r="J593" s="44">
        <v>10.828265</v>
      </c>
      <c r="K593" s="48">
        <v>106.674265</v>
      </c>
    </row>
    <row r="594" ht="22.5" customHeight="1">
      <c r="A594" s="44" t="s">
        <v>626</v>
      </c>
      <c r="B594" s="44" t="s">
        <v>2577</v>
      </c>
      <c r="C594" s="44" t="s">
        <v>2578</v>
      </c>
      <c r="D594" s="44" t="s">
        <v>1111</v>
      </c>
      <c r="E594" s="49" t="s">
        <v>789</v>
      </c>
      <c r="F594" s="44" t="s">
        <v>1168</v>
      </c>
      <c r="G594" s="44">
        <v>39.0</v>
      </c>
      <c r="H594" s="47" t="s">
        <v>970</v>
      </c>
      <c r="I594" s="47" t="s">
        <v>820</v>
      </c>
      <c r="J594" s="44">
        <v>10.764439857153</v>
      </c>
      <c r="K594" s="48">
        <v>106.60331671297</v>
      </c>
    </row>
    <row r="595" ht="22.5" customHeight="1">
      <c r="A595" s="44" t="s">
        <v>2579</v>
      </c>
      <c r="B595" s="44" t="s">
        <v>2580</v>
      </c>
      <c r="C595" s="44" t="s">
        <v>2581</v>
      </c>
      <c r="D595" s="44" t="s">
        <v>1280</v>
      </c>
      <c r="E595" s="49" t="s">
        <v>510</v>
      </c>
      <c r="F595" s="44" t="s">
        <v>983</v>
      </c>
      <c r="G595" s="44">
        <v>66.0</v>
      </c>
      <c r="H595" s="47" t="s">
        <v>970</v>
      </c>
      <c r="I595" s="47" t="s">
        <v>895</v>
      </c>
      <c r="J595" s="44">
        <v>10.84128</v>
      </c>
      <c r="K595" s="48">
        <v>106.765066</v>
      </c>
    </row>
    <row r="596" ht="22.5" customHeight="1">
      <c r="A596" s="44" t="s">
        <v>2582</v>
      </c>
      <c r="B596" s="44" t="s">
        <v>2583</v>
      </c>
      <c r="C596" s="44" t="s">
        <v>2584</v>
      </c>
      <c r="D596" s="44" t="s">
        <v>1802</v>
      </c>
      <c r="E596" s="49" t="s">
        <v>910</v>
      </c>
      <c r="F596" s="44" t="s">
        <v>987</v>
      </c>
      <c r="G596" s="44">
        <v>45.0</v>
      </c>
      <c r="H596" s="47" t="s">
        <v>970</v>
      </c>
      <c r="I596" s="47" t="s">
        <v>804</v>
      </c>
      <c r="J596" s="44">
        <v>10.767085</v>
      </c>
      <c r="K596" s="48">
        <v>106.687748</v>
      </c>
    </row>
    <row r="597" ht="22.5" customHeight="1">
      <c r="A597" s="44" t="s">
        <v>2585</v>
      </c>
      <c r="B597" s="44" t="s">
        <v>2586</v>
      </c>
      <c r="C597" s="44" t="s">
        <v>2587</v>
      </c>
      <c r="D597" s="44" t="s">
        <v>1929</v>
      </c>
      <c r="E597" s="49"/>
      <c r="F597" s="44" t="s">
        <v>1098</v>
      </c>
      <c r="G597" s="44"/>
      <c r="H597" s="47" t="s">
        <v>970</v>
      </c>
      <c r="I597" s="47" t="s">
        <v>806</v>
      </c>
      <c r="J597" s="44">
        <v>10.798762</v>
      </c>
      <c r="K597" s="48">
        <v>106.655646</v>
      </c>
    </row>
    <row r="598" ht="22.5" customHeight="1">
      <c r="A598" s="44" t="s">
        <v>827</v>
      </c>
      <c r="B598" s="44" t="s">
        <v>2588</v>
      </c>
      <c r="C598" s="44" t="s">
        <v>2589</v>
      </c>
      <c r="D598" s="44" t="s">
        <v>1345</v>
      </c>
      <c r="E598" s="49" t="s">
        <v>822</v>
      </c>
      <c r="F598" s="44" t="s">
        <v>1284</v>
      </c>
      <c r="G598" s="50">
        <v>60.0</v>
      </c>
      <c r="H598" s="47" t="s">
        <v>970</v>
      </c>
      <c r="I598" s="47" t="s">
        <v>822</v>
      </c>
      <c r="J598" s="44">
        <v>10.75818</v>
      </c>
      <c r="K598" s="48">
        <v>106.656163</v>
      </c>
    </row>
    <row r="599" ht="22.5" customHeight="1">
      <c r="A599" s="44" t="s">
        <v>681</v>
      </c>
      <c r="B599" s="44" t="s">
        <v>2590</v>
      </c>
      <c r="C599" s="44" t="s">
        <v>2591</v>
      </c>
      <c r="D599" s="44" t="s">
        <v>1359</v>
      </c>
      <c r="E599" s="49" t="s">
        <v>822</v>
      </c>
      <c r="F599" s="44" t="s">
        <v>1284</v>
      </c>
      <c r="G599" s="44">
        <v>30.0</v>
      </c>
      <c r="H599" s="47" t="s">
        <v>970</v>
      </c>
      <c r="I599" s="47" t="s">
        <v>825</v>
      </c>
      <c r="J599" s="44">
        <v>10.753567</v>
      </c>
      <c r="K599" s="48">
        <v>106.654558</v>
      </c>
    </row>
    <row r="600" ht="22.5" customHeight="1">
      <c r="A600" s="44" t="s">
        <v>2592</v>
      </c>
      <c r="B600" s="44" t="s">
        <v>2593</v>
      </c>
      <c r="C600" s="44" t="s">
        <v>2594</v>
      </c>
      <c r="D600" s="44" t="s">
        <v>1433</v>
      </c>
      <c r="E600" s="49" t="s">
        <v>910</v>
      </c>
      <c r="F600" s="44" t="s">
        <v>987</v>
      </c>
      <c r="G600" s="44">
        <v>60.0</v>
      </c>
      <c r="H600" s="47" t="s">
        <v>970</v>
      </c>
      <c r="I600" s="47" t="s">
        <v>826</v>
      </c>
      <c r="J600" s="44">
        <v>10.774466</v>
      </c>
      <c r="K600" s="48">
        <v>106.67912</v>
      </c>
    </row>
    <row r="601" ht="22.5" customHeight="1">
      <c r="A601" s="44" t="s">
        <v>2595</v>
      </c>
      <c r="B601" s="44" t="s">
        <v>2596</v>
      </c>
      <c r="C601" s="44" t="s">
        <v>2597</v>
      </c>
      <c r="D601" s="44" t="s">
        <v>1510</v>
      </c>
      <c r="E601" s="49" t="s">
        <v>804</v>
      </c>
      <c r="F601" s="44" t="s">
        <v>1497</v>
      </c>
      <c r="G601" s="44">
        <v>90.0</v>
      </c>
      <c r="H601" s="47" t="s">
        <v>970</v>
      </c>
      <c r="I601" s="47" t="s">
        <v>804</v>
      </c>
      <c r="J601" s="44">
        <v>10.765248</v>
      </c>
      <c r="K601" s="48">
        <v>106.701973</v>
      </c>
    </row>
    <row r="602" ht="22.5" customHeight="1">
      <c r="A602" s="44" t="s">
        <v>2598</v>
      </c>
      <c r="B602" s="44" t="s">
        <v>2599</v>
      </c>
      <c r="C602" s="44" t="s">
        <v>2600</v>
      </c>
      <c r="D602" s="44" t="s">
        <v>1811</v>
      </c>
      <c r="E602" s="49" t="s">
        <v>889</v>
      </c>
      <c r="F602" s="44" t="s">
        <v>1043</v>
      </c>
      <c r="G602" s="44">
        <v>90.0</v>
      </c>
      <c r="H602" s="47" t="s">
        <v>970</v>
      </c>
      <c r="I602" s="47" t="s">
        <v>889</v>
      </c>
      <c r="J602" s="44">
        <v>10.810741055283</v>
      </c>
      <c r="K602" s="48">
        <v>106.69473486358</v>
      </c>
    </row>
    <row r="603" ht="22.5" customHeight="1">
      <c r="A603" s="44" t="s">
        <v>2601</v>
      </c>
      <c r="B603" s="44" t="s">
        <v>2602</v>
      </c>
      <c r="C603" s="44" t="s">
        <v>2603</v>
      </c>
      <c r="D603" s="44" t="s">
        <v>1280</v>
      </c>
      <c r="E603" s="49" t="s">
        <v>510</v>
      </c>
      <c r="F603" s="44" t="s">
        <v>983</v>
      </c>
      <c r="G603" s="44">
        <v>90.0</v>
      </c>
      <c r="H603" s="47" t="s">
        <v>970</v>
      </c>
      <c r="I603" s="47" t="s">
        <v>510</v>
      </c>
      <c r="J603" s="44">
        <v>10.860542</v>
      </c>
      <c r="K603" s="48">
        <v>106.760631</v>
      </c>
    </row>
    <row r="604" ht="22.5" customHeight="1">
      <c r="A604" s="44" t="s">
        <v>477</v>
      </c>
      <c r="B604" s="44" t="s">
        <v>2604</v>
      </c>
      <c r="C604" s="44" t="s">
        <v>2605</v>
      </c>
      <c r="D604" s="44" t="s">
        <v>1129</v>
      </c>
      <c r="E604" s="49" t="s">
        <v>910</v>
      </c>
      <c r="F604" s="44" t="s">
        <v>987</v>
      </c>
      <c r="G604" s="44">
        <v>60.0</v>
      </c>
      <c r="H604" s="47" t="s">
        <v>970</v>
      </c>
      <c r="I604" s="47" t="s">
        <v>910</v>
      </c>
      <c r="J604" s="44">
        <v>10.772201</v>
      </c>
      <c r="K604" s="48">
        <v>106.671359</v>
      </c>
    </row>
    <row r="605" ht="22.5" customHeight="1">
      <c r="A605" s="44" t="s">
        <v>190</v>
      </c>
      <c r="B605" s="44" t="s">
        <v>2606</v>
      </c>
      <c r="C605" s="44" t="s">
        <v>2607</v>
      </c>
      <c r="D605" s="44" t="s">
        <v>1030</v>
      </c>
      <c r="E605" s="49" t="s">
        <v>887</v>
      </c>
      <c r="F605" s="44" t="s">
        <v>1031</v>
      </c>
      <c r="G605" s="44">
        <v>44.0</v>
      </c>
      <c r="H605" s="47" t="s">
        <v>970</v>
      </c>
      <c r="I605" s="47" t="s">
        <v>832</v>
      </c>
      <c r="J605" s="44">
        <v>10.802707</v>
      </c>
      <c r="K605" s="48">
        <v>106.735506</v>
      </c>
    </row>
    <row r="606" ht="22.5" customHeight="1">
      <c r="A606" s="44" t="s">
        <v>2608</v>
      </c>
      <c r="B606" s="44" t="s">
        <v>2609</v>
      </c>
      <c r="C606" s="44" t="s">
        <v>2610</v>
      </c>
      <c r="D606" s="44" t="s">
        <v>2611</v>
      </c>
      <c r="E606" s="49" t="s">
        <v>892</v>
      </c>
      <c r="F606" s="44" t="s">
        <v>1108</v>
      </c>
      <c r="G606" s="44">
        <v>120.0</v>
      </c>
      <c r="H606" s="47" t="s">
        <v>970</v>
      </c>
      <c r="I606" s="47" t="s">
        <v>892</v>
      </c>
      <c r="J606" s="44">
        <v>11.098837</v>
      </c>
      <c r="K606" s="48">
        <v>106.637154</v>
      </c>
    </row>
    <row r="607" ht="22.5" customHeight="1">
      <c r="A607" s="44" t="s">
        <v>17</v>
      </c>
      <c r="B607" s="44" t="s">
        <v>2612</v>
      </c>
      <c r="C607" s="44" t="s">
        <v>2613</v>
      </c>
      <c r="D607" s="44" t="s">
        <v>1779</v>
      </c>
      <c r="E607" s="49" t="s">
        <v>891</v>
      </c>
      <c r="F607" s="44" t="s">
        <v>1125</v>
      </c>
      <c r="G607" s="44">
        <v>60.0</v>
      </c>
      <c r="H607" s="47" t="s">
        <v>970</v>
      </c>
      <c r="I607" s="47" t="s">
        <v>891</v>
      </c>
      <c r="J607" s="44">
        <v>10.954218</v>
      </c>
      <c r="K607" s="48">
        <v>106.825015</v>
      </c>
    </row>
    <row r="608" ht="22.5" customHeight="1">
      <c r="A608" s="44" t="s">
        <v>720</v>
      </c>
      <c r="B608" s="44" t="s">
        <v>2614</v>
      </c>
      <c r="C608" s="44" t="s">
        <v>2615</v>
      </c>
      <c r="D608" s="44" t="s">
        <v>1246</v>
      </c>
      <c r="E608" s="49" t="s">
        <v>891</v>
      </c>
      <c r="F608" s="44" t="s">
        <v>1125</v>
      </c>
      <c r="G608" s="44">
        <v>60.0</v>
      </c>
      <c r="H608" s="47" t="s">
        <v>970</v>
      </c>
      <c r="I608" s="47" t="s">
        <v>891</v>
      </c>
      <c r="J608" s="44">
        <v>10.901807</v>
      </c>
      <c r="K608" s="48">
        <v>106.852298</v>
      </c>
    </row>
    <row r="609" ht="22.5" customHeight="1">
      <c r="A609" s="44" t="s">
        <v>2616</v>
      </c>
      <c r="B609" s="44" t="s">
        <v>2617</v>
      </c>
      <c r="C609" s="44" t="s">
        <v>2618</v>
      </c>
      <c r="D609" s="44" t="s">
        <v>2619</v>
      </c>
      <c r="E609" s="49" t="s">
        <v>891</v>
      </c>
      <c r="F609" s="44" t="s">
        <v>1125</v>
      </c>
      <c r="G609" s="44">
        <v>100.0</v>
      </c>
      <c r="H609" s="47" t="s">
        <v>970</v>
      </c>
      <c r="I609" s="47" t="s">
        <v>891</v>
      </c>
      <c r="J609" s="44">
        <v>10.918043</v>
      </c>
      <c r="K609" s="48">
        <v>107.408592</v>
      </c>
    </row>
    <row r="610" ht="22.5" customHeight="1">
      <c r="A610" s="44" t="s">
        <v>488</v>
      </c>
      <c r="B610" s="44" t="s">
        <v>2620</v>
      </c>
      <c r="C610" s="44" t="s">
        <v>1006</v>
      </c>
      <c r="D610" s="44" t="s">
        <v>1007</v>
      </c>
      <c r="E610" s="49" t="s">
        <v>510</v>
      </c>
      <c r="F610" s="44" t="s">
        <v>983</v>
      </c>
      <c r="G610" s="44">
        <v>66.0</v>
      </c>
      <c r="H610" s="47" t="s">
        <v>970</v>
      </c>
      <c r="I610" s="47" t="s">
        <v>510</v>
      </c>
      <c r="J610" s="44">
        <v>10.864436</v>
      </c>
      <c r="K610" s="48">
        <v>106.74569</v>
      </c>
    </row>
    <row r="611" ht="22.5" customHeight="1">
      <c r="A611" s="44" t="s">
        <v>2621</v>
      </c>
      <c r="B611" s="44" t="s">
        <v>2622</v>
      </c>
      <c r="C611" s="44" t="s">
        <v>1388</v>
      </c>
      <c r="D611" s="44" t="s">
        <v>1111</v>
      </c>
      <c r="E611" s="49" t="s">
        <v>789</v>
      </c>
      <c r="F611" s="44" t="s">
        <v>1168</v>
      </c>
      <c r="G611" s="44">
        <v>79.0</v>
      </c>
      <c r="H611" s="47" t="s">
        <v>970</v>
      </c>
      <c r="I611" s="47" t="s">
        <v>820</v>
      </c>
      <c r="J611" s="44">
        <v>10.76436</v>
      </c>
      <c r="K611" s="48">
        <v>106.60321</v>
      </c>
    </row>
    <row r="612" ht="22.5" customHeight="1">
      <c r="A612" s="44" t="s">
        <v>606</v>
      </c>
      <c r="B612" s="44" t="s">
        <v>2623</v>
      </c>
      <c r="C612" s="44" t="s">
        <v>2624</v>
      </c>
      <c r="D612" s="44" t="s">
        <v>1116</v>
      </c>
      <c r="E612" s="49" t="s">
        <v>811</v>
      </c>
      <c r="F612" s="44" t="s">
        <v>2625</v>
      </c>
      <c r="G612" s="44">
        <v>60.0</v>
      </c>
      <c r="H612" s="47" t="s">
        <v>970</v>
      </c>
      <c r="I612" s="47" t="s">
        <v>811</v>
      </c>
      <c r="J612" s="44">
        <v>10.741247</v>
      </c>
      <c r="K612" s="48">
        <v>106.686157</v>
      </c>
    </row>
    <row r="613" ht="22.5" customHeight="1">
      <c r="A613" s="44" t="s">
        <v>679</v>
      </c>
      <c r="B613" s="44" t="s">
        <v>2626</v>
      </c>
      <c r="C613" s="44" t="s">
        <v>2627</v>
      </c>
      <c r="D613" s="44" t="s">
        <v>1747</v>
      </c>
      <c r="E613" s="49" t="s">
        <v>883</v>
      </c>
      <c r="F613" s="44" t="s">
        <v>1471</v>
      </c>
      <c r="G613" s="44">
        <v>85.0</v>
      </c>
      <c r="H613" s="47" t="s">
        <v>970</v>
      </c>
      <c r="I613" s="47" t="s">
        <v>883</v>
      </c>
      <c r="J613" s="44">
        <v>10.928970971477</v>
      </c>
      <c r="K613" s="48">
        <v>106.7120303025</v>
      </c>
    </row>
    <row r="614" ht="22.5" customHeight="1">
      <c r="A614" s="44" t="s">
        <v>2628</v>
      </c>
      <c r="B614" s="44" t="s">
        <v>2629</v>
      </c>
      <c r="C614" s="44" t="s">
        <v>2630</v>
      </c>
      <c r="D614" s="44" t="s">
        <v>1014</v>
      </c>
      <c r="E614" s="49" t="s">
        <v>813</v>
      </c>
      <c r="F614" s="44" t="s">
        <v>1015</v>
      </c>
      <c r="G614" s="50">
        <v>76.0</v>
      </c>
      <c r="H614" s="47" t="s">
        <v>970</v>
      </c>
      <c r="I614" s="47" t="s">
        <v>813</v>
      </c>
      <c r="J614" s="44">
        <v>10.755051</v>
      </c>
      <c r="K614" s="48">
        <v>106.681018</v>
      </c>
    </row>
    <row r="615" ht="22.5" customHeight="1">
      <c r="A615" s="44" t="s">
        <v>2631</v>
      </c>
      <c r="B615" s="44" t="s">
        <v>2632</v>
      </c>
      <c r="C615" s="44" t="s">
        <v>1388</v>
      </c>
      <c r="D615" s="44" t="s">
        <v>1111</v>
      </c>
      <c r="E615" s="49" t="s">
        <v>789</v>
      </c>
      <c r="F615" s="44" t="s">
        <v>1168</v>
      </c>
      <c r="G615" s="44">
        <v>99.0</v>
      </c>
      <c r="H615" s="47" t="s">
        <v>970</v>
      </c>
      <c r="I615" s="47" t="s">
        <v>820</v>
      </c>
      <c r="J615" s="44">
        <v>10.76436</v>
      </c>
      <c r="K615" s="48">
        <v>106.60321</v>
      </c>
    </row>
    <row r="616" ht="22.5" customHeight="1">
      <c r="A616" s="44" t="s">
        <v>2633</v>
      </c>
      <c r="B616" s="44" t="s">
        <v>2634</v>
      </c>
      <c r="C616" s="44" t="s">
        <v>2635</v>
      </c>
      <c r="D616" s="44" t="s">
        <v>1026</v>
      </c>
      <c r="E616" s="49" t="s">
        <v>897</v>
      </c>
      <c r="F616" s="44" t="s">
        <v>1027</v>
      </c>
      <c r="G616" s="44">
        <v>80.0</v>
      </c>
      <c r="H616" s="47" t="s">
        <v>970</v>
      </c>
      <c r="I616" s="47" t="s">
        <v>897</v>
      </c>
      <c r="J616" s="44">
        <v>10.842073</v>
      </c>
      <c r="K616" s="48">
        <v>106.6605</v>
      </c>
    </row>
    <row r="617" ht="22.5" customHeight="1">
      <c r="A617" s="44" t="s">
        <v>2636</v>
      </c>
      <c r="B617" s="44" t="s">
        <v>2637</v>
      </c>
      <c r="C617" s="44" t="s">
        <v>2638</v>
      </c>
      <c r="D617" s="44" t="s">
        <v>1359</v>
      </c>
      <c r="E617" s="49" t="s">
        <v>813</v>
      </c>
      <c r="F617" s="44" t="s">
        <v>1015</v>
      </c>
      <c r="G617" s="44">
        <v>60.0</v>
      </c>
      <c r="H617" s="47" t="s">
        <v>970</v>
      </c>
      <c r="I617" s="47" t="s">
        <v>813</v>
      </c>
      <c r="J617" s="44">
        <v>10.751585</v>
      </c>
      <c r="K617" s="48">
        <v>106.664435</v>
      </c>
    </row>
    <row r="618" ht="22.5" customHeight="1">
      <c r="A618" s="44" t="s">
        <v>475</v>
      </c>
      <c r="B618" s="44" t="s">
        <v>2639</v>
      </c>
      <c r="C618" s="44" t="s">
        <v>2640</v>
      </c>
      <c r="D618" s="44" t="s">
        <v>1433</v>
      </c>
      <c r="E618" s="49"/>
      <c r="F618" s="44" t="s">
        <v>1098</v>
      </c>
      <c r="G618" s="50"/>
      <c r="H618" s="47" t="s">
        <v>970</v>
      </c>
      <c r="I618" s="47" t="s">
        <v>813</v>
      </c>
      <c r="J618" s="44">
        <v>10.764863</v>
      </c>
      <c r="K618" s="48">
        <v>106.67555</v>
      </c>
    </row>
    <row r="619" ht="22.5" customHeight="1">
      <c r="A619" s="44" t="s">
        <v>214</v>
      </c>
      <c r="B619" s="44" t="s">
        <v>2641</v>
      </c>
      <c r="C619" s="44" t="s">
        <v>2642</v>
      </c>
      <c r="D619" s="44" t="s">
        <v>1030</v>
      </c>
      <c r="E619" s="49" t="s">
        <v>887</v>
      </c>
      <c r="F619" s="44" t="s">
        <v>1031</v>
      </c>
      <c r="G619" s="44">
        <v>84.0</v>
      </c>
      <c r="H619" s="47" t="s">
        <v>970</v>
      </c>
      <c r="I619" s="47" t="s">
        <v>832</v>
      </c>
      <c r="J619" s="44">
        <v>10.808417</v>
      </c>
      <c r="K619" s="48">
        <v>106.732911</v>
      </c>
    </row>
    <row r="620" ht="22.5" customHeight="1">
      <c r="A620" s="44" t="s">
        <v>2643</v>
      </c>
      <c r="B620" s="44" t="s">
        <v>2644</v>
      </c>
      <c r="C620" s="44" t="s">
        <v>2645</v>
      </c>
      <c r="D620" s="44" t="s">
        <v>1802</v>
      </c>
      <c r="E620" s="49" t="s">
        <v>888</v>
      </c>
      <c r="F620" s="44" t="s">
        <v>1136</v>
      </c>
      <c r="G620" s="50">
        <v>60.0</v>
      </c>
      <c r="H620" s="47" t="s">
        <v>970</v>
      </c>
      <c r="I620" s="47" t="s">
        <v>826</v>
      </c>
      <c r="J620" s="44">
        <v>10.769754</v>
      </c>
      <c r="K620" s="48">
        <v>106.688603</v>
      </c>
    </row>
    <row r="621" ht="22.5" customHeight="1">
      <c r="A621" s="44" t="s">
        <v>657</v>
      </c>
      <c r="B621" s="44" t="s">
        <v>2646</v>
      </c>
      <c r="C621" s="44" t="s">
        <v>2647</v>
      </c>
      <c r="D621" s="44" t="s">
        <v>2067</v>
      </c>
      <c r="E621" s="49" t="s">
        <v>814</v>
      </c>
      <c r="F621" s="44" t="s">
        <v>1369</v>
      </c>
      <c r="G621" s="50">
        <v>60.0</v>
      </c>
      <c r="H621" s="47" t="s">
        <v>970</v>
      </c>
      <c r="I621" s="47" t="s">
        <v>900</v>
      </c>
      <c r="J621" s="44">
        <v>10.796497</v>
      </c>
      <c r="K621" s="48">
        <v>106.688116</v>
      </c>
    </row>
    <row r="622" ht="22.5" customHeight="1">
      <c r="A622" s="44" t="s">
        <v>2648</v>
      </c>
      <c r="B622" s="44" t="s">
        <v>2649</v>
      </c>
      <c r="C622" s="44" t="s">
        <v>2650</v>
      </c>
      <c r="D622" s="44" t="s">
        <v>977</v>
      </c>
      <c r="E622" s="49" t="s">
        <v>814</v>
      </c>
      <c r="F622" s="44" t="s">
        <v>1369</v>
      </c>
      <c r="G622" s="44">
        <v>60.0</v>
      </c>
      <c r="H622" s="47" t="s">
        <v>970</v>
      </c>
      <c r="I622" s="47" t="s">
        <v>902</v>
      </c>
      <c r="J622" s="44">
        <v>10.789381</v>
      </c>
      <c r="K622" s="48">
        <v>106.674922</v>
      </c>
    </row>
    <row r="623" ht="22.5" customHeight="1">
      <c r="A623" s="44" t="s">
        <v>2651</v>
      </c>
      <c r="B623" s="44" t="s">
        <v>2652</v>
      </c>
      <c r="C623" s="44" t="s">
        <v>1006</v>
      </c>
      <c r="D623" s="44" t="s">
        <v>1007</v>
      </c>
      <c r="E623" s="49" t="s">
        <v>510</v>
      </c>
      <c r="F623" s="44" t="s">
        <v>983</v>
      </c>
      <c r="G623" s="44">
        <v>66.0</v>
      </c>
      <c r="H623" s="47" t="s">
        <v>970</v>
      </c>
      <c r="I623" s="47" t="s">
        <v>510</v>
      </c>
      <c r="J623" s="44">
        <v>10.864436</v>
      </c>
      <c r="K623" s="48">
        <v>106.74569</v>
      </c>
    </row>
    <row r="624" ht="22.5" customHeight="1">
      <c r="A624" s="44" t="s">
        <v>2653</v>
      </c>
      <c r="B624" s="44" t="s">
        <v>2654</v>
      </c>
      <c r="C624" s="44" t="s">
        <v>2655</v>
      </c>
      <c r="D624" s="44" t="s">
        <v>1621</v>
      </c>
      <c r="E624" s="49" t="s">
        <v>789</v>
      </c>
      <c r="F624" s="44" t="s">
        <v>1168</v>
      </c>
      <c r="G624" s="44">
        <v>90.0</v>
      </c>
      <c r="H624" s="47" t="s">
        <v>970</v>
      </c>
      <c r="I624" s="47" t="s">
        <v>885</v>
      </c>
      <c r="J624" s="44">
        <v>10.719385792648</v>
      </c>
      <c r="K624" s="48">
        <v>106.66350112429</v>
      </c>
    </row>
    <row r="625" ht="22.5" customHeight="1">
      <c r="A625" s="44" t="s">
        <v>2656</v>
      </c>
      <c r="B625" s="44" t="s">
        <v>2657</v>
      </c>
      <c r="C625" s="44" t="s">
        <v>2658</v>
      </c>
      <c r="D625" s="44" t="s">
        <v>1076</v>
      </c>
      <c r="E625" s="49" t="s">
        <v>813</v>
      </c>
      <c r="F625" s="44" t="s">
        <v>1015</v>
      </c>
      <c r="G625" s="44">
        <v>76.0</v>
      </c>
      <c r="H625" s="47" t="s">
        <v>970</v>
      </c>
      <c r="I625" s="47" t="s">
        <v>813</v>
      </c>
      <c r="J625" s="44">
        <v>10.755002</v>
      </c>
      <c r="K625" s="48">
        <v>106.670535</v>
      </c>
    </row>
    <row r="626" ht="22.5" customHeight="1">
      <c r="A626" s="44" t="s">
        <v>2659</v>
      </c>
      <c r="B626" s="44" t="s">
        <v>2660</v>
      </c>
      <c r="C626" s="44" t="s">
        <v>1852</v>
      </c>
      <c r="D626" s="44" t="s">
        <v>2661</v>
      </c>
      <c r="E626" s="49"/>
      <c r="F626" s="44" t="s">
        <v>1098</v>
      </c>
      <c r="G626" s="44"/>
      <c r="H626" s="47" t="s">
        <v>970</v>
      </c>
      <c r="I626" s="47" t="s">
        <v>863</v>
      </c>
      <c r="J626" s="44">
        <v>10.50616804783</v>
      </c>
      <c r="K626" s="48">
        <v>107.09132242884</v>
      </c>
    </row>
    <row r="627" ht="22.5" customHeight="1">
      <c r="A627" s="44" t="s">
        <v>2662</v>
      </c>
      <c r="B627" s="44" t="s">
        <v>2663</v>
      </c>
      <c r="C627" s="44" t="s">
        <v>2664</v>
      </c>
      <c r="D627" s="44" t="s">
        <v>997</v>
      </c>
      <c r="E627" s="49" t="s">
        <v>808</v>
      </c>
      <c r="F627" s="44" t="s">
        <v>998</v>
      </c>
      <c r="G627" s="44">
        <v>90.0</v>
      </c>
      <c r="H627" s="47" t="s">
        <v>970</v>
      </c>
      <c r="I627" s="47" t="s">
        <v>808</v>
      </c>
      <c r="J627" s="44">
        <v>10.754006</v>
      </c>
      <c r="K627" s="48">
        <v>106.642431</v>
      </c>
    </row>
    <row r="628" ht="22.5" customHeight="1">
      <c r="A628" s="44" t="s">
        <v>2665</v>
      </c>
      <c r="B628" s="44" t="s">
        <v>2666</v>
      </c>
      <c r="C628" s="44" t="s">
        <v>2667</v>
      </c>
      <c r="D628" s="44" t="s">
        <v>1014</v>
      </c>
      <c r="E628" s="49"/>
      <c r="F628" s="44" t="s">
        <v>1098</v>
      </c>
      <c r="G628" s="44"/>
      <c r="H628" s="47" t="s">
        <v>1891</v>
      </c>
      <c r="I628" s="47" t="s">
        <v>813</v>
      </c>
      <c r="J628" s="44">
        <v>10.760539</v>
      </c>
      <c r="K628" s="48">
        <v>106.679189</v>
      </c>
    </row>
    <row r="629" ht="22.5" customHeight="1">
      <c r="A629" s="44" t="s">
        <v>2668</v>
      </c>
      <c r="B629" s="44" t="s">
        <v>2669</v>
      </c>
      <c r="C629" s="44" t="s">
        <v>2670</v>
      </c>
      <c r="D629" s="44" t="s">
        <v>1236</v>
      </c>
      <c r="E629" s="49"/>
      <c r="F629" s="44" t="s">
        <v>1098</v>
      </c>
      <c r="G629" s="44"/>
      <c r="H629" s="47" t="s">
        <v>1891</v>
      </c>
      <c r="I629" s="47" t="s">
        <v>895</v>
      </c>
      <c r="J629" s="44">
        <v>10.872448</v>
      </c>
      <c r="K629" s="48">
        <v>106.814755</v>
      </c>
    </row>
    <row r="630" ht="22.5" customHeight="1">
      <c r="A630" s="44" t="s">
        <v>2671</v>
      </c>
      <c r="B630" s="44" t="s">
        <v>2672</v>
      </c>
      <c r="C630" s="44" t="s">
        <v>2673</v>
      </c>
      <c r="D630" s="44" t="s">
        <v>2674</v>
      </c>
      <c r="E630" s="49" t="s">
        <v>872</v>
      </c>
      <c r="F630" s="44" t="s">
        <v>1003</v>
      </c>
      <c r="G630" s="44">
        <v>100.0</v>
      </c>
      <c r="H630" s="47" t="s">
        <v>970</v>
      </c>
      <c r="I630" s="47" t="s">
        <v>872</v>
      </c>
      <c r="J630" s="44">
        <v>10.715039</v>
      </c>
      <c r="K630" s="48">
        <v>106.421241</v>
      </c>
    </row>
    <row r="631" ht="22.5" customHeight="1">
      <c r="A631" s="44" t="s">
        <v>2675</v>
      </c>
      <c r="B631" s="44" t="s">
        <v>2676</v>
      </c>
      <c r="C631" s="44" t="s">
        <v>2677</v>
      </c>
      <c r="D631" s="44" t="s">
        <v>1135</v>
      </c>
      <c r="E631" s="49"/>
      <c r="F631" s="44" t="s">
        <v>1098</v>
      </c>
      <c r="G631" s="44"/>
      <c r="H631" s="47" t="s">
        <v>1891</v>
      </c>
      <c r="I631" s="47" t="s">
        <v>888</v>
      </c>
      <c r="J631" s="44">
        <v>10.770142</v>
      </c>
      <c r="K631" s="48">
        <v>106.700855</v>
      </c>
    </row>
    <row r="632" ht="22.5" customHeight="1">
      <c r="A632" s="44" t="s">
        <v>2678</v>
      </c>
      <c r="B632" s="44" t="s">
        <v>2679</v>
      </c>
      <c r="C632" s="44" t="s">
        <v>2680</v>
      </c>
      <c r="D632" s="44" t="s">
        <v>1496</v>
      </c>
      <c r="E632" s="49" t="s">
        <v>804</v>
      </c>
      <c r="F632" s="44" t="s">
        <v>1497</v>
      </c>
      <c r="G632" s="44">
        <v>60.0</v>
      </c>
      <c r="H632" s="47" t="s">
        <v>970</v>
      </c>
      <c r="I632" s="47" t="s">
        <v>804</v>
      </c>
      <c r="J632" s="44">
        <v>10.754912</v>
      </c>
      <c r="K632" s="48">
        <v>106.699607</v>
      </c>
    </row>
    <row r="633" ht="22.5" customHeight="1">
      <c r="A633" s="44" t="s">
        <v>2681</v>
      </c>
      <c r="B633" s="44" t="s">
        <v>2682</v>
      </c>
      <c r="C633" s="44" t="s">
        <v>1214</v>
      </c>
      <c r="D633" s="44" t="s">
        <v>1007</v>
      </c>
      <c r="E633" s="49" t="s">
        <v>510</v>
      </c>
      <c r="F633" s="44" t="s">
        <v>983</v>
      </c>
      <c r="G633" s="44">
        <v>66.0</v>
      </c>
      <c r="H633" s="47" t="s">
        <v>970</v>
      </c>
      <c r="I633" s="47" t="s">
        <v>510</v>
      </c>
      <c r="J633" s="44">
        <v>10.864436</v>
      </c>
      <c r="K633" s="48">
        <v>106.74569</v>
      </c>
    </row>
    <row r="634" ht="22.5" customHeight="1">
      <c r="A634" s="44" t="s">
        <v>399</v>
      </c>
      <c r="B634" s="44" t="s">
        <v>2683</v>
      </c>
      <c r="C634" s="44" t="s">
        <v>2684</v>
      </c>
      <c r="D634" s="44" t="s">
        <v>1506</v>
      </c>
      <c r="E634" s="49" t="s">
        <v>897</v>
      </c>
      <c r="F634" s="44" t="s">
        <v>1027</v>
      </c>
      <c r="G634" s="44">
        <v>105.0</v>
      </c>
      <c r="H634" s="47" t="s">
        <v>970</v>
      </c>
      <c r="I634" s="47" t="s">
        <v>897</v>
      </c>
      <c r="J634" s="44">
        <v>10.856463</v>
      </c>
      <c r="K634" s="48">
        <v>106.615865</v>
      </c>
    </row>
    <row r="635" ht="22.5" customHeight="1">
      <c r="A635" s="44" t="s">
        <v>744</v>
      </c>
      <c r="B635" s="44" t="s">
        <v>2685</v>
      </c>
      <c r="C635" s="44" t="s">
        <v>2686</v>
      </c>
      <c r="D635" s="44" t="s">
        <v>1583</v>
      </c>
      <c r="E635" s="49" t="s">
        <v>660</v>
      </c>
      <c r="F635" s="44" t="s">
        <v>1638</v>
      </c>
      <c r="G635" s="50">
        <v>60.0</v>
      </c>
      <c r="H635" s="47" t="s">
        <v>970</v>
      </c>
      <c r="I635" s="47" t="s">
        <v>870</v>
      </c>
      <c r="J635" s="44">
        <v>10.037083</v>
      </c>
      <c r="K635" s="48">
        <v>105.754292</v>
      </c>
    </row>
    <row r="636" ht="22.5" customHeight="1">
      <c r="A636" s="44" t="s">
        <v>2687</v>
      </c>
      <c r="B636" s="44" t="s">
        <v>2688</v>
      </c>
      <c r="C636" s="44" t="s">
        <v>1006</v>
      </c>
      <c r="D636" s="44" t="s">
        <v>1007</v>
      </c>
      <c r="E636" s="49" t="s">
        <v>510</v>
      </c>
      <c r="F636" s="44" t="s">
        <v>983</v>
      </c>
      <c r="G636" s="44">
        <v>66.0</v>
      </c>
      <c r="H636" s="47" t="s">
        <v>970</v>
      </c>
      <c r="I636" s="47" t="s">
        <v>510</v>
      </c>
      <c r="J636" s="44">
        <v>10.864436</v>
      </c>
      <c r="K636" s="48">
        <v>106.74569</v>
      </c>
    </row>
    <row r="637" ht="22.5" customHeight="1">
      <c r="A637" s="44" t="s">
        <v>37</v>
      </c>
      <c r="B637" s="44" t="s">
        <v>2689</v>
      </c>
      <c r="C637" s="44" t="s">
        <v>2690</v>
      </c>
      <c r="D637" s="44" t="s">
        <v>1662</v>
      </c>
      <c r="E637" s="49" t="s">
        <v>891</v>
      </c>
      <c r="F637" s="44" t="s">
        <v>1125</v>
      </c>
      <c r="G637" s="44">
        <v>90.0</v>
      </c>
      <c r="H637" s="47" t="s">
        <v>970</v>
      </c>
      <c r="I637" s="47" t="s">
        <v>891</v>
      </c>
      <c r="J637" s="44">
        <v>10.956198</v>
      </c>
      <c r="K637" s="48">
        <v>106.874357</v>
      </c>
    </row>
    <row r="638" ht="22.5" customHeight="1">
      <c r="A638" s="44" t="s">
        <v>2691</v>
      </c>
      <c r="B638" s="44" t="s">
        <v>2692</v>
      </c>
      <c r="C638" s="44" t="s">
        <v>2693</v>
      </c>
      <c r="D638" s="44" t="s">
        <v>1977</v>
      </c>
      <c r="E638" s="49"/>
      <c r="F638" s="44" t="s">
        <v>1098</v>
      </c>
      <c r="G638" s="50"/>
      <c r="H638" s="47" t="s">
        <v>970</v>
      </c>
      <c r="I638" s="47" t="s">
        <v>863</v>
      </c>
      <c r="J638" s="44">
        <v>10.490877</v>
      </c>
      <c r="K638" s="48">
        <v>107.168252</v>
      </c>
    </row>
    <row r="639" ht="22.5" customHeight="1">
      <c r="A639" s="44" t="s">
        <v>478</v>
      </c>
      <c r="B639" s="44" t="s">
        <v>2694</v>
      </c>
      <c r="C639" s="44" t="s">
        <v>2695</v>
      </c>
      <c r="D639" s="44" t="s">
        <v>1129</v>
      </c>
      <c r="E639" s="49" t="s">
        <v>910</v>
      </c>
      <c r="F639" s="44" t="s">
        <v>987</v>
      </c>
      <c r="G639" s="44">
        <v>60.0</v>
      </c>
      <c r="H639" s="47" t="s">
        <v>970</v>
      </c>
      <c r="I639" s="47" t="s">
        <v>910</v>
      </c>
      <c r="J639" s="44">
        <v>10.771981</v>
      </c>
      <c r="K639" s="48">
        <v>106.672181</v>
      </c>
    </row>
    <row r="640" ht="22.5" customHeight="1">
      <c r="A640" s="44" t="s">
        <v>2696</v>
      </c>
      <c r="B640" s="44" t="s">
        <v>2697</v>
      </c>
      <c r="C640" s="44" t="s">
        <v>2698</v>
      </c>
      <c r="D640" s="44" t="s">
        <v>1433</v>
      </c>
      <c r="E640" s="49" t="s">
        <v>910</v>
      </c>
      <c r="F640" s="44" t="s">
        <v>987</v>
      </c>
      <c r="G640" s="50">
        <v>60.0</v>
      </c>
      <c r="H640" s="47" t="s">
        <v>970</v>
      </c>
      <c r="I640" s="47" t="s">
        <v>826</v>
      </c>
      <c r="J640" s="44">
        <v>10.773914</v>
      </c>
      <c r="K640" s="48">
        <v>106.678178</v>
      </c>
    </row>
    <row r="641" ht="22.5" customHeight="1">
      <c r="A641" s="44" t="s">
        <v>743</v>
      </c>
      <c r="B641" s="44" t="s">
        <v>2699</v>
      </c>
      <c r="C641" s="44" t="s">
        <v>2700</v>
      </c>
      <c r="D641" s="44" t="s">
        <v>1280</v>
      </c>
      <c r="E641" s="49" t="s">
        <v>895</v>
      </c>
      <c r="F641" s="44" t="s">
        <v>1121</v>
      </c>
      <c r="G641" s="44">
        <v>70.0</v>
      </c>
      <c r="H641" s="47" t="s">
        <v>970</v>
      </c>
      <c r="I641" s="47" t="s">
        <v>895</v>
      </c>
      <c r="J641" s="44">
        <v>10.848575</v>
      </c>
      <c r="K641" s="48">
        <v>106.772535</v>
      </c>
    </row>
    <row r="642" ht="22.5" customHeight="1">
      <c r="A642" s="44" t="s">
        <v>2701</v>
      </c>
      <c r="B642" s="44" t="s">
        <v>2702</v>
      </c>
      <c r="C642" s="44" t="s">
        <v>1503</v>
      </c>
      <c r="D642" s="44" t="s">
        <v>1227</v>
      </c>
      <c r="E642" s="49" t="s">
        <v>890</v>
      </c>
      <c r="F642" s="44" t="s">
        <v>1228</v>
      </c>
      <c r="G642" s="44">
        <v>70.0</v>
      </c>
      <c r="H642" s="47" t="s">
        <v>970</v>
      </c>
      <c r="I642" s="47" t="s">
        <v>890</v>
      </c>
      <c r="J642" s="44">
        <v>10.910497</v>
      </c>
      <c r="K642" s="48">
        <v>106.781597</v>
      </c>
    </row>
    <row r="643" ht="22.5" customHeight="1">
      <c r="A643" s="44" t="s">
        <v>2703</v>
      </c>
      <c r="B643" s="44" t="s">
        <v>2704</v>
      </c>
      <c r="C643" s="44" t="s">
        <v>2705</v>
      </c>
      <c r="D643" s="44" t="s">
        <v>2706</v>
      </c>
      <c r="E643" s="49" t="s">
        <v>910</v>
      </c>
      <c r="F643" s="44" t="s">
        <v>987</v>
      </c>
      <c r="G643" s="44">
        <v>70.0</v>
      </c>
      <c r="H643" s="47" t="s">
        <v>970</v>
      </c>
      <c r="I643" s="47" t="s">
        <v>870</v>
      </c>
      <c r="J643" s="44">
        <v>9.973142</v>
      </c>
      <c r="K643" s="48">
        <v>105.097571</v>
      </c>
    </row>
    <row r="644" ht="22.5" customHeight="1">
      <c r="A644" s="44" t="s">
        <v>82</v>
      </c>
      <c r="B644" s="44" t="s">
        <v>2707</v>
      </c>
      <c r="C644" s="44" t="s">
        <v>2708</v>
      </c>
      <c r="D644" s="44" t="s">
        <v>1124</v>
      </c>
      <c r="E644" s="49" t="s">
        <v>891</v>
      </c>
      <c r="F644" s="44" t="s">
        <v>1125</v>
      </c>
      <c r="G644" s="44">
        <v>100.0</v>
      </c>
      <c r="H644" s="47" t="s">
        <v>970</v>
      </c>
      <c r="I644" s="47" t="s">
        <v>891</v>
      </c>
      <c r="J644" s="44">
        <v>10.962057016073</v>
      </c>
      <c r="K644" s="48">
        <v>106.83488715832</v>
      </c>
    </row>
    <row r="645" ht="22.5" customHeight="1">
      <c r="A645" s="44" t="s">
        <v>525</v>
      </c>
      <c r="B645" s="44" t="s">
        <v>2709</v>
      </c>
      <c r="C645" s="44" t="s">
        <v>2710</v>
      </c>
      <c r="D645" s="44" t="s">
        <v>1129</v>
      </c>
      <c r="E645" s="49" t="s">
        <v>910</v>
      </c>
      <c r="F645" s="44" t="s">
        <v>987</v>
      </c>
      <c r="G645" s="44">
        <v>30.0</v>
      </c>
      <c r="H645" s="47" t="s">
        <v>970</v>
      </c>
      <c r="I645" s="47" t="s">
        <v>826</v>
      </c>
      <c r="J645" s="44">
        <v>10.774457</v>
      </c>
      <c r="K645" s="48">
        <v>106.677636</v>
      </c>
    </row>
    <row r="646" ht="22.5" customHeight="1">
      <c r="A646" s="44" t="s">
        <v>2711</v>
      </c>
      <c r="B646" s="44" t="s">
        <v>2712</v>
      </c>
      <c r="C646" s="44" t="s">
        <v>2713</v>
      </c>
      <c r="D646" s="44" t="s">
        <v>2374</v>
      </c>
      <c r="E646" s="49" t="s">
        <v>809</v>
      </c>
      <c r="F646" s="44" t="s">
        <v>1022</v>
      </c>
      <c r="G646" s="44">
        <v>68.0</v>
      </c>
      <c r="H646" s="47" t="s">
        <v>970</v>
      </c>
      <c r="I646" s="47" t="s">
        <v>897</v>
      </c>
      <c r="J646" s="44">
        <v>10.847276</v>
      </c>
      <c r="K646" s="48">
        <v>106.659696</v>
      </c>
    </row>
    <row r="647" ht="22.5" customHeight="1">
      <c r="A647" s="44" t="s">
        <v>2714</v>
      </c>
      <c r="B647" s="44" t="s">
        <v>2715</v>
      </c>
      <c r="C647" s="44" t="s">
        <v>2716</v>
      </c>
      <c r="D647" s="44" t="s">
        <v>1139</v>
      </c>
      <c r="E647" s="49" t="s">
        <v>882</v>
      </c>
      <c r="F647" s="44" t="s">
        <v>991</v>
      </c>
      <c r="G647" s="44">
        <v>70.0</v>
      </c>
      <c r="H647" s="47" t="s">
        <v>970</v>
      </c>
      <c r="I647" s="47" t="s">
        <v>882</v>
      </c>
      <c r="J647" s="44">
        <v>10.694429</v>
      </c>
      <c r="K647" s="48">
        <v>106.740123</v>
      </c>
    </row>
    <row r="648" ht="22.5" customHeight="1">
      <c r="A648" s="44" t="s">
        <v>2717</v>
      </c>
      <c r="B648" s="44" t="s">
        <v>2718</v>
      </c>
      <c r="C648" s="44" t="s">
        <v>1503</v>
      </c>
      <c r="D648" s="44" t="s">
        <v>1227</v>
      </c>
      <c r="E648" s="49" t="s">
        <v>890</v>
      </c>
      <c r="F648" s="44" t="s">
        <v>1228</v>
      </c>
      <c r="G648" s="44">
        <v>60.0</v>
      </c>
      <c r="H648" s="47" t="s">
        <v>970</v>
      </c>
      <c r="I648" s="47" t="s">
        <v>890</v>
      </c>
      <c r="J648" s="44">
        <v>10.910497</v>
      </c>
      <c r="K648" s="48">
        <v>106.781597</v>
      </c>
    </row>
    <row r="649" ht="22.5" customHeight="1">
      <c r="A649" s="44" t="s">
        <v>480</v>
      </c>
      <c r="B649" s="44" t="s">
        <v>2719</v>
      </c>
      <c r="C649" s="44" t="s">
        <v>2720</v>
      </c>
      <c r="D649" s="44" t="s">
        <v>1236</v>
      </c>
      <c r="E649" s="49" t="s">
        <v>895</v>
      </c>
      <c r="F649" s="44" t="s">
        <v>1121</v>
      </c>
      <c r="G649" s="44">
        <v>92.0</v>
      </c>
      <c r="H649" s="47" t="s">
        <v>970</v>
      </c>
      <c r="I649" s="47" t="s">
        <v>895</v>
      </c>
      <c r="J649" s="44">
        <v>10.837705</v>
      </c>
      <c r="K649" s="48">
        <v>106.84423</v>
      </c>
    </row>
    <row r="650" ht="22.5" customHeight="1">
      <c r="A650" s="44" t="s">
        <v>167</v>
      </c>
      <c r="B650" s="44" t="s">
        <v>2721</v>
      </c>
      <c r="C650" s="44" t="s">
        <v>2722</v>
      </c>
      <c r="D650" s="44" t="s">
        <v>990</v>
      </c>
      <c r="E650" s="49" t="s">
        <v>894</v>
      </c>
      <c r="F650" s="44" t="s">
        <v>974</v>
      </c>
      <c r="G650" s="50">
        <v>68.0</v>
      </c>
      <c r="H650" s="47" t="s">
        <v>970</v>
      </c>
      <c r="I650" s="47" t="s">
        <v>894</v>
      </c>
      <c r="J650" s="44">
        <v>10.737331</v>
      </c>
      <c r="K650" s="48">
        <v>106.724166</v>
      </c>
    </row>
    <row r="651" ht="22.5" customHeight="1">
      <c r="A651" s="44" t="s">
        <v>2723</v>
      </c>
      <c r="B651" s="44" t="s">
        <v>2724</v>
      </c>
      <c r="C651" s="44" t="s">
        <v>1006</v>
      </c>
      <c r="D651" s="44" t="s">
        <v>1007</v>
      </c>
      <c r="E651" s="49" t="s">
        <v>510</v>
      </c>
      <c r="F651" s="44" t="s">
        <v>983</v>
      </c>
      <c r="G651" s="44">
        <v>66.0</v>
      </c>
      <c r="H651" s="47" t="s">
        <v>970</v>
      </c>
      <c r="I651" s="47" t="s">
        <v>510</v>
      </c>
      <c r="J651" s="44">
        <v>10.864436</v>
      </c>
      <c r="K651" s="48">
        <v>106.74569</v>
      </c>
    </row>
    <row r="652" ht="22.5" customHeight="1">
      <c r="A652" s="44" t="s">
        <v>568</v>
      </c>
      <c r="B652" s="44" t="s">
        <v>2725</v>
      </c>
      <c r="C652" s="44" t="s">
        <v>2630</v>
      </c>
      <c r="D652" s="44" t="s">
        <v>1014</v>
      </c>
      <c r="E652" s="49" t="s">
        <v>813</v>
      </c>
      <c r="F652" s="44" t="s">
        <v>1015</v>
      </c>
      <c r="G652" s="44">
        <v>76.0</v>
      </c>
      <c r="H652" s="47" t="s">
        <v>970</v>
      </c>
      <c r="I652" s="47" t="s">
        <v>813</v>
      </c>
      <c r="J652" s="44">
        <v>10.755051</v>
      </c>
      <c r="K652" s="48">
        <v>106.681018</v>
      </c>
    </row>
    <row r="653" ht="22.5" customHeight="1">
      <c r="A653" s="44" t="s">
        <v>538</v>
      </c>
      <c r="B653" s="44" t="s">
        <v>2726</v>
      </c>
      <c r="C653" s="44" t="s">
        <v>2727</v>
      </c>
      <c r="D653" s="44" t="s">
        <v>2067</v>
      </c>
      <c r="E653" s="49" t="s">
        <v>900</v>
      </c>
      <c r="F653" s="44" t="s">
        <v>978</v>
      </c>
      <c r="G653" s="44">
        <v>60.0</v>
      </c>
      <c r="H653" s="47" t="s">
        <v>970</v>
      </c>
      <c r="I653" s="47" t="s">
        <v>900</v>
      </c>
      <c r="J653" s="44">
        <v>10.794069</v>
      </c>
      <c r="K653" s="48">
        <v>106.683944</v>
      </c>
    </row>
    <row r="654" ht="22.5" customHeight="1">
      <c r="A654" s="44" t="s">
        <v>479</v>
      </c>
      <c r="B654" s="44" t="s">
        <v>2728</v>
      </c>
      <c r="C654" s="44" t="s">
        <v>2729</v>
      </c>
      <c r="D654" s="44" t="s">
        <v>1236</v>
      </c>
      <c r="E654" s="49" t="s">
        <v>895</v>
      </c>
      <c r="F654" s="44" t="s">
        <v>1121</v>
      </c>
      <c r="G654" s="44">
        <v>92.0</v>
      </c>
      <c r="H654" s="47" t="s">
        <v>970</v>
      </c>
      <c r="I654" s="47" t="s">
        <v>895</v>
      </c>
      <c r="J654" s="44">
        <v>10.839003</v>
      </c>
      <c r="K654" s="48">
        <v>106.843451</v>
      </c>
    </row>
    <row r="655" ht="22.5" customHeight="1">
      <c r="A655" s="44" t="s">
        <v>2730</v>
      </c>
      <c r="B655" s="44" t="s">
        <v>2731</v>
      </c>
      <c r="C655" s="44" t="s">
        <v>2732</v>
      </c>
      <c r="D655" s="44" t="s">
        <v>973</v>
      </c>
      <c r="E655" s="49" t="s">
        <v>894</v>
      </c>
      <c r="F655" s="44" t="s">
        <v>974</v>
      </c>
      <c r="G655" s="44">
        <v>78.0</v>
      </c>
      <c r="H655" s="47" t="s">
        <v>970</v>
      </c>
      <c r="I655" s="47" t="s">
        <v>894</v>
      </c>
      <c r="J655" s="44">
        <v>10.742299</v>
      </c>
      <c r="K655" s="48">
        <v>106.711931</v>
      </c>
    </row>
    <row r="656" ht="22.5" customHeight="1">
      <c r="A656" s="44" t="s">
        <v>2733</v>
      </c>
      <c r="B656" s="44" t="s">
        <v>2734</v>
      </c>
      <c r="C656" s="44" t="s">
        <v>1503</v>
      </c>
      <c r="D656" s="44" t="s">
        <v>1227</v>
      </c>
      <c r="E656" s="49" t="s">
        <v>890</v>
      </c>
      <c r="F656" s="44" t="s">
        <v>1228</v>
      </c>
      <c r="G656" s="44">
        <v>60.0</v>
      </c>
      <c r="H656" s="47" t="s">
        <v>970</v>
      </c>
      <c r="I656" s="47" t="s">
        <v>890</v>
      </c>
      <c r="J656" s="44">
        <v>10.910497</v>
      </c>
      <c r="K656" s="48">
        <v>106.781597</v>
      </c>
    </row>
    <row r="657" ht="22.5" customHeight="1">
      <c r="A657" s="44" t="s">
        <v>2735</v>
      </c>
      <c r="B657" s="44" t="s">
        <v>2736</v>
      </c>
      <c r="C657" s="44" t="s">
        <v>2737</v>
      </c>
      <c r="D657" s="44" t="s">
        <v>1939</v>
      </c>
      <c r="E657" s="49" t="s">
        <v>895</v>
      </c>
      <c r="F657" s="44" t="s">
        <v>1121</v>
      </c>
      <c r="G657" s="44">
        <v>76.0</v>
      </c>
      <c r="H657" s="47" t="s">
        <v>970</v>
      </c>
      <c r="I657" s="47" t="s">
        <v>895</v>
      </c>
      <c r="J657" s="44">
        <v>10.861491</v>
      </c>
      <c r="K657" s="48">
        <v>106.780439</v>
      </c>
    </row>
    <row r="658" ht="22.5" customHeight="1">
      <c r="A658" s="44" t="s">
        <v>651</v>
      </c>
      <c r="B658" s="44" t="s">
        <v>2738</v>
      </c>
      <c r="C658" s="44" t="s">
        <v>2716</v>
      </c>
      <c r="D658" s="44" t="s">
        <v>1139</v>
      </c>
      <c r="E658" s="49" t="s">
        <v>882</v>
      </c>
      <c r="F658" s="44" t="s">
        <v>991</v>
      </c>
      <c r="G658" s="44">
        <v>90.0</v>
      </c>
      <c r="H658" s="47" t="s">
        <v>970</v>
      </c>
      <c r="I658" s="47" t="s">
        <v>882</v>
      </c>
      <c r="J658" s="44">
        <v>10.694429</v>
      </c>
      <c r="K658" s="48">
        <v>106.740123</v>
      </c>
    </row>
    <row r="659" ht="22.5" customHeight="1">
      <c r="A659" s="44" t="s">
        <v>2739</v>
      </c>
      <c r="B659" s="44" t="s">
        <v>2740</v>
      </c>
      <c r="C659" s="44" t="s">
        <v>1006</v>
      </c>
      <c r="D659" s="44" t="s">
        <v>1007</v>
      </c>
      <c r="E659" s="49" t="s">
        <v>510</v>
      </c>
      <c r="F659" s="44" t="s">
        <v>983</v>
      </c>
      <c r="G659" s="44">
        <v>76.0</v>
      </c>
      <c r="H659" s="47" t="s">
        <v>970</v>
      </c>
      <c r="I659" s="47" t="s">
        <v>510</v>
      </c>
      <c r="J659" s="44">
        <v>10.864436</v>
      </c>
      <c r="K659" s="48">
        <v>106.74569</v>
      </c>
    </row>
    <row r="660" ht="22.5" customHeight="1">
      <c r="A660" s="44" t="s">
        <v>185</v>
      </c>
      <c r="B660" s="44" t="s">
        <v>2741</v>
      </c>
      <c r="C660" s="44" t="s">
        <v>2742</v>
      </c>
      <c r="D660" s="44" t="s">
        <v>1030</v>
      </c>
      <c r="E660" s="49" t="s">
        <v>887</v>
      </c>
      <c r="F660" s="44" t="s">
        <v>1031</v>
      </c>
      <c r="G660" s="44">
        <v>74.0</v>
      </c>
      <c r="H660" s="47" t="s">
        <v>970</v>
      </c>
      <c r="I660" s="47" t="s">
        <v>832</v>
      </c>
      <c r="J660" s="44">
        <v>10.793841</v>
      </c>
      <c r="K660" s="48">
        <v>106.746376</v>
      </c>
    </row>
    <row r="661" ht="22.5" customHeight="1">
      <c r="A661" s="44" t="s">
        <v>2743</v>
      </c>
      <c r="B661" s="44" t="s">
        <v>2744</v>
      </c>
      <c r="C661" s="44" t="s">
        <v>2745</v>
      </c>
      <c r="D661" s="44" t="s">
        <v>1268</v>
      </c>
      <c r="E661" s="49" t="s">
        <v>900</v>
      </c>
      <c r="F661" s="44" t="s">
        <v>978</v>
      </c>
      <c r="G661" s="50">
        <v>69.0</v>
      </c>
      <c r="H661" s="47" t="s">
        <v>970</v>
      </c>
      <c r="I661" s="47" t="s">
        <v>900</v>
      </c>
      <c r="J661" s="44">
        <v>10.790195</v>
      </c>
      <c r="K661" s="48">
        <v>106.688839</v>
      </c>
    </row>
    <row r="662" ht="22.5" customHeight="1">
      <c r="A662" s="44" t="s">
        <v>2746</v>
      </c>
      <c r="B662" s="44" t="s">
        <v>2747</v>
      </c>
      <c r="C662" s="44" t="s">
        <v>1746</v>
      </c>
      <c r="D662" s="44" t="s">
        <v>1747</v>
      </c>
      <c r="E662" s="49" t="s">
        <v>883</v>
      </c>
      <c r="F662" s="44" t="s">
        <v>1471</v>
      </c>
      <c r="G662" s="44">
        <v>90.0</v>
      </c>
      <c r="H662" s="47" t="s">
        <v>970</v>
      </c>
      <c r="I662" s="47" t="s">
        <v>883</v>
      </c>
      <c r="J662" s="44">
        <v>10.928684</v>
      </c>
      <c r="K662" s="48">
        <v>106.711977</v>
      </c>
    </row>
    <row r="663" ht="22.5" customHeight="1">
      <c r="A663" s="44" t="s">
        <v>2748</v>
      </c>
      <c r="B663" s="44" t="s">
        <v>2749</v>
      </c>
      <c r="C663" s="44" t="s">
        <v>2750</v>
      </c>
      <c r="D663" s="44" t="s">
        <v>1042</v>
      </c>
      <c r="E663" s="49" t="s">
        <v>901</v>
      </c>
      <c r="F663" s="44" t="s">
        <v>1562</v>
      </c>
      <c r="G663" s="44">
        <v>80.0</v>
      </c>
      <c r="H663" s="47" t="s">
        <v>970</v>
      </c>
      <c r="I663" s="47" t="s">
        <v>901</v>
      </c>
      <c r="J663" s="44">
        <v>10.814596</v>
      </c>
      <c r="K663" s="48">
        <v>106.711363</v>
      </c>
    </row>
    <row r="664" ht="22.5" customHeight="1">
      <c r="A664" s="44" t="s">
        <v>674</v>
      </c>
      <c r="B664" s="44" t="s">
        <v>2751</v>
      </c>
      <c r="C664" s="44" t="s">
        <v>2750</v>
      </c>
      <c r="D664" s="44" t="s">
        <v>1042</v>
      </c>
      <c r="E664" s="49" t="s">
        <v>901</v>
      </c>
      <c r="F664" s="44" t="s">
        <v>1562</v>
      </c>
      <c r="G664" s="44">
        <v>80.0</v>
      </c>
      <c r="H664" s="47" t="s">
        <v>970</v>
      </c>
      <c r="I664" s="47" t="s">
        <v>901</v>
      </c>
      <c r="J664" s="44">
        <v>10.814596</v>
      </c>
      <c r="K664" s="48">
        <v>106.711363</v>
      </c>
    </row>
    <row r="665" ht="22.5" customHeight="1">
      <c r="A665" s="44" t="s">
        <v>508</v>
      </c>
      <c r="B665" s="44" t="s">
        <v>2752</v>
      </c>
      <c r="C665" s="44" t="s">
        <v>2753</v>
      </c>
      <c r="D665" s="44" t="s">
        <v>1368</v>
      </c>
      <c r="E665" s="49" t="s">
        <v>814</v>
      </c>
      <c r="F665" s="44" t="s">
        <v>1369</v>
      </c>
      <c r="G665" s="44">
        <v>60.0</v>
      </c>
      <c r="H665" s="47" t="s">
        <v>970</v>
      </c>
      <c r="I665" s="47" t="s">
        <v>814</v>
      </c>
      <c r="J665" s="44">
        <v>10.797711</v>
      </c>
      <c r="K665" s="48">
        <v>106.671377</v>
      </c>
    </row>
    <row r="666" ht="22.5" customHeight="1">
      <c r="A666" s="44" t="s">
        <v>212</v>
      </c>
      <c r="B666" s="44" t="s">
        <v>2754</v>
      </c>
      <c r="C666" s="44" t="s">
        <v>2742</v>
      </c>
      <c r="D666" s="44" t="s">
        <v>1030</v>
      </c>
      <c r="E666" s="49" t="s">
        <v>887</v>
      </c>
      <c r="F666" s="44" t="s">
        <v>1031</v>
      </c>
      <c r="G666" s="44">
        <v>60.0</v>
      </c>
      <c r="H666" s="47" t="s">
        <v>970</v>
      </c>
      <c r="I666" s="47" t="s">
        <v>832</v>
      </c>
      <c r="J666" s="44">
        <v>10.793841</v>
      </c>
      <c r="K666" s="48">
        <v>106.746376</v>
      </c>
    </row>
    <row r="667" ht="22.5" customHeight="1">
      <c r="A667" s="44" t="s">
        <v>2755</v>
      </c>
      <c r="B667" s="44" t="s">
        <v>2756</v>
      </c>
      <c r="C667" s="44" t="s">
        <v>2750</v>
      </c>
      <c r="D667" s="44" t="s">
        <v>1042</v>
      </c>
      <c r="E667" s="49" t="s">
        <v>889</v>
      </c>
      <c r="F667" s="44" t="s">
        <v>1043</v>
      </c>
      <c r="G667" s="44">
        <v>70.0</v>
      </c>
      <c r="H667" s="47" t="s">
        <v>970</v>
      </c>
      <c r="I667" s="47" t="s">
        <v>901</v>
      </c>
      <c r="J667" s="44">
        <v>10.814596</v>
      </c>
      <c r="K667" s="48">
        <v>106.711363</v>
      </c>
    </row>
    <row r="668" ht="22.5" customHeight="1">
      <c r="A668" s="44" t="s">
        <v>2757</v>
      </c>
      <c r="B668" s="44" t="s">
        <v>2758</v>
      </c>
      <c r="C668" s="44" t="s">
        <v>2759</v>
      </c>
      <c r="D668" s="44" t="s">
        <v>1139</v>
      </c>
      <c r="E668" s="49" t="s">
        <v>894</v>
      </c>
      <c r="F668" s="44" t="s">
        <v>974</v>
      </c>
      <c r="G668" s="50">
        <v>70.0</v>
      </c>
      <c r="H668" s="47" t="s">
        <v>970</v>
      </c>
      <c r="I668" s="47" t="s">
        <v>882</v>
      </c>
      <c r="J668" s="44">
        <v>10.699655550965</v>
      </c>
      <c r="K668" s="48">
        <v>106.70409206491</v>
      </c>
    </row>
    <row r="669" ht="22.5" customHeight="1">
      <c r="A669" s="44" t="s">
        <v>178</v>
      </c>
      <c r="B669" s="44" t="s">
        <v>2760</v>
      </c>
      <c r="C669" s="44" t="s">
        <v>1493</v>
      </c>
      <c r="D669" s="44" t="s">
        <v>990</v>
      </c>
      <c r="E669" s="49" t="s">
        <v>894</v>
      </c>
      <c r="F669" s="44" t="s">
        <v>974</v>
      </c>
      <c r="G669" s="50">
        <v>60.0</v>
      </c>
      <c r="H669" s="47" t="s">
        <v>970</v>
      </c>
      <c r="I669" s="47" t="s">
        <v>894</v>
      </c>
      <c r="J669" s="44">
        <v>10.737331</v>
      </c>
      <c r="K669" s="48">
        <v>106.724166</v>
      </c>
    </row>
    <row r="670" ht="22.5" customHeight="1">
      <c r="A670" s="44" t="s">
        <v>2761</v>
      </c>
      <c r="B670" s="44" t="s">
        <v>2762</v>
      </c>
      <c r="C670" s="44" t="s">
        <v>2763</v>
      </c>
      <c r="D670" s="44" t="s">
        <v>2232</v>
      </c>
      <c r="E670" s="49"/>
      <c r="F670" s="44" t="s">
        <v>1098</v>
      </c>
      <c r="G670" s="44"/>
      <c r="H670" s="47" t="s">
        <v>970</v>
      </c>
      <c r="I670" s="47" t="s">
        <v>896</v>
      </c>
      <c r="J670" s="44">
        <v>10.825061</v>
      </c>
      <c r="K670" s="48">
        <v>106.640375</v>
      </c>
    </row>
    <row r="671" ht="22.5" customHeight="1">
      <c r="A671" s="44" t="s">
        <v>300</v>
      </c>
      <c r="B671" s="44" t="s">
        <v>2764</v>
      </c>
      <c r="C671" s="44" t="s">
        <v>2765</v>
      </c>
      <c r="D671" s="44" t="s">
        <v>1180</v>
      </c>
      <c r="E671" s="49" t="s">
        <v>892</v>
      </c>
      <c r="F671" s="44" t="s">
        <v>1108</v>
      </c>
      <c r="G671" s="44">
        <v>70.0</v>
      </c>
      <c r="H671" s="47" t="s">
        <v>970</v>
      </c>
      <c r="I671" s="47" t="s">
        <v>892</v>
      </c>
      <c r="J671" s="44">
        <v>10.979379</v>
      </c>
      <c r="K671" s="48">
        <v>106.668208</v>
      </c>
    </row>
    <row r="672" ht="22.5" customHeight="1">
      <c r="A672" s="44" t="s">
        <v>105</v>
      </c>
      <c r="B672" s="44" t="s">
        <v>2766</v>
      </c>
      <c r="C672" s="44" t="s">
        <v>2767</v>
      </c>
      <c r="D672" s="44" t="s">
        <v>1189</v>
      </c>
      <c r="E672" s="49" t="s">
        <v>893</v>
      </c>
      <c r="F672" s="44" t="s">
        <v>1088</v>
      </c>
      <c r="G672" s="44">
        <v>70.0</v>
      </c>
      <c r="H672" s="47" t="s">
        <v>970</v>
      </c>
      <c r="I672" s="47" t="s">
        <v>896</v>
      </c>
      <c r="J672" s="44">
        <v>10.810739</v>
      </c>
      <c r="K672" s="48">
        <v>106.622563</v>
      </c>
    </row>
    <row r="673" ht="22.5" customHeight="1">
      <c r="A673" s="44" t="s">
        <v>524</v>
      </c>
      <c r="B673" s="44" t="s">
        <v>2768</v>
      </c>
      <c r="C673" s="44" t="s">
        <v>2769</v>
      </c>
      <c r="D673" s="44" t="s">
        <v>1571</v>
      </c>
      <c r="E673" s="49" t="s">
        <v>797</v>
      </c>
      <c r="F673" s="44" t="s">
        <v>1409</v>
      </c>
      <c r="G673" s="44">
        <v>45.0</v>
      </c>
      <c r="H673" s="47" t="s">
        <v>970</v>
      </c>
      <c r="I673" s="47" t="s">
        <v>819</v>
      </c>
      <c r="J673" s="44">
        <v>10.849088400772</v>
      </c>
      <c r="K673" s="48">
        <v>106.58743038196</v>
      </c>
    </row>
    <row r="674" ht="22.5" customHeight="1">
      <c r="A674" s="44" t="s">
        <v>539</v>
      </c>
      <c r="B674" s="44" t="s">
        <v>2770</v>
      </c>
      <c r="C674" s="44" t="s">
        <v>2771</v>
      </c>
      <c r="D674" s="44" t="s">
        <v>1067</v>
      </c>
      <c r="E674" s="49" t="s">
        <v>896</v>
      </c>
      <c r="F674" s="44" t="s">
        <v>1395</v>
      </c>
      <c r="G674" s="44">
        <v>45.0</v>
      </c>
      <c r="H674" s="47" t="s">
        <v>970</v>
      </c>
      <c r="I674" s="47" t="s">
        <v>896</v>
      </c>
      <c r="J674" s="44">
        <v>10.831737</v>
      </c>
      <c r="K674" s="48">
        <v>106.621842</v>
      </c>
    </row>
    <row r="675" ht="22.5" customHeight="1">
      <c r="A675" s="44" t="s">
        <v>2772</v>
      </c>
      <c r="B675" s="44" t="s">
        <v>2773</v>
      </c>
      <c r="C675" s="44" t="s">
        <v>2774</v>
      </c>
      <c r="D675" s="44" t="s">
        <v>1014</v>
      </c>
      <c r="E675" s="49" t="s">
        <v>813</v>
      </c>
      <c r="F675" s="44" t="s">
        <v>1015</v>
      </c>
      <c r="G675" s="44">
        <v>76.0</v>
      </c>
      <c r="H675" s="47" t="s">
        <v>970</v>
      </c>
      <c r="I675" s="47" t="s">
        <v>811</v>
      </c>
      <c r="J675" s="44">
        <v>10.754976</v>
      </c>
      <c r="K675" s="48">
        <v>106.684306</v>
      </c>
    </row>
    <row r="676" ht="22.5" customHeight="1">
      <c r="A676" s="44" t="s">
        <v>247</v>
      </c>
      <c r="B676" s="44" t="s">
        <v>2775</v>
      </c>
      <c r="C676" s="44" t="s">
        <v>2776</v>
      </c>
      <c r="D676" s="44" t="s">
        <v>1180</v>
      </c>
      <c r="E676" s="49" t="s">
        <v>892</v>
      </c>
      <c r="F676" s="44" t="s">
        <v>1108</v>
      </c>
      <c r="G676" s="44">
        <v>60.0</v>
      </c>
      <c r="H676" s="47" t="s">
        <v>970</v>
      </c>
      <c r="I676" s="47" t="s">
        <v>892</v>
      </c>
      <c r="J676" s="44">
        <v>11.005263</v>
      </c>
      <c r="K676" s="48">
        <v>106.666227</v>
      </c>
    </row>
    <row r="677" ht="22.5" customHeight="1">
      <c r="A677" s="44" t="s">
        <v>2777</v>
      </c>
      <c r="B677" s="44" t="s">
        <v>2778</v>
      </c>
      <c r="C677" s="44" t="s">
        <v>2779</v>
      </c>
      <c r="D677" s="44" t="s">
        <v>1939</v>
      </c>
      <c r="E677" s="49" t="s">
        <v>510</v>
      </c>
      <c r="F677" s="44" t="s">
        <v>983</v>
      </c>
      <c r="G677" s="44">
        <v>70.0</v>
      </c>
      <c r="H677" s="47" t="s">
        <v>970</v>
      </c>
      <c r="I677" s="47" t="s">
        <v>510</v>
      </c>
      <c r="J677" s="44">
        <v>10.874587</v>
      </c>
      <c r="K677" s="48">
        <v>106.765771</v>
      </c>
    </row>
    <row r="678" ht="22.5" customHeight="1">
      <c r="A678" s="44" t="s">
        <v>783</v>
      </c>
      <c r="B678" s="44" t="s">
        <v>2780</v>
      </c>
      <c r="C678" s="44" t="s">
        <v>2781</v>
      </c>
      <c r="D678" s="44" t="s">
        <v>1268</v>
      </c>
      <c r="E678" s="49" t="s">
        <v>910</v>
      </c>
      <c r="F678" s="44" t="s">
        <v>987</v>
      </c>
      <c r="G678" s="44">
        <v>60.0</v>
      </c>
      <c r="H678" s="47" t="s">
        <v>970</v>
      </c>
      <c r="I678" s="47" t="s">
        <v>826</v>
      </c>
      <c r="J678" s="44">
        <v>10.776632</v>
      </c>
      <c r="K678" s="48">
        <v>106.690126</v>
      </c>
    </row>
    <row r="679" ht="22.5" customHeight="1">
      <c r="A679" s="44" t="s">
        <v>2782</v>
      </c>
      <c r="B679" s="44" t="s">
        <v>2783</v>
      </c>
      <c r="C679" s="44" t="s">
        <v>2784</v>
      </c>
      <c r="D679" s="44" t="s">
        <v>1042</v>
      </c>
      <c r="E679" s="49" t="s">
        <v>901</v>
      </c>
      <c r="F679" s="44" t="s">
        <v>1562</v>
      </c>
      <c r="G679" s="44">
        <v>60.0</v>
      </c>
      <c r="H679" s="47" t="s">
        <v>970</v>
      </c>
      <c r="I679" s="47" t="s">
        <v>901</v>
      </c>
      <c r="J679" s="44">
        <v>10.804002</v>
      </c>
      <c r="K679" s="48">
        <v>106.709249</v>
      </c>
    </row>
    <row r="680" ht="22.5" customHeight="1">
      <c r="A680" s="44" t="s">
        <v>583</v>
      </c>
      <c r="B680" s="44" t="s">
        <v>2785</v>
      </c>
      <c r="C680" s="44" t="s">
        <v>2786</v>
      </c>
      <c r="D680" s="44" t="s">
        <v>1051</v>
      </c>
      <c r="E680" s="49" t="s">
        <v>863</v>
      </c>
      <c r="F680" s="44" t="s">
        <v>1052</v>
      </c>
      <c r="G680" s="44">
        <v>60.0</v>
      </c>
      <c r="H680" s="47" t="s">
        <v>970</v>
      </c>
      <c r="I680" s="47" t="s">
        <v>863</v>
      </c>
      <c r="J680" s="44">
        <v>10.351656</v>
      </c>
      <c r="K680" s="48">
        <v>107.08306</v>
      </c>
    </row>
    <row r="681" ht="22.5" customHeight="1">
      <c r="A681" s="44" t="s">
        <v>2787</v>
      </c>
      <c r="B681" s="44" t="s">
        <v>2788</v>
      </c>
      <c r="C681" s="44" t="s">
        <v>2789</v>
      </c>
      <c r="D681" s="44" t="s">
        <v>1227</v>
      </c>
      <c r="E681" s="49" t="s">
        <v>890</v>
      </c>
      <c r="F681" s="44" t="s">
        <v>1228</v>
      </c>
      <c r="G681" s="44">
        <v>60.0</v>
      </c>
      <c r="H681" s="47" t="s">
        <v>970</v>
      </c>
      <c r="I681" s="47" t="s">
        <v>890</v>
      </c>
      <c r="J681" s="44">
        <v>10.914732</v>
      </c>
      <c r="K681" s="48">
        <v>106.769459</v>
      </c>
    </row>
    <row r="682" ht="22.5" customHeight="1">
      <c r="A682" s="44" t="s">
        <v>467</v>
      </c>
      <c r="B682" s="44" t="s">
        <v>2790</v>
      </c>
      <c r="C682" s="44" t="s">
        <v>2262</v>
      </c>
      <c r="D682" s="44" t="s">
        <v>1076</v>
      </c>
      <c r="E682" s="49" t="s">
        <v>813</v>
      </c>
      <c r="F682" s="44" t="s">
        <v>1015</v>
      </c>
      <c r="G682" s="50">
        <v>46.0</v>
      </c>
      <c r="H682" s="47" t="s">
        <v>970</v>
      </c>
      <c r="I682" s="47" t="s">
        <v>813</v>
      </c>
      <c r="J682" s="44">
        <v>10.755002</v>
      </c>
      <c r="K682" s="48">
        <v>106.670535</v>
      </c>
    </row>
    <row r="683" ht="22.5" customHeight="1">
      <c r="A683" s="44" t="s">
        <v>765</v>
      </c>
      <c r="B683" s="44" t="s">
        <v>2791</v>
      </c>
      <c r="C683" s="44" t="s">
        <v>2792</v>
      </c>
      <c r="D683" s="44" t="s">
        <v>1132</v>
      </c>
      <c r="E683" s="49" t="s">
        <v>897</v>
      </c>
      <c r="F683" s="44" t="s">
        <v>1027</v>
      </c>
      <c r="G683" s="44">
        <v>60.0</v>
      </c>
      <c r="H683" s="47" t="s">
        <v>970</v>
      </c>
      <c r="I683" s="47" t="s">
        <v>797</v>
      </c>
      <c r="J683" s="44">
        <v>10.883294</v>
      </c>
      <c r="K683" s="48">
        <v>106.628779</v>
      </c>
    </row>
    <row r="684" ht="22.5" customHeight="1">
      <c r="A684" s="44" t="s">
        <v>2793</v>
      </c>
      <c r="B684" s="44" t="s">
        <v>2794</v>
      </c>
      <c r="C684" s="44" t="s">
        <v>1876</v>
      </c>
      <c r="D684" s="44" t="s">
        <v>1007</v>
      </c>
      <c r="E684" s="49" t="s">
        <v>510</v>
      </c>
      <c r="F684" s="44" t="s">
        <v>983</v>
      </c>
      <c r="G684" s="44">
        <v>60.0</v>
      </c>
      <c r="H684" s="47" t="s">
        <v>970</v>
      </c>
      <c r="I684" s="47" t="s">
        <v>510</v>
      </c>
      <c r="J684" s="44">
        <v>10.864436</v>
      </c>
      <c r="K684" s="48">
        <v>106.74569</v>
      </c>
    </row>
    <row r="685" ht="22.5" customHeight="1">
      <c r="A685" s="44" t="s">
        <v>854</v>
      </c>
      <c r="B685" s="44" t="s">
        <v>2795</v>
      </c>
      <c r="C685" s="44" t="s">
        <v>2024</v>
      </c>
      <c r="D685" s="44" t="s">
        <v>1236</v>
      </c>
      <c r="E685" s="49" t="s">
        <v>891</v>
      </c>
      <c r="F685" s="44" t="s">
        <v>1125</v>
      </c>
      <c r="G685" s="44">
        <v>90.0</v>
      </c>
      <c r="H685" s="47" t="s">
        <v>970</v>
      </c>
      <c r="I685" s="47" t="s">
        <v>891</v>
      </c>
      <c r="J685" s="44">
        <v>10.967154</v>
      </c>
      <c r="K685" s="48">
        <v>106.900315</v>
      </c>
    </row>
    <row r="686" ht="22.5" customHeight="1">
      <c r="A686" s="44" t="s">
        <v>2796</v>
      </c>
      <c r="B686" s="44" t="s">
        <v>2797</v>
      </c>
      <c r="C686" s="44" t="s">
        <v>2798</v>
      </c>
      <c r="D686" s="44" t="s">
        <v>2148</v>
      </c>
      <c r="E686" s="49" t="s">
        <v>863</v>
      </c>
      <c r="F686" s="44" t="s">
        <v>1052</v>
      </c>
      <c r="G686" s="44">
        <v>60.0</v>
      </c>
      <c r="H686" s="47" t="s">
        <v>970</v>
      </c>
      <c r="I686" s="47" t="s">
        <v>863</v>
      </c>
      <c r="J686" s="44">
        <v>10.360067</v>
      </c>
      <c r="K686" s="48">
        <v>107.083522</v>
      </c>
    </row>
    <row r="687" ht="22.5" customHeight="1">
      <c r="A687" s="44" t="s">
        <v>2799</v>
      </c>
      <c r="B687" s="44" t="s">
        <v>2800</v>
      </c>
      <c r="C687" s="44" t="s">
        <v>2801</v>
      </c>
      <c r="D687" s="44" t="s">
        <v>2802</v>
      </c>
      <c r="E687" s="49"/>
      <c r="F687" s="44" t="s">
        <v>1098</v>
      </c>
      <c r="G687" s="44"/>
      <c r="H687" s="47"/>
      <c r="I687" s="47" t="s">
        <v>872</v>
      </c>
      <c r="J687" s="44">
        <v>10.4894625</v>
      </c>
      <c r="K687" s="48">
        <v>106.3654844</v>
      </c>
    </row>
    <row r="688" ht="22.5" customHeight="1">
      <c r="A688" s="44" t="s">
        <v>2803</v>
      </c>
      <c r="B688" s="44" t="s">
        <v>2804</v>
      </c>
      <c r="C688" s="44" t="s">
        <v>1503</v>
      </c>
      <c r="D688" s="44" t="s">
        <v>1227</v>
      </c>
      <c r="E688" s="49" t="s">
        <v>890</v>
      </c>
      <c r="F688" s="44" t="s">
        <v>1228</v>
      </c>
      <c r="G688" s="44">
        <v>70.0</v>
      </c>
      <c r="H688" s="47" t="s">
        <v>970</v>
      </c>
      <c r="I688" s="47" t="s">
        <v>890</v>
      </c>
      <c r="J688" s="44">
        <v>10.910497</v>
      </c>
      <c r="K688" s="48">
        <v>106.781597</v>
      </c>
    </row>
    <row r="689" ht="22.5" customHeight="1">
      <c r="A689" s="44" t="s">
        <v>2805</v>
      </c>
      <c r="B689" s="44" t="s">
        <v>2806</v>
      </c>
      <c r="C689" s="44" t="s">
        <v>2807</v>
      </c>
      <c r="D689" s="44" t="s">
        <v>1802</v>
      </c>
      <c r="E689" s="49"/>
      <c r="F689" s="44" t="s">
        <v>1098</v>
      </c>
      <c r="G689" s="44"/>
      <c r="H689" s="47" t="s">
        <v>970</v>
      </c>
      <c r="I689" s="47" t="s">
        <v>804</v>
      </c>
      <c r="J689" s="44">
        <v>10.768282</v>
      </c>
      <c r="K689" s="48">
        <v>106.692597</v>
      </c>
    </row>
    <row r="690" ht="22.5" customHeight="1">
      <c r="A690" s="44" t="s">
        <v>616</v>
      </c>
      <c r="B690" s="44" t="s">
        <v>2808</v>
      </c>
      <c r="C690" s="44" t="s">
        <v>2809</v>
      </c>
      <c r="D690" s="44" t="s">
        <v>977</v>
      </c>
      <c r="E690" s="49" t="s">
        <v>900</v>
      </c>
      <c r="F690" s="44" t="s">
        <v>978</v>
      </c>
      <c r="G690" s="44">
        <v>39.0</v>
      </c>
      <c r="H690" s="47" t="s">
        <v>970</v>
      </c>
      <c r="I690" s="47" t="s">
        <v>902</v>
      </c>
      <c r="J690" s="44">
        <v>10.783924</v>
      </c>
      <c r="K690" s="48">
        <v>106.680798</v>
      </c>
    </row>
    <row r="691" ht="22.5" customHeight="1">
      <c r="A691" s="44" t="s">
        <v>2810</v>
      </c>
      <c r="B691" s="44" t="s">
        <v>2811</v>
      </c>
      <c r="C691" s="44" t="s">
        <v>2812</v>
      </c>
      <c r="D691" s="44" t="s">
        <v>1116</v>
      </c>
      <c r="E691" s="49" t="s">
        <v>885</v>
      </c>
      <c r="F691" s="44" t="s">
        <v>1117</v>
      </c>
      <c r="G691" s="44">
        <v>70.0</v>
      </c>
      <c r="H691" s="47" t="s">
        <v>970</v>
      </c>
      <c r="I691" s="47" t="s">
        <v>811</v>
      </c>
      <c r="J691" s="44">
        <v>10.742863</v>
      </c>
      <c r="K691" s="48">
        <v>106.684254</v>
      </c>
    </row>
    <row r="692" ht="22.5" customHeight="1">
      <c r="A692" s="44" t="s">
        <v>354</v>
      </c>
      <c r="B692" s="44" t="s">
        <v>2813</v>
      </c>
      <c r="C692" s="44" t="s">
        <v>2814</v>
      </c>
      <c r="D692" s="44" t="s">
        <v>1021</v>
      </c>
      <c r="E692" s="49" t="s">
        <v>809</v>
      </c>
      <c r="F692" s="44" t="s">
        <v>1022</v>
      </c>
      <c r="G692" s="44">
        <v>68.0</v>
      </c>
      <c r="H692" s="47" t="s">
        <v>970</v>
      </c>
      <c r="I692" s="47" t="s">
        <v>809</v>
      </c>
      <c r="J692" s="44">
        <v>10.843169</v>
      </c>
      <c r="K692" s="48">
        <v>106.676667</v>
      </c>
    </row>
    <row r="693" ht="22.5" customHeight="1">
      <c r="A693" s="44" t="s">
        <v>12</v>
      </c>
      <c r="B693" s="44" t="s">
        <v>11</v>
      </c>
      <c r="C693" s="44" t="s">
        <v>2815</v>
      </c>
      <c r="D693" s="44" t="s">
        <v>1129</v>
      </c>
      <c r="E693" s="49"/>
      <c r="F693" s="44" t="s">
        <v>1098</v>
      </c>
      <c r="G693" s="44"/>
      <c r="H693" s="47" t="s">
        <v>970</v>
      </c>
      <c r="I693" s="47" t="s">
        <v>826</v>
      </c>
      <c r="J693" s="44">
        <v>10.778631</v>
      </c>
      <c r="K693" s="48">
        <v>106.679631</v>
      </c>
    </row>
    <row r="694" ht="22.5" customHeight="1">
      <c r="A694" s="44" t="s">
        <v>357</v>
      </c>
      <c r="B694" s="44" t="s">
        <v>2816</v>
      </c>
      <c r="C694" s="44" t="s">
        <v>2817</v>
      </c>
      <c r="D694" s="44" t="s">
        <v>1895</v>
      </c>
      <c r="E694" s="49" t="s">
        <v>897</v>
      </c>
      <c r="F694" s="44" t="s">
        <v>1027</v>
      </c>
      <c r="G694" s="44">
        <v>68.0</v>
      </c>
      <c r="H694" s="47" t="s">
        <v>970</v>
      </c>
      <c r="I694" s="47" t="s">
        <v>897</v>
      </c>
      <c r="J694" s="44">
        <v>10.849292</v>
      </c>
      <c r="K694" s="48">
        <v>106.649889</v>
      </c>
    </row>
    <row r="695" ht="22.5" customHeight="1">
      <c r="A695" s="44" t="s">
        <v>363</v>
      </c>
      <c r="B695" s="44" t="s">
        <v>2818</v>
      </c>
      <c r="C695" s="44" t="s">
        <v>2819</v>
      </c>
      <c r="D695" s="44" t="s">
        <v>1546</v>
      </c>
      <c r="E695" s="49" t="s">
        <v>797</v>
      </c>
      <c r="F695" s="44" t="s">
        <v>1409</v>
      </c>
      <c r="G695" s="44">
        <v>60.0</v>
      </c>
      <c r="H695" s="47" t="s">
        <v>970</v>
      </c>
      <c r="I695" s="47" t="s">
        <v>797</v>
      </c>
      <c r="J695" s="44">
        <v>10.871885</v>
      </c>
      <c r="K695" s="48">
        <v>106.597507</v>
      </c>
    </row>
    <row r="696" ht="22.5" customHeight="1">
      <c r="A696" s="44" t="s">
        <v>866</v>
      </c>
      <c r="B696" s="44" t="s">
        <v>2820</v>
      </c>
      <c r="C696" s="44" t="s">
        <v>2821</v>
      </c>
      <c r="D696" s="44" t="s">
        <v>1135</v>
      </c>
      <c r="E696" s="49"/>
      <c r="F696" s="44" t="s">
        <v>1098</v>
      </c>
      <c r="G696" s="44"/>
      <c r="H696" s="47" t="s">
        <v>970</v>
      </c>
      <c r="I696" s="47" t="s">
        <v>888</v>
      </c>
      <c r="J696" s="44">
        <v>10.770142</v>
      </c>
      <c r="K696" s="48">
        <v>106.700855</v>
      </c>
    </row>
    <row r="697" ht="22.5" customHeight="1">
      <c r="A697" s="44" t="s">
        <v>299</v>
      </c>
      <c r="B697" s="44" t="s">
        <v>2822</v>
      </c>
      <c r="C697" s="44" t="s">
        <v>2823</v>
      </c>
      <c r="D697" s="44" t="s">
        <v>1180</v>
      </c>
      <c r="E697" s="49" t="s">
        <v>892</v>
      </c>
      <c r="F697" s="44" t="s">
        <v>1108</v>
      </c>
      <c r="G697" s="44">
        <v>60.0</v>
      </c>
      <c r="H697" s="47" t="s">
        <v>970</v>
      </c>
      <c r="I697" s="47" t="s">
        <v>892</v>
      </c>
      <c r="J697" s="44">
        <v>10.976362</v>
      </c>
      <c r="K697" s="48">
        <v>106.670487</v>
      </c>
    </row>
    <row r="698" ht="22.5" customHeight="1">
      <c r="A698" s="44" t="s">
        <v>367</v>
      </c>
      <c r="B698" s="44" t="s">
        <v>2824</v>
      </c>
      <c r="C698" s="44" t="s">
        <v>2825</v>
      </c>
      <c r="D698" s="44" t="s">
        <v>1860</v>
      </c>
      <c r="E698" s="49" t="s">
        <v>814</v>
      </c>
      <c r="F698" s="44" t="s">
        <v>1369</v>
      </c>
      <c r="G698" s="44">
        <v>60.0</v>
      </c>
      <c r="H698" s="47" t="s">
        <v>970</v>
      </c>
      <c r="I698" s="47" t="s">
        <v>889</v>
      </c>
      <c r="J698" s="44">
        <v>10.803246</v>
      </c>
      <c r="K698" s="48">
        <v>106.68421</v>
      </c>
    </row>
    <row r="699" ht="22.5" customHeight="1">
      <c r="A699" s="44" t="s">
        <v>123</v>
      </c>
      <c r="B699" s="44" t="s">
        <v>2826</v>
      </c>
      <c r="C699" s="44" t="s">
        <v>2827</v>
      </c>
      <c r="D699" s="44" t="s">
        <v>1087</v>
      </c>
      <c r="E699" s="49" t="s">
        <v>893</v>
      </c>
      <c r="F699" s="44" t="s">
        <v>1088</v>
      </c>
      <c r="G699" s="44">
        <v>60.0</v>
      </c>
      <c r="H699" s="47" t="s">
        <v>970</v>
      </c>
      <c r="I699" s="47" t="s">
        <v>893</v>
      </c>
      <c r="J699" s="44">
        <v>10.797199</v>
      </c>
      <c r="K699" s="48">
        <v>106.630739</v>
      </c>
    </row>
    <row r="700" ht="22.5" customHeight="1">
      <c r="A700" s="44" t="s">
        <v>324</v>
      </c>
      <c r="B700" s="44" t="s">
        <v>2828</v>
      </c>
      <c r="C700" s="44" t="s">
        <v>2829</v>
      </c>
      <c r="D700" s="44" t="s">
        <v>1167</v>
      </c>
      <c r="E700" s="49" t="s">
        <v>789</v>
      </c>
      <c r="F700" s="44" t="s">
        <v>1168</v>
      </c>
      <c r="G700" s="44">
        <v>69.0</v>
      </c>
      <c r="H700" s="47" t="s">
        <v>970</v>
      </c>
      <c r="I700" s="47" t="s">
        <v>789</v>
      </c>
      <c r="J700" s="44">
        <v>10.738972</v>
      </c>
      <c r="K700" s="48">
        <v>106.614914</v>
      </c>
    </row>
    <row r="701" ht="22.5" customHeight="1">
      <c r="A701" s="44" t="s">
        <v>2830</v>
      </c>
      <c r="B701" s="44" t="s">
        <v>2831</v>
      </c>
      <c r="C701" s="44" t="s">
        <v>2832</v>
      </c>
      <c r="D701" s="44" t="s">
        <v>1227</v>
      </c>
      <c r="E701" s="49" t="s">
        <v>890</v>
      </c>
      <c r="F701" s="44" t="s">
        <v>1228</v>
      </c>
      <c r="G701" s="44">
        <v>70.0</v>
      </c>
      <c r="H701" s="47" t="s">
        <v>970</v>
      </c>
      <c r="I701" s="47" t="s">
        <v>890</v>
      </c>
      <c r="J701" s="44">
        <v>10.916283</v>
      </c>
      <c r="K701" s="48">
        <v>106.784348</v>
      </c>
    </row>
    <row r="702" ht="22.5" customHeight="1">
      <c r="A702" s="44" t="s">
        <v>2833</v>
      </c>
      <c r="B702" s="44" t="s">
        <v>2834</v>
      </c>
      <c r="C702" s="44" t="s">
        <v>2835</v>
      </c>
      <c r="D702" s="44" t="s">
        <v>990</v>
      </c>
      <c r="E702" s="49" t="s">
        <v>894</v>
      </c>
      <c r="F702" s="44" t="s">
        <v>974</v>
      </c>
      <c r="G702" s="44">
        <v>70.0</v>
      </c>
      <c r="H702" s="47" t="s">
        <v>970</v>
      </c>
      <c r="I702" s="47" t="s">
        <v>894</v>
      </c>
      <c r="J702" s="44">
        <v>10.732503</v>
      </c>
      <c r="K702" s="48">
        <v>106.718007</v>
      </c>
    </row>
    <row r="703" ht="22.5" customHeight="1">
      <c r="A703" s="44" t="s">
        <v>320</v>
      </c>
      <c r="B703" s="44" t="s">
        <v>2836</v>
      </c>
      <c r="C703" s="44" t="s">
        <v>2837</v>
      </c>
      <c r="D703" s="44" t="s">
        <v>2200</v>
      </c>
      <c r="E703" s="49" t="s">
        <v>819</v>
      </c>
      <c r="F703" s="44" t="s">
        <v>2838</v>
      </c>
      <c r="G703" s="44">
        <v>69.0</v>
      </c>
      <c r="H703" s="47" t="s">
        <v>970</v>
      </c>
      <c r="I703" s="47" t="s">
        <v>819</v>
      </c>
      <c r="J703" s="44">
        <v>10.814938</v>
      </c>
      <c r="K703" s="48">
        <v>106.585403</v>
      </c>
    </row>
    <row r="704" ht="22.5" customHeight="1">
      <c r="A704" s="44" t="s">
        <v>2839</v>
      </c>
      <c r="B704" s="44" t="s">
        <v>2840</v>
      </c>
      <c r="C704" s="44" t="s">
        <v>1017</v>
      </c>
      <c r="D704" s="44" t="s">
        <v>1018</v>
      </c>
      <c r="E704" s="49" t="s">
        <v>808</v>
      </c>
      <c r="F704" s="44" t="s">
        <v>998</v>
      </c>
      <c r="G704" s="44">
        <v>70.0</v>
      </c>
      <c r="H704" s="47" t="s">
        <v>970</v>
      </c>
      <c r="I704" s="47" t="s">
        <v>808</v>
      </c>
      <c r="J704" s="44">
        <v>10.744414</v>
      </c>
      <c r="K704" s="48">
        <v>106.630452</v>
      </c>
    </row>
    <row r="705" ht="22.5" customHeight="1">
      <c r="A705" s="44" t="s">
        <v>408</v>
      </c>
      <c r="B705" s="44" t="s">
        <v>2841</v>
      </c>
      <c r="C705" s="44" t="s">
        <v>2842</v>
      </c>
      <c r="D705" s="44" t="s">
        <v>1317</v>
      </c>
      <c r="E705" s="49" t="s">
        <v>894</v>
      </c>
      <c r="F705" s="44" t="s">
        <v>974</v>
      </c>
      <c r="G705" s="44">
        <v>68.0</v>
      </c>
      <c r="H705" s="47" t="s">
        <v>970</v>
      </c>
      <c r="I705" s="47" t="s">
        <v>894</v>
      </c>
      <c r="J705" s="44">
        <v>10.752026</v>
      </c>
      <c r="K705" s="48">
        <v>106.728395</v>
      </c>
    </row>
    <row r="706" ht="22.5" customHeight="1">
      <c r="A706" s="44" t="s">
        <v>316</v>
      </c>
      <c r="B706" s="44" t="s">
        <v>2843</v>
      </c>
      <c r="C706" s="44" t="s">
        <v>2844</v>
      </c>
      <c r="D706" s="44" t="s">
        <v>1621</v>
      </c>
      <c r="E706" s="49" t="s">
        <v>885</v>
      </c>
      <c r="F706" s="44" t="s">
        <v>1117</v>
      </c>
      <c r="G706" s="44">
        <v>60.0</v>
      </c>
      <c r="H706" s="47" t="s">
        <v>970</v>
      </c>
      <c r="I706" s="47" t="s">
        <v>885</v>
      </c>
      <c r="J706" s="44">
        <v>10.723101</v>
      </c>
      <c r="K706" s="48">
        <v>106.655639</v>
      </c>
    </row>
    <row r="707" ht="22.5" customHeight="1">
      <c r="A707" s="44" t="s">
        <v>608</v>
      </c>
      <c r="B707" s="44" t="s">
        <v>2845</v>
      </c>
      <c r="C707" s="44" t="s">
        <v>2846</v>
      </c>
      <c r="D707" s="44" t="s">
        <v>1135</v>
      </c>
      <c r="E707" s="49" t="s">
        <v>888</v>
      </c>
      <c r="F707" s="44" t="s">
        <v>1136</v>
      </c>
      <c r="G707" s="44">
        <v>45.0</v>
      </c>
      <c r="H707" s="47" t="s">
        <v>970</v>
      </c>
      <c r="I707" s="47" t="s">
        <v>888</v>
      </c>
      <c r="J707" s="44">
        <v>10.783478</v>
      </c>
      <c r="K707" s="48">
        <v>106.700601</v>
      </c>
    </row>
    <row r="708" ht="22.5" customHeight="1">
      <c r="A708" s="44" t="s">
        <v>2847</v>
      </c>
      <c r="B708" s="44" t="s">
        <v>2848</v>
      </c>
      <c r="C708" s="44" t="s">
        <v>2849</v>
      </c>
      <c r="D708" s="44" t="s">
        <v>1977</v>
      </c>
      <c r="E708" s="49" t="s">
        <v>863</v>
      </c>
      <c r="F708" s="44" t="s">
        <v>1052</v>
      </c>
      <c r="G708" s="44">
        <v>60.0</v>
      </c>
      <c r="H708" s="47" t="s">
        <v>970</v>
      </c>
      <c r="I708" s="47" t="s">
        <v>863</v>
      </c>
      <c r="J708" s="44">
        <v>10.495045</v>
      </c>
      <c r="K708" s="48">
        <v>107.189882</v>
      </c>
    </row>
    <row r="709" ht="22.5" customHeight="1">
      <c r="A709" s="44" t="s">
        <v>2850</v>
      </c>
      <c r="B709" s="44" t="s">
        <v>2851</v>
      </c>
      <c r="C709" s="44" t="s">
        <v>2852</v>
      </c>
      <c r="D709" s="44" t="s">
        <v>2802</v>
      </c>
      <c r="E709" s="49" t="s">
        <v>872</v>
      </c>
      <c r="F709" s="44" t="s">
        <v>1003</v>
      </c>
      <c r="G709" s="44">
        <v>75.0</v>
      </c>
      <c r="H709" s="47" t="s">
        <v>970</v>
      </c>
      <c r="I709" s="47" t="s">
        <v>872</v>
      </c>
      <c r="J709" s="44">
        <v>10.481033</v>
      </c>
      <c r="K709" s="48">
        <v>106.364954</v>
      </c>
    </row>
    <row r="710" ht="22.5" customHeight="1">
      <c r="A710" s="44" t="s">
        <v>2853</v>
      </c>
      <c r="B710" s="44" t="s">
        <v>2854</v>
      </c>
      <c r="C710" s="44" t="s">
        <v>2855</v>
      </c>
      <c r="D710" s="44" t="s">
        <v>969</v>
      </c>
      <c r="E710" s="49" t="s">
        <v>893</v>
      </c>
      <c r="F710" s="44" t="s">
        <v>1088</v>
      </c>
      <c r="G710" s="44">
        <v>60.0</v>
      </c>
      <c r="H710" s="47" t="s">
        <v>970</v>
      </c>
      <c r="I710" s="47" t="s">
        <v>893</v>
      </c>
      <c r="J710" s="44">
        <v>10.801039</v>
      </c>
      <c r="K710" s="48">
        <v>106.638388</v>
      </c>
    </row>
    <row r="711" ht="22.5" customHeight="1">
      <c r="A711" s="44" t="s">
        <v>644</v>
      </c>
      <c r="B711" s="44" t="s">
        <v>2856</v>
      </c>
      <c r="C711" s="44" t="s">
        <v>1233</v>
      </c>
      <c r="D711" s="44" t="s">
        <v>969</v>
      </c>
      <c r="E711" s="49" t="s">
        <v>806</v>
      </c>
      <c r="F711" s="44" t="s">
        <v>1500</v>
      </c>
      <c r="G711" s="44">
        <v>45.0</v>
      </c>
      <c r="H711" s="47" t="s">
        <v>970</v>
      </c>
      <c r="I711" s="47" t="s">
        <v>893</v>
      </c>
      <c r="J711" s="44">
        <v>10.802601</v>
      </c>
      <c r="K711" s="48">
        <v>106.638419</v>
      </c>
    </row>
    <row r="712" ht="22.5" customHeight="1">
      <c r="A712" s="44" t="s">
        <v>729</v>
      </c>
      <c r="B712" s="44" t="s">
        <v>2857</v>
      </c>
      <c r="C712" s="44" t="s">
        <v>2858</v>
      </c>
      <c r="D712" s="44" t="s">
        <v>1433</v>
      </c>
      <c r="E712" s="49" t="s">
        <v>910</v>
      </c>
      <c r="F712" s="44" t="s">
        <v>987</v>
      </c>
      <c r="G712" s="44">
        <v>30.0</v>
      </c>
      <c r="H712" s="47" t="s">
        <v>970</v>
      </c>
      <c r="I712" s="47" t="s">
        <v>813</v>
      </c>
      <c r="J712" s="44">
        <v>10.762919</v>
      </c>
      <c r="K712" s="48">
        <v>106.670586</v>
      </c>
    </row>
    <row r="713" ht="22.5" customHeight="1">
      <c r="A713" s="44" t="s">
        <v>780</v>
      </c>
      <c r="B713" s="44" t="s">
        <v>2859</v>
      </c>
      <c r="C713" s="44" t="s">
        <v>2860</v>
      </c>
      <c r="D713" s="44" t="s">
        <v>1832</v>
      </c>
      <c r="E713" s="49" t="s">
        <v>910</v>
      </c>
      <c r="F713" s="44" t="s">
        <v>987</v>
      </c>
      <c r="G713" s="44">
        <v>70.0</v>
      </c>
      <c r="H713" s="47" t="s">
        <v>970</v>
      </c>
      <c r="I713" s="47" t="s">
        <v>901</v>
      </c>
      <c r="J713" s="44">
        <v>10.793576</v>
      </c>
      <c r="K713" s="48">
        <v>106.717942</v>
      </c>
    </row>
    <row r="714" ht="22.5" customHeight="1">
      <c r="A714" s="44" t="s">
        <v>2861</v>
      </c>
      <c r="B714" s="44" t="s">
        <v>2862</v>
      </c>
      <c r="C714" s="44" t="s">
        <v>2863</v>
      </c>
      <c r="D714" s="44" t="s">
        <v>2148</v>
      </c>
      <c r="E714" s="49" t="s">
        <v>863</v>
      </c>
      <c r="F714" s="44" t="s">
        <v>1052</v>
      </c>
      <c r="G714" s="44">
        <v>30.0</v>
      </c>
      <c r="H714" s="47" t="s">
        <v>970</v>
      </c>
      <c r="I714" s="47" t="s">
        <v>863</v>
      </c>
      <c r="J714" s="44">
        <v>10.360067</v>
      </c>
      <c r="K714" s="48">
        <v>107.083522</v>
      </c>
    </row>
    <row r="715" ht="22.5" customHeight="1">
      <c r="A715" s="44" t="s">
        <v>2864</v>
      </c>
      <c r="B715" s="44" t="s">
        <v>2865</v>
      </c>
      <c r="C715" s="44" t="s">
        <v>2866</v>
      </c>
      <c r="D715" s="44" t="s">
        <v>1532</v>
      </c>
      <c r="E715" s="49"/>
      <c r="F715" s="44" t="s">
        <v>1098</v>
      </c>
      <c r="G715" s="44"/>
      <c r="H715" s="47" t="s">
        <v>970</v>
      </c>
      <c r="I715" s="47" t="s">
        <v>886</v>
      </c>
      <c r="J715" s="44">
        <v>10.815575</v>
      </c>
      <c r="K715" s="48">
        <v>106.666684</v>
      </c>
    </row>
    <row r="716" ht="22.5" customHeight="1">
      <c r="A716" s="44" t="s">
        <v>290</v>
      </c>
      <c r="B716" s="44" t="s">
        <v>2867</v>
      </c>
      <c r="C716" s="44" t="s">
        <v>2868</v>
      </c>
      <c r="D716" s="44" t="s">
        <v>1107</v>
      </c>
      <c r="E716" s="49" t="s">
        <v>892</v>
      </c>
      <c r="F716" s="44" t="s">
        <v>1108</v>
      </c>
      <c r="G716" s="44">
        <v>70.0</v>
      </c>
      <c r="H716" s="47" t="s">
        <v>970</v>
      </c>
      <c r="I716" s="47" t="s">
        <v>892</v>
      </c>
      <c r="J716" s="44">
        <v>10.980724</v>
      </c>
      <c r="K716" s="48">
        <v>106.657626</v>
      </c>
    </row>
    <row r="717" ht="22.5" customHeight="1">
      <c r="A717" s="44" t="s">
        <v>2869</v>
      </c>
      <c r="B717" s="44" t="s">
        <v>2870</v>
      </c>
      <c r="C717" s="44" t="s">
        <v>2871</v>
      </c>
      <c r="D717" s="44" t="s">
        <v>2067</v>
      </c>
      <c r="E717" s="49" t="s">
        <v>814</v>
      </c>
      <c r="F717" s="44" t="s">
        <v>1369</v>
      </c>
      <c r="G717" s="44">
        <v>70.0</v>
      </c>
      <c r="H717" s="47" t="s">
        <v>970</v>
      </c>
      <c r="I717" s="47" t="s">
        <v>900</v>
      </c>
      <c r="J717" s="44">
        <v>10.798566</v>
      </c>
      <c r="K717" s="48">
        <v>106.68195</v>
      </c>
    </row>
    <row r="718" ht="22.5" customHeight="1">
      <c r="A718" s="44" t="s">
        <v>289</v>
      </c>
      <c r="B718" s="44" t="s">
        <v>2872</v>
      </c>
      <c r="C718" s="44" t="s">
        <v>2873</v>
      </c>
      <c r="D718" s="44" t="s">
        <v>1180</v>
      </c>
      <c r="E718" s="49" t="s">
        <v>892</v>
      </c>
      <c r="F718" s="44" t="s">
        <v>1108</v>
      </c>
      <c r="G718" s="44">
        <v>60.0</v>
      </c>
      <c r="H718" s="47" t="s">
        <v>970</v>
      </c>
      <c r="I718" s="47" t="s">
        <v>892</v>
      </c>
      <c r="J718" s="44">
        <v>10.9821</v>
      </c>
      <c r="K718" s="48">
        <v>106.667967</v>
      </c>
    </row>
    <row r="719" ht="22.5" customHeight="1">
      <c r="A719" s="44" t="s">
        <v>2874</v>
      </c>
      <c r="B719" s="44" t="s">
        <v>2875</v>
      </c>
      <c r="C719" s="44" t="s">
        <v>2876</v>
      </c>
      <c r="D719" s="44" t="s">
        <v>2611</v>
      </c>
      <c r="E719" s="49" t="s">
        <v>892</v>
      </c>
      <c r="F719" s="44" t="s">
        <v>1108</v>
      </c>
      <c r="G719" s="44">
        <v>100.0</v>
      </c>
      <c r="H719" s="47" t="s">
        <v>970</v>
      </c>
      <c r="I719" s="47" t="s">
        <v>892</v>
      </c>
      <c r="J719" s="44">
        <v>11.097692428407</v>
      </c>
      <c r="K719" s="48">
        <v>106.63497315767</v>
      </c>
    </row>
    <row r="720" ht="22.5" customHeight="1">
      <c r="A720" s="44" t="s">
        <v>754</v>
      </c>
      <c r="B720" s="44" t="s">
        <v>2877</v>
      </c>
      <c r="C720" s="44" t="s">
        <v>2878</v>
      </c>
      <c r="D720" s="44" t="s">
        <v>1280</v>
      </c>
      <c r="E720" s="49" t="s">
        <v>895</v>
      </c>
      <c r="F720" s="44" t="s">
        <v>1121</v>
      </c>
      <c r="G720" s="44">
        <v>51.0</v>
      </c>
      <c r="H720" s="47" t="s">
        <v>970</v>
      </c>
      <c r="I720" s="47" t="s">
        <v>899</v>
      </c>
      <c r="J720" s="44">
        <v>10.833879</v>
      </c>
      <c r="K720" s="48">
        <v>106.761764</v>
      </c>
    </row>
    <row r="721" ht="22.5" customHeight="1">
      <c r="A721" s="44" t="s">
        <v>677</v>
      </c>
      <c r="B721" s="44" t="s">
        <v>2879</v>
      </c>
      <c r="C721" s="44" t="s">
        <v>2880</v>
      </c>
      <c r="D721" s="44" t="s">
        <v>1682</v>
      </c>
      <c r="E721" s="49" t="s">
        <v>868</v>
      </c>
      <c r="F721" s="44" t="s">
        <v>1220</v>
      </c>
      <c r="G721" s="44">
        <v>60.0</v>
      </c>
      <c r="H721" s="47" t="s">
        <v>970</v>
      </c>
      <c r="I721" s="47" t="s">
        <v>868</v>
      </c>
      <c r="J721" s="44">
        <v>10.3712246</v>
      </c>
      <c r="K721" s="48">
        <v>106.3419645</v>
      </c>
    </row>
    <row r="722" ht="22.5" customHeight="1">
      <c r="A722" s="44" t="s">
        <v>2881</v>
      </c>
      <c r="B722" s="44" t="s">
        <v>2882</v>
      </c>
      <c r="C722" s="44" t="s">
        <v>2883</v>
      </c>
      <c r="D722" s="44" t="s">
        <v>1621</v>
      </c>
      <c r="E722" s="49" t="s">
        <v>885</v>
      </c>
      <c r="F722" s="44" t="s">
        <v>1117</v>
      </c>
      <c r="G722" s="44">
        <v>60.0</v>
      </c>
      <c r="H722" s="47" t="s">
        <v>970</v>
      </c>
      <c r="I722" s="47" t="s">
        <v>885</v>
      </c>
      <c r="J722" s="44">
        <v>10.692294010978</v>
      </c>
      <c r="K722" s="48">
        <v>106.64386275148</v>
      </c>
    </row>
    <row r="723" ht="22.5" customHeight="1">
      <c r="A723" s="44" t="s">
        <v>2884</v>
      </c>
      <c r="B723" s="44" t="s">
        <v>2885</v>
      </c>
      <c r="C723" s="44" t="s">
        <v>2886</v>
      </c>
      <c r="D723" s="44" t="s">
        <v>1345</v>
      </c>
      <c r="E723" s="49" t="s">
        <v>813</v>
      </c>
      <c r="F723" s="44" t="s">
        <v>1015</v>
      </c>
      <c r="G723" s="44">
        <v>76.0</v>
      </c>
      <c r="H723" s="47" t="s">
        <v>970</v>
      </c>
      <c r="I723" s="47" t="s">
        <v>822</v>
      </c>
      <c r="J723" s="44">
        <v>10.758918625584</v>
      </c>
      <c r="K723" s="48">
        <v>106.65977059206</v>
      </c>
    </row>
    <row r="724" ht="22.5" customHeight="1">
      <c r="A724" s="44" t="s">
        <v>2887</v>
      </c>
      <c r="B724" s="44" t="s">
        <v>2888</v>
      </c>
      <c r="C724" s="44" t="s">
        <v>2889</v>
      </c>
      <c r="D724" s="44" t="s">
        <v>1546</v>
      </c>
      <c r="E724" s="49" t="s">
        <v>797</v>
      </c>
      <c r="F724" s="44" t="s">
        <v>1409</v>
      </c>
      <c r="G724" s="44">
        <v>70.0</v>
      </c>
      <c r="H724" s="47" t="s">
        <v>970</v>
      </c>
      <c r="I724" s="47" t="s">
        <v>797</v>
      </c>
      <c r="J724" s="44">
        <v>10.900784</v>
      </c>
      <c r="K724" s="48">
        <v>106.578302</v>
      </c>
    </row>
    <row r="725" ht="22.5" customHeight="1">
      <c r="A725" s="44" t="s">
        <v>2890</v>
      </c>
      <c r="B725" s="44" t="s">
        <v>2891</v>
      </c>
      <c r="C725" s="44" t="s">
        <v>2892</v>
      </c>
      <c r="D725" s="44" t="s">
        <v>1120</v>
      </c>
      <c r="E725" s="49" t="s">
        <v>895</v>
      </c>
      <c r="F725" s="44" t="s">
        <v>1121</v>
      </c>
      <c r="G725" s="44">
        <v>87.0</v>
      </c>
      <c r="H725" s="47" t="s">
        <v>970</v>
      </c>
      <c r="I725" s="47" t="s">
        <v>895</v>
      </c>
      <c r="J725" s="44">
        <v>10.845958</v>
      </c>
      <c r="K725" s="48">
        <v>106.778488</v>
      </c>
    </row>
    <row r="726" ht="22.5" customHeight="1">
      <c r="A726" s="44" t="s">
        <v>2893</v>
      </c>
      <c r="B726" s="44" t="s">
        <v>2894</v>
      </c>
      <c r="C726" s="44" t="s">
        <v>2895</v>
      </c>
      <c r="D726" s="44" t="s">
        <v>1076</v>
      </c>
      <c r="E726" s="49" t="s">
        <v>813</v>
      </c>
      <c r="F726" s="44" t="s">
        <v>1015</v>
      </c>
      <c r="G726" s="44">
        <v>76.0</v>
      </c>
      <c r="H726" s="47" t="s">
        <v>970</v>
      </c>
      <c r="I726" s="47" t="s">
        <v>813</v>
      </c>
      <c r="J726" s="44">
        <v>10.755577</v>
      </c>
      <c r="K726" s="48">
        <v>106.675722</v>
      </c>
    </row>
    <row r="727" ht="22.5" customHeight="1">
      <c r="A727" s="44" t="s">
        <v>2896</v>
      </c>
      <c r="B727" s="44" t="s">
        <v>2897</v>
      </c>
      <c r="C727" s="44" t="s">
        <v>2898</v>
      </c>
      <c r="D727" s="44" t="s">
        <v>1408</v>
      </c>
      <c r="E727" s="49" t="s">
        <v>797</v>
      </c>
      <c r="F727" s="44" t="s">
        <v>1409</v>
      </c>
      <c r="G727" s="44">
        <v>30.0</v>
      </c>
      <c r="H727" s="47" t="s">
        <v>970</v>
      </c>
      <c r="I727" s="47" t="s">
        <v>797</v>
      </c>
      <c r="J727" s="44">
        <v>10.880728</v>
      </c>
      <c r="K727" s="48">
        <v>106.582563</v>
      </c>
    </row>
    <row r="728" ht="22.5" customHeight="1">
      <c r="A728" s="44" t="s">
        <v>2899</v>
      </c>
      <c r="B728" s="44" t="s">
        <v>2900</v>
      </c>
      <c r="C728" s="44" t="s">
        <v>2901</v>
      </c>
      <c r="D728" s="44" t="s">
        <v>1303</v>
      </c>
      <c r="E728" s="49" t="s">
        <v>789</v>
      </c>
      <c r="F728" s="44" t="s">
        <v>1168</v>
      </c>
      <c r="G728" s="44">
        <v>100.0</v>
      </c>
      <c r="H728" s="47" t="s">
        <v>970</v>
      </c>
      <c r="I728" s="47" t="s">
        <v>789</v>
      </c>
      <c r="J728" s="44">
        <v>10.709293</v>
      </c>
      <c r="K728" s="48">
        <v>106.576039</v>
      </c>
    </row>
    <row r="729" ht="22.5" customHeight="1">
      <c r="A729" s="44" t="s">
        <v>2902</v>
      </c>
      <c r="B729" s="44" t="s">
        <v>2903</v>
      </c>
      <c r="C729" s="44" t="s">
        <v>2904</v>
      </c>
      <c r="D729" s="44" t="s">
        <v>1139</v>
      </c>
      <c r="E729" s="49" t="s">
        <v>894</v>
      </c>
      <c r="F729" s="44" t="s">
        <v>974</v>
      </c>
      <c r="G729" s="44">
        <v>70.0</v>
      </c>
      <c r="H729" s="47" t="s">
        <v>970</v>
      </c>
      <c r="I729" s="47" t="s">
        <v>894</v>
      </c>
      <c r="J729" s="44">
        <v>10.719895</v>
      </c>
      <c r="K729" s="48">
        <v>106.698886</v>
      </c>
    </row>
    <row r="730" ht="22.5" customHeight="1">
      <c r="A730" s="44" t="s">
        <v>2905</v>
      </c>
      <c r="B730" s="44" t="s">
        <v>2906</v>
      </c>
      <c r="C730" s="44" t="s">
        <v>2907</v>
      </c>
      <c r="D730" s="44" t="s">
        <v>1227</v>
      </c>
      <c r="E730" s="49" t="s">
        <v>890</v>
      </c>
      <c r="F730" s="44" t="s">
        <v>1228</v>
      </c>
      <c r="G730" s="44">
        <v>30.0</v>
      </c>
      <c r="H730" s="47" t="s">
        <v>970</v>
      </c>
      <c r="I730" s="47" t="s">
        <v>890</v>
      </c>
      <c r="J730" s="44">
        <v>10.892072</v>
      </c>
      <c r="K730" s="48">
        <v>106.766736</v>
      </c>
    </row>
    <row r="731" ht="22.5" customHeight="1">
      <c r="A731" s="44" t="s">
        <v>2908</v>
      </c>
      <c r="B731" s="44" t="s">
        <v>2909</v>
      </c>
      <c r="C731" s="44" t="s">
        <v>2910</v>
      </c>
      <c r="D731" s="44" t="s">
        <v>1939</v>
      </c>
      <c r="E731" s="49" t="s">
        <v>510</v>
      </c>
      <c r="F731" s="44" t="s">
        <v>983</v>
      </c>
      <c r="G731" s="44">
        <v>51.0</v>
      </c>
      <c r="H731" s="47" t="s">
        <v>970</v>
      </c>
      <c r="I731" s="47" t="s">
        <v>510</v>
      </c>
      <c r="J731" s="44">
        <v>10.877490790705</v>
      </c>
      <c r="K731" s="48">
        <v>106.76597556732</v>
      </c>
    </row>
    <row r="732" ht="22.5" customHeight="1">
      <c r="A732" s="44" t="s">
        <v>2911</v>
      </c>
      <c r="B732" s="44" t="s">
        <v>2912</v>
      </c>
      <c r="C732" s="44" t="s">
        <v>2913</v>
      </c>
      <c r="D732" s="44" t="s">
        <v>1026</v>
      </c>
      <c r="E732" s="49" t="s">
        <v>897</v>
      </c>
      <c r="F732" s="44" t="s">
        <v>1027</v>
      </c>
      <c r="G732" s="44">
        <v>68.0</v>
      </c>
      <c r="H732" s="47" t="s">
        <v>970</v>
      </c>
      <c r="I732" s="47" t="s">
        <v>897</v>
      </c>
      <c r="J732" s="44">
        <v>10.834649</v>
      </c>
      <c r="K732" s="48">
        <v>106.66155</v>
      </c>
    </row>
    <row r="733" ht="22.5" customHeight="1">
      <c r="A733" s="44" t="s">
        <v>764</v>
      </c>
      <c r="B733" s="44" t="s">
        <v>2914</v>
      </c>
      <c r="C733" s="44" t="s">
        <v>2915</v>
      </c>
      <c r="D733" s="44" t="s">
        <v>2916</v>
      </c>
      <c r="E733" s="49" t="s">
        <v>850</v>
      </c>
      <c r="F733" s="44" t="s">
        <v>1057</v>
      </c>
      <c r="G733" s="44">
        <v>60.0</v>
      </c>
      <c r="H733" s="47" t="s">
        <v>970</v>
      </c>
      <c r="I733" s="47" t="s">
        <v>850</v>
      </c>
      <c r="J733" s="44">
        <v>11.027543</v>
      </c>
      <c r="K733" s="48">
        <v>106.376775</v>
      </c>
    </row>
    <row r="734" ht="22.5" customHeight="1">
      <c r="A734" s="44" t="s">
        <v>698</v>
      </c>
      <c r="B734" s="44" t="s">
        <v>2917</v>
      </c>
      <c r="C734" s="44" t="s">
        <v>2918</v>
      </c>
      <c r="D734" s="44" t="s">
        <v>1929</v>
      </c>
      <c r="E734" s="49" t="s">
        <v>893</v>
      </c>
      <c r="F734" s="44" t="s">
        <v>1088</v>
      </c>
      <c r="G734" s="44">
        <v>60.0</v>
      </c>
      <c r="H734" s="47" t="s">
        <v>970</v>
      </c>
      <c r="I734" s="47" t="s">
        <v>806</v>
      </c>
      <c r="J734" s="44">
        <v>10.800786</v>
      </c>
      <c r="K734" s="48">
        <v>106.657184</v>
      </c>
    </row>
    <row r="735" ht="22.5" customHeight="1">
      <c r="A735" s="44" t="s">
        <v>69</v>
      </c>
      <c r="B735" s="44" t="s">
        <v>2919</v>
      </c>
      <c r="C735" s="44" t="s">
        <v>2920</v>
      </c>
      <c r="D735" s="44" t="s">
        <v>1124</v>
      </c>
      <c r="E735" s="49" t="s">
        <v>891</v>
      </c>
      <c r="F735" s="44" t="s">
        <v>1125</v>
      </c>
      <c r="G735" s="44">
        <v>70.0</v>
      </c>
      <c r="H735" s="47" t="s">
        <v>970</v>
      </c>
      <c r="I735" s="47" t="s">
        <v>891</v>
      </c>
      <c r="J735" s="44">
        <v>10.968077</v>
      </c>
      <c r="K735" s="48">
        <v>106.835791</v>
      </c>
    </row>
    <row r="736" ht="22.5" customHeight="1">
      <c r="A736" s="44" t="s">
        <v>2921</v>
      </c>
      <c r="B736" s="44" t="s">
        <v>2922</v>
      </c>
      <c r="C736" s="44" t="s">
        <v>2923</v>
      </c>
      <c r="D736" s="44" t="s">
        <v>1129</v>
      </c>
      <c r="E736" s="49"/>
      <c r="F736" s="44" t="s">
        <v>1098</v>
      </c>
      <c r="G736" s="44"/>
      <c r="H736" s="47" t="s">
        <v>970</v>
      </c>
      <c r="I736" s="47" t="s">
        <v>826</v>
      </c>
      <c r="J736" s="44">
        <v>10.778558138684</v>
      </c>
      <c r="K736" s="48">
        <v>106.67983563792</v>
      </c>
    </row>
    <row r="737" ht="22.5" customHeight="1">
      <c r="A737" s="44" t="s">
        <v>2924</v>
      </c>
      <c r="B737" s="44" t="s">
        <v>2925</v>
      </c>
      <c r="C737" s="44" t="s">
        <v>2926</v>
      </c>
      <c r="D737" s="44" t="s">
        <v>2148</v>
      </c>
      <c r="E737" s="49" t="s">
        <v>863</v>
      </c>
      <c r="F737" s="44" t="s">
        <v>1052</v>
      </c>
      <c r="G737" s="44">
        <v>60.0</v>
      </c>
      <c r="H737" s="47" t="s">
        <v>970</v>
      </c>
      <c r="I737" s="47" t="s">
        <v>863</v>
      </c>
      <c r="J737" s="44">
        <v>10.360067</v>
      </c>
      <c r="K737" s="48">
        <v>107.083522</v>
      </c>
    </row>
    <row r="738" ht="22.5" customHeight="1">
      <c r="A738" s="44" t="s">
        <v>682</v>
      </c>
      <c r="B738" s="44" t="s">
        <v>2927</v>
      </c>
      <c r="C738" s="44" t="s">
        <v>2928</v>
      </c>
      <c r="D738" s="44" t="s">
        <v>1042</v>
      </c>
      <c r="E738" s="49" t="s">
        <v>901</v>
      </c>
      <c r="F738" s="44" t="s">
        <v>1562</v>
      </c>
      <c r="G738" s="44">
        <v>70.0</v>
      </c>
      <c r="H738" s="47" t="s">
        <v>970</v>
      </c>
      <c r="I738" s="47" t="s">
        <v>901</v>
      </c>
      <c r="J738" s="44">
        <v>10.814596</v>
      </c>
      <c r="K738" s="48">
        <v>106.711363</v>
      </c>
    </row>
    <row r="739" ht="22.5" customHeight="1">
      <c r="A739" s="44" t="s">
        <v>2929</v>
      </c>
      <c r="B739" s="44" t="s">
        <v>2930</v>
      </c>
      <c r="C739" s="44" t="s">
        <v>1835</v>
      </c>
      <c r="D739" s="44" t="s">
        <v>1111</v>
      </c>
      <c r="E739" s="49" t="s">
        <v>789</v>
      </c>
      <c r="F739" s="44" t="s">
        <v>1168</v>
      </c>
      <c r="G739" s="44">
        <v>69.0</v>
      </c>
      <c r="H739" s="47" t="s">
        <v>970</v>
      </c>
      <c r="I739" s="47" t="s">
        <v>820</v>
      </c>
      <c r="J739" s="44">
        <v>10.76436</v>
      </c>
      <c r="K739" s="48">
        <v>106.60321</v>
      </c>
    </row>
    <row r="740" ht="22.5" customHeight="1">
      <c r="A740" s="44" t="s">
        <v>526</v>
      </c>
      <c r="B740" s="44" t="s">
        <v>2931</v>
      </c>
      <c r="C740" s="44" t="s">
        <v>2932</v>
      </c>
      <c r="D740" s="44" t="s">
        <v>1129</v>
      </c>
      <c r="E740" s="49" t="s">
        <v>910</v>
      </c>
      <c r="F740" s="44" t="s">
        <v>987</v>
      </c>
      <c r="G740" s="44">
        <v>60.0</v>
      </c>
      <c r="H740" s="47" t="s">
        <v>970</v>
      </c>
      <c r="I740" s="47" t="s">
        <v>910</v>
      </c>
      <c r="J740" s="44">
        <v>10.773295</v>
      </c>
      <c r="K740" s="48">
        <v>106.66865</v>
      </c>
    </row>
    <row r="741" ht="22.5" customHeight="1">
      <c r="A741" s="44" t="s">
        <v>2933</v>
      </c>
      <c r="B741" s="44" t="s">
        <v>2934</v>
      </c>
      <c r="C741" s="44" t="s">
        <v>2935</v>
      </c>
      <c r="D741" s="44" t="s">
        <v>973</v>
      </c>
      <c r="E741" s="49" t="s">
        <v>894</v>
      </c>
      <c r="F741" s="44" t="s">
        <v>974</v>
      </c>
      <c r="G741" s="44">
        <v>68.0</v>
      </c>
      <c r="H741" s="47" t="s">
        <v>970</v>
      </c>
      <c r="I741" s="47" t="s">
        <v>811</v>
      </c>
      <c r="J741" s="44">
        <v>10.744095</v>
      </c>
      <c r="K741" s="48">
        <v>106.69626</v>
      </c>
    </row>
    <row r="742" ht="22.5" customHeight="1">
      <c r="A742" s="44" t="s">
        <v>2936</v>
      </c>
      <c r="B742" s="44" t="s">
        <v>2937</v>
      </c>
      <c r="C742" s="44" t="s">
        <v>2938</v>
      </c>
      <c r="D742" s="44" t="s">
        <v>1042</v>
      </c>
      <c r="E742" s="49" t="s">
        <v>889</v>
      </c>
      <c r="F742" s="44" t="s">
        <v>1043</v>
      </c>
      <c r="G742" s="44">
        <v>60.0</v>
      </c>
      <c r="H742" s="47" t="s">
        <v>970</v>
      </c>
      <c r="I742" s="47" t="s">
        <v>889</v>
      </c>
      <c r="J742" s="44">
        <v>10.807811</v>
      </c>
      <c r="K742" s="48">
        <v>106.701718</v>
      </c>
    </row>
    <row r="743" ht="22.5" customHeight="1">
      <c r="A743" s="44" t="s">
        <v>91</v>
      </c>
      <c r="B743" s="44" t="s">
        <v>2939</v>
      </c>
      <c r="C743" s="44" t="s">
        <v>2940</v>
      </c>
      <c r="D743" s="44" t="s">
        <v>1154</v>
      </c>
      <c r="E743" s="49" t="s">
        <v>893</v>
      </c>
      <c r="F743" s="44" t="s">
        <v>1088</v>
      </c>
      <c r="G743" s="44">
        <v>45.0</v>
      </c>
      <c r="H743" s="47" t="s">
        <v>970</v>
      </c>
      <c r="I743" s="47" t="s">
        <v>893</v>
      </c>
      <c r="J743" s="44">
        <v>10.799912</v>
      </c>
      <c r="K743" s="48">
        <v>106.620655</v>
      </c>
    </row>
    <row r="744" ht="22.5" customHeight="1">
      <c r="A744" s="44" t="s">
        <v>215</v>
      </c>
      <c r="B744" s="44" t="s">
        <v>2941</v>
      </c>
      <c r="C744" s="44" t="s">
        <v>2942</v>
      </c>
      <c r="D744" s="44" t="s">
        <v>1036</v>
      </c>
      <c r="E744" s="49" t="s">
        <v>898</v>
      </c>
      <c r="F744" s="44" t="s">
        <v>1037</v>
      </c>
      <c r="G744" s="44">
        <v>70.0</v>
      </c>
      <c r="H744" s="47" t="s">
        <v>970</v>
      </c>
      <c r="I744" s="47" t="s">
        <v>898</v>
      </c>
      <c r="J744" s="44">
        <v>10.783181</v>
      </c>
      <c r="K744" s="48">
        <v>106.769068</v>
      </c>
    </row>
    <row r="745" ht="22.5" customHeight="1">
      <c r="A745" s="44" t="s">
        <v>676</v>
      </c>
      <c r="B745" s="44" t="s">
        <v>2943</v>
      </c>
      <c r="C745" s="44" t="s">
        <v>2944</v>
      </c>
      <c r="D745" s="44" t="s">
        <v>1802</v>
      </c>
      <c r="E745" s="49" t="s">
        <v>910</v>
      </c>
      <c r="F745" s="44" t="s">
        <v>987</v>
      </c>
      <c r="G745" s="44">
        <v>30.0</v>
      </c>
      <c r="H745" s="47" t="s">
        <v>970</v>
      </c>
      <c r="I745" s="47" t="s">
        <v>804</v>
      </c>
      <c r="J745" s="44">
        <v>10.764839</v>
      </c>
      <c r="K745" s="48">
        <v>106.690652</v>
      </c>
    </row>
    <row r="746" ht="22.5" customHeight="1">
      <c r="A746" s="44" t="s">
        <v>625</v>
      </c>
      <c r="B746" s="44" t="s">
        <v>2945</v>
      </c>
      <c r="C746" s="44" t="s">
        <v>2946</v>
      </c>
      <c r="D746" s="44" t="s">
        <v>973</v>
      </c>
      <c r="E746" s="49" t="s">
        <v>894</v>
      </c>
      <c r="F746" s="44" t="s">
        <v>974</v>
      </c>
      <c r="G746" s="44">
        <v>70.0</v>
      </c>
      <c r="H746" s="47" t="s">
        <v>970</v>
      </c>
      <c r="I746" s="47" t="s">
        <v>894</v>
      </c>
      <c r="J746" s="44">
        <v>10.745036</v>
      </c>
      <c r="K746" s="48">
        <v>106.712496</v>
      </c>
    </row>
    <row r="747" ht="22.5" customHeight="1">
      <c r="A747" s="44" t="s">
        <v>2947</v>
      </c>
      <c r="B747" s="44" t="s">
        <v>2948</v>
      </c>
      <c r="C747" s="44" t="s">
        <v>2949</v>
      </c>
      <c r="D747" s="44" t="s">
        <v>1042</v>
      </c>
      <c r="E747" s="49" t="s">
        <v>889</v>
      </c>
      <c r="F747" s="44" t="s">
        <v>1043</v>
      </c>
      <c r="G747" s="44">
        <v>60.0</v>
      </c>
      <c r="H747" s="47" t="s">
        <v>970</v>
      </c>
      <c r="I747" s="47" t="s">
        <v>889</v>
      </c>
      <c r="J747" s="44">
        <v>10.807433</v>
      </c>
      <c r="K747" s="48">
        <v>106.697603</v>
      </c>
    </row>
    <row r="748" ht="22.5" customHeight="1">
      <c r="A748" s="44" t="s">
        <v>2950</v>
      </c>
      <c r="B748" s="44" t="s">
        <v>2951</v>
      </c>
      <c r="C748" s="44" t="s">
        <v>2952</v>
      </c>
      <c r="D748" s="44" t="s">
        <v>1359</v>
      </c>
      <c r="E748" s="49" t="s">
        <v>813</v>
      </c>
      <c r="F748" s="44" t="s">
        <v>1015</v>
      </c>
      <c r="G748" s="44">
        <v>46.0</v>
      </c>
      <c r="H748" s="47" t="s">
        <v>970</v>
      </c>
      <c r="I748" s="47" t="s">
        <v>813</v>
      </c>
      <c r="J748" s="44">
        <v>10.752464</v>
      </c>
      <c r="K748" s="48">
        <v>106.665743</v>
      </c>
    </row>
    <row r="749" ht="22.5" customHeight="1">
      <c r="A749" s="44" t="s">
        <v>2953</v>
      </c>
      <c r="B749" s="44" t="s">
        <v>2954</v>
      </c>
      <c r="C749" s="44" t="s">
        <v>2955</v>
      </c>
      <c r="D749" s="44" t="s">
        <v>1442</v>
      </c>
      <c r="E749" s="49" t="s">
        <v>888</v>
      </c>
      <c r="F749" s="44" t="s">
        <v>1136</v>
      </c>
      <c r="G749" s="44">
        <v>60.0</v>
      </c>
      <c r="H749" s="47" t="s">
        <v>970</v>
      </c>
      <c r="I749" s="47" t="s">
        <v>813</v>
      </c>
      <c r="J749" s="44">
        <v>10.760451</v>
      </c>
      <c r="K749" s="48">
        <v>106.685653</v>
      </c>
    </row>
    <row r="750" ht="22.5" customHeight="1">
      <c r="A750" s="44" t="s">
        <v>756</v>
      </c>
      <c r="B750" s="44" t="s">
        <v>2956</v>
      </c>
      <c r="C750" s="44" t="s">
        <v>2957</v>
      </c>
      <c r="D750" s="44" t="s">
        <v>973</v>
      </c>
      <c r="E750" s="49" t="s">
        <v>894</v>
      </c>
      <c r="F750" s="44" t="s">
        <v>974</v>
      </c>
      <c r="G750" s="44">
        <v>53.0</v>
      </c>
      <c r="H750" s="47" t="s">
        <v>970</v>
      </c>
      <c r="I750" s="47" t="s">
        <v>894</v>
      </c>
      <c r="J750" s="44">
        <v>10.748142</v>
      </c>
      <c r="K750" s="48">
        <v>106.713296</v>
      </c>
    </row>
    <row r="751" ht="22.5" customHeight="1">
      <c r="A751" s="44" t="s">
        <v>2958</v>
      </c>
      <c r="B751" s="44" t="s">
        <v>2959</v>
      </c>
      <c r="C751" s="44" t="s">
        <v>2960</v>
      </c>
      <c r="D751" s="44" t="s">
        <v>986</v>
      </c>
      <c r="E751" s="49" t="s">
        <v>518</v>
      </c>
      <c r="F751" s="44" t="s">
        <v>1011</v>
      </c>
      <c r="G751" s="44">
        <v>60.0</v>
      </c>
      <c r="H751" s="47" t="s">
        <v>970</v>
      </c>
      <c r="I751" s="47" t="s">
        <v>822</v>
      </c>
      <c r="J751" s="44">
        <v>10.770228</v>
      </c>
      <c r="K751" s="48">
        <v>106.658434</v>
      </c>
    </row>
    <row r="752" ht="22.5" customHeight="1">
      <c r="A752" s="44" t="s">
        <v>2961</v>
      </c>
      <c r="B752" s="44" t="s">
        <v>2962</v>
      </c>
      <c r="C752" s="44" t="s">
        <v>2963</v>
      </c>
      <c r="D752" s="44" t="s">
        <v>1224</v>
      </c>
      <c r="E752" s="49" t="s">
        <v>872</v>
      </c>
      <c r="F752" s="44" t="s">
        <v>1003</v>
      </c>
      <c r="G752" s="44">
        <v>30.0</v>
      </c>
      <c r="H752" s="47" t="s">
        <v>970</v>
      </c>
      <c r="I752" s="47" t="s">
        <v>872</v>
      </c>
      <c r="J752" s="44">
        <v>10.532457</v>
      </c>
      <c r="K752" s="48">
        <v>106.418292</v>
      </c>
    </row>
    <row r="753" ht="22.5" customHeight="1">
      <c r="A753" s="44" t="s">
        <v>2964</v>
      </c>
      <c r="B753" s="44" t="s">
        <v>2965</v>
      </c>
      <c r="C753" s="44" t="s">
        <v>2966</v>
      </c>
      <c r="D753" s="44" t="s">
        <v>2967</v>
      </c>
      <c r="E753" s="49" t="s">
        <v>819</v>
      </c>
      <c r="F753" s="44" t="s">
        <v>2838</v>
      </c>
      <c r="G753" s="44">
        <v>90.0</v>
      </c>
      <c r="H753" s="47" t="s">
        <v>970</v>
      </c>
      <c r="I753" s="47" t="s">
        <v>819</v>
      </c>
      <c r="J753" s="44">
        <v>10.833926</v>
      </c>
      <c r="K753" s="48">
        <v>106.570009</v>
      </c>
    </row>
    <row r="754" ht="22.5" customHeight="1">
      <c r="A754" s="44" t="s">
        <v>2968</v>
      </c>
      <c r="B754" s="44" t="s">
        <v>2969</v>
      </c>
      <c r="C754" s="44" t="s">
        <v>2970</v>
      </c>
      <c r="D754" s="44" t="s">
        <v>986</v>
      </c>
      <c r="E754" s="49" t="s">
        <v>910</v>
      </c>
      <c r="F754" s="44" t="s">
        <v>987</v>
      </c>
      <c r="G754" s="44">
        <v>60.0</v>
      </c>
      <c r="H754" s="47" t="s">
        <v>970</v>
      </c>
      <c r="I754" s="47" t="s">
        <v>822</v>
      </c>
      <c r="J754" s="44">
        <v>10.770739</v>
      </c>
      <c r="K754" s="48">
        <v>106.659385</v>
      </c>
    </row>
    <row r="755" ht="22.5" customHeight="1">
      <c r="A755" s="44" t="s">
        <v>523</v>
      </c>
      <c r="B755" s="44" t="s">
        <v>2971</v>
      </c>
      <c r="C755" s="44" t="s">
        <v>2972</v>
      </c>
      <c r="D755" s="44" t="s">
        <v>1470</v>
      </c>
      <c r="E755" s="49" t="s">
        <v>883</v>
      </c>
      <c r="F755" s="44" t="s">
        <v>1471</v>
      </c>
      <c r="G755" s="44">
        <v>55.0</v>
      </c>
      <c r="H755" s="47" t="s">
        <v>970</v>
      </c>
      <c r="I755" s="47" t="s">
        <v>883</v>
      </c>
      <c r="J755" s="44">
        <v>10.908706</v>
      </c>
      <c r="K755" s="48">
        <v>106.701948</v>
      </c>
    </row>
    <row r="756" ht="22.5" customHeight="1">
      <c r="A756" s="44" t="s">
        <v>2973</v>
      </c>
      <c r="B756" s="44" t="s">
        <v>2974</v>
      </c>
      <c r="C756" s="44" t="s">
        <v>2512</v>
      </c>
      <c r="D756" s="44" t="s">
        <v>1939</v>
      </c>
      <c r="E756" s="49" t="s">
        <v>895</v>
      </c>
      <c r="F756" s="44" t="s">
        <v>1121</v>
      </c>
      <c r="G756" s="44">
        <v>106.0</v>
      </c>
      <c r="H756" s="47" t="s">
        <v>970</v>
      </c>
      <c r="I756" s="47" t="s">
        <v>895</v>
      </c>
      <c r="J756" s="44">
        <v>10.861369</v>
      </c>
      <c r="K756" s="48">
        <v>106.779868</v>
      </c>
    </row>
    <row r="757" ht="22.5" customHeight="1">
      <c r="A757" s="44" t="s">
        <v>2975</v>
      </c>
      <c r="B757" s="44" t="s">
        <v>2976</v>
      </c>
      <c r="C757" s="44" t="s">
        <v>2977</v>
      </c>
      <c r="D757" s="44" t="s">
        <v>1056</v>
      </c>
      <c r="E757" s="49" t="s">
        <v>850</v>
      </c>
      <c r="F757" s="44" t="s">
        <v>1057</v>
      </c>
      <c r="G757" s="44">
        <v>30.0</v>
      </c>
      <c r="H757" s="47" t="s">
        <v>970</v>
      </c>
      <c r="I757" s="47" t="s">
        <v>850</v>
      </c>
      <c r="J757" s="44">
        <v>10.975691</v>
      </c>
      <c r="K757" s="48">
        <v>106.503351</v>
      </c>
    </row>
    <row r="758" ht="22.5" customHeight="1">
      <c r="A758" s="44" t="s">
        <v>2978</v>
      </c>
      <c r="B758" s="44" t="s">
        <v>2979</v>
      </c>
      <c r="C758" s="44" t="s">
        <v>2980</v>
      </c>
      <c r="D758" s="44" t="s">
        <v>986</v>
      </c>
      <c r="E758" s="49" t="s">
        <v>910</v>
      </c>
      <c r="F758" s="44" t="s">
        <v>987</v>
      </c>
      <c r="G758" s="44">
        <v>60.0</v>
      </c>
      <c r="H758" s="47" t="s">
        <v>970</v>
      </c>
      <c r="I758" s="47" t="s">
        <v>822</v>
      </c>
      <c r="J758" s="44">
        <v>10.772025</v>
      </c>
      <c r="K758" s="48">
        <v>106.659981</v>
      </c>
    </row>
    <row r="759" ht="22.5" customHeight="1">
      <c r="A759" s="44" t="s">
        <v>2981</v>
      </c>
      <c r="B759" s="44" t="s">
        <v>2982</v>
      </c>
      <c r="C759" s="44" t="s">
        <v>2983</v>
      </c>
      <c r="D759" s="44" t="s">
        <v>1129</v>
      </c>
      <c r="E759" s="49" t="s">
        <v>910</v>
      </c>
      <c r="F759" s="44" t="s">
        <v>987</v>
      </c>
      <c r="G759" s="44">
        <v>60.0</v>
      </c>
      <c r="H759" s="47" t="s">
        <v>970</v>
      </c>
      <c r="I759" s="47" t="s">
        <v>824</v>
      </c>
      <c r="J759" s="44">
        <v>10.780337</v>
      </c>
      <c r="K759" s="48">
        <v>106.661758</v>
      </c>
    </row>
    <row r="760" ht="22.5" customHeight="1">
      <c r="A760" s="44" t="s">
        <v>2984</v>
      </c>
      <c r="B760" s="44" t="s">
        <v>2985</v>
      </c>
      <c r="C760" s="44" t="s">
        <v>2986</v>
      </c>
      <c r="D760" s="44" t="s">
        <v>1268</v>
      </c>
      <c r="E760" s="49" t="s">
        <v>910</v>
      </c>
      <c r="F760" s="44" t="s">
        <v>987</v>
      </c>
      <c r="G760" s="44">
        <v>54.0</v>
      </c>
      <c r="H760" s="47" t="s">
        <v>970</v>
      </c>
      <c r="I760" s="47" t="s">
        <v>888</v>
      </c>
      <c r="J760" s="44">
        <v>10.77657479657</v>
      </c>
      <c r="K760" s="48">
        <v>106.69042061829</v>
      </c>
    </row>
    <row r="761" ht="22.5" customHeight="1">
      <c r="A761" s="44" t="s">
        <v>2987</v>
      </c>
      <c r="B761" s="44" t="s">
        <v>2988</v>
      </c>
      <c r="C761" s="44" t="s">
        <v>2989</v>
      </c>
      <c r="D761" s="44" t="s">
        <v>1007</v>
      </c>
      <c r="E761" s="49" t="s">
        <v>510</v>
      </c>
      <c r="F761" s="44" t="s">
        <v>983</v>
      </c>
      <c r="G761" s="44">
        <v>51.0</v>
      </c>
      <c r="H761" s="47" t="s">
        <v>970</v>
      </c>
      <c r="I761" s="47" t="s">
        <v>510</v>
      </c>
      <c r="J761" s="44">
        <v>10.87857</v>
      </c>
      <c r="K761" s="48">
        <v>106.7247</v>
      </c>
    </row>
    <row r="762" ht="22.5" customHeight="1">
      <c r="A762" s="44" t="s">
        <v>2990</v>
      </c>
      <c r="B762" s="44" t="s">
        <v>2991</v>
      </c>
      <c r="C762" s="44" t="s">
        <v>2992</v>
      </c>
      <c r="D762" s="44" t="s">
        <v>1470</v>
      </c>
      <c r="E762" s="49" t="s">
        <v>883</v>
      </c>
      <c r="F762" s="44" t="s">
        <v>1471</v>
      </c>
      <c r="G762" s="44">
        <v>70.0</v>
      </c>
      <c r="H762" s="47" t="s">
        <v>970</v>
      </c>
      <c r="I762" s="47" t="s">
        <v>883</v>
      </c>
      <c r="J762" s="44">
        <v>10.908706</v>
      </c>
      <c r="K762" s="48">
        <v>106.701948</v>
      </c>
    </row>
    <row r="763" ht="22.5" customHeight="1">
      <c r="A763" s="44" t="s">
        <v>2993</v>
      </c>
      <c r="B763" s="44" t="s">
        <v>2994</v>
      </c>
      <c r="C763" s="44" t="s">
        <v>2995</v>
      </c>
      <c r="D763" s="44" t="s">
        <v>977</v>
      </c>
      <c r="E763" s="49" t="s">
        <v>910</v>
      </c>
      <c r="F763" s="44" t="s">
        <v>987</v>
      </c>
      <c r="G763" s="44">
        <v>54.0</v>
      </c>
      <c r="H763" s="47" t="s">
        <v>970</v>
      </c>
      <c r="I763" s="47" t="s">
        <v>826</v>
      </c>
      <c r="J763" s="44">
        <v>10.779223</v>
      </c>
      <c r="K763" s="48">
        <v>106.679254</v>
      </c>
    </row>
    <row r="764" ht="22.5" customHeight="1">
      <c r="A764" s="44" t="s">
        <v>201</v>
      </c>
      <c r="B764" s="44" t="s">
        <v>2996</v>
      </c>
      <c r="C764" s="44" t="s">
        <v>2997</v>
      </c>
      <c r="D764" s="44" t="s">
        <v>1030</v>
      </c>
      <c r="E764" s="49" t="s">
        <v>887</v>
      </c>
      <c r="F764" s="44" t="s">
        <v>1031</v>
      </c>
      <c r="G764" s="44">
        <v>44.0</v>
      </c>
      <c r="H764" s="47" t="s">
        <v>970</v>
      </c>
      <c r="I764" s="47" t="s">
        <v>887</v>
      </c>
      <c r="J764" s="44">
        <v>10.766656</v>
      </c>
      <c r="K764" s="48">
        <v>106.726209</v>
      </c>
    </row>
    <row r="765" ht="22.5" customHeight="1">
      <c r="A765" s="44" t="s">
        <v>2998</v>
      </c>
      <c r="B765" s="44" t="s">
        <v>2999</v>
      </c>
      <c r="C765" s="44" t="s">
        <v>3000</v>
      </c>
      <c r="D765" s="44" t="s">
        <v>1303</v>
      </c>
      <c r="E765" s="52" t="s">
        <v>789</v>
      </c>
      <c r="F765" s="44" t="s">
        <v>1168</v>
      </c>
      <c r="G765" s="44">
        <v>100.0</v>
      </c>
      <c r="H765" s="47" t="s">
        <v>970</v>
      </c>
      <c r="I765" s="47" t="s">
        <v>789</v>
      </c>
      <c r="J765" s="44">
        <v>10.690881</v>
      </c>
      <c r="K765" s="48">
        <v>106.585983</v>
      </c>
    </row>
    <row r="766" ht="22.5" customHeight="1">
      <c r="A766" s="44" t="s">
        <v>292</v>
      </c>
      <c r="B766" s="44" t="s">
        <v>3001</v>
      </c>
      <c r="C766" s="44" t="s">
        <v>3002</v>
      </c>
      <c r="D766" s="44" t="s">
        <v>1756</v>
      </c>
      <c r="E766" s="49" t="s">
        <v>892</v>
      </c>
      <c r="F766" s="44" t="s">
        <v>1108</v>
      </c>
      <c r="G766" s="44">
        <v>60.0</v>
      </c>
      <c r="H766" s="47" t="s">
        <v>970</v>
      </c>
      <c r="I766" s="47" t="s">
        <v>892</v>
      </c>
      <c r="J766" s="44">
        <v>11.007769942706</v>
      </c>
      <c r="K766" s="48">
        <v>106.67336201815</v>
      </c>
    </row>
    <row r="767" ht="22.5" customHeight="1">
      <c r="A767" s="44" t="s">
        <v>3003</v>
      </c>
      <c r="B767" s="44" t="s">
        <v>3004</v>
      </c>
      <c r="C767" s="44" t="s">
        <v>3005</v>
      </c>
      <c r="D767" s="44" t="s">
        <v>1860</v>
      </c>
      <c r="E767" s="49" t="s">
        <v>814</v>
      </c>
      <c r="F767" s="44" t="s">
        <v>1369</v>
      </c>
      <c r="G767" s="44">
        <v>60.0</v>
      </c>
      <c r="H767" s="47" t="s">
        <v>970</v>
      </c>
      <c r="I767" s="47" t="s">
        <v>814</v>
      </c>
      <c r="J767" s="44">
        <v>10.807756</v>
      </c>
      <c r="K767" s="48">
        <v>106.674902</v>
      </c>
    </row>
    <row r="768" ht="22.5" customHeight="1">
      <c r="A768" s="44" t="s">
        <v>3006</v>
      </c>
      <c r="B768" s="44" t="s">
        <v>3007</v>
      </c>
      <c r="C768" s="44" t="s">
        <v>3008</v>
      </c>
      <c r="D768" s="44" t="s">
        <v>1860</v>
      </c>
      <c r="E768" s="49" t="s">
        <v>814</v>
      </c>
      <c r="F768" s="44" t="s">
        <v>1369</v>
      </c>
      <c r="G768" s="44">
        <v>70.0</v>
      </c>
      <c r="H768" s="47" t="s">
        <v>970</v>
      </c>
      <c r="I768" s="47" t="s">
        <v>814</v>
      </c>
      <c r="J768" s="44">
        <v>10.801732</v>
      </c>
      <c r="K768" s="48">
        <v>106.676148</v>
      </c>
    </row>
    <row r="769" ht="22.5" customHeight="1">
      <c r="A769" s="44" t="s">
        <v>3009</v>
      </c>
      <c r="B769" s="44" t="s">
        <v>3010</v>
      </c>
      <c r="C769" s="44" t="s">
        <v>3011</v>
      </c>
      <c r="D769" s="44" t="s">
        <v>1359</v>
      </c>
      <c r="E769" s="49" t="s">
        <v>813</v>
      </c>
      <c r="F769" s="44" t="s">
        <v>1015</v>
      </c>
      <c r="G769" s="44">
        <v>91.0</v>
      </c>
      <c r="H769" s="47" t="s">
        <v>970</v>
      </c>
      <c r="I769" s="47" t="s">
        <v>822</v>
      </c>
      <c r="J769" s="44">
        <v>10.757839</v>
      </c>
      <c r="K769" s="48">
        <v>106.662567</v>
      </c>
    </row>
    <row r="770" ht="22.5" customHeight="1">
      <c r="A770" s="44" t="s">
        <v>546</v>
      </c>
      <c r="B770" s="44" t="s">
        <v>3012</v>
      </c>
      <c r="C770" s="44" t="s">
        <v>3013</v>
      </c>
      <c r="D770" s="44" t="s">
        <v>1018</v>
      </c>
      <c r="E770" s="49" t="s">
        <v>808</v>
      </c>
      <c r="F770" s="44" t="s">
        <v>998</v>
      </c>
      <c r="G770" s="44">
        <v>30.0</v>
      </c>
      <c r="H770" s="47" t="s">
        <v>970</v>
      </c>
      <c r="I770" s="47" t="s">
        <v>808</v>
      </c>
      <c r="J770" s="44">
        <v>10.746539</v>
      </c>
      <c r="K770" s="48">
        <v>106.634509</v>
      </c>
    </row>
    <row r="771" ht="22.5" customHeight="1">
      <c r="A771" s="44" t="s">
        <v>202</v>
      </c>
      <c r="B771" s="44" t="s">
        <v>3014</v>
      </c>
      <c r="C771" s="44" t="s">
        <v>3015</v>
      </c>
      <c r="D771" s="44" t="s">
        <v>1648</v>
      </c>
      <c r="E771" s="49" t="s">
        <v>883</v>
      </c>
      <c r="F771" s="44" t="s">
        <v>1471</v>
      </c>
      <c r="G771" s="44">
        <v>70.0</v>
      </c>
      <c r="H771" s="47" t="s">
        <v>970</v>
      </c>
      <c r="I771" s="47" t="s">
        <v>883</v>
      </c>
      <c r="J771" s="44">
        <v>10.946401</v>
      </c>
      <c r="K771" s="48">
        <v>106.731626</v>
      </c>
    </row>
    <row r="772" ht="22.5" customHeight="1">
      <c r="A772" s="44" t="s">
        <v>3016</v>
      </c>
      <c r="B772" s="44" t="s">
        <v>3017</v>
      </c>
      <c r="C772" s="44" t="s">
        <v>3018</v>
      </c>
      <c r="D772" s="44" t="s">
        <v>969</v>
      </c>
      <c r="E772" s="49" t="s">
        <v>893</v>
      </c>
      <c r="F772" s="44" t="s">
        <v>1088</v>
      </c>
      <c r="G772" s="44">
        <v>60.0</v>
      </c>
      <c r="H772" s="47" t="s">
        <v>970</v>
      </c>
      <c r="I772" s="47" t="s">
        <v>893</v>
      </c>
      <c r="J772" s="44">
        <v>10.797213</v>
      </c>
      <c r="K772" s="48">
        <v>106.644437</v>
      </c>
    </row>
    <row r="773" ht="22.5" customHeight="1">
      <c r="A773" s="44" t="s">
        <v>612</v>
      </c>
      <c r="B773" s="44" t="s">
        <v>3019</v>
      </c>
      <c r="C773" s="44" t="s">
        <v>3020</v>
      </c>
      <c r="D773" s="44" t="s">
        <v>1470</v>
      </c>
      <c r="E773" s="49" t="s">
        <v>883</v>
      </c>
      <c r="F773" s="44" t="s">
        <v>1471</v>
      </c>
      <c r="G773" s="44">
        <v>85.0</v>
      </c>
      <c r="H773" s="47" t="s">
        <v>970</v>
      </c>
      <c r="I773" s="47" t="s">
        <v>883</v>
      </c>
      <c r="J773" s="44">
        <v>10.919357</v>
      </c>
      <c r="K773" s="48">
        <v>106.712474</v>
      </c>
    </row>
    <row r="774" ht="22.5" customHeight="1">
      <c r="A774" s="44" t="s">
        <v>3021</v>
      </c>
      <c r="B774" s="44" t="s">
        <v>3022</v>
      </c>
      <c r="C774" s="44" t="s">
        <v>3023</v>
      </c>
      <c r="D774" s="44" t="s">
        <v>1424</v>
      </c>
      <c r="E774" s="49" t="s">
        <v>822</v>
      </c>
      <c r="F774" s="44" t="s">
        <v>1284</v>
      </c>
      <c r="G774" s="44">
        <v>60.0</v>
      </c>
      <c r="H774" s="47" t="s">
        <v>970</v>
      </c>
      <c r="I774" s="47" t="s">
        <v>822</v>
      </c>
      <c r="J774" s="44">
        <v>10.761975</v>
      </c>
      <c r="K774" s="48">
        <v>106.653865</v>
      </c>
    </row>
    <row r="775" ht="22.5" customHeight="1">
      <c r="A775" s="44" t="s">
        <v>570</v>
      </c>
      <c r="B775" s="44" t="s">
        <v>3024</v>
      </c>
      <c r="C775" s="44" t="s">
        <v>3025</v>
      </c>
      <c r="D775" s="44" t="s">
        <v>1359</v>
      </c>
      <c r="E775" s="49" t="s">
        <v>813</v>
      </c>
      <c r="F775" s="44" t="s">
        <v>1015</v>
      </c>
      <c r="G775" s="44">
        <v>61.0</v>
      </c>
      <c r="H775" s="47" t="s">
        <v>970</v>
      </c>
      <c r="I775" s="47" t="s">
        <v>813</v>
      </c>
      <c r="J775" s="44">
        <v>10.755358</v>
      </c>
      <c r="K775" s="48">
        <v>106.664485</v>
      </c>
    </row>
    <row r="776" ht="22.5" customHeight="1">
      <c r="A776" s="44" t="s">
        <v>3026</v>
      </c>
      <c r="B776" s="44" t="s">
        <v>3027</v>
      </c>
      <c r="C776" s="44" t="s">
        <v>3028</v>
      </c>
      <c r="D776" s="44" t="s">
        <v>969</v>
      </c>
      <c r="E776" s="49" t="s">
        <v>893</v>
      </c>
      <c r="F776" s="44" t="s">
        <v>1088</v>
      </c>
      <c r="G776" s="44">
        <v>60.0</v>
      </c>
      <c r="H776" s="47" t="s">
        <v>970</v>
      </c>
      <c r="I776" s="47" t="s">
        <v>893</v>
      </c>
      <c r="J776" s="44">
        <v>10.802731</v>
      </c>
      <c r="K776" s="48">
        <v>106.647359</v>
      </c>
    </row>
    <row r="777" ht="22.5" customHeight="1">
      <c r="A777" s="44" t="s">
        <v>3029</v>
      </c>
      <c r="B777" s="44" t="s">
        <v>3030</v>
      </c>
      <c r="C777" s="44" t="s">
        <v>3031</v>
      </c>
      <c r="D777" s="44" t="s">
        <v>1120</v>
      </c>
      <c r="E777" s="49" t="s">
        <v>895</v>
      </c>
      <c r="F777" s="44" t="s">
        <v>1121</v>
      </c>
      <c r="G777" s="44">
        <v>72.0</v>
      </c>
      <c r="H777" s="47" t="s">
        <v>970</v>
      </c>
      <c r="I777" s="47" t="s">
        <v>895</v>
      </c>
      <c r="J777" s="44">
        <v>10.844318</v>
      </c>
      <c r="K777" s="48">
        <v>106.781734</v>
      </c>
    </row>
    <row r="778" ht="22.5" customHeight="1">
      <c r="A778" s="44" t="s">
        <v>3032</v>
      </c>
      <c r="B778" s="44" t="s">
        <v>3033</v>
      </c>
      <c r="C778" s="44" t="s">
        <v>3034</v>
      </c>
      <c r="D778" s="44" t="s">
        <v>1042</v>
      </c>
      <c r="E778" s="49" t="s">
        <v>889</v>
      </c>
      <c r="F778" s="44" t="s">
        <v>1043</v>
      </c>
      <c r="G778" s="44">
        <v>60.0</v>
      </c>
      <c r="H778" s="47" t="s">
        <v>970</v>
      </c>
      <c r="I778" s="47" t="s">
        <v>889</v>
      </c>
      <c r="J778" s="44">
        <v>10.80439</v>
      </c>
      <c r="K778" s="48">
        <v>106.699978</v>
      </c>
    </row>
    <row r="779" ht="22.5" customHeight="1">
      <c r="A779" s="44" t="s">
        <v>3035</v>
      </c>
      <c r="B779" s="44" t="s">
        <v>3036</v>
      </c>
      <c r="C779" s="44" t="s">
        <v>3037</v>
      </c>
      <c r="D779" s="44" t="s">
        <v>1532</v>
      </c>
      <c r="E779" s="49" t="s">
        <v>814</v>
      </c>
      <c r="F779" s="44" t="s">
        <v>1369</v>
      </c>
      <c r="G779" s="44">
        <v>30.0</v>
      </c>
      <c r="H779" s="47" t="s">
        <v>970</v>
      </c>
      <c r="I779" s="47" t="s">
        <v>814</v>
      </c>
      <c r="J779" s="44">
        <v>10.800053</v>
      </c>
      <c r="K779" s="48">
        <v>106.667543</v>
      </c>
    </row>
    <row r="780" ht="22.5" customHeight="1">
      <c r="A780" s="44" t="s">
        <v>655</v>
      </c>
      <c r="B780" s="44" t="s">
        <v>3038</v>
      </c>
      <c r="C780" s="44" t="s">
        <v>3039</v>
      </c>
      <c r="D780" s="44" t="s">
        <v>1628</v>
      </c>
      <c r="E780" s="49" t="s">
        <v>893</v>
      </c>
      <c r="F780" s="44" t="s">
        <v>1088</v>
      </c>
      <c r="G780" s="44">
        <v>60.0</v>
      </c>
      <c r="H780" s="47" t="s">
        <v>970</v>
      </c>
      <c r="I780" s="47" t="s">
        <v>806</v>
      </c>
      <c r="J780" s="44">
        <v>10.796543</v>
      </c>
      <c r="K780" s="48">
        <v>106.653551</v>
      </c>
    </row>
    <row r="781" ht="22.5" customHeight="1">
      <c r="A781" s="44" t="s">
        <v>3040</v>
      </c>
      <c r="B781" s="44" t="s">
        <v>3041</v>
      </c>
      <c r="C781" s="44" t="s">
        <v>2970</v>
      </c>
      <c r="D781" s="44" t="s">
        <v>986</v>
      </c>
      <c r="E781" s="49" t="s">
        <v>910</v>
      </c>
      <c r="F781" s="44" t="s">
        <v>987</v>
      </c>
      <c r="G781" s="44">
        <v>60.0</v>
      </c>
      <c r="H781" s="47" t="s">
        <v>970</v>
      </c>
      <c r="I781" s="47" t="s">
        <v>822</v>
      </c>
      <c r="J781" s="44">
        <v>10.770739</v>
      </c>
      <c r="K781" s="48">
        <v>106.659385</v>
      </c>
    </row>
    <row r="782" ht="22.5" customHeight="1">
      <c r="A782" s="44" t="s">
        <v>3042</v>
      </c>
      <c r="B782" s="44" t="s">
        <v>3043</v>
      </c>
      <c r="C782" s="44" t="s">
        <v>3044</v>
      </c>
      <c r="D782" s="44" t="s">
        <v>1021</v>
      </c>
      <c r="E782" s="49" t="s">
        <v>809</v>
      </c>
      <c r="F782" s="44" t="s">
        <v>1022</v>
      </c>
      <c r="G782" s="44">
        <v>38.0</v>
      </c>
      <c r="H782" s="47" t="s">
        <v>970</v>
      </c>
      <c r="I782" s="47" t="s">
        <v>809</v>
      </c>
      <c r="J782" s="44">
        <v>10.83334</v>
      </c>
      <c r="K782" s="48">
        <v>106.671141</v>
      </c>
    </row>
    <row r="783" ht="22.5" customHeight="1">
      <c r="A783" s="44" t="s">
        <v>3045</v>
      </c>
      <c r="B783" s="44" t="s">
        <v>3046</v>
      </c>
      <c r="C783" s="44" t="s">
        <v>3047</v>
      </c>
      <c r="D783" s="44" t="s">
        <v>986</v>
      </c>
      <c r="E783" s="49" t="s">
        <v>910</v>
      </c>
      <c r="F783" s="44" t="s">
        <v>987</v>
      </c>
      <c r="G783" s="44">
        <v>60.0</v>
      </c>
      <c r="H783" s="47" t="s">
        <v>970</v>
      </c>
      <c r="I783" s="47" t="s">
        <v>822</v>
      </c>
      <c r="J783" s="44">
        <v>10.771920866439</v>
      </c>
      <c r="K783" s="48">
        <v>106.66008092722</v>
      </c>
    </row>
    <row r="784" ht="22.5" customHeight="1">
      <c r="A784" s="44" t="s">
        <v>3048</v>
      </c>
      <c r="B784" s="44" t="s">
        <v>3049</v>
      </c>
      <c r="C784" s="44" t="s">
        <v>3050</v>
      </c>
      <c r="D784" s="44" t="s">
        <v>1832</v>
      </c>
      <c r="E784" s="49" t="s">
        <v>901</v>
      </c>
      <c r="F784" s="44" t="s">
        <v>1562</v>
      </c>
      <c r="G784" s="44">
        <v>60.0</v>
      </c>
      <c r="H784" s="47" t="s">
        <v>970</v>
      </c>
      <c r="I784" s="47" t="s">
        <v>887</v>
      </c>
      <c r="J784" s="44">
        <v>10.793977</v>
      </c>
      <c r="K784" s="48">
        <v>106.720348</v>
      </c>
    </row>
    <row r="785" ht="22.5" customHeight="1">
      <c r="A785" s="44" t="s">
        <v>139</v>
      </c>
      <c r="B785" s="44" t="s">
        <v>3051</v>
      </c>
      <c r="C785" s="44" t="s">
        <v>3052</v>
      </c>
      <c r="D785" s="44" t="s">
        <v>1154</v>
      </c>
      <c r="E785" s="49" t="s">
        <v>893</v>
      </c>
      <c r="F785" s="44" t="s">
        <v>1088</v>
      </c>
      <c r="G785" s="44">
        <v>60.0</v>
      </c>
      <c r="H785" s="47" t="s">
        <v>970</v>
      </c>
      <c r="I785" s="47" t="s">
        <v>893</v>
      </c>
      <c r="J785" s="44">
        <v>10.78888</v>
      </c>
      <c r="K785" s="48">
        <v>106.630646</v>
      </c>
    </row>
    <row r="786" ht="22.5" customHeight="1">
      <c r="A786" s="44" t="s">
        <v>3053</v>
      </c>
      <c r="B786" s="44" t="s">
        <v>3054</v>
      </c>
      <c r="C786" s="44" t="s">
        <v>3055</v>
      </c>
      <c r="D786" s="44" t="s">
        <v>1047</v>
      </c>
      <c r="E786" s="49" t="s">
        <v>889</v>
      </c>
      <c r="F786" s="44" t="s">
        <v>1043</v>
      </c>
      <c r="G786" s="44">
        <v>60.0</v>
      </c>
      <c r="H786" s="47" t="s">
        <v>970</v>
      </c>
      <c r="I786" s="47" t="s">
        <v>889</v>
      </c>
      <c r="J786" s="44">
        <v>10.803747</v>
      </c>
      <c r="K786" s="48">
        <v>106.694139</v>
      </c>
    </row>
    <row r="787" ht="22.5" customHeight="1">
      <c r="A787" s="44" t="s">
        <v>713</v>
      </c>
      <c r="B787" s="44" t="s">
        <v>3056</v>
      </c>
      <c r="C787" s="44" t="s">
        <v>3057</v>
      </c>
      <c r="D787" s="44" t="s">
        <v>1802</v>
      </c>
      <c r="E787" s="49" t="s">
        <v>804</v>
      </c>
      <c r="F787" s="44" t="s">
        <v>1497</v>
      </c>
      <c r="G787" s="44">
        <v>60.0</v>
      </c>
      <c r="H787" s="47" t="s">
        <v>970</v>
      </c>
      <c r="I787" s="47" t="s">
        <v>804</v>
      </c>
      <c r="J787" s="44">
        <v>10.767318</v>
      </c>
      <c r="K787" s="48">
        <v>106.696586</v>
      </c>
    </row>
    <row r="788" ht="22.5" customHeight="1">
      <c r="A788" s="44" t="s">
        <v>599</v>
      </c>
      <c r="B788" s="44" t="s">
        <v>3058</v>
      </c>
      <c r="C788" s="44" t="s">
        <v>3059</v>
      </c>
      <c r="D788" s="44" t="s">
        <v>973</v>
      </c>
      <c r="E788" s="49" t="s">
        <v>894</v>
      </c>
      <c r="F788" s="44" t="s">
        <v>974</v>
      </c>
      <c r="G788" s="44">
        <v>70.0</v>
      </c>
      <c r="H788" s="47" t="s">
        <v>970</v>
      </c>
      <c r="I788" s="47" t="s">
        <v>894</v>
      </c>
      <c r="J788" s="44">
        <v>10.737844</v>
      </c>
      <c r="K788" s="48">
        <v>106.703336</v>
      </c>
    </row>
    <row r="789" ht="22.5" customHeight="1">
      <c r="A789" s="44" t="s">
        <v>716</v>
      </c>
      <c r="B789" s="44" t="s">
        <v>3060</v>
      </c>
      <c r="C789" s="44" t="s">
        <v>3061</v>
      </c>
      <c r="D789" s="44" t="s">
        <v>1747</v>
      </c>
      <c r="E789" s="49" t="s">
        <v>883</v>
      </c>
      <c r="F789" s="44" t="s">
        <v>1471</v>
      </c>
      <c r="G789" s="44">
        <v>70.0</v>
      </c>
      <c r="H789" s="47" t="s">
        <v>970</v>
      </c>
      <c r="I789" s="47" t="s">
        <v>883</v>
      </c>
      <c r="J789" s="44">
        <v>10.951149</v>
      </c>
      <c r="K789" s="48">
        <v>106.707234</v>
      </c>
    </row>
    <row r="790" ht="22.5" customHeight="1">
      <c r="A790" s="44" t="s">
        <v>3062</v>
      </c>
      <c r="B790" s="44" t="s">
        <v>3063</v>
      </c>
      <c r="C790" s="44" t="s">
        <v>3064</v>
      </c>
      <c r="D790" s="44" t="s">
        <v>1510</v>
      </c>
      <c r="E790" s="49" t="s">
        <v>804</v>
      </c>
      <c r="F790" s="44" t="s">
        <v>1497</v>
      </c>
      <c r="G790" s="44">
        <v>30.0</v>
      </c>
      <c r="H790" s="47" t="s">
        <v>970</v>
      </c>
      <c r="I790" s="47" t="s">
        <v>804</v>
      </c>
      <c r="J790" s="44">
        <v>10.765334</v>
      </c>
      <c r="K790" s="48">
        <v>106.702183</v>
      </c>
    </row>
    <row r="791" ht="22.5" customHeight="1">
      <c r="A791" s="44" t="s">
        <v>140</v>
      </c>
      <c r="B791" s="44" t="s">
        <v>3065</v>
      </c>
      <c r="C791" s="44" t="s">
        <v>3066</v>
      </c>
      <c r="D791" s="44" t="s">
        <v>1104</v>
      </c>
      <c r="E791" s="49" t="s">
        <v>893</v>
      </c>
      <c r="F791" s="44" t="s">
        <v>1088</v>
      </c>
      <c r="G791" s="44">
        <v>70.0</v>
      </c>
      <c r="H791" s="47" t="s">
        <v>970</v>
      </c>
      <c r="I791" s="47" t="s">
        <v>893</v>
      </c>
      <c r="J791" s="44">
        <v>10.780992977039</v>
      </c>
      <c r="K791" s="48">
        <v>106.62610743415</v>
      </c>
    </row>
    <row r="792" ht="22.5" customHeight="1">
      <c r="A792" s="44" t="s">
        <v>3067</v>
      </c>
      <c r="B792" s="44" t="s">
        <v>3068</v>
      </c>
      <c r="C792" s="44" t="s">
        <v>3069</v>
      </c>
      <c r="D792" s="44" t="s">
        <v>1802</v>
      </c>
      <c r="E792" s="49" t="s">
        <v>884</v>
      </c>
      <c r="F792" s="44" t="s">
        <v>1821</v>
      </c>
      <c r="G792" s="44">
        <v>45.0</v>
      </c>
      <c r="H792" s="47" t="s">
        <v>970</v>
      </c>
      <c r="I792" s="47" t="s">
        <v>826</v>
      </c>
      <c r="J792" s="44">
        <v>10.772211</v>
      </c>
      <c r="K792" s="48">
        <v>106.688521</v>
      </c>
    </row>
    <row r="793" ht="22.5" customHeight="1">
      <c r="A793" s="44" t="s">
        <v>230</v>
      </c>
      <c r="B793" s="44" t="s">
        <v>3070</v>
      </c>
      <c r="C793" s="44" t="s">
        <v>3071</v>
      </c>
      <c r="D793" s="44" t="s">
        <v>1030</v>
      </c>
      <c r="E793" s="49" t="s">
        <v>887</v>
      </c>
      <c r="F793" s="44" t="s">
        <v>1031</v>
      </c>
      <c r="G793" s="44">
        <v>74.0</v>
      </c>
      <c r="H793" s="47" t="s">
        <v>970</v>
      </c>
      <c r="I793" s="47" t="s">
        <v>832</v>
      </c>
      <c r="J793" s="44">
        <v>10.801866</v>
      </c>
      <c r="K793" s="48">
        <v>106.74884</v>
      </c>
    </row>
    <row r="794" ht="22.5" customHeight="1">
      <c r="A794" s="44" t="s">
        <v>880</v>
      </c>
      <c r="B794" s="44" t="s">
        <v>3072</v>
      </c>
      <c r="C794" s="44" t="s">
        <v>1469</v>
      </c>
      <c r="D794" s="44" t="s">
        <v>1470</v>
      </c>
      <c r="E794" s="49" t="s">
        <v>510</v>
      </c>
      <c r="F794" s="44" t="s">
        <v>983</v>
      </c>
      <c r="G794" s="44">
        <v>90.0</v>
      </c>
      <c r="H794" s="47" t="s">
        <v>970</v>
      </c>
      <c r="I794" s="47" t="s">
        <v>510</v>
      </c>
      <c r="J794" s="44">
        <v>10.868259</v>
      </c>
      <c r="K794" s="48">
        <v>106.714463</v>
      </c>
    </row>
    <row r="795" ht="22.5" customHeight="1">
      <c r="A795" s="44" t="s">
        <v>717</v>
      </c>
      <c r="B795" s="44" t="s">
        <v>3073</v>
      </c>
      <c r="C795" s="44" t="s">
        <v>3074</v>
      </c>
      <c r="D795" s="44" t="s">
        <v>973</v>
      </c>
      <c r="E795" s="49" t="s">
        <v>894</v>
      </c>
      <c r="F795" s="44" t="s">
        <v>974</v>
      </c>
      <c r="G795" s="44">
        <v>60.0</v>
      </c>
      <c r="H795" s="47" t="s">
        <v>970</v>
      </c>
      <c r="I795" s="47" t="s">
        <v>811</v>
      </c>
      <c r="J795" s="44">
        <v>10.751225</v>
      </c>
      <c r="K795" s="48">
        <v>106.696356</v>
      </c>
    </row>
    <row r="796" ht="22.5" customHeight="1">
      <c r="A796" s="44" t="s">
        <v>3075</v>
      </c>
      <c r="B796" s="44" t="s">
        <v>3076</v>
      </c>
      <c r="C796" s="44" t="s">
        <v>3077</v>
      </c>
      <c r="D796" s="44" t="s">
        <v>1478</v>
      </c>
      <c r="E796" s="49" t="s">
        <v>895</v>
      </c>
      <c r="F796" s="44" t="s">
        <v>1121</v>
      </c>
      <c r="G796" s="44">
        <v>57.0</v>
      </c>
      <c r="H796" s="47" t="s">
        <v>970</v>
      </c>
      <c r="I796" s="47" t="s">
        <v>899</v>
      </c>
      <c r="J796" s="44">
        <v>10.814519</v>
      </c>
      <c r="K796" s="48">
        <v>106.772916</v>
      </c>
    </row>
    <row r="797" ht="22.5" customHeight="1">
      <c r="A797" s="44" t="s">
        <v>742</v>
      </c>
      <c r="B797" s="44" t="s">
        <v>3078</v>
      </c>
      <c r="C797" s="44" t="s">
        <v>3079</v>
      </c>
      <c r="D797" s="44" t="s">
        <v>1478</v>
      </c>
      <c r="E797" s="49" t="s">
        <v>895</v>
      </c>
      <c r="F797" s="44" t="s">
        <v>1121</v>
      </c>
      <c r="G797" s="44">
        <v>42.0</v>
      </c>
      <c r="H797" s="47" t="s">
        <v>970</v>
      </c>
      <c r="I797" s="47" t="s">
        <v>899</v>
      </c>
      <c r="J797" s="44">
        <v>10.826229</v>
      </c>
      <c r="K797" s="48">
        <v>106.763423</v>
      </c>
    </row>
    <row r="798" ht="22.5" customHeight="1">
      <c r="A798" s="44" t="s">
        <v>3080</v>
      </c>
      <c r="B798" s="44" t="s">
        <v>3081</v>
      </c>
      <c r="C798" s="44" t="s">
        <v>3077</v>
      </c>
      <c r="D798" s="44" t="s">
        <v>1478</v>
      </c>
      <c r="E798" s="49" t="s">
        <v>895</v>
      </c>
      <c r="F798" s="44" t="s">
        <v>1121</v>
      </c>
      <c r="G798" s="44">
        <v>72.0</v>
      </c>
      <c r="H798" s="47" t="s">
        <v>970</v>
      </c>
      <c r="I798" s="47" t="s">
        <v>899</v>
      </c>
      <c r="J798" s="44">
        <v>10.814519</v>
      </c>
      <c r="K798" s="48">
        <v>106.772916</v>
      </c>
    </row>
    <row r="799" ht="22.5" customHeight="1">
      <c r="A799" s="44" t="s">
        <v>3082</v>
      </c>
      <c r="B799" s="44" t="s">
        <v>3083</v>
      </c>
      <c r="C799" s="44" t="s">
        <v>1579</v>
      </c>
      <c r="D799" s="44" t="s">
        <v>1120</v>
      </c>
      <c r="E799" s="49" t="s">
        <v>895</v>
      </c>
      <c r="F799" s="44" t="s">
        <v>1121</v>
      </c>
      <c r="G799" s="44">
        <v>72.0</v>
      </c>
      <c r="H799" s="47" t="s">
        <v>970</v>
      </c>
      <c r="I799" s="47" t="s">
        <v>895</v>
      </c>
      <c r="J799" s="44">
        <v>10.845958</v>
      </c>
      <c r="K799" s="48">
        <v>106.778488</v>
      </c>
    </row>
    <row r="800" ht="22.5" customHeight="1">
      <c r="A800" s="44" t="s">
        <v>3084</v>
      </c>
      <c r="B800" s="44" t="s">
        <v>3085</v>
      </c>
      <c r="C800" s="44" t="s">
        <v>2892</v>
      </c>
      <c r="D800" s="44" t="s">
        <v>1120</v>
      </c>
      <c r="E800" s="49" t="s">
        <v>895</v>
      </c>
      <c r="F800" s="44" t="s">
        <v>1121</v>
      </c>
      <c r="G800" s="44">
        <v>57.0</v>
      </c>
      <c r="H800" s="47" t="s">
        <v>970</v>
      </c>
      <c r="I800" s="47" t="s">
        <v>895</v>
      </c>
      <c r="J800" s="44">
        <v>10.845958</v>
      </c>
      <c r="K800" s="48">
        <v>106.778488</v>
      </c>
    </row>
    <row r="801" ht="22.5" customHeight="1">
      <c r="A801" s="44" t="s">
        <v>701</v>
      </c>
      <c r="B801" s="44" t="s">
        <v>3086</v>
      </c>
      <c r="C801" s="44" t="s">
        <v>3087</v>
      </c>
      <c r="D801" s="44" t="s">
        <v>1120</v>
      </c>
      <c r="E801" s="49" t="s">
        <v>895</v>
      </c>
      <c r="F801" s="44" t="s">
        <v>1121</v>
      </c>
      <c r="G801" s="44">
        <v>57.0</v>
      </c>
      <c r="H801" s="47" t="s">
        <v>970</v>
      </c>
      <c r="I801" s="47" t="s">
        <v>895</v>
      </c>
      <c r="J801" s="44">
        <v>10.844629</v>
      </c>
      <c r="K801" s="48">
        <v>106.818042</v>
      </c>
    </row>
    <row r="802" ht="22.5" customHeight="1">
      <c r="A802" s="44" t="s">
        <v>796</v>
      </c>
      <c r="B802" s="44" t="s">
        <v>3088</v>
      </c>
      <c r="C802" s="44" t="s">
        <v>3089</v>
      </c>
      <c r="D802" s="44" t="s">
        <v>1668</v>
      </c>
      <c r="E802" s="49" t="s">
        <v>797</v>
      </c>
      <c r="F802" s="44" t="s">
        <v>1409</v>
      </c>
      <c r="G802" s="44">
        <v>45.0</v>
      </c>
      <c r="H802" s="47" t="s">
        <v>970</v>
      </c>
      <c r="I802" s="47" t="s">
        <v>797</v>
      </c>
      <c r="J802" s="44">
        <v>10.905862</v>
      </c>
      <c r="K802" s="48">
        <v>106.643795</v>
      </c>
    </row>
    <row r="803" ht="22.5" customHeight="1">
      <c r="A803" s="44" t="s">
        <v>3090</v>
      </c>
      <c r="B803" s="44" t="s">
        <v>3091</v>
      </c>
      <c r="C803" s="44" t="s">
        <v>3092</v>
      </c>
      <c r="D803" s="44" t="s">
        <v>1018</v>
      </c>
      <c r="E803" s="49" t="s">
        <v>808</v>
      </c>
      <c r="F803" s="44" t="s">
        <v>998</v>
      </c>
      <c r="G803" s="44">
        <v>60.0</v>
      </c>
      <c r="H803" s="47" t="s">
        <v>970</v>
      </c>
      <c r="I803" s="47" t="s">
        <v>789</v>
      </c>
      <c r="J803" s="44">
        <v>10.741482189407</v>
      </c>
      <c r="K803" s="48">
        <v>106.62521783128</v>
      </c>
    </row>
    <row r="804" ht="22.5" customHeight="1">
      <c r="A804" s="44" t="s">
        <v>3093</v>
      </c>
      <c r="B804" s="44" t="s">
        <v>3094</v>
      </c>
      <c r="C804" s="44" t="s">
        <v>3095</v>
      </c>
      <c r="D804" s="44" t="s">
        <v>1236</v>
      </c>
      <c r="E804" s="49" t="s">
        <v>895</v>
      </c>
      <c r="F804" s="44" t="s">
        <v>1121</v>
      </c>
      <c r="G804" s="44">
        <v>57.0</v>
      </c>
      <c r="H804" s="47" t="s">
        <v>970</v>
      </c>
      <c r="I804" s="47" t="s">
        <v>895</v>
      </c>
      <c r="J804" s="44">
        <v>10.834726</v>
      </c>
      <c r="K804" s="48">
        <v>106.840637</v>
      </c>
    </row>
    <row r="805" ht="22.5" customHeight="1">
      <c r="A805" s="44" t="s">
        <v>3096</v>
      </c>
      <c r="B805" s="44" t="s">
        <v>3097</v>
      </c>
      <c r="C805" s="44" t="s">
        <v>3098</v>
      </c>
      <c r="D805" s="44" t="s">
        <v>1135</v>
      </c>
      <c r="E805" s="49" t="s">
        <v>888</v>
      </c>
      <c r="F805" s="44" t="s">
        <v>1136</v>
      </c>
      <c r="G805" s="44">
        <v>60.0</v>
      </c>
      <c r="H805" s="47" t="s">
        <v>970</v>
      </c>
      <c r="I805" s="47" t="s">
        <v>888</v>
      </c>
      <c r="J805" s="44">
        <v>10.779603</v>
      </c>
      <c r="K805" s="48">
        <v>106.696552</v>
      </c>
    </row>
    <row r="806" ht="22.5" customHeight="1">
      <c r="A806" s="44" t="s">
        <v>3099</v>
      </c>
      <c r="B806" s="44" t="s">
        <v>3100</v>
      </c>
      <c r="C806" s="44" t="s">
        <v>2512</v>
      </c>
      <c r="D806" s="44" t="s">
        <v>1939</v>
      </c>
      <c r="E806" s="49" t="s">
        <v>895</v>
      </c>
      <c r="F806" s="44" t="s">
        <v>1121</v>
      </c>
      <c r="G806" s="44">
        <v>66.0</v>
      </c>
      <c r="H806" s="47" t="s">
        <v>970</v>
      </c>
      <c r="I806" s="47" t="s">
        <v>895</v>
      </c>
      <c r="J806" s="44">
        <v>10.861369</v>
      </c>
      <c r="K806" s="48">
        <v>106.779868</v>
      </c>
    </row>
    <row r="807" ht="22.5" customHeight="1">
      <c r="A807" s="44" t="s">
        <v>723</v>
      </c>
      <c r="B807" s="44" t="s">
        <v>3101</v>
      </c>
      <c r="C807" s="44" t="s">
        <v>3102</v>
      </c>
      <c r="D807" s="44" t="s">
        <v>982</v>
      </c>
      <c r="E807" s="49" t="s">
        <v>510</v>
      </c>
      <c r="F807" s="44" t="s">
        <v>983</v>
      </c>
      <c r="G807" s="44">
        <v>81.0</v>
      </c>
      <c r="H807" s="47" t="s">
        <v>970</v>
      </c>
      <c r="I807" s="47" t="s">
        <v>510</v>
      </c>
      <c r="J807" s="44">
        <v>10.852297</v>
      </c>
      <c r="K807" s="48">
        <v>106.720895</v>
      </c>
    </row>
    <row r="808" ht="22.5" customHeight="1">
      <c r="A808" s="44" t="s">
        <v>529</v>
      </c>
      <c r="B808" s="44" t="s">
        <v>3103</v>
      </c>
      <c r="C808" s="44" t="s">
        <v>3104</v>
      </c>
      <c r="D808" s="44" t="s">
        <v>1076</v>
      </c>
      <c r="E808" s="49" t="s">
        <v>813</v>
      </c>
      <c r="F808" s="44" t="s">
        <v>1015</v>
      </c>
      <c r="G808" s="44">
        <v>46.0</v>
      </c>
      <c r="H808" s="47" t="s">
        <v>970</v>
      </c>
      <c r="I808" s="47" t="s">
        <v>813</v>
      </c>
      <c r="J808" s="44">
        <v>10.754244</v>
      </c>
      <c r="K808" s="48">
        <v>106.671571</v>
      </c>
    </row>
    <row r="809" ht="22.5" customHeight="1">
      <c r="A809" s="44" t="s">
        <v>604</v>
      </c>
      <c r="B809" s="44" t="s">
        <v>3105</v>
      </c>
      <c r="C809" s="44" t="s">
        <v>3106</v>
      </c>
      <c r="D809" s="44" t="s">
        <v>1076</v>
      </c>
      <c r="E809" s="49" t="s">
        <v>813</v>
      </c>
      <c r="F809" s="44" t="s">
        <v>1015</v>
      </c>
      <c r="G809" s="44">
        <v>61.0</v>
      </c>
      <c r="H809" s="47" t="s">
        <v>970</v>
      </c>
      <c r="I809" s="47" t="s">
        <v>813</v>
      </c>
      <c r="J809" s="44">
        <v>10.759389</v>
      </c>
      <c r="K809" s="48">
        <v>106.668242</v>
      </c>
    </row>
    <row r="810" ht="22.5" customHeight="1">
      <c r="A810" s="44" t="s">
        <v>3107</v>
      </c>
      <c r="B810" s="44" t="s">
        <v>3108</v>
      </c>
      <c r="C810" s="44" t="s">
        <v>3109</v>
      </c>
      <c r="D810" s="44" t="s">
        <v>1442</v>
      </c>
      <c r="E810" s="49" t="s">
        <v>813</v>
      </c>
      <c r="F810" s="44" t="s">
        <v>1015</v>
      </c>
      <c r="G810" s="44">
        <v>60.0</v>
      </c>
      <c r="H810" s="47" t="s">
        <v>970</v>
      </c>
      <c r="I810" s="47" t="s">
        <v>804</v>
      </c>
      <c r="J810" s="44">
        <v>10.762161</v>
      </c>
      <c r="K810" s="48">
        <v>106.689194</v>
      </c>
    </row>
    <row r="811" ht="22.5" customHeight="1">
      <c r="A811" s="44" t="s">
        <v>3110</v>
      </c>
      <c r="B811" s="44" t="s">
        <v>3111</v>
      </c>
      <c r="C811" s="44" t="s">
        <v>3112</v>
      </c>
      <c r="D811" s="44" t="s">
        <v>1076</v>
      </c>
      <c r="E811" s="49" t="s">
        <v>813</v>
      </c>
      <c r="F811" s="44" t="s">
        <v>1015</v>
      </c>
      <c r="G811" s="50">
        <v>46.0</v>
      </c>
      <c r="H811" s="47" t="s">
        <v>970</v>
      </c>
      <c r="I811" s="47" t="s">
        <v>813</v>
      </c>
      <c r="J811" s="44">
        <v>10.75296</v>
      </c>
      <c r="K811" s="48">
        <v>106.675124</v>
      </c>
    </row>
    <row r="812" ht="22.5" customHeight="1">
      <c r="A812" s="44" t="s">
        <v>461</v>
      </c>
      <c r="B812" s="44" t="s">
        <v>3113</v>
      </c>
      <c r="C812" s="44" t="s">
        <v>3114</v>
      </c>
      <c r="D812" s="44" t="s">
        <v>1239</v>
      </c>
      <c r="E812" s="49" t="s">
        <v>789</v>
      </c>
      <c r="F812" s="44" t="s">
        <v>1168</v>
      </c>
      <c r="G812" s="44">
        <v>54.0</v>
      </c>
      <c r="H812" s="47" t="s">
        <v>970</v>
      </c>
      <c r="I812" s="47" t="s">
        <v>789</v>
      </c>
      <c r="J812" s="44">
        <v>10.753473</v>
      </c>
      <c r="K812" s="48">
        <v>106.593106</v>
      </c>
    </row>
    <row r="813" ht="22.5" customHeight="1">
      <c r="A813" s="44" t="s">
        <v>593</v>
      </c>
      <c r="B813" s="44" t="s">
        <v>3115</v>
      </c>
      <c r="C813" s="44" t="s">
        <v>3116</v>
      </c>
      <c r="D813" s="44" t="s">
        <v>1303</v>
      </c>
      <c r="E813" s="49" t="s">
        <v>789</v>
      </c>
      <c r="F813" s="44" t="s">
        <v>1168</v>
      </c>
      <c r="G813" s="44">
        <v>45.0</v>
      </c>
      <c r="H813" s="47" t="s">
        <v>970</v>
      </c>
      <c r="I813" s="47" t="s">
        <v>789</v>
      </c>
      <c r="J813" s="44">
        <v>10.710161</v>
      </c>
      <c r="K813" s="48">
        <v>106.574684</v>
      </c>
    </row>
    <row r="814" ht="22.5" customHeight="1">
      <c r="A814" s="44" t="s">
        <v>3117</v>
      </c>
      <c r="B814" s="44" t="s">
        <v>3118</v>
      </c>
      <c r="C814" s="44" t="s">
        <v>3119</v>
      </c>
      <c r="D814" s="44" t="s">
        <v>1631</v>
      </c>
      <c r="E814" s="49" t="s">
        <v>824</v>
      </c>
      <c r="F814" s="44" t="s">
        <v>2008</v>
      </c>
      <c r="G814" s="44">
        <v>60.0</v>
      </c>
      <c r="H814" s="47" t="s">
        <v>970</v>
      </c>
      <c r="I814" s="47" t="s">
        <v>824</v>
      </c>
      <c r="J814" s="44">
        <v>10.775009</v>
      </c>
      <c r="K814" s="48">
        <v>106.649201</v>
      </c>
    </row>
    <row r="815" ht="22.5" customHeight="1">
      <c r="A815" s="44" t="s">
        <v>656</v>
      </c>
      <c r="B815" s="44" t="s">
        <v>3120</v>
      </c>
      <c r="C815" s="44" t="s">
        <v>3121</v>
      </c>
      <c r="D815" s="44" t="s">
        <v>1239</v>
      </c>
      <c r="E815" s="49" t="s">
        <v>789</v>
      </c>
      <c r="F815" s="44" t="s">
        <v>1168</v>
      </c>
      <c r="G815" s="44">
        <v>39.0</v>
      </c>
      <c r="H815" s="47" t="s">
        <v>970</v>
      </c>
      <c r="I815" s="47" t="s">
        <v>789</v>
      </c>
      <c r="J815" s="44">
        <v>10.755871</v>
      </c>
      <c r="K815" s="48">
        <v>106.592354</v>
      </c>
    </row>
    <row r="816" ht="22.5" customHeight="1">
      <c r="A816" s="44" t="s">
        <v>3122</v>
      </c>
      <c r="B816" s="44" t="s">
        <v>3123</v>
      </c>
      <c r="C816" s="44" t="s">
        <v>3124</v>
      </c>
      <c r="D816" s="44" t="s">
        <v>1345</v>
      </c>
      <c r="E816" s="49" t="s">
        <v>822</v>
      </c>
      <c r="F816" s="44" t="s">
        <v>1284</v>
      </c>
      <c r="G816" s="44">
        <v>30.0</v>
      </c>
      <c r="H816" s="47" t="s">
        <v>970</v>
      </c>
      <c r="I816" s="47" t="s">
        <v>822</v>
      </c>
      <c r="J816" s="44">
        <v>10.763493</v>
      </c>
      <c r="K816" s="48">
        <v>106.659814</v>
      </c>
    </row>
    <row r="817" ht="22.5" customHeight="1">
      <c r="A817" s="44" t="s">
        <v>3125</v>
      </c>
      <c r="B817" s="44" t="s">
        <v>3126</v>
      </c>
      <c r="C817" s="44" t="s">
        <v>3127</v>
      </c>
      <c r="D817" s="44" t="s">
        <v>1528</v>
      </c>
      <c r="E817" s="49" t="s">
        <v>910</v>
      </c>
      <c r="F817" s="44" t="s">
        <v>987</v>
      </c>
      <c r="G817" s="44">
        <v>45.0</v>
      </c>
      <c r="H817" s="47" t="s">
        <v>970</v>
      </c>
      <c r="I817" s="47" t="s">
        <v>826</v>
      </c>
      <c r="J817" s="44">
        <v>10.768696533904</v>
      </c>
      <c r="K817" s="48">
        <v>106.68453659262</v>
      </c>
    </row>
    <row r="818" ht="22.5" customHeight="1">
      <c r="A818" s="44" t="s">
        <v>693</v>
      </c>
      <c r="B818" s="44" t="s">
        <v>3128</v>
      </c>
      <c r="C818" s="44" t="s">
        <v>3129</v>
      </c>
      <c r="D818" s="44" t="s">
        <v>1532</v>
      </c>
      <c r="E818" s="49" t="s">
        <v>886</v>
      </c>
      <c r="F818" s="44" t="s">
        <v>1202</v>
      </c>
      <c r="G818" s="44">
        <v>60.0</v>
      </c>
      <c r="H818" s="47" t="s">
        <v>970</v>
      </c>
      <c r="I818" s="47" t="s">
        <v>886</v>
      </c>
      <c r="J818" s="44">
        <v>10.816791</v>
      </c>
      <c r="K818" s="48">
        <v>106.674977</v>
      </c>
    </row>
    <row r="819" ht="22.5" customHeight="1">
      <c r="A819" s="44" t="s">
        <v>521</v>
      </c>
      <c r="B819" s="44" t="s">
        <v>3130</v>
      </c>
      <c r="C819" s="44" t="s">
        <v>3131</v>
      </c>
      <c r="D819" s="44" t="s">
        <v>1433</v>
      </c>
      <c r="E819" s="49" t="s">
        <v>910</v>
      </c>
      <c r="F819" s="44" t="s">
        <v>987</v>
      </c>
      <c r="G819" s="44">
        <v>30.0</v>
      </c>
      <c r="H819" s="47" t="s">
        <v>970</v>
      </c>
      <c r="I819" s="47" t="s">
        <v>910</v>
      </c>
      <c r="J819" s="44">
        <v>10.770316</v>
      </c>
      <c r="K819" s="48">
        <v>106.672322</v>
      </c>
    </row>
    <row r="820" ht="22.5" customHeight="1">
      <c r="A820" s="44" t="s">
        <v>3132</v>
      </c>
      <c r="B820" s="44" t="s">
        <v>3133</v>
      </c>
      <c r="C820" s="44" t="s">
        <v>3134</v>
      </c>
      <c r="D820" s="44" t="s">
        <v>1093</v>
      </c>
      <c r="E820" s="49" t="s">
        <v>809</v>
      </c>
      <c r="F820" s="44" t="s">
        <v>1022</v>
      </c>
      <c r="G820" s="44">
        <v>68.0</v>
      </c>
      <c r="H820" s="47" t="s">
        <v>970</v>
      </c>
      <c r="I820" s="47" t="s">
        <v>886</v>
      </c>
      <c r="J820" s="44">
        <v>10.821492466294</v>
      </c>
      <c r="K820" s="48">
        <v>106.6829678252</v>
      </c>
    </row>
    <row r="821" ht="22.5" customHeight="1">
      <c r="A821" s="44" t="s">
        <v>575</v>
      </c>
      <c r="B821" s="44" t="s">
        <v>3135</v>
      </c>
      <c r="C821" s="44" t="s">
        <v>3136</v>
      </c>
      <c r="D821" s="44" t="s">
        <v>1368</v>
      </c>
      <c r="E821" s="49" t="s">
        <v>814</v>
      </c>
      <c r="F821" s="44" t="s">
        <v>1369</v>
      </c>
      <c r="G821" s="44">
        <v>30.0</v>
      </c>
      <c r="H821" s="47" t="s">
        <v>970</v>
      </c>
      <c r="I821" s="47" t="s">
        <v>902</v>
      </c>
      <c r="J821" s="44">
        <v>10.791259</v>
      </c>
      <c r="K821" s="48">
        <v>106.678196</v>
      </c>
    </row>
    <row r="822" ht="22.5" customHeight="1">
      <c r="A822" s="44" t="s">
        <v>3137</v>
      </c>
      <c r="B822" s="44" t="s">
        <v>3138</v>
      </c>
      <c r="C822" s="44" t="s">
        <v>3139</v>
      </c>
      <c r="D822" s="44" t="s">
        <v>1929</v>
      </c>
      <c r="E822" s="49" t="s">
        <v>893</v>
      </c>
      <c r="F822" s="44" t="s">
        <v>1088</v>
      </c>
      <c r="G822" s="44">
        <v>60.0</v>
      </c>
      <c r="H822" s="47" t="s">
        <v>970</v>
      </c>
      <c r="I822" s="47" t="s">
        <v>806</v>
      </c>
      <c r="J822" s="44">
        <v>10.793054</v>
      </c>
      <c r="K822" s="48">
        <v>106.656102</v>
      </c>
    </row>
    <row r="823" ht="22.5" customHeight="1">
      <c r="A823" s="44" t="s">
        <v>3140</v>
      </c>
      <c r="B823" s="44" t="s">
        <v>3141</v>
      </c>
      <c r="C823" s="44" t="s">
        <v>3142</v>
      </c>
      <c r="D823" s="44" t="s">
        <v>1929</v>
      </c>
      <c r="E823" s="49" t="s">
        <v>893</v>
      </c>
      <c r="F823" s="44" t="s">
        <v>1088</v>
      </c>
      <c r="G823" s="44">
        <v>60.0</v>
      </c>
      <c r="H823" s="47" t="s">
        <v>970</v>
      </c>
      <c r="I823" s="47" t="s">
        <v>806</v>
      </c>
      <c r="J823" s="44">
        <v>10.796085</v>
      </c>
      <c r="K823" s="48">
        <v>106.655197</v>
      </c>
    </row>
    <row r="824" ht="22.5" customHeight="1">
      <c r="A824" s="44" t="s">
        <v>376</v>
      </c>
      <c r="B824" s="44" t="s">
        <v>3143</v>
      </c>
      <c r="C824" s="44" t="s">
        <v>3144</v>
      </c>
      <c r="D824" s="44" t="s">
        <v>1303</v>
      </c>
      <c r="E824" s="49" t="s">
        <v>789</v>
      </c>
      <c r="F824" s="44" t="s">
        <v>1168</v>
      </c>
      <c r="G824" s="44">
        <v>100.0</v>
      </c>
      <c r="H824" s="47" t="s">
        <v>970</v>
      </c>
      <c r="I824" s="47" t="s">
        <v>789</v>
      </c>
      <c r="J824" s="44">
        <v>10.694068</v>
      </c>
      <c r="K824" s="48">
        <v>106.584891</v>
      </c>
    </row>
    <row r="825" ht="22.5" customHeight="1">
      <c r="A825" s="44" t="s">
        <v>379</v>
      </c>
      <c r="B825" s="44" t="s">
        <v>3145</v>
      </c>
      <c r="C825" s="44" t="s">
        <v>3146</v>
      </c>
      <c r="D825" s="44" t="s">
        <v>1167</v>
      </c>
      <c r="E825" s="49" t="s">
        <v>789</v>
      </c>
      <c r="F825" s="44" t="s">
        <v>1168</v>
      </c>
      <c r="G825" s="44">
        <v>69.0</v>
      </c>
      <c r="H825" s="47" t="s">
        <v>970</v>
      </c>
      <c r="I825" s="47" t="s">
        <v>789</v>
      </c>
      <c r="J825" s="44">
        <v>10.725219</v>
      </c>
      <c r="K825" s="48">
        <v>106.608926</v>
      </c>
    </row>
    <row r="826" ht="22.5" customHeight="1">
      <c r="A826" s="44" t="s">
        <v>381</v>
      </c>
      <c r="B826" s="44" t="s">
        <v>3147</v>
      </c>
      <c r="C826" s="44" t="s">
        <v>3148</v>
      </c>
      <c r="D826" s="44" t="s">
        <v>2200</v>
      </c>
      <c r="E826" s="49" t="s">
        <v>819</v>
      </c>
      <c r="F826" s="44" t="s">
        <v>2838</v>
      </c>
      <c r="G826" s="44">
        <v>69.0</v>
      </c>
      <c r="H826" s="47" t="s">
        <v>970</v>
      </c>
      <c r="I826" s="47" t="s">
        <v>819</v>
      </c>
      <c r="J826" s="44">
        <v>10.814640806431</v>
      </c>
      <c r="K826" s="48">
        <v>106.58420530867</v>
      </c>
    </row>
    <row r="827" ht="22.5" customHeight="1">
      <c r="A827" s="44" t="s">
        <v>383</v>
      </c>
      <c r="B827" s="44" t="s">
        <v>3149</v>
      </c>
      <c r="C827" s="44" t="s">
        <v>3150</v>
      </c>
      <c r="D827" s="44" t="s">
        <v>2200</v>
      </c>
      <c r="E827" s="49" t="s">
        <v>820</v>
      </c>
      <c r="F827" s="44" t="s">
        <v>1112</v>
      </c>
      <c r="G827" s="44">
        <v>69.0</v>
      </c>
      <c r="H827" s="47" t="s">
        <v>970</v>
      </c>
      <c r="I827" s="47" t="s">
        <v>820</v>
      </c>
      <c r="J827" s="44">
        <v>10.771603</v>
      </c>
      <c r="K827" s="48">
        <v>106.586952</v>
      </c>
    </row>
    <row r="828" ht="22.5" customHeight="1">
      <c r="A828" s="44" t="s">
        <v>389</v>
      </c>
      <c r="B828" s="44" t="s">
        <v>3151</v>
      </c>
      <c r="C828" s="44" t="s">
        <v>3152</v>
      </c>
      <c r="D828" s="44" t="s">
        <v>1820</v>
      </c>
      <c r="E828" s="49" t="s">
        <v>850</v>
      </c>
      <c r="F828" s="44" t="s">
        <v>1057</v>
      </c>
      <c r="G828" s="44">
        <v>60.0</v>
      </c>
      <c r="H828" s="47" t="s">
        <v>970</v>
      </c>
      <c r="I828" s="47" t="s">
        <v>850</v>
      </c>
      <c r="J828" s="44">
        <v>10.970886</v>
      </c>
      <c r="K828" s="48">
        <v>106.482277</v>
      </c>
    </row>
    <row r="829" ht="22.5" customHeight="1">
      <c r="A829" s="44" t="s">
        <v>391</v>
      </c>
      <c r="B829" s="44" t="s">
        <v>3153</v>
      </c>
      <c r="C829" s="44" t="s">
        <v>3154</v>
      </c>
      <c r="D829" s="44" t="s">
        <v>1129</v>
      </c>
      <c r="E829" s="49" t="s">
        <v>910</v>
      </c>
      <c r="F829" s="44" t="s">
        <v>987</v>
      </c>
      <c r="G829" s="44">
        <v>60.0</v>
      </c>
      <c r="H829" s="47" t="s">
        <v>970</v>
      </c>
      <c r="I829" s="47" t="s">
        <v>910</v>
      </c>
      <c r="J829" s="44">
        <v>10.777734</v>
      </c>
      <c r="K829" s="48">
        <v>106.665488</v>
      </c>
    </row>
    <row r="830" ht="22.5" customHeight="1">
      <c r="A830" s="44" t="s">
        <v>392</v>
      </c>
      <c r="B830" s="44" t="s">
        <v>3155</v>
      </c>
      <c r="C830" s="44" t="s">
        <v>3156</v>
      </c>
      <c r="D830" s="44" t="s">
        <v>1345</v>
      </c>
      <c r="E830" s="49" t="s">
        <v>808</v>
      </c>
      <c r="F830" s="44" t="s">
        <v>998</v>
      </c>
      <c r="G830" s="44">
        <v>60.0</v>
      </c>
      <c r="H830" s="47" t="s">
        <v>970</v>
      </c>
      <c r="I830" s="47" t="s">
        <v>825</v>
      </c>
      <c r="J830" s="44">
        <v>10.75538</v>
      </c>
      <c r="K830" s="48">
        <v>106.643251</v>
      </c>
    </row>
    <row r="831" ht="22.5" customHeight="1">
      <c r="A831" s="44" t="s">
        <v>393</v>
      </c>
      <c r="B831" s="44" t="s">
        <v>3157</v>
      </c>
      <c r="C831" s="44" t="s">
        <v>3158</v>
      </c>
      <c r="D831" s="44" t="s">
        <v>1506</v>
      </c>
      <c r="E831" s="49" t="s">
        <v>897</v>
      </c>
      <c r="F831" s="44" t="s">
        <v>1027</v>
      </c>
      <c r="G831" s="44">
        <v>90.0</v>
      </c>
      <c r="H831" s="47" t="s">
        <v>970</v>
      </c>
      <c r="I831" s="47" t="s">
        <v>897</v>
      </c>
      <c r="J831" s="44">
        <v>10.865733</v>
      </c>
      <c r="K831" s="48">
        <v>106.634403</v>
      </c>
    </row>
    <row r="832" ht="22.5" customHeight="1">
      <c r="A832" s="44" t="s">
        <v>394</v>
      </c>
      <c r="B832" s="44" t="s">
        <v>3159</v>
      </c>
      <c r="C832" s="44" t="s">
        <v>3160</v>
      </c>
      <c r="D832" s="44" t="s">
        <v>1711</v>
      </c>
      <c r="E832" s="49" t="s">
        <v>897</v>
      </c>
      <c r="F832" s="44" t="s">
        <v>1027</v>
      </c>
      <c r="G832" s="44">
        <v>75.0</v>
      </c>
      <c r="H832" s="47" t="s">
        <v>970</v>
      </c>
      <c r="I832" s="47" t="s">
        <v>883</v>
      </c>
      <c r="J832" s="44">
        <v>10.893166</v>
      </c>
      <c r="K832" s="48">
        <v>106.687925</v>
      </c>
    </row>
    <row r="833" ht="22.5" customHeight="1">
      <c r="A833" s="44" t="s">
        <v>398</v>
      </c>
      <c r="B833" s="44" t="s">
        <v>3161</v>
      </c>
      <c r="C833" s="44" t="s">
        <v>3162</v>
      </c>
      <c r="D833" s="44" t="s">
        <v>1132</v>
      </c>
      <c r="E833" s="49" t="s">
        <v>897</v>
      </c>
      <c r="F833" s="44" t="s">
        <v>1027</v>
      </c>
      <c r="G833" s="44">
        <v>75.0</v>
      </c>
      <c r="H833" s="47" t="s">
        <v>970</v>
      </c>
      <c r="I833" s="47" t="s">
        <v>897</v>
      </c>
      <c r="J833" s="44">
        <v>10.855481</v>
      </c>
      <c r="K833" s="48">
        <v>106.639129</v>
      </c>
    </row>
    <row r="834" ht="22.5" customHeight="1">
      <c r="A834" s="44" t="s">
        <v>400</v>
      </c>
      <c r="B834" s="44" t="s">
        <v>3163</v>
      </c>
      <c r="C834" s="44" t="s">
        <v>3164</v>
      </c>
      <c r="D834" s="44" t="s">
        <v>1711</v>
      </c>
      <c r="E834" s="49" t="s">
        <v>897</v>
      </c>
      <c r="F834" s="44" t="s">
        <v>1027</v>
      </c>
      <c r="G834" s="44">
        <v>100.0</v>
      </c>
      <c r="H834" s="47" t="s">
        <v>970</v>
      </c>
      <c r="I834" s="47" t="s">
        <v>809</v>
      </c>
      <c r="J834" s="44">
        <v>10.86817092345</v>
      </c>
      <c r="K834" s="48">
        <v>106.68530175211</v>
      </c>
    </row>
    <row r="835" ht="22.5" customHeight="1">
      <c r="A835" s="44" t="s">
        <v>232</v>
      </c>
      <c r="B835" s="44" t="s">
        <v>3165</v>
      </c>
      <c r="C835" s="44" t="s">
        <v>3166</v>
      </c>
      <c r="D835" s="44" t="s">
        <v>1084</v>
      </c>
      <c r="E835" s="49" t="s">
        <v>898</v>
      </c>
      <c r="F835" s="44" t="s">
        <v>1037</v>
      </c>
      <c r="G835" s="44">
        <v>74.0</v>
      </c>
      <c r="H835" s="47" t="s">
        <v>970</v>
      </c>
      <c r="I835" s="47" t="s">
        <v>898</v>
      </c>
      <c r="J835" s="44">
        <v>10.776618</v>
      </c>
      <c r="K835" s="48">
        <v>106.76536</v>
      </c>
    </row>
    <row r="836" ht="22.5" customHeight="1">
      <c r="A836" s="44" t="s">
        <v>233</v>
      </c>
      <c r="B836" s="44" t="s">
        <v>3167</v>
      </c>
      <c r="C836" s="44" t="s">
        <v>3168</v>
      </c>
      <c r="D836" s="44" t="s">
        <v>1030</v>
      </c>
      <c r="E836" s="49" t="s">
        <v>887</v>
      </c>
      <c r="F836" s="44" t="s">
        <v>1031</v>
      </c>
      <c r="G836" s="44">
        <v>74.0</v>
      </c>
      <c r="H836" s="47" t="s">
        <v>970</v>
      </c>
      <c r="I836" s="47" t="s">
        <v>887</v>
      </c>
      <c r="J836" s="44">
        <v>10.794463</v>
      </c>
      <c r="K836" s="48">
        <v>106.731041</v>
      </c>
    </row>
    <row r="837" ht="22.5" customHeight="1">
      <c r="A837" s="44" t="s">
        <v>403</v>
      </c>
      <c r="B837" s="44" t="s">
        <v>3169</v>
      </c>
      <c r="C837" s="44" t="s">
        <v>3170</v>
      </c>
      <c r="D837" s="44" t="s">
        <v>3171</v>
      </c>
      <c r="E837" s="49" t="s">
        <v>804</v>
      </c>
      <c r="F837" s="44" t="s">
        <v>1497</v>
      </c>
      <c r="G837" s="44">
        <v>60.0</v>
      </c>
      <c r="H837" s="47" t="s">
        <v>970</v>
      </c>
      <c r="I837" s="47" t="s">
        <v>804</v>
      </c>
      <c r="J837" s="44">
        <v>10.759771</v>
      </c>
      <c r="K837" s="48">
        <v>106.698896</v>
      </c>
    </row>
    <row r="838" ht="22.5" customHeight="1">
      <c r="A838" s="44" t="s">
        <v>407</v>
      </c>
      <c r="B838" s="44" t="s">
        <v>3172</v>
      </c>
      <c r="C838" s="44" t="s">
        <v>3173</v>
      </c>
      <c r="D838" s="44" t="s">
        <v>990</v>
      </c>
      <c r="E838" s="49" t="s">
        <v>882</v>
      </c>
      <c r="F838" s="44" t="s">
        <v>991</v>
      </c>
      <c r="G838" s="44">
        <v>68.0</v>
      </c>
      <c r="H838" s="47" t="s">
        <v>970</v>
      </c>
      <c r="I838" s="47" t="s">
        <v>882</v>
      </c>
      <c r="J838" s="44">
        <v>10.719728375629</v>
      </c>
      <c r="K838" s="48">
        <v>106.73665919562</v>
      </c>
    </row>
    <row r="839" ht="22.5" customHeight="1">
      <c r="A839" s="44" t="s">
        <v>409</v>
      </c>
      <c r="B839" s="44" t="s">
        <v>3174</v>
      </c>
      <c r="C839" s="44" t="s">
        <v>3175</v>
      </c>
      <c r="D839" s="44" t="s">
        <v>1116</v>
      </c>
      <c r="E839" s="49" t="s">
        <v>811</v>
      </c>
      <c r="F839" s="44" t="s">
        <v>2625</v>
      </c>
      <c r="G839" s="44">
        <v>60.0</v>
      </c>
      <c r="H839" s="47" t="s">
        <v>970</v>
      </c>
      <c r="I839" s="47" t="s">
        <v>811</v>
      </c>
      <c r="J839" s="44">
        <v>10.741573</v>
      </c>
      <c r="K839" s="48">
        <v>106.68845</v>
      </c>
    </row>
    <row r="840" ht="22.5" customHeight="1">
      <c r="A840" s="44" t="s">
        <v>410</v>
      </c>
      <c r="B840" s="44" t="s">
        <v>3176</v>
      </c>
      <c r="C840" s="44" t="s">
        <v>3177</v>
      </c>
      <c r="D840" s="44" t="s">
        <v>1116</v>
      </c>
      <c r="E840" s="49" t="s">
        <v>811</v>
      </c>
      <c r="F840" s="44" t="s">
        <v>2625</v>
      </c>
      <c r="G840" s="44">
        <v>60.0</v>
      </c>
      <c r="H840" s="47" t="s">
        <v>970</v>
      </c>
      <c r="I840" s="47" t="s">
        <v>885</v>
      </c>
      <c r="J840" s="44">
        <v>10.746270269926</v>
      </c>
      <c r="K840" s="48">
        <v>106.67759856934</v>
      </c>
    </row>
    <row r="841" ht="22.5" customHeight="1">
      <c r="A841" s="44" t="s">
        <v>412</v>
      </c>
      <c r="B841" s="44" t="s">
        <v>3178</v>
      </c>
      <c r="C841" s="44" t="s">
        <v>3179</v>
      </c>
      <c r="D841" s="44" t="s">
        <v>1120</v>
      </c>
      <c r="E841" s="49" t="s">
        <v>895</v>
      </c>
      <c r="F841" s="44" t="s">
        <v>1121</v>
      </c>
      <c r="G841" s="44">
        <v>60.0</v>
      </c>
      <c r="H841" s="47" t="s">
        <v>970</v>
      </c>
      <c r="I841" s="47" t="s">
        <v>895</v>
      </c>
      <c r="J841" s="44">
        <v>10.839777</v>
      </c>
      <c r="K841" s="48">
        <v>106.793213</v>
      </c>
    </row>
    <row r="842" ht="22.5" customHeight="1">
      <c r="A842" s="44" t="s">
        <v>413</v>
      </c>
      <c r="B842" s="44" t="s">
        <v>3180</v>
      </c>
      <c r="C842" s="44" t="s">
        <v>3181</v>
      </c>
      <c r="D842" s="44" t="s">
        <v>1478</v>
      </c>
      <c r="E842" s="49" t="s">
        <v>899</v>
      </c>
      <c r="F842" s="44" t="s">
        <v>1479</v>
      </c>
      <c r="G842" s="44">
        <v>72.0</v>
      </c>
      <c r="H842" s="47" t="s">
        <v>970</v>
      </c>
      <c r="I842" s="47" t="s">
        <v>899</v>
      </c>
      <c r="J842" s="44">
        <v>10.827291</v>
      </c>
      <c r="K842" s="48">
        <v>106.768952</v>
      </c>
    </row>
    <row r="843" ht="22.5" customHeight="1">
      <c r="A843" s="44" t="s">
        <v>3182</v>
      </c>
      <c r="B843" s="44" t="s">
        <v>3183</v>
      </c>
      <c r="C843" s="44" t="s">
        <v>3184</v>
      </c>
      <c r="D843" s="44" t="s">
        <v>1227</v>
      </c>
      <c r="E843" s="49" t="s">
        <v>890</v>
      </c>
      <c r="F843" s="44" t="s">
        <v>1228</v>
      </c>
      <c r="G843" s="44">
        <v>60.0</v>
      </c>
      <c r="H843" s="47" t="s">
        <v>970</v>
      </c>
      <c r="I843" s="47" t="s">
        <v>890</v>
      </c>
      <c r="J843" s="44">
        <v>10.908109172288</v>
      </c>
      <c r="K843" s="48">
        <v>106.75466651719</v>
      </c>
    </row>
    <row r="844" ht="22.5" customHeight="1">
      <c r="A844" s="44" t="s">
        <v>853</v>
      </c>
      <c r="B844" s="44" t="s">
        <v>3185</v>
      </c>
      <c r="C844" s="44" t="s">
        <v>3186</v>
      </c>
      <c r="D844" s="44" t="s">
        <v>1227</v>
      </c>
      <c r="E844" s="49" t="s">
        <v>890</v>
      </c>
      <c r="F844" s="44" t="s">
        <v>1228</v>
      </c>
      <c r="G844" s="44">
        <v>60.0</v>
      </c>
      <c r="H844" s="47" t="s">
        <v>970</v>
      </c>
      <c r="I844" s="47" t="s">
        <v>890</v>
      </c>
      <c r="J844" s="44">
        <v>10.915379</v>
      </c>
      <c r="K844" s="48">
        <v>106.769405</v>
      </c>
    </row>
    <row r="845" ht="22.5" customHeight="1">
      <c r="A845" s="44" t="s">
        <v>414</v>
      </c>
      <c r="B845" s="44" t="s">
        <v>3187</v>
      </c>
      <c r="C845" s="44" t="s">
        <v>3188</v>
      </c>
      <c r="D845" s="44" t="s">
        <v>1093</v>
      </c>
      <c r="E845" s="49" t="s">
        <v>889</v>
      </c>
      <c r="F845" s="44" t="s">
        <v>1043</v>
      </c>
      <c r="G845" s="44">
        <v>68.0</v>
      </c>
      <c r="H845" s="47" t="s">
        <v>970</v>
      </c>
      <c r="I845" s="47" t="s">
        <v>889</v>
      </c>
      <c r="J845" s="44">
        <v>10.817238</v>
      </c>
      <c r="K845" s="48">
        <v>106.688996</v>
      </c>
    </row>
    <row r="846" ht="22.5" customHeight="1">
      <c r="A846" s="44" t="s">
        <v>416</v>
      </c>
      <c r="B846" s="44" t="s">
        <v>3189</v>
      </c>
      <c r="C846" s="44" t="s">
        <v>3190</v>
      </c>
      <c r="D846" s="44" t="s">
        <v>1026</v>
      </c>
      <c r="E846" s="49" t="s">
        <v>897</v>
      </c>
      <c r="F846" s="44" t="s">
        <v>1027</v>
      </c>
      <c r="G846" s="44">
        <v>68.0</v>
      </c>
      <c r="H846" s="47" t="s">
        <v>970</v>
      </c>
      <c r="I846" s="47" t="s">
        <v>897</v>
      </c>
      <c r="J846" s="44">
        <v>10.850778</v>
      </c>
      <c r="K846" s="48">
        <v>106.654312</v>
      </c>
    </row>
    <row r="847" ht="22.5" customHeight="1">
      <c r="A847" s="44" t="s">
        <v>417</v>
      </c>
      <c r="B847" s="44" t="s">
        <v>3191</v>
      </c>
      <c r="C847" s="44" t="s">
        <v>3192</v>
      </c>
      <c r="D847" s="44" t="s">
        <v>1026</v>
      </c>
      <c r="E847" s="49" t="s">
        <v>897</v>
      </c>
      <c r="F847" s="44" t="s">
        <v>1027</v>
      </c>
      <c r="G847" s="44">
        <v>68.0</v>
      </c>
      <c r="H847" s="47" t="s">
        <v>970</v>
      </c>
      <c r="I847" s="47" t="s">
        <v>897</v>
      </c>
      <c r="J847" s="44">
        <v>10.835895102449</v>
      </c>
      <c r="K847" s="48">
        <v>106.65990054725</v>
      </c>
    </row>
    <row r="848" ht="22.5" customHeight="1">
      <c r="A848" s="44" t="s">
        <v>419</v>
      </c>
      <c r="B848" s="44" t="s">
        <v>3193</v>
      </c>
      <c r="C848" s="44" t="s">
        <v>3194</v>
      </c>
      <c r="D848" s="44" t="s">
        <v>1668</v>
      </c>
      <c r="E848" s="49" t="s">
        <v>797</v>
      </c>
      <c r="F848" s="44" t="s">
        <v>1409</v>
      </c>
      <c r="G848" s="44">
        <v>60.0</v>
      </c>
      <c r="H848" s="47" t="s">
        <v>970</v>
      </c>
      <c r="I848" s="47" t="s">
        <v>797</v>
      </c>
      <c r="J848" s="44">
        <v>10.907532641985</v>
      </c>
      <c r="K848" s="48">
        <v>106.6417182577</v>
      </c>
    </row>
    <row r="849" ht="22.5" customHeight="1">
      <c r="A849" s="44" t="s">
        <v>420</v>
      </c>
      <c r="B849" s="44" t="s">
        <v>3195</v>
      </c>
      <c r="C849" s="44" t="s">
        <v>3196</v>
      </c>
      <c r="D849" s="44" t="s">
        <v>1546</v>
      </c>
      <c r="E849" s="49" t="s">
        <v>797</v>
      </c>
      <c r="F849" s="44" t="s">
        <v>1409</v>
      </c>
      <c r="G849" s="44">
        <v>60.0</v>
      </c>
      <c r="H849" s="47" t="s">
        <v>970</v>
      </c>
      <c r="I849" s="47" t="s">
        <v>797</v>
      </c>
      <c r="J849" s="44">
        <v>10.87506529353</v>
      </c>
      <c r="K849" s="48">
        <v>106.59848488509</v>
      </c>
    </row>
    <row r="850" ht="22.5" customHeight="1">
      <c r="A850" s="44" t="s">
        <v>421</v>
      </c>
      <c r="B850" s="44" t="s">
        <v>3197</v>
      </c>
      <c r="C850" s="44" t="s">
        <v>3198</v>
      </c>
      <c r="D850" s="44" t="s">
        <v>1546</v>
      </c>
      <c r="E850" s="49" t="s">
        <v>797</v>
      </c>
      <c r="F850" s="44" t="s">
        <v>1409</v>
      </c>
      <c r="G850" s="44">
        <v>60.0</v>
      </c>
      <c r="H850" s="47" t="s">
        <v>970</v>
      </c>
      <c r="I850" s="47" t="s">
        <v>797</v>
      </c>
      <c r="J850" s="44">
        <v>10.88706</v>
      </c>
      <c r="K850" s="48">
        <v>106.591088</v>
      </c>
    </row>
    <row r="851" ht="22.5" customHeight="1">
      <c r="A851" s="44" t="s">
        <v>422</v>
      </c>
      <c r="B851" s="44" t="s">
        <v>3199</v>
      </c>
      <c r="C851" s="44" t="s">
        <v>3200</v>
      </c>
      <c r="D851" s="44" t="s">
        <v>1571</v>
      </c>
      <c r="E851" s="49" t="s">
        <v>797</v>
      </c>
      <c r="F851" s="44" t="s">
        <v>1409</v>
      </c>
      <c r="G851" s="44">
        <v>60.0</v>
      </c>
      <c r="H851" s="47" t="s">
        <v>970</v>
      </c>
      <c r="I851" s="47" t="s">
        <v>819</v>
      </c>
      <c r="J851" s="44">
        <v>10.849413</v>
      </c>
      <c r="K851" s="48">
        <v>106.588034</v>
      </c>
    </row>
    <row r="852" ht="22.5" customHeight="1">
      <c r="A852" s="44" t="s">
        <v>423</v>
      </c>
      <c r="B852" s="44" t="s">
        <v>3201</v>
      </c>
      <c r="C852" s="44" t="s">
        <v>3202</v>
      </c>
      <c r="D852" s="44" t="s">
        <v>1668</v>
      </c>
      <c r="E852" s="49" t="s">
        <v>797</v>
      </c>
      <c r="F852" s="44" t="s">
        <v>1409</v>
      </c>
      <c r="G852" s="44">
        <v>60.0</v>
      </c>
      <c r="H852" s="47" t="s">
        <v>970</v>
      </c>
      <c r="I852" s="47" t="s">
        <v>797</v>
      </c>
      <c r="J852" s="44">
        <v>10.874313</v>
      </c>
      <c r="K852" s="48">
        <v>106.612203</v>
      </c>
    </row>
    <row r="853" ht="22.5" customHeight="1">
      <c r="A853" s="44" t="s">
        <v>3203</v>
      </c>
      <c r="B853" s="44" t="s">
        <v>3204</v>
      </c>
      <c r="C853" s="44" t="s">
        <v>3205</v>
      </c>
      <c r="D853" s="44" t="s">
        <v>986</v>
      </c>
      <c r="E853" s="49"/>
      <c r="F853" s="44" t="s">
        <v>1098</v>
      </c>
      <c r="G853" s="44"/>
      <c r="H853" s="47"/>
      <c r="I853" s="47" t="s">
        <v>824</v>
      </c>
      <c r="J853" s="44">
        <v>10.78029122678</v>
      </c>
      <c r="K853" s="48">
        <v>106.66024576867</v>
      </c>
    </row>
    <row r="854" ht="22.5" customHeight="1">
      <c r="A854" s="44" t="s">
        <v>426</v>
      </c>
      <c r="B854" s="44" t="s">
        <v>3206</v>
      </c>
      <c r="C854" s="44" t="s">
        <v>3207</v>
      </c>
      <c r="D854" s="44" t="s">
        <v>1368</v>
      </c>
      <c r="E854" s="49" t="s">
        <v>814</v>
      </c>
      <c r="F854" s="44" t="s">
        <v>1369</v>
      </c>
      <c r="G854" s="44">
        <v>60.0</v>
      </c>
      <c r="H854" s="47" t="s">
        <v>970</v>
      </c>
      <c r="I854" s="47" t="s">
        <v>814</v>
      </c>
      <c r="J854" s="44">
        <v>10.792226</v>
      </c>
      <c r="K854" s="48">
        <v>106.670776</v>
      </c>
    </row>
    <row r="855" ht="22.5" customHeight="1">
      <c r="A855" s="44" t="s">
        <v>427</v>
      </c>
      <c r="B855" s="44" t="s">
        <v>3208</v>
      </c>
      <c r="C855" s="44" t="s">
        <v>3209</v>
      </c>
      <c r="D855" s="44" t="s">
        <v>2067</v>
      </c>
      <c r="E855" s="49" t="s">
        <v>814</v>
      </c>
      <c r="F855" s="44" t="s">
        <v>1369</v>
      </c>
      <c r="G855" s="44">
        <v>60.0</v>
      </c>
      <c r="H855" s="47" t="s">
        <v>970</v>
      </c>
      <c r="I855" s="47" t="s">
        <v>900</v>
      </c>
      <c r="J855" s="44">
        <v>10.8021</v>
      </c>
      <c r="K855" s="48">
        <v>106.683622</v>
      </c>
    </row>
    <row r="856" ht="22.5" customHeight="1">
      <c r="A856" s="44" t="s">
        <v>428</v>
      </c>
      <c r="B856" s="44" t="s">
        <v>3210</v>
      </c>
      <c r="C856" s="44" t="s">
        <v>3211</v>
      </c>
      <c r="D856" s="44" t="s">
        <v>1929</v>
      </c>
      <c r="E856" s="49" t="s">
        <v>806</v>
      </c>
      <c r="F856" s="44" t="s">
        <v>1500</v>
      </c>
      <c r="G856" s="44">
        <v>60.0</v>
      </c>
      <c r="H856" s="47" t="s">
        <v>970</v>
      </c>
      <c r="I856" s="47" t="s">
        <v>806</v>
      </c>
      <c r="J856" s="44">
        <v>10.788073</v>
      </c>
      <c r="K856" s="48">
        <v>106.662659</v>
      </c>
    </row>
    <row r="857" ht="22.5" customHeight="1">
      <c r="A857" s="44" t="s">
        <v>430</v>
      </c>
      <c r="B857" s="44" t="s">
        <v>3212</v>
      </c>
      <c r="C857" s="44" t="s">
        <v>3213</v>
      </c>
      <c r="D857" s="44" t="s">
        <v>1631</v>
      </c>
      <c r="E857" s="49" t="s">
        <v>824</v>
      </c>
      <c r="F857" s="44" t="s">
        <v>2008</v>
      </c>
      <c r="G857" s="44">
        <v>60.0</v>
      </c>
      <c r="H857" s="47" t="s">
        <v>970</v>
      </c>
      <c r="I857" s="47" t="s">
        <v>824</v>
      </c>
      <c r="J857" s="44">
        <v>10.7748</v>
      </c>
      <c r="K857" s="48">
        <v>106.648304</v>
      </c>
    </row>
    <row r="858" ht="22.5" customHeight="1">
      <c r="A858" s="44" t="s">
        <v>432</v>
      </c>
      <c r="B858" s="44" t="s">
        <v>3214</v>
      </c>
      <c r="C858" s="44" t="s">
        <v>3215</v>
      </c>
      <c r="D858" s="44" t="s">
        <v>2232</v>
      </c>
      <c r="E858" s="49" t="s">
        <v>896</v>
      </c>
      <c r="F858" s="44" t="s">
        <v>1395</v>
      </c>
      <c r="G858" s="44">
        <v>60.0</v>
      </c>
      <c r="H858" s="47" t="s">
        <v>970</v>
      </c>
      <c r="I858" s="47" t="s">
        <v>896</v>
      </c>
      <c r="J858" s="44">
        <v>10.832196</v>
      </c>
      <c r="K858" s="48">
        <v>106.633735</v>
      </c>
    </row>
    <row r="859" ht="22.5" customHeight="1">
      <c r="A859" s="44" t="s">
        <v>435</v>
      </c>
      <c r="B859" s="44" t="s">
        <v>3216</v>
      </c>
      <c r="C859" s="44" t="s">
        <v>3217</v>
      </c>
      <c r="D859" s="44" t="s">
        <v>1280</v>
      </c>
      <c r="E859" s="49" t="s">
        <v>510</v>
      </c>
      <c r="F859" s="44" t="s">
        <v>983</v>
      </c>
      <c r="G859" s="44">
        <v>66.0</v>
      </c>
      <c r="H859" s="47" t="s">
        <v>970</v>
      </c>
      <c r="I859" s="47" t="s">
        <v>510</v>
      </c>
      <c r="J859" s="44">
        <v>10.850698</v>
      </c>
      <c r="K859" s="48">
        <v>106.754794</v>
      </c>
    </row>
    <row r="860" ht="22.5" customHeight="1">
      <c r="A860" s="44" t="s">
        <v>144</v>
      </c>
      <c r="B860" s="44" t="s">
        <v>3218</v>
      </c>
      <c r="C860" s="44" t="s">
        <v>3219</v>
      </c>
      <c r="D860" s="44" t="s">
        <v>1087</v>
      </c>
      <c r="E860" s="49" t="s">
        <v>893</v>
      </c>
      <c r="F860" s="44" t="s">
        <v>1088</v>
      </c>
      <c r="G860" s="44">
        <v>90.0</v>
      </c>
      <c r="H860" s="47" t="s">
        <v>970</v>
      </c>
      <c r="I860" s="47" t="s">
        <v>893</v>
      </c>
      <c r="J860" s="44">
        <v>10.803687</v>
      </c>
      <c r="K860" s="48">
        <v>106.632335</v>
      </c>
    </row>
    <row r="861" ht="22.5" customHeight="1">
      <c r="A861" s="44" t="s">
        <v>147</v>
      </c>
      <c r="B861" s="44" t="s">
        <v>3220</v>
      </c>
      <c r="C861" s="44" t="s">
        <v>3221</v>
      </c>
      <c r="D861" s="44" t="s">
        <v>1087</v>
      </c>
      <c r="E861" s="49" t="s">
        <v>893</v>
      </c>
      <c r="F861" s="44" t="s">
        <v>1088</v>
      </c>
      <c r="G861" s="44">
        <v>60.0</v>
      </c>
      <c r="H861" s="47" t="s">
        <v>970</v>
      </c>
      <c r="I861" s="47" t="s">
        <v>893</v>
      </c>
      <c r="J861" s="44">
        <v>10.795253</v>
      </c>
      <c r="K861" s="48">
        <v>106.629433</v>
      </c>
    </row>
    <row r="862" ht="22.5" customHeight="1">
      <c r="A862" s="44" t="s">
        <v>149</v>
      </c>
      <c r="B862" s="44" t="s">
        <v>3222</v>
      </c>
      <c r="C862" s="44" t="s">
        <v>3223</v>
      </c>
      <c r="D862" s="44" t="s">
        <v>1736</v>
      </c>
      <c r="E862" s="49" t="s">
        <v>893</v>
      </c>
      <c r="F862" s="44" t="s">
        <v>1088</v>
      </c>
      <c r="G862" s="44">
        <v>60.0</v>
      </c>
      <c r="H862" s="47" t="s">
        <v>970</v>
      </c>
      <c r="I862" s="47" t="s">
        <v>893</v>
      </c>
      <c r="J862" s="44">
        <v>10.781692</v>
      </c>
      <c r="K862" s="48">
        <v>106.63629</v>
      </c>
    </row>
    <row r="863" ht="22.5" customHeight="1">
      <c r="A863" s="44" t="s">
        <v>3224</v>
      </c>
      <c r="B863" s="44" t="s">
        <v>3225</v>
      </c>
      <c r="C863" s="44" t="s">
        <v>3226</v>
      </c>
      <c r="D863" s="44" t="s">
        <v>1442</v>
      </c>
      <c r="E863" s="49" t="s">
        <v>888</v>
      </c>
      <c r="F863" s="44" t="s">
        <v>1136</v>
      </c>
      <c r="G863" s="44">
        <v>90.0</v>
      </c>
      <c r="H863" s="47" t="s">
        <v>970</v>
      </c>
      <c r="I863" s="47" t="s">
        <v>804</v>
      </c>
      <c r="J863" s="44">
        <v>10.762141</v>
      </c>
      <c r="K863" s="48">
        <v>106.689162</v>
      </c>
    </row>
    <row r="864" ht="22.5" customHeight="1">
      <c r="A864" s="44" t="s">
        <v>3227</v>
      </c>
      <c r="B864" s="44" t="s">
        <v>3228</v>
      </c>
      <c r="C864" s="44" t="s">
        <v>3229</v>
      </c>
      <c r="D864" s="44" t="s">
        <v>1317</v>
      </c>
      <c r="E864" s="49" t="s">
        <v>894</v>
      </c>
      <c r="F864" s="44" t="s">
        <v>974</v>
      </c>
      <c r="G864" s="44">
        <v>60.0</v>
      </c>
      <c r="H864" s="47" t="s">
        <v>970</v>
      </c>
      <c r="I864" s="47" t="s">
        <v>894</v>
      </c>
      <c r="J864" s="44">
        <v>10.74213</v>
      </c>
      <c r="K864" s="48">
        <v>106.723107</v>
      </c>
    </row>
    <row r="865" ht="22.5" customHeight="1">
      <c r="A865" s="44" t="s">
        <v>3230</v>
      </c>
      <c r="B865" s="44" t="s">
        <v>3231</v>
      </c>
      <c r="C865" s="44" t="s">
        <v>3232</v>
      </c>
      <c r="D865" s="44" t="s">
        <v>3233</v>
      </c>
      <c r="E865" s="49"/>
      <c r="F865" s="44" t="s">
        <v>1098</v>
      </c>
      <c r="G865" s="44"/>
      <c r="H865" s="47" t="s">
        <v>970</v>
      </c>
      <c r="I865" s="47" t="s">
        <v>870</v>
      </c>
      <c r="J865" s="44">
        <v>10.005285</v>
      </c>
      <c r="K865" s="48">
        <v>105.799157</v>
      </c>
    </row>
    <row r="866" ht="22.5" customHeight="1">
      <c r="A866" s="44" t="s">
        <v>3234</v>
      </c>
      <c r="B866" s="44" t="s">
        <v>3235</v>
      </c>
      <c r="C866" s="44" t="s">
        <v>3236</v>
      </c>
      <c r="D866" s="44" t="s">
        <v>1820</v>
      </c>
      <c r="E866" s="49" t="s">
        <v>850</v>
      </c>
      <c r="F866" s="44" t="s">
        <v>1057</v>
      </c>
      <c r="G866" s="44">
        <v>45.0</v>
      </c>
      <c r="H866" s="47" t="s">
        <v>970</v>
      </c>
      <c r="I866" s="47" t="s">
        <v>850</v>
      </c>
      <c r="J866" s="44">
        <v>10.968994</v>
      </c>
      <c r="K866" s="48">
        <v>106.484586</v>
      </c>
    </row>
    <row r="867" ht="22.5" customHeight="1">
      <c r="A867" s="44" t="s">
        <v>501</v>
      </c>
      <c r="B867" s="44" t="s">
        <v>3237</v>
      </c>
      <c r="C867" s="44" t="s">
        <v>3238</v>
      </c>
      <c r="D867" s="44" t="s">
        <v>973</v>
      </c>
      <c r="E867" s="49" t="s">
        <v>894</v>
      </c>
      <c r="F867" s="44" t="s">
        <v>974</v>
      </c>
      <c r="G867" s="44">
        <v>38.0</v>
      </c>
      <c r="H867" s="47" t="s">
        <v>970</v>
      </c>
      <c r="I867" s="47" t="s">
        <v>894</v>
      </c>
      <c r="J867" s="44">
        <v>10.722641</v>
      </c>
      <c r="K867" s="48">
        <v>106.713435</v>
      </c>
    </row>
    <row r="868" ht="22.5" customHeight="1">
      <c r="A868" s="44" t="s">
        <v>3239</v>
      </c>
      <c r="B868" s="44" t="s">
        <v>3240</v>
      </c>
      <c r="C868" s="44" t="s">
        <v>3241</v>
      </c>
      <c r="D868" s="44" t="s">
        <v>1076</v>
      </c>
      <c r="E868" s="49" t="s">
        <v>813</v>
      </c>
      <c r="F868" s="44" t="s">
        <v>1015</v>
      </c>
      <c r="G868" s="44">
        <v>46.0</v>
      </c>
      <c r="H868" s="47" t="s">
        <v>970</v>
      </c>
      <c r="I868" s="47" t="s">
        <v>813</v>
      </c>
      <c r="J868" s="44">
        <v>10.75985</v>
      </c>
      <c r="K868" s="48">
        <v>106.67282</v>
      </c>
    </row>
    <row r="869" ht="22.5" customHeight="1">
      <c r="A869" s="44" t="s">
        <v>3242</v>
      </c>
      <c r="B869" s="44" t="s">
        <v>3243</v>
      </c>
      <c r="C869" s="44" t="s">
        <v>3244</v>
      </c>
      <c r="D869" s="44" t="s">
        <v>1268</v>
      </c>
      <c r="E869" s="49" t="s">
        <v>900</v>
      </c>
      <c r="F869" s="44" t="s">
        <v>978</v>
      </c>
      <c r="G869" s="44">
        <v>69.0</v>
      </c>
      <c r="H869" s="47" t="s">
        <v>970</v>
      </c>
      <c r="I869" s="47" t="s">
        <v>900</v>
      </c>
      <c r="J869" s="44">
        <v>10.791691510726</v>
      </c>
      <c r="K869" s="48">
        <v>106.68358389567</v>
      </c>
    </row>
    <row r="870" ht="22.5" customHeight="1">
      <c r="A870" s="44" t="s">
        <v>3245</v>
      </c>
      <c r="B870" s="44" t="s">
        <v>3246</v>
      </c>
      <c r="C870" s="44" t="s">
        <v>3247</v>
      </c>
      <c r="D870" s="44" t="s">
        <v>1268</v>
      </c>
      <c r="E870" s="49" t="s">
        <v>900</v>
      </c>
      <c r="F870" s="44" t="s">
        <v>978</v>
      </c>
      <c r="G870" s="44">
        <v>69.0</v>
      </c>
      <c r="H870" s="47" t="s">
        <v>970</v>
      </c>
      <c r="I870" s="47" t="s">
        <v>900</v>
      </c>
      <c r="J870" s="44">
        <v>10.791691510726</v>
      </c>
      <c r="K870" s="48">
        <v>106.68358389567</v>
      </c>
    </row>
    <row r="871" ht="22.5" customHeight="1">
      <c r="A871" s="44" t="s">
        <v>777</v>
      </c>
      <c r="B871" s="44" t="s">
        <v>3248</v>
      </c>
      <c r="C871" s="44" t="s">
        <v>3249</v>
      </c>
      <c r="D871" s="44" t="s">
        <v>1129</v>
      </c>
      <c r="E871" s="49" t="s">
        <v>910</v>
      </c>
      <c r="F871" s="44" t="s">
        <v>987</v>
      </c>
      <c r="G871" s="44">
        <v>30.0</v>
      </c>
      <c r="H871" s="47" t="s">
        <v>970</v>
      </c>
      <c r="I871" s="47" t="s">
        <v>910</v>
      </c>
      <c r="J871" s="44">
        <v>10.774996</v>
      </c>
      <c r="K871" s="48">
        <v>106.664717</v>
      </c>
    </row>
    <row r="872" ht="22.5" customHeight="1">
      <c r="A872" s="44" t="s">
        <v>3250</v>
      </c>
      <c r="B872" s="44" t="s">
        <v>3251</v>
      </c>
      <c r="C872" s="44" t="s">
        <v>3252</v>
      </c>
      <c r="D872" s="44" t="s">
        <v>2200</v>
      </c>
      <c r="E872" s="49" t="s">
        <v>819</v>
      </c>
      <c r="F872" s="44" t="s">
        <v>2838</v>
      </c>
      <c r="G872" s="44">
        <v>79.0</v>
      </c>
      <c r="H872" s="47" t="s">
        <v>970</v>
      </c>
      <c r="I872" s="47" t="s">
        <v>819</v>
      </c>
      <c r="J872" s="44">
        <v>10.814138</v>
      </c>
      <c r="K872" s="48">
        <v>106.597496</v>
      </c>
    </row>
    <row r="873" ht="22.5" customHeight="1">
      <c r="A873" s="44" t="s">
        <v>3253</v>
      </c>
      <c r="B873" s="44" t="s">
        <v>3254</v>
      </c>
      <c r="C873" s="44" t="s">
        <v>3255</v>
      </c>
      <c r="D873" s="44" t="s">
        <v>986</v>
      </c>
      <c r="E873" s="49" t="s">
        <v>910</v>
      </c>
      <c r="F873" s="44" t="s">
        <v>987</v>
      </c>
      <c r="G873" s="44">
        <v>30.0</v>
      </c>
      <c r="H873" s="47" t="s">
        <v>970</v>
      </c>
      <c r="I873" s="47" t="s">
        <v>910</v>
      </c>
      <c r="J873" s="44">
        <v>10.772958</v>
      </c>
      <c r="K873" s="48">
        <v>106.664827</v>
      </c>
    </row>
    <row r="874" ht="22.5" customHeight="1">
      <c r="A874" s="44" t="s">
        <v>3256</v>
      </c>
      <c r="B874" s="44" t="s">
        <v>3257</v>
      </c>
      <c r="C874" s="44" t="s">
        <v>3258</v>
      </c>
      <c r="D874" s="44" t="s">
        <v>990</v>
      </c>
      <c r="E874" s="49" t="s">
        <v>894</v>
      </c>
      <c r="F874" s="44" t="s">
        <v>974</v>
      </c>
      <c r="G874" s="44">
        <v>68.0</v>
      </c>
      <c r="H874" s="47" t="s">
        <v>970</v>
      </c>
      <c r="I874" s="47" t="s">
        <v>882</v>
      </c>
      <c r="J874" s="44">
        <v>10.714037</v>
      </c>
      <c r="K874" s="48">
        <v>106.733121</v>
      </c>
    </row>
    <row r="875" ht="22.5" customHeight="1">
      <c r="A875" s="44" t="s">
        <v>3259</v>
      </c>
      <c r="B875" s="44" t="s">
        <v>3260</v>
      </c>
      <c r="C875" s="44" t="s">
        <v>3261</v>
      </c>
      <c r="D875" s="44" t="s">
        <v>1026</v>
      </c>
      <c r="E875" s="49" t="s">
        <v>897</v>
      </c>
      <c r="F875" s="44" t="s">
        <v>1027</v>
      </c>
      <c r="G875" s="44">
        <v>68.0</v>
      </c>
      <c r="H875" s="47" t="s">
        <v>970</v>
      </c>
      <c r="I875" s="47" t="s">
        <v>897</v>
      </c>
      <c r="J875" s="44">
        <v>10.834649</v>
      </c>
      <c r="K875" s="48">
        <v>106.66155</v>
      </c>
    </row>
    <row r="876" ht="22.5" customHeight="1">
      <c r="A876" s="44" t="s">
        <v>3262</v>
      </c>
      <c r="B876" s="44" t="s">
        <v>3263</v>
      </c>
      <c r="C876" s="44" t="s">
        <v>3264</v>
      </c>
      <c r="D876" s="44" t="s">
        <v>2374</v>
      </c>
      <c r="E876" s="49" t="s">
        <v>897</v>
      </c>
      <c r="F876" s="44" t="s">
        <v>1027</v>
      </c>
      <c r="G876" s="44">
        <v>53.0</v>
      </c>
      <c r="H876" s="47" t="s">
        <v>970</v>
      </c>
      <c r="I876" s="47" t="s">
        <v>897</v>
      </c>
      <c r="J876" s="44">
        <v>10.849414</v>
      </c>
      <c r="K876" s="48">
        <v>106.665443</v>
      </c>
    </row>
    <row r="877" ht="22.5" customHeight="1">
      <c r="A877" s="44" t="s">
        <v>726</v>
      </c>
      <c r="B877" s="44" t="s">
        <v>3265</v>
      </c>
      <c r="C877" s="44" t="s">
        <v>3266</v>
      </c>
      <c r="D877" s="44" t="s">
        <v>2374</v>
      </c>
      <c r="E877" s="49" t="s">
        <v>897</v>
      </c>
      <c r="F877" s="44" t="s">
        <v>1027</v>
      </c>
      <c r="G877" s="44">
        <v>68.0</v>
      </c>
      <c r="H877" s="47" t="s">
        <v>970</v>
      </c>
      <c r="I877" s="47" t="s">
        <v>897</v>
      </c>
      <c r="J877" s="44">
        <v>10.851876</v>
      </c>
      <c r="K877" s="48">
        <v>106.665371</v>
      </c>
    </row>
    <row r="878" ht="22.5" customHeight="1">
      <c r="A878" s="44" t="s">
        <v>3267</v>
      </c>
      <c r="B878" s="44" t="s">
        <v>3268</v>
      </c>
      <c r="C878" s="44" t="s">
        <v>3269</v>
      </c>
      <c r="D878" s="44" t="s">
        <v>1433</v>
      </c>
      <c r="E878" s="49" t="s">
        <v>910</v>
      </c>
      <c r="F878" s="44" t="s">
        <v>987</v>
      </c>
      <c r="G878" s="44">
        <v>60.0</v>
      </c>
      <c r="H878" s="47" t="s">
        <v>970</v>
      </c>
      <c r="I878" s="47" t="s">
        <v>910</v>
      </c>
      <c r="J878" s="44">
        <v>10.767971</v>
      </c>
      <c r="K878" s="48">
        <v>106.671029</v>
      </c>
    </row>
    <row r="879" ht="22.5" customHeight="1">
      <c r="A879" s="44" t="s">
        <v>3270</v>
      </c>
      <c r="B879" s="44" t="s">
        <v>3271</v>
      </c>
      <c r="C879" s="44" t="s">
        <v>1901</v>
      </c>
      <c r="D879" s="44" t="s">
        <v>1433</v>
      </c>
      <c r="E879" s="49" t="s">
        <v>910</v>
      </c>
      <c r="F879" s="44" t="s">
        <v>987</v>
      </c>
      <c r="G879" s="44">
        <v>60.0</v>
      </c>
      <c r="H879" s="47" t="s">
        <v>970</v>
      </c>
      <c r="I879" s="47" t="s">
        <v>910</v>
      </c>
      <c r="J879" s="44">
        <v>10.76856</v>
      </c>
      <c r="K879" s="48">
        <v>106.670159</v>
      </c>
    </row>
    <row r="880" ht="22.5" customHeight="1">
      <c r="A880" s="44" t="s">
        <v>3272</v>
      </c>
      <c r="B880" s="44" t="s">
        <v>3273</v>
      </c>
      <c r="C880" s="44" t="s">
        <v>2892</v>
      </c>
      <c r="D880" s="44" t="s">
        <v>1120</v>
      </c>
      <c r="E880" s="49" t="s">
        <v>895</v>
      </c>
      <c r="F880" s="44" t="s">
        <v>1121</v>
      </c>
      <c r="G880" s="44">
        <v>72.0</v>
      </c>
      <c r="H880" s="47" t="s">
        <v>970</v>
      </c>
      <c r="I880" s="47" t="s">
        <v>895</v>
      </c>
      <c r="J880" s="44">
        <v>10.845958</v>
      </c>
      <c r="K880" s="48">
        <v>106.778488</v>
      </c>
    </row>
    <row r="881" ht="22.5" customHeight="1">
      <c r="A881" s="44" t="s">
        <v>3274</v>
      </c>
      <c r="B881" s="44" t="s">
        <v>3275</v>
      </c>
      <c r="C881" s="44" t="s">
        <v>3276</v>
      </c>
      <c r="D881" s="44" t="s">
        <v>3277</v>
      </c>
      <c r="E881" s="49" t="s">
        <v>510</v>
      </c>
      <c r="F881" s="44" t="s">
        <v>983</v>
      </c>
      <c r="G881" s="44">
        <v>66.0</v>
      </c>
      <c r="H881" s="47" t="s">
        <v>970</v>
      </c>
      <c r="I881" s="47" t="s">
        <v>899</v>
      </c>
      <c r="J881" s="44">
        <v>10.805423</v>
      </c>
      <c r="K881" s="48">
        <v>106.796674</v>
      </c>
    </row>
    <row r="882" ht="22.5" customHeight="1">
      <c r="A882" s="44" t="s">
        <v>3278</v>
      </c>
      <c r="B882" s="44" t="s">
        <v>3279</v>
      </c>
      <c r="C882" s="44" t="s">
        <v>3280</v>
      </c>
      <c r="D882" s="44" t="s">
        <v>1433</v>
      </c>
      <c r="E882" s="49" t="s">
        <v>910</v>
      </c>
      <c r="F882" s="44" t="s">
        <v>987</v>
      </c>
      <c r="G882" s="44">
        <v>60.0</v>
      </c>
      <c r="H882" s="47" t="s">
        <v>970</v>
      </c>
      <c r="I882" s="47" t="s">
        <v>910</v>
      </c>
      <c r="J882" s="44">
        <v>10.76856</v>
      </c>
      <c r="K882" s="48">
        <v>106.670159</v>
      </c>
    </row>
    <row r="883" ht="22.5" customHeight="1">
      <c r="A883" s="44" t="s">
        <v>571</v>
      </c>
      <c r="B883" s="44" t="s">
        <v>3281</v>
      </c>
      <c r="C883" s="44" t="s">
        <v>3282</v>
      </c>
      <c r="D883" s="44" t="s">
        <v>1116</v>
      </c>
      <c r="E883" s="49" t="s">
        <v>885</v>
      </c>
      <c r="F883" s="44" t="s">
        <v>1117</v>
      </c>
      <c r="G883" s="44">
        <v>30.0</v>
      </c>
      <c r="H883" s="47" t="s">
        <v>970</v>
      </c>
      <c r="I883" s="47" t="s">
        <v>885</v>
      </c>
      <c r="J883" s="44">
        <v>10.741829</v>
      </c>
      <c r="K883" s="48">
        <v>106.67692</v>
      </c>
    </row>
    <row r="884" ht="22.5" customHeight="1">
      <c r="A884" s="44" t="s">
        <v>3283</v>
      </c>
      <c r="B884" s="44" t="s">
        <v>3284</v>
      </c>
      <c r="C884" s="44" t="s">
        <v>3285</v>
      </c>
      <c r="D884" s="44" t="s">
        <v>1929</v>
      </c>
      <c r="E884" s="49" t="s">
        <v>893</v>
      </c>
      <c r="F884" s="44" t="s">
        <v>1088</v>
      </c>
      <c r="G884" s="44">
        <v>60.0</v>
      </c>
      <c r="H884" s="47" t="s">
        <v>970</v>
      </c>
      <c r="I884" s="47" t="s">
        <v>806</v>
      </c>
      <c r="J884" s="44">
        <v>10.791346</v>
      </c>
      <c r="K884" s="48">
        <v>106.653432</v>
      </c>
    </row>
    <row r="885" ht="22.5" customHeight="1">
      <c r="A885" s="44" t="s">
        <v>3286</v>
      </c>
      <c r="B885" s="44" t="s">
        <v>3287</v>
      </c>
      <c r="C885" s="44" t="s">
        <v>3288</v>
      </c>
      <c r="D885" s="44" t="s">
        <v>977</v>
      </c>
      <c r="E885" s="49" t="s">
        <v>900</v>
      </c>
      <c r="F885" s="44" t="s">
        <v>978</v>
      </c>
      <c r="G885" s="44">
        <v>39.0</v>
      </c>
      <c r="H885" s="47" t="s">
        <v>970</v>
      </c>
      <c r="I885" s="47" t="s">
        <v>826</v>
      </c>
      <c r="J885" s="44">
        <v>10.780202</v>
      </c>
      <c r="K885" s="48">
        <v>106.682225</v>
      </c>
    </row>
    <row r="886" ht="22.5" customHeight="1">
      <c r="A886" s="44" t="s">
        <v>3289</v>
      </c>
      <c r="B886" s="44" t="s">
        <v>3290</v>
      </c>
      <c r="C886" s="44" t="s">
        <v>3291</v>
      </c>
      <c r="D886" s="44" t="s">
        <v>1929</v>
      </c>
      <c r="E886" s="49" t="s">
        <v>893</v>
      </c>
      <c r="F886" s="44" t="s">
        <v>1088</v>
      </c>
      <c r="G886" s="44">
        <v>60.0</v>
      </c>
      <c r="H886" s="47" t="s">
        <v>970</v>
      </c>
      <c r="I886" s="47" t="s">
        <v>806</v>
      </c>
      <c r="J886" s="44">
        <v>10.791346</v>
      </c>
      <c r="K886" s="48">
        <v>106.653432</v>
      </c>
    </row>
    <row r="887" ht="22.5" customHeight="1">
      <c r="A887" s="44" t="s">
        <v>733</v>
      </c>
      <c r="B887" s="44" t="s">
        <v>3292</v>
      </c>
      <c r="C887" s="44" t="s">
        <v>3293</v>
      </c>
      <c r="D887" s="44" t="s">
        <v>1139</v>
      </c>
      <c r="E887" s="49" t="s">
        <v>882</v>
      </c>
      <c r="F887" s="44" t="s">
        <v>991</v>
      </c>
      <c r="G887" s="44">
        <v>100.0</v>
      </c>
      <c r="H887" s="47" t="s">
        <v>970</v>
      </c>
      <c r="I887" s="47" t="s">
        <v>882</v>
      </c>
      <c r="J887" s="44">
        <v>10.67316</v>
      </c>
      <c r="K887" s="48">
        <v>106.7308</v>
      </c>
    </row>
    <row r="888" ht="22.5" customHeight="1">
      <c r="A888" s="44" t="s">
        <v>3294</v>
      </c>
      <c r="B888" s="44" t="s">
        <v>3295</v>
      </c>
      <c r="C888" s="44" t="s">
        <v>3296</v>
      </c>
      <c r="D888" s="44" t="s">
        <v>990</v>
      </c>
      <c r="E888" s="49" t="s">
        <v>894</v>
      </c>
      <c r="F888" s="44" t="s">
        <v>974</v>
      </c>
      <c r="G888" s="44">
        <v>80.0</v>
      </c>
      <c r="H888" s="47" t="s">
        <v>970</v>
      </c>
      <c r="I888" s="47" t="s">
        <v>894</v>
      </c>
      <c r="J888" s="44">
        <v>10.733378</v>
      </c>
      <c r="K888" s="48">
        <v>106.717939</v>
      </c>
    </row>
    <row r="889" ht="22.5" customHeight="1">
      <c r="A889" s="44" t="s">
        <v>3297</v>
      </c>
      <c r="B889" s="44" t="s">
        <v>3298</v>
      </c>
      <c r="C889" s="44" t="s">
        <v>3299</v>
      </c>
      <c r="D889" s="44" t="s">
        <v>1802</v>
      </c>
      <c r="E889" s="49" t="s">
        <v>888</v>
      </c>
      <c r="F889" s="44" t="s">
        <v>1136</v>
      </c>
      <c r="G889" s="44">
        <v>60.0</v>
      </c>
      <c r="H889" s="47" t="s">
        <v>970</v>
      </c>
      <c r="I889" s="47" t="s">
        <v>804</v>
      </c>
      <c r="J889" s="44">
        <v>10.767583</v>
      </c>
      <c r="K889" s="48">
        <v>106.690874</v>
      </c>
    </row>
    <row r="890" ht="22.5" customHeight="1">
      <c r="A890" s="44" t="s">
        <v>3300</v>
      </c>
      <c r="B890" s="44" t="s">
        <v>3301</v>
      </c>
      <c r="C890" s="44" t="s">
        <v>3302</v>
      </c>
      <c r="D890" s="44" t="s">
        <v>1832</v>
      </c>
      <c r="E890" s="49" t="s">
        <v>901</v>
      </c>
      <c r="F890" s="44" t="s">
        <v>1562</v>
      </c>
      <c r="G890" s="44">
        <v>60.0</v>
      </c>
      <c r="H890" s="47" t="s">
        <v>970</v>
      </c>
      <c r="I890" s="47" t="s">
        <v>901</v>
      </c>
      <c r="J890" s="44">
        <v>10.797201193524</v>
      </c>
      <c r="K890" s="48">
        <v>106.71719699569</v>
      </c>
    </row>
    <row r="891" ht="22.5" customHeight="1">
      <c r="A891" s="44" t="s">
        <v>476</v>
      </c>
      <c r="B891" s="44" t="s">
        <v>3303</v>
      </c>
      <c r="C891" s="44" t="s">
        <v>3304</v>
      </c>
      <c r="D891" s="44" t="s">
        <v>1014</v>
      </c>
      <c r="E891" s="49" t="s">
        <v>910</v>
      </c>
      <c r="F891" s="44" t="s">
        <v>987</v>
      </c>
      <c r="G891" s="44">
        <v>76.0</v>
      </c>
      <c r="H891" s="47" t="s">
        <v>970</v>
      </c>
      <c r="I891" s="47" t="s">
        <v>813</v>
      </c>
      <c r="J891" s="44">
        <v>10.759850270345</v>
      </c>
      <c r="K891" s="48">
        <v>106.67703254753</v>
      </c>
    </row>
    <row r="892" ht="22.5" customHeight="1">
      <c r="A892" s="44" t="s">
        <v>3305</v>
      </c>
      <c r="B892" s="44" t="s">
        <v>3306</v>
      </c>
      <c r="C892" s="44" t="s">
        <v>3307</v>
      </c>
      <c r="D892" s="44" t="s">
        <v>1129</v>
      </c>
      <c r="E892" s="49" t="s">
        <v>910</v>
      </c>
      <c r="F892" s="44" t="s">
        <v>987</v>
      </c>
      <c r="G892" s="44">
        <v>60.0</v>
      </c>
      <c r="H892" s="47" t="s">
        <v>970</v>
      </c>
      <c r="I892" s="47" t="s">
        <v>910</v>
      </c>
      <c r="J892" s="44">
        <v>10.775914</v>
      </c>
      <c r="K892" s="48">
        <v>106.674194</v>
      </c>
    </row>
    <row r="893" ht="22.5" customHeight="1">
      <c r="A893" s="44" t="s">
        <v>3308</v>
      </c>
      <c r="B893" s="44" t="s">
        <v>3309</v>
      </c>
      <c r="C893" s="44" t="s">
        <v>3310</v>
      </c>
      <c r="D893" s="44" t="s">
        <v>1129</v>
      </c>
      <c r="E893" s="49" t="s">
        <v>910</v>
      </c>
      <c r="F893" s="44" t="s">
        <v>987</v>
      </c>
      <c r="G893" s="44">
        <v>45.0</v>
      </c>
      <c r="H893" s="47" t="s">
        <v>970</v>
      </c>
      <c r="I893" s="47" t="s">
        <v>910</v>
      </c>
      <c r="J893" s="44">
        <v>10.773644</v>
      </c>
      <c r="K893" s="48">
        <v>106.664952</v>
      </c>
    </row>
    <row r="894" ht="22.5" customHeight="1">
      <c r="A894" s="44" t="s">
        <v>3311</v>
      </c>
      <c r="B894" s="44" t="s">
        <v>3312</v>
      </c>
      <c r="C894" s="44" t="s">
        <v>3313</v>
      </c>
      <c r="D894" s="44" t="s">
        <v>1345</v>
      </c>
      <c r="E894" s="49" t="s">
        <v>822</v>
      </c>
      <c r="F894" s="44" t="s">
        <v>1284</v>
      </c>
      <c r="G894" s="44">
        <v>60.0</v>
      </c>
      <c r="H894" s="47" t="s">
        <v>970</v>
      </c>
      <c r="I894" s="47" t="s">
        <v>808</v>
      </c>
      <c r="J894" s="44">
        <v>10.755749</v>
      </c>
      <c r="K894" s="48">
        <v>106.637286</v>
      </c>
    </row>
    <row r="895" ht="22.5" customHeight="1">
      <c r="A895" s="44" t="s">
        <v>3314</v>
      </c>
      <c r="B895" s="44" t="s">
        <v>3315</v>
      </c>
      <c r="C895" s="44" t="s">
        <v>3316</v>
      </c>
      <c r="D895" s="44" t="s">
        <v>1135</v>
      </c>
      <c r="E895" s="49" t="s">
        <v>888</v>
      </c>
      <c r="F895" s="44" t="s">
        <v>1136</v>
      </c>
      <c r="G895" s="44">
        <v>60.0</v>
      </c>
      <c r="H895" s="47" t="s">
        <v>970</v>
      </c>
      <c r="I895" s="47" t="s">
        <v>888</v>
      </c>
      <c r="J895" s="44">
        <v>10.770181</v>
      </c>
      <c r="K895" s="48">
        <v>106.701706</v>
      </c>
    </row>
    <row r="896" ht="22.5" customHeight="1">
      <c r="A896" s="44" t="s">
        <v>3317</v>
      </c>
      <c r="B896" s="44" t="s">
        <v>3318</v>
      </c>
      <c r="C896" s="44" t="s">
        <v>3319</v>
      </c>
      <c r="D896" s="44" t="s">
        <v>1939</v>
      </c>
      <c r="E896" s="49" t="s">
        <v>510</v>
      </c>
      <c r="F896" s="44" t="s">
        <v>983</v>
      </c>
      <c r="G896" s="44">
        <v>66.0</v>
      </c>
      <c r="H896" s="47" t="s">
        <v>970</v>
      </c>
      <c r="I896" s="47" t="s">
        <v>510</v>
      </c>
      <c r="J896" s="44">
        <v>10.873307</v>
      </c>
      <c r="K896" s="48">
        <v>106.761516</v>
      </c>
    </row>
    <row r="897" ht="22.5" customHeight="1">
      <c r="A897" s="44" t="s">
        <v>3320</v>
      </c>
      <c r="B897" s="44" t="s">
        <v>3321</v>
      </c>
      <c r="C897" s="44" t="s">
        <v>3322</v>
      </c>
      <c r="D897" s="44" t="s">
        <v>1268</v>
      </c>
      <c r="E897" s="49" t="s">
        <v>910</v>
      </c>
      <c r="F897" s="44" t="s">
        <v>987</v>
      </c>
      <c r="G897" s="44">
        <v>69.0</v>
      </c>
      <c r="H897" s="47" t="s">
        <v>970</v>
      </c>
      <c r="I897" s="47" t="s">
        <v>900</v>
      </c>
      <c r="J897" s="44">
        <v>10.783295</v>
      </c>
      <c r="K897" s="48">
        <v>106.687111</v>
      </c>
    </row>
    <row r="898" ht="22.5" customHeight="1">
      <c r="A898" s="44" t="s">
        <v>3323</v>
      </c>
      <c r="B898" s="44" t="s">
        <v>3324</v>
      </c>
      <c r="C898" s="44" t="s">
        <v>3325</v>
      </c>
      <c r="D898" s="44" t="s">
        <v>1700</v>
      </c>
      <c r="E898" s="49" t="s">
        <v>824</v>
      </c>
      <c r="F898" s="44" t="s">
        <v>2008</v>
      </c>
      <c r="G898" s="44">
        <v>30.0</v>
      </c>
      <c r="H898" s="47" t="s">
        <v>970</v>
      </c>
      <c r="I898" s="47" t="s">
        <v>518</v>
      </c>
      <c r="J898" s="44">
        <v>10.766382</v>
      </c>
      <c r="K898" s="48">
        <v>106.642094</v>
      </c>
    </row>
    <row r="899" ht="22.5" customHeight="1">
      <c r="A899" s="44" t="s">
        <v>3326</v>
      </c>
      <c r="B899" s="44" t="s">
        <v>3327</v>
      </c>
      <c r="C899" s="44" t="s">
        <v>3328</v>
      </c>
      <c r="D899" s="44" t="s">
        <v>3171</v>
      </c>
      <c r="E899" s="49" t="s">
        <v>804</v>
      </c>
      <c r="F899" s="44" t="s">
        <v>1497</v>
      </c>
      <c r="G899" s="44">
        <v>60.0</v>
      </c>
      <c r="H899" s="47" t="s">
        <v>970</v>
      </c>
      <c r="I899" s="47" t="s">
        <v>804</v>
      </c>
      <c r="J899" s="44">
        <v>10.759939</v>
      </c>
      <c r="K899" s="48">
        <v>106.698648</v>
      </c>
    </row>
    <row r="900" ht="22.5" customHeight="1">
      <c r="A900" s="44" t="s">
        <v>3329</v>
      </c>
      <c r="B900" s="44" t="s">
        <v>3330</v>
      </c>
      <c r="C900" s="44" t="s">
        <v>3331</v>
      </c>
      <c r="D900" s="44" t="s">
        <v>1236</v>
      </c>
      <c r="E900" s="49" t="s">
        <v>895</v>
      </c>
      <c r="F900" s="44" t="s">
        <v>1121</v>
      </c>
      <c r="G900" s="44">
        <v>72.0</v>
      </c>
      <c r="H900" s="47" t="s">
        <v>970</v>
      </c>
      <c r="I900" s="47" t="s">
        <v>891</v>
      </c>
      <c r="J900" s="44">
        <v>10.890938</v>
      </c>
      <c r="K900" s="48">
        <v>106.828313</v>
      </c>
    </row>
    <row r="901" ht="22.5" customHeight="1">
      <c r="A901" s="44" t="s">
        <v>3332</v>
      </c>
      <c r="B901" s="44" t="s">
        <v>3333</v>
      </c>
      <c r="C901" s="44" t="s">
        <v>3334</v>
      </c>
      <c r="D901" s="44" t="s">
        <v>1076</v>
      </c>
      <c r="E901" s="49" t="s">
        <v>813</v>
      </c>
      <c r="F901" s="44" t="s">
        <v>1015</v>
      </c>
      <c r="G901" s="44">
        <v>76.0</v>
      </c>
      <c r="H901" s="47" t="s">
        <v>970</v>
      </c>
      <c r="I901" s="47" t="s">
        <v>813</v>
      </c>
      <c r="J901" s="44">
        <v>10.754446</v>
      </c>
      <c r="K901" s="48">
        <v>106.666581</v>
      </c>
    </row>
    <row r="902" ht="22.5" customHeight="1">
      <c r="A902" s="44" t="s">
        <v>3335</v>
      </c>
      <c r="B902" s="44" t="s">
        <v>3336</v>
      </c>
      <c r="C902" s="44" t="s">
        <v>3337</v>
      </c>
      <c r="D902" s="44" t="s">
        <v>1167</v>
      </c>
      <c r="E902" s="49" t="s">
        <v>819</v>
      </c>
      <c r="F902" s="44" t="s">
        <v>2838</v>
      </c>
      <c r="G902" s="44">
        <v>39.0</v>
      </c>
      <c r="H902" s="47" t="s">
        <v>970</v>
      </c>
      <c r="I902" s="47" t="s">
        <v>789</v>
      </c>
      <c r="J902" s="44">
        <v>10.744604</v>
      </c>
      <c r="K902" s="48">
        <v>106.619009</v>
      </c>
    </row>
    <row r="903" ht="22.5" customHeight="1">
      <c r="A903" s="44" t="s">
        <v>3338</v>
      </c>
      <c r="B903" s="44" t="s">
        <v>3339</v>
      </c>
      <c r="C903" s="44" t="s">
        <v>3340</v>
      </c>
      <c r="D903" s="44" t="s">
        <v>973</v>
      </c>
      <c r="E903" s="49" t="s">
        <v>894</v>
      </c>
      <c r="F903" s="44" t="s">
        <v>974</v>
      </c>
      <c r="G903" s="44">
        <v>68.0</v>
      </c>
      <c r="H903" s="47" t="s">
        <v>970</v>
      </c>
      <c r="I903" s="47" t="s">
        <v>894</v>
      </c>
      <c r="J903" s="44">
        <v>10.728143249188</v>
      </c>
      <c r="K903" s="48">
        <v>106.70565048456</v>
      </c>
    </row>
    <row r="904" ht="22.5" customHeight="1">
      <c r="A904" s="44" t="s">
        <v>3341</v>
      </c>
      <c r="B904" s="44" t="s">
        <v>3342</v>
      </c>
      <c r="C904" s="44" t="s">
        <v>3343</v>
      </c>
      <c r="D904" s="44" t="s">
        <v>1007</v>
      </c>
      <c r="E904" s="49" t="s">
        <v>510</v>
      </c>
      <c r="F904" s="44" t="s">
        <v>983</v>
      </c>
      <c r="G904" s="44">
        <v>106.0</v>
      </c>
      <c r="H904" s="47" t="s">
        <v>970</v>
      </c>
      <c r="I904" s="47" t="s">
        <v>510</v>
      </c>
      <c r="J904" s="44">
        <v>10.864211</v>
      </c>
      <c r="K904" s="48">
        <v>106.745498</v>
      </c>
    </row>
    <row r="905" ht="22.5" customHeight="1">
      <c r="A905" s="44" t="s">
        <v>3344</v>
      </c>
      <c r="B905" s="44" t="s">
        <v>3345</v>
      </c>
      <c r="C905" s="44" t="s">
        <v>3346</v>
      </c>
      <c r="D905" s="44" t="s">
        <v>1433</v>
      </c>
      <c r="E905" s="49" t="s">
        <v>910</v>
      </c>
      <c r="F905" s="44" t="s">
        <v>987</v>
      </c>
      <c r="G905" s="44">
        <v>100.0</v>
      </c>
      <c r="H905" s="47" t="s">
        <v>970</v>
      </c>
      <c r="I905" s="47" t="s">
        <v>910</v>
      </c>
      <c r="J905" s="44">
        <v>10.769022284026</v>
      </c>
      <c r="K905" s="48">
        <v>106.67114825024</v>
      </c>
    </row>
    <row r="906" ht="22.5" customHeight="1">
      <c r="A906" s="44" t="s">
        <v>3347</v>
      </c>
      <c r="B906" s="44" t="s">
        <v>3348</v>
      </c>
      <c r="C906" s="44" t="s">
        <v>3349</v>
      </c>
      <c r="D906" s="44" t="s">
        <v>1506</v>
      </c>
      <c r="E906" s="49" t="s">
        <v>897</v>
      </c>
      <c r="F906" s="44" t="s">
        <v>1027</v>
      </c>
      <c r="G906" s="44">
        <v>115.0</v>
      </c>
      <c r="H906" s="47" t="s">
        <v>970</v>
      </c>
      <c r="I906" s="47" t="s">
        <v>896</v>
      </c>
      <c r="J906" s="44">
        <v>10.846866</v>
      </c>
      <c r="K906" s="48">
        <v>106.613032</v>
      </c>
    </row>
    <row r="907" ht="22.5" customHeight="1">
      <c r="A907" s="44" t="s">
        <v>623</v>
      </c>
      <c r="B907" s="44" t="s">
        <v>3350</v>
      </c>
      <c r="C907" s="44" t="s">
        <v>3351</v>
      </c>
      <c r="D907" s="44" t="s">
        <v>1111</v>
      </c>
      <c r="E907" s="49" t="s">
        <v>820</v>
      </c>
      <c r="F907" s="44" t="s">
        <v>1112</v>
      </c>
      <c r="G907" s="44">
        <v>39.0</v>
      </c>
      <c r="H907" s="47" t="s">
        <v>970</v>
      </c>
      <c r="I907" s="47" t="s">
        <v>820</v>
      </c>
      <c r="J907" s="44">
        <v>10.768088</v>
      </c>
      <c r="K907" s="48">
        <v>106.609168</v>
      </c>
    </row>
    <row r="908" ht="22.5" customHeight="1">
      <c r="A908" s="44" t="s">
        <v>3352</v>
      </c>
      <c r="B908" s="44" t="s">
        <v>3353</v>
      </c>
      <c r="C908" s="44" t="s">
        <v>3354</v>
      </c>
      <c r="D908" s="44" t="s">
        <v>1442</v>
      </c>
      <c r="E908" s="49" t="s">
        <v>910</v>
      </c>
      <c r="F908" s="44" t="s">
        <v>987</v>
      </c>
      <c r="G908" s="44">
        <v>60.0</v>
      </c>
      <c r="H908" s="47" t="s">
        <v>970</v>
      </c>
      <c r="I908" s="47" t="s">
        <v>811</v>
      </c>
      <c r="J908" s="44">
        <v>10.757127</v>
      </c>
      <c r="K908" s="48">
        <v>106.686076</v>
      </c>
    </row>
    <row r="909" ht="22.5" customHeight="1">
      <c r="A909" s="44" t="s">
        <v>3355</v>
      </c>
      <c r="B909" s="44" t="s">
        <v>3356</v>
      </c>
      <c r="C909" s="44" t="s">
        <v>3055</v>
      </c>
      <c r="D909" s="44" t="s">
        <v>1047</v>
      </c>
      <c r="E909" s="49" t="s">
        <v>889</v>
      </c>
      <c r="F909" s="44" t="s">
        <v>1043</v>
      </c>
      <c r="G909" s="44">
        <v>60.0</v>
      </c>
      <c r="H909" s="47" t="s">
        <v>970</v>
      </c>
      <c r="I909" s="47" t="s">
        <v>889</v>
      </c>
      <c r="J909" s="44">
        <v>10.803747</v>
      </c>
      <c r="K909" s="48">
        <v>106.694139</v>
      </c>
    </row>
    <row r="910" ht="22.5" customHeight="1">
      <c r="A910" s="44" t="s">
        <v>652</v>
      </c>
      <c r="B910" s="44" t="s">
        <v>3357</v>
      </c>
      <c r="C910" s="44" t="s">
        <v>3358</v>
      </c>
      <c r="D910" s="44" t="s">
        <v>990</v>
      </c>
      <c r="E910" s="49" t="s">
        <v>894</v>
      </c>
      <c r="F910" s="44" t="s">
        <v>974</v>
      </c>
      <c r="G910" s="44">
        <v>38.0</v>
      </c>
      <c r="H910" s="47" t="s">
        <v>970</v>
      </c>
      <c r="I910" s="47" t="s">
        <v>882</v>
      </c>
      <c r="J910" s="44">
        <v>10.720318</v>
      </c>
      <c r="K910" s="48">
        <v>106.726435</v>
      </c>
    </row>
    <row r="911" ht="22.5" customHeight="1">
      <c r="A911" s="44" t="s">
        <v>3359</v>
      </c>
      <c r="B911" s="44" t="s">
        <v>3360</v>
      </c>
      <c r="C911" s="44" t="s">
        <v>3361</v>
      </c>
      <c r="D911" s="44" t="s">
        <v>1042</v>
      </c>
      <c r="E911" s="49" t="s">
        <v>901</v>
      </c>
      <c r="F911" s="44" t="s">
        <v>1562</v>
      </c>
      <c r="G911" s="44">
        <v>60.0</v>
      </c>
      <c r="H911" s="47" t="s">
        <v>970</v>
      </c>
      <c r="I911" s="47" t="s">
        <v>901</v>
      </c>
      <c r="J911" s="44">
        <v>10.803918</v>
      </c>
      <c r="K911" s="48">
        <v>106.708928</v>
      </c>
    </row>
    <row r="912" ht="22.5" customHeight="1">
      <c r="A912" s="44" t="s">
        <v>3362</v>
      </c>
      <c r="B912" s="44" t="s">
        <v>3363</v>
      </c>
      <c r="C912" s="44" t="s">
        <v>3364</v>
      </c>
      <c r="D912" s="44" t="s">
        <v>1802</v>
      </c>
      <c r="E912" s="49" t="s">
        <v>888</v>
      </c>
      <c r="F912" s="44" t="s">
        <v>1136</v>
      </c>
      <c r="G912" s="44">
        <v>30.0</v>
      </c>
      <c r="H912" s="47" t="s">
        <v>970</v>
      </c>
      <c r="I912" s="47" t="s">
        <v>888</v>
      </c>
      <c r="J912" s="44">
        <v>10.773799</v>
      </c>
      <c r="K912" s="48">
        <v>106.696413</v>
      </c>
    </row>
    <row r="913" ht="22.5" customHeight="1">
      <c r="A913" s="44" t="s">
        <v>499</v>
      </c>
      <c r="B913" s="44" t="s">
        <v>3365</v>
      </c>
      <c r="C913" s="44" t="s">
        <v>3366</v>
      </c>
      <c r="D913" s="44" t="s">
        <v>1268</v>
      </c>
      <c r="E913" s="49" t="s">
        <v>910</v>
      </c>
      <c r="F913" s="44" t="s">
        <v>987</v>
      </c>
      <c r="G913" s="44">
        <v>39.0</v>
      </c>
      <c r="H913" s="47" t="s">
        <v>970</v>
      </c>
      <c r="I913" s="47" t="s">
        <v>888</v>
      </c>
      <c r="J913" s="44">
        <v>10.779183</v>
      </c>
      <c r="K913" s="48">
        <v>106.690316</v>
      </c>
    </row>
    <row r="914" ht="22.5" customHeight="1">
      <c r="A914" s="44" t="s">
        <v>235</v>
      </c>
      <c r="B914" s="44" t="s">
        <v>3367</v>
      </c>
      <c r="C914" s="44" t="s">
        <v>3368</v>
      </c>
      <c r="D914" s="44" t="s">
        <v>1036</v>
      </c>
      <c r="E914" s="49" t="s">
        <v>887</v>
      </c>
      <c r="F914" s="44" t="s">
        <v>1031</v>
      </c>
      <c r="G914" s="44">
        <v>59.0</v>
      </c>
      <c r="H914" s="47" t="s">
        <v>970</v>
      </c>
      <c r="I914" s="47" t="s">
        <v>898</v>
      </c>
      <c r="J914" s="44">
        <v>10.784946</v>
      </c>
      <c r="K914" s="48">
        <v>106.749093</v>
      </c>
    </row>
    <row r="915" ht="22.5" customHeight="1">
      <c r="A915" s="44" t="s">
        <v>151</v>
      </c>
      <c r="B915" s="44" t="s">
        <v>3369</v>
      </c>
      <c r="C915" s="44" t="s">
        <v>3370</v>
      </c>
      <c r="D915" s="44" t="s">
        <v>1154</v>
      </c>
      <c r="E915" s="49" t="s">
        <v>893</v>
      </c>
      <c r="F915" s="44" t="s">
        <v>1088</v>
      </c>
      <c r="G915" s="44">
        <v>60.0</v>
      </c>
      <c r="H915" s="47" t="s">
        <v>970</v>
      </c>
      <c r="I915" s="47" t="s">
        <v>893</v>
      </c>
      <c r="J915" s="44">
        <v>10.787712</v>
      </c>
      <c r="K915" s="48">
        <v>106.63677</v>
      </c>
    </row>
    <row r="916" ht="22.5" customHeight="1">
      <c r="A916" s="44" t="s">
        <v>734</v>
      </c>
      <c r="B916" s="44" t="s">
        <v>3371</v>
      </c>
      <c r="C916" s="44" t="s">
        <v>3372</v>
      </c>
      <c r="D916" s="44" t="s">
        <v>1474</v>
      </c>
      <c r="E916" s="49" t="s">
        <v>897</v>
      </c>
      <c r="F916" s="44" t="s">
        <v>1027</v>
      </c>
      <c r="G916" s="44">
        <v>60.0</v>
      </c>
      <c r="H916" s="47" t="s">
        <v>970</v>
      </c>
      <c r="I916" s="47" t="s">
        <v>897</v>
      </c>
      <c r="J916" s="44">
        <v>10.878216538492</v>
      </c>
      <c r="K916" s="48">
        <v>106.65027623715</v>
      </c>
    </row>
    <row r="917" ht="22.5" customHeight="1">
      <c r="A917" s="44" t="s">
        <v>705</v>
      </c>
      <c r="B917" s="44" t="s">
        <v>3373</v>
      </c>
      <c r="C917" s="44" t="s">
        <v>3374</v>
      </c>
      <c r="D917" s="44" t="s">
        <v>1506</v>
      </c>
      <c r="E917" s="49" t="s">
        <v>897</v>
      </c>
      <c r="F917" s="44" t="s">
        <v>1027</v>
      </c>
      <c r="G917" s="44">
        <v>115.0</v>
      </c>
      <c r="H917" s="47" t="s">
        <v>970</v>
      </c>
      <c r="I917" s="47" t="s">
        <v>797</v>
      </c>
      <c r="J917" s="44">
        <v>10.859112</v>
      </c>
      <c r="K917" s="48">
        <v>106.612379</v>
      </c>
    </row>
    <row r="918" ht="22.5" customHeight="1">
      <c r="A918" s="44" t="s">
        <v>3375</v>
      </c>
      <c r="B918" s="44" t="s">
        <v>3376</v>
      </c>
      <c r="C918" s="44" t="s">
        <v>2578</v>
      </c>
      <c r="D918" s="44" t="s">
        <v>1111</v>
      </c>
      <c r="E918" s="49" t="s">
        <v>789</v>
      </c>
      <c r="F918" s="44" t="s">
        <v>1168</v>
      </c>
      <c r="G918" s="44">
        <v>39.0</v>
      </c>
      <c r="H918" s="47" t="s">
        <v>970</v>
      </c>
      <c r="I918" s="47" t="s">
        <v>820</v>
      </c>
      <c r="J918" s="44">
        <v>10.764867</v>
      </c>
      <c r="K918" s="48">
        <v>106.603354</v>
      </c>
    </row>
    <row r="919" ht="22.5" customHeight="1">
      <c r="A919" s="44" t="s">
        <v>3377</v>
      </c>
      <c r="B919" s="44" t="s">
        <v>3378</v>
      </c>
      <c r="C919" s="44" t="s">
        <v>3379</v>
      </c>
      <c r="D919" s="44" t="s">
        <v>1542</v>
      </c>
      <c r="E919" s="49" t="s">
        <v>900</v>
      </c>
      <c r="F919" s="44" t="s">
        <v>978</v>
      </c>
      <c r="G919" s="44">
        <v>60.0</v>
      </c>
      <c r="H919" s="47" t="s">
        <v>970</v>
      </c>
      <c r="I919" s="47" t="s">
        <v>900</v>
      </c>
      <c r="J919" s="44">
        <v>10.790132</v>
      </c>
      <c r="K919" s="48">
        <v>106.689594</v>
      </c>
    </row>
    <row r="920" ht="22.5" customHeight="1">
      <c r="A920" s="44" t="s">
        <v>3380</v>
      </c>
      <c r="B920" s="44" t="s">
        <v>3381</v>
      </c>
      <c r="C920" s="44" t="s">
        <v>3382</v>
      </c>
      <c r="D920" s="44" t="s">
        <v>2967</v>
      </c>
      <c r="E920" s="49" t="s">
        <v>789</v>
      </c>
      <c r="F920" s="44" t="s">
        <v>1168</v>
      </c>
      <c r="G920" s="44">
        <v>60.0</v>
      </c>
      <c r="H920" s="47" t="s">
        <v>970</v>
      </c>
      <c r="I920" s="47" t="s">
        <v>819</v>
      </c>
      <c r="J920" s="44">
        <v>10.815501</v>
      </c>
      <c r="K920" s="48">
        <v>106.576116</v>
      </c>
    </row>
    <row r="921" ht="22.5" customHeight="1">
      <c r="A921" s="44" t="s">
        <v>3383</v>
      </c>
      <c r="B921" s="44" t="s">
        <v>3384</v>
      </c>
      <c r="C921" s="44" t="s">
        <v>3385</v>
      </c>
      <c r="D921" s="44" t="s">
        <v>1528</v>
      </c>
      <c r="E921" s="49" t="s">
        <v>910</v>
      </c>
      <c r="F921" s="44" t="s">
        <v>987</v>
      </c>
      <c r="G921" s="44">
        <v>69.0</v>
      </c>
      <c r="H921" s="47" t="s">
        <v>970</v>
      </c>
      <c r="I921" s="47" t="s">
        <v>826</v>
      </c>
      <c r="J921" s="44">
        <v>10.76899</v>
      </c>
      <c r="K921" s="48">
        <v>106.68294</v>
      </c>
    </row>
    <row r="922" ht="22.5" customHeight="1">
      <c r="A922" s="44" t="s">
        <v>3386</v>
      </c>
      <c r="B922" s="44" t="s">
        <v>3387</v>
      </c>
      <c r="C922" s="44" t="s">
        <v>3388</v>
      </c>
      <c r="D922" s="44" t="s">
        <v>1280</v>
      </c>
      <c r="E922" s="49" t="s">
        <v>510</v>
      </c>
      <c r="F922" s="44" t="s">
        <v>983</v>
      </c>
      <c r="G922" s="44">
        <v>36.0</v>
      </c>
      <c r="H922" s="47" t="s">
        <v>970</v>
      </c>
      <c r="I922" s="47" t="s">
        <v>510</v>
      </c>
      <c r="J922" s="44">
        <v>10.851801</v>
      </c>
      <c r="K922" s="48">
        <v>106.747998</v>
      </c>
    </row>
    <row r="923" ht="22.5" customHeight="1">
      <c r="A923" s="44" t="s">
        <v>236</v>
      </c>
      <c r="B923" s="44" t="s">
        <v>3389</v>
      </c>
      <c r="C923" s="44" t="s">
        <v>3390</v>
      </c>
      <c r="D923" s="44" t="s">
        <v>1036</v>
      </c>
      <c r="E923" s="49" t="s">
        <v>898</v>
      </c>
      <c r="F923" s="44" t="s">
        <v>1037</v>
      </c>
      <c r="G923" s="44">
        <v>104.0</v>
      </c>
      <c r="H923" s="47" t="s">
        <v>970</v>
      </c>
      <c r="I923" s="47" t="s">
        <v>898</v>
      </c>
      <c r="J923" s="44">
        <v>10.782571</v>
      </c>
      <c r="K923" s="48">
        <v>106.769104</v>
      </c>
    </row>
    <row r="924" ht="22.5" customHeight="1">
      <c r="A924" s="44" t="s">
        <v>3391</v>
      </c>
      <c r="B924" s="44" t="s">
        <v>3392</v>
      </c>
      <c r="C924" s="44" t="s">
        <v>3393</v>
      </c>
      <c r="D924" s="44" t="s">
        <v>986</v>
      </c>
      <c r="E924" s="49" t="s">
        <v>910</v>
      </c>
      <c r="F924" s="44" t="s">
        <v>987</v>
      </c>
      <c r="G924" s="44">
        <v>60.0</v>
      </c>
      <c r="H924" s="47" t="s">
        <v>970</v>
      </c>
      <c r="I924" s="47" t="s">
        <v>822</v>
      </c>
      <c r="J924" s="44">
        <v>10.770506</v>
      </c>
      <c r="K924" s="48">
        <v>106.659448</v>
      </c>
    </row>
    <row r="925" ht="22.5" customHeight="1">
      <c r="A925" s="44" t="s">
        <v>3394</v>
      </c>
      <c r="B925" s="44" t="s">
        <v>3395</v>
      </c>
      <c r="C925" s="44" t="s">
        <v>3396</v>
      </c>
      <c r="D925" s="44" t="s">
        <v>1883</v>
      </c>
      <c r="E925" s="49" t="s">
        <v>883</v>
      </c>
      <c r="F925" s="44" t="s">
        <v>1471</v>
      </c>
      <c r="G925" s="44">
        <v>85.0</v>
      </c>
      <c r="H925" s="47" t="s">
        <v>970</v>
      </c>
      <c r="I925" s="47" t="s">
        <v>883</v>
      </c>
      <c r="J925" s="44">
        <v>10.894917</v>
      </c>
      <c r="K925" s="48">
        <v>106.721726</v>
      </c>
    </row>
    <row r="926" ht="22.5" customHeight="1">
      <c r="A926" s="44" t="s">
        <v>3397</v>
      </c>
      <c r="B926" s="44" t="s">
        <v>3398</v>
      </c>
      <c r="C926" s="44" t="s">
        <v>3399</v>
      </c>
      <c r="D926" s="44" t="s">
        <v>1470</v>
      </c>
      <c r="E926" s="49" t="s">
        <v>883</v>
      </c>
      <c r="F926" s="44" t="s">
        <v>1471</v>
      </c>
      <c r="G926" s="44">
        <v>55.0</v>
      </c>
      <c r="H926" s="47" t="s">
        <v>970</v>
      </c>
      <c r="I926" s="47" t="s">
        <v>883</v>
      </c>
      <c r="J926" s="44">
        <v>10.904238</v>
      </c>
      <c r="K926" s="48">
        <v>106.699531</v>
      </c>
    </row>
    <row r="927" ht="22.5" customHeight="1">
      <c r="A927" s="44" t="s">
        <v>3400</v>
      </c>
      <c r="B927" s="44" t="s">
        <v>3401</v>
      </c>
      <c r="C927" s="44" t="s">
        <v>3402</v>
      </c>
      <c r="D927" s="44" t="s">
        <v>1832</v>
      </c>
      <c r="E927" s="49" t="s">
        <v>889</v>
      </c>
      <c r="F927" s="44" t="s">
        <v>1043</v>
      </c>
      <c r="G927" s="44">
        <v>60.0</v>
      </c>
      <c r="H927" s="47" t="s">
        <v>970</v>
      </c>
      <c r="I927" s="47" t="s">
        <v>901</v>
      </c>
      <c r="J927" s="44">
        <v>10.790615</v>
      </c>
      <c r="K927" s="48">
        <v>106.712156</v>
      </c>
    </row>
    <row r="928" ht="22.5" customHeight="1">
      <c r="A928" s="44" t="s">
        <v>3403</v>
      </c>
      <c r="B928" s="44" t="s">
        <v>3404</v>
      </c>
      <c r="C928" s="44" t="s">
        <v>3405</v>
      </c>
      <c r="D928" s="44" t="s">
        <v>1510</v>
      </c>
      <c r="E928" s="49" t="s">
        <v>804</v>
      </c>
      <c r="F928" s="44" t="s">
        <v>1497</v>
      </c>
      <c r="G928" s="44">
        <v>60.0</v>
      </c>
      <c r="H928" s="47" t="s">
        <v>970</v>
      </c>
      <c r="I928" s="47" t="s">
        <v>804</v>
      </c>
      <c r="J928" s="44">
        <v>10.765334</v>
      </c>
      <c r="K928" s="48">
        <v>106.702183</v>
      </c>
    </row>
    <row r="929" ht="22.5" customHeight="1">
      <c r="A929" s="44" t="s">
        <v>3406</v>
      </c>
      <c r="B929" s="44" t="s">
        <v>3407</v>
      </c>
      <c r="C929" s="44" t="s">
        <v>3408</v>
      </c>
      <c r="D929" s="44" t="s">
        <v>1510</v>
      </c>
      <c r="E929" s="49" t="s">
        <v>804</v>
      </c>
      <c r="F929" s="44" t="s">
        <v>1497</v>
      </c>
      <c r="G929" s="50">
        <v>60.0</v>
      </c>
      <c r="H929" s="47" t="s">
        <v>970</v>
      </c>
      <c r="I929" s="47" t="s">
        <v>804</v>
      </c>
      <c r="J929" s="44">
        <v>10.753849</v>
      </c>
      <c r="K929" s="48">
        <v>106.711357</v>
      </c>
    </row>
    <row r="930" ht="22.5" customHeight="1">
      <c r="A930" s="44" t="s">
        <v>3409</v>
      </c>
      <c r="B930" s="44" t="s">
        <v>3410</v>
      </c>
      <c r="C930" s="44" t="s">
        <v>3411</v>
      </c>
      <c r="D930" s="44" t="s">
        <v>1014</v>
      </c>
      <c r="E930" s="49" t="s">
        <v>813</v>
      </c>
      <c r="F930" s="44" t="s">
        <v>1015</v>
      </c>
      <c r="G930" s="44">
        <v>76.0</v>
      </c>
      <c r="H930" s="47" t="s">
        <v>970</v>
      </c>
      <c r="I930" s="47" t="s">
        <v>813</v>
      </c>
      <c r="J930" s="44">
        <v>10.755519217261</v>
      </c>
      <c r="K930" s="48">
        <v>106.6815140656</v>
      </c>
    </row>
    <row r="931" ht="22.5" customHeight="1">
      <c r="A931" s="44" t="s">
        <v>3412</v>
      </c>
      <c r="B931" s="44" t="s">
        <v>3413</v>
      </c>
      <c r="C931" s="44" t="s">
        <v>3414</v>
      </c>
      <c r="D931" s="44" t="s">
        <v>1139</v>
      </c>
      <c r="E931" s="49" t="s">
        <v>882</v>
      </c>
      <c r="F931" s="44" t="s">
        <v>991</v>
      </c>
      <c r="G931" s="44">
        <v>60.0</v>
      </c>
      <c r="H931" s="47" t="s">
        <v>970</v>
      </c>
      <c r="I931" s="47" t="s">
        <v>894</v>
      </c>
      <c r="J931" s="44">
        <v>10.714642</v>
      </c>
      <c r="K931" s="48">
        <v>106.702178</v>
      </c>
    </row>
    <row r="932" ht="22.5" customHeight="1">
      <c r="A932" s="44" t="s">
        <v>3415</v>
      </c>
      <c r="B932" s="44" t="s">
        <v>3416</v>
      </c>
      <c r="C932" s="44" t="s">
        <v>3417</v>
      </c>
      <c r="D932" s="44" t="s">
        <v>1047</v>
      </c>
      <c r="E932" s="49" t="s">
        <v>814</v>
      </c>
      <c r="F932" s="44" t="s">
        <v>1369</v>
      </c>
      <c r="G932" s="44">
        <v>60.0</v>
      </c>
      <c r="H932" s="47" t="s">
        <v>970</v>
      </c>
      <c r="I932" s="47" t="s">
        <v>889</v>
      </c>
      <c r="J932" s="44">
        <v>10.803711714854</v>
      </c>
      <c r="K932" s="48">
        <v>106.68830900451</v>
      </c>
    </row>
    <row r="933" ht="22.5" customHeight="1">
      <c r="A933" s="44" t="s">
        <v>59</v>
      </c>
      <c r="B933" s="44" t="s">
        <v>3418</v>
      </c>
      <c r="C933" s="44" t="s">
        <v>3419</v>
      </c>
      <c r="D933" s="44" t="s">
        <v>1236</v>
      </c>
      <c r="E933" s="49" t="s">
        <v>891</v>
      </c>
      <c r="F933" s="44" t="s">
        <v>1125</v>
      </c>
      <c r="G933" s="44">
        <v>75.0</v>
      </c>
      <c r="H933" s="47" t="s">
        <v>970</v>
      </c>
      <c r="I933" s="47" t="s">
        <v>891</v>
      </c>
      <c r="J933" s="44">
        <v>10.967092</v>
      </c>
      <c r="K933" s="48">
        <v>106.899999</v>
      </c>
    </row>
    <row r="934" ht="22.5" customHeight="1">
      <c r="A934" s="44" t="s">
        <v>3420</v>
      </c>
      <c r="B934" s="44" t="s">
        <v>3421</v>
      </c>
      <c r="C934" s="44" t="s">
        <v>3422</v>
      </c>
      <c r="D934" s="44" t="s">
        <v>3423</v>
      </c>
      <c r="E934" s="49" t="s">
        <v>892</v>
      </c>
      <c r="F934" s="44" t="s">
        <v>1108</v>
      </c>
      <c r="G934" s="44">
        <v>100.0</v>
      </c>
      <c r="H934" s="47" t="s">
        <v>970</v>
      </c>
      <c r="I934" s="47" t="s">
        <v>892</v>
      </c>
      <c r="J934" s="44">
        <v>11.141777</v>
      </c>
      <c r="K934" s="48">
        <v>106.605731</v>
      </c>
    </row>
    <row r="935" ht="22.5" customHeight="1">
      <c r="A935" s="44" t="s">
        <v>781</v>
      </c>
      <c r="B935" s="44" t="s">
        <v>3424</v>
      </c>
      <c r="C935" s="44" t="s">
        <v>3425</v>
      </c>
      <c r="D935" s="44" t="s">
        <v>1648</v>
      </c>
      <c r="E935" s="49" t="s">
        <v>883</v>
      </c>
      <c r="F935" s="44" t="s">
        <v>1471</v>
      </c>
      <c r="G935" s="44">
        <v>90.0</v>
      </c>
      <c r="H935" s="47" t="s">
        <v>970</v>
      </c>
      <c r="I935" s="47" t="s">
        <v>890</v>
      </c>
      <c r="J935" s="44">
        <v>10.979325</v>
      </c>
      <c r="K935" s="48">
        <v>106.740184</v>
      </c>
    </row>
    <row r="936" ht="22.5" customHeight="1">
      <c r="A936" s="44" t="s">
        <v>304</v>
      </c>
      <c r="B936" s="44" t="s">
        <v>3426</v>
      </c>
      <c r="C936" s="44" t="s">
        <v>3427</v>
      </c>
      <c r="D936" s="44" t="s">
        <v>1107</v>
      </c>
      <c r="E936" s="49" t="s">
        <v>892</v>
      </c>
      <c r="F936" s="44" t="s">
        <v>1108</v>
      </c>
      <c r="G936" s="44">
        <v>60.0</v>
      </c>
      <c r="H936" s="47" t="s">
        <v>970</v>
      </c>
      <c r="I936" s="47" t="s">
        <v>892</v>
      </c>
      <c r="J936" s="44">
        <v>10.975599557358</v>
      </c>
      <c r="K936" s="48">
        <v>106.65828261268</v>
      </c>
    </row>
    <row r="937" ht="22.5" customHeight="1">
      <c r="A937" s="44" t="s">
        <v>305</v>
      </c>
      <c r="B937" s="44" t="s">
        <v>3428</v>
      </c>
      <c r="C937" s="44" t="s">
        <v>3429</v>
      </c>
      <c r="D937" s="44" t="s">
        <v>1107</v>
      </c>
      <c r="E937" s="49" t="s">
        <v>892</v>
      </c>
      <c r="F937" s="44" t="s">
        <v>1108</v>
      </c>
      <c r="G937" s="44">
        <v>60.0</v>
      </c>
      <c r="H937" s="47" t="s">
        <v>970</v>
      </c>
      <c r="I937" s="47" t="s">
        <v>892</v>
      </c>
      <c r="J937" s="44">
        <v>10.981392</v>
      </c>
      <c r="K937" s="48">
        <v>106.656725</v>
      </c>
    </row>
    <row r="938" ht="22.5" customHeight="1">
      <c r="A938" s="44" t="s">
        <v>3430</v>
      </c>
      <c r="B938" s="44" t="s">
        <v>3431</v>
      </c>
      <c r="C938" s="44" t="s">
        <v>3432</v>
      </c>
      <c r="D938" s="44" t="s">
        <v>1756</v>
      </c>
      <c r="E938" s="49" t="s">
        <v>883</v>
      </c>
      <c r="F938" s="44" t="s">
        <v>1471</v>
      </c>
      <c r="G938" s="44">
        <v>60.0</v>
      </c>
      <c r="H938" s="47" t="s">
        <v>970</v>
      </c>
      <c r="I938" s="47" t="s">
        <v>892</v>
      </c>
      <c r="J938" s="44">
        <v>11.076395</v>
      </c>
      <c r="K938" s="48">
        <v>106.698752</v>
      </c>
    </row>
    <row r="939" ht="22.5" customHeight="1">
      <c r="A939" s="44" t="s">
        <v>799</v>
      </c>
      <c r="B939" s="44" t="s">
        <v>3433</v>
      </c>
      <c r="C939" s="44" t="s">
        <v>3434</v>
      </c>
      <c r="D939" s="44" t="s">
        <v>3435</v>
      </c>
      <c r="E939" s="49" t="s">
        <v>883</v>
      </c>
      <c r="F939" s="44" t="s">
        <v>1471</v>
      </c>
      <c r="G939" s="44">
        <v>100.0</v>
      </c>
      <c r="H939" s="47" t="s">
        <v>970</v>
      </c>
      <c r="I939" s="47" t="s">
        <v>892</v>
      </c>
      <c r="J939" s="44">
        <v>11.024290753287</v>
      </c>
      <c r="K939" s="48">
        <v>106.71785981549</v>
      </c>
    </row>
    <row r="940" ht="22.5" customHeight="1">
      <c r="A940" s="44" t="s">
        <v>3436</v>
      </c>
      <c r="B940" s="44" t="s">
        <v>3437</v>
      </c>
      <c r="C940" s="44" t="s">
        <v>3438</v>
      </c>
      <c r="D940" s="44" t="s">
        <v>1227</v>
      </c>
      <c r="E940" s="49" t="s">
        <v>890</v>
      </c>
      <c r="F940" s="44" t="s">
        <v>1228</v>
      </c>
      <c r="G940" s="44">
        <v>60.0</v>
      </c>
      <c r="H940" s="47" t="s">
        <v>970</v>
      </c>
      <c r="I940" s="47" t="s">
        <v>890</v>
      </c>
      <c r="J940" s="44">
        <v>10.906908</v>
      </c>
      <c r="K940" s="48">
        <v>106.793418</v>
      </c>
    </row>
    <row r="941" ht="22.5" customHeight="1">
      <c r="A941" s="44" t="s">
        <v>3439</v>
      </c>
      <c r="B941" s="44" t="s">
        <v>3440</v>
      </c>
      <c r="C941" s="44" t="s">
        <v>3441</v>
      </c>
      <c r="D941" s="44" t="s">
        <v>1227</v>
      </c>
      <c r="E941" s="49" t="s">
        <v>890</v>
      </c>
      <c r="F941" s="44" t="s">
        <v>1228</v>
      </c>
      <c r="G941" s="44">
        <v>60.0</v>
      </c>
      <c r="H941" s="47" t="s">
        <v>970</v>
      </c>
      <c r="I941" s="47" t="s">
        <v>890</v>
      </c>
      <c r="J941" s="44">
        <v>10.908223</v>
      </c>
      <c r="K941" s="48">
        <v>106.751257</v>
      </c>
    </row>
    <row r="942" ht="22.5" customHeight="1">
      <c r="A942" s="44" t="s">
        <v>740</v>
      </c>
      <c r="B942" s="44" t="s">
        <v>3442</v>
      </c>
      <c r="C942" s="44" t="s">
        <v>3443</v>
      </c>
      <c r="D942" s="44" t="s">
        <v>1227</v>
      </c>
      <c r="E942" s="49" t="s">
        <v>890</v>
      </c>
      <c r="F942" s="44" t="s">
        <v>1228</v>
      </c>
      <c r="G942" s="44">
        <v>60.0</v>
      </c>
      <c r="H942" s="47" t="s">
        <v>970</v>
      </c>
      <c r="I942" s="47" t="s">
        <v>890</v>
      </c>
      <c r="J942" s="44">
        <v>10.906314</v>
      </c>
      <c r="K942" s="48">
        <v>106.752649</v>
      </c>
    </row>
    <row r="943" ht="22.5" customHeight="1">
      <c r="A943" s="44" t="s">
        <v>3444</v>
      </c>
      <c r="B943" s="44" t="s">
        <v>3445</v>
      </c>
      <c r="C943" s="44" t="s">
        <v>3446</v>
      </c>
      <c r="D943" s="44" t="s">
        <v>1802</v>
      </c>
      <c r="E943" s="49" t="s">
        <v>910</v>
      </c>
      <c r="F943" s="44" t="s">
        <v>987</v>
      </c>
      <c r="G943" s="44">
        <v>45.0</v>
      </c>
      <c r="H943" s="47" t="s">
        <v>970</v>
      </c>
      <c r="I943" s="47" t="s">
        <v>888</v>
      </c>
      <c r="J943" s="44">
        <v>10.773853</v>
      </c>
      <c r="K943" s="48">
        <v>106.697305</v>
      </c>
    </row>
    <row r="944" ht="22.5" customHeight="1">
      <c r="A944" s="44" t="s">
        <v>237</v>
      </c>
      <c r="B944" s="44" t="s">
        <v>3447</v>
      </c>
      <c r="C944" s="44" t="s">
        <v>3448</v>
      </c>
      <c r="D944" s="44" t="s">
        <v>1036</v>
      </c>
      <c r="E944" s="49" t="s">
        <v>887</v>
      </c>
      <c r="F944" s="44" t="s">
        <v>1031</v>
      </c>
      <c r="G944" s="44">
        <v>74.0</v>
      </c>
      <c r="H944" s="47" t="s">
        <v>970</v>
      </c>
      <c r="I944" s="47" t="s">
        <v>898</v>
      </c>
      <c r="J944" s="44">
        <v>10.782762</v>
      </c>
      <c r="K944" s="48">
        <v>106.769197</v>
      </c>
    </row>
    <row r="945" ht="22.5" customHeight="1">
      <c r="A945" s="44" t="s">
        <v>3449</v>
      </c>
      <c r="B945" s="44" t="s">
        <v>3450</v>
      </c>
      <c r="C945" s="44" t="s">
        <v>3451</v>
      </c>
      <c r="D945" s="44" t="s">
        <v>1076</v>
      </c>
      <c r="E945" s="49" t="s">
        <v>813</v>
      </c>
      <c r="F945" s="44" t="s">
        <v>1015</v>
      </c>
      <c r="G945" s="44">
        <v>76.0</v>
      </c>
      <c r="H945" s="47" t="s">
        <v>970</v>
      </c>
      <c r="I945" s="47" t="s">
        <v>813</v>
      </c>
      <c r="J945" s="44">
        <v>10.753567</v>
      </c>
      <c r="K945" s="48">
        <v>106.675526</v>
      </c>
    </row>
    <row r="946" ht="22.5" customHeight="1">
      <c r="A946" s="44" t="s">
        <v>60</v>
      </c>
      <c r="B946" s="44" t="s">
        <v>3452</v>
      </c>
      <c r="C946" s="44" t="s">
        <v>3453</v>
      </c>
      <c r="D946" s="44" t="s">
        <v>1124</v>
      </c>
      <c r="E946" s="49" t="s">
        <v>891</v>
      </c>
      <c r="F946" s="44" t="s">
        <v>1125</v>
      </c>
      <c r="G946" s="44">
        <v>30.0</v>
      </c>
      <c r="H946" s="47" t="s">
        <v>970</v>
      </c>
      <c r="I946" s="47" t="s">
        <v>891</v>
      </c>
      <c r="J946" s="44">
        <v>10.967825</v>
      </c>
      <c r="K946" s="48">
        <v>106.852426</v>
      </c>
    </row>
    <row r="947" ht="22.5" customHeight="1">
      <c r="A947" s="44" t="s">
        <v>62</v>
      </c>
      <c r="B947" s="44" t="s">
        <v>3454</v>
      </c>
      <c r="C947" s="44" t="s">
        <v>3455</v>
      </c>
      <c r="D947" s="44" t="s">
        <v>1662</v>
      </c>
      <c r="E947" s="49" t="s">
        <v>891</v>
      </c>
      <c r="F947" s="44" t="s">
        <v>1125</v>
      </c>
      <c r="G947" s="44">
        <v>30.0</v>
      </c>
      <c r="H947" s="47" t="s">
        <v>970</v>
      </c>
      <c r="I947" s="47" t="s">
        <v>891</v>
      </c>
      <c r="J947" s="44">
        <v>10.954958</v>
      </c>
      <c r="K947" s="48">
        <v>106.873934</v>
      </c>
    </row>
    <row r="948" ht="22.5" customHeight="1">
      <c r="A948" s="44" t="s">
        <v>63</v>
      </c>
      <c r="B948" s="44" t="s">
        <v>3456</v>
      </c>
      <c r="C948" s="44" t="s">
        <v>3457</v>
      </c>
      <c r="D948" s="44" t="s">
        <v>1662</v>
      </c>
      <c r="E948" s="49" t="s">
        <v>891</v>
      </c>
      <c r="F948" s="44" t="s">
        <v>1125</v>
      </c>
      <c r="G948" s="44">
        <v>60.0</v>
      </c>
      <c r="H948" s="47" t="s">
        <v>970</v>
      </c>
      <c r="I948" s="47" t="s">
        <v>891</v>
      </c>
      <c r="J948" s="44">
        <v>10.95819</v>
      </c>
      <c r="K948" s="48">
        <v>106.847237</v>
      </c>
    </row>
    <row r="949" ht="22.5" customHeight="1">
      <c r="A949" s="44" t="s">
        <v>64</v>
      </c>
      <c r="B949" s="44" t="s">
        <v>3458</v>
      </c>
      <c r="C949" s="44" t="s">
        <v>3459</v>
      </c>
      <c r="D949" s="44" t="s">
        <v>1779</v>
      </c>
      <c r="E949" s="49" t="s">
        <v>891</v>
      </c>
      <c r="F949" s="44" t="s">
        <v>1125</v>
      </c>
      <c r="G949" s="44">
        <v>90.0</v>
      </c>
      <c r="H949" s="47" t="s">
        <v>970</v>
      </c>
      <c r="I949" s="47" t="s">
        <v>891</v>
      </c>
      <c r="J949" s="44">
        <v>10.94783</v>
      </c>
      <c r="K949" s="48">
        <v>106.828462</v>
      </c>
    </row>
    <row r="950" ht="22.5" customHeight="1">
      <c r="A950" s="44" t="s">
        <v>66</v>
      </c>
      <c r="B950" s="44" t="s">
        <v>3460</v>
      </c>
      <c r="C950" s="44" t="s">
        <v>3461</v>
      </c>
      <c r="D950" s="44" t="s">
        <v>1857</v>
      </c>
      <c r="E950" s="49" t="s">
        <v>891</v>
      </c>
      <c r="F950" s="44" t="s">
        <v>1125</v>
      </c>
      <c r="G950" s="44">
        <v>60.0</v>
      </c>
      <c r="H950" s="47" t="s">
        <v>970</v>
      </c>
      <c r="I950" s="47" t="s">
        <v>891</v>
      </c>
      <c r="J950" s="44">
        <v>10.937348</v>
      </c>
      <c r="K950" s="48">
        <v>106.804364</v>
      </c>
    </row>
    <row r="951" ht="22.5" customHeight="1">
      <c r="A951" s="44" t="s">
        <v>3462</v>
      </c>
      <c r="B951" s="44" t="s">
        <v>3463</v>
      </c>
      <c r="C951" s="44" t="s">
        <v>3464</v>
      </c>
      <c r="D951" s="44" t="s">
        <v>1272</v>
      </c>
      <c r="E951" s="49" t="s">
        <v>808</v>
      </c>
      <c r="F951" s="44" t="s">
        <v>998</v>
      </c>
      <c r="G951" s="44">
        <v>60.0</v>
      </c>
      <c r="H951" s="47" t="s">
        <v>970</v>
      </c>
      <c r="I951" s="47" t="s">
        <v>808</v>
      </c>
      <c r="J951" s="44">
        <v>10.752384</v>
      </c>
      <c r="K951" s="48">
        <v>106.632561</v>
      </c>
    </row>
    <row r="952" ht="22.5" customHeight="1">
      <c r="A952" s="44" t="s">
        <v>67</v>
      </c>
      <c r="B952" s="44" t="s">
        <v>3465</v>
      </c>
      <c r="C952" s="44" t="s">
        <v>3466</v>
      </c>
      <c r="D952" s="44" t="s">
        <v>1662</v>
      </c>
      <c r="E952" s="49" t="s">
        <v>891</v>
      </c>
      <c r="F952" s="44" t="s">
        <v>1125</v>
      </c>
      <c r="G952" s="44">
        <v>60.0</v>
      </c>
      <c r="H952" s="47" t="s">
        <v>970</v>
      </c>
      <c r="I952" s="47" t="s">
        <v>891</v>
      </c>
      <c r="J952" s="44">
        <v>10.957704</v>
      </c>
      <c r="K952" s="48">
        <v>106.859077</v>
      </c>
    </row>
    <row r="953" ht="22.5" customHeight="1">
      <c r="A953" s="44" t="s">
        <v>68</v>
      </c>
      <c r="B953" s="44" t="s">
        <v>3467</v>
      </c>
      <c r="C953" s="44" t="s">
        <v>3468</v>
      </c>
      <c r="D953" s="44" t="s">
        <v>1662</v>
      </c>
      <c r="E953" s="49" t="s">
        <v>891</v>
      </c>
      <c r="F953" s="44" t="s">
        <v>1125</v>
      </c>
      <c r="G953" s="44">
        <v>45.0</v>
      </c>
      <c r="H953" s="47" t="s">
        <v>970</v>
      </c>
      <c r="I953" s="47" t="s">
        <v>891</v>
      </c>
      <c r="J953" s="44">
        <v>10.963378</v>
      </c>
      <c r="K953" s="48">
        <v>106.843106</v>
      </c>
    </row>
    <row r="954" ht="22.5" customHeight="1">
      <c r="A954" s="44" t="s">
        <v>3469</v>
      </c>
      <c r="B954" s="44" t="s">
        <v>3470</v>
      </c>
      <c r="C954" s="44" t="s">
        <v>3471</v>
      </c>
      <c r="D954" s="44" t="s">
        <v>1506</v>
      </c>
      <c r="E954" s="49" t="s">
        <v>897</v>
      </c>
      <c r="F954" s="44" t="s">
        <v>1027</v>
      </c>
      <c r="G954" s="44">
        <v>90.0</v>
      </c>
      <c r="H954" s="47" t="s">
        <v>970</v>
      </c>
      <c r="I954" s="47" t="s">
        <v>897</v>
      </c>
      <c r="J954" s="44">
        <v>10.85775</v>
      </c>
      <c r="K954" s="48">
        <v>106.626702</v>
      </c>
    </row>
    <row r="955" ht="22.5" customHeight="1">
      <c r="A955" s="44" t="s">
        <v>3472</v>
      </c>
      <c r="B955" s="44" t="s">
        <v>3473</v>
      </c>
      <c r="C955" s="44" t="s">
        <v>3474</v>
      </c>
      <c r="D955" s="44" t="s">
        <v>1120</v>
      </c>
      <c r="E955" s="49" t="s">
        <v>895</v>
      </c>
      <c r="F955" s="44" t="s">
        <v>1121</v>
      </c>
      <c r="G955" s="44">
        <v>72.0</v>
      </c>
      <c r="H955" s="47" t="s">
        <v>970</v>
      </c>
      <c r="I955" s="47" t="s">
        <v>895</v>
      </c>
      <c r="J955" s="44">
        <v>10.868917</v>
      </c>
      <c r="K955" s="48">
        <v>106.807084</v>
      </c>
    </row>
    <row r="956" ht="22.5" customHeight="1">
      <c r="A956" s="44" t="s">
        <v>3475</v>
      </c>
      <c r="B956" s="44" t="s">
        <v>3476</v>
      </c>
      <c r="C956" s="44" t="s">
        <v>3477</v>
      </c>
      <c r="D956" s="44" t="s">
        <v>1628</v>
      </c>
      <c r="E956" s="49" t="s">
        <v>824</v>
      </c>
      <c r="F956" s="44" t="s">
        <v>2008</v>
      </c>
      <c r="G956" s="44">
        <v>60.0</v>
      </c>
      <c r="H956" s="47" t="s">
        <v>970</v>
      </c>
      <c r="I956" s="47" t="s">
        <v>824</v>
      </c>
      <c r="J956" s="44">
        <v>10.777265503377</v>
      </c>
      <c r="K956" s="48">
        <v>106.6495434914</v>
      </c>
    </row>
    <row r="957" ht="22.5" customHeight="1">
      <c r="A957" s="44" t="s">
        <v>3475</v>
      </c>
      <c r="B957" s="44" t="s">
        <v>3478</v>
      </c>
      <c r="C957" s="44" t="s">
        <v>3479</v>
      </c>
      <c r="D957" s="44" t="s">
        <v>1628</v>
      </c>
      <c r="E957" s="49" t="s">
        <v>824</v>
      </c>
      <c r="F957" s="44" t="s">
        <v>2008</v>
      </c>
      <c r="G957" s="44">
        <v>60.0</v>
      </c>
      <c r="H957" s="47" t="s">
        <v>970</v>
      </c>
      <c r="I957" s="47" t="s">
        <v>824</v>
      </c>
      <c r="J957" s="44">
        <v>10.777260233579</v>
      </c>
      <c r="K957" s="48">
        <v>106.64965614418</v>
      </c>
    </row>
    <row r="958" ht="22.5" customHeight="1">
      <c r="A958" s="44" t="s">
        <v>3480</v>
      </c>
      <c r="B958" s="44" t="s">
        <v>3481</v>
      </c>
      <c r="C958" s="44" t="s">
        <v>3482</v>
      </c>
      <c r="D958" s="44" t="s">
        <v>1135</v>
      </c>
      <c r="E958" s="49" t="s">
        <v>888</v>
      </c>
      <c r="F958" s="44" t="s">
        <v>1136</v>
      </c>
      <c r="G958" s="44">
        <v>60.0</v>
      </c>
      <c r="H958" s="47" t="s">
        <v>970</v>
      </c>
      <c r="I958" s="47" t="s">
        <v>888</v>
      </c>
      <c r="J958" s="44">
        <v>10.780535</v>
      </c>
      <c r="K958" s="48">
        <v>106.703141</v>
      </c>
    </row>
    <row r="959" ht="22.5" customHeight="1">
      <c r="A959" s="44" t="s">
        <v>3483</v>
      </c>
      <c r="B959" s="44" t="s">
        <v>3484</v>
      </c>
      <c r="C959" s="44" t="s">
        <v>3485</v>
      </c>
      <c r="D959" s="44" t="s">
        <v>1571</v>
      </c>
      <c r="E959" s="49" t="s">
        <v>797</v>
      </c>
      <c r="F959" s="44" t="s">
        <v>1409</v>
      </c>
      <c r="G959" s="44">
        <v>60.0</v>
      </c>
      <c r="H959" s="47" t="s">
        <v>970</v>
      </c>
      <c r="I959" s="47" t="s">
        <v>819</v>
      </c>
      <c r="J959" s="44">
        <v>10.8478296</v>
      </c>
      <c r="K959" s="48">
        <v>106.5903506</v>
      </c>
    </row>
    <row r="960" ht="22.5" customHeight="1">
      <c r="A960" s="44" t="s">
        <v>3486</v>
      </c>
      <c r="B960" s="44" t="s">
        <v>3487</v>
      </c>
      <c r="C960" s="44" t="s">
        <v>3488</v>
      </c>
      <c r="D960" s="44" t="s">
        <v>1167</v>
      </c>
      <c r="E960" s="49" t="s">
        <v>789</v>
      </c>
      <c r="F960" s="44" t="s">
        <v>1168</v>
      </c>
      <c r="G960" s="44">
        <v>69.0</v>
      </c>
      <c r="H960" s="47" t="s">
        <v>970</v>
      </c>
      <c r="I960" s="47" t="s">
        <v>789</v>
      </c>
      <c r="J960" s="44">
        <v>10.752653</v>
      </c>
      <c r="K960" s="48">
        <v>106.610002</v>
      </c>
    </row>
    <row r="961" ht="22.5" customHeight="1">
      <c r="A961" s="44" t="s">
        <v>3489</v>
      </c>
      <c r="B961" s="44" t="s">
        <v>3490</v>
      </c>
      <c r="C961" s="44" t="s">
        <v>2430</v>
      </c>
      <c r="D961" s="44" t="s">
        <v>1227</v>
      </c>
      <c r="E961" s="49" t="s">
        <v>890</v>
      </c>
      <c r="F961" s="44" t="s">
        <v>1228</v>
      </c>
      <c r="G961" s="44">
        <v>30.0</v>
      </c>
      <c r="H961" s="47" t="s">
        <v>970</v>
      </c>
      <c r="I961" s="47" t="s">
        <v>890</v>
      </c>
      <c r="J961" s="44">
        <v>10.911016</v>
      </c>
      <c r="K961" s="48">
        <v>106.781359</v>
      </c>
    </row>
    <row r="962" ht="22.5" customHeight="1">
      <c r="A962" s="44" t="s">
        <v>709</v>
      </c>
      <c r="B962" s="44" t="s">
        <v>3491</v>
      </c>
      <c r="C962" s="44" t="s">
        <v>3492</v>
      </c>
      <c r="D962" s="44" t="s">
        <v>1905</v>
      </c>
      <c r="E962" s="49" t="s">
        <v>890</v>
      </c>
      <c r="F962" s="44" t="s">
        <v>1228</v>
      </c>
      <c r="G962" s="44">
        <v>60.0</v>
      </c>
      <c r="H962" s="47" t="s">
        <v>970</v>
      </c>
      <c r="I962" s="47" t="s">
        <v>890</v>
      </c>
      <c r="J962" s="44">
        <v>10.899950277052</v>
      </c>
      <c r="K962" s="48">
        <v>106.79921053876</v>
      </c>
    </row>
    <row r="963" ht="22.5" customHeight="1">
      <c r="A963" s="44" t="s">
        <v>3493</v>
      </c>
      <c r="B963" s="44" t="s">
        <v>3494</v>
      </c>
      <c r="C963" s="44" t="s">
        <v>3495</v>
      </c>
      <c r="D963" s="44" t="s">
        <v>1571</v>
      </c>
      <c r="E963" s="49" t="s">
        <v>797</v>
      </c>
      <c r="F963" s="44" t="s">
        <v>1409</v>
      </c>
      <c r="G963" s="44">
        <v>60.0</v>
      </c>
      <c r="H963" s="47" t="s">
        <v>970</v>
      </c>
      <c r="I963" s="47" t="s">
        <v>819</v>
      </c>
      <c r="J963" s="44">
        <v>10.849062</v>
      </c>
      <c r="K963" s="48">
        <v>106.587619</v>
      </c>
    </row>
    <row r="964" ht="22.5" customHeight="1">
      <c r="A964" s="44" t="s">
        <v>3496</v>
      </c>
      <c r="B964" s="44" t="s">
        <v>3497</v>
      </c>
      <c r="C964" s="44" t="s">
        <v>3000</v>
      </c>
      <c r="D964" s="44" t="s">
        <v>1303</v>
      </c>
      <c r="E964" s="49" t="s">
        <v>789</v>
      </c>
      <c r="F964" s="44" t="s">
        <v>1168</v>
      </c>
      <c r="G964" s="44">
        <v>30.0</v>
      </c>
      <c r="H964" s="47" t="s">
        <v>970</v>
      </c>
      <c r="I964" s="47" t="s">
        <v>789</v>
      </c>
      <c r="J964" s="44">
        <v>10.690881</v>
      </c>
      <c r="K964" s="48">
        <v>106.585983</v>
      </c>
    </row>
    <row r="965" ht="22.5" customHeight="1">
      <c r="A965" s="44" t="s">
        <v>791</v>
      </c>
      <c r="B965" s="44" t="s">
        <v>3498</v>
      </c>
      <c r="C965" s="44" t="s">
        <v>3499</v>
      </c>
      <c r="D965" s="44" t="s">
        <v>1167</v>
      </c>
      <c r="E965" s="49" t="s">
        <v>789</v>
      </c>
      <c r="F965" s="44" t="s">
        <v>1168</v>
      </c>
      <c r="G965" s="44">
        <v>69.0</v>
      </c>
      <c r="H965" s="47" t="s">
        <v>970</v>
      </c>
      <c r="I965" s="47" t="s">
        <v>789</v>
      </c>
      <c r="J965" s="44">
        <v>10.734183</v>
      </c>
      <c r="K965" s="48">
        <v>106.608353</v>
      </c>
    </row>
    <row r="966" ht="22.5" customHeight="1">
      <c r="A966" s="44" t="s">
        <v>3500</v>
      </c>
      <c r="B966" s="44" t="s">
        <v>3501</v>
      </c>
      <c r="C966" s="44" t="s">
        <v>3502</v>
      </c>
      <c r="D966" s="44" t="s">
        <v>1076</v>
      </c>
      <c r="E966" s="49" t="s">
        <v>813</v>
      </c>
      <c r="F966" s="44" t="s">
        <v>1015</v>
      </c>
      <c r="G966" s="44">
        <v>60.0</v>
      </c>
      <c r="H966" s="47" t="s">
        <v>970</v>
      </c>
      <c r="I966" s="47" t="s">
        <v>813</v>
      </c>
      <c r="J966" s="44">
        <v>10.754261</v>
      </c>
      <c r="K966" s="48">
        <v>106.671585</v>
      </c>
    </row>
    <row r="967" ht="22.5" customHeight="1">
      <c r="A967" s="44" t="s">
        <v>73</v>
      </c>
      <c r="B967" s="44" t="s">
        <v>3503</v>
      </c>
      <c r="C967" s="44" t="s">
        <v>3504</v>
      </c>
      <c r="D967" s="44" t="s">
        <v>1662</v>
      </c>
      <c r="E967" s="49" t="s">
        <v>891</v>
      </c>
      <c r="F967" s="44" t="s">
        <v>1125</v>
      </c>
      <c r="G967" s="44">
        <v>60.0</v>
      </c>
      <c r="H967" s="47" t="s">
        <v>970</v>
      </c>
      <c r="I967" s="47" t="s">
        <v>891</v>
      </c>
      <c r="J967" s="44">
        <v>10.953656466808</v>
      </c>
      <c r="K967" s="48">
        <v>106.87057985911</v>
      </c>
    </row>
    <row r="968" ht="22.5" customHeight="1">
      <c r="A968" s="44" t="s">
        <v>554</v>
      </c>
      <c r="B968" s="44" t="s">
        <v>3505</v>
      </c>
      <c r="C968" s="44" t="s">
        <v>3506</v>
      </c>
      <c r="D968" s="44" t="s">
        <v>1546</v>
      </c>
      <c r="E968" s="49" t="s">
        <v>797</v>
      </c>
      <c r="F968" s="44" t="s">
        <v>1409</v>
      </c>
      <c r="G968" s="44">
        <v>30.0</v>
      </c>
      <c r="H968" s="47" t="s">
        <v>970</v>
      </c>
      <c r="I968" s="47" t="s">
        <v>797</v>
      </c>
      <c r="J968" s="44">
        <v>10.884361</v>
      </c>
      <c r="K968" s="48">
        <v>106.59495</v>
      </c>
    </row>
    <row r="969" ht="22.5" customHeight="1">
      <c r="A969" s="44" t="s">
        <v>75</v>
      </c>
      <c r="B969" s="44" t="s">
        <v>3507</v>
      </c>
      <c r="C969" s="44" t="s">
        <v>3508</v>
      </c>
      <c r="D969" s="44" t="s">
        <v>1779</v>
      </c>
      <c r="E969" s="49" t="s">
        <v>891</v>
      </c>
      <c r="F969" s="44" t="s">
        <v>1125</v>
      </c>
      <c r="G969" s="50">
        <v>60.0</v>
      </c>
      <c r="H969" s="47" t="s">
        <v>970</v>
      </c>
      <c r="I969" s="47" t="s">
        <v>891</v>
      </c>
      <c r="J969" s="44">
        <v>10.937289</v>
      </c>
      <c r="K969" s="48">
        <v>106.827503</v>
      </c>
    </row>
    <row r="970" ht="22.5" customHeight="1">
      <c r="A970" s="44" t="s">
        <v>3509</v>
      </c>
      <c r="B970" s="44" t="s">
        <v>3510</v>
      </c>
      <c r="C970" s="44" t="s">
        <v>3511</v>
      </c>
      <c r="D970" s="44" t="s">
        <v>1042</v>
      </c>
      <c r="E970" s="49" t="s">
        <v>889</v>
      </c>
      <c r="F970" s="44" t="s">
        <v>1043</v>
      </c>
      <c r="G970" s="50">
        <v>60.0</v>
      </c>
      <c r="H970" s="47" t="s">
        <v>970</v>
      </c>
      <c r="I970" s="47" t="s">
        <v>901</v>
      </c>
      <c r="J970" s="44">
        <v>10.803401</v>
      </c>
      <c r="K970" s="48">
        <v>106.707592</v>
      </c>
    </row>
    <row r="971" ht="22.5" customHeight="1">
      <c r="A971" s="44" t="s">
        <v>556</v>
      </c>
      <c r="B971" s="44" t="s">
        <v>3512</v>
      </c>
      <c r="C971" s="44" t="s">
        <v>3513</v>
      </c>
      <c r="D971" s="44" t="s">
        <v>1093</v>
      </c>
      <c r="E971" s="49" t="s">
        <v>809</v>
      </c>
      <c r="F971" s="44" t="s">
        <v>1022</v>
      </c>
      <c r="G971" s="50">
        <v>38.0</v>
      </c>
      <c r="H971" s="47" t="s">
        <v>970</v>
      </c>
      <c r="I971" s="47" t="s">
        <v>809</v>
      </c>
      <c r="J971" s="44">
        <v>10.827904</v>
      </c>
      <c r="K971" s="48">
        <v>106.679559</v>
      </c>
    </row>
    <row r="972" ht="22.5" customHeight="1">
      <c r="A972" s="44" t="s">
        <v>3514</v>
      </c>
      <c r="B972" s="44" t="s">
        <v>3515</v>
      </c>
      <c r="C972" s="44" t="s">
        <v>3516</v>
      </c>
      <c r="D972" s="44" t="s">
        <v>1811</v>
      </c>
      <c r="E972" s="49" t="s">
        <v>884</v>
      </c>
      <c r="F972" s="44" t="s">
        <v>1821</v>
      </c>
      <c r="G972" s="50">
        <v>60.0</v>
      </c>
      <c r="H972" s="47" t="s">
        <v>970</v>
      </c>
      <c r="I972" s="47" t="s">
        <v>889</v>
      </c>
      <c r="J972" s="44">
        <v>10.811961</v>
      </c>
      <c r="K972" s="48">
        <v>106.690337</v>
      </c>
    </row>
    <row r="973" ht="22.5" customHeight="1">
      <c r="A973" s="44" t="s">
        <v>3517</v>
      </c>
      <c r="B973" s="44" t="s">
        <v>3518</v>
      </c>
      <c r="C973" s="44" t="s">
        <v>3519</v>
      </c>
      <c r="D973" s="44" t="s">
        <v>1711</v>
      </c>
      <c r="E973" s="49" t="s">
        <v>897</v>
      </c>
      <c r="F973" s="44" t="s">
        <v>1027</v>
      </c>
      <c r="G973" s="44">
        <v>75.0</v>
      </c>
      <c r="H973" s="47" t="s">
        <v>970</v>
      </c>
      <c r="I973" s="47" t="s">
        <v>809</v>
      </c>
      <c r="J973" s="44">
        <v>10.853305</v>
      </c>
      <c r="K973" s="48">
        <v>106.704293</v>
      </c>
    </row>
    <row r="974" ht="22.5" customHeight="1">
      <c r="A974" s="44" t="s">
        <v>3520</v>
      </c>
      <c r="B974" s="44" t="s">
        <v>3521</v>
      </c>
      <c r="C974" s="44" t="s">
        <v>3522</v>
      </c>
      <c r="D974" s="44" t="s">
        <v>1711</v>
      </c>
      <c r="E974" s="49" t="s">
        <v>897</v>
      </c>
      <c r="F974" s="44" t="s">
        <v>1027</v>
      </c>
      <c r="G974" s="44">
        <v>75.0</v>
      </c>
      <c r="H974" s="47" t="s">
        <v>970</v>
      </c>
      <c r="I974" s="47" t="s">
        <v>809</v>
      </c>
      <c r="J974" s="44">
        <v>10.85204410553</v>
      </c>
      <c r="K974" s="48">
        <v>106.69277954102</v>
      </c>
    </row>
    <row r="975" ht="22.5" customHeight="1">
      <c r="A975" s="44" t="s">
        <v>3523</v>
      </c>
      <c r="B975" s="44" t="s">
        <v>3524</v>
      </c>
      <c r="C975" s="44" t="s">
        <v>3525</v>
      </c>
      <c r="D975" s="44" t="s">
        <v>1528</v>
      </c>
      <c r="E975" s="49" t="s">
        <v>910</v>
      </c>
      <c r="F975" s="44" t="s">
        <v>987</v>
      </c>
      <c r="G975" s="44">
        <v>69.0</v>
      </c>
      <c r="H975" s="47" t="s">
        <v>970</v>
      </c>
      <c r="I975" s="47" t="s">
        <v>826</v>
      </c>
      <c r="J975" s="44">
        <v>10.771098</v>
      </c>
      <c r="K975" s="48">
        <v>106.679942</v>
      </c>
    </row>
    <row r="976" ht="22.5" customHeight="1">
      <c r="A976" s="44" t="s">
        <v>3526</v>
      </c>
      <c r="B976" s="44" t="s">
        <v>3527</v>
      </c>
      <c r="C976" s="44" t="s">
        <v>3528</v>
      </c>
      <c r="D976" s="44" t="s">
        <v>1268</v>
      </c>
      <c r="E976" s="49" t="s">
        <v>888</v>
      </c>
      <c r="F976" s="44" t="s">
        <v>1136</v>
      </c>
      <c r="G976" s="44">
        <v>69.0</v>
      </c>
      <c r="H976" s="47" t="s">
        <v>970</v>
      </c>
      <c r="I976" s="47" t="s">
        <v>900</v>
      </c>
      <c r="J976" s="44">
        <v>10.790535911099</v>
      </c>
      <c r="K976" s="48">
        <v>106.68612235398</v>
      </c>
    </row>
    <row r="977" ht="22.5" customHeight="1">
      <c r="A977" s="44" t="s">
        <v>3529</v>
      </c>
      <c r="B977" s="44" t="s">
        <v>3530</v>
      </c>
      <c r="C977" s="44" t="s">
        <v>3531</v>
      </c>
      <c r="D977" s="44" t="s">
        <v>977</v>
      </c>
      <c r="E977" s="49" t="s">
        <v>888</v>
      </c>
      <c r="F977" s="44" t="s">
        <v>1136</v>
      </c>
      <c r="G977" s="44">
        <v>69.0</v>
      </c>
      <c r="H977" s="47" t="s">
        <v>970</v>
      </c>
      <c r="I977" s="47" t="s">
        <v>902</v>
      </c>
      <c r="J977" s="44">
        <v>10.789327</v>
      </c>
      <c r="K977" s="48">
        <v>106.67664</v>
      </c>
    </row>
    <row r="978" ht="22.5" customHeight="1">
      <c r="A978" s="44" t="s">
        <v>3532</v>
      </c>
      <c r="B978" s="44" t="s">
        <v>3533</v>
      </c>
      <c r="C978" s="44" t="s">
        <v>3534</v>
      </c>
      <c r="D978" s="44" t="s">
        <v>1093</v>
      </c>
      <c r="E978" s="49" t="s">
        <v>897</v>
      </c>
      <c r="F978" s="44" t="s">
        <v>1027</v>
      </c>
      <c r="G978" s="44">
        <v>68.0</v>
      </c>
      <c r="H978" s="47" t="s">
        <v>970</v>
      </c>
      <c r="I978" s="47" t="s">
        <v>886</v>
      </c>
      <c r="J978" s="44">
        <v>10.818549</v>
      </c>
      <c r="K978" s="48">
        <v>106.678767</v>
      </c>
    </row>
    <row r="979" ht="22.5" customHeight="1">
      <c r="A979" s="44" t="s">
        <v>3535</v>
      </c>
      <c r="B979" s="44" t="s">
        <v>3536</v>
      </c>
      <c r="C979" s="44" t="s">
        <v>3537</v>
      </c>
      <c r="D979" s="44" t="s">
        <v>2374</v>
      </c>
      <c r="E979" s="49" t="s">
        <v>897</v>
      </c>
      <c r="F979" s="44" t="s">
        <v>1027</v>
      </c>
      <c r="G979" s="44">
        <v>68.0</v>
      </c>
      <c r="H979" s="47" t="s">
        <v>970</v>
      </c>
      <c r="I979" s="47" t="s">
        <v>897</v>
      </c>
      <c r="J979" s="44">
        <v>10.854983</v>
      </c>
      <c r="K979" s="48">
        <v>106.665513</v>
      </c>
    </row>
    <row r="980" ht="22.5" customHeight="1">
      <c r="A980" s="44" t="s">
        <v>3538</v>
      </c>
      <c r="B980" s="44" t="s">
        <v>3539</v>
      </c>
      <c r="C980" s="44" t="s">
        <v>3540</v>
      </c>
      <c r="D980" s="44" t="s">
        <v>982</v>
      </c>
      <c r="E980" s="49" t="s">
        <v>510</v>
      </c>
      <c r="F980" s="44" t="s">
        <v>983</v>
      </c>
      <c r="G980" s="44">
        <v>66.0</v>
      </c>
      <c r="H980" s="47" t="s">
        <v>970</v>
      </c>
      <c r="I980" s="47" t="s">
        <v>809</v>
      </c>
      <c r="J980" s="44">
        <v>10.845445</v>
      </c>
      <c r="K980" s="48">
        <v>106.710765</v>
      </c>
    </row>
    <row r="981" ht="22.5" customHeight="1">
      <c r="A981" s="44" t="s">
        <v>152</v>
      </c>
      <c r="B981" s="44" t="s">
        <v>3541</v>
      </c>
      <c r="C981" s="44" t="s">
        <v>3542</v>
      </c>
      <c r="D981" s="44" t="s">
        <v>1154</v>
      </c>
      <c r="E981" s="49" t="s">
        <v>893</v>
      </c>
      <c r="F981" s="44" t="s">
        <v>1088</v>
      </c>
      <c r="G981" s="44">
        <v>60.0</v>
      </c>
      <c r="H981" s="47" t="s">
        <v>970</v>
      </c>
      <c r="I981" s="47" t="s">
        <v>893</v>
      </c>
      <c r="J981" s="44">
        <v>10.798705101013</v>
      </c>
      <c r="K981" s="48">
        <v>106.61745452881</v>
      </c>
    </row>
    <row r="982" ht="22.5" customHeight="1">
      <c r="A982" s="44" t="s">
        <v>153</v>
      </c>
      <c r="B982" s="44" t="s">
        <v>3543</v>
      </c>
      <c r="C982" s="44" t="s">
        <v>2329</v>
      </c>
      <c r="D982" s="44" t="s">
        <v>1007</v>
      </c>
      <c r="E982" s="49" t="s">
        <v>510</v>
      </c>
      <c r="F982" s="44" t="s">
        <v>983</v>
      </c>
      <c r="G982" s="44">
        <v>66.0</v>
      </c>
      <c r="H982" s="47" t="s">
        <v>970</v>
      </c>
      <c r="I982" s="47" t="s">
        <v>510</v>
      </c>
      <c r="J982" s="44">
        <v>10.863527</v>
      </c>
      <c r="K982" s="48">
        <v>106.746764</v>
      </c>
    </row>
    <row r="983" ht="22.5" customHeight="1">
      <c r="A983" s="44" t="s">
        <v>3544</v>
      </c>
      <c r="B983" s="44" t="s">
        <v>3545</v>
      </c>
      <c r="C983" s="44" t="s">
        <v>3546</v>
      </c>
      <c r="D983" s="44" t="s">
        <v>1802</v>
      </c>
      <c r="E983" s="49"/>
      <c r="F983" s="44" t="s">
        <v>1098</v>
      </c>
      <c r="G983" s="44"/>
      <c r="H983" s="47" t="s">
        <v>970</v>
      </c>
      <c r="I983" s="47" t="s">
        <v>888</v>
      </c>
      <c r="J983" s="44">
        <v>10.772169</v>
      </c>
      <c r="K983" s="48">
        <v>106.699392</v>
      </c>
    </row>
    <row r="984" ht="22.5" customHeight="1">
      <c r="A984" s="44" t="s">
        <v>154</v>
      </c>
      <c r="B984" s="44" t="s">
        <v>3547</v>
      </c>
      <c r="C984" s="44" t="s">
        <v>3548</v>
      </c>
      <c r="D984" s="44" t="s">
        <v>1189</v>
      </c>
      <c r="E984" s="49" t="s">
        <v>893</v>
      </c>
      <c r="F984" s="44" t="s">
        <v>1088</v>
      </c>
      <c r="G984" s="44">
        <v>60.0</v>
      </c>
      <c r="H984" s="47" t="s">
        <v>970</v>
      </c>
      <c r="I984" s="47" t="s">
        <v>893</v>
      </c>
      <c r="J984" s="44">
        <v>10.801699</v>
      </c>
      <c r="K984" s="48">
        <v>106.617526</v>
      </c>
    </row>
    <row r="985" ht="22.5" customHeight="1">
      <c r="A985" s="44" t="s">
        <v>3549</v>
      </c>
      <c r="B985" s="44" t="s">
        <v>3550</v>
      </c>
      <c r="C985" s="44" t="s">
        <v>3551</v>
      </c>
      <c r="D985" s="44" t="s">
        <v>1802</v>
      </c>
      <c r="E985" s="49" t="s">
        <v>888</v>
      </c>
      <c r="F985" s="44" t="s">
        <v>1136</v>
      </c>
      <c r="G985" s="44">
        <v>60.0</v>
      </c>
      <c r="H985" s="47" t="s">
        <v>970</v>
      </c>
      <c r="I985" s="47" t="s">
        <v>888</v>
      </c>
      <c r="J985" s="44">
        <v>10.772169</v>
      </c>
      <c r="K985" s="48">
        <v>106.699392</v>
      </c>
    </row>
    <row r="986" ht="22.5" customHeight="1">
      <c r="A986" s="44" t="s">
        <v>77</v>
      </c>
      <c r="B986" s="44" t="s">
        <v>3552</v>
      </c>
      <c r="C986" s="44" t="s">
        <v>3553</v>
      </c>
      <c r="D986" s="44" t="s">
        <v>1662</v>
      </c>
      <c r="E986" s="49" t="s">
        <v>891</v>
      </c>
      <c r="F986" s="44" t="s">
        <v>1125</v>
      </c>
      <c r="G986" s="44">
        <v>30.0</v>
      </c>
      <c r="H986" s="47" t="s">
        <v>970</v>
      </c>
      <c r="I986" s="47" t="s">
        <v>891</v>
      </c>
      <c r="J986" s="44">
        <v>10.957595</v>
      </c>
      <c r="K986" s="48">
        <v>106.858522</v>
      </c>
    </row>
    <row r="987" ht="22.5" customHeight="1">
      <c r="A987" s="44" t="s">
        <v>3554</v>
      </c>
      <c r="B987" s="44" t="s">
        <v>3555</v>
      </c>
      <c r="C987" s="44" t="s">
        <v>2430</v>
      </c>
      <c r="D987" s="44" t="s">
        <v>1227</v>
      </c>
      <c r="E987" s="49" t="s">
        <v>890</v>
      </c>
      <c r="F987" s="44" t="s">
        <v>1228</v>
      </c>
      <c r="G987" s="44">
        <v>60.0</v>
      </c>
      <c r="H987" s="47" t="s">
        <v>970</v>
      </c>
      <c r="I987" s="47" t="s">
        <v>890</v>
      </c>
      <c r="J987" s="44">
        <v>10.911016</v>
      </c>
      <c r="K987" s="48">
        <v>106.781359</v>
      </c>
    </row>
    <row r="988" ht="22.5" customHeight="1">
      <c r="A988" s="44" t="s">
        <v>78</v>
      </c>
      <c r="B988" s="44" t="s">
        <v>3556</v>
      </c>
      <c r="C988" s="44" t="s">
        <v>3557</v>
      </c>
      <c r="D988" s="44" t="s">
        <v>1779</v>
      </c>
      <c r="E988" s="49" t="s">
        <v>891</v>
      </c>
      <c r="F988" s="44" t="s">
        <v>1125</v>
      </c>
      <c r="G988" s="44">
        <v>45.0</v>
      </c>
      <c r="H988" s="47" t="s">
        <v>970</v>
      </c>
      <c r="I988" s="47" t="s">
        <v>891</v>
      </c>
      <c r="J988" s="44">
        <v>10.933298</v>
      </c>
      <c r="K988" s="48">
        <v>106.854179</v>
      </c>
    </row>
    <row r="989" ht="22.5" customHeight="1">
      <c r="A989" s="44" t="s">
        <v>3558</v>
      </c>
      <c r="B989" s="44" t="s">
        <v>3559</v>
      </c>
      <c r="C989" s="44" t="s">
        <v>3280</v>
      </c>
      <c r="D989" s="44" t="s">
        <v>1433</v>
      </c>
      <c r="E989" s="49" t="s">
        <v>910</v>
      </c>
      <c r="F989" s="44" t="s">
        <v>987</v>
      </c>
      <c r="G989" s="44">
        <v>60.0</v>
      </c>
      <c r="H989" s="47" t="s">
        <v>970</v>
      </c>
      <c r="I989" s="47" t="s">
        <v>910</v>
      </c>
      <c r="J989" s="44">
        <v>10.76856</v>
      </c>
      <c r="K989" s="48">
        <v>106.670159</v>
      </c>
    </row>
    <row r="990" ht="22.5" customHeight="1">
      <c r="A990" s="44" t="s">
        <v>3560</v>
      </c>
      <c r="B990" s="44" t="s">
        <v>3561</v>
      </c>
      <c r="C990" s="44" t="s">
        <v>3562</v>
      </c>
      <c r="D990" s="44" t="s">
        <v>1026</v>
      </c>
      <c r="E990" s="49" t="s">
        <v>897</v>
      </c>
      <c r="F990" s="44" t="s">
        <v>1027</v>
      </c>
      <c r="G990" s="44">
        <v>68.0</v>
      </c>
      <c r="H990" s="47" t="s">
        <v>970</v>
      </c>
      <c r="I990" s="47" t="s">
        <v>897</v>
      </c>
      <c r="J990" s="44">
        <v>10.842963</v>
      </c>
      <c r="K990" s="48">
        <v>106.655702</v>
      </c>
    </row>
    <row r="991" ht="22.5" customHeight="1">
      <c r="A991" s="44" t="s">
        <v>3563</v>
      </c>
      <c r="B991" s="44" t="s">
        <v>3564</v>
      </c>
      <c r="C991" s="44" t="s">
        <v>3280</v>
      </c>
      <c r="D991" s="44" t="s">
        <v>1433</v>
      </c>
      <c r="E991" s="49" t="s">
        <v>910</v>
      </c>
      <c r="F991" s="44" t="s">
        <v>987</v>
      </c>
      <c r="G991" s="44">
        <v>60.0</v>
      </c>
      <c r="H991" s="47" t="s">
        <v>970</v>
      </c>
      <c r="I991" s="47" t="s">
        <v>910</v>
      </c>
      <c r="J991" s="44">
        <v>10.76856</v>
      </c>
      <c r="K991" s="48">
        <v>106.670159</v>
      </c>
    </row>
    <row r="992" ht="22.5" customHeight="1">
      <c r="A992" s="44" t="s">
        <v>3565</v>
      </c>
      <c r="B992" s="44" t="s">
        <v>3566</v>
      </c>
      <c r="C992" s="44" t="s">
        <v>3280</v>
      </c>
      <c r="D992" s="44" t="s">
        <v>1433</v>
      </c>
      <c r="E992" s="49" t="s">
        <v>910</v>
      </c>
      <c r="F992" s="44" t="s">
        <v>987</v>
      </c>
      <c r="G992" s="44">
        <v>60.0</v>
      </c>
      <c r="H992" s="47" t="s">
        <v>970</v>
      </c>
      <c r="I992" s="47" t="s">
        <v>910</v>
      </c>
      <c r="J992" s="44">
        <v>10.76856</v>
      </c>
      <c r="K992" s="48">
        <v>106.670159</v>
      </c>
    </row>
    <row r="993" ht="22.5" customHeight="1">
      <c r="A993" s="44" t="s">
        <v>548</v>
      </c>
      <c r="B993" s="44" t="s">
        <v>3567</v>
      </c>
      <c r="C993" s="44" t="s">
        <v>3568</v>
      </c>
      <c r="D993" s="44" t="s">
        <v>1167</v>
      </c>
      <c r="E993" s="49" t="s">
        <v>789</v>
      </c>
      <c r="F993" s="44" t="s">
        <v>1168</v>
      </c>
      <c r="G993" s="44">
        <v>39.0</v>
      </c>
      <c r="H993" s="47" t="s">
        <v>970</v>
      </c>
      <c r="I993" s="47" t="s">
        <v>789</v>
      </c>
      <c r="J993" s="44">
        <v>10.755912</v>
      </c>
      <c r="K993" s="48">
        <v>106.610951</v>
      </c>
    </row>
    <row r="994" ht="22.5" customHeight="1">
      <c r="A994" s="44" t="s">
        <v>306</v>
      </c>
      <c r="B994" s="44" t="s">
        <v>3569</v>
      </c>
      <c r="C994" s="44" t="s">
        <v>1598</v>
      </c>
      <c r="D994" s="44" t="s">
        <v>1180</v>
      </c>
      <c r="E994" s="49" t="s">
        <v>892</v>
      </c>
      <c r="F994" s="44" t="s">
        <v>1108</v>
      </c>
      <c r="G994" s="44">
        <v>45.0</v>
      </c>
      <c r="H994" s="47" t="s">
        <v>970</v>
      </c>
      <c r="I994" s="47" t="s">
        <v>892</v>
      </c>
      <c r="J994" s="44">
        <v>10.996742</v>
      </c>
      <c r="K994" s="48">
        <v>106.65639</v>
      </c>
    </row>
    <row r="995" ht="22.5" customHeight="1">
      <c r="A995" s="44" t="s">
        <v>155</v>
      </c>
      <c r="B995" s="44" t="s">
        <v>3570</v>
      </c>
      <c r="C995" s="44" t="s">
        <v>3571</v>
      </c>
      <c r="D995" s="44" t="s">
        <v>1087</v>
      </c>
      <c r="E995" s="49" t="s">
        <v>893</v>
      </c>
      <c r="F995" s="44" t="s">
        <v>1088</v>
      </c>
      <c r="G995" s="44">
        <v>45.0</v>
      </c>
      <c r="H995" s="47" t="s">
        <v>970</v>
      </c>
      <c r="I995" s="47" t="s">
        <v>893</v>
      </c>
      <c r="J995" s="44">
        <v>10.791811</v>
      </c>
      <c r="K995" s="48">
        <v>106.628711</v>
      </c>
    </row>
    <row r="996" ht="22.5" customHeight="1">
      <c r="A996" s="44" t="s">
        <v>240</v>
      </c>
      <c r="B996" s="44" t="s">
        <v>3572</v>
      </c>
      <c r="C996" s="44" t="s">
        <v>3573</v>
      </c>
      <c r="D996" s="44" t="s">
        <v>1036</v>
      </c>
      <c r="E996" s="49" t="s">
        <v>898</v>
      </c>
      <c r="F996" s="44" t="s">
        <v>1037</v>
      </c>
      <c r="G996" s="44">
        <v>74.0</v>
      </c>
      <c r="H996" s="47" t="s">
        <v>970</v>
      </c>
      <c r="I996" s="47" t="s">
        <v>898</v>
      </c>
      <c r="J996" s="44">
        <v>10.788658198318</v>
      </c>
      <c r="K996" s="48">
        <v>106.7702761553</v>
      </c>
    </row>
    <row r="997" ht="22.5" customHeight="1">
      <c r="A997" s="44" t="s">
        <v>3574</v>
      </c>
      <c r="B997" s="44" t="s">
        <v>3575</v>
      </c>
      <c r="C997" s="44" t="s">
        <v>3576</v>
      </c>
      <c r="D997" s="44" t="s">
        <v>1939</v>
      </c>
      <c r="E997" s="49" t="s">
        <v>510</v>
      </c>
      <c r="F997" s="44" t="s">
        <v>983</v>
      </c>
      <c r="G997" s="44">
        <v>86.0</v>
      </c>
      <c r="H997" s="47" t="s">
        <v>970</v>
      </c>
      <c r="I997" s="47" t="s">
        <v>890</v>
      </c>
      <c r="J997" s="44">
        <v>10.878853511095</v>
      </c>
      <c r="K997" s="48">
        <v>106.76666162834</v>
      </c>
    </row>
    <row r="998" ht="22.5" customHeight="1">
      <c r="A998" s="44" t="s">
        <v>3577</v>
      </c>
      <c r="B998" s="44" t="s">
        <v>3578</v>
      </c>
      <c r="C998" s="44" t="s">
        <v>3579</v>
      </c>
      <c r="D998" s="44" t="s">
        <v>973</v>
      </c>
      <c r="E998" s="49" t="s">
        <v>894</v>
      </c>
      <c r="F998" s="44" t="s">
        <v>974</v>
      </c>
      <c r="G998" s="44">
        <v>53.0</v>
      </c>
      <c r="H998" s="47" t="s">
        <v>970</v>
      </c>
      <c r="I998" s="47" t="s">
        <v>894</v>
      </c>
      <c r="J998" s="44">
        <v>10.733472</v>
      </c>
      <c r="K998" s="48">
        <v>106.710183</v>
      </c>
    </row>
    <row r="999" ht="22.5" customHeight="1">
      <c r="A999" s="44" t="s">
        <v>3580</v>
      </c>
      <c r="B999" s="44" t="s">
        <v>3581</v>
      </c>
      <c r="C999" s="44" t="s">
        <v>3582</v>
      </c>
      <c r="D999" s="44" t="s">
        <v>1129</v>
      </c>
      <c r="E999" s="49" t="s">
        <v>910</v>
      </c>
      <c r="F999" s="44" t="s">
        <v>987</v>
      </c>
      <c r="G999" s="44">
        <v>60.0</v>
      </c>
      <c r="H999" s="47" t="s">
        <v>970</v>
      </c>
      <c r="I999" s="47" t="s">
        <v>910</v>
      </c>
      <c r="J999" s="44">
        <v>10.780071</v>
      </c>
      <c r="K999" s="48">
        <v>106.663677</v>
      </c>
    </row>
    <row r="1000" ht="22.5" customHeight="1">
      <c r="A1000" s="44" t="s">
        <v>3583</v>
      </c>
      <c r="B1000" s="44" t="s">
        <v>3584</v>
      </c>
      <c r="C1000" s="44" t="s">
        <v>3585</v>
      </c>
      <c r="D1000" s="44" t="s">
        <v>1007</v>
      </c>
      <c r="E1000" s="49" t="s">
        <v>510</v>
      </c>
      <c r="F1000" s="44" t="s">
        <v>983</v>
      </c>
      <c r="G1000" s="44">
        <v>66.0</v>
      </c>
      <c r="H1000" s="47" t="s">
        <v>970</v>
      </c>
      <c r="I1000" s="47" t="s">
        <v>510</v>
      </c>
      <c r="J1000" s="44">
        <v>10.864211</v>
      </c>
      <c r="K1000" s="48">
        <v>106.745498</v>
      </c>
    </row>
    <row r="1001" ht="22.5" customHeight="1">
      <c r="A1001" s="44" t="s">
        <v>3586</v>
      </c>
      <c r="B1001" s="44" t="s">
        <v>3587</v>
      </c>
      <c r="C1001" s="44" t="s">
        <v>1233</v>
      </c>
      <c r="D1001" s="44" t="s">
        <v>969</v>
      </c>
      <c r="E1001" s="49" t="s">
        <v>893</v>
      </c>
      <c r="F1001" s="44" t="s">
        <v>1088</v>
      </c>
      <c r="G1001" s="44">
        <v>60.0</v>
      </c>
      <c r="H1001" s="47" t="s">
        <v>970</v>
      </c>
      <c r="I1001" s="47" t="s">
        <v>893</v>
      </c>
      <c r="J1001" s="44">
        <v>10.802601</v>
      </c>
      <c r="K1001" s="48">
        <v>106.638419</v>
      </c>
    </row>
    <row r="1002" ht="22.5" customHeight="1">
      <c r="A1002" s="44" t="s">
        <v>3588</v>
      </c>
      <c r="B1002" s="44" t="s">
        <v>3589</v>
      </c>
      <c r="C1002" s="44" t="s">
        <v>3590</v>
      </c>
      <c r="D1002" s="44" t="s">
        <v>1747</v>
      </c>
      <c r="E1002" s="49" t="s">
        <v>883</v>
      </c>
      <c r="F1002" s="44" t="s">
        <v>1471</v>
      </c>
      <c r="G1002" s="44">
        <v>85.0</v>
      </c>
      <c r="H1002" s="47" t="s">
        <v>970</v>
      </c>
      <c r="I1002" s="47" t="s">
        <v>883</v>
      </c>
      <c r="J1002" s="44">
        <v>10.950157404016</v>
      </c>
      <c r="K1002" s="48">
        <v>106.70885632507</v>
      </c>
    </row>
    <row r="1003" ht="22.5" customHeight="1">
      <c r="A1003" s="44" t="s">
        <v>3591</v>
      </c>
      <c r="B1003" s="44" t="s">
        <v>3592</v>
      </c>
      <c r="C1003" s="44" t="s">
        <v>1469</v>
      </c>
      <c r="D1003" s="44" t="s">
        <v>1470</v>
      </c>
      <c r="E1003" s="49" t="s">
        <v>883</v>
      </c>
      <c r="F1003" s="44" t="s">
        <v>1471</v>
      </c>
      <c r="G1003" s="44">
        <v>85.0</v>
      </c>
      <c r="H1003" s="47" t="s">
        <v>970</v>
      </c>
      <c r="I1003" s="47" t="s">
        <v>510</v>
      </c>
      <c r="J1003" s="44">
        <v>10.868259</v>
      </c>
      <c r="K1003" s="48">
        <v>106.714463</v>
      </c>
    </row>
    <row r="1004" ht="22.5" customHeight="1">
      <c r="A1004" s="44" t="s">
        <v>3593</v>
      </c>
      <c r="B1004" s="44" t="s">
        <v>3594</v>
      </c>
      <c r="C1004" s="44" t="s">
        <v>3595</v>
      </c>
      <c r="D1004" s="44" t="s">
        <v>1648</v>
      </c>
      <c r="E1004" s="49" t="s">
        <v>883</v>
      </c>
      <c r="F1004" s="44" t="s">
        <v>1471</v>
      </c>
      <c r="G1004" s="50">
        <v>85.0</v>
      </c>
      <c r="H1004" s="47" t="s">
        <v>970</v>
      </c>
      <c r="I1004" s="47" t="s">
        <v>890</v>
      </c>
      <c r="J1004" s="44">
        <v>10.939291</v>
      </c>
      <c r="K1004" s="48">
        <v>106.748512</v>
      </c>
    </row>
    <row r="1005" ht="22.5" customHeight="1">
      <c r="A1005" s="44" t="s">
        <v>725</v>
      </c>
      <c r="B1005" s="44" t="s">
        <v>3596</v>
      </c>
      <c r="C1005" s="44" t="s">
        <v>3597</v>
      </c>
      <c r="D1005" s="44" t="s">
        <v>1939</v>
      </c>
      <c r="E1005" s="49" t="s">
        <v>510</v>
      </c>
      <c r="F1005" s="44" t="s">
        <v>983</v>
      </c>
      <c r="G1005" s="44">
        <v>66.0</v>
      </c>
      <c r="H1005" s="47" t="s">
        <v>970</v>
      </c>
      <c r="I1005" s="47" t="s">
        <v>890</v>
      </c>
      <c r="J1005" s="44">
        <v>10.887884</v>
      </c>
      <c r="K1005" s="48">
        <v>106.773716</v>
      </c>
    </row>
    <row r="1006" ht="22.5" customHeight="1">
      <c r="A1006" s="44" t="s">
        <v>605</v>
      </c>
      <c r="B1006" s="44" t="s">
        <v>3598</v>
      </c>
      <c r="C1006" s="44" t="s">
        <v>3599</v>
      </c>
      <c r="D1006" s="44" t="s">
        <v>1116</v>
      </c>
      <c r="E1006" s="49" t="s">
        <v>885</v>
      </c>
      <c r="F1006" s="44" t="s">
        <v>1117</v>
      </c>
      <c r="G1006" s="44">
        <v>60.0</v>
      </c>
      <c r="H1006" s="47" t="s">
        <v>970</v>
      </c>
      <c r="I1006" s="47" t="s">
        <v>811</v>
      </c>
      <c r="J1006" s="44">
        <v>10.741309</v>
      </c>
      <c r="K1006" s="48">
        <v>106.686314</v>
      </c>
    </row>
    <row r="1007" ht="22.5" customHeight="1">
      <c r="A1007" s="44" t="s">
        <v>3600</v>
      </c>
      <c r="B1007" s="44" t="s">
        <v>3601</v>
      </c>
      <c r="C1007" s="44" t="s">
        <v>3602</v>
      </c>
      <c r="D1007" s="44" t="s">
        <v>1167</v>
      </c>
      <c r="E1007" s="49" t="s">
        <v>789</v>
      </c>
      <c r="F1007" s="44" t="s">
        <v>1168</v>
      </c>
      <c r="G1007" s="44">
        <v>69.0</v>
      </c>
      <c r="H1007" s="47" t="s">
        <v>970</v>
      </c>
      <c r="I1007" s="47" t="s">
        <v>789</v>
      </c>
      <c r="J1007" s="44">
        <v>10.750571</v>
      </c>
      <c r="K1007" s="48">
        <v>106.622737</v>
      </c>
    </row>
    <row r="1008" ht="22.5" customHeight="1">
      <c r="A1008" s="44" t="s">
        <v>3603</v>
      </c>
      <c r="B1008" s="44" t="s">
        <v>3604</v>
      </c>
      <c r="C1008" s="44" t="s">
        <v>3605</v>
      </c>
      <c r="D1008" s="44" t="s">
        <v>1021</v>
      </c>
      <c r="E1008" s="49" t="s">
        <v>897</v>
      </c>
      <c r="F1008" s="44" t="s">
        <v>1027</v>
      </c>
      <c r="G1008" s="50">
        <v>68.0</v>
      </c>
      <c r="H1008" s="47" t="s">
        <v>970</v>
      </c>
      <c r="I1008" s="47" t="s">
        <v>809</v>
      </c>
      <c r="J1008" s="44">
        <v>10.828367</v>
      </c>
      <c r="K1008" s="48">
        <v>106.674051</v>
      </c>
    </row>
    <row r="1009" ht="22.5" customHeight="1">
      <c r="A1009" s="44" t="s">
        <v>3606</v>
      </c>
      <c r="B1009" s="44" t="s">
        <v>3607</v>
      </c>
      <c r="C1009" s="44" t="s">
        <v>3608</v>
      </c>
      <c r="D1009" s="44" t="s">
        <v>1532</v>
      </c>
      <c r="E1009" s="49" t="s">
        <v>893</v>
      </c>
      <c r="F1009" s="44" t="s">
        <v>1088</v>
      </c>
      <c r="G1009" s="44">
        <v>60.0</v>
      </c>
      <c r="H1009" s="47" t="s">
        <v>970</v>
      </c>
      <c r="I1009" s="47" t="s">
        <v>814</v>
      </c>
      <c r="J1009" s="44">
        <v>10.802485</v>
      </c>
      <c r="K1009" s="48">
        <v>106.666044</v>
      </c>
    </row>
    <row r="1010" ht="22.5" customHeight="1">
      <c r="A1010" s="44" t="s">
        <v>3609</v>
      </c>
      <c r="B1010" s="44" t="s">
        <v>3610</v>
      </c>
      <c r="C1010" s="44" t="s">
        <v>3611</v>
      </c>
      <c r="D1010" s="44" t="s">
        <v>1700</v>
      </c>
      <c r="E1010" s="49" t="s">
        <v>822</v>
      </c>
      <c r="F1010" s="44" t="s">
        <v>1284</v>
      </c>
      <c r="G1010" s="44">
        <v>60.0</v>
      </c>
      <c r="H1010" s="47" t="s">
        <v>970</v>
      </c>
      <c r="I1010" s="47" t="s">
        <v>518</v>
      </c>
      <c r="J1010" s="44">
        <v>10.760571</v>
      </c>
      <c r="K1010" s="48">
        <v>106.648121</v>
      </c>
    </row>
    <row r="1011" ht="22.5" customHeight="1">
      <c r="A1011" s="44" t="s">
        <v>3612</v>
      </c>
      <c r="B1011" s="44" t="s">
        <v>3613</v>
      </c>
      <c r="C1011" s="44" t="s">
        <v>3614</v>
      </c>
      <c r="D1011" s="44" t="s">
        <v>3615</v>
      </c>
      <c r="E1011" s="49" t="s">
        <v>850</v>
      </c>
      <c r="F1011" s="44" t="s">
        <v>1057</v>
      </c>
      <c r="G1011" s="44">
        <v>80.0</v>
      </c>
      <c r="H1011" s="47" t="s">
        <v>970</v>
      </c>
      <c r="I1011" s="47" t="s">
        <v>850</v>
      </c>
      <c r="J1011" s="44">
        <v>11.085407</v>
      </c>
      <c r="K1011" s="48">
        <v>106.509285</v>
      </c>
    </row>
    <row r="1012" ht="22.5" customHeight="1">
      <c r="A1012" s="44" t="s">
        <v>3616</v>
      </c>
      <c r="B1012" s="44" t="s">
        <v>3617</v>
      </c>
      <c r="C1012" s="44" t="s">
        <v>3104</v>
      </c>
      <c r="D1012" s="44" t="s">
        <v>1076</v>
      </c>
      <c r="E1012" s="49" t="s">
        <v>813</v>
      </c>
      <c r="F1012" s="44" t="s">
        <v>1015</v>
      </c>
      <c r="G1012" s="44">
        <v>76.0</v>
      </c>
      <c r="H1012" s="47" t="s">
        <v>970</v>
      </c>
      <c r="I1012" s="47" t="s">
        <v>813</v>
      </c>
      <c r="J1012" s="44">
        <v>10.754244</v>
      </c>
      <c r="K1012" s="48">
        <v>106.671571</v>
      </c>
    </row>
    <row r="1013" ht="22.5" customHeight="1">
      <c r="A1013" s="44" t="s">
        <v>3618</v>
      </c>
      <c r="B1013" s="44" t="s">
        <v>3619</v>
      </c>
      <c r="C1013" s="44" t="s">
        <v>3620</v>
      </c>
      <c r="D1013" s="44" t="s">
        <v>1811</v>
      </c>
      <c r="E1013" s="49" t="s">
        <v>889</v>
      </c>
      <c r="F1013" s="44" t="s">
        <v>1043</v>
      </c>
      <c r="G1013" s="44">
        <v>30.0</v>
      </c>
      <c r="H1013" s="47" t="s">
        <v>970</v>
      </c>
      <c r="I1013" s="47" t="s">
        <v>889</v>
      </c>
      <c r="J1013" s="44">
        <v>10.822759</v>
      </c>
      <c r="K1013" s="48">
        <v>106.703508</v>
      </c>
    </row>
    <row r="1014" ht="22.5" customHeight="1">
      <c r="A1014" s="44" t="s">
        <v>242</v>
      </c>
      <c r="B1014" s="44" t="s">
        <v>3621</v>
      </c>
      <c r="C1014" s="44" t="s">
        <v>3622</v>
      </c>
      <c r="D1014" s="44" t="s">
        <v>1030</v>
      </c>
      <c r="E1014" s="49" t="s">
        <v>887</v>
      </c>
      <c r="F1014" s="44" t="s">
        <v>1031</v>
      </c>
      <c r="G1014" s="44">
        <v>59.0</v>
      </c>
      <c r="H1014" s="47" t="s">
        <v>970</v>
      </c>
      <c r="I1014" s="47" t="s">
        <v>832</v>
      </c>
      <c r="J1014" s="44">
        <v>10.804336971016</v>
      </c>
      <c r="K1014" s="48">
        <v>106.74454347378</v>
      </c>
    </row>
    <row r="1015" ht="22.5" customHeight="1">
      <c r="A1015" s="44" t="s">
        <v>3623</v>
      </c>
      <c r="B1015" s="44" t="s">
        <v>3624</v>
      </c>
      <c r="C1015" s="44" t="s">
        <v>3625</v>
      </c>
      <c r="D1015" s="44" t="s">
        <v>973</v>
      </c>
      <c r="E1015" s="49" t="s">
        <v>894</v>
      </c>
      <c r="F1015" s="44" t="s">
        <v>974</v>
      </c>
      <c r="G1015" s="44">
        <v>68.0</v>
      </c>
      <c r="H1015" s="47" t="s">
        <v>970</v>
      </c>
      <c r="I1015" s="47" t="s">
        <v>894</v>
      </c>
      <c r="J1015" s="44">
        <v>10.731826</v>
      </c>
      <c r="K1015" s="48">
        <v>106.707904</v>
      </c>
    </row>
    <row r="1016" ht="22.5" customHeight="1">
      <c r="A1016" s="44" t="s">
        <v>3626</v>
      </c>
      <c r="B1016" s="44" t="s">
        <v>3627</v>
      </c>
      <c r="C1016" s="44" t="s">
        <v>3628</v>
      </c>
      <c r="D1016" s="44" t="s">
        <v>1120</v>
      </c>
      <c r="E1016" s="49" t="s">
        <v>895</v>
      </c>
      <c r="F1016" s="44" t="s">
        <v>1121</v>
      </c>
      <c r="G1016" s="44">
        <v>72.0</v>
      </c>
      <c r="H1016" s="47" t="s">
        <v>970</v>
      </c>
      <c r="I1016" s="47" t="s">
        <v>895</v>
      </c>
      <c r="J1016" s="44">
        <v>10.846266218719</v>
      </c>
      <c r="K1016" s="48">
        <v>106.8170571545</v>
      </c>
    </row>
    <row r="1017" ht="22.5" customHeight="1">
      <c r="A1017" s="44" t="s">
        <v>243</v>
      </c>
      <c r="B1017" s="44" t="s">
        <v>3629</v>
      </c>
      <c r="C1017" s="44" t="s">
        <v>3630</v>
      </c>
      <c r="D1017" s="44" t="s">
        <v>1036</v>
      </c>
      <c r="E1017" s="49" t="s">
        <v>898</v>
      </c>
      <c r="F1017" s="44" t="s">
        <v>1037</v>
      </c>
      <c r="G1017" s="44">
        <v>59.0</v>
      </c>
      <c r="H1017" s="47" t="s">
        <v>970</v>
      </c>
      <c r="I1017" s="47" t="s">
        <v>898</v>
      </c>
      <c r="J1017" s="44">
        <v>10.788154</v>
      </c>
      <c r="K1017" s="48">
        <v>106.776819</v>
      </c>
    </row>
    <row r="1018" ht="22.5" customHeight="1">
      <c r="A1018" s="44" t="s">
        <v>3631</v>
      </c>
      <c r="B1018" s="44" t="s">
        <v>3632</v>
      </c>
      <c r="C1018" s="44" t="s">
        <v>3633</v>
      </c>
      <c r="D1018" s="44" t="s">
        <v>1811</v>
      </c>
      <c r="E1018" s="49" t="s">
        <v>889</v>
      </c>
      <c r="F1018" s="44" t="s">
        <v>1043</v>
      </c>
      <c r="G1018" s="44">
        <v>30.0</v>
      </c>
      <c r="H1018" s="47" t="s">
        <v>970</v>
      </c>
      <c r="I1018" s="47" t="s">
        <v>809</v>
      </c>
      <c r="J1018" s="44">
        <v>10.835384</v>
      </c>
      <c r="K1018" s="48">
        <v>106.702519</v>
      </c>
    </row>
    <row r="1019" ht="22.5" customHeight="1">
      <c r="A1019" s="44" t="s">
        <v>3634</v>
      </c>
      <c r="B1019" s="44" t="s">
        <v>3635</v>
      </c>
      <c r="C1019" s="44" t="s">
        <v>3636</v>
      </c>
      <c r="D1019" s="44" t="s">
        <v>1433</v>
      </c>
      <c r="E1019" s="49" t="s">
        <v>910</v>
      </c>
      <c r="F1019" s="44" t="s">
        <v>987</v>
      </c>
      <c r="G1019" s="44">
        <v>60.0</v>
      </c>
      <c r="H1019" s="47" t="s">
        <v>970</v>
      </c>
      <c r="I1019" s="47" t="s">
        <v>910</v>
      </c>
      <c r="J1019" s="44">
        <v>10.767975</v>
      </c>
      <c r="K1019" s="48">
        <v>106.671018</v>
      </c>
    </row>
    <row r="1020" ht="22.5" customHeight="1">
      <c r="A1020" s="44" t="s">
        <v>3637</v>
      </c>
      <c r="B1020" s="44" t="s">
        <v>3638</v>
      </c>
      <c r="C1020" s="44" t="s">
        <v>1901</v>
      </c>
      <c r="D1020" s="44" t="s">
        <v>1433</v>
      </c>
      <c r="E1020" s="49" t="s">
        <v>910</v>
      </c>
      <c r="F1020" s="44" t="s">
        <v>987</v>
      </c>
      <c r="G1020" s="44">
        <v>60.0</v>
      </c>
      <c r="H1020" s="47" t="s">
        <v>970</v>
      </c>
      <c r="I1020" s="47" t="s">
        <v>910</v>
      </c>
      <c r="J1020" s="44">
        <v>10.768655</v>
      </c>
      <c r="K1020" s="48">
        <v>106.670189</v>
      </c>
    </row>
    <row r="1021" ht="22.5" customHeight="1">
      <c r="A1021" s="44" t="s">
        <v>3639</v>
      </c>
      <c r="B1021" s="44" t="s">
        <v>3640</v>
      </c>
      <c r="C1021" s="44" t="s">
        <v>3641</v>
      </c>
      <c r="D1021" s="44" t="s">
        <v>1076</v>
      </c>
      <c r="E1021" s="49" t="s">
        <v>813</v>
      </c>
      <c r="F1021" s="44" t="s">
        <v>1015</v>
      </c>
      <c r="G1021" s="44">
        <v>76.0</v>
      </c>
      <c r="H1021" s="47" t="s">
        <v>970</v>
      </c>
      <c r="I1021" s="47" t="s">
        <v>813</v>
      </c>
      <c r="J1021" s="44">
        <v>10.756156</v>
      </c>
      <c r="K1021" s="48">
        <v>106.674954</v>
      </c>
    </row>
    <row r="1022" ht="22.5" customHeight="1">
      <c r="A1022" s="44" t="s">
        <v>3642</v>
      </c>
      <c r="B1022" s="44" t="s">
        <v>3643</v>
      </c>
      <c r="C1022" s="44" t="s">
        <v>3644</v>
      </c>
      <c r="D1022" s="44" t="s">
        <v>973</v>
      </c>
      <c r="E1022" s="49" t="s">
        <v>894</v>
      </c>
      <c r="F1022" s="44" t="s">
        <v>974</v>
      </c>
      <c r="G1022" s="44">
        <v>68.0</v>
      </c>
      <c r="H1022" s="47" t="s">
        <v>970</v>
      </c>
      <c r="I1022" s="47" t="s">
        <v>894</v>
      </c>
      <c r="J1022" s="44">
        <v>10.73314</v>
      </c>
      <c r="K1022" s="48">
        <v>106.70662</v>
      </c>
    </row>
    <row r="1023" ht="22.5" customHeight="1">
      <c r="A1023" s="44">
        <v>5.4666259E7</v>
      </c>
      <c r="B1023" s="44" t="s">
        <v>3645</v>
      </c>
      <c r="C1023" s="44" t="s">
        <v>3646</v>
      </c>
      <c r="D1023" s="44" t="s">
        <v>1129</v>
      </c>
      <c r="E1023" s="49"/>
      <c r="F1023" s="44" t="s">
        <v>1098</v>
      </c>
      <c r="G1023" s="44"/>
      <c r="H1023" s="47" t="s">
        <v>970</v>
      </c>
      <c r="I1023" s="47" t="s">
        <v>910</v>
      </c>
      <c r="J1023" s="44">
        <v>10.775086</v>
      </c>
      <c r="K1023" s="48">
        <v>106.672685</v>
      </c>
    </row>
    <row r="1024" ht="22.5" customHeight="1">
      <c r="A1024" s="44" t="s">
        <v>3647</v>
      </c>
      <c r="B1024" s="44" t="s">
        <v>3648</v>
      </c>
      <c r="C1024" s="44" t="s">
        <v>3649</v>
      </c>
      <c r="D1024" s="44" t="s">
        <v>1042</v>
      </c>
      <c r="E1024" s="49"/>
      <c r="F1024" s="44" t="s">
        <v>1098</v>
      </c>
      <c r="G1024" s="50"/>
      <c r="H1024" s="47" t="s">
        <v>970</v>
      </c>
      <c r="I1024" s="47" t="s">
        <v>889</v>
      </c>
      <c r="J1024" s="44">
        <v>10.815318</v>
      </c>
      <c r="K1024" s="48">
        <v>106.707978</v>
      </c>
    </row>
    <row r="1025" ht="22.5" customHeight="1">
      <c r="A1025" s="44" t="s">
        <v>3650</v>
      </c>
      <c r="B1025" s="44" t="s">
        <v>3651</v>
      </c>
      <c r="C1025" s="44" t="s">
        <v>3652</v>
      </c>
      <c r="D1025" s="44" t="s">
        <v>1129</v>
      </c>
      <c r="E1025" s="49"/>
      <c r="F1025" s="44" t="s">
        <v>1098</v>
      </c>
      <c r="G1025" s="44"/>
      <c r="H1025" s="47" t="s">
        <v>970</v>
      </c>
      <c r="I1025" s="47" t="s">
        <v>910</v>
      </c>
      <c r="J1025" s="44">
        <v>10.782208</v>
      </c>
      <c r="K1025" s="48">
        <v>106.673095</v>
      </c>
    </row>
    <row r="1026" ht="22.5" customHeight="1">
      <c r="A1026" s="44" t="s">
        <v>3653</v>
      </c>
      <c r="B1026" s="44" t="s">
        <v>3654</v>
      </c>
      <c r="C1026" s="44" t="s">
        <v>3655</v>
      </c>
      <c r="D1026" s="44" t="s">
        <v>1129</v>
      </c>
      <c r="E1026" s="49"/>
      <c r="F1026" s="44" t="s">
        <v>1098</v>
      </c>
      <c r="G1026" s="50"/>
      <c r="H1026" s="47" t="s">
        <v>970</v>
      </c>
      <c r="I1026" s="47" t="s">
        <v>826</v>
      </c>
      <c r="J1026" s="44">
        <v>10.778631</v>
      </c>
      <c r="K1026" s="48">
        <v>106.679631</v>
      </c>
    </row>
    <row r="1027" ht="22.5" customHeight="1">
      <c r="A1027" s="44" t="s">
        <v>3656</v>
      </c>
      <c r="B1027" s="44" t="s">
        <v>3657</v>
      </c>
      <c r="C1027" s="44" t="s">
        <v>3658</v>
      </c>
      <c r="D1027" s="44" t="s">
        <v>1014</v>
      </c>
      <c r="E1027" s="49" t="s">
        <v>813</v>
      </c>
      <c r="F1027" s="44" t="s">
        <v>1015</v>
      </c>
      <c r="G1027" s="50">
        <v>61.0</v>
      </c>
      <c r="H1027" s="47" t="s">
        <v>970</v>
      </c>
      <c r="I1027" s="47" t="s">
        <v>811</v>
      </c>
      <c r="J1027" s="44">
        <v>10.75509</v>
      </c>
      <c r="K1027" s="48">
        <v>106.684221</v>
      </c>
    </row>
    <row r="1028" ht="22.5" customHeight="1">
      <c r="A1028" s="44" t="s">
        <v>3659</v>
      </c>
      <c r="B1028" s="44" t="s">
        <v>3660</v>
      </c>
      <c r="C1028" s="44" t="s">
        <v>3661</v>
      </c>
      <c r="D1028" s="44" t="s">
        <v>973</v>
      </c>
      <c r="E1028" s="49" t="s">
        <v>894</v>
      </c>
      <c r="F1028" s="44" t="s">
        <v>974</v>
      </c>
      <c r="G1028" s="44">
        <v>38.0</v>
      </c>
      <c r="H1028" s="47" t="s">
        <v>970</v>
      </c>
      <c r="I1028" s="47" t="s">
        <v>894</v>
      </c>
      <c r="J1028" s="44">
        <v>10.731859</v>
      </c>
      <c r="K1028" s="48">
        <v>106.708982</v>
      </c>
    </row>
    <row r="1029" ht="22.5" customHeight="1">
      <c r="A1029" s="44" t="s">
        <v>3662</v>
      </c>
      <c r="B1029" s="44" t="s">
        <v>3663</v>
      </c>
      <c r="C1029" s="44" t="s">
        <v>3664</v>
      </c>
      <c r="D1029" s="44" t="s">
        <v>969</v>
      </c>
      <c r="E1029" s="49" t="s">
        <v>893</v>
      </c>
      <c r="F1029" s="44" t="s">
        <v>1088</v>
      </c>
      <c r="G1029" s="50">
        <v>60.0</v>
      </c>
      <c r="H1029" s="47" t="s">
        <v>970</v>
      </c>
      <c r="I1029" s="47" t="s">
        <v>893</v>
      </c>
      <c r="J1029" s="44">
        <v>10.794011599446</v>
      </c>
      <c r="K1029" s="48">
        <v>106.64026758061</v>
      </c>
    </row>
    <row r="1030" ht="22.5" customHeight="1">
      <c r="A1030" s="44" t="s">
        <v>156</v>
      </c>
      <c r="B1030" s="44" t="s">
        <v>3665</v>
      </c>
      <c r="C1030" s="44" t="s">
        <v>3666</v>
      </c>
      <c r="D1030" s="44" t="s">
        <v>1104</v>
      </c>
      <c r="E1030" s="49" t="s">
        <v>893</v>
      </c>
      <c r="F1030" s="44" t="s">
        <v>1088</v>
      </c>
      <c r="G1030" s="50">
        <v>60.0</v>
      </c>
      <c r="H1030" s="47" t="s">
        <v>970</v>
      </c>
      <c r="I1030" s="47" t="s">
        <v>808</v>
      </c>
      <c r="J1030" s="44">
        <v>10.761</v>
      </c>
      <c r="K1030" s="48">
        <v>106.630223</v>
      </c>
    </row>
    <row r="1031" ht="22.5" customHeight="1">
      <c r="A1031" s="44" t="s">
        <v>3667</v>
      </c>
      <c r="B1031" s="44" t="s">
        <v>3668</v>
      </c>
      <c r="C1031" s="44" t="s">
        <v>3669</v>
      </c>
      <c r="D1031" s="44" t="s">
        <v>1042</v>
      </c>
      <c r="E1031" s="49" t="s">
        <v>901</v>
      </c>
      <c r="F1031" s="44" t="s">
        <v>1562</v>
      </c>
      <c r="G1031" s="50">
        <v>60.0</v>
      </c>
      <c r="H1031" s="47" t="s">
        <v>970</v>
      </c>
      <c r="I1031" s="47" t="s">
        <v>901</v>
      </c>
      <c r="J1031" s="44">
        <v>10.807161</v>
      </c>
      <c r="K1031" s="48">
        <v>106.709257</v>
      </c>
    </row>
    <row r="1032" ht="22.5" customHeight="1">
      <c r="A1032" s="44" t="s">
        <v>3670</v>
      </c>
      <c r="B1032" s="44" t="s">
        <v>3671</v>
      </c>
      <c r="C1032" s="44" t="s">
        <v>3672</v>
      </c>
      <c r="D1032" s="44" t="s">
        <v>1076</v>
      </c>
      <c r="E1032" s="49" t="s">
        <v>813</v>
      </c>
      <c r="F1032" s="44" t="s">
        <v>1015</v>
      </c>
      <c r="G1032" s="50">
        <v>76.0</v>
      </c>
      <c r="H1032" s="47" t="s">
        <v>970</v>
      </c>
      <c r="I1032" s="47" t="s">
        <v>813</v>
      </c>
      <c r="J1032" s="44">
        <v>10.759267206704</v>
      </c>
      <c r="K1032" s="48">
        <v>106.67540144389</v>
      </c>
    </row>
    <row r="1033" ht="22.5" customHeight="1">
      <c r="A1033" s="44" t="s">
        <v>85</v>
      </c>
      <c r="B1033" s="44" t="s">
        <v>3673</v>
      </c>
      <c r="C1033" s="44" t="s">
        <v>3674</v>
      </c>
      <c r="D1033" s="44" t="s">
        <v>1662</v>
      </c>
      <c r="E1033" s="49" t="s">
        <v>891</v>
      </c>
      <c r="F1033" s="44" t="s">
        <v>1125</v>
      </c>
      <c r="G1033" s="50">
        <v>60.0</v>
      </c>
      <c r="H1033" s="47" t="s">
        <v>970</v>
      </c>
      <c r="I1033" s="47" t="s">
        <v>891</v>
      </c>
      <c r="J1033" s="44">
        <v>10.960329015484</v>
      </c>
      <c r="K1033" s="48">
        <v>106.84825524272</v>
      </c>
    </row>
    <row r="1034" ht="22.5" customHeight="1">
      <c r="A1034" s="44" t="s">
        <v>3675</v>
      </c>
      <c r="B1034" s="44" t="s">
        <v>3676</v>
      </c>
      <c r="C1034" s="44" t="s">
        <v>3677</v>
      </c>
      <c r="D1034" s="44" t="s">
        <v>1076</v>
      </c>
      <c r="E1034" s="49" t="s">
        <v>813</v>
      </c>
      <c r="F1034" s="44" t="s">
        <v>1015</v>
      </c>
      <c r="G1034" s="50">
        <v>76.0</v>
      </c>
      <c r="H1034" s="47" t="s">
        <v>970</v>
      </c>
      <c r="I1034" s="47" t="s">
        <v>813</v>
      </c>
      <c r="J1034" s="44">
        <v>10.751693</v>
      </c>
      <c r="K1034" s="48">
        <v>106.67277</v>
      </c>
    </row>
    <row r="1035" ht="22.5" customHeight="1">
      <c r="A1035" s="44" t="s">
        <v>3678</v>
      </c>
      <c r="B1035" s="44" t="s">
        <v>3679</v>
      </c>
      <c r="C1035" s="44" t="s">
        <v>3680</v>
      </c>
      <c r="D1035" s="44" t="s">
        <v>1741</v>
      </c>
      <c r="E1035" s="49" t="s">
        <v>894</v>
      </c>
      <c r="F1035" s="44" t="s">
        <v>974</v>
      </c>
      <c r="G1035" s="50">
        <v>68.0</v>
      </c>
      <c r="H1035" s="47" t="s">
        <v>970</v>
      </c>
      <c r="I1035" s="47" t="s">
        <v>882</v>
      </c>
      <c r="J1035" s="44">
        <v>10.724009</v>
      </c>
      <c r="K1035" s="48">
        <v>106.737673</v>
      </c>
    </row>
    <row r="1036" ht="22.5" customHeight="1">
      <c r="A1036" s="44" t="s">
        <v>3681</v>
      </c>
      <c r="B1036" s="44" t="s">
        <v>3682</v>
      </c>
      <c r="C1036" s="44" t="s">
        <v>3683</v>
      </c>
      <c r="D1036" s="44" t="s">
        <v>1317</v>
      </c>
      <c r="E1036" s="49" t="s">
        <v>894</v>
      </c>
      <c r="F1036" s="44" t="s">
        <v>974</v>
      </c>
      <c r="G1036" s="50">
        <v>68.0</v>
      </c>
      <c r="H1036" s="47" t="s">
        <v>970</v>
      </c>
      <c r="I1036" s="47" t="s">
        <v>894</v>
      </c>
      <c r="J1036" s="44">
        <v>10.7492428</v>
      </c>
      <c r="K1036" s="48">
        <v>106.7300226</v>
      </c>
    </row>
    <row r="1037" ht="22.5" customHeight="1">
      <c r="A1037" s="44" t="s">
        <v>3684</v>
      </c>
      <c r="B1037" s="44" t="s">
        <v>3685</v>
      </c>
      <c r="C1037" s="44" t="s">
        <v>3686</v>
      </c>
      <c r="D1037" s="44" t="s">
        <v>982</v>
      </c>
      <c r="E1037" s="49" t="s">
        <v>510</v>
      </c>
      <c r="F1037" s="44" t="s">
        <v>983</v>
      </c>
      <c r="G1037" s="50">
        <v>76.0</v>
      </c>
      <c r="H1037" s="47" t="s">
        <v>970</v>
      </c>
      <c r="I1037" s="47" t="s">
        <v>510</v>
      </c>
      <c r="J1037" s="44">
        <v>10.844418</v>
      </c>
      <c r="K1037" s="48">
        <v>106.720835</v>
      </c>
    </row>
    <row r="1038" ht="22.5" customHeight="1">
      <c r="A1038" s="44" t="s">
        <v>308</v>
      </c>
      <c r="B1038" s="44" t="s">
        <v>3687</v>
      </c>
      <c r="C1038" s="44" t="s">
        <v>3688</v>
      </c>
      <c r="D1038" s="44" t="s">
        <v>1107</v>
      </c>
      <c r="E1038" s="49" t="s">
        <v>892</v>
      </c>
      <c r="F1038" s="44" t="s">
        <v>1108</v>
      </c>
      <c r="G1038" s="50">
        <v>60.0</v>
      </c>
      <c r="H1038" s="47" t="s">
        <v>970</v>
      </c>
      <c r="I1038" s="47" t="s">
        <v>892</v>
      </c>
      <c r="J1038" s="44">
        <v>10.982615</v>
      </c>
      <c r="K1038" s="48">
        <v>106.654817</v>
      </c>
    </row>
    <row r="1039" ht="22.5" customHeight="1">
      <c r="A1039" s="44" t="s">
        <v>3689</v>
      </c>
      <c r="B1039" s="44" t="s">
        <v>3690</v>
      </c>
      <c r="C1039" s="44" t="s">
        <v>3691</v>
      </c>
      <c r="D1039" s="44" t="s">
        <v>1359</v>
      </c>
      <c r="E1039" s="49" t="s">
        <v>813</v>
      </c>
      <c r="F1039" s="44" t="s">
        <v>1015</v>
      </c>
      <c r="G1039" s="50">
        <v>76.0</v>
      </c>
      <c r="H1039" s="47" t="s">
        <v>970</v>
      </c>
      <c r="I1039" s="47" t="s">
        <v>822</v>
      </c>
      <c r="J1039" s="44">
        <v>10.756181</v>
      </c>
      <c r="K1039" s="48">
        <v>106.661069</v>
      </c>
    </row>
    <row r="1040" ht="22.5" customHeight="1">
      <c r="A1040" s="44" t="s">
        <v>544</v>
      </c>
      <c r="B1040" s="44" t="s">
        <v>3692</v>
      </c>
      <c r="C1040" s="44" t="s">
        <v>3693</v>
      </c>
      <c r="D1040" s="44" t="s">
        <v>1116</v>
      </c>
      <c r="E1040" s="49" t="s">
        <v>885</v>
      </c>
      <c r="F1040" s="44" t="s">
        <v>1117</v>
      </c>
      <c r="G1040" s="50">
        <v>60.0</v>
      </c>
      <c r="H1040" s="47" t="s">
        <v>970</v>
      </c>
      <c r="I1040" s="47" t="s">
        <v>885</v>
      </c>
      <c r="J1040" s="44">
        <v>10.741667</v>
      </c>
      <c r="K1040" s="48">
        <v>106.676389</v>
      </c>
    </row>
    <row r="1041" ht="22.5" customHeight="1">
      <c r="A1041" s="44" t="s">
        <v>3694</v>
      </c>
      <c r="B1041" s="44" t="s">
        <v>3695</v>
      </c>
      <c r="C1041" s="44" t="s">
        <v>1607</v>
      </c>
      <c r="D1041" s="44" t="s">
        <v>986</v>
      </c>
      <c r="E1041" s="49" t="s">
        <v>910</v>
      </c>
      <c r="F1041" s="44" t="s">
        <v>987</v>
      </c>
      <c r="G1041" s="50">
        <v>60.0</v>
      </c>
      <c r="H1041" s="47" t="s">
        <v>970</v>
      </c>
      <c r="I1041" s="47" t="s">
        <v>822</v>
      </c>
      <c r="J1041" s="44">
        <v>10.769784</v>
      </c>
      <c r="K1041" s="48">
        <v>106.658513</v>
      </c>
    </row>
    <row r="1042" ht="22.5" customHeight="1">
      <c r="A1042" s="44" t="s">
        <v>673</v>
      </c>
      <c r="B1042" s="44" t="s">
        <v>3696</v>
      </c>
      <c r="C1042" s="44" t="s">
        <v>3697</v>
      </c>
      <c r="D1042" s="44" t="s">
        <v>1026</v>
      </c>
      <c r="E1042" s="49" t="s">
        <v>897</v>
      </c>
      <c r="F1042" s="44" t="s">
        <v>1027</v>
      </c>
      <c r="G1042" s="50">
        <v>60.0</v>
      </c>
      <c r="H1042" s="47" t="s">
        <v>970</v>
      </c>
      <c r="I1042" s="47" t="s">
        <v>897</v>
      </c>
      <c r="J1042" s="44">
        <v>10.834649</v>
      </c>
      <c r="K1042" s="48">
        <v>106.66155</v>
      </c>
    </row>
    <row r="1043" ht="22.5" customHeight="1">
      <c r="A1043" s="44" t="s">
        <v>3698</v>
      </c>
      <c r="B1043" s="44" t="s">
        <v>3699</v>
      </c>
      <c r="C1043" s="44" t="s">
        <v>3700</v>
      </c>
      <c r="D1043" s="44" t="s">
        <v>1056</v>
      </c>
      <c r="E1043" s="49" t="s">
        <v>850</v>
      </c>
      <c r="F1043" s="44" t="s">
        <v>1057</v>
      </c>
      <c r="G1043" s="50">
        <v>90.0</v>
      </c>
      <c r="H1043" s="47" t="s">
        <v>970</v>
      </c>
      <c r="I1043" s="47" t="s">
        <v>797</v>
      </c>
      <c r="J1043" s="44">
        <v>10.92802</v>
      </c>
      <c r="K1043" s="48">
        <v>106.558159</v>
      </c>
    </row>
    <row r="1044" ht="22.5" customHeight="1">
      <c r="A1044" s="44" t="s">
        <v>738</v>
      </c>
      <c r="B1044" s="44" t="s">
        <v>3701</v>
      </c>
      <c r="C1044" s="44" t="s">
        <v>3702</v>
      </c>
      <c r="D1044" s="44" t="s">
        <v>1227</v>
      </c>
      <c r="E1044" s="49" t="s">
        <v>883</v>
      </c>
      <c r="F1044" s="44" t="s">
        <v>1471</v>
      </c>
      <c r="G1044" s="50">
        <v>70.0</v>
      </c>
      <c r="H1044" s="47" t="s">
        <v>970</v>
      </c>
      <c r="I1044" s="47" t="s">
        <v>890</v>
      </c>
      <c r="J1044" s="44">
        <v>10.889786</v>
      </c>
      <c r="K1044" s="48">
        <v>106.739926</v>
      </c>
    </row>
    <row r="1045" ht="22.5" customHeight="1">
      <c r="A1045" s="44" t="s">
        <v>3703</v>
      </c>
      <c r="B1045" s="44" t="s">
        <v>3704</v>
      </c>
      <c r="C1045" s="44" t="s">
        <v>3705</v>
      </c>
      <c r="D1045" s="44" t="s">
        <v>1832</v>
      </c>
      <c r="E1045" s="49" t="s">
        <v>901</v>
      </c>
      <c r="F1045" s="44" t="s">
        <v>1562</v>
      </c>
      <c r="G1045" s="50">
        <v>60.0</v>
      </c>
      <c r="H1045" s="47" t="s">
        <v>970</v>
      </c>
      <c r="I1045" s="47" t="s">
        <v>901</v>
      </c>
      <c r="J1045" s="44">
        <v>10.801784</v>
      </c>
      <c r="K1045" s="48">
        <v>106.721763</v>
      </c>
    </row>
    <row r="1046" ht="22.5" customHeight="1">
      <c r="A1046" s="44" t="s">
        <v>244</v>
      </c>
      <c r="B1046" s="44" t="s">
        <v>3706</v>
      </c>
      <c r="C1046" s="44" t="s">
        <v>3707</v>
      </c>
      <c r="D1046" s="44" t="s">
        <v>1030</v>
      </c>
      <c r="E1046" s="49" t="s">
        <v>887</v>
      </c>
      <c r="F1046" s="44" t="s">
        <v>1031</v>
      </c>
      <c r="G1046" s="50">
        <v>90.0</v>
      </c>
      <c r="H1046" s="47" t="s">
        <v>970</v>
      </c>
      <c r="I1046" s="47" t="s">
        <v>832</v>
      </c>
      <c r="J1046" s="44">
        <v>10.790702</v>
      </c>
      <c r="K1046" s="48">
        <v>106.748075</v>
      </c>
    </row>
    <row r="1047" ht="22.5" customHeight="1">
      <c r="A1047" s="44" t="s">
        <v>179</v>
      </c>
      <c r="B1047" s="44" t="s">
        <v>3708</v>
      </c>
      <c r="C1047" s="44" t="s">
        <v>3709</v>
      </c>
      <c r="D1047" s="44" t="s">
        <v>973</v>
      </c>
      <c r="E1047" s="49" t="s">
        <v>894</v>
      </c>
      <c r="F1047" s="44" t="s">
        <v>974</v>
      </c>
      <c r="G1047" s="50">
        <v>38.0</v>
      </c>
      <c r="H1047" s="47" t="s">
        <v>970</v>
      </c>
      <c r="I1047" s="47" t="s">
        <v>894</v>
      </c>
      <c r="J1047" s="44">
        <v>10.739311</v>
      </c>
      <c r="K1047" s="48">
        <v>106.70575</v>
      </c>
    </row>
    <row r="1048" ht="22.5" customHeight="1">
      <c r="A1048" s="44" t="s">
        <v>311</v>
      </c>
      <c r="B1048" s="44" t="s">
        <v>3710</v>
      </c>
      <c r="C1048" s="44" t="s">
        <v>3711</v>
      </c>
      <c r="D1048" s="44" t="s">
        <v>1107</v>
      </c>
      <c r="E1048" s="49" t="s">
        <v>892</v>
      </c>
      <c r="F1048" s="44" t="s">
        <v>1108</v>
      </c>
      <c r="G1048" s="50">
        <v>60.0</v>
      </c>
      <c r="H1048" s="47" t="s">
        <v>970</v>
      </c>
      <c r="I1048" s="47" t="s">
        <v>892</v>
      </c>
      <c r="J1048" s="44">
        <v>10.967953887495</v>
      </c>
      <c r="K1048" s="48">
        <v>106.6713309701</v>
      </c>
    </row>
    <row r="1049" ht="22.5" customHeight="1">
      <c r="A1049" s="44" t="s">
        <v>312</v>
      </c>
      <c r="B1049" s="44" t="s">
        <v>3712</v>
      </c>
      <c r="C1049" s="44" t="s">
        <v>3713</v>
      </c>
      <c r="D1049" s="44" t="s">
        <v>1180</v>
      </c>
      <c r="E1049" s="49" t="s">
        <v>892</v>
      </c>
      <c r="F1049" s="44" t="s">
        <v>1108</v>
      </c>
      <c r="G1049" s="50">
        <v>60.0</v>
      </c>
      <c r="H1049" s="47" t="s">
        <v>970</v>
      </c>
      <c r="I1049" s="47" t="s">
        <v>892</v>
      </c>
      <c r="J1049" s="44">
        <v>10.996529</v>
      </c>
      <c r="K1049" s="48">
        <v>106.655943</v>
      </c>
    </row>
    <row r="1050" ht="22.5" customHeight="1">
      <c r="A1050" s="44" t="s">
        <v>3714</v>
      </c>
      <c r="B1050" s="44" t="s">
        <v>3715</v>
      </c>
      <c r="C1050" s="44" t="s">
        <v>3716</v>
      </c>
      <c r="D1050" s="44" t="s">
        <v>1227</v>
      </c>
      <c r="E1050" s="49" t="s">
        <v>510</v>
      </c>
      <c r="F1050" s="44" t="s">
        <v>983</v>
      </c>
      <c r="G1050" s="50">
        <v>66.0</v>
      </c>
      <c r="H1050" s="47" t="s">
        <v>970</v>
      </c>
      <c r="I1050" s="47" t="s">
        <v>510</v>
      </c>
      <c r="J1050" s="44">
        <v>10.864764702287</v>
      </c>
      <c r="K1050" s="48">
        <v>106.75070135583</v>
      </c>
    </row>
    <row r="1051" ht="22.5" customHeight="1">
      <c r="A1051" s="44" t="s">
        <v>3717</v>
      </c>
      <c r="B1051" s="44" t="s">
        <v>3718</v>
      </c>
      <c r="C1051" s="44" t="s">
        <v>3719</v>
      </c>
      <c r="D1051" s="44" t="s">
        <v>1747</v>
      </c>
      <c r="E1051" s="49" t="s">
        <v>883</v>
      </c>
      <c r="F1051" s="44" t="s">
        <v>1471</v>
      </c>
      <c r="G1051" s="50">
        <v>85.0</v>
      </c>
      <c r="H1051" s="47" t="s">
        <v>970</v>
      </c>
      <c r="I1051" s="47" t="s">
        <v>883</v>
      </c>
      <c r="J1051" s="44">
        <v>10.929021</v>
      </c>
      <c r="K1051" s="48">
        <v>106.712491</v>
      </c>
    </row>
    <row r="1052" ht="22.5" customHeight="1">
      <c r="A1052" s="44" t="s">
        <v>3720</v>
      </c>
      <c r="B1052" s="44" t="s">
        <v>3721</v>
      </c>
      <c r="C1052" s="44" t="s">
        <v>3722</v>
      </c>
      <c r="D1052" s="44" t="s">
        <v>3723</v>
      </c>
      <c r="E1052" s="49" t="s">
        <v>883</v>
      </c>
      <c r="F1052" s="44" t="s">
        <v>1471</v>
      </c>
      <c r="G1052" s="50">
        <v>60.0</v>
      </c>
      <c r="H1052" s="47" t="s">
        <v>970</v>
      </c>
      <c r="I1052" s="47" t="s">
        <v>892</v>
      </c>
      <c r="J1052" s="44">
        <v>11.049306</v>
      </c>
      <c r="K1052" s="48">
        <v>106.756942</v>
      </c>
    </row>
    <row r="1053" ht="22.5" customHeight="1">
      <c r="A1053" s="44" t="s">
        <v>3724</v>
      </c>
      <c r="B1053" s="44" t="s">
        <v>3725</v>
      </c>
      <c r="C1053" s="44" t="s">
        <v>3726</v>
      </c>
      <c r="D1053" s="44" t="s">
        <v>973</v>
      </c>
      <c r="E1053" s="49" t="s">
        <v>894</v>
      </c>
      <c r="F1053" s="44" t="s">
        <v>974</v>
      </c>
      <c r="G1053" s="50">
        <v>68.0</v>
      </c>
      <c r="H1053" s="47" t="s">
        <v>970</v>
      </c>
      <c r="I1053" s="47" t="s">
        <v>894</v>
      </c>
      <c r="J1053" s="44">
        <v>10.742858</v>
      </c>
      <c r="K1053" s="48">
        <v>106.713787</v>
      </c>
    </row>
    <row r="1054" ht="22.5" customHeight="1">
      <c r="A1054" s="44" t="s">
        <v>3727</v>
      </c>
      <c r="B1054" s="44" t="s">
        <v>3728</v>
      </c>
      <c r="C1054" s="44" t="s">
        <v>3729</v>
      </c>
      <c r="D1054" s="44" t="s">
        <v>990</v>
      </c>
      <c r="E1054" s="49" t="s">
        <v>894</v>
      </c>
      <c r="F1054" s="44" t="s">
        <v>974</v>
      </c>
      <c r="G1054" s="50">
        <v>68.0</v>
      </c>
      <c r="H1054" s="47" t="s">
        <v>970</v>
      </c>
      <c r="I1054" s="47" t="s">
        <v>882</v>
      </c>
      <c r="J1054" s="44">
        <v>10.715755</v>
      </c>
      <c r="K1054" s="48">
        <v>106.728167</v>
      </c>
    </row>
    <row r="1055" ht="22.5" customHeight="1">
      <c r="A1055" s="44" t="s">
        <v>3730</v>
      </c>
      <c r="B1055" s="44" t="s">
        <v>3731</v>
      </c>
      <c r="C1055" s="44" t="s">
        <v>3732</v>
      </c>
      <c r="D1055" s="44" t="s">
        <v>990</v>
      </c>
      <c r="E1055" s="49" t="s">
        <v>894</v>
      </c>
      <c r="F1055" s="44" t="s">
        <v>974</v>
      </c>
      <c r="G1055" s="50">
        <v>68.0</v>
      </c>
      <c r="H1055" s="47" t="s">
        <v>970</v>
      </c>
      <c r="I1055" s="47" t="s">
        <v>894</v>
      </c>
      <c r="J1055" s="44">
        <v>10.732503</v>
      </c>
      <c r="K1055" s="48">
        <v>106.718007</v>
      </c>
    </row>
    <row r="1056" ht="22.5" customHeight="1">
      <c r="A1056" s="44" t="s">
        <v>3733</v>
      </c>
      <c r="B1056" s="44" t="s">
        <v>3734</v>
      </c>
      <c r="C1056" s="44" t="s">
        <v>3735</v>
      </c>
      <c r="D1056" s="44" t="s">
        <v>1811</v>
      </c>
      <c r="E1056" s="49" t="s">
        <v>889</v>
      </c>
      <c r="F1056" s="44" t="s">
        <v>1043</v>
      </c>
      <c r="G1056" s="50">
        <v>30.0</v>
      </c>
      <c r="H1056" s="47" t="s">
        <v>970</v>
      </c>
      <c r="I1056" s="47" t="s">
        <v>889</v>
      </c>
      <c r="J1056" s="44">
        <v>10.813027</v>
      </c>
      <c r="K1056" s="48">
        <v>106.693692</v>
      </c>
    </row>
    <row r="1057" ht="22.5" customHeight="1">
      <c r="A1057" s="44" t="s">
        <v>3736</v>
      </c>
      <c r="B1057" s="44" t="s">
        <v>3737</v>
      </c>
      <c r="C1057" s="44" t="s">
        <v>3738</v>
      </c>
      <c r="D1057" s="44" t="s">
        <v>1747</v>
      </c>
      <c r="E1057" s="49" t="s">
        <v>883</v>
      </c>
      <c r="F1057" s="44" t="s">
        <v>1471</v>
      </c>
      <c r="G1057" s="50">
        <v>125.0</v>
      </c>
      <c r="H1057" s="47" t="s">
        <v>970</v>
      </c>
      <c r="I1057" s="47" t="s">
        <v>892</v>
      </c>
      <c r="J1057" s="44">
        <v>10.966002</v>
      </c>
      <c r="K1057" s="48">
        <v>106.711414</v>
      </c>
    </row>
    <row r="1058" ht="22.5" customHeight="1">
      <c r="A1058" s="44" t="s">
        <v>601</v>
      </c>
      <c r="B1058" s="44" t="s">
        <v>3739</v>
      </c>
      <c r="C1058" s="44" t="s">
        <v>3740</v>
      </c>
      <c r="D1058" s="44" t="s">
        <v>1895</v>
      </c>
      <c r="E1058" s="49" t="s">
        <v>897</v>
      </c>
      <c r="F1058" s="44" t="s">
        <v>1027</v>
      </c>
      <c r="G1058" s="50">
        <v>90.0</v>
      </c>
      <c r="H1058" s="47" t="s">
        <v>970</v>
      </c>
      <c r="I1058" s="47" t="s">
        <v>897</v>
      </c>
      <c r="J1058" s="44">
        <v>10.847838</v>
      </c>
      <c r="K1058" s="48">
        <v>106.646969</v>
      </c>
    </row>
    <row r="1059" ht="22.5" customHeight="1">
      <c r="A1059" s="44" t="s">
        <v>86</v>
      </c>
      <c r="B1059" s="44" t="s">
        <v>3741</v>
      </c>
      <c r="C1059" s="44" t="s">
        <v>3742</v>
      </c>
      <c r="D1059" s="44" t="s">
        <v>1662</v>
      </c>
      <c r="E1059" s="49" t="s">
        <v>891</v>
      </c>
      <c r="F1059" s="44" t="s">
        <v>1125</v>
      </c>
      <c r="G1059" s="50">
        <v>60.0</v>
      </c>
      <c r="H1059" s="47" t="s">
        <v>970</v>
      </c>
      <c r="I1059" s="47" t="s">
        <v>891</v>
      </c>
      <c r="J1059" s="44">
        <v>10.952335</v>
      </c>
      <c r="K1059" s="48">
        <v>106.866885</v>
      </c>
    </row>
    <row r="1060" ht="22.5" customHeight="1">
      <c r="A1060" s="44" t="s">
        <v>3743</v>
      </c>
      <c r="B1060" s="44" t="s">
        <v>3744</v>
      </c>
      <c r="C1060" s="44" t="s">
        <v>3745</v>
      </c>
      <c r="D1060" s="44" t="s">
        <v>1120</v>
      </c>
      <c r="E1060" s="49" t="s">
        <v>895</v>
      </c>
      <c r="F1060" s="44" t="s">
        <v>1121</v>
      </c>
      <c r="G1060" s="50">
        <v>72.0</v>
      </c>
      <c r="H1060" s="47" t="s">
        <v>970</v>
      </c>
      <c r="I1060" s="47" t="s">
        <v>895</v>
      </c>
      <c r="J1060" s="44">
        <v>10.857274</v>
      </c>
      <c r="K1060" s="48">
        <v>106.794284</v>
      </c>
    </row>
    <row r="1061" ht="22.5" customHeight="1">
      <c r="A1061" s="44" t="s">
        <v>3746</v>
      </c>
      <c r="B1061" s="44" t="s">
        <v>3747</v>
      </c>
      <c r="C1061" s="44" t="s">
        <v>3748</v>
      </c>
      <c r="D1061" s="44" t="s">
        <v>1135</v>
      </c>
      <c r="E1061" s="49" t="s">
        <v>888</v>
      </c>
      <c r="F1061" s="44" t="s">
        <v>1136</v>
      </c>
      <c r="G1061" s="50">
        <v>60.0</v>
      </c>
      <c r="H1061" s="47" t="s">
        <v>970</v>
      </c>
      <c r="I1061" s="47" t="s">
        <v>888</v>
      </c>
      <c r="J1061" s="44">
        <v>10.781465</v>
      </c>
      <c r="K1061" s="48">
        <v>106.700103</v>
      </c>
    </row>
    <row r="1062" ht="22.5" customHeight="1">
      <c r="A1062" s="44" t="s">
        <v>3749</v>
      </c>
      <c r="B1062" s="44" t="s">
        <v>3750</v>
      </c>
      <c r="C1062" s="44" t="s">
        <v>3751</v>
      </c>
      <c r="D1062" s="44" t="s">
        <v>1107</v>
      </c>
      <c r="E1062" s="49"/>
      <c r="F1062" s="44" t="s">
        <v>1098</v>
      </c>
      <c r="G1062" s="50"/>
      <c r="H1062" s="47" t="s">
        <v>970</v>
      </c>
      <c r="I1062" s="47" t="s">
        <v>892</v>
      </c>
      <c r="J1062" s="44">
        <v>10.982798</v>
      </c>
      <c r="K1062" s="48">
        <v>106.651324</v>
      </c>
    </row>
    <row r="1063" ht="22.5" customHeight="1">
      <c r="A1063" s="44" t="s">
        <v>826</v>
      </c>
      <c r="B1063" s="44" t="s">
        <v>3752</v>
      </c>
      <c r="C1063" s="44" t="s">
        <v>3753</v>
      </c>
      <c r="D1063" s="44" t="s">
        <v>1129</v>
      </c>
      <c r="E1063" s="49" t="s">
        <v>910</v>
      </c>
      <c r="F1063" s="44" t="s">
        <v>987</v>
      </c>
      <c r="G1063" s="50">
        <v>60.0</v>
      </c>
      <c r="H1063" s="47" t="s">
        <v>970</v>
      </c>
      <c r="I1063" s="47" t="s">
        <v>826</v>
      </c>
      <c r="J1063" s="44">
        <v>10.77846</v>
      </c>
      <c r="K1063" s="48">
        <v>106.67974</v>
      </c>
    </row>
    <row r="1064" ht="22.5" customHeight="1">
      <c r="A1064" s="44" t="s">
        <v>896</v>
      </c>
      <c r="B1064" s="44" t="s">
        <v>1395</v>
      </c>
      <c r="C1064" s="44" t="s">
        <v>3754</v>
      </c>
      <c r="D1064" s="44" t="s">
        <v>1067</v>
      </c>
      <c r="E1064" s="49" t="s">
        <v>910</v>
      </c>
      <c r="F1064" s="44" t="s">
        <v>987</v>
      </c>
      <c r="G1064" s="50">
        <v>60.0</v>
      </c>
      <c r="H1064" s="47" t="s">
        <v>970</v>
      </c>
      <c r="I1064" s="47" t="s">
        <v>896</v>
      </c>
      <c r="J1064" s="44">
        <v>10.827207626747</v>
      </c>
      <c r="K1064" s="48">
        <v>106.6247449268</v>
      </c>
    </row>
    <row r="1065" ht="22.5" customHeight="1">
      <c r="A1065" s="44" t="s">
        <v>897</v>
      </c>
      <c r="B1065" s="44" t="s">
        <v>1027</v>
      </c>
      <c r="C1065" s="44" t="s">
        <v>3755</v>
      </c>
      <c r="D1065" s="44" t="s">
        <v>1895</v>
      </c>
      <c r="E1065" s="49" t="s">
        <v>910</v>
      </c>
      <c r="F1065" s="44" t="s">
        <v>987</v>
      </c>
      <c r="G1065" s="50">
        <v>60.0</v>
      </c>
      <c r="H1065" s="47" t="s">
        <v>970</v>
      </c>
      <c r="I1065" s="47" t="s">
        <v>897</v>
      </c>
      <c r="J1065" s="44">
        <v>10.842532436829</v>
      </c>
      <c r="K1065" s="48">
        <v>106.64273056465</v>
      </c>
    </row>
    <row r="1066" ht="22.5" customHeight="1">
      <c r="A1066" s="44" t="s">
        <v>898</v>
      </c>
      <c r="B1066" s="44" t="s">
        <v>1037</v>
      </c>
      <c r="C1066" s="44" t="s">
        <v>3756</v>
      </c>
      <c r="D1066" s="44" t="s">
        <v>1036</v>
      </c>
      <c r="E1066" s="49" t="s">
        <v>910</v>
      </c>
      <c r="F1066" s="44" t="s">
        <v>987</v>
      </c>
      <c r="G1066" s="50">
        <v>60.0</v>
      </c>
      <c r="H1066" s="47" t="s">
        <v>970</v>
      </c>
      <c r="I1066" s="47" t="s">
        <v>898</v>
      </c>
      <c r="J1066" s="44">
        <v>10.788097</v>
      </c>
      <c r="K1066" s="48">
        <v>106.766239</v>
      </c>
    </row>
    <row r="1067" ht="22.5" customHeight="1">
      <c r="A1067" s="44" t="s">
        <v>806</v>
      </c>
      <c r="B1067" s="44" t="s">
        <v>1500</v>
      </c>
      <c r="C1067" s="44" t="s">
        <v>3757</v>
      </c>
      <c r="D1067" s="44" t="s">
        <v>1929</v>
      </c>
      <c r="E1067" s="49" t="s">
        <v>910</v>
      </c>
      <c r="F1067" s="44" t="s">
        <v>987</v>
      </c>
      <c r="G1067" s="50">
        <v>60.0</v>
      </c>
      <c r="H1067" s="47" t="s">
        <v>970</v>
      </c>
      <c r="I1067" s="47" t="s">
        <v>806</v>
      </c>
      <c r="J1067" s="44">
        <v>10.791934</v>
      </c>
      <c r="K1067" s="48">
        <v>106.655502</v>
      </c>
    </row>
    <row r="1068" ht="22.5" customHeight="1">
      <c r="A1068" s="44" t="s">
        <v>808</v>
      </c>
      <c r="B1068" s="44" t="s">
        <v>998</v>
      </c>
      <c r="C1068" s="44" t="s">
        <v>3758</v>
      </c>
      <c r="D1068" s="44" t="s">
        <v>1272</v>
      </c>
      <c r="E1068" s="49" t="s">
        <v>910</v>
      </c>
      <c r="F1068" s="44" t="s">
        <v>987</v>
      </c>
      <c r="G1068" s="50">
        <v>60.0</v>
      </c>
      <c r="H1068" s="47" t="s">
        <v>970</v>
      </c>
      <c r="I1068" s="47" t="s">
        <v>808</v>
      </c>
      <c r="J1068" s="44">
        <v>10.751132</v>
      </c>
      <c r="K1068" s="48">
        <v>106.634999</v>
      </c>
    </row>
    <row r="1069" ht="22.5" customHeight="1">
      <c r="A1069" s="44" t="s">
        <v>809</v>
      </c>
      <c r="B1069" s="44" t="s">
        <v>1022</v>
      </c>
      <c r="C1069" s="44" t="s">
        <v>3759</v>
      </c>
      <c r="D1069" s="44" t="s">
        <v>1093</v>
      </c>
      <c r="E1069" s="49" t="s">
        <v>910</v>
      </c>
      <c r="F1069" s="44" t="s">
        <v>987</v>
      </c>
      <c r="G1069" s="50">
        <v>60.0</v>
      </c>
      <c r="H1069" s="47" t="s">
        <v>970</v>
      </c>
      <c r="I1069" s="47" t="s">
        <v>809</v>
      </c>
      <c r="J1069" s="44">
        <v>10.829273</v>
      </c>
      <c r="K1069" s="48">
        <v>106.681601</v>
      </c>
    </row>
    <row r="1070" ht="22.5" customHeight="1">
      <c r="A1070" s="44" t="s">
        <v>819</v>
      </c>
      <c r="B1070" s="44" t="s">
        <v>2838</v>
      </c>
      <c r="C1070" s="44" t="s">
        <v>3760</v>
      </c>
      <c r="D1070" s="44" t="s">
        <v>2200</v>
      </c>
      <c r="E1070" s="49" t="s">
        <v>910</v>
      </c>
      <c r="F1070" s="44" t="s">
        <v>987</v>
      </c>
      <c r="G1070" s="50">
        <v>60.0</v>
      </c>
      <c r="H1070" s="47" t="s">
        <v>970</v>
      </c>
      <c r="I1070" s="47" t="s">
        <v>819</v>
      </c>
      <c r="J1070" s="44">
        <v>10.815858</v>
      </c>
      <c r="K1070" s="48">
        <v>106.598525</v>
      </c>
    </row>
    <row r="1071" ht="22.5" customHeight="1">
      <c r="A1071" s="44" t="s">
        <v>899</v>
      </c>
      <c r="B1071" s="44" t="s">
        <v>1479</v>
      </c>
      <c r="C1071" s="44" t="s">
        <v>3761</v>
      </c>
      <c r="D1071" s="44" t="s">
        <v>1478</v>
      </c>
      <c r="E1071" s="49" t="s">
        <v>910</v>
      </c>
      <c r="F1071" s="44" t="s">
        <v>987</v>
      </c>
      <c r="G1071" s="50">
        <v>60.0</v>
      </c>
      <c r="H1071" s="47" t="s">
        <v>970</v>
      </c>
      <c r="I1071" s="47" t="s">
        <v>899</v>
      </c>
      <c r="J1071" s="44">
        <v>10.818190385713</v>
      </c>
      <c r="K1071" s="48">
        <v>106.77306494654</v>
      </c>
    </row>
    <row r="1072" ht="22.5" customHeight="1">
      <c r="A1072" s="44" t="s">
        <v>820</v>
      </c>
      <c r="B1072" s="44" t="s">
        <v>1112</v>
      </c>
      <c r="C1072" s="44" t="s">
        <v>3762</v>
      </c>
      <c r="D1072" s="44" t="s">
        <v>1111</v>
      </c>
      <c r="E1072" s="49" t="s">
        <v>910</v>
      </c>
      <c r="F1072" s="44" t="s">
        <v>987</v>
      </c>
      <c r="G1072" s="50">
        <v>60.0</v>
      </c>
      <c r="H1072" s="47" t="s">
        <v>970</v>
      </c>
      <c r="I1072" s="47" t="s">
        <v>820</v>
      </c>
      <c r="J1072" s="44">
        <v>10.776181930644</v>
      </c>
      <c r="K1072" s="48">
        <v>106.60704498401</v>
      </c>
    </row>
    <row r="1073" ht="22.5" customHeight="1">
      <c r="A1073" s="44" t="s">
        <v>811</v>
      </c>
      <c r="B1073" s="44" t="s">
        <v>2625</v>
      </c>
      <c r="C1073" s="44" t="s">
        <v>3763</v>
      </c>
      <c r="D1073" s="44" t="s">
        <v>1116</v>
      </c>
      <c r="E1073" s="49" t="s">
        <v>910</v>
      </c>
      <c r="F1073" s="44" t="s">
        <v>987</v>
      </c>
      <c r="G1073" s="50">
        <v>60.0</v>
      </c>
      <c r="H1073" s="47" t="s">
        <v>970</v>
      </c>
      <c r="I1073" s="47" t="s">
        <v>811</v>
      </c>
      <c r="J1073" s="44">
        <v>10.747607</v>
      </c>
      <c r="K1073" s="48">
        <v>106.688976</v>
      </c>
    </row>
    <row r="1074" ht="22.5" customHeight="1">
      <c r="A1074" s="44" t="s">
        <v>900</v>
      </c>
      <c r="B1074" s="44" t="s">
        <v>978</v>
      </c>
      <c r="C1074" s="44" t="s">
        <v>3764</v>
      </c>
      <c r="D1074" s="44" t="s">
        <v>1268</v>
      </c>
      <c r="E1074" s="49" t="s">
        <v>910</v>
      </c>
      <c r="F1074" s="44" t="s">
        <v>987</v>
      </c>
      <c r="G1074" s="50">
        <v>60.0</v>
      </c>
      <c r="H1074" s="47" t="s">
        <v>970</v>
      </c>
      <c r="I1074" s="47" t="s">
        <v>900</v>
      </c>
      <c r="J1074" s="44">
        <v>10.790614</v>
      </c>
      <c r="K1074" s="48">
        <v>106.688313</v>
      </c>
    </row>
    <row r="1075" ht="22.5" customHeight="1">
      <c r="A1075" s="44" t="s">
        <v>901</v>
      </c>
      <c r="B1075" s="44" t="s">
        <v>1562</v>
      </c>
      <c r="C1075" s="44" t="s">
        <v>3765</v>
      </c>
      <c r="D1075" s="44" t="s">
        <v>1047</v>
      </c>
      <c r="E1075" s="49" t="s">
        <v>910</v>
      </c>
      <c r="F1075" s="44" t="s">
        <v>987</v>
      </c>
      <c r="G1075" s="50">
        <v>60.0</v>
      </c>
      <c r="H1075" s="47" t="s">
        <v>970</v>
      </c>
      <c r="I1075" s="47" t="s">
        <v>901</v>
      </c>
      <c r="J1075" s="44">
        <v>10.800274</v>
      </c>
      <c r="K1075" s="48">
        <v>106.710945</v>
      </c>
    </row>
    <row r="1076" ht="22.5" customHeight="1">
      <c r="A1076" s="44" t="s">
        <v>822</v>
      </c>
      <c r="B1076" s="44" t="s">
        <v>1284</v>
      </c>
      <c r="C1076" s="44" t="s">
        <v>3766</v>
      </c>
      <c r="D1076" s="44" t="s">
        <v>1345</v>
      </c>
      <c r="E1076" s="49" t="s">
        <v>910</v>
      </c>
      <c r="F1076" s="44" t="s">
        <v>987</v>
      </c>
      <c r="G1076" s="50">
        <v>60.0</v>
      </c>
      <c r="H1076" s="47" t="s">
        <v>970</v>
      </c>
      <c r="I1076" s="47" t="s">
        <v>822</v>
      </c>
      <c r="J1076" s="44">
        <v>10.761946</v>
      </c>
      <c r="K1076" s="48">
        <v>106.65693</v>
      </c>
    </row>
    <row r="1077" ht="22.5" customHeight="1">
      <c r="A1077" s="44" t="s">
        <v>824</v>
      </c>
      <c r="B1077" s="44" t="s">
        <v>2008</v>
      </c>
      <c r="C1077" s="44" t="s">
        <v>3767</v>
      </c>
      <c r="D1077" s="44" t="s">
        <v>1628</v>
      </c>
      <c r="E1077" s="49" t="s">
        <v>910</v>
      </c>
      <c r="F1077" s="44" t="s">
        <v>987</v>
      </c>
      <c r="G1077" s="44">
        <v>60.0</v>
      </c>
      <c r="H1077" s="47" t="s">
        <v>970</v>
      </c>
      <c r="I1077" s="47" t="s">
        <v>824</v>
      </c>
      <c r="J1077" s="44">
        <v>10.77995</v>
      </c>
      <c r="K1077" s="48">
        <v>106.649843</v>
      </c>
    </row>
    <row r="1078" ht="22.5" customHeight="1">
      <c r="A1078" s="44" t="s">
        <v>825</v>
      </c>
      <c r="B1078" s="44" t="s">
        <v>3768</v>
      </c>
      <c r="C1078" s="44" t="s">
        <v>3769</v>
      </c>
      <c r="D1078" s="44" t="s">
        <v>1359</v>
      </c>
      <c r="E1078" s="49"/>
      <c r="F1078" s="44" t="s">
        <v>1098</v>
      </c>
      <c r="G1078" s="44"/>
      <c r="H1078" s="47" t="s">
        <v>970</v>
      </c>
      <c r="I1078" s="47" t="s">
        <v>825</v>
      </c>
      <c r="J1078" s="44">
        <v>10.753095</v>
      </c>
      <c r="K1078" s="48">
        <v>106.650836</v>
      </c>
    </row>
    <row r="1079" ht="22.5" customHeight="1">
      <c r="A1079" s="44" t="s">
        <v>902</v>
      </c>
      <c r="B1079" s="44" t="s">
        <v>3770</v>
      </c>
      <c r="C1079" s="44" t="s">
        <v>3771</v>
      </c>
      <c r="D1079" s="44" t="s">
        <v>977</v>
      </c>
      <c r="E1079" s="49" t="s">
        <v>910</v>
      </c>
      <c r="F1079" s="44" t="s">
        <v>987</v>
      </c>
      <c r="G1079" s="44">
        <v>60.0</v>
      </c>
      <c r="H1079" s="47" t="s">
        <v>970</v>
      </c>
      <c r="I1079" s="47" t="s">
        <v>902</v>
      </c>
      <c r="J1079" s="44">
        <v>10.786807</v>
      </c>
      <c r="K1079" s="48">
        <v>106.679405</v>
      </c>
    </row>
    <row r="1080" ht="22.5" customHeight="1">
      <c r="A1080" s="44" t="s">
        <v>3772</v>
      </c>
      <c r="B1080" s="44" t="s">
        <v>3773</v>
      </c>
      <c r="C1080" s="44" t="s">
        <v>3774</v>
      </c>
      <c r="D1080" s="44" t="s">
        <v>1268</v>
      </c>
      <c r="E1080" s="49"/>
      <c r="F1080" s="44" t="s">
        <v>1098</v>
      </c>
      <c r="G1080" s="44"/>
      <c r="H1080" s="47" t="s">
        <v>970</v>
      </c>
      <c r="I1080" s="47" t="s">
        <v>826</v>
      </c>
      <c r="J1080" s="44">
        <v>10.780515</v>
      </c>
      <c r="K1080" s="48">
        <v>106.687882</v>
      </c>
    </row>
    <row r="1081" ht="22.5" customHeight="1">
      <c r="A1081" s="44" t="s">
        <v>3775</v>
      </c>
      <c r="B1081" s="44" t="s">
        <v>3776</v>
      </c>
      <c r="C1081" s="44" t="s">
        <v>3777</v>
      </c>
      <c r="D1081" s="44" t="s">
        <v>1496</v>
      </c>
      <c r="E1081" s="49"/>
      <c r="F1081" s="44" t="s">
        <v>1098</v>
      </c>
      <c r="G1081" s="44"/>
      <c r="H1081" s="47" t="s">
        <v>970</v>
      </c>
      <c r="I1081" s="47" t="s">
        <v>804</v>
      </c>
      <c r="J1081" s="44">
        <v>10.75463971485</v>
      </c>
      <c r="K1081" s="48">
        <v>106.70528114439</v>
      </c>
    </row>
    <row r="1082" ht="22.5" customHeight="1">
      <c r="A1082" s="44" t="s">
        <v>3778</v>
      </c>
      <c r="B1082" s="44" t="s">
        <v>3779</v>
      </c>
      <c r="C1082" s="44" t="s">
        <v>3780</v>
      </c>
      <c r="D1082" s="44" t="s">
        <v>1583</v>
      </c>
      <c r="E1082" s="49"/>
      <c r="F1082" s="44" t="s">
        <v>1098</v>
      </c>
      <c r="G1082" s="44"/>
      <c r="H1082" s="47" t="s">
        <v>970</v>
      </c>
      <c r="I1082" s="47" t="s">
        <v>870</v>
      </c>
      <c r="J1082" s="44">
        <v>10.033812583157</v>
      </c>
      <c r="K1082" s="48">
        <v>105.76373482505</v>
      </c>
    </row>
    <row r="1083" ht="22.5" customHeight="1">
      <c r="A1083" s="44" t="s">
        <v>3781</v>
      </c>
      <c r="B1083" s="44" t="s">
        <v>3782</v>
      </c>
      <c r="C1083" s="44" t="s">
        <v>3783</v>
      </c>
      <c r="D1083" s="44" t="s">
        <v>1303</v>
      </c>
      <c r="E1083" s="49"/>
      <c r="F1083" s="44" t="s">
        <v>1098</v>
      </c>
      <c r="G1083" s="44"/>
      <c r="H1083" s="47" t="s">
        <v>970</v>
      </c>
      <c r="I1083" s="47" t="s">
        <v>789</v>
      </c>
      <c r="J1083" s="44">
        <v>10.692192</v>
      </c>
      <c r="K1083" s="48">
        <v>106.584549</v>
      </c>
    </row>
    <row r="1084" ht="22.5" customHeight="1">
      <c r="A1084" s="44" t="s">
        <v>3784</v>
      </c>
      <c r="B1084" s="44" t="s">
        <v>3785</v>
      </c>
      <c r="C1084" s="44" t="s">
        <v>3786</v>
      </c>
      <c r="D1084" s="44" t="s">
        <v>1303</v>
      </c>
      <c r="E1084" s="49"/>
      <c r="F1084" s="44" t="s">
        <v>1098</v>
      </c>
      <c r="G1084" s="44"/>
      <c r="H1084" s="47" t="s">
        <v>970</v>
      </c>
      <c r="I1084" s="47" t="s">
        <v>789</v>
      </c>
      <c r="J1084" s="44">
        <v>10.711246</v>
      </c>
      <c r="K1084" s="48">
        <v>106.57675</v>
      </c>
    </row>
    <row r="1085" ht="22.5" customHeight="1">
      <c r="A1085" s="44" t="s">
        <v>3787</v>
      </c>
      <c r="B1085" s="44" t="s">
        <v>3788</v>
      </c>
      <c r="C1085" s="44" t="s">
        <v>3789</v>
      </c>
      <c r="D1085" s="44" t="s">
        <v>1433</v>
      </c>
      <c r="E1085" s="49"/>
      <c r="F1085" s="44" t="s">
        <v>1098</v>
      </c>
      <c r="G1085" s="44"/>
      <c r="H1085" s="47" t="s">
        <v>970</v>
      </c>
      <c r="I1085" s="47" t="s">
        <v>813</v>
      </c>
      <c r="J1085" s="44">
        <v>10.762477</v>
      </c>
      <c r="K1085" s="48">
        <v>106.670201</v>
      </c>
    </row>
    <row r="1086" ht="22.5" customHeight="1">
      <c r="A1086" s="44" t="s">
        <v>3790</v>
      </c>
      <c r="B1086" s="44" t="s">
        <v>3791</v>
      </c>
      <c r="C1086" s="44" t="s">
        <v>3280</v>
      </c>
      <c r="D1086" s="44" t="s">
        <v>1433</v>
      </c>
      <c r="E1086" s="49"/>
      <c r="F1086" s="44" t="s">
        <v>1098</v>
      </c>
      <c r="G1086" s="44"/>
      <c r="H1086" s="47" t="s">
        <v>970</v>
      </c>
      <c r="I1086" s="47" t="s">
        <v>910</v>
      </c>
      <c r="J1086" s="44">
        <v>10.76856</v>
      </c>
      <c r="K1086" s="48">
        <v>106.670159</v>
      </c>
    </row>
    <row r="1087" ht="22.5" customHeight="1">
      <c r="A1087" s="44" t="s">
        <v>3792</v>
      </c>
      <c r="B1087" s="44" t="s">
        <v>3793</v>
      </c>
      <c r="C1087" s="44" t="s">
        <v>3794</v>
      </c>
      <c r="D1087" s="44" t="s">
        <v>1442</v>
      </c>
      <c r="E1087" s="49"/>
      <c r="F1087" s="44" t="s">
        <v>1098</v>
      </c>
      <c r="G1087" s="44"/>
      <c r="H1087" s="47" t="s">
        <v>970</v>
      </c>
      <c r="I1087" s="47" t="s">
        <v>804</v>
      </c>
      <c r="J1087" s="44">
        <v>10.764198</v>
      </c>
      <c r="K1087" s="48">
        <v>106.693809</v>
      </c>
    </row>
    <row r="1088" ht="22.5" customHeight="1">
      <c r="A1088" s="44" t="s">
        <v>3795</v>
      </c>
      <c r="B1088" s="44" t="s">
        <v>3796</v>
      </c>
      <c r="C1088" s="44" t="s">
        <v>3797</v>
      </c>
      <c r="D1088" s="44" t="s">
        <v>1802</v>
      </c>
      <c r="E1088" s="49"/>
      <c r="F1088" s="44" t="s">
        <v>1098</v>
      </c>
      <c r="G1088" s="44"/>
      <c r="H1088" s="47" t="s">
        <v>970</v>
      </c>
      <c r="I1088" s="47" t="s">
        <v>826</v>
      </c>
      <c r="J1088" s="44">
        <v>10.768858258243</v>
      </c>
      <c r="K1088" s="48">
        <v>106.68590880732</v>
      </c>
    </row>
    <row r="1089" ht="22.5" customHeight="1">
      <c r="A1089" s="44" t="s">
        <v>3798</v>
      </c>
      <c r="B1089" s="44" t="s">
        <v>3799</v>
      </c>
      <c r="C1089" s="44" t="s">
        <v>3800</v>
      </c>
      <c r="D1089" s="44" t="s">
        <v>1135</v>
      </c>
      <c r="E1089" s="49"/>
      <c r="F1089" s="44" t="s">
        <v>1098</v>
      </c>
      <c r="G1089" s="44"/>
      <c r="H1089" s="47" t="s">
        <v>970</v>
      </c>
      <c r="I1089" s="47" t="s">
        <v>888</v>
      </c>
      <c r="J1089" s="44">
        <v>10.780842</v>
      </c>
      <c r="K1089" s="48">
        <v>106.702319</v>
      </c>
    </row>
    <row r="1090" ht="22.5" customHeight="1">
      <c r="A1090" s="44" t="s">
        <v>3801</v>
      </c>
      <c r="B1090" s="44" t="s">
        <v>3802</v>
      </c>
      <c r="C1090" s="44" t="s">
        <v>3803</v>
      </c>
      <c r="D1090" s="44" t="s">
        <v>1268</v>
      </c>
      <c r="E1090" s="49"/>
      <c r="F1090" s="44" t="s">
        <v>1098</v>
      </c>
      <c r="G1090" s="44"/>
      <c r="H1090" s="47" t="s">
        <v>970</v>
      </c>
      <c r="I1090" s="47" t="s">
        <v>826</v>
      </c>
      <c r="J1090" s="44">
        <v>10.776407</v>
      </c>
      <c r="K1090" s="48">
        <v>106.686573</v>
      </c>
    </row>
    <row r="1091" ht="22.5" customHeight="1">
      <c r="A1091" s="44" t="s">
        <v>3804</v>
      </c>
      <c r="B1091" s="44" t="s">
        <v>3805</v>
      </c>
      <c r="C1091" s="44" t="s">
        <v>3806</v>
      </c>
      <c r="D1091" s="44" t="s">
        <v>1268</v>
      </c>
      <c r="E1091" s="49"/>
      <c r="F1091" s="44" t="s">
        <v>1098</v>
      </c>
      <c r="G1091" s="44"/>
      <c r="H1091" s="47" t="s">
        <v>970</v>
      </c>
      <c r="I1091" s="47" t="s">
        <v>900</v>
      </c>
      <c r="J1091" s="44">
        <v>10.786238</v>
      </c>
      <c r="K1091" s="48">
        <v>106.688671</v>
      </c>
    </row>
    <row r="1092" ht="22.5" customHeight="1">
      <c r="A1092" s="44" t="s">
        <v>3807</v>
      </c>
      <c r="B1092" s="44" t="s">
        <v>3808</v>
      </c>
      <c r="C1092" s="44" t="s">
        <v>3809</v>
      </c>
      <c r="D1092" s="44" t="s">
        <v>1268</v>
      </c>
      <c r="E1092" s="49"/>
      <c r="F1092" s="44" t="s">
        <v>1098</v>
      </c>
      <c r="G1092" s="44"/>
      <c r="H1092" s="47" t="s">
        <v>970</v>
      </c>
      <c r="I1092" s="47" t="s">
        <v>826</v>
      </c>
      <c r="J1092" s="44">
        <v>10.782083</v>
      </c>
      <c r="K1092" s="48">
        <v>106.684596</v>
      </c>
    </row>
    <row r="1093" ht="22.5" customHeight="1">
      <c r="A1093" s="44" t="s">
        <v>3810</v>
      </c>
      <c r="B1093" s="44" t="s">
        <v>3811</v>
      </c>
      <c r="C1093" s="44" t="s">
        <v>3812</v>
      </c>
      <c r="D1093" s="44" t="s">
        <v>1359</v>
      </c>
      <c r="E1093" s="49"/>
      <c r="F1093" s="44" t="s">
        <v>1098</v>
      </c>
      <c r="G1093" s="44"/>
      <c r="H1093" s="47" t="s">
        <v>970</v>
      </c>
      <c r="I1093" s="47" t="s">
        <v>822</v>
      </c>
      <c r="J1093" s="44">
        <v>10.754367</v>
      </c>
      <c r="K1093" s="48">
        <v>106.663313</v>
      </c>
    </row>
    <row r="1094" ht="22.5" customHeight="1">
      <c r="A1094" s="44" t="s">
        <v>3813</v>
      </c>
      <c r="B1094" s="44" t="s">
        <v>3814</v>
      </c>
      <c r="C1094" s="44" t="s">
        <v>3815</v>
      </c>
      <c r="D1094" s="44" t="s">
        <v>1359</v>
      </c>
      <c r="E1094" s="49"/>
      <c r="F1094" s="44" t="s">
        <v>1098</v>
      </c>
      <c r="G1094" s="44"/>
      <c r="H1094" s="47" t="s">
        <v>970</v>
      </c>
      <c r="I1094" s="47" t="s">
        <v>822</v>
      </c>
      <c r="J1094" s="44">
        <v>10.756145</v>
      </c>
      <c r="K1094" s="48">
        <v>106.662004</v>
      </c>
    </row>
    <row r="1095" ht="22.5" customHeight="1">
      <c r="A1095" s="44" t="s">
        <v>3816</v>
      </c>
      <c r="B1095" s="44" t="s">
        <v>3817</v>
      </c>
      <c r="C1095" s="44" t="s">
        <v>3818</v>
      </c>
      <c r="D1095" s="44" t="s">
        <v>1359</v>
      </c>
      <c r="E1095" s="49"/>
      <c r="F1095" s="44" t="s">
        <v>1098</v>
      </c>
      <c r="G1095" s="44"/>
      <c r="H1095" s="47" t="s">
        <v>970</v>
      </c>
      <c r="I1095" s="47" t="s">
        <v>822</v>
      </c>
      <c r="J1095" s="44">
        <v>10.757837</v>
      </c>
      <c r="K1095" s="48">
        <v>106.659521</v>
      </c>
    </row>
    <row r="1096" ht="22.5" customHeight="1">
      <c r="A1096" s="44" t="s">
        <v>3819</v>
      </c>
      <c r="B1096" s="44" t="s">
        <v>3820</v>
      </c>
      <c r="C1096" s="44" t="s">
        <v>3821</v>
      </c>
      <c r="D1096" s="44" t="s">
        <v>1359</v>
      </c>
      <c r="E1096" s="49"/>
      <c r="F1096" s="44" t="s">
        <v>1098</v>
      </c>
      <c r="G1096" s="44"/>
      <c r="H1096" s="47" t="s">
        <v>970</v>
      </c>
      <c r="I1096" s="47" t="s">
        <v>813</v>
      </c>
      <c r="J1096" s="44">
        <v>10.757282</v>
      </c>
      <c r="K1096" s="48">
        <v>106.665903</v>
      </c>
    </row>
    <row r="1097" ht="22.5" customHeight="1">
      <c r="A1097" s="44" t="s">
        <v>3822</v>
      </c>
      <c r="B1097" s="44" t="s">
        <v>3823</v>
      </c>
      <c r="C1097" s="44" t="s">
        <v>3812</v>
      </c>
      <c r="D1097" s="44" t="s">
        <v>1359</v>
      </c>
      <c r="E1097" s="49"/>
      <c r="F1097" s="44" t="s">
        <v>1098</v>
      </c>
      <c r="G1097" s="44"/>
      <c r="H1097" s="47" t="s">
        <v>970</v>
      </c>
      <c r="I1097" s="47" t="s">
        <v>822</v>
      </c>
      <c r="J1097" s="44">
        <v>10.754367</v>
      </c>
      <c r="K1097" s="48">
        <v>106.663313</v>
      </c>
    </row>
    <row r="1098" ht="22.5" customHeight="1">
      <c r="A1098" s="44" t="s">
        <v>3824</v>
      </c>
      <c r="B1098" s="44" t="s">
        <v>3825</v>
      </c>
      <c r="C1098" s="44" t="s">
        <v>3826</v>
      </c>
      <c r="D1098" s="44" t="s">
        <v>1014</v>
      </c>
      <c r="E1098" s="49"/>
      <c r="F1098" s="44" t="s">
        <v>1098</v>
      </c>
      <c r="G1098" s="44"/>
      <c r="H1098" s="47" t="s">
        <v>970</v>
      </c>
      <c r="I1098" s="47" t="s">
        <v>813</v>
      </c>
      <c r="J1098" s="44">
        <v>10.755747</v>
      </c>
      <c r="K1098" s="48">
        <v>106.683355</v>
      </c>
    </row>
    <row r="1099" ht="22.5" customHeight="1">
      <c r="A1099" s="44" t="s">
        <v>3827</v>
      </c>
      <c r="B1099" s="44" t="s">
        <v>3828</v>
      </c>
      <c r="C1099" s="44" t="s">
        <v>3829</v>
      </c>
      <c r="D1099" s="44" t="s">
        <v>1014</v>
      </c>
      <c r="E1099" s="49"/>
      <c r="F1099" s="44" t="s">
        <v>1098</v>
      </c>
      <c r="G1099" s="44"/>
      <c r="H1099" s="47" t="s">
        <v>970</v>
      </c>
      <c r="I1099" s="47" t="s">
        <v>813</v>
      </c>
      <c r="J1099" s="44">
        <v>10.753165</v>
      </c>
      <c r="K1099" s="48">
        <v>106.677778</v>
      </c>
    </row>
    <row r="1100" ht="22.5" customHeight="1">
      <c r="A1100" s="44" t="s">
        <v>3830</v>
      </c>
      <c r="B1100" s="44" t="s">
        <v>3831</v>
      </c>
      <c r="C1100" s="44" t="s">
        <v>3832</v>
      </c>
      <c r="D1100" s="44" t="s">
        <v>973</v>
      </c>
      <c r="E1100" s="49"/>
      <c r="F1100" s="44" t="s">
        <v>1098</v>
      </c>
      <c r="G1100" s="44"/>
      <c r="H1100" s="47" t="s">
        <v>970</v>
      </c>
      <c r="I1100" s="47" t="s">
        <v>811</v>
      </c>
      <c r="J1100" s="44">
        <v>10.74857</v>
      </c>
      <c r="K1100" s="48">
        <v>106.699565</v>
      </c>
    </row>
    <row r="1101" ht="22.5" customHeight="1">
      <c r="A1101" s="44" t="s">
        <v>3833</v>
      </c>
      <c r="B1101" s="44" t="s">
        <v>3834</v>
      </c>
      <c r="C1101" s="44" t="s">
        <v>3835</v>
      </c>
      <c r="D1101" s="44" t="s">
        <v>1116</v>
      </c>
      <c r="E1101" s="49"/>
      <c r="F1101" s="44" t="s">
        <v>1098</v>
      </c>
      <c r="G1101" s="44"/>
      <c r="H1101" s="47" t="s">
        <v>970</v>
      </c>
      <c r="I1101" s="47" t="s">
        <v>813</v>
      </c>
      <c r="J1101" s="44">
        <v>10.749211</v>
      </c>
      <c r="K1101" s="48">
        <v>106.678475</v>
      </c>
    </row>
    <row r="1102" ht="22.5" customHeight="1">
      <c r="A1102" s="44" t="s">
        <v>3836</v>
      </c>
      <c r="B1102" s="44" t="s">
        <v>3837</v>
      </c>
      <c r="C1102" s="44" t="s">
        <v>3838</v>
      </c>
      <c r="D1102" s="44" t="s">
        <v>990</v>
      </c>
      <c r="E1102" s="49"/>
      <c r="F1102" s="44" t="s">
        <v>1098</v>
      </c>
      <c r="G1102" s="44"/>
      <c r="H1102" s="47" t="s">
        <v>970</v>
      </c>
      <c r="I1102" s="47" t="s">
        <v>882</v>
      </c>
      <c r="J1102" s="44">
        <v>10.703806</v>
      </c>
      <c r="K1102" s="48">
        <v>106.72742</v>
      </c>
    </row>
    <row r="1103" ht="22.5" customHeight="1">
      <c r="A1103" s="44" t="s">
        <v>3839</v>
      </c>
      <c r="B1103" s="44" t="s">
        <v>3840</v>
      </c>
      <c r="C1103" s="44" t="s">
        <v>3841</v>
      </c>
      <c r="D1103" s="44" t="s">
        <v>1042</v>
      </c>
      <c r="E1103" s="49"/>
      <c r="F1103" s="44" t="s">
        <v>1098</v>
      </c>
      <c r="G1103" s="44"/>
      <c r="H1103" s="47" t="s">
        <v>970</v>
      </c>
      <c r="I1103" s="47" t="s">
        <v>901</v>
      </c>
      <c r="J1103" s="44">
        <v>10.814743</v>
      </c>
      <c r="K1103" s="48">
        <v>106.711504</v>
      </c>
    </row>
    <row r="1104" ht="22.5" customHeight="1">
      <c r="A1104" s="44" t="s">
        <v>181</v>
      </c>
      <c r="B1104" s="44" t="s">
        <v>3842</v>
      </c>
      <c r="C1104" s="44" t="s">
        <v>3843</v>
      </c>
      <c r="D1104" s="44" t="s">
        <v>990</v>
      </c>
      <c r="E1104" s="49"/>
      <c r="F1104" s="44" t="s">
        <v>1098</v>
      </c>
      <c r="G1104" s="44"/>
      <c r="H1104" s="47" t="s">
        <v>970</v>
      </c>
      <c r="I1104" s="47" t="s">
        <v>894</v>
      </c>
      <c r="J1104" s="44">
        <v>10.737331</v>
      </c>
      <c r="K1104" s="48">
        <v>106.724166</v>
      </c>
    </row>
    <row r="1105" ht="22.5" customHeight="1">
      <c r="A1105" s="44" t="s">
        <v>3844</v>
      </c>
      <c r="B1105" s="44" t="s">
        <v>3845</v>
      </c>
      <c r="C1105" s="44" t="s">
        <v>3846</v>
      </c>
      <c r="D1105" s="44" t="s">
        <v>1093</v>
      </c>
      <c r="E1105" s="49"/>
      <c r="F1105" s="44" t="s">
        <v>1098</v>
      </c>
      <c r="G1105" s="44"/>
      <c r="H1105" s="47" t="s">
        <v>970</v>
      </c>
      <c r="I1105" s="47" t="s">
        <v>809</v>
      </c>
      <c r="J1105" s="44">
        <v>10.827895</v>
      </c>
      <c r="K1105" s="48">
        <v>106.679564</v>
      </c>
    </row>
    <row r="1106" ht="22.5" customHeight="1">
      <c r="A1106" s="44" t="s">
        <v>3847</v>
      </c>
      <c r="B1106" s="44" t="s">
        <v>3848</v>
      </c>
      <c r="C1106" s="44" t="s">
        <v>3849</v>
      </c>
      <c r="D1106" s="44" t="s">
        <v>1860</v>
      </c>
      <c r="E1106" s="49"/>
      <c r="F1106" s="44" t="s">
        <v>1098</v>
      </c>
      <c r="G1106" s="44"/>
      <c r="H1106" s="47" t="s">
        <v>970</v>
      </c>
      <c r="I1106" s="47" t="s">
        <v>886</v>
      </c>
      <c r="J1106" s="44">
        <v>10.806165</v>
      </c>
      <c r="K1106" s="48">
        <v>106.681408</v>
      </c>
    </row>
    <row r="1107" ht="22.5" customHeight="1">
      <c r="A1107" s="44" t="s">
        <v>3850</v>
      </c>
      <c r="B1107" s="44" t="s">
        <v>3851</v>
      </c>
      <c r="C1107" s="44" t="s">
        <v>3852</v>
      </c>
      <c r="D1107" s="44" t="s">
        <v>1368</v>
      </c>
      <c r="E1107" s="49"/>
      <c r="F1107" s="44" t="s">
        <v>1098</v>
      </c>
      <c r="G1107" s="44"/>
      <c r="H1107" s="47" t="s">
        <v>970</v>
      </c>
      <c r="I1107" s="47" t="s">
        <v>814</v>
      </c>
      <c r="J1107" s="44">
        <v>10.792831</v>
      </c>
      <c r="K1107" s="48">
        <v>106.670635</v>
      </c>
    </row>
    <row r="1108" ht="22.5" customHeight="1">
      <c r="A1108" s="44" t="s">
        <v>3853</v>
      </c>
      <c r="B1108" s="44" t="s">
        <v>3854</v>
      </c>
      <c r="C1108" s="44" t="s">
        <v>3855</v>
      </c>
      <c r="D1108" s="44" t="s">
        <v>1345</v>
      </c>
      <c r="E1108" s="49"/>
      <c r="F1108" s="44" t="s">
        <v>1098</v>
      </c>
      <c r="G1108" s="44"/>
      <c r="H1108" s="47" t="s">
        <v>970</v>
      </c>
      <c r="I1108" s="47" t="s">
        <v>822</v>
      </c>
      <c r="J1108" s="44">
        <v>10.758196</v>
      </c>
      <c r="K1108" s="48">
        <v>106.656163</v>
      </c>
    </row>
    <row r="1109" ht="22.5" customHeight="1">
      <c r="A1109" s="44" t="s">
        <v>3856</v>
      </c>
      <c r="B1109" s="44" t="s">
        <v>3857</v>
      </c>
      <c r="C1109" s="44" t="s">
        <v>3835</v>
      </c>
      <c r="D1109" s="44" t="s">
        <v>1116</v>
      </c>
      <c r="E1109" s="49"/>
      <c r="F1109" s="44" t="s">
        <v>1098</v>
      </c>
      <c r="G1109" s="44"/>
      <c r="H1109" s="47" t="s">
        <v>970</v>
      </c>
      <c r="I1109" s="47" t="s">
        <v>813</v>
      </c>
      <c r="J1109" s="44">
        <v>10.749211</v>
      </c>
      <c r="K1109" s="48">
        <v>106.678475</v>
      </c>
    </row>
    <row r="1110" ht="22.5" customHeight="1">
      <c r="A1110" s="44" t="s">
        <v>3858</v>
      </c>
      <c r="B1110" s="44" t="s">
        <v>3859</v>
      </c>
      <c r="C1110" s="44" t="s">
        <v>3860</v>
      </c>
      <c r="D1110" s="44" t="s">
        <v>1359</v>
      </c>
      <c r="E1110" s="49"/>
      <c r="F1110" s="44" t="s">
        <v>1098</v>
      </c>
      <c r="G1110" s="44"/>
      <c r="H1110" s="47" t="s">
        <v>970</v>
      </c>
      <c r="I1110" s="47" t="s">
        <v>813</v>
      </c>
      <c r="J1110" s="44">
        <v>10.756407</v>
      </c>
      <c r="K1110" s="48">
        <v>106.665882</v>
      </c>
    </row>
    <row r="1111" ht="22.5" customHeight="1">
      <c r="A1111" s="44" t="s">
        <v>3861</v>
      </c>
      <c r="B1111" s="44" t="s">
        <v>3862</v>
      </c>
      <c r="C1111" s="44" t="s">
        <v>3863</v>
      </c>
      <c r="D1111" s="44" t="s">
        <v>1303</v>
      </c>
      <c r="E1111" s="49"/>
      <c r="F1111" s="44" t="s">
        <v>1098</v>
      </c>
      <c r="G1111" s="44"/>
      <c r="H1111" s="47" t="s">
        <v>970</v>
      </c>
      <c r="I1111" s="47" t="s">
        <v>789</v>
      </c>
      <c r="J1111" s="44">
        <v>10.709293</v>
      </c>
      <c r="K1111" s="48">
        <v>106.576039</v>
      </c>
    </row>
    <row r="1112" ht="22.5" customHeight="1">
      <c r="A1112" s="44" t="s">
        <v>3864</v>
      </c>
      <c r="B1112" s="44" t="s">
        <v>3865</v>
      </c>
      <c r="C1112" s="44" t="s">
        <v>3866</v>
      </c>
      <c r="D1112" s="44" t="s">
        <v>1359</v>
      </c>
      <c r="E1112" s="49"/>
      <c r="F1112" s="44" t="s">
        <v>1098</v>
      </c>
      <c r="G1112" s="44"/>
      <c r="H1112" s="47" t="s">
        <v>970</v>
      </c>
      <c r="I1112" s="47" t="s">
        <v>813</v>
      </c>
      <c r="J1112" s="44">
        <v>10.75524</v>
      </c>
      <c r="K1112" s="48">
        <v>106.664471</v>
      </c>
    </row>
    <row r="1113" ht="22.5" customHeight="1">
      <c r="A1113" s="44" t="s">
        <v>3867</v>
      </c>
      <c r="B1113" s="44" t="s">
        <v>3868</v>
      </c>
      <c r="C1113" s="44" t="s">
        <v>3869</v>
      </c>
      <c r="D1113" s="44" t="s">
        <v>1303</v>
      </c>
      <c r="E1113" s="49"/>
      <c r="F1113" s="44" t="s">
        <v>1098</v>
      </c>
      <c r="G1113" s="44"/>
      <c r="H1113" s="47" t="s">
        <v>970</v>
      </c>
      <c r="I1113" s="47" t="s">
        <v>789</v>
      </c>
      <c r="J1113" s="44">
        <v>10.710995</v>
      </c>
      <c r="K1113" s="48">
        <v>106.576522</v>
      </c>
    </row>
    <row r="1114" ht="22.5" customHeight="1">
      <c r="A1114" s="44" t="s">
        <v>3870</v>
      </c>
      <c r="B1114" s="44" t="s">
        <v>3871</v>
      </c>
      <c r="C1114" s="44" t="s">
        <v>3872</v>
      </c>
      <c r="D1114" s="44" t="s">
        <v>1345</v>
      </c>
      <c r="E1114" s="49"/>
      <c r="F1114" s="44" t="s">
        <v>1098</v>
      </c>
      <c r="G1114" s="44"/>
      <c r="H1114" s="47" t="s">
        <v>970</v>
      </c>
      <c r="I1114" s="47" t="s">
        <v>822</v>
      </c>
      <c r="J1114" s="44">
        <v>10.763451</v>
      </c>
      <c r="K1114" s="48">
        <v>106.659648</v>
      </c>
    </row>
    <row r="1115" ht="22.5" customHeight="1">
      <c r="A1115" s="44" t="s">
        <v>3873</v>
      </c>
      <c r="B1115" s="44" t="s">
        <v>3874</v>
      </c>
      <c r="C1115" s="44" t="s">
        <v>3875</v>
      </c>
      <c r="D1115" s="44" t="s">
        <v>2067</v>
      </c>
      <c r="E1115" s="49"/>
      <c r="F1115" s="44" t="s">
        <v>1098</v>
      </c>
      <c r="G1115" s="44"/>
      <c r="H1115" s="47" t="s">
        <v>970</v>
      </c>
      <c r="I1115" s="47" t="s">
        <v>900</v>
      </c>
      <c r="J1115" s="44">
        <v>10.800129</v>
      </c>
      <c r="K1115" s="48">
        <v>106.684241</v>
      </c>
    </row>
    <row r="1116" ht="22.5" customHeight="1">
      <c r="A1116" s="44" t="s">
        <v>3876</v>
      </c>
      <c r="B1116" s="44" t="s">
        <v>3877</v>
      </c>
      <c r="C1116" s="44" t="s">
        <v>3878</v>
      </c>
      <c r="D1116" s="44" t="s">
        <v>1303</v>
      </c>
      <c r="E1116" s="49"/>
      <c r="F1116" s="44" t="s">
        <v>1098</v>
      </c>
      <c r="G1116" s="50"/>
      <c r="H1116" s="47" t="s">
        <v>970</v>
      </c>
      <c r="I1116" s="47" t="s">
        <v>789</v>
      </c>
      <c r="J1116" s="44">
        <v>10.709293</v>
      </c>
      <c r="K1116" s="48">
        <v>106.576039</v>
      </c>
    </row>
    <row r="1117" ht="22.5" customHeight="1">
      <c r="A1117" s="44" t="s">
        <v>3879</v>
      </c>
      <c r="B1117" s="44" t="s">
        <v>3880</v>
      </c>
      <c r="C1117" s="44" t="s">
        <v>3881</v>
      </c>
      <c r="D1117" s="44" t="s">
        <v>1359</v>
      </c>
      <c r="E1117" s="49"/>
      <c r="F1117" s="44" t="s">
        <v>1098</v>
      </c>
      <c r="G1117" s="44"/>
      <c r="H1117" s="47" t="s">
        <v>970</v>
      </c>
      <c r="I1117" s="47" t="s">
        <v>822</v>
      </c>
      <c r="J1117" s="44">
        <v>10.756804</v>
      </c>
      <c r="K1117" s="48">
        <v>106.662051</v>
      </c>
    </row>
    <row r="1118" ht="22.5" customHeight="1">
      <c r="A1118" s="44" t="s">
        <v>3882</v>
      </c>
      <c r="B1118" s="44" t="s">
        <v>3883</v>
      </c>
      <c r="C1118" s="44" t="s">
        <v>3884</v>
      </c>
      <c r="D1118" s="44" t="s">
        <v>973</v>
      </c>
      <c r="E1118" s="49"/>
      <c r="F1118" s="44" t="s">
        <v>1098</v>
      </c>
      <c r="G1118" s="44"/>
      <c r="H1118" s="47" t="s">
        <v>970</v>
      </c>
      <c r="I1118" s="47" t="s">
        <v>804</v>
      </c>
      <c r="J1118" s="44">
        <v>10.748780901305</v>
      </c>
      <c r="K1118" s="48">
        <v>106.69953777366</v>
      </c>
    </row>
    <row r="1119" ht="22.5" customHeight="1">
      <c r="A1119" s="44" t="s">
        <v>3885</v>
      </c>
      <c r="B1119" s="44" t="s">
        <v>3886</v>
      </c>
      <c r="C1119" s="44" t="s">
        <v>3887</v>
      </c>
      <c r="D1119" s="44" t="s">
        <v>1129</v>
      </c>
      <c r="E1119" s="49"/>
      <c r="F1119" s="44" t="s">
        <v>1098</v>
      </c>
      <c r="G1119" s="44"/>
      <c r="H1119" s="47" t="s">
        <v>970</v>
      </c>
      <c r="I1119" s="47" t="s">
        <v>826</v>
      </c>
      <c r="J1119" s="44">
        <v>10.780695</v>
      </c>
      <c r="K1119" s="48">
        <v>106.675521</v>
      </c>
    </row>
    <row r="1120" ht="22.5" customHeight="1">
      <c r="A1120" s="44" t="s">
        <v>3888</v>
      </c>
      <c r="B1120" s="44" t="s">
        <v>3889</v>
      </c>
      <c r="C1120" s="44" t="s">
        <v>1901</v>
      </c>
      <c r="D1120" s="44" t="s">
        <v>1433</v>
      </c>
      <c r="E1120" s="49"/>
      <c r="F1120" s="44" t="s">
        <v>1098</v>
      </c>
      <c r="G1120" s="44"/>
      <c r="H1120" s="47" t="s">
        <v>970</v>
      </c>
      <c r="I1120" s="47" t="s">
        <v>910</v>
      </c>
      <c r="J1120" s="44">
        <v>10.76856</v>
      </c>
      <c r="K1120" s="48">
        <v>106.670159</v>
      </c>
    </row>
    <row r="1121" ht="22.5" customHeight="1">
      <c r="A1121" s="44" t="s">
        <v>3890</v>
      </c>
      <c r="B1121" s="44" t="s">
        <v>3891</v>
      </c>
      <c r="C1121" s="44" t="s">
        <v>3892</v>
      </c>
      <c r="D1121" s="44" t="s">
        <v>1076</v>
      </c>
      <c r="E1121" s="49"/>
      <c r="F1121" s="44" t="s">
        <v>1098</v>
      </c>
      <c r="G1121" s="44"/>
      <c r="H1121" s="47" t="s">
        <v>970</v>
      </c>
      <c r="I1121" s="47" t="s">
        <v>813</v>
      </c>
      <c r="J1121" s="44">
        <v>10.759988</v>
      </c>
      <c r="K1121" s="48">
        <v>106.672761</v>
      </c>
    </row>
    <row r="1122" ht="22.5" customHeight="1">
      <c r="A1122" s="44" t="s">
        <v>3893</v>
      </c>
      <c r="B1122" s="44" t="s">
        <v>3894</v>
      </c>
      <c r="C1122" s="44" t="s">
        <v>3895</v>
      </c>
      <c r="D1122" s="44" t="s">
        <v>1433</v>
      </c>
      <c r="E1122" s="49"/>
      <c r="F1122" s="44" t="s">
        <v>1098</v>
      </c>
      <c r="G1122" s="44"/>
      <c r="H1122" s="47" t="s">
        <v>970</v>
      </c>
      <c r="I1122" s="47" t="s">
        <v>910</v>
      </c>
      <c r="J1122" s="44">
        <v>10.771633</v>
      </c>
      <c r="K1122" s="48">
        <v>106.677567</v>
      </c>
    </row>
    <row r="1123" ht="22.5" customHeight="1">
      <c r="A1123" s="44" t="s">
        <v>3896</v>
      </c>
      <c r="B1123" s="44" t="s">
        <v>3897</v>
      </c>
      <c r="C1123" s="44" t="s">
        <v>3898</v>
      </c>
      <c r="D1123" s="44" t="s">
        <v>1129</v>
      </c>
      <c r="E1123" s="49"/>
      <c r="F1123" s="44" t="s">
        <v>1098</v>
      </c>
      <c r="G1123" s="44"/>
      <c r="H1123" s="47" t="s">
        <v>970</v>
      </c>
      <c r="I1123" s="47" t="s">
        <v>910</v>
      </c>
      <c r="J1123" s="44">
        <v>10.768896</v>
      </c>
      <c r="K1123" s="48">
        <v>106.66905</v>
      </c>
    </row>
    <row r="1124" ht="22.5" customHeight="1">
      <c r="A1124" s="44" t="s">
        <v>3899</v>
      </c>
      <c r="B1124" s="44" t="s">
        <v>3900</v>
      </c>
      <c r="C1124" s="44" t="s">
        <v>3901</v>
      </c>
      <c r="D1124" s="44" t="s">
        <v>1129</v>
      </c>
      <c r="E1124" s="49"/>
      <c r="F1124" s="44" t="s">
        <v>1098</v>
      </c>
      <c r="G1124" s="44"/>
      <c r="H1124" s="47" t="s">
        <v>970</v>
      </c>
      <c r="I1124" s="47" t="s">
        <v>910</v>
      </c>
      <c r="J1124" s="44">
        <v>10.770586</v>
      </c>
      <c r="K1124" s="48">
        <v>106.669483</v>
      </c>
    </row>
    <row r="1125" ht="22.5" customHeight="1">
      <c r="A1125" s="44" t="s">
        <v>3902</v>
      </c>
      <c r="B1125" s="44" t="s">
        <v>3903</v>
      </c>
      <c r="C1125" s="44" t="s">
        <v>3904</v>
      </c>
      <c r="D1125" s="44" t="s">
        <v>1345</v>
      </c>
      <c r="E1125" s="49"/>
      <c r="F1125" s="44" t="s">
        <v>1098</v>
      </c>
      <c r="G1125" s="44"/>
      <c r="H1125" s="47" t="s">
        <v>970</v>
      </c>
      <c r="I1125" s="47" t="s">
        <v>822</v>
      </c>
      <c r="J1125" s="44">
        <v>10.761779</v>
      </c>
      <c r="K1125" s="48">
        <v>106.660036</v>
      </c>
    </row>
    <row r="1126" ht="22.5" customHeight="1">
      <c r="A1126" s="44" t="s">
        <v>3905</v>
      </c>
      <c r="B1126" s="44" t="s">
        <v>3906</v>
      </c>
      <c r="C1126" s="44" t="s">
        <v>3907</v>
      </c>
      <c r="D1126" s="44" t="s">
        <v>1129</v>
      </c>
      <c r="E1126" s="49"/>
      <c r="F1126" s="44" t="s">
        <v>1098</v>
      </c>
      <c r="G1126" s="44"/>
      <c r="H1126" s="47" t="s">
        <v>970</v>
      </c>
      <c r="I1126" s="47" t="s">
        <v>910</v>
      </c>
      <c r="J1126" s="44">
        <v>10.774762</v>
      </c>
      <c r="K1126" s="48">
        <v>106.668304</v>
      </c>
    </row>
    <row r="1127" ht="22.5" customHeight="1">
      <c r="A1127" s="44" t="s">
        <v>3908</v>
      </c>
      <c r="B1127" s="44" t="s">
        <v>3909</v>
      </c>
      <c r="C1127" s="44" t="s">
        <v>3910</v>
      </c>
      <c r="D1127" s="44" t="s">
        <v>1014</v>
      </c>
      <c r="E1127" s="49"/>
      <c r="F1127" s="44" t="s">
        <v>1098</v>
      </c>
      <c r="G1127" s="44"/>
      <c r="H1127" s="47" t="s">
        <v>970</v>
      </c>
      <c r="I1127" s="47" t="s">
        <v>811</v>
      </c>
      <c r="J1127" s="44">
        <v>10.7555</v>
      </c>
      <c r="K1127" s="48">
        <v>106.683479</v>
      </c>
    </row>
    <row r="1128" ht="22.5" customHeight="1">
      <c r="A1128" s="44" t="s">
        <v>3911</v>
      </c>
      <c r="B1128" s="44" t="s">
        <v>3912</v>
      </c>
      <c r="C1128" s="44" t="s">
        <v>3913</v>
      </c>
      <c r="D1128" s="44" t="s">
        <v>1014</v>
      </c>
      <c r="E1128" s="49"/>
      <c r="F1128" s="44" t="s">
        <v>1098</v>
      </c>
      <c r="G1128" s="44"/>
      <c r="H1128" s="47" t="s">
        <v>970</v>
      </c>
      <c r="I1128" s="47" t="s">
        <v>813</v>
      </c>
      <c r="J1128" s="44">
        <v>10.752669</v>
      </c>
      <c r="K1128" s="48">
        <v>106.678919</v>
      </c>
    </row>
    <row r="1129" ht="22.5" customHeight="1">
      <c r="A1129" s="44" t="s">
        <v>3914</v>
      </c>
      <c r="B1129" s="44" t="s">
        <v>3915</v>
      </c>
      <c r="C1129" s="44" t="s">
        <v>3916</v>
      </c>
      <c r="D1129" s="44" t="s">
        <v>1129</v>
      </c>
      <c r="E1129" s="49"/>
      <c r="F1129" s="44" t="s">
        <v>1098</v>
      </c>
      <c r="G1129" s="44"/>
      <c r="H1129" s="47" t="s">
        <v>970</v>
      </c>
      <c r="I1129" s="47" t="s">
        <v>826</v>
      </c>
      <c r="J1129" s="44">
        <v>10.778336880981</v>
      </c>
      <c r="K1129" s="48">
        <v>106.67984741759</v>
      </c>
    </row>
    <row r="1130" ht="22.5" customHeight="1">
      <c r="A1130" s="44" t="s">
        <v>495</v>
      </c>
      <c r="B1130" s="44" t="s">
        <v>3917</v>
      </c>
      <c r="C1130" s="44" t="s">
        <v>3918</v>
      </c>
      <c r="D1130" s="44" t="s">
        <v>1268</v>
      </c>
      <c r="E1130" s="49" t="s">
        <v>910</v>
      </c>
      <c r="F1130" s="44" t="s">
        <v>987</v>
      </c>
      <c r="G1130" s="44">
        <v>69.0</v>
      </c>
      <c r="H1130" s="47" t="s">
        <v>970</v>
      </c>
      <c r="I1130" s="47" t="s">
        <v>826</v>
      </c>
      <c r="J1130" s="44">
        <v>10.776407</v>
      </c>
      <c r="K1130" s="48">
        <v>106.686573</v>
      </c>
    </row>
    <row r="1131" ht="22.5" customHeight="1">
      <c r="A1131" s="44" t="s">
        <v>585</v>
      </c>
      <c r="B1131" s="44" t="s">
        <v>3919</v>
      </c>
      <c r="C1131" s="44" t="s">
        <v>3920</v>
      </c>
      <c r="D1131" s="44" t="s">
        <v>1268</v>
      </c>
      <c r="E1131" s="49" t="s">
        <v>910</v>
      </c>
      <c r="F1131" s="44" t="s">
        <v>987</v>
      </c>
      <c r="G1131" s="44">
        <v>60.0</v>
      </c>
      <c r="H1131" s="47" t="s">
        <v>970</v>
      </c>
      <c r="I1131" s="47" t="s">
        <v>900</v>
      </c>
      <c r="J1131" s="44">
        <v>10.786066</v>
      </c>
      <c r="K1131" s="48">
        <v>106.687739</v>
      </c>
    </row>
    <row r="1132" ht="22.5" customHeight="1">
      <c r="A1132" s="44" t="s">
        <v>3921</v>
      </c>
      <c r="B1132" s="44" t="s">
        <v>3922</v>
      </c>
      <c r="C1132" s="44" t="s">
        <v>3923</v>
      </c>
      <c r="D1132" s="44" t="s">
        <v>3423</v>
      </c>
      <c r="E1132" s="49" t="s">
        <v>892</v>
      </c>
      <c r="F1132" s="44" t="s">
        <v>1108</v>
      </c>
      <c r="G1132" s="44">
        <v>45.0</v>
      </c>
      <c r="H1132" s="47" t="s">
        <v>970</v>
      </c>
      <c r="I1132" s="47" t="s">
        <v>892</v>
      </c>
      <c r="J1132" s="44">
        <v>11.150779110544</v>
      </c>
      <c r="K1132" s="48">
        <v>106.60791901975</v>
      </c>
    </row>
    <row r="1133" ht="22.5" customHeight="1">
      <c r="A1133" s="44" t="s">
        <v>248</v>
      </c>
      <c r="B1133" s="44" t="s">
        <v>3924</v>
      </c>
      <c r="C1133" s="44" t="s">
        <v>1106</v>
      </c>
      <c r="D1133" s="44" t="s">
        <v>1107</v>
      </c>
      <c r="E1133" s="49" t="s">
        <v>892</v>
      </c>
      <c r="F1133" s="44" t="s">
        <v>1108</v>
      </c>
      <c r="G1133" s="44">
        <v>60.0</v>
      </c>
      <c r="H1133" s="47" t="s">
        <v>970</v>
      </c>
      <c r="I1133" s="47" t="s">
        <v>892</v>
      </c>
      <c r="J1133" s="44">
        <v>10.980283555391</v>
      </c>
      <c r="K1133" s="48">
        <v>106.65711461343</v>
      </c>
    </row>
    <row r="1134" ht="22.5" customHeight="1">
      <c r="A1134" s="44" t="s">
        <v>18</v>
      </c>
      <c r="B1134" s="44" t="s">
        <v>3925</v>
      </c>
      <c r="C1134" s="44" t="s">
        <v>3926</v>
      </c>
      <c r="D1134" s="44" t="s">
        <v>1662</v>
      </c>
      <c r="E1134" s="49" t="s">
        <v>891</v>
      </c>
      <c r="F1134" s="44" t="s">
        <v>1125</v>
      </c>
      <c r="G1134" s="44">
        <v>60.0</v>
      </c>
      <c r="H1134" s="47" t="s">
        <v>970</v>
      </c>
      <c r="I1134" s="47" t="s">
        <v>891</v>
      </c>
      <c r="J1134" s="44">
        <v>10.952683</v>
      </c>
      <c r="K1134" s="48">
        <v>106.867861</v>
      </c>
    </row>
    <row r="1135" ht="22.5" customHeight="1">
      <c r="A1135" s="44" t="s">
        <v>3927</v>
      </c>
      <c r="B1135" s="44" t="s">
        <v>3928</v>
      </c>
      <c r="C1135" s="44" t="s">
        <v>3929</v>
      </c>
      <c r="D1135" s="44" t="s">
        <v>982</v>
      </c>
      <c r="E1135" s="49" t="s">
        <v>510</v>
      </c>
      <c r="F1135" s="44" t="s">
        <v>983</v>
      </c>
      <c r="G1135" s="44">
        <v>66.0</v>
      </c>
      <c r="H1135" s="47" t="s">
        <v>970</v>
      </c>
      <c r="I1135" s="47" t="s">
        <v>889</v>
      </c>
      <c r="J1135" s="44">
        <v>10.82558</v>
      </c>
      <c r="K1135" s="48">
        <v>106.714723</v>
      </c>
    </row>
    <row r="1136" ht="22.5" customHeight="1">
      <c r="A1136" s="44" t="s">
        <v>3930</v>
      </c>
      <c r="B1136" s="44" t="s">
        <v>3931</v>
      </c>
      <c r="C1136" s="44" t="s">
        <v>3932</v>
      </c>
      <c r="D1136" s="44" t="s">
        <v>1026</v>
      </c>
      <c r="E1136" s="49" t="s">
        <v>897</v>
      </c>
      <c r="F1136" s="44" t="s">
        <v>1027</v>
      </c>
      <c r="G1136" s="44">
        <v>68.0</v>
      </c>
      <c r="H1136" s="47" t="s">
        <v>970</v>
      </c>
      <c r="I1136" s="47" t="s">
        <v>897</v>
      </c>
      <c r="J1136" s="44">
        <v>10.834649</v>
      </c>
      <c r="K1136" s="48">
        <v>106.66155</v>
      </c>
    </row>
    <row r="1137" ht="22.5" customHeight="1">
      <c r="A1137" s="44" t="s">
        <v>19</v>
      </c>
      <c r="B1137" s="44" t="s">
        <v>3933</v>
      </c>
      <c r="C1137" s="44" t="s">
        <v>3934</v>
      </c>
      <c r="D1137" s="44" t="s">
        <v>1779</v>
      </c>
      <c r="E1137" s="49" t="s">
        <v>891</v>
      </c>
      <c r="F1137" s="44" t="s">
        <v>1125</v>
      </c>
      <c r="G1137" s="44">
        <v>60.0</v>
      </c>
      <c r="H1137" s="47" t="s">
        <v>970</v>
      </c>
      <c r="I1137" s="47" t="s">
        <v>891</v>
      </c>
      <c r="J1137" s="44">
        <v>10.948506</v>
      </c>
      <c r="K1137" s="48">
        <v>106.828554</v>
      </c>
    </row>
    <row r="1138" ht="22.5" customHeight="1">
      <c r="A1138" s="44" t="s">
        <v>565</v>
      </c>
      <c r="B1138" s="44" t="s">
        <v>3935</v>
      </c>
      <c r="C1138" s="44" t="s">
        <v>3936</v>
      </c>
      <c r="D1138" s="44" t="s">
        <v>1076</v>
      </c>
      <c r="E1138" s="49" t="s">
        <v>813</v>
      </c>
      <c r="F1138" s="44" t="s">
        <v>1015</v>
      </c>
      <c r="G1138" s="44">
        <v>116.0</v>
      </c>
      <c r="H1138" s="47" t="s">
        <v>970</v>
      </c>
      <c r="I1138" s="47" t="s">
        <v>813</v>
      </c>
      <c r="J1138" s="44">
        <v>10.751394</v>
      </c>
      <c r="K1138" s="48">
        <v>106.671264</v>
      </c>
    </row>
    <row r="1139" ht="22.5" customHeight="1">
      <c r="A1139" s="44" t="s">
        <v>3937</v>
      </c>
      <c r="B1139" s="44" t="s">
        <v>3938</v>
      </c>
      <c r="C1139" s="44" t="s">
        <v>3939</v>
      </c>
      <c r="D1139" s="44" t="s">
        <v>1359</v>
      </c>
      <c r="E1139" s="49" t="s">
        <v>813</v>
      </c>
      <c r="F1139" s="44" t="s">
        <v>1015</v>
      </c>
      <c r="G1139" s="44">
        <v>76.0</v>
      </c>
      <c r="H1139" s="47" t="s">
        <v>970</v>
      </c>
      <c r="I1139" s="47" t="s">
        <v>813</v>
      </c>
      <c r="J1139" s="44">
        <v>10.751184</v>
      </c>
      <c r="K1139" s="48">
        <v>106.664465</v>
      </c>
    </row>
    <row r="1140" ht="22.5" customHeight="1">
      <c r="A1140" s="44" t="s">
        <v>3940</v>
      </c>
      <c r="B1140" s="44" t="s">
        <v>3941</v>
      </c>
      <c r="C1140" s="44" t="s">
        <v>3942</v>
      </c>
      <c r="D1140" s="44" t="s">
        <v>1359</v>
      </c>
      <c r="E1140" s="49" t="s">
        <v>813</v>
      </c>
      <c r="F1140" s="44" t="s">
        <v>1015</v>
      </c>
      <c r="G1140" s="44">
        <v>76.0</v>
      </c>
      <c r="H1140" s="47" t="s">
        <v>970</v>
      </c>
      <c r="I1140" s="47" t="s">
        <v>813</v>
      </c>
      <c r="J1140" s="44">
        <v>10.750628837877</v>
      </c>
      <c r="K1140" s="48">
        <v>106.66642120909</v>
      </c>
    </row>
    <row r="1141" ht="22.5" customHeight="1">
      <c r="A1141" s="44" t="s">
        <v>632</v>
      </c>
      <c r="B1141" s="44" t="s">
        <v>3943</v>
      </c>
      <c r="C1141" s="44" t="s">
        <v>3944</v>
      </c>
      <c r="D1141" s="44" t="s">
        <v>1018</v>
      </c>
      <c r="E1141" s="49" t="s">
        <v>808</v>
      </c>
      <c r="F1141" s="44" t="s">
        <v>998</v>
      </c>
      <c r="G1141" s="44">
        <v>60.0</v>
      </c>
      <c r="H1141" s="47" t="s">
        <v>970</v>
      </c>
      <c r="I1141" s="47" t="s">
        <v>808</v>
      </c>
      <c r="J1141" s="44">
        <v>10.739048</v>
      </c>
      <c r="K1141" s="48">
        <v>106.632688</v>
      </c>
    </row>
    <row r="1142" ht="22.5" customHeight="1">
      <c r="A1142" s="44" t="s">
        <v>741</v>
      </c>
      <c r="B1142" s="44" t="s">
        <v>3945</v>
      </c>
      <c r="C1142" s="44" t="s">
        <v>3946</v>
      </c>
      <c r="D1142" s="44" t="s">
        <v>1026</v>
      </c>
      <c r="E1142" s="49" t="s">
        <v>897</v>
      </c>
      <c r="F1142" s="44" t="s">
        <v>1027</v>
      </c>
      <c r="G1142" s="44">
        <v>53.0</v>
      </c>
      <c r="H1142" s="47" t="s">
        <v>970</v>
      </c>
      <c r="I1142" s="47" t="s">
        <v>897</v>
      </c>
      <c r="J1142" s="44">
        <v>10.839292</v>
      </c>
      <c r="K1142" s="48">
        <v>106.657465</v>
      </c>
    </row>
    <row r="1143" ht="22.5" customHeight="1">
      <c r="A1143" s="44" t="s">
        <v>3947</v>
      </c>
      <c r="B1143" s="44" t="s">
        <v>3948</v>
      </c>
      <c r="C1143" s="44" t="s">
        <v>3949</v>
      </c>
      <c r="D1143" s="44" t="s">
        <v>1711</v>
      </c>
      <c r="E1143" s="49" t="s">
        <v>897</v>
      </c>
      <c r="F1143" s="44" t="s">
        <v>1027</v>
      </c>
      <c r="G1143" s="44">
        <v>45.0</v>
      </c>
      <c r="H1143" s="47" t="s">
        <v>970</v>
      </c>
      <c r="I1143" s="47" t="s">
        <v>809</v>
      </c>
      <c r="J1143" s="44">
        <v>10.858383</v>
      </c>
      <c r="K1143" s="48">
        <v>106.679879</v>
      </c>
    </row>
    <row r="1144" ht="22.5" customHeight="1">
      <c r="A1144" s="44" t="s">
        <v>3950</v>
      </c>
      <c r="B1144" s="44" t="s">
        <v>3951</v>
      </c>
      <c r="C1144" s="44" t="s">
        <v>3952</v>
      </c>
      <c r="D1144" s="44" t="s">
        <v>1802</v>
      </c>
      <c r="E1144" s="49" t="s">
        <v>910</v>
      </c>
      <c r="F1144" s="44" t="s">
        <v>987</v>
      </c>
      <c r="G1144" s="44">
        <v>60.0</v>
      </c>
      <c r="H1144" s="47" t="s">
        <v>970</v>
      </c>
      <c r="I1144" s="47" t="s">
        <v>888</v>
      </c>
      <c r="J1144" s="44">
        <v>10.771304</v>
      </c>
      <c r="K1144" s="48">
        <v>106.690986</v>
      </c>
    </row>
    <row r="1145" ht="22.5" customHeight="1">
      <c r="A1145" s="44" t="s">
        <v>3953</v>
      </c>
      <c r="B1145" s="44" t="s">
        <v>3954</v>
      </c>
      <c r="C1145" s="44" t="s">
        <v>2512</v>
      </c>
      <c r="D1145" s="44" t="s">
        <v>1939</v>
      </c>
      <c r="E1145" s="49" t="s">
        <v>895</v>
      </c>
      <c r="F1145" s="44" t="s">
        <v>1121</v>
      </c>
      <c r="G1145" s="44">
        <v>51.0</v>
      </c>
      <c r="H1145" s="47" t="s">
        <v>970</v>
      </c>
      <c r="I1145" s="47" t="s">
        <v>895</v>
      </c>
      <c r="J1145" s="44">
        <v>10.861369</v>
      </c>
      <c r="K1145" s="48">
        <v>106.779868</v>
      </c>
    </row>
    <row r="1146" ht="22.5" customHeight="1">
      <c r="A1146" s="44" t="s">
        <v>3955</v>
      </c>
      <c r="B1146" s="44" t="s">
        <v>3956</v>
      </c>
      <c r="C1146" s="44" t="s">
        <v>3957</v>
      </c>
      <c r="D1146" s="44" t="s">
        <v>1227</v>
      </c>
      <c r="E1146" s="49" t="s">
        <v>890</v>
      </c>
      <c r="F1146" s="44" t="s">
        <v>1228</v>
      </c>
      <c r="G1146" s="44">
        <v>60.0</v>
      </c>
      <c r="H1146" s="47" t="s">
        <v>970</v>
      </c>
      <c r="I1146" s="47" t="s">
        <v>510</v>
      </c>
      <c r="J1146" s="44">
        <v>10.874479</v>
      </c>
      <c r="K1146" s="48">
        <v>106.753111</v>
      </c>
    </row>
    <row r="1147" ht="22.5" customHeight="1">
      <c r="A1147" s="44" t="s">
        <v>3958</v>
      </c>
      <c r="B1147" s="44" t="s">
        <v>3959</v>
      </c>
      <c r="C1147" s="44" t="s">
        <v>3960</v>
      </c>
      <c r="D1147" s="44" t="s">
        <v>3961</v>
      </c>
      <c r="E1147" s="49" t="s">
        <v>891</v>
      </c>
      <c r="F1147" s="44" t="s">
        <v>1125</v>
      </c>
      <c r="G1147" s="44">
        <v>100.0</v>
      </c>
      <c r="H1147" s="47" t="s">
        <v>970</v>
      </c>
      <c r="I1147" s="47" t="s">
        <v>891</v>
      </c>
      <c r="J1147" s="44">
        <v>10.947005</v>
      </c>
      <c r="K1147" s="48">
        <v>107.055594</v>
      </c>
    </row>
    <row r="1148" ht="22.5" customHeight="1">
      <c r="A1148" s="44" t="s">
        <v>3962</v>
      </c>
      <c r="B1148" s="44" t="s">
        <v>3963</v>
      </c>
      <c r="C1148" s="44" t="s">
        <v>3964</v>
      </c>
      <c r="D1148" s="44" t="s">
        <v>1120</v>
      </c>
      <c r="E1148" s="49" t="s">
        <v>895</v>
      </c>
      <c r="F1148" s="44" t="s">
        <v>1121</v>
      </c>
      <c r="G1148" s="44">
        <v>72.0</v>
      </c>
      <c r="H1148" s="47" t="s">
        <v>970</v>
      </c>
      <c r="I1148" s="47" t="s">
        <v>895</v>
      </c>
      <c r="J1148" s="44">
        <v>10.845958</v>
      </c>
      <c r="K1148" s="48">
        <v>106.778488</v>
      </c>
    </row>
    <row r="1149" ht="22.5" customHeight="1">
      <c r="A1149" s="44" t="s">
        <v>3965</v>
      </c>
      <c r="B1149" s="44" t="s">
        <v>3966</v>
      </c>
      <c r="C1149" s="44" t="s">
        <v>3280</v>
      </c>
      <c r="D1149" s="44" t="s">
        <v>1433</v>
      </c>
      <c r="E1149" s="49" t="s">
        <v>910</v>
      </c>
      <c r="F1149" s="44" t="s">
        <v>987</v>
      </c>
      <c r="G1149" s="44">
        <v>60.0</v>
      </c>
      <c r="H1149" s="47" t="s">
        <v>970</v>
      </c>
      <c r="I1149" s="47" t="s">
        <v>910</v>
      </c>
      <c r="J1149" s="44">
        <v>10.76856</v>
      </c>
      <c r="K1149" s="48">
        <v>106.670159</v>
      </c>
    </row>
    <row r="1150" ht="22.5" customHeight="1">
      <c r="A1150" s="44" t="s">
        <v>20</v>
      </c>
      <c r="B1150" s="44" t="s">
        <v>3967</v>
      </c>
      <c r="C1150" s="44" t="s">
        <v>3968</v>
      </c>
      <c r="D1150" s="44" t="s">
        <v>1857</v>
      </c>
      <c r="E1150" s="49" t="s">
        <v>891</v>
      </c>
      <c r="F1150" s="44" t="s">
        <v>1125</v>
      </c>
      <c r="G1150" s="44">
        <v>70.0</v>
      </c>
      <c r="H1150" s="47" t="s">
        <v>970</v>
      </c>
      <c r="I1150" s="47" t="s">
        <v>891</v>
      </c>
      <c r="J1150" s="44">
        <v>10.934868570043</v>
      </c>
      <c r="K1150" s="48">
        <v>106.80568408025</v>
      </c>
    </row>
    <row r="1151" ht="22.5" customHeight="1">
      <c r="A1151" s="44" t="s">
        <v>3969</v>
      </c>
      <c r="B1151" s="44" t="s">
        <v>3970</v>
      </c>
      <c r="C1151" s="44" t="s">
        <v>3971</v>
      </c>
      <c r="D1151" s="44" t="s">
        <v>1359</v>
      </c>
      <c r="E1151" s="49"/>
      <c r="F1151" s="44" t="s">
        <v>1098</v>
      </c>
      <c r="G1151" s="44"/>
      <c r="H1151" s="47" t="s">
        <v>970</v>
      </c>
      <c r="I1151" s="47" t="s">
        <v>822</v>
      </c>
      <c r="J1151" s="44">
        <v>10.757837</v>
      </c>
      <c r="K1151" s="48">
        <v>106.659521</v>
      </c>
    </row>
    <row r="1152" ht="22.5" customHeight="1">
      <c r="A1152" s="44" t="s">
        <v>3972</v>
      </c>
      <c r="B1152" s="44" t="s">
        <v>3973</v>
      </c>
      <c r="C1152" s="44" t="s">
        <v>3974</v>
      </c>
      <c r="D1152" s="44" t="s">
        <v>1076</v>
      </c>
      <c r="E1152" s="49" t="s">
        <v>813</v>
      </c>
      <c r="F1152" s="44" t="s">
        <v>1015</v>
      </c>
      <c r="G1152" s="44">
        <v>61.0</v>
      </c>
      <c r="H1152" s="47" t="s">
        <v>970</v>
      </c>
      <c r="I1152" s="47" t="s">
        <v>813</v>
      </c>
      <c r="J1152" s="44">
        <v>10.756156</v>
      </c>
      <c r="K1152" s="48">
        <v>106.674954</v>
      </c>
    </row>
    <row r="1153" ht="22.5" customHeight="1">
      <c r="A1153" s="44" t="s">
        <v>3975</v>
      </c>
      <c r="B1153" s="44" t="s">
        <v>3976</v>
      </c>
      <c r="C1153" s="44" t="s">
        <v>3977</v>
      </c>
      <c r="D1153" s="44" t="s">
        <v>1802</v>
      </c>
      <c r="E1153" s="49" t="s">
        <v>888</v>
      </c>
      <c r="F1153" s="44" t="s">
        <v>1136</v>
      </c>
      <c r="G1153" s="44">
        <v>60.0</v>
      </c>
      <c r="H1153" s="47" t="s">
        <v>970</v>
      </c>
      <c r="I1153" s="47" t="s">
        <v>888</v>
      </c>
      <c r="J1153" s="44">
        <v>10.771398</v>
      </c>
      <c r="K1153" s="48">
        <v>106.690903</v>
      </c>
    </row>
    <row r="1154" ht="22.5" customHeight="1">
      <c r="A1154" s="44" t="s">
        <v>3978</v>
      </c>
      <c r="B1154" s="44" t="s">
        <v>3979</v>
      </c>
      <c r="C1154" s="44" t="s">
        <v>3980</v>
      </c>
      <c r="D1154" s="44" t="s">
        <v>1359</v>
      </c>
      <c r="E1154" s="49" t="s">
        <v>813</v>
      </c>
      <c r="F1154" s="44" t="s">
        <v>1015</v>
      </c>
      <c r="G1154" s="44">
        <v>76.0</v>
      </c>
      <c r="H1154" s="47" t="s">
        <v>970</v>
      </c>
      <c r="I1154" s="47" t="s">
        <v>822</v>
      </c>
      <c r="J1154" s="44">
        <v>10.755872</v>
      </c>
      <c r="K1154" s="48">
        <v>106.659602</v>
      </c>
    </row>
    <row r="1155" ht="22.5" customHeight="1">
      <c r="A1155" s="44" t="s">
        <v>3981</v>
      </c>
      <c r="B1155" s="44" t="s">
        <v>3982</v>
      </c>
      <c r="C1155" s="44" t="s">
        <v>3983</v>
      </c>
      <c r="D1155" s="44" t="s">
        <v>1929</v>
      </c>
      <c r="E1155" s="49" t="s">
        <v>893</v>
      </c>
      <c r="F1155" s="44" t="s">
        <v>1088</v>
      </c>
      <c r="G1155" s="44">
        <v>60.0</v>
      </c>
      <c r="H1155" s="47" t="s">
        <v>970</v>
      </c>
      <c r="I1155" s="47" t="s">
        <v>806</v>
      </c>
      <c r="J1155" s="44">
        <v>10.79721</v>
      </c>
      <c r="K1155" s="48">
        <v>106.654294</v>
      </c>
    </row>
    <row r="1156" ht="22.5" customHeight="1">
      <c r="A1156" s="44" t="s">
        <v>3984</v>
      </c>
      <c r="B1156" s="44" t="s">
        <v>3985</v>
      </c>
      <c r="C1156" s="44" t="s">
        <v>3986</v>
      </c>
      <c r="D1156" s="44" t="s">
        <v>1236</v>
      </c>
      <c r="E1156" s="49" t="s">
        <v>510</v>
      </c>
      <c r="F1156" s="44" t="s">
        <v>983</v>
      </c>
      <c r="G1156" s="44">
        <v>66.0</v>
      </c>
      <c r="H1156" s="47" t="s">
        <v>970</v>
      </c>
      <c r="I1156" s="47" t="s">
        <v>895</v>
      </c>
      <c r="J1156" s="44">
        <v>10.867191240405</v>
      </c>
      <c r="K1156" s="48">
        <v>106.81383477715</v>
      </c>
    </row>
    <row r="1157" ht="22.5" customHeight="1">
      <c r="A1157" s="44" t="s">
        <v>3987</v>
      </c>
      <c r="B1157" s="44" t="s">
        <v>3988</v>
      </c>
      <c r="C1157" s="44" t="s">
        <v>3989</v>
      </c>
      <c r="D1157" s="44" t="s">
        <v>1076</v>
      </c>
      <c r="E1157" s="49" t="s">
        <v>813</v>
      </c>
      <c r="F1157" s="44" t="s">
        <v>1015</v>
      </c>
      <c r="G1157" s="44">
        <v>76.0</v>
      </c>
      <c r="H1157" s="47" t="s">
        <v>970</v>
      </c>
      <c r="I1157" s="47" t="s">
        <v>813</v>
      </c>
      <c r="J1157" s="44">
        <v>10.751693</v>
      </c>
      <c r="K1157" s="48">
        <v>106.67277</v>
      </c>
    </row>
    <row r="1158" ht="22.5" customHeight="1">
      <c r="A1158" s="44" t="s">
        <v>3990</v>
      </c>
      <c r="B1158" s="44" t="s">
        <v>3991</v>
      </c>
      <c r="C1158" s="44" t="s">
        <v>3343</v>
      </c>
      <c r="D1158" s="44" t="s">
        <v>1007</v>
      </c>
      <c r="E1158" s="49" t="s">
        <v>510</v>
      </c>
      <c r="F1158" s="44" t="s">
        <v>983</v>
      </c>
      <c r="G1158" s="44">
        <v>51.0</v>
      </c>
      <c r="H1158" s="47" t="s">
        <v>970</v>
      </c>
      <c r="I1158" s="47" t="s">
        <v>510</v>
      </c>
      <c r="J1158" s="44">
        <v>10.864341782458</v>
      </c>
      <c r="K1158" s="48">
        <v>106.74567083163</v>
      </c>
    </row>
    <row r="1159" ht="22.5" customHeight="1">
      <c r="A1159" s="44" t="s">
        <v>3992</v>
      </c>
      <c r="B1159" s="44" t="s">
        <v>3993</v>
      </c>
      <c r="C1159" s="44" t="s">
        <v>3994</v>
      </c>
      <c r="D1159" s="44" t="s">
        <v>982</v>
      </c>
      <c r="E1159" s="49" t="s">
        <v>510</v>
      </c>
      <c r="F1159" s="44" t="s">
        <v>983</v>
      </c>
      <c r="G1159" s="44">
        <v>66.0</v>
      </c>
      <c r="H1159" s="47" t="s">
        <v>970</v>
      </c>
      <c r="I1159" s="47" t="s">
        <v>901</v>
      </c>
      <c r="J1159" s="44">
        <v>10.827359099081</v>
      </c>
      <c r="K1159" s="48">
        <v>106.71861630294</v>
      </c>
    </row>
    <row r="1160" ht="22.5" customHeight="1">
      <c r="A1160" s="44" t="s">
        <v>3995</v>
      </c>
      <c r="B1160" s="44" t="s">
        <v>3996</v>
      </c>
      <c r="C1160" s="44" t="s">
        <v>3997</v>
      </c>
      <c r="D1160" s="44" t="s">
        <v>1917</v>
      </c>
      <c r="E1160" s="49" t="s">
        <v>895</v>
      </c>
      <c r="F1160" s="44" t="s">
        <v>1121</v>
      </c>
      <c r="G1160" s="44">
        <v>112.0</v>
      </c>
      <c r="H1160" s="47" t="s">
        <v>970</v>
      </c>
      <c r="I1160" s="47" t="s">
        <v>899</v>
      </c>
      <c r="J1160" s="44">
        <v>10.805765</v>
      </c>
      <c r="K1160" s="48">
        <v>106.838396</v>
      </c>
    </row>
    <row r="1161" ht="22.5" customHeight="1">
      <c r="A1161" s="44" t="s">
        <v>3998</v>
      </c>
      <c r="B1161" s="44" t="s">
        <v>3999</v>
      </c>
      <c r="C1161" s="44" t="s">
        <v>4000</v>
      </c>
      <c r="D1161" s="44" t="s">
        <v>1239</v>
      </c>
      <c r="E1161" s="49" t="s">
        <v>789</v>
      </c>
      <c r="F1161" s="44" t="s">
        <v>1168</v>
      </c>
      <c r="G1161" s="44">
        <v>54.0</v>
      </c>
      <c r="H1161" s="47" t="s">
        <v>970</v>
      </c>
      <c r="I1161" s="47" t="s">
        <v>820</v>
      </c>
      <c r="J1161" s="44">
        <v>10.759838</v>
      </c>
      <c r="K1161" s="48">
        <v>106.599947</v>
      </c>
    </row>
    <row r="1162" ht="22.5" customHeight="1">
      <c r="A1162" s="44" t="s">
        <v>87</v>
      </c>
      <c r="B1162" s="44" t="s">
        <v>4001</v>
      </c>
      <c r="C1162" s="44" t="s">
        <v>4002</v>
      </c>
      <c r="D1162" s="44" t="s">
        <v>1736</v>
      </c>
      <c r="E1162" s="49" t="s">
        <v>893</v>
      </c>
      <c r="F1162" s="44" t="s">
        <v>1088</v>
      </c>
      <c r="G1162" s="44">
        <v>60.0</v>
      </c>
      <c r="H1162" s="47" t="s">
        <v>970</v>
      </c>
      <c r="I1162" s="47" t="s">
        <v>824</v>
      </c>
      <c r="J1162" s="44">
        <v>10.783638</v>
      </c>
      <c r="K1162" s="48">
        <v>106.6422</v>
      </c>
    </row>
    <row r="1163" ht="22.5" customHeight="1">
      <c r="A1163" s="44" t="s">
        <v>4003</v>
      </c>
      <c r="B1163" s="44" t="s">
        <v>4004</v>
      </c>
      <c r="C1163" s="44" t="s">
        <v>3343</v>
      </c>
      <c r="D1163" s="44" t="s">
        <v>1007</v>
      </c>
      <c r="E1163" s="49" t="s">
        <v>510</v>
      </c>
      <c r="F1163" s="44" t="s">
        <v>983</v>
      </c>
      <c r="G1163" s="44">
        <v>66.0</v>
      </c>
      <c r="H1163" s="47" t="s">
        <v>970</v>
      </c>
      <c r="I1163" s="47" t="s">
        <v>510</v>
      </c>
      <c r="J1163" s="44">
        <v>10.864211</v>
      </c>
      <c r="K1163" s="48">
        <v>106.745498</v>
      </c>
    </row>
    <row r="1164" ht="22.5" customHeight="1">
      <c r="A1164" s="44" t="s">
        <v>4005</v>
      </c>
      <c r="B1164" s="44" t="s">
        <v>4006</v>
      </c>
      <c r="C1164" s="44" t="s">
        <v>4007</v>
      </c>
      <c r="D1164" s="44" t="s">
        <v>1129</v>
      </c>
      <c r="E1164" s="49" t="s">
        <v>910</v>
      </c>
      <c r="F1164" s="44" t="s">
        <v>987</v>
      </c>
      <c r="G1164" s="44">
        <v>60.0</v>
      </c>
      <c r="H1164" s="47" t="s">
        <v>970</v>
      </c>
      <c r="I1164" s="47" t="s">
        <v>910</v>
      </c>
      <c r="J1164" s="44">
        <v>10.775202</v>
      </c>
      <c r="K1164" s="48">
        <v>106.667924</v>
      </c>
    </row>
    <row r="1165" ht="22.5" customHeight="1">
      <c r="A1165" s="44" t="s">
        <v>4008</v>
      </c>
      <c r="B1165" s="44" t="s">
        <v>4009</v>
      </c>
      <c r="C1165" s="44" t="s">
        <v>4010</v>
      </c>
      <c r="D1165" s="44" t="s">
        <v>1167</v>
      </c>
      <c r="E1165" s="49" t="s">
        <v>789</v>
      </c>
      <c r="F1165" s="44" t="s">
        <v>1168</v>
      </c>
      <c r="G1165" s="44">
        <v>69.0</v>
      </c>
      <c r="H1165" s="47" t="s">
        <v>970</v>
      </c>
      <c r="I1165" s="47" t="s">
        <v>789</v>
      </c>
      <c r="J1165" s="44">
        <v>10.751528</v>
      </c>
      <c r="K1165" s="48">
        <v>106.611557</v>
      </c>
    </row>
    <row r="1166" ht="22.5" customHeight="1">
      <c r="A1166" s="44" t="s">
        <v>4011</v>
      </c>
      <c r="B1166" s="44" t="s">
        <v>4012</v>
      </c>
      <c r="C1166" s="44" t="s">
        <v>4013</v>
      </c>
      <c r="D1166" s="44" t="s">
        <v>1474</v>
      </c>
      <c r="E1166" s="49" t="s">
        <v>897</v>
      </c>
      <c r="F1166" s="44" t="s">
        <v>1027</v>
      </c>
      <c r="G1166" s="44">
        <v>75.0</v>
      </c>
      <c r="H1166" s="47" t="s">
        <v>970</v>
      </c>
      <c r="I1166" s="47" t="s">
        <v>897</v>
      </c>
      <c r="J1166" s="44">
        <v>10.877043</v>
      </c>
      <c r="K1166" s="48">
        <v>106.654938</v>
      </c>
    </row>
    <row r="1167" ht="22.5" customHeight="1">
      <c r="A1167" s="44" t="s">
        <v>89</v>
      </c>
      <c r="B1167" s="44" t="s">
        <v>4014</v>
      </c>
      <c r="C1167" s="44" t="s">
        <v>4015</v>
      </c>
      <c r="D1167" s="44" t="s">
        <v>1104</v>
      </c>
      <c r="E1167" s="49" t="s">
        <v>893</v>
      </c>
      <c r="F1167" s="44" t="s">
        <v>1088</v>
      </c>
      <c r="G1167" s="44">
        <v>30.0</v>
      </c>
      <c r="H1167" s="47" t="s">
        <v>970</v>
      </c>
      <c r="I1167" s="47" t="s">
        <v>518</v>
      </c>
      <c r="J1167" s="44">
        <v>10.771801937677</v>
      </c>
      <c r="K1167" s="48">
        <v>106.62871327116</v>
      </c>
    </row>
    <row r="1168" ht="22.5" customHeight="1">
      <c r="A1168" s="44" t="s">
        <v>90</v>
      </c>
      <c r="B1168" s="44" t="s">
        <v>4016</v>
      </c>
      <c r="C1168" s="44" t="s">
        <v>4017</v>
      </c>
      <c r="D1168" s="44" t="s">
        <v>1736</v>
      </c>
      <c r="E1168" s="49" t="s">
        <v>893</v>
      </c>
      <c r="F1168" s="44" t="s">
        <v>1088</v>
      </c>
      <c r="G1168" s="44">
        <v>80.0</v>
      </c>
      <c r="H1168" s="47" t="s">
        <v>970</v>
      </c>
      <c r="I1168" s="47" t="s">
        <v>893</v>
      </c>
      <c r="J1168" s="44">
        <v>10.783617</v>
      </c>
      <c r="K1168" s="48">
        <v>106.639046</v>
      </c>
    </row>
    <row r="1169" ht="22.5" customHeight="1">
      <c r="A1169" s="44" t="s">
        <v>4018</v>
      </c>
      <c r="B1169" s="44" t="s">
        <v>4019</v>
      </c>
      <c r="C1169" s="44" t="s">
        <v>3280</v>
      </c>
      <c r="D1169" s="44" t="s">
        <v>1433</v>
      </c>
      <c r="E1169" s="49" t="s">
        <v>910</v>
      </c>
      <c r="F1169" s="44" t="s">
        <v>987</v>
      </c>
      <c r="G1169" s="44">
        <v>60.0</v>
      </c>
      <c r="H1169" s="47" t="s">
        <v>970</v>
      </c>
      <c r="I1169" s="47" t="s">
        <v>910</v>
      </c>
      <c r="J1169" s="44">
        <v>10.76856</v>
      </c>
      <c r="K1169" s="48">
        <v>106.670159</v>
      </c>
    </row>
    <row r="1170" ht="22.5" customHeight="1">
      <c r="A1170" s="44" t="s">
        <v>4020</v>
      </c>
      <c r="B1170" s="44" t="s">
        <v>4021</v>
      </c>
      <c r="C1170" s="44" t="s">
        <v>4022</v>
      </c>
      <c r="D1170" s="44" t="s">
        <v>1583</v>
      </c>
      <c r="E1170" s="49"/>
      <c r="F1170" s="44" t="s">
        <v>1098</v>
      </c>
      <c r="G1170" s="44"/>
      <c r="H1170" s="47" t="s">
        <v>970</v>
      </c>
      <c r="I1170" s="47" t="s">
        <v>870</v>
      </c>
      <c r="J1170" s="44">
        <v>10.023262</v>
      </c>
      <c r="K1170" s="48">
        <v>105.769362</v>
      </c>
    </row>
    <row r="1171" ht="22.5" customHeight="1">
      <c r="A1171" s="44" t="s">
        <v>4023</v>
      </c>
      <c r="B1171" s="44" t="s">
        <v>4024</v>
      </c>
      <c r="C1171" s="44" t="s">
        <v>4025</v>
      </c>
      <c r="D1171" s="44" t="s">
        <v>1506</v>
      </c>
      <c r="E1171" s="49" t="s">
        <v>897</v>
      </c>
      <c r="F1171" s="44" t="s">
        <v>1027</v>
      </c>
      <c r="G1171" s="44">
        <v>75.0</v>
      </c>
      <c r="H1171" s="47" t="s">
        <v>970</v>
      </c>
      <c r="I1171" s="47" t="s">
        <v>797</v>
      </c>
      <c r="J1171" s="44">
        <v>10.866712</v>
      </c>
      <c r="K1171" s="48">
        <v>106.615174</v>
      </c>
    </row>
    <row r="1172" ht="22.5" customHeight="1">
      <c r="A1172" s="44" t="s">
        <v>4026</v>
      </c>
      <c r="B1172" s="44" t="s">
        <v>4027</v>
      </c>
      <c r="C1172" s="44" t="s">
        <v>4028</v>
      </c>
      <c r="D1172" s="44" t="s">
        <v>1506</v>
      </c>
      <c r="E1172" s="49" t="s">
        <v>897</v>
      </c>
      <c r="F1172" s="44" t="s">
        <v>1027</v>
      </c>
      <c r="G1172" s="44">
        <v>75.0</v>
      </c>
      <c r="H1172" s="47" t="s">
        <v>970</v>
      </c>
      <c r="I1172" s="47" t="s">
        <v>897</v>
      </c>
      <c r="J1172" s="44">
        <v>10.854662</v>
      </c>
      <c r="K1172" s="48">
        <v>106.625484</v>
      </c>
    </row>
    <row r="1173" ht="22.5" customHeight="1">
      <c r="A1173" s="44" t="s">
        <v>4029</v>
      </c>
      <c r="B1173" s="44" t="s">
        <v>4030</v>
      </c>
      <c r="C1173" s="44" t="s">
        <v>1205</v>
      </c>
      <c r="D1173" s="44" t="s">
        <v>1116</v>
      </c>
      <c r="E1173" s="49" t="s">
        <v>885</v>
      </c>
      <c r="F1173" s="44" t="s">
        <v>1117</v>
      </c>
      <c r="G1173" s="44">
        <v>30.0</v>
      </c>
      <c r="H1173" s="47" t="s">
        <v>970</v>
      </c>
      <c r="I1173" s="47" t="s">
        <v>885</v>
      </c>
      <c r="J1173" s="44">
        <v>10.741667</v>
      </c>
      <c r="K1173" s="48">
        <v>106.676389</v>
      </c>
    </row>
    <row r="1174" ht="22.5" customHeight="1">
      <c r="A1174" s="44" t="s">
        <v>158</v>
      </c>
      <c r="B1174" s="44" t="s">
        <v>4031</v>
      </c>
      <c r="C1174" s="44" t="s">
        <v>4032</v>
      </c>
      <c r="D1174" s="44" t="s">
        <v>990</v>
      </c>
      <c r="E1174" s="49" t="s">
        <v>894</v>
      </c>
      <c r="F1174" s="44" t="s">
        <v>974</v>
      </c>
      <c r="G1174" s="44">
        <v>68.0</v>
      </c>
      <c r="H1174" s="47" t="s">
        <v>970</v>
      </c>
      <c r="I1174" s="47" t="s">
        <v>894</v>
      </c>
      <c r="J1174" s="44">
        <v>10.737331</v>
      </c>
      <c r="K1174" s="48">
        <v>106.724166</v>
      </c>
    </row>
    <row r="1175" ht="22.5" customHeight="1">
      <c r="A1175" s="44" t="s">
        <v>4033</v>
      </c>
      <c r="B1175" s="44" t="s">
        <v>4034</v>
      </c>
      <c r="C1175" s="44" t="s">
        <v>4035</v>
      </c>
      <c r="D1175" s="44" t="s">
        <v>1345</v>
      </c>
      <c r="E1175" s="49" t="s">
        <v>822</v>
      </c>
      <c r="F1175" s="44" t="s">
        <v>1284</v>
      </c>
      <c r="G1175" s="44">
        <v>60.0</v>
      </c>
      <c r="H1175" s="47" t="s">
        <v>970</v>
      </c>
      <c r="I1175" s="47" t="s">
        <v>822</v>
      </c>
      <c r="J1175" s="44">
        <v>10.757912</v>
      </c>
      <c r="K1175" s="48">
        <v>106.658507</v>
      </c>
    </row>
    <row r="1176" ht="22.5" customHeight="1">
      <c r="A1176" s="44" t="s">
        <v>159</v>
      </c>
      <c r="B1176" s="44" t="s">
        <v>4036</v>
      </c>
      <c r="C1176" s="44" t="s">
        <v>4032</v>
      </c>
      <c r="D1176" s="44" t="s">
        <v>990</v>
      </c>
      <c r="E1176" s="49" t="s">
        <v>894</v>
      </c>
      <c r="F1176" s="44" t="s">
        <v>974</v>
      </c>
      <c r="G1176" s="44">
        <v>68.0</v>
      </c>
      <c r="H1176" s="47" t="s">
        <v>970</v>
      </c>
      <c r="I1176" s="47" t="s">
        <v>894</v>
      </c>
      <c r="J1176" s="44">
        <v>10.737331</v>
      </c>
      <c r="K1176" s="48">
        <v>106.724166</v>
      </c>
    </row>
    <row r="1177" ht="22.5" customHeight="1">
      <c r="A1177" s="44" t="s">
        <v>4037</v>
      </c>
      <c r="B1177" s="44" t="s">
        <v>4038</v>
      </c>
      <c r="C1177" s="44" t="s">
        <v>4039</v>
      </c>
      <c r="D1177" s="44" t="s">
        <v>4040</v>
      </c>
      <c r="E1177" s="49" t="s">
        <v>891</v>
      </c>
      <c r="F1177" s="44" t="s">
        <v>1125</v>
      </c>
      <c r="G1177" s="44">
        <v>60.0</v>
      </c>
      <c r="H1177" s="47" t="s">
        <v>970</v>
      </c>
      <c r="I1177" s="47" t="s">
        <v>899</v>
      </c>
      <c r="J1177" s="44">
        <v>10.780742</v>
      </c>
      <c r="K1177" s="48">
        <v>106.954713</v>
      </c>
    </row>
    <row r="1178" ht="22.5" customHeight="1">
      <c r="A1178" s="44" t="s">
        <v>4041</v>
      </c>
      <c r="B1178" s="44" t="s">
        <v>4042</v>
      </c>
      <c r="C1178" s="44" t="s">
        <v>4043</v>
      </c>
      <c r="D1178" s="44" t="s">
        <v>1067</v>
      </c>
      <c r="E1178" s="49" t="s">
        <v>897</v>
      </c>
      <c r="F1178" s="44" t="s">
        <v>1027</v>
      </c>
      <c r="G1178" s="44">
        <v>75.0</v>
      </c>
      <c r="H1178" s="47" t="s">
        <v>970</v>
      </c>
      <c r="I1178" s="47" t="s">
        <v>896</v>
      </c>
      <c r="J1178" s="44">
        <v>10.837612</v>
      </c>
      <c r="K1178" s="48">
        <v>106.620134</v>
      </c>
    </row>
    <row r="1179" ht="22.5" customHeight="1">
      <c r="A1179" s="44" t="s">
        <v>610</v>
      </c>
      <c r="B1179" s="44" t="s">
        <v>4044</v>
      </c>
      <c r="C1179" s="44" t="s">
        <v>4045</v>
      </c>
      <c r="D1179" s="44" t="s">
        <v>1219</v>
      </c>
      <c r="E1179" s="49" t="s">
        <v>868</v>
      </c>
      <c r="F1179" s="44" t="s">
        <v>1220</v>
      </c>
      <c r="G1179" s="44">
        <v>30.0</v>
      </c>
      <c r="H1179" s="47" t="s">
        <v>970</v>
      </c>
      <c r="I1179" s="47" t="s">
        <v>868</v>
      </c>
      <c r="J1179" s="44">
        <v>10.364739</v>
      </c>
      <c r="K1179" s="48">
        <v>106.364853</v>
      </c>
    </row>
    <row r="1180" ht="22.5" customHeight="1">
      <c r="A1180" s="44" t="s">
        <v>4046</v>
      </c>
      <c r="B1180" s="44" t="s">
        <v>4047</v>
      </c>
      <c r="C1180" s="44" t="s">
        <v>4048</v>
      </c>
      <c r="D1180" s="44" t="s">
        <v>1832</v>
      </c>
      <c r="E1180" s="49" t="s">
        <v>901</v>
      </c>
      <c r="F1180" s="44" t="s">
        <v>1562</v>
      </c>
      <c r="G1180" s="44">
        <v>60.0</v>
      </c>
      <c r="H1180" s="47" t="s">
        <v>970</v>
      </c>
      <c r="I1180" s="47" t="s">
        <v>887</v>
      </c>
      <c r="J1180" s="44">
        <v>10.793977</v>
      </c>
      <c r="K1180" s="48">
        <v>106.720348</v>
      </c>
    </row>
    <row r="1181" ht="22.5" customHeight="1">
      <c r="A1181" s="44" t="s">
        <v>4049</v>
      </c>
      <c r="B1181" s="44" t="s">
        <v>4050</v>
      </c>
      <c r="C1181" s="44" t="s">
        <v>4051</v>
      </c>
      <c r="D1181" s="44" t="s">
        <v>1571</v>
      </c>
      <c r="E1181" s="49" t="s">
        <v>797</v>
      </c>
      <c r="F1181" s="44" t="s">
        <v>1409</v>
      </c>
      <c r="G1181" s="44">
        <v>90.0</v>
      </c>
      <c r="H1181" s="47" t="s">
        <v>970</v>
      </c>
      <c r="I1181" s="47" t="s">
        <v>896</v>
      </c>
      <c r="J1181" s="44">
        <v>10.837969776142</v>
      </c>
      <c r="K1181" s="48">
        <v>106.60485358023</v>
      </c>
    </row>
    <row r="1182" ht="22.5" customHeight="1">
      <c r="A1182" s="44" t="s">
        <v>4052</v>
      </c>
      <c r="B1182" s="44" t="s">
        <v>4053</v>
      </c>
      <c r="C1182" s="44" t="s">
        <v>4054</v>
      </c>
      <c r="D1182" s="44" t="s">
        <v>1219</v>
      </c>
      <c r="E1182" s="49" t="s">
        <v>868</v>
      </c>
      <c r="F1182" s="44" t="s">
        <v>1220</v>
      </c>
      <c r="G1182" s="44">
        <v>60.0</v>
      </c>
      <c r="H1182" s="47" t="s">
        <v>970</v>
      </c>
      <c r="I1182" s="47" t="s">
        <v>868</v>
      </c>
      <c r="J1182" s="44">
        <v>10.35664</v>
      </c>
      <c r="K1182" s="48">
        <v>106.376726</v>
      </c>
    </row>
    <row r="1183" ht="22.5" customHeight="1">
      <c r="A1183" s="44" t="s">
        <v>761</v>
      </c>
      <c r="B1183" s="44" t="s">
        <v>4055</v>
      </c>
      <c r="C1183" s="44" t="s">
        <v>4056</v>
      </c>
      <c r="D1183" s="44" t="s">
        <v>1583</v>
      </c>
      <c r="E1183" s="49" t="s">
        <v>660</v>
      </c>
      <c r="F1183" s="44" t="s">
        <v>1638</v>
      </c>
      <c r="G1183" s="44">
        <v>60.0</v>
      </c>
      <c r="H1183" s="47" t="s">
        <v>970</v>
      </c>
      <c r="I1183" s="47" t="s">
        <v>870</v>
      </c>
      <c r="J1183" s="44">
        <v>10.029938</v>
      </c>
      <c r="K1183" s="48">
        <v>105.751014</v>
      </c>
    </row>
    <row r="1184" ht="22.5" customHeight="1">
      <c r="A1184" s="44" t="s">
        <v>4057</v>
      </c>
      <c r="B1184" s="44" t="s">
        <v>4058</v>
      </c>
      <c r="C1184" s="44" t="s">
        <v>4059</v>
      </c>
      <c r="D1184" s="44" t="s">
        <v>1510</v>
      </c>
      <c r="E1184" s="49" t="s">
        <v>804</v>
      </c>
      <c r="F1184" s="44" t="s">
        <v>1497</v>
      </c>
      <c r="G1184" s="44">
        <v>30.0</v>
      </c>
      <c r="H1184" s="47" t="s">
        <v>970</v>
      </c>
      <c r="I1184" s="47" t="s">
        <v>804</v>
      </c>
      <c r="J1184" s="44">
        <v>10.765334</v>
      </c>
      <c r="K1184" s="48">
        <v>106.702183</v>
      </c>
    </row>
    <row r="1185" ht="22.5" customHeight="1">
      <c r="A1185" s="44" t="s">
        <v>249</v>
      </c>
      <c r="B1185" s="44" t="s">
        <v>4060</v>
      </c>
      <c r="C1185" s="44" t="s">
        <v>4061</v>
      </c>
      <c r="D1185" s="44" t="s">
        <v>1107</v>
      </c>
      <c r="E1185" s="49" t="s">
        <v>892</v>
      </c>
      <c r="F1185" s="44" t="s">
        <v>1108</v>
      </c>
      <c r="G1185" s="44">
        <v>30.0</v>
      </c>
      <c r="H1185" s="47" t="s">
        <v>970</v>
      </c>
      <c r="I1185" s="47" t="s">
        <v>892</v>
      </c>
      <c r="J1185" s="44">
        <v>10.987081</v>
      </c>
      <c r="K1185" s="48">
        <v>106.664383</v>
      </c>
    </row>
    <row r="1186" ht="22.5" customHeight="1">
      <c r="A1186" s="44" t="s">
        <v>250</v>
      </c>
      <c r="B1186" s="44" t="s">
        <v>4062</v>
      </c>
      <c r="C1186" s="44" t="s">
        <v>4063</v>
      </c>
      <c r="D1186" s="44" t="s">
        <v>1180</v>
      </c>
      <c r="E1186" s="49" t="s">
        <v>892</v>
      </c>
      <c r="F1186" s="44" t="s">
        <v>1108</v>
      </c>
      <c r="G1186" s="44">
        <v>60.0</v>
      </c>
      <c r="H1186" s="47" t="s">
        <v>970</v>
      </c>
      <c r="I1186" s="47" t="s">
        <v>892</v>
      </c>
      <c r="J1186" s="44">
        <v>10.982143891205</v>
      </c>
      <c r="K1186" s="48">
        <v>106.66799845739</v>
      </c>
    </row>
    <row r="1187" ht="22.5" customHeight="1">
      <c r="A1187" s="44" t="s">
        <v>251</v>
      </c>
      <c r="B1187" s="44" t="s">
        <v>4064</v>
      </c>
      <c r="C1187" s="44" t="s">
        <v>2868</v>
      </c>
      <c r="D1187" s="44" t="s">
        <v>1107</v>
      </c>
      <c r="E1187" s="49" t="s">
        <v>892</v>
      </c>
      <c r="F1187" s="44" t="s">
        <v>1108</v>
      </c>
      <c r="G1187" s="44">
        <v>60.0</v>
      </c>
      <c r="H1187" s="47" t="s">
        <v>970</v>
      </c>
      <c r="I1187" s="47" t="s">
        <v>892</v>
      </c>
      <c r="J1187" s="44">
        <v>10.981503</v>
      </c>
      <c r="K1187" s="48">
        <v>106.657498</v>
      </c>
    </row>
    <row r="1188" ht="22.5" customHeight="1">
      <c r="A1188" s="44" t="s">
        <v>160</v>
      </c>
      <c r="B1188" s="44" t="s">
        <v>4065</v>
      </c>
      <c r="C1188" s="44" t="s">
        <v>4032</v>
      </c>
      <c r="D1188" s="44" t="s">
        <v>990</v>
      </c>
      <c r="E1188" s="49" t="s">
        <v>894</v>
      </c>
      <c r="F1188" s="44" t="s">
        <v>974</v>
      </c>
      <c r="G1188" s="44">
        <v>68.0</v>
      </c>
      <c r="H1188" s="47" t="s">
        <v>970</v>
      </c>
      <c r="I1188" s="47" t="s">
        <v>894</v>
      </c>
      <c r="J1188" s="44">
        <v>10.737331</v>
      </c>
      <c r="K1188" s="48">
        <v>106.724166</v>
      </c>
    </row>
    <row r="1189" ht="22.5" customHeight="1">
      <c r="A1189" s="44" t="s">
        <v>4066</v>
      </c>
      <c r="B1189" s="44" t="s">
        <v>4067</v>
      </c>
      <c r="C1189" s="44" t="s">
        <v>3343</v>
      </c>
      <c r="D1189" s="44" t="s">
        <v>1007</v>
      </c>
      <c r="E1189" s="49" t="s">
        <v>510</v>
      </c>
      <c r="F1189" s="44" t="s">
        <v>983</v>
      </c>
      <c r="G1189" s="44">
        <v>66.0</v>
      </c>
      <c r="H1189" s="47" t="s">
        <v>970</v>
      </c>
      <c r="I1189" s="47" t="s">
        <v>510</v>
      </c>
      <c r="J1189" s="44">
        <v>10.864211</v>
      </c>
      <c r="K1189" s="48">
        <v>106.745498</v>
      </c>
    </row>
    <row r="1190" ht="22.5" customHeight="1">
      <c r="A1190" s="44" t="s">
        <v>785</v>
      </c>
      <c r="B1190" s="44" t="s">
        <v>4068</v>
      </c>
      <c r="C1190" s="44" t="s">
        <v>4069</v>
      </c>
      <c r="D1190" s="44" t="s">
        <v>4070</v>
      </c>
      <c r="E1190" s="49" t="s">
        <v>887</v>
      </c>
      <c r="F1190" s="44" t="s">
        <v>1031</v>
      </c>
      <c r="G1190" s="44">
        <v>100.0</v>
      </c>
      <c r="H1190" s="47" t="s">
        <v>970</v>
      </c>
      <c r="I1190" s="47" t="s">
        <v>898</v>
      </c>
      <c r="J1190" s="44">
        <v>10.750466</v>
      </c>
      <c r="K1190" s="48">
        <v>106.791643</v>
      </c>
    </row>
    <row r="1191" ht="22.5" customHeight="1">
      <c r="A1191" s="44" t="s">
        <v>4071</v>
      </c>
      <c r="B1191" s="44" t="s">
        <v>4072</v>
      </c>
      <c r="C1191" s="44" t="s">
        <v>4073</v>
      </c>
      <c r="D1191" s="44" t="s">
        <v>1317</v>
      </c>
      <c r="E1191" s="49" t="s">
        <v>894</v>
      </c>
      <c r="F1191" s="44" t="s">
        <v>974</v>
      </c>
      <c r="G1191" s="44">
        <v>68.0</v>
      </c>
      <c r="H1191" s="47" t="s">
        <v>970</v>
      </c>
      <c r="I1191" s="47" t="s">
        <v>894</v>
      </c>
      <c r="J1191" s="44">
        <v>10.750657</v>
      </c>
      <c r="K1191" s="48">
        <v>106.728785</v>
      </c>
    </row>
    <row r="1192" ht="22.5" customHeight="1">
      <c r="A1192" s="44" t="s">
        <v>4074</v>
      </c>
      <c r="B1192" s="44" t="s">
        <v>4075</v>
      </c>
      <c r="C1192" s="44" t="s">
        <v>4076</v>
      </c>
      <c r="D1192" s="44" t="s">
        <v>1120</v>
      </c>
      <c r="E1192" s="49" t="s">
        <v>895</v>
      </c>
      <c r="F1192" s="44" t="s">
        <v>1121</v>
      </c>
      <c r="G1192" s="44">
        <v>72.0</v>
      </c>
      <c r="H1192" s="47" t="s">
        <v>970</v>
      </c>
      <c r="I1192" s="47" t="s">
        <v>895</v>
      </c>
      <c r="J1192" s="44">
        <v>10.870355</v>
      </c>
      <c r="K1192" s="48">
        <v>106.812849</v>
      </c>
    </row>
    <row r="1193" ht="22.5" customHeight="1">
      <c r="A1193" s="44" t="s">
        <v>648</v>
      </c>
      <c r="B1193" s="44" t="s">
        <v>4077</v>
      </c>
      <c r="C1193" s="44" t="s">
        <v>4078</v>
      </c>
      <c r="D1193" s="44" t="s">
        <v>990</v>
      </c>
      <c r="E1193" s="49" t="s">
        <v>894</v>
      </c>
      <c r="F1193" s="44" t="s">
        <v>974</v>
      </c>
      <c r="G1193" s="44">
        <v>38.0</v>
      </c>
      <c r="H1193" s="47" t="s">
        <v>970</v>
      </c>
      <c r="I1193" s="47" t="s">
        <v>894</v>
      </c>
      <c r="J1193" s="44">
        <v>10.725995</v>
      </c>
      <c r="K1193" s="48">
        <v>106.724004</v>
      </c>
    </row>
    <row r="1194" ht="22.5" customHeight="1">
      <c r="A1194" s="44" t="s">
        <v>4079</v>
      </c>
      <c r="B1194" s="44" t="s">
        <v>4080</v>
      </c>
      <c r="C1194" s="44" t="s">
        <v>4081</v>
      </c>
      <c r="D1194" s="44" t="s">
        <v>1026</v>
      </c>
      <c r="E1194" s="49" t="s">
        <v>897</v>
      </c>
      <c r="F1194" s="44" t="s">
        <v>1027</v>
      </c>
      <c r="G1194" s="44">
        <v>68.0</v>
      </c>
      <c r="H1194" s="47" t="s">
        <v>970</v>
      </c>
      <c r="I1194" s="47" t="s">
        <v>897</v>
      </c>
      <c r="J1194" s="44">
        <v>10.843402</v>
      </c>
      <c r="K1194" s="48">
        <v>106.660575</v>
      </c>
    </row>
    <row r="1195" ht="22.5" customHeight="1">
      <c r="A1195" s="44" t="s">
        <v>4082</v>
      </c>
      <c r="B1195" s="44" t="s">
        <v>4083</v>
      </c>
      <c r="C1195" s="44" t="s">
        <v>4084</v>
      </c>
      <c r="D1195" s="44" t="s">
        <v>1135</v>
      </c>
      <c r="E1195" s="49" t="s">
        <v>888</v>
      </c>
      <c r="F1195" s="44" t="s">
        <v>1136</v>
      </c>
      <c r="G1195" s="44">
        <v>60.0</v>
      </c>
      <c r="H1195" s="47" t="s">
        <v>970</v>
      </c>
      <c r="I1195" s="47" t="s">
        <v>888</v>
      </c>
      <c r="J1195" s="44">
        <v>10.784502</v>
      </c>
      <c r="K1195" s="48">
        <v>106.70977</v>
      </c>
    </row>
    <row r="1196" ht="22.5" customHeight="1">
      <c r="A1196" s="44" t="s">
        <v>767</v>
      </c>
      <c r="B1196" s="44" t="s">
        <v>4085</v>
      </c>
      <c r="C1196" s="44" t="s">
        <v>4086</v>
      </c>
      <c r="D1196" s="44" t="s">
        <v>3171</v>
      </c>
      <c r="E1196" s="49" t="s">
        <v>804</v>
      </c>
      <c r="F1196" s="44" t="s">
        <v>1497</v>
      </c>
      <c r="G1196" s="44">
        <v>60.0</v>
      </c>
      <c r="H1196" s="47" t="s">
        <v>970</v>
      </c>
      <c r="I1196" s="47" t="s">
        <v>804</v>
      </c>
      <c r="J1196" s="44">
        <v>10.758961</v>
      </c>
      <c r="K1196" s="48">
        <v>106.709046</v>
      </c>
    </row>
    <row r="1197" ht="22.5" customHeight="1">
      <c r="A1197" s="44" t="s">
        <v>4087</v>
      </c>
      <c r="B1197" s="44" t="s">
        <v>4088</v>
      </c>
      <c r="C1197" s="44" t="s">
        <v>4089</v>
      </c>
      <c r="D1197" s="44" t="s">
        <v>1571</v>
      </c>
      <c r="E1197" s="49" t="s">
        <v>797</v>
      </c>
      <c r="F1197" s="44" t="s">
        <v>1409</v>
      </c>
      <c r="G1197" s="44">
        <v>75.0</v>
      </c>
      <c r="H1197" s="47" t="s">
        <v>970</v>
      </c>
      <c r="I1197" s="47" t="s">
        <v>819</v>
      </c>
      <c r="J1197" s="44">
        <v>10.829777762672</v>
      </c>
      <c r="K1197" s="48">
        <v>106.60269034855</v>
      </c>
    </row>
    <row r="1198" ht="22.5" customHeight="1">
      <c r="A1198" s="44" t="s">
        <v>252</v>
      </c>
      <c r="B1198" s="44" t="s">
        <v>4090</v>
      </c>
      <c r="C1198" s="44" t="s">
        <v>3713</v>
      </c>
      <c r="D1198" s="44" t="s">
        <v>1180</v>
      </c>
      <c r="E1198" s="49" t="s">
        <v>892</v>
      </c>
      <c r="F1198" s="44" t="s">
        <v>1108</v>
      </c>
      <c r="G1198" s="44">
        <v>60.0</v>
      </c>
      <c r="H1198" s="47" t="s">
        <v>970</v>
      </c>
      <c r="I1198" s="47" t="s">
        <v>892</v>
      </c>
      <c r="J1198" s="44">
        <v>10.994873</v>
      </c>
      <c r="K1198" s="48">
        <v>106.657071</v>
      </c>
    </row>
    <row r="1199" ht="22.5" customHeight="1">
      <c r="A1199" s="44" t="s">
        <v>4091</v>
      </c>
      <c r="B1199" s="44" t="s">
        <v>4092</v>
      </c>
      <c r="C1199" s="44" t="s">
        <v>4093</v>
      </c>
      <c r="D1199" s="44" t="s">
        <v>1167</v>
      </c>
      <c r="E1199" s="49" t="s">
        <v>789</v>
      </c>
      <c r="F1199" s="44" t="s">
        <v>1168</v>
      </c>
      <c r="G1199" s="44">
        <v>39.0</v>
      </c>
      <c r="H1199" s="47" t="s">
        <v>970</v>
      </c>
      <c r="I1199" s="47" t="s">
        <v>789</v>
      </c>
      <c r="J1199" s="44">
        <v>10.747662</v>
      </c>
      <c r="K1199" s="48">
        <v>106.61451</v>
      </c>
    </row>
    <row r="1200" ht="22.5" customHeight="1">
      <c r="A1200" s="44" t="s">
        <v>22</v>
      </c>
      <c r="B1200" s="44" t="s">
        <v>4094</v>
      </c>
      <c r="C1200" s="44" t="s">
        <v>4095</v>
      </c>
      <c r="D1200" s="44" t="s">
        <v>1662</v>
      </c>
      <c r="E1200" s="49" t="s">
        <v>891</v>
      </c>
      <c r="F1200" s="44" t="s">
        <v>1125</v>
      </c>
      <c r="G1200" s="44">
        <v>45.0</v>
      </c>
      <c r="H1200" s="47" t="s">
        <v>970</v>
      </c>
      <c r="I1200" s="47" t="s">
        <v>891</v>
      </c>
      <c r="J1200" s="44">
        <v>10.952683</v>
      </c>
      <c r="K1200" s="48">
        <v>106.867861</v>
      </c>
    </row>
    <row r="1201" ht="22.5" customHeight="1">
      <c r="A1201" s="44" t="s">
        <v>23</v>
      </c>
      <c r="B1201" s="44" t="s">
        <v>4096</v>
      </c>
      <c r="C1201" s="44" t="s">
        <v>4097</v>
      </c>
      <c r="D1201" s="44" t="s">
        <v>2129</v>
      </c>
      <c r="E1201" s="49" t="s">
        <v>891</v>
      </c>
      <c r="F1201" s="44" t="s">
        <v>1125</v>
      </c>
      <c r="G1201" s="44">
        <v>60.0</v>
      </c>
      <c r="H1201" s="47" t="s">
        <v>970</v>
      </c>
      <c r="I1201" s="47" t="s">
        <v>891</v>
      </c>
      <c r="J1201" s="44">
        <v>10.991310991262</v>
      </c>
      <c r="K1201" s="48">
        <v>106.84662664503</v>
      </c>
    </row>
    <row r="1202" ht="22.5" customHeight="1">
      <c r="A1202" s="44" t="s">
        <v>24</v>
      </c>
      <c r="B1202" s="44" t="s">
        <v>4098</v>
      </c>
      <c r="C1202" s="44" t="s">
        <v>4099</v>
      </c>
      <c r="D1202" s="44" t="s">
        <v>2129</v>
      </c>
      <c r="E1202" s="49" t="s">
        <v>891</v>
      </c>
      <c r="F1202" s="44" t="s">
        <v>1125</v>
      </c>
      <c r="G1202" s="44">
        <v>60.0</v>
      </c>
      <c r="H1202" s="47" t="s">
        <v>970</v>
      </c>
      <c r="I1202" s="47" t="s">
        <v>891</v>
      </c>
      <c r="J1202" s="44">
        <v>10.995063682683</v>
      </c>
      <c r="K1202" s="48">
        <v>106.84825788167</v>
      </c>
    </row>
    <row r="1203" ht="22.5" customHeight="1">
      <c r="A1203" s="44" t="s">
        <v>4100</v>
      </c>
      <c r="B1203" s="44" t="s">
        <v>4101</v>
      </c>
      <c r="C1203" s="44" t="s">
        <v>4102</v>
      </c>
      <c r="D1203" s="44" t="s">
        <v>1132</v>
      </c>
      <c r="E1203" s="49" t="s">
        <v>897</v>
      </c>
      <c r="F1203" s="44" t="s">
        <v>1027</v>
      </c>
      <c r="G1203" s="44">
        <v>75.0</v>
      </c>
      <c r="H1203" s="47" t="s">
        <v>970</v>
      </c>
      <c r="I1203" s="47" t="s">
        <v>897</v>
      </c>
      <c r="J1203" s="44">
        <v>10.874471</v>
      </c>
      <c r="K1203" s="48">
        <v>106.63944</v>
      </c>
    </row>
    <row r="1204" ht="22.5" customHeight="1">
      <c r="A1204" s="44" t="s">
        <v>4103</v>
      </c>
      <c r="B1204" s="44" t="s">
        <v>4104</v>
      </c>
      <c r="C1204" s="44" t="s">
        <v>2430</v>
      </c>
      <c r="D1204" s="44" t="s">
        <v>1227</v>
      </c>
      <c r="E1204" s="49" t="s">
        <v>890</v>
      </c>
      <c r="F1204" s="44" t="s">
        <v>1228</v>
      </c>
      <c r="G1204" s="44">
        <v>60.0</v>
      </c>
      <c r="H1204" s="47" t="s">
        <v>970</v>
      </c>
      <c r="I1204" s="47" t="s">
        <v>890</v>
      </c>
      <c r="J1204" s="44">
        <v>10.911016</v>
      </c>
      <c r="K1204" s="48">
        <v>106.781359</v>
      </c>
    </row>
    <row r="1205" ht="22.5" customHeight="1">
      <c r="A1205" s="44" t="s">
        <v>4105</v>
      </c>
      <c r="B1205" s="44" t="s">
        <v>4106</v>
      </c>
      <c r="C1205" s="44" t="s">
        <v>4107</v>
      </c>
      <c r="D1205" s="44" t="s">
        <v>1014</v>
      </c>
      <c r="E1205" s="49" t="s">
        <v>813</v>
      </c>
      <c r="F1205" s="44" t="s">
        <v>1015</v>
      </c>
      <c r="G1205" s="44">
        <v>46.0</v>
      </c>
      <c r="H1205" s="47" t="s">
        <v>970</v>
      </c>
      <c r="I1205" s="47" t="s">
        <v>813</v>
      </c>
      <c r="J1205" s="44">
        <v>10.759228241607</v>
      </c>
      <c r="K1205" s="48">
        <v>106.68316998723</v>
      </c>
    </row>
    <row r="1206" ht="22.5" customHeight="1">
      <c r="A1206" s="44" t="s">
        <v>182</v>
      </c>
      <c r="B1206" s="44" t="s">
        <v>4108</v>
      </c>
      <c r="C1206" s="44" t="s">
        <v>4109</v>
      </c>
      <c r="D1206" s="44" t="s">
        <v>1030</v>
      </c>
      <c r="E1206" s="49" t="s">
        <v>887</v>
      </c>
      <c r="F1206" s="44" t="s">
        <v>1031</v>
      </c>
      <c r="G1206" s="44">
        <v>44.0</v>
      </c>
      <c r="H1206" s="47" t="s">
        <v>970</v>
      </c>
      <c r="I1206" s="47" t="s">
        <v>887</v>
      </c>
      <c r="J1206" s="44">
        <v>10.788705</v>
      </c>
      <c r="K1206" s="48">
        <v>106.734276</v>
      </c>
    </row>
    <row r="1207" ht="22.5" customHeight="1">
      <c r="A1207" s="44" t="s">
        <v>4110</v>
      </c>
      <c r="B1207" s="44" t="s">
        <v>4111</v>
      </c>
      <c r="C1207" s="44" t="s">
        <v>4112</v>
      </c>
      <c r="D1207" s="44" t="s">
        <v>1895</v>
      </c>
      <c r="E1207" s="49" t="s">
        <v>809</v>
      </c>
      <c r="F1207" s="44" t="s">
        <v>1022</v>
      </c>
      <c r="G1207" s="44">
        <v>68.0</v>
      </c>
      <c r="H1207" s="47" t="s">
        <v>970</v>
      </c>
      <c r="I1207" s="47" t="s">
        <v>897</v>
      </c>
      <c r="J1207" s="44">
        <v>10.84369785599</v>
      </c>
      <c r="K1207" s="48">
        <v>106.63953554066</v>
      </c>
    </row>
    <row r="1208" ht="22.5" customHeight="1">
      <c r="A1208" s="44" t="s">
        <v>25</v>
      </c>
      <c r="B1208" s="44" t="s">
        <v>4113</v>
      </c>
      <c r="C1208" s="44" t="s">
        <v>4114</v>
      </c>
      <c r="D1208" s="44" t="s">
        <v>1779</v>
      </c>
      <c r="E1208" s="49" t="s">
        <v>891</v>
      </c>
      <c r="F1208" s="44" t="s">
        <v>1125</v>
      </c>
      <c r="G1208" s="44">
        <v>30.0</v>
      </c>
      <c r="H1208" s="47" t="s">
        <v>970</v>
      </c>
      <c r="I1208" s="47" t="s">
        <v>891</v>
      </c>
      <c r="J1208" s="44">
        <v>10.933633</v>
      </c>
      <c r="K1208" s="48">
        <v>106.830386</v>
      </c>
    </row>
    <row r="1209" ht="22.5" customHeight="1">
      <c r="A1209" s="44" t="s">
        <v>4115</v>
      </c>
      <c r="B1209" s="44" t="s">
        <v>4116</v>
      </c>
      <c r="C1209" s="44" t="s">
        <v>4117</v>
      </c>
      <c r="D1209" s="44" t="s">
        <v>1076</v>
      </c>
      <c r="E1209" s="49" t="s">
        <v>813</v>
      </c>
      <c r="F1209" s="44" t="s">
        <v>1015</v>
      </c>
      <c r="G1209" s="44">
        <v>76.0</v>
      </c>
      <c r="H1209" s="47" t="s">
        <v>970</v>
      </c>
      <c r="I1209" s="47" t="s">
        <v>813</v>
      </c>
      <c r="J1209" s="44">
        <v>10.75521</v>
      </c>
      <c r="K1209" s="48">
        <v>106.670962</v>
      </c>
    </row>
    <row r="1210" ht="22.5" customHeight="1">
      <c r="A1210" s="44" t="s">
        <v>161</v>
      </c>
      <c r="B1210" s="44" t="s">
        <v>4118</v>
      </c>
      <c r="C1210" s="44" t="s">
        <v>4032</v>
      </c>
      <c r="D1210" s="44" t="s">
        <v>990</v>
      </c>
      <c r="E1210" s="49" t="s">
        <v>894</v>
      </c>
      <c r="F1210" s="44" t="s">
        <v>974</v>
      </c>
      <c r="G1210" s="44">
        <v>38.0</v>
      </c>
      <c r="H1210" s="47" t="s">
        <v>970</v>
      </c>
      <c r="I1210" s="47" t="s">
        <v>894</v>
      </c>
      <c r="J1210" s="44">
        <v>10.737331</v>
      </c>
      <c r="K1210" s="48">
        <v>106.724166</v>
      </c>
    </row>
    <row r="1211" ht="22.5" customHeight="1">
      <c r="A1211" s="44" t="s">
        <v>4119</v>
      </c>
      <c r="B1211" s="44" t="s">
        <v>4120</v>
      </c>
      <c r="C1211" s="44" t="s">
        <v>4121</v>
      </c>
      <c r="D1211" s="44" t="s">
        <v>990</v>
      </c>
      <c r="E1211" s="49" t="s">
        <v>894</v>
      </c>
      <c r="F1211" s="44" t="s">
        <v>974</v>
      </c>
      <c r="G1211" s="44">
        <v>68.0</v>
      </c>
      <c r="H1211" s="47" t="s">
        <v>970</v>
      </c>
      <c r="I1211" s="47" t="s">
        <v>882</v>
      </c>
      <c r="J1211" s="44">
        <v>10.704277</v>
      </c>
      <c r="K1211" s="48">
        <v>106.728883</v>
      </c>
    </row>
    <row r="1212" ht="22.5" customHeight="1">
      <c r="A1212" s="44" t="s">
        <v>4122</v>
      </c>
      <c r="B1212" s="44" t="s">
        <v>4123</v>
      </c>
      <c r="C1212" s="44" t="s">
        <v>4124</v>
      </c>
      <c r="D1212" s="44" t="s">
        <v>1648</v>
      </c>
      <c r="E1212" s="49" t="s">
        <v>883</v>
      </c>
      <c r="F1212" s="44" t="s">
        <v>1471</v>
      </c>
      <c r="G1212" s="50">
        <v>85.0</v>
      </c>
      <c r="H1212" s="47" t="s">
        <v>970</v>
      </c>
      <c r="I1212" s="47" t="s">
        <v>890</v>
      </c>
      <c r="J1212" s="44">
        <v>10.964464</v>
      </c>
      <c r="K1212" s="48">
        <v>106.746195</v>
      </c>
    </row>
    <row r="1213" ht="22.5" customHeight="1">
      <c r="A1213" s="44" t="s">
        <v>557</v>
      </c>
      <c r="B1213" s="44" t="s">
        <v>4125</v>
      </c>
      <c r="C1213" s="44" t="s">
        <v>3343</v>
      </c>
      <c r="D1213" s="44" t="s">
        <v>1007</v>
      </c>
      <c r="E1213" s="49" t="s">
        <v>510</v>
      </c>
      <c r="F1213" s="44" t="s">
        <v>983</v>
      </c>
      <c r="G1213" s="44">
        <v>36.0</v>
      </c>
      <c r="H1213" s="47" t="s">
        <v>970</v>
      </c>
      <c r="I1213" s="47" t="s">
        <v>510</v>
      </c>
      <c r="J1213" s="44">
        <v>10.864211</v>
      </c>
      <c r="K1213" s="48">
        <v>106.745498</v>
      </c>
    </row>
    <row r="1214" ht="22.5" customHeight="1">
      <c r="A1214" s="44" t="s">
        <v>4126</v>
      </c>
      <c r="B1214" s="44" t="s">
        <v>4127</v>
      </c>
      <c r="C1214" s="44" t="s">
        <v>4128</v>
      </c>
      <c r="D1214" s="44" t="s">
        <v>1167</v>
      </c>
      <c r="E1214" s="49" t="s">
        <v>789</v>
      </c>
      <c r="F1214" s="44" t="s">
        <v>1168</v>
      </c>
      <c r="G1214" s="44">
        <v>69.0</v>
      </c>
      <c r="H1214" s="47" t="s">
        <v>970</v>
      </c>
      <c r="I1214" s="47" t="s">
        <v>789</v>
      </c>
      <c r="J1214" s="44">
        <v>10.737186</v>
      </c>
      <c r="K1214" s="48">
        <v>106.614183</v>
      </c>
    </row>
    <row r="1215" ht="22.5" customHeight="1">
      <c r="A1215" s="44" t="s">
        <v>162</v>
      </c>
      <c r="B1215" s="44" t="s">
        <v>4129</v>
      </c>
      <c r="C1215" s="44" t="s">
        <v>4130</v>
      </c>
      <c r="D1215" s="44" t="s">
        <v>990</v>
      </c>
      <c r="E1215" s="49" t="s">
        <v>894</v>
      </c>
      <c r="F1215" s="44" t="s">
        <v>974</v>
      </c>
      <c r="G1215" s="44">
        <v>68.0</v>
      </c>
      <c r="H1215" s="47" t="s">
        <v>970</v>
      </c>
      <c r="I1215" s="47" t="s">
        <v>894</v>
      </c>
      <c r="J1215" s="44">
        <v>10.738045</v>
      </c>
      <c r="K1215" s="48">
        <v>106.718124</v>
      </c>
    </row>
    <row r="1216" ht="22.5" customHeight="1">
      <c r="A1216" s="44" t="s">
        <v>4131</v>
      </c>
      <c r="B1216" s="44" t="s">
        <v>4132</v>
      </c>
      <c r="C1216" s="44" t="s">
        <v>4133</v>
      </c>
      <c r="D1216" s="44" t="s">
        <v>1905</v>
      </c>
      <c r="E1216" s="49" t="s">
        <v>890</v>
      </c>
      <c r="F1216" s="44" t="s">
        <v>1228</v>
      </c>
      <c r="G1216" s="44">
        <v>100.0</v>
      </c>
      <c r="H1216" s="47" t="s">
        <v>970</v>
      </c>
      <c r="I1216" s="47" t="s">
        <v>890</v>
      </c>
      <c r="J1216" s="44">
        <v>10.901453</v>
      </c>
      <c r="K1216" s="48">
        <v>106.796715</v>
      </c>
    </row>
    <row r="1217" ht="22.5" customHeight="1">
      <c r="A1217" s="44" t="s">
        <v>4134</v>
      </c>
      <c r="B1217" s="44" t="s">
        <v>4135</v>
      </c>
      <c r="C1217" s="44" t="s">
        <v>4136</v>
      </c>
      <c r="D1217" s="44" t="s">
        <v>1227</v>
      </c>
      <c r="E1217" s="49" t="s">
        <v>890</v>
      </c>
      <c r="F1217" s="44" t="s">
        <v>1228</v>
      </c>
      <c r="G1217" s="44">
        <v>90.0</v>
      </c>
      <c r="H1217" s="47" t="s">
        <v>970</v>
      </c>
      <c r="I1217" s="47" t="s">
        <v>890</v>
      </c>
      <c r="J1217" s="44">
        <v>10.923335</v>
      </c>
      <c r="K1217" s="48">
        <v>106.751425</v>
      </c>
    </row>
    <row r="1218" ht="22.5" customHeight="1">
      <c r="A1218" s="44" t="s">
        <v>4137</v>
      </c>
      <c r="B1218" s="44" t="s">
        <v>4138</v>
      </c>
      <c r="C1218" s="44" t="s">
        <v>4139</v>
      </c>
      <c r="D1218" s="44" t="s">
        <v>1994</v>
      </c>
      <c r="E1218" s="49" t="s">
        <v>890</v>
      </c>
      <c r="F1218" s="44" t="s">
        <v>1228</v>
      </c>
      <c r="G1218" s="44">
        <v>60.0</v>
      </c>
      <c r="H1218" s="47" t="s">
        <v>970</v>
      </c>
      <c r="I1218" s="47" t="s">
        <v>890</v>
      </c>
      <c r="J1218" s="44">
        <v>10.938833445247</v>
      </c>
      <c r="K1218" s="48">
        <v>106.7612520493</v>
      </c>
    </row>
    <row r="1219" ht="22.5" customHeight="1">
      <c r="A1219" s="44" t="s">
        <v>4137</v>
      </c>
      <c r="B1219" s="44" t="s">
        <v>4140</v>
      </c>
      <c r="C1219" s="44" t="s">
        <v>4141</v>
      </c>
      <c r="D1219" s="44" t="s">
        <v>1994</v>
      </c>
      <c r="E1219" s="49" t="s">
        <v>890</v>
      </c>
      <c r="F1219" s="44" t="s">
        <v>1228</v>
      </c>
      <c r="G1219" s="44">
        <v>60.0</v>
      </c>
      <c r="H1219" s="47" t="s">
        <v>970</v>
      </c>
      <c r="I1219" s="47" t="s">
        <v>890</v>
      </c>
      <c r="J1219" s="44">
        <v>10.901340548923</v>
      </c>
      <c r="K1219" s="48">
        <v>106.7971309246</v>
      </c>
    </row>
    <row r="1220" ht="22.5" customHeight="1">
      <c r="A1220" s="44" t="s">
        <v>4142</v>
      </c>
      <c r="B1220" s="44" t="s">
        <v>4143</v>
      </c>
      <c r="C1220" s="44" t="s">
        <v>4144</v>
      </c>
      <c r="D1220" s="44" t="s">
        <v>982</v>
      </c>
      <c r="E1220" s="49" t="s">
        <v>510</v>
      </c>
      <c r="F1220" s="44" t="s">
        <v>983</v>
      </c>
      <c r="G1220" s="44">
        <v>66.0</v>
      </c>
      <c r="H1220" s="47" t="s">
        <v>970</v>
      </c>
      <c r="I1220" s="47" t="s">
        <v>510</v>
      </c>
      <c r="J1220" s="44">
        <v>10.862798</v>
      </c>
      <c r="K1220" s="48">
        <v>106.720161</v>
      </c>
    </row>
    <row r="1221" ht="22.5" customHeight="1">
      <c r="A1221" s="44" t="s">
        <v>4145</v>
      </c>
      <c r="B1221" s="44" t="s">
        <v>4146</v>
      </c>
      <c r="C1221" s="44" t="s">
        <v>4147</v>
      </c>
      <c r="D1221" s="44" t="s">
        <v>1820</v>
      </c>
      <c r="E1221" s="49" t="s">
        <v>850</v>
      </c>
      <c r="F1221" s="44" t="s">
        <v>1057</v>
      </c>
      <c r="G1221" s="44">
        <v>60.0</v>
      </c>
      <c r="H1221" s="47" t="s">
        <v>970</v>
      </c>
      <c r="I1221" s="47" t="s">
        <v>850</v>
      </c>
      <c r="J1221" s="44">
        <v>10.975727</v>
      </c>
      <c r="K1221" s="48">
        <v>106.477073</v>
      </c>
    </row>
    <row r="1222" ht="22.5" customHeight="1">
      <c r="A1222" s="44" t="s">
        <v>4148</v>
      </c>
      <c r="B1222" s="44" t="s">
        <v>4149</v>
      </c>
      <c r="C1222" s="44" t="s">
        <v>3800</v>
      </c>
      <c r="D1222" s="44" t="s">
        <v>1135</v>
      </c>
      <c r="E1222" s="49" t="s">
        <v>888</v>
      </c>
      <c r="F1222" s="44" t="s">
        <v>1136</v>
      </c>
      <c r="G1222" s="44">
        <v>45.0</v>
      </c>
      <c r="H1222" s="47" t="s">
        <v>970</v>
      </c>
      <c r="I1222" s="47" t="s">
        <v>888</v>
      </c>
      <c r="J1222" s="44">
        <v>10.780842</v>
      </c>
      <c r="K1222" s="48">
        <v>106.702319</v>
      </c>
    </row>
    <row r="1223" ht="22.5" customHeight="1">
      <c r="A1223" s="44" t="s">
        <v>4150</v>
      </c>
      <c r="B1223" s="44" t="s">
        <v>4151</v>
      </c>
      <c r="C1223" s="44" t="s">
        <v>4152</v>
      </c>
      <c r="D1223" s="44" t="s">
        <v>1895</v>
      </c>
      <c r="E1223" s="49" t="s">
        <v>897</v>
      </c>
      <c r="F1223" s="44" t="s">
        <v>1027</v>
      </c>
      <c r="G1223" s="44">
        <v>68.0</v>
      </c>
      <c r="H1223" s="47" t="s">
        <v>970</v>
      </c>
      <c r="I1223" s="47" t="s">
        <v>897</v>
      </c>
      <c r="J1223" s="44">
        <v>10.844482</v>
      </c>
      <c r="K1223" s="48">
        <v>106.639617</v>
      </c>
    </row>
    <row r="1224" ht="22.5" customHeight="1">
      <c r="A1224" s="44" t="s">
        <v>4153</v>
      </c>
      <c r="B1224" s="44" t="s">
        <v>4154</v>
      </c>
      <c r="C1224" s="44" t="s">
        <v>4155</v>
      </c>
      <c r="D1224" s="44" t="s">
        <v>1820</v>
      </c>
      <c r="E1224" s="49" t="s">
        <v>850</v>
      </c>
      <c r="F1224" s="44" t="s">
        <v>1057</v>
      </c>
      <c r="G1224" s="44">
        <v>60.0</v>
      </c>
      <c r="H1224" s="47" t="s">
        <v>970</v>
      </c>
      <c r="I1224" s="47" t="s">
        <v>850</v>
      </c>
      <c r="J1224" s="44">
        <v>10.975727</v>
      </c>
      <c r="K1224" s="48">
        <v>106.477073</v>
      </c>
    </row>
    <row r="1225" ht="22.5" customHeight="1">
      <c r="A1225" s="44" t="s">
        <v>4156</v>
      </c>
      <c r="B1225" s="44" t="s">
        <v>4157</v>
      </c>
      <c r="C1225" s="44" t="s">
        <v>4158</v>
      </c>
      <c r="D1225" s="44" t="s">
        <v>1925</v>
      </c>
      <c r="E1225" s="49" t="s">
        <v>885</v>
      </c>
      <c r="F1225" s="44" t="s">
        <v>1117</v>
      </c>
      <c r="G1225" s="44">
        <v>30.0</v>
      </c>
      <c r="H1225" s="47" t="s">
        <v>970</v>
      </c>
      <c r="I1225" s="47" t="s">
        <v>808</v>
      </c>
      <c r="J1225" s="44">
        <v>10.725787</v>
      </c>
      <c r="K1225" s="48">
        <v>106.637499</v>
      </c>
    </row>
    <row r="1226" ht="22.5" customHeight="1">
      <c r="A1226" s="44" t="s">
        <v>163</v>
      </c>
      <c r="B1226" s="44" t="s">
        <v>4159</v>
      </c>
      <c r="C1226" s="44" t="s">
        <v>4160</v>
      </c>
      <c r="D1226" s="44" t="s">
        <v>990</v>
      </c>
      <c r="E1226" s="49" t="s">
        <v>894</v>
      </c>
      <c r="F1226" s="44" t="s">
        <v>974</v>
      </c>
      <c r="G1226" s="44">
        <v>68.0</v>
      </c>
      <c r="H1226" s="47" t="s">
        <v>970</v>
      </c>
      <c r="I1226" s="47" t="s">
        <v>894</v>
      </c>
      <c r="J1226" s="44">
        <v>10.737331</v>
      </c>
      <c r="K1226" s="48">
        <v>106.724166</v>
      </c>
    </row>
    <row r="1227" ht="22.5" customHeight="1">
      <c r="A1227" s="44" t="s">
        <v>4161</v>
      </c>
      <c r="B1227" s="44" t="s">
        <v>4162</v>
      </c>
      <c r="C1227" s="44" t="s">
        <v>4163</v>
      </c>
      <c r="D1227" s="44" t="s">
        <v>1359</v>
      </c>
      <c r="E1227" s="49" t="s">
        <v>813</v>
      </c>
      <c r="F1227" s="44" t="s">
        <v>1015</v>
      </c>
      <c r="G1227" s="44">
        <v>61.0</v>
      </c>
      <c r="H1227" s="47" t="s">
        <v>970</v>
      </c>
      <c r="I1227" s="47" t="s">
        <v>822</v>
      </c>
      <c r="J1227" s="44">
        <v>10.756422</v>
      </c>
      <c r="K1227" s="48">
        <v>106.662703</v>
      </c>
    </row>
    <row r="1228" ht="22.5" customHeight="1">
      <c r="A1228" s="44" t="s">
        <v>4164</v>
      </c>
      <c r="B1228" s="44" t="s">
        <v>4165</v>
      </c>
      <c r="C1228" s="44" t="s">
        <v>4166</v>
      </c>
      <c r="D1228" s="44" t="s">
        <v>1510</v>
      </c>
      <c r="E1228" s="49" t="s">
        <v>804</v>
      </c>
      <c r="F1228" s="44" t="s">
        <v>1497</v>
      </c>
      <c r="G1228" s="44">
        <v>30.0</v>
      </c>
      <c r="H1228" s="47" t="s">
        <v>970</v>
      </c>
      <c r="I1228" s="47" t="s">
        <v>804</v>
      </c>
      <c r="J1228" s="44">
        <v>10.765334</v>
      </c>
      <c r="K1228" s="48">
        <v>106.702183</v>
      </c>
    </row>
    <row r="1229" ht="22.5" customHeight="1">
      <c r="A1229" s="44" t="s">
        <v>4167</v>
      </c>
      <c r="B1229" s="44" t="s">
        <v>4168</v>
      </c>
      <c r="C1229" s="44" t="s">
        <v>4147</v>
      </c>
      <c r="D1229" s="44" t="s">
        <v>1820</v>
      </c>
      <c r="E1229" s="49" t="s">
        <v>850</v>
      </c>
      <c r="F1229" s="44" t="s">
        <v>1057</v>
      </c>
      <c r="G1229" s="44">
        <v>60.0</v>
      </c>
      <c r="H1229" s="47" t="s">
        <v>970</v>
      </c>
      <c r="I1229" s="47" t="s">
        <v>850</v>
      </c>
      <c r="J1229" s="44">
        <v>10.975727</v>
      </c>
      <c r="K1229" s="48">
        <v>106.477073</v>
      </c>
    </row>
    <row r="1230" ht="22.5" customHeight="1">
      <c r="A1230" s="44" t="s">
        <v>4169</v>
      </c>
      <c r="B1230" s="44" t="s">
        <v>4170</v>
      </c>
      <c r="C1230" s="44" t="s">
        <v>4171</v>
      </c>
      <c r="D1230" s="44" t="s">
        <v>1227</v>
      </c>
      <c r="E1230" s="49" t="s">
        <v>890</v>
      </c>
      <c r="F1230" s="44" t="s">
        <v>1228</v>
      </c>
      <c r="G1230" s="44">
        <v>60.0</v>
      </c>
      <c r="H1230" s="47" t="s">
        <v>970</v>
      </c>
      <c r="I1230" s="47" t="s">
        <v>890</v>
      </c>
      <c r="J1230" s="44">
        <v>10.910549463752</v>
      </c>
      <c r="K1230" s="48">
        <v>106.78160742523</v>
      </c>
    </row>
    <row r="1231" ht="22.5" customHeight="1">
      <c r="A1231" s="44" t="s">
        <v>253</v>
      </c>
      <c r="B1231" s="44" t="s">
        <v>4172</v>
      </c>
      <c r="C1231" s="44" t="s">
        <v>4173</v>
      </c>
      <c r="D1231" s="44" t="s">
        <v>1180</v>
      </c>
      <c r="E1231" s="49" t="s">
        <v>892</v>
      </c>
      <c r="F1231" s="44" t="s">
        <v>1108</v>
      </c>
      <c r="G1231" s="44">
        <v>60.0</v>
      </c>
      <c r="H1231" s="47" t="s">
        <v>970</v>
      </c>
      <c r="I1231" s="47" t="s">
        <v>892</v>
      </c>
      <c r="J1231" s="44">
        <v>11.006114351771</v>
      </c>
      <c r="K1231" s="48">
        <v>106.65323336132</v>
      </c>
    </row>
    <row r="1232" ht="22.5" customHeight="1">
      <c r="A1232" s="44" t="s">
        <v>712</v>
      </c>
      <c r="B1232" s="44" t="s">
        <v>4174</v>
      </c>
      <c r="C1232" s="44" t="s">
        <v>4175</v>
      </c>
      <c r="D1232" s="44" t="s">
        <v>2493</v>
      </c>
      <c r="E1232" s="49" t="s">
        <v>660</v>
      </c>
      <c r="F1232" s="44" t="s">
        <v>1638</v>
      </c>
      <c r="G1232" s="44">
        <v>60.0</v>
      </c>
      <c r="H1232" s="47" t="s">
        <v>970</v>
      </c>
      <c r="I1232" s="47" t="s">
        <v>870</v>
      </c>
      <c r="J1232" s="44">
        <v>10.001435</v>
      </c>
      <c r="K1232" s="48">
        <v>105.768295</v>
      </c>
    </row>
    <row r="1233" ht="22.5" customHeight="1">
      <c r="A1233" s="44" t="s">
        <v>4176</v>
      </c>
      <c r="B1233" s="44" t="s">
        <v>4177</v>
      </c>
      <c r="C1233" s="44" t="s">
        <v>4178</v>
      </c>
      <c r="D1233" s="44" t="s">
        <v>1268</v>
      </c>
      <c r="E1233" s="49" t="s">
        <v>900</v>
      </c>
      <c r="F1233" s="44" t="s">
        <v>978</v>
      </c>
      <c r="G1233" s="44">
        <v>69.0</v>
      </c>
      <c r="H1233" s="47" t="s">
        <v>970</v>
      </c>
      <c r="I1233" s="47" t="s">
        <v>900</v>
      </c>
      <c r="J1233" s="44">
        <v>10.789739</v>
      </c>
      <c r="K1233" s="48">
        <v>106.686775</v>
      </c>
    </row>
    <row r="1234" ht="22.5" customHeight="1">
      <c r="A1234" s="44" t="s">
        <v>4179</v>
      </c>
      <c r="B1234" s="44" t="s">
        <v>4180</v>
      </c>
      <c r="C1234" s="44" t="s">
        <v>4181</v>
      </c>
      <c r="D1234" s="44" t="s">
        <v>1268</v>
      </c>
      <c r="E1234" s="49" t="s">
        <v>910</v>
      </c>
      <c r="F1234" s="44" t="s">
        <v>987</v>
      </c>
      <c r="G1234" s="50">
        <v>69.0</v>
      </c>
      <c r="H1234" s="47" t="s">
        <v>970</v>
      </c>
      <c r="I1234" s="47" t="s">
        <v>826</v>
      </c>
      <c r="J1234" s="44">
        <v>10.777991</v>
      </c>
      <c r="K1234" s="48">
        <v>106.683699</v>
      </c>
    </row>
    <row r="1235" ht="22.5" customHeight="1">
      <c r="A1235" s="44" t="s">
        <v>164</v>
      </c>
      <c r="B1235" s="44" t="s">
        <v>4182</v>
      </c>
      <c r="C1235" s="44" t="s">
        <v>4032</v>
      </c>
      <c r="D1235" s="44" t="s">
        <v>990</v>
      </c>
      <c r="E1235" s="49" t="s">
        <v>894</v>
      </c>
      <c r="F1235" s="44" t="s">
        <v>974</v>
      </c>
      <c r="G1235" s="44">
        <v>53.0</v>
      </c>
      <c r="H1235" s="47" t="s">
        <v>970</v>
      </c>
      <c r="I1235" s="47" t="s">
        <v>894</v>
      </c>
      <c r="J1235" s="44">
        <v>10.737331</v>
      </c>
      <c r="K1235" s="48">
        <v>106.724166</v>
      </c>
    </row>
    <row r="1236" ht="22.5" customHeight="1">
      <c r="A1236" s="44" t="s">
        <v>4183</v>
      </c>
      <c r="B1236" s="44" t="s">
        <v>4184</v>
      </c>
      <c r="C1236" s="44" t="s">
        <v>4185</v>
      </c>
      <c r="D1236" s="44" t="s">
        <v>1359</v>
      </c>
      <c r="E1236" s="49" t="s">
        <v>813</v>
      </c>
      <c r="F1236" s="44" t="s">
        <v>1015</v>
      </c>
      <c r="G1236" s="44">
        <v>76.0</v>
      </c>
      <c r="H1236" s="47" t="s">
        <v>970</v>
      </c>
      <c r="I1236" s="47" t="s">
        <v>822</v>
      </c>
      <c r="J1236" s="44">
        <v>10.757865</v>
      </c>
      <c r="K1236" s="48">
        <v>106.659513</v>
      </c>
    </row>
    <row r="1237" ht="22.5" customHeight="1">
      <c r="A1237" s="44" t="s">
        <v>4186</v>
      </c>
      <c r="B1237" s="44" t="s">
        <v>4187</v>
      </c>
      <c r="C1237" s="44" t="s">
        <v>4188</v>
      </c>
      <c r="D1237" s="44" t="s">
        <v>1139</v>
      </c>
      <c r="E1237" s="49" t="s">
        <v>894</v>
      </c>
      <c r="F1237" s="44" t="s">
        <v>974</v>
      </c>
      <c r="G1237" s="44">
        <v>60.0</v>
      </c>
      <c r="H1237" s="47" t="s">
        <v>970</v>
      </c>
      <c r="I1237" s="47" t="s">
        <v>894</v>
      </c>
      <c r="J1237" s="44">
        <v>10.722196</v>
      </c>
      <c r="K1237" s="48">
        <v>106.701904</v>
      </c>
    </row>
    <row r="1238" ht="22.5" customHeight="1">
      <c r="A1238" s="44" t="s">
        <v>4189</v>
      </c>
      <c r="B1238" s="44" t="s">
        <v>4190</v>
      </c>
      <c r="C1238" s="44" t="s">
        <v>4191</v>
      </c>
      <c r="D1238" s="44" t="s">
        <v>982</v>
      </c>
      <c r="E1238" s="49" t="s">
        <v>510</v>
      </c>
      <c r="F1238" s="44" t="s">
        <v>983</v>
      </c>
      <c r="G1238" s="44">
        <v>51.0</v>
      </c>
      <c r="H1238" s="47" t="s">
        <v>970</v>
      </c>
      <c r="I1238" s="47" t="s">
        <v>809</v>
      </c>
      <c r="J1238" s="44">
        <v>10.842439</v>
      </c>
      <c r="K1238" s="48">
        <v>106.711503</v>
      </c>
    </row>
    <row r="1239" ht="22.5" customHeight="1">
      <c r="A1239" s="44" t="s">
        <v>27</v>
      </c>
      <c r="B1239" s="44" t="s">
        <v>4192</v>
      </c>
      <c r="C1239" s="44" t="s">
        <v>3926</v>
      </c>
      <c r="D1239" s="44" t="s">
        <v>1662</v>
      </c>
      <c r="E1239" s="49" t="s">
        <v>891</v>
      </c>
      <c r="F1239" s="44" t="s">
        <v>1125</v>
      </c>
      <c r="G1239" s="44">
        <v>45.0</v>
      </c>
      <c r="H1239" s="47" t="s">
        <v>970</v>
      </c>
      <c r="I1239" s="47" t="s">
        <v>891</v>
      </c>
      <c r="J1239" s="44">
        <v>10.952683</v>
      </c>
      <c r="K1239" s="48">
        <v>106.867861</v>
      </c>
    </row>
    <row r="1240" ht="22.5" customHeight="1">
      <c r="A1240" s="44" t="s">
        <v>28</v>
      </c>
      <c r="B1240" s="44" t="s">
        <v>4193</v>
      </c>
      <c r="C1240" s="44" t="s">
        <v>4194</v>
      </c>
      <c r="D1240" s="44" t="s">
        <v>1124</v>
      </c>
      <c r="E1240" s="49" t="s">
        <v>891</v>
      </c>
      <c r="F1240" s="44" t="s">
        <v>1125</v>
      </c>
      <c r="G1240" s="44">
        <v>60.0</v>
      </c>
      <c r="H1240" s="47" t="s">
        <v>970</v>
      </c>
      <c r="I1240" s="47" t="s">
        <v>891</v>
      </c>
      <c r="J1240" s="44">
        <v>10.981221</v>
      </c>
      <c r="K1240" s="48">
        <v>106.842122</v>
      </c>
    </row>
    <row r="1241" ht="22.5" customHeight="1">
      <c r="A1241" s="44" t="s">
        <v>28</v>
      </c>
      <c r="B1241" s="44" t="s">
        <v>4195</v>
      </c>
      <c r="C1241" s="44" t="s">
        <v>4196</v>
      </c>
      <c r="D1241" s="44" t="s">
        <v>1124</v>
      </c>
      <c r="E1241" s="49" t="s">
        <v>891</v>
      </c>
      <c r="F1241" s="44" t="s">
        <v>1125</v>
      </c>
      <c r="G1241" s="50">
        <v>60.0</v>
      </c>
      <c r="H1241" s="47" t="s">
        <v>970</v>
      </c>
      <c r="I1241" s="47" t="s">
        <v>891</v>
      </c>
      <c r="J1241" s="44">
        <v>10.981122</v>
      </c>
      <c r="K1241" s="48">
        <v>106.8421</v>
      </c>
    </row>
    <row r="1242" ht="22.5" customHeight="1">
      <c r="A1242" s="44" t="s">
        <v>92</v>
      </c>
      <c r="B1242" s="44" t="s">
        <v>4197</v>
      </c>
      <c r="C1242" s="44" t="s">
        <v>4198</v>
      </c>
      <c r="D1242" s="44" t="s">
        <v>1087</v>
      </c>
      <c r="E1242" s="49" t="s">
        <v>893</v>
      </c>
      <c r="F1242" s="44" t="s">
        <v>1088</v>
      </c>
      <c r="G1242" s="44">
        <v>60.0</v>
      </c>
      <c r="H1242" s="47" t="s">
        <v>970</v>
      </c>
      <c r="I1242" s="47" t="s">
        <v>893</v>
      </c>
      <c r="J1242" s="44">
        <v>10.79577</v>
      </c>
      <c r="K1242" s="48">
        <v>106.625967</v>
      </c>
    </row>
    <row r="1243" ht="22.5" customHeight="1">
      <c r="A1243" s="44" t="s">
        <v>4199</v>
      </c>
      <c r="B1243" s="44" t="s">
        <v>4200</v>
      </c>
      <c r="C1243" s="44" t="s">
        <v>4201</v>
      </c>
      <c r="D1243" s="44" t="s">
        <v>973</v>
      </c>
      <c r="E1243" s="49" t="s">
        <v>894</v>
      </c>
      <c r="F1243" s="44" t="s">
        <v>974</v>
      </c>
      <c r="G1243" s="44">
        <v>78.0</v>
      </c>
      <c r="H1243" s="47" t="s">
        <v>970</v>
      </c>
      <c r="I1243" s="47" t="s">
        <v>894</v>
      </c>
      <c r="J1243" s="44">
        <v>10.722765</v>
      </c>
      <c r="K1243" s="48">
        <v>106.711249</v>
      </c>
    </row>
    <row r="1244" ht="22.5" customHeight="1">
      <c r="A1244" s="44" t="s">
        <v>30</v>
      </c>
      <c r="B1244" s="44" t="s">
        <v>4202</v>
      </c>
      <c r="C1244" s="44" t="s">
        <v>1235</v>
      </c>
      <c r="D1244" s="44" t="s">
        <v>1236</v>
      </c>
      <c r="E1244" s="49" t="s">
        <v>891</v>
      </c>
      <c r="F1244" s="44" t="s">
        <v>1125</v>
      </c>
      <c r="G1244" s="44">
        <v>45.0</v>
      </c>
      <c r="H1244" s="47" t="s">
        <v>970</v>
      </c>
      <c r="I1244" s="47" t="s">
        <v>891</v>
      </c>
      <c r="J1244" s="44">
        <v>10.96278</v>
      </c>
      <c r="K1244" s="48">
        <v>106.887195</v>
      </c>
    </row>
    <row r="1245" ht="22.5" customHeight="1">
      <c r="A1245" s="44" t="s">
        <v>93</v>
      </c>
      <c r="B1245" s="44" t="s">
        <v>4203</v>
      </c>
      <c r="C1245" s="44" t="s">
        <v>4204</v>
      </c>
      <c r="D1245" s="44" t="s">
        <v>1076</v>
      </c>
      <c r="E1245" s="49" t="s">
        <v>813</v>
      </c>
      <c r="F1245" s="44" t="s">
        <v>1015</v>
      </c>
      <c r="G1245" s="44">
        <v>76.0</v>
      </c>
      <c r="H1245" s="47" t="s">
        <v>970</v>
      </c>
      <c r="I1245" s="47" t="s">
        <v>813</v>
      </c>
      <c r="J1245" s="44">
        <v>10.758789</v>
      </c>
      <c r="K1245" s="48">
        <v>106.675365</v>
      </c>
    </row>
    <row r="1246" ht="22.5" customHeight="1">
      <c r="A1246" s="44" t="s">
        <v>4205</v>
      </c>
      <c r="B1246" s="44" t="s">
        <v>4206</v>
      </c>
      <c r="C1246" s="44" t="s">
        <v>4207</v>
      </c>
      <c r="D1246" s="44" t="s">
        <v>1691</v>
      </c>
      <c r="E1246" s="49" t="s">
        <v>850</v>
      </c>
      <c r="F1246" s="44" t="s">
        <v>1057</v>
      </c>
      <c r="G1246" s="44">
        <v>45.0</v>
      </c>
      <c r="H1246" s="47" t="s">
        <v>970</v>
      </c>
      <c r="I1246" s="47" t="s">
        <v>892</v>
      </c>
      <c r="J1246" s="44">
        <v>10.95771</v>
      </c>
      <c r="K1246" s="48">
        <v>106.599434</v>
      </c>
    </row>
    <row r="1247" ht="22.5" customHeight="1">
      <c r="A1247" s="44" t="s">
        <v>4208</v>
      </c>
      <c r="B1247" s="44" t="s">
        <v>4209</v>
      </c>
      <c r="C1247" s="44" t="s">
        <v>4210</v>
      </c>
      <c r="D1247" s="44" t="s">
        <v>1691</v>
      </c>
      <c r="E1247" s="49" t="s">
        <v>850</v>
      </c>
      <c r="F1247" s="44" t="s">
        <v>1057</v>
      </c>
      <c r="G1247" s="44">
        <v>60.0</v>
      </c>
      <c r="H1247" s="47" t="s">
        <v>970</v>
      </c>
      <c r="I1247" s="47" t="s">
        <v>892</v>
      </c>
      <c r="J1247" s="44">
        <v>10.983868</v>
      </c>
      <c r="K1247" s="48">
        <v>106.575373</v>
      </c>
    </row>
    <row r="1248" ht="22.5" customHeight="1">
      <c r="A1248" s="44" t="s">
        <v>4208</v>
      </c>
      <c r="B1248" s="44" t="s">
        <v>4211</v>
      </c>
      <c r="C1248" s="44" t="s">
        <v>4212</v>
      </c>
      <c r="D1248" s="44" t="s">
        <v>1691</v>
      </c>
      <c r="E1248" s="49" t="s">
        <v>850</v>
      </c>
      <c r="F1248" s="44" t="s">
        <v>1057</v>
      </c>
      <c r="G1248" s="44">
        <v>60.0</v>
      </c>
      <c r="H1248" s="47" t="s">
        <v>970</v>
      </c>
      <c r="I1248" s="47" t="s">
        <v>892</v>
      </c>
      <c r="J1248" s="44">
        <v>10.983528</v>
      </c>
      <c r="K1248" s="48">
        <v>106.577636</v>
      </c>
    </row>
    <row r="1249" ht="22.5" customHeight="1">
      <c r="A1249" s="44" t="s">
        <v>4213</v>
      </c>
      <c r="B1249" s="44" t="s">
        <v>4214</v>
      </c>
      <c r="C1249" s="44" t="s">
        <v>4215</v>
      </c>
      <c r="D1249" s="44" t="s">
        <v>1056</v>
      </c>
      <c r="E1249" s="49" t="s">
        <v>850</v>
      </c>
      <c r="F1249" s="44" t="s">
        <v>1057</v>
      </c>
      <c r="G1249" s="44">
        <v>45.0</v>
      </c>
      <c r="H1249" s="47" t="s">
        <v>970</v>
      </c>
      <c r="I1249" s="47" t="s">
        <v>797</v>
      </c>
      <c r="J1249" s="44">
        <v>10.92802</v>
      </c>
      <c r="K1249" s="48">
        <v>106.558159</v>
      </c>
    </row>
    <row r="1250" ht="22.5" customHeight="1">
      <c r="A1250" s="44" t="s">
        <v>4216</v>
      </c>
      <c r="B1250" s="44" t="s">
        <v>4217</v>
      </c>
      <c r="C1250" s="44" t="s">
        <v>4218</v>
      </c>
      <c r="D1250" s="44" t="s">
        <v>1691</v>
      </c>
      <c r="E1250" s="49" t="s">
        <v>850</v>
      </c>
      <c r="F1250" s="44" t="s">
        <v>1057</v>
      </c>
      <c r="G1250" s="44">
        <v>60.0</v>
      </c>
      <c r="H1250" s="47" t="s">
        <v>970</v>
      </c>
      <c r="I1250" s="47" t="s">
        <v>892</v>
      </c>
      <c r="J1250" s="44">
        <v>10.958429</v>
      </c>
      <c r="K1250" s="48">
        <v>106.5989</v>
      </c>
    </row>
    <row r="1251" ht="22.5" customHeight="1">
      <c r="A1251" s="44" t="s">
        <v>4219</v>
      </c>
      <c r="B1251" s="44" t="s">
        <v>4220</v>
      </c>
      <c r="C1251" s="44" t="s">
        <v>4221</v>
      </c>
      <c r="D1251" s="44" t="s">
        <v>1132</v>
      </c>
      <c r="E1251" s="49" t="s">
        <v>897</v>
      </c>
      <c r="F1251" s="44" t="s">
        <v>1027</v>
      </c>
      <c r="G1251" s="44">
        <v>75.0</v>
      </c>
      <c r="H1251" s="47" t="s">
        <v>970</v>
      </c>
      <c r="I1251" s="47" t="s">
        <v>897</v>
      </c>
      <c r="J1251" s="44">
        <v>10.86066344678</v>
      </c>
      <c r="K1251" s="48">
        <v>106.63627783233</v>
      </c>
    </row>
    <row r="1252" ht="22.5" customHeight="1">
      <c r="A1252" s="44" t="s">
        <v>4222</v>
      </c>
      <c r="B1252" s="44" t="s">
        <v>4223</v>
      </c>
      <c r="C1252" s="44" t="s">
        <v>4224</v>
      </c>
      <c r="D1252" s="44" t="s">
        <v>1506</v>
      </c>
      <c r="E1252" s="49" t="s">
        <v>897</v>
      </c>
      <c r="F1252" s="44" t="s">
        <v>1027</v>
      </c>
      <c r="G1252" s="44">
        <v>75.0</v>
      </c>
      <c r="H1252" s="47" t="s">
        <v>970</v>
      </c>
      <c r="I1252" s="47" t="s">
        <v>896</v>
      </c>
      <c r="J1252" s="44">
        <v>10.852072715759</v>
      </c>
      <c r="K1252" s="48">
        <v>106.61396789551</v>
      </c>
    </row>
    <row r="1253" ht="22.5" customHeight="1">
      <c r="A1253" s="44" t="s">
        <v>750</v>
      </c>
      <c r="B1253" s="44" t="s">
        <v>4225</v>
      </c>
      <c r="C1253" s="44" t="s">
        <v>4226</v>
      </c>
      <c r="D1253" s="44" t="s">
        <v>1408</v>
      </c>
      <c r="E1253" s="49" t="s">
        <v>797</v>
      </c>
      <c r="F1253" s="44" t="s">
        <v>1409</v>
      </c>
      <c r="G1253" s="44">
        <v>80.0</v>
      </c>
      <c r="H1253" s="47" t="s">
        <v>970</v>
      </c>
      <c r="I1253" s="47" t="s">
        <v>797</v>
      </c>
      <c r="J1253" s="44">
        <v>10.902101</v>
      </c>
      <c r="K1253" s="48">
        <v>106.55306</v>
      </c>
    </row>
    <row r="1254" ht="22.5" customHeight="1">
      <c r="A1254" s="44" t="s">
        <v>4227</v>
      </c>
      <c r="B1254" s="44" t="s">
        <v>4228</v>
      </c>
      <c r="C1254" s="44" t="s">
        <v>4229</v>
      </c>
      <c r="D1254" s="44" t="s">
        <v>1408</v>
      </c>
      <c r="E1254" s="49" t="s">
        <v>797</v>
      </c>
      <c r="F1254" s="44" t="s">
        <v>1409</v>
      </c>
      <c r="G1254" s="44">
        <v>60.0</v>
      </c>
      <c r="H1254" s="47" t="s">
        <v>970</v>
      </c>
      <c r="I1254" s="47" t="s">
        <v>797</v>
      </c>
      <c r="J1254" s="44">
        <v>10.901978651687</v>
      </c>
      <c r="K1254" s="48">
        <v>106.55312366539</v>
      </c>
    </row>
    <row r="1255" ht="22.5" customHeight="1">
      <c r="A1255" s="44" t="s">
        <v>254</v>
      </c>
      <c r="B1255" s="44" t="s">
        <v>4230</v>
      </c>
      <c r="C1255" s="44" t="s">
        <v>4231</v>
      </c>
      <c r="D1255" s="44" t="s">
        <v>1180</v>
      </c>
      <c r="E1255" s="49" t="s">
        <v>892</v>
      </c>
      <c r="F1255" s="44" t="s">
        <v>1108</v>
      </c>
      <c r="G1255" s="44">
        <v>45.0</v>
      </c>
      <c r="H1255" s="47" t="s">
        <v>970</v>
      </c>
      <c r="I1255" s="47" t="s">
        <v>892</v>
      </c>
      <c r="J1255" s="44">
        <v>10.981621</v>
      </c>
      <c r="K1255" s="48">
        <v>106.680358</v>
      </c>
    </row>
    <row r="1256" ht="22.5" customHeight="1">
      <c r="A1256" s="44" t="s">
        <v>4232</v>
      </c>
      <c r="B1256" s="44" t="s">
        <v>4233</v>
      </c>
      <c r="C1256" s="44" t="s">
        <v>4234</v>
      </c>
      <c r="D1256" s="44" t="s">
        <v>1007</v>
      </c>
      <c r="E1256" s="49" t="s">
        <v>510</v>
      </c>
      <c r="F1256" s="44" t="s">
        <v>983</v>
      </c>
      <c r="G1256" s="44">
        <v>66.0</v>
      </c>
      <c r="H1256" s="47" t="s">
        <v>970</v>
      </c>
      <c r="I1256" s="47" t="s">
        <v>510</v>
      </c>
      <c r="J1256" s="44">
        <v>10.876876</v>
      </c>
      <c r="K1256" s="48">
        <v>106.722388</v>
      </c>
    </row>
    <row r="1257" ht="22.5" customHeight="1">
      <c r="A1257" s="44" t="s">
        <v>4235</v>
      </c>
      <c r="B1257" s="44" t="s">
        <v>4236</v>
      </c>
      <c r="C1257" s="44" t="s">
        <v>4237</v>
      </c>
      <c r="D1257" s="44" t="s">
        <v>1268</v>
      </c>
      <c r="E1257" s="49" t="s">
        <v>900</v>
      </c>
      <c r="F1257" s="44" t="s">
        <v>978</v>
      </c>
      <c r="G1257" s="44">
        <v>39.0</v>
      </c>
      <c r="H1257" s="47" t="s">
        <v>970</v>
      </c>
      <c r="I1257" s="47" t="s">
        <v>902</v>
      </c>
      <c r="J1257" s="44">
        <v>10.784746</v>
      </c>
      <c r="K1257" s="48">
        <v>106.683987</v>
      </c>
    </row>
    <row r="1258" ht="22.5" customHeight="1">
      <c r="A1258" s="44" t="s">
        <v>4238</v>
      </c>
      <c r="B1258" s="44" t="s">
        <v>4239</v>
      </c>
      <c r="C1258" s="44" t="s">
        <v>4240</v>
      </c>
      <c r="D1258" s="44" t="s">
        <v>1076</v>
      </c>
      <c r="E1258" s="49" t="s">
        <v>813</v>
      </c>
      <c r="F1258" s="44" t="s">
        <v>1015</v>
      </c>
      <c r="G1258" s="44">
        <v>76.0</v>
      </c>
      <c r="H1258" s="47" t="s">
        <v>970</v>
      </c>
      <c r="I1258" s="47" t="s">
        <v>813</v>
      </c>
      <c r="J1258" s="44">
        <v>10.754196711178</v>
      </c>
      <c r="K1258" s="48">
        <v>106.66781512979</v>
      </c>
    </row>
    <row r="1259" ht="22.5" customHeight="1">
      <c r="A1259" s="44" t="s">
        <v>255</v>
      </c>
      <c r="B1259" s="44" t="s">
        <v>4241</v>
      </c>
      <c r="C1259" s="44" t="s">
        <v>4242</v>
      </c>
      <c r="D1259" s="44" t="s">
        <v>1107</v>
      </c>
      <c r="E1259" s="49" t="s">
        <v>892</v>
      </c>
      <c r="F1259" s="44" t="s">
        <v>1108</v>
      </c>
      <c r="G1259" s="44">
        <v>60.0</v>
      </c>
      <c r="H1259" s="47" t="s">
        <v>970</v>
      </c>
      <c r="I1259" s="47" t="s">
        <v>892</v>
      </c>
      <c r="J1259" s="44">
        <v>10.981509</v>
      </c>
      <c r="K1259" s="48">
        <v>106.657496</v>
      </c>
    </row>
    <row r="1260" ht="22.5" customHeight="1">
      <c r="A1260" s="44" t="s">
        <v>708</v>
      </c>
      <c r="B1260" s="44" t="s">
        <v>4243</v>
      </c>
      <c r="C1260" s="44" t="s">
        <v>4244</v>
      </c>
      <c r="D1260" s="44" t="s">
        <v>1506</v>
      </c>
      <c r="E1260" s="49" t="s">
        <v>897</v>
      </c>
      <c r="F1260" s="44" t="s">
        <v>1027</v>
      </c>
      <c r="G1260" s="44">
        <v>60.0</v>
      </c>
      <c r="H1260" s="47" t="s">
        <v>970</v>
      </c>
      <c r="I1260" s="47" t="s">
        <v>797</v>
      </c>
      <c r="J1260" s="44">
        <v>10.875826</v>
      </c>
      <c r="K1260" s="48">
        <v>106.623762</v>
      </c>
    </row>
    <row r="1261" ht="22.5" customHeight="1">
      <c r="A1261" s="44" t="s">
        <v>95</v>
      </c>
      <c r="B1261" s="44" t="s">
        <v>4245</v>
      </c>
      <c r="C1261" s="44" t="s">
        <v>4246</v>
      </c>
      <c r="D1261" s="44" t="s">
        <v>1433</v>
      </c>
      <c r="E1261" s="49" t="s">
        <v>822</v>
      </c>
      <c r="F1261" s="44" t="s">
        <v>1284</v>
      </c>
      <c r="G1261" s="44">
        <v>30.0</v>
      </c>
      <c r="H1261" s="47" t="s">
        <v>970</v>
      </c>
      <c r="I1261" s="47" t="s">
        <v>813</v>
      </c>
      <c r="J1261" s="44">
        <v>10.763043</v>
      </c>
      <c r="K1261" s="48">
        <v>106.668211</v>
      </c>
    </row>
    <row r="1262" ht="22.5" customHeight="1">
      <c r="A1262" s="44" t="s">
        <v>4247</v>
      </c>
      <c r="B1262" s="44" t="s">
        <v>4248</v>
      </c>
      <c r="C1262" s="44" t="s">
        <v>4249</v>
      </c>
      <c r="D1262" s="44" t="s">
        <v>1116</v>
      </c>
      <c r="E1262" s="49" t="s">
        <v>885</v>
      </c>
      <c r="F1262" s="44" t="s">
        <v>1117</v>
      </c>
      <c r="G1262" s="44">
        <v>60.0</v>
      </c>
      <c r="H1262" s="47" t="s">
        <v>970</v>
      </c>
      <c r="I1262" s="47" t="s">
        <v>885</v>
      </c>
      <c r="J1262" s="44">
        <v>10.746033026114</v>
      </c>
      <c r="K1262" s="48">
        <v>106.66851552653</v>
      </c>
    </row>
    <row r="1263" ht="22.5" customHeight="1">
      <c r="A1263" s="44" t="s">
        <v>4250</v>
      </c>
      <c r="B1263" s="44" t="s">
        <v>4251</v>
      </c>
      <c r="C1263" s="44" t="s">
        <v>4252</v>
      </c>
      <c r="D1263" s="44" t="s">
        <v>1239</v>
      </c>
      <c r="E1263" s="49" t="s">
        <v>789</v>
      </c>
      <c r="F1263" s="44" t="s">
        <v>1168</v>
      </c>
      <c r="G1263" s="44">
        <v>69.0</v>
      </c>
      <c r="H1263" s="47" t="s">
        <v>970</v>
      </c>
      <c r="I1263" s="47" t="s">
        <v>789</v>
      </c>
      <c r="J1263" s="44">
        <v>10.752515</v>
      </c>
      <c r="K1263" s="48">
        <v>106.599275</v>
      </c>
    </row>
    <row r="1264" ht="22.5" customHeight="1">
      <c r="A1264" s="44" t="s">
        <v>4253</v>
      </c>
      <c r="B1264" s="44" t="s">
        <v>4254</v>
      </c>
      <c r="C1264" s="44" t="s">
        <v>4255</v>
      </c>
      <c r="D1264" s="44" t="s">
        <v>969</v>
      </c>
      <c r="E1264" s="49" t="s">
        <v>806</v>
      </c>
      <c r="F1264" s="44" t="s">
        <v>1500</v>
      </c>
      <c r="G1264" s="44">
        <v>60.0</v>
      </c>
      <c r="H1264" s="47" t="s">
        <v>970</v>
      </c>
      <c r="I1264" s="47" t="s">
        <v>893</v>
      </c>
      <c r="J1264" s="44">
        <v>10.807789</v>
      </c>
      <c r="K1264" s="48">
        <v>106.64657</v>
      </c>
    </row>
    <row r="1265" ht="22.5" customHeight="1">
      <c r="A1265" s="44" t="s">
        <v>31</v>
      </c>
      <c r="B1265" s="44" t="s">
        <v>4256</v>
      </c>
      <c r="C1265" s="44" t="s">
        <v>4257</v>
      </c>
      <c r="D1265" s="44" t="s">
        <v>1662</v>
      </c>
      <c r="E1265" s="49" t="s">
        <v>891</v>
      </c>
      <c r="F1265" s="44" t="s">
        <v>1125</v>
      </c>
      <c r="G1265" s="44">
        <v>60.0</v>
      </c>
      <c r="H1265" s="47" t="s">
        <v>970</v>
      </c>
      <c r="I1265" s="47" t="s">
        <v>891</v>
      </c>
      <c r="J1265" s="44">
        <v>10.955768</v>
      </c>
      <c r="K1265" s="48">
        <v>106.864737</v>
      </c>
    </row>
    <row r="1266" ht="22.5" customHeight="1">
      <c r="A1266" s="44" t="s">
        <v>4258</v>
      </c>
      <c r="B1266" s="44" t="s">
        <v>4259</v>
      </c>
      <c r="C1266" s="44" t="s">
        <v>4260</v>
      </c>
      <c r="D1266" s="44" t="s">
        <v>1135</v>
      </c>
      <c r="E1266" s="49"/>
      <c r="F1266" s="44" t="s">
        <v>1098</v>
      </c>
      <c r="G1266" s="44"/>
      <c r="H1266" s="47" t="s">
        <v>970</v>
      </c>
      <c r="I1266" s="47" t="s">
        <v>888</v>
      </c>
      <c r="J1266" s="44">
        <v>10.780925</v>
      </c>
      <c r="K1266" s="48">
        <v>106.704198</v>
      </c>
    </row>
    <row r="1267" ht="22.5" customHeight="1">
      <c r="A1267" s="44" t="s">
        <v>186</v>
      </c>
      <c r="B1267" s="44" t="s">
        <v>4261</v>
      </c>
      <c r="C1267" s="44" t="s">
        <v>4262</v>
      </c>
      <c r="D1267" s="44" t="s">
        <v>1030</v>
      </c>
      <c r="E1267" s="49" t="s">
        <v>887</v>
      </c>
      <c r="F1267" s="44" t="s">
        <v>1031</v>
      </c>
      <c r="G1267" s="44">
        <v>44.0</v>
      </c>
      <c r="H1267" s="47" t="s">
        <v>970</v>
      </c>
      <c r="I1267" s="47" t="s">
        <v>832</v>
      </c>
      <c r="J1267" s="44">
        <v>10.803541</v>
      </c>
      <c r="K1267" s="48">
        <v>106.735742</v>
      </c>
    </row>
    <row r="1268" ht="22.5" customHeight="1">
      <c r="A1268" s="44" t="s">
        <v>4263</v>
      </c>
      <c r="B1268" s="44" t="s">
        <v>4264</v>
      </c>
      <c r="C1268" s="44" t="s">
        <v>4265</v>
      </c>
      <c r="D1268" s="44" t="s">
        <v>1167</v>
      </c>
      <c r="E1268" s="49" t="s">
        <v>789</v>
      </c>
      <c r="F1268" s="44" t="s">
        <v>1168</v>
      </c>
      <c r="G1268" s="44">
        <v>54.0</v>
      </c>
      <c r="H1268" s="47" t="s">
        <v>970</v>
      </c>
      <c r="I1268" s="47" t="s">
        <v>789</v>
      </c>
      <c r="J1268" s="44">
        <v>10.739158</v>
      </c>
      <c r="K1268" s="48">
        <v>106.617188</v>
      </c>
    </row>
    <row r="1269" ht="22.5" customHeight="1">
      <c r="A1269" s="44" t="s">
        <v>97</v>
      </c>
      <c r="B1269" s="44" t="s">
        <v>4266</v>
      </c>
      <c r="C1269" s="44" t="s">
        <v>4267</v>
      </c>
      <c r="D1269" s="44" t="s">
        <v>1104</v>
      </c>
      <c r="E1269" s="49" t="s">
        <v>893</v>
      </c>
      <c r="F1269" s="44" t="s">
        <v>1088</v>
      </c>
      <c r="G1269" s="44">
        <v>60.0</v>
      </c>
      <c r="H1269" s="47" t="s">
        <v>970</v>
      </c>
      <c r="I1269" s="47" t="s">
        <v>820</v>
      </c>
      <c r="J1269" s="44">
        <v>10.769246</v>
      </c>
      <c r="K1269" s="48">
        <v>106.625976</v>
      </c>
    </row>
    <row r="1270" ht="22.5" customHeight="1">
      <c r="A1270" s="44" t="s">
        <v>4268</v>
      </c>
      <c r="B1270" s="44" t="s">
        <v>4269</v>
      </c>
      <c r="C1270" s="44" t="s">
        <v>4270</v>
      </c>
      <c r="D1270" s="44" t="s">
        <v>1018</v>
      </c>
      <c r="E1270" s="49" t="s">
        <v>808</v>
      </c>
      <c r="F1270" s="44" t="s">
        <v>998</v>
      </c>
      <c r="G1270" s="44">
        <v>60.0</v>
      </c>
      <c r="H1270" s="47" t="s">
        <v>970</v>
      </c>
      <c r="I1270" s="47" t="s">
        <v>808</v>
      </c>
      <c r="J1270" s="44">
        <v>10.746444</v>
      </c>
      <c r="K1270" s="48">
        <v>106.631123</v>
      </c>
    </row>
    <row r="1271" ht="22.5" customHeight="1">
      <c r="A1271" s="44" t="s">
        <v>165</v>
      </c>
      <c r="B1271" s="44" t="s">
        <v>4271</v>
      </c>
      <c r="C1271" s="44" t="s">
        <v>4272</v>
      </c>
      <c r="D1271" s="44" t="s">
        <v>990</v>
      </c>
      <c r="E1271" s="49" t="s">
        <v>894</v>
      </c>
      <c r="F1271" s="44" t="s">
        <v>974</v>
      </c>
      <c r="G1271" s="44">
        <v>68.0</v>
      </c>
      <c r="H1271" s="47" t="s">
        <v>970</v>
      </c>
      <c r="I1271" s="47" t="s">
        <v>894</v>
      </c>
      <c r="J1271" s="44">
        <v>10.737331</v>
      </c>
      <c r="K1271" s="48">
        <v>106.724166</v>
      </c>
    </row>
    <row r="1272" ht="22.5" customHeight="1">
      <c r="A1272" s="44" t="s">
        <v>4273</v>
      </c>
      <c r="B1272" s="44" t="s">
        <v>4274</v>
      </c>
      <c r="C1272" s="44" t="s">
        <v>4275</v>
      </c>
      <c r="D1272" s="44" t="s">
        <v>1120</v>
      </c>
      <c r="E1272" s="49" t="s">
        <v>895</v>
      </c>
      <c r="F1272" s="44" t="s">
        <v>1121</v>
      </c>
      <c r="G1272" s="44">
        <v>87.0</v>
      </c>
      <c r="H1272" s="47" t="s">
        <v>970</v>
      </c>
      <c r="I1272" s="47" t="s">
        <v>895</v>
      </c>
      <c r="J1272" s="44">
        <v>10.868911</v>
      </c>
      <c r="K1272" s="48">
        <v>106.807067</v>
      </c>
    </row>
    <row r="1273" ht="22.5" customHeight="1">
      <c r="A1273" s="44" t="s">
        <v>4276</v>
      </c>
      <c r="B1273" s="44" t="s">
        <v>4277</v>
      </c>
      <c r="C1273" s="44" t="s">
        <v>4278</v>
      </c>
      <c r="D1273" s="44" t="s">
        <v>1917</v>
      </c>
      <c r="E1273" s="49" t="s">
        <v>895</v>
      </c>
      <c r="F1273" s="44" t="s">
        <v>1121</v>
      </c>
      <c r="G1273" s="44">
        <v>72.0</v>
      </c>
      <c r="H1273" s="47" t="s">
        <v>970</v>
      </c>
      <c r="I1273" s="47" t="s">
        <v>899</v>
      </c>
      <c r="J1273" s="44">
        <v>10.82199</v>
      </c>
      <c r="K1273" s="48">
        <v>106.817953</v>
      </c>
    </row>
    <row r="1274" ht="22.5" customHeight="1">
      <c r="A1274" s="44" t="s">
        <v>4279</v>
      </c>
      <c r="B1274" s="44" t="s">
        <v>4280</v>
      </c>
      <c r="C1274" s="44" t="s">
        <v>4281</v>
      </c>
      <c r="D1274" s="44" t="s">
        <v>1470</v>
      </c>
      <c r="E1274" s="49" t="s">
        <v>883</v>
      </c>
      <c r="F1274" s="44" t="s">
        <v>1471</v>
      </c>
      <c r="G1274" s="44">
        <v>85.0</v>
      </c>
      <c r="H1274" s="47" t="s">
        <v>970</v>
      </c>
      <c r="I1274" s="47" t="s">
        <v>883</v>
      </c>
      <c r="J1274" s="44">
        <v>10.905516</v>
      </c>
      <c r="K1274" s="48">
        <v>106.71134</v>
      </c>
    </row>
    <row r="1275" ht="22.5" customHeight="1">
      <c r="A1275" s="44" t="s">
        <v>187</v>
      </c>
      <c r="B1275" s="44" t="s">
        <v>4282</v>
      </c>
      <c r="C1275" s="44" t="s">
        <v>4283</v>
      </c>
      <c r="D1275" s="44" t="s">
        <v>1084</v>
      </c>
      <c r="E1275" s="49" t="s">
        <v>887</v>
      </c>
      <c r="F1275" s="44" t="s">
        <v>1031</v>
      </c>
      <c r="G1275" s="44">
        <v>44.0</v>
      </c>
      <c r="H1275" s="47" t="s">
        <v>970</v>
      </c>
      <c r="I1275" s="47" t="s">
        <v>898</v>
      </c>
      <c r="J1275" s="44">
        <v>10.777151</v>
      </c>
      <c r="K1275" s="48">
        <v>106.755165</v>
      </c>
    </row>
    <row r="1276" ht="22.5" customHeight="1">
      <c r="A1276" s="44" t="s">
        <v>4284</v>
      </c>
      <c r="B1276" s="44" t="s">
        <v>4285</v>
      </c>
      <c r="C1276" s="44" t="s">
        <v>4286</v>
      </c>
      <c r="D1276" s="44" t="s">
        <v>1478</v>
      </c>
      <c r="E1276" s="49" t="s">
        <v>895</v>
      </c>
      <c r="F1276" s="44" t="s">
        <v>1121</v>
      </c>
      <c r="G1276" s="44">
        <v>72.0</v>
      </c>
      <c r="H1276" s="47" t="s">
        <v>970</v>
      </c>
      <c r="I1276" s="47" t="s">
        <v>899</v>
      </c>
      <c r="J1276" s="44">
        <v>10.818913</v>
      </c>
      <c r="K1276" s="48">
        <v>106.77316</v>
      </c>
    </row>
    <row r="1277" ht="22.5" customHeight="1">
      <c r="A1277" s="44" t="s">
        <v>4287</v>
      </c>
      <c r="B1277" s="44" t="s">
        <v>4288</v>
      </c>
      <c r="C1277" s="44" t="s">
        <v>4289</v>
      </c>
      <c r="D1277" s="44" t="s">
        <v>1317</v>
      </c>
      <c r="E1277" s="49" t="s">
        <v>894</v>
      </c>
      <c r="F1277" s="44" t="s">
        <v>974</v>
      </c>
      <c r="G1277" s="44">
        <v>53.0</v>
      </c>
      <c r="H1277" s="47" t="s">
        <v>970</v>
      </c>
      <c r="I1277" s="47" t="s">
        <v>894</v>
      </c>
      <c r="J1277" s="44">
        <v>10.748316</v>
      </c>
      <c r="K1277" s="48">
        <v>106.730028</v>
      </c>
    </row>
    <row r="1278" ht="22.5" customHeight="1">
      <c r="A1278" s="44" t="s">
        <v>463</v>
      </c>
      <c r="B1278" s="44" t="s">
        <v>4290</v>
      </c>
      <c r="C1278" s="44" t="s">
        <v>4291</v>
      </c>
      <c r="D1278" s="44" t="s">
        <v>1042</v>
      </c>
      <c r="E1278" s="49" t="s">
        <v>901</v>
      </c>
      <c r="F1278" s="44" t="s">
        <v>1562</v>
      </c>
      <c r="G1278" s="44">
        <v>60.0</v>
      </c>
      <c r="H1278" s="47" t="s">
        <v>970</v>
      </c>
      <c r="I1278" s="47" t="s">
        <v>901</v>
      </c>
      <c r="J1278" s="44">
        <v>10.803933</v>
      </c>
      <c r="K1278" s="48">
        <v>106.709241</v>
      </c>
    </row>
    <row r="1279" ht="22.5" customHeight="1">
      <c r="A1279" s="44" t="s">
        <v>4292</v>
      </c>
      <c r="B1279" s="44" t="s">
        <v>4293</v>
      </c>
      <c r="C1279" s="44" t="s">
        <v>4294</v>
      </c>
      <c r="D1279" s="44" t="s">
        <v>1691</v>
      </c>
      <c r="E1279" s="49" t="s">
        <v>850</v>
      </c>
      <c r="F1279" s="44" t="s">
        <v>1057</v>
      </c>
      <c r="G1279" s="44">
        <v>60.0</v>
      </c>
      <c r="H1279" s="47" t="s">
        <v>970</v>
      </c>
      <c r="I1279" s="47" t="s">
        <v>892</v>
      </c>
      <c r="J1279" s="44">
        <v>10.949157365968</v>
      </c>
      <c r="K1279" s="48">
        <v>106.60486616924</v>
      </c>
    </row>
    <row r="1280" ht="22.5" customHeight="1">
      <c r="A1280" s="44" t="s">
        <v>98</v>
      </c>
      <c r="B1280" s="44" t="s">
        <v>4295</v>
      </c>
      <c r="C1280" s="44" t="s">
        <v>4296</v>
      </c>
      <c r="D1280" s="44" t="s">
        <v>1087</v>
      </c>
      <c r="E1280" s="49" t="s">
        <v>893</v>
      </c>
      <c r="F1280" s="44" t="s">
        <v>1088</v>
      </c>
      <c r="G1280" s="44">
        <v>60.0</v>
      </c>
      <c r="H1280" s="47" t="s">
        <v>970</v>
      </c>
      <c r="I1280" s="47" t="s">
        <v>893</v>
      </c>
      <c r="J1280" s="44">
        <v>10.800005</v>
      </c>
      <c r="K1280" s="48">
        <v>106.628682</v>
      </c>
    </row>
    <row r="1281" ht="22.5" customHeight="1">
      <c r="A1281" s="44" t="s">
        <v>4297</v>
      </c>
      <c r="B1281" s="44" t="s">
        <v>4298</v>
      </c>
      <c r="C1281" s="44" t="s">
        <v>4299</v>
      </c>
      <c r="D1281" s="44" t="s">
        <v>1076</v>
      </c>
      <c r="E1281" s="49" t="s">
        <v>813</v>
      </c>
      <c r="F1281" s="44" t="s">
        <v>1015</v>
      </c>
      <c r="G1281" s="44">
        <v>61.0</v>
      </c>
      <c r="H1281" s="47" t="s">
        <v>970</v>
      </c>
      <c r="I1281" s="47" t="s">
        <v>813</v>
      </c>
      <c r="J1281" s="44">
        <v>10.759237</v>
      </c>
      <c r="K1281" s="48">
        <v>106.668162</v>
      </c>
    </row>
    <row r="1282" ht="22.5" customHeight="1">
      <c r="A1282" s="44" t="s">
        <v>4300</v>
      </c>
      <c r="B1282" s="44" t="s">
        <v>4301</v>
      </c>
      <c r="C1282" s="44" t="s">
        <v>4302</v>
      </c>
      <c r="D1282" s="44" t="s">
        <v>1067</v>
      </c>
      <c r="E1282" s="49" t="s">
        <v>897</v>
      </c>
      <c r="F1282" s="44" t="s">
        <v>1027</v>
      </c>
      <c r="G1282" s="44">
        <v>75.0</v>
      </c>
      <c r="H1282" s="47" t="s">
        <v>970</v>
      </c>
      <c r="I1282" s="47" t="s">
        <v>897</v>
      </c>
      <c r="J1282" s="44">
        <v>10.84292687243</v>
      </c>
      <c r="K1282" s="48">
        <v>106.62796778802</v>
      </c>
    </row>
    <row r="1283" ht="22.5" customHeight="1">
      <c r="A1283" s="44" t="s">
        <v>188</v>
      </c>
      <c r="B1283" s="44" t="s">
        <v>4303</v>
      </c>
      <c r="C1283" s="44" t="s">
        <v>4304</v>
      </c>
      <c r="D1283" s="44" t="s">
        <v>1036</v>
      </c>
      <c r="E1283" s="49" t="s">
        <v>887</v>
      </c>
      <c r="F1283" s="44" t="s">
        <v>1031</v>
      </c>
      <c r="G1283" s="44">
        <v>44.0</v>
      </c>
      <c r="H1283" s="47" t="s">
        <v>970</v>
      </c>
      <c r="I1283" s="47" t="s">
        <v>898</v>
      </c>
      <c r="J1283" s="44">
        <v>10.791621</v>
      </c>
      <c r="K1283" s="48">
        <v>106.753473</v>
      </c>
    </row>
    <row r="1284" ht="22.5" customHeight="1">
      <c r="A1284" s="44" t="s">
        <v>4305</v>
      </c>
      <c r="B1284" s="44" t="s">
        <v>4306</v>
      </c>
      <c r="C1284" s="44" t="s">
        <v>4307</v>
      </c>
      <c r="D1284" s="44" t="s">
        <v>1571</v>
      </c>
      <c r="E1284" s="49" t="s">
        <v>797</v>
      </c>
      <c r="F1284" s="44" t="s">
        <v>1409</v>
      </c>
      <c r="G1284" s="44">
        <v>60.0</v>
      </c>
      <c r="H1284" s="47" t="s">
        <v>970</v>
      </c>
      <c r="I1284" s="47" t="s">
        <v>819</v>
      </c>
      <c r="J1284" s="44">
        <v>10.842179</v>
      </c>
      <c r="K1284" s="48">
        <v>106.600155</v>
      </c>
    </row>
    <row r="1285" ht="22.5" customHeight="1">
      <c r="A1285" s="44" t="s">
        <v>99</v>
      </c>
      <c r="B1285" s="44" t="s">
        <v>4308</v>
      </c>
      <c r="C1285" s="44" t="s">
        <v>4309</v>
      </c>
      <c r="D1285" s="44" t="s">
        <v>1189</v>
      </c>
      <c r="E1285" s="49" t="s">
        <v>893</v>
      </c>
      <c r="F1285" s="44" t="s">
        <v>1088</v>
      </c>
      <c r="G1285" s="44">
        <v>60.0</v>
      </c>
      <c r="H1285" s="47" t="s">
        <v>970</v>
      </c>
      <c r="I1285" s="47" t="s">
        <v>893</v>
      </c>
      <c r="J1285" s="44">
        <v>10.808535</v>
      </c>
      <c r="K1285" s="48">
        <v>106.628304</v>
      </c>
    </row>
    <row r="1286" ht="22.5" customHeight="1">
      <c r="A1286" s="44" t="s">
        <v>4310</v>
      </c>
      <c r="B1286" s="44" t="s">
        <v>4311</v>
      </c>
      <c r="C1286" s="44" t="s">
        <v>4312</v>
      </c>
      <c r="D1286" s="44" t="s">
        <v>1506</v>
      </c>
      <c r="E1286" s="49" t="s">
        <v>897</v>
      </c>
      <c r="F1286" s="44" t="s">
        <v>1027</v>
      </c>
      <c r="G1286" s="44">
        <v>75.0</v>
      </c>
      <c r="H1286" s="47" t="s">
        <v>970</v>
      </c>
      <c r="I1286" s="47" t="s">
        <v>897</v>
      </c>
      <c r="J1286" s="44">
        <v>10.863077</v>
      </c>
      <c r="K1286" s="48">
        <v>106.630816</v>
      </c>
    </row>
    <row r="1287" ht="22.5" customHeight="1">
      <c r="A1287" s="44" t="s">
        <v>4313</v>
      </c>
      <c r="B1287" s="44" t="s">
        <v>4314</v>
      </c>
      <c r="C1287" s="44" t="s">
        <v>4315</v>
      </c>
      <c r="D1287" s="44" t="s">
        <v>1631</v>
      </c>
      <c r="E1287" s="49" t="s">
        <v>893</v>
      </c>
      <c r="F1287" s="44" t="s">
        <v>1088</v>
      </c>
      <c r="G1287" s="44">
        <v>60.0</v>
      </c>
      <c r="H1287" s="47" t="s">
        <v>970</v>
      </c>
      <c r="I1287" s="47" t="s">
        <v>806</v>
      </c>
      <c r="J1287" s="44">
        <v>10.785971833044</v>
      </c>
      <c r="K1287" s="48">
        <v>106.6635958496</v>
      </c>
    </row>
    <row r="1288" ht="22.5" customHeight="1">
      <c r="A1288" s="44" t="s">
        <v>784</v>
      </c>
      <c r="B1288" s="44" t="s">
        <v>4316</v>
      </c>
      <c r="C1288" s="44" t="s">
        <v>4317</v>
      </c>
      <c r="D1288" s="44" t="s">
        <v>4318</v>
      </c>
      <c r="E1288" s="49"/>
      <c r="F1288" s="44" t="s">
        <v>1098</v>
      </c>
      <c r="G1288" s="44"/>
      <c r="H1288" s="47" t="s">
        <v>970</v>
      </c>
      <c r="I1288" s="47" t="s">
        <v>870</v>
      </c>
      <c r="J1288" s="44">
        <v>10.059047</v>
      </c>
      <c r="K1288" s="48">
        <v>105.759528</v>
      </c>
    </row>
    <row r="1289" ht="22.5" customHeight="1">
      <c r="A1289" s="44" t="s">
        <v>4319</v>
      </c>
      <c r="B1289" s="44" t="s">
        <v>4320</v>
      </c>
      <c r="C1289" s="44" t="s">
        <v>4321</v>
      </c>
      <c r="D1289" s="44" t="s">
        <v>1408</v>
      </c>
      <c r="E1289" s="49" t="s">
        <v>797</v>
      </c>
      <c r="F1289" s="44" t="s">
        <v>1409</v>
      </c>
      <c r="G1289" s="44">
        <v>60.0</v>
      </c>
      <c r="H1289" s="47" t="s">
        <v>970</v>
      </c>
      <c r="I1289" s="47" t="s">
        <v>797</v>
      </c>
      <c r="J1289" s="44">
        <v>10.871035181545</v>
      </c>
      <c r="K1289" s="48">
        <v>106.59448046932</v>
      </c>
    </row>
    <row r="1290" ht="22.5" customHeight="1">
      <c r="A1290" s="44" t="s">
        <v>4322</v>
      </c>
      <c r="B1290" s="44" t="s">
        <v>4323</v>
      </c>
      <c r="C1290" s="44" t="s">
        <v>4324</v>
      </c>
      <c r="D1290" s="44" t="s">
        <v>1076</v>
      </c>
      <c r="E1290" s="49" t="s">
        <v>813</v>
      </c>
      <c r="F1290" s="44" t="s">
        <v>1015</v>
      </c>
      <c r="G1290" s="44">
        <v>76.0</v>
      </c>
      <c r="H1290" s="47" t="s">
        <v>970</v>
      </c>
      <c r="I1290" s="47" t="s">
        <v>813</v>
      </c>
      <c r="J1290" s="44">
        <v>10.759249</v>
      </c>
      <c r="K1290" s="48">
        <v>106.666412</v>
      </c>
    </row>
    <row r="1291" ht="22.5" customHeight="1">
      <c r="A1291" s="44" t="s">
        <v>4325</v>
      </c>
      <c r="B1291" s="44" t="s">
        <v>4326</v>
      </c>
      <c r="C1291" s="44" t="s">
        <v>4327</v>
      </c>
      <c r="D1291" s="44" t="s">
        <v>1433</v>
      </c>
      <c r="E1291" s="49" t="s">
        <v>910</v>
      </c>
      <c r="F1291" s="44" t="s">
        <v>987</v>
      </c>
      <c r="G1291" s="44">
        <v>60.0</v>
      </c>
      <c r="H1291" s="47" t="s">
        <v>970</v>
      </c>
      <c r="I1291" s="47" t="s">
        <v>813</v>
      </c>
      <c r="J1291" s="44">
        <v>10.76546</v>
      </c>
      <c r="K1291" s="48">
        <v>106.668955</v>
      </c>
    </row>
    <row r="1292" ht="22.5" customHeight="1">
      <c r="A1292" s="44" t="s">
        <v>4328</v>
      </c>
      <c r="B1292" s="44" t="s">
        <v>4329</v>
      </c>
      <c r="C1292" s="44" t="s">
        <v>4330</v>
      </c>
      <c r="D1292" s="44" t="s">
        <v>1047</v>
      </c>
      <c r="E1292" s="49" t="s">
        <v>889</v>
      </c>
      <c r="F1292" s="44" t="s">
        <v>1043</v>
      </c>
      <c r="G1292" s="44">
        <v>60.0</v>
      </c>
      <c r="H1292" s="47" t="s">
        <v>970</v>
      </c>
      <c r="I1292" s="47" t="s">
        <v>889</v>
      </c>
      <c r="J1292" s="44">
        <v>10.802496</v>
      </c>
      <c r="K1292" s="48">
        <v>106.692968</v>
      </c>
    </row>
    <row r="1293" ht="22.5" customHeight="1">
      <c r="A1293" s="44" t="s">
        <v>4331</v>
      </c>
      <c r="B1293" s="44" t="s">
        <v>4332</v>
      </c>
      <c r="C1293" s="44" t="s">
        <v>4333</v>
      </c>
      <c r="D1293" s="44" t="s">
        <v>1129</v>
      </c>
      <c r="E1293" s="49" t="s">
        <v>910</v>
      </c>
      <c r="F1293" s="44" t="s">
        <v>987</v>
      </c>
      <c r="G1293" s="44">
        <v>60.0</v>
      </c>
      <c r="H1293" s="47" t="s">
        <v>970</v>
      </c>
      <c r="I1293" s="47" t="s">
        <v>806</v>
      </c>
      <c r="J1293" s="44">
        <v>10.782856</v>
      </c>
      <c r="K1293" s="48">
        <v>106.662387</v>
      </c>
    </row>
    <row r="1294" ht="22.5" customHeight="1">
      <c r="A1294" s="44" t="s">
        <v>4334</v>
      </c>
      <c r="B1294" s="44" t="s">
        <v>4335</v>
      </c>
      <c r="C1294" s="44" t="s">
        <v>4155</v>
      </c>
      <c r="D1294" s="44" t="s">
        <v>1820</v>
      </c>
      <c r="E1294" s="49" t="s">
        <v>850</v>
      </c>
      <c r="F1294" s="44" t="s">
        <v>1057</v>
      </c>
      <c r="G1294" s="44">
        <v>60.0</v>
      </c>
      <c r="H1294" s="47" t="s">
        <v>970</v>
      </c>
      <c r="I1294" s="47" t="s">
        <v>850</v>
      </c>
      <c r="J1294" s="44">
        <v>10.975727</v>
      </c>
      <c r="K1294" s="48">
        <v>106.477073</v>
      </c>
    </row>
    <row r="1295" ht="22.5" customHeight="1">
      <c r="A1295" s="44" t="s">
        <v>4336</v>
      </c>
      <c r="B1295" s="44" t="s">
        <v>4337</v>
      </c>
      <c r="C1295" s="44" t="s">
        <v>4338</v>
      </c>
      <c r="D1295" s="44" t="s">
        <v>1014</v>
      </c>
      <c r="E1295" s="49"/>
      <c r="F1295" s="44" t="s">
        <v>1098</v>
      </c>
      <c r="G1295" s="44"/>
      <c r="H1295" s="47" t="s">
        <v>970</v>
      </c>
      <c r="I1295" s="47" t="s">
        <v>813</v>
      </c>
      <c r="J1295" s="44">
        <v>10.757737</v>
      </c>
      <c r="K1295" s="48">
        <v>106.683715</v>
      </c>
    </row>
    <row r="1296" ht="22.5" customHeight="1">
      <c r="A1296" s="44" t="s">
        <v>4339</v>
      </c>
      <c r="B1296" s="44" t="s">
        <v>4340</v>
      </c>
      <c r="C1296" s="44" t="s">
        <v>4341</v>
      </c>
      <c r="D1296" s="44" t="s">
        <v>1359</v>
      </c>
      <c r="E1296" s="49" t="s">
        <v>813</v>
      </c>
      <c r="F1296" s="44" t="s">
        <v>1015</v>
      </c>
      <c r="G1296" s="44">
        <v>76.0</v>
      </c>
      <c r="H1296" s="47" t="s">
        <v>970</v>
      </c>
      <c r="I1296" s="47" t="s">
        <v>822</v>
      </c>
      <c r="J1296" s="44">
        <v>10.758142</v>
      </c>
      <c r="K1296" s="48">
        <v>106.662347</v>
      </c>
    </row>
    <row r="1297" ht="22.5" customHeight="1">
      <c r="A1297" s="44" t="s">
        <v>4342</v>
      </c>
      <c r="B1297" s="44" t="s">
        <v>4343</v>
      </c>
      <c r="C1297" s="44" t="s">
        <v>4344</v>
      </c>
      <c r="D1297" s="44" t="s">
        <v>977</v>
      </c>
      <c r="E1297" s="49" t="s">
        <v>888</v>
      </c>
      <c r="F1297" s="44" t="s">
        <v>1136</v>
      </c>
      <c r="G1297" s="44">
        <v>69.0</v>
      </c>
      <c r="H1297" s="47" t="s">
        <v>970</v>
      </c>
      <c r="I1297" s="47" t="s">
        <v>902</v>
      </c>
      <c r="J1297" s="44">
        <v>10.786178</v>
      </c>
      <c r="K1297" s="48">
        <v>106.678337</v>
      </c>
    </row>
    <row r="1298" ht="22.5" customHeight="1">
      <c r="A1298" s="44" t="s">
        <v>600</v>
      </c>
      <c r="B1298" s="44" t="s">
        <v>4345</v>
      </c>
      <c r="C1298" s="44" t="s">
        <v>4346</v>
      </c>
      <c r="D1298" s="44" t="s">
        <v>1026</v>
      </c>
      <c r="E1298" s="49" t="s">
        <v>897</v>
      </c>
      <c r="F1298" s="44" t="s">
        <v>1027</v>
      </c>
      <c r="G1298" s="44">
        <v>88.0</v>
      </c>
      <c r="H1298" s="47" t="s">
        <v>970</v>
      </c>
      <c r="I1298" s="47" t="s">
        <v>897</v>
      </c>
      <c r="J1298" s="44">
        <v>10.840788</v>
      </c>
      <c r="K1298" s="48">
        <v>106.65063</v>
      </c>
    </row>
    <row r="1299" ht="22.5" customHeight="1">
      <c r="A1299" s="44" t="s">
        <v>4347</v>
      </c>
      <c r="B1299" s="44" t="s">
        <v>4348</v>
      </c>
      <c r="C1299" s="44" t="s">
        <v>4349</v>
      </c>
      <c r="D1299" s="44" t="s">
        <v>1571</v>
      </c>
      <c r="E1299" s="49" t="s">
        <v>797</v>
      </c>
      <c r="F1299" s="44" t="s">
        <v>1409</v>
      </c>
      <c r="G1299" s="44">
        <v>60.0</v>
      </c>
      <c r="H1299" s="47" t="s">
        <v>970</v>
      </c>
      <c r="I1299" s="47" t="s">
        <v>896</v>
      </c>
      <c r="J1299" s="44">
        <v>10.853984</v>
      </c>
      <c r="K1299" s="48">
        <v>106.605893</v>
      </c>
    </row>
    <row r="1300" ht="22.5" customHeight="1">
      <c r="A1300" s="44" t="s">
        <v>497</v>
      </c>
      <c r="B1300" s="44" t="s">
        <v>4350</v>
      </c>
      <c r="C1300" s="44" t="s">
        <v>4351</v>
      </c>
      <c r="D1300" s="44" t="s">
        <v>1802</v>
      </c>
      <c r="E1300" s="49" t="s">
        <v>888</v>
      </c>
      <c r="F1300" s="44" t="s">
        <v>1136</v>
      </c>
      <c r="G1300" s="44">
        <v>30.0</v>
      </c>
      <c r="H1300" s="47" t="s">
        <v>970</v>
      </c>
      <c r="I1300" s="47" t="s">
        <v>826</v>
      </c>
      <c r="J1300" s="44">
        <v>10.772475</v>
      </c>
      <c r="K1300" s="48">
        <v>106.689876</v>
      </c>
    </row>
    <row r="1301" ht="22.5" customHeight="1">
      <c r="A1301" s="44" t="s">
        <v>549</v>
      </c>
      <c r="B1301" s="44" t="s">
        <v>4352</v>
      </c>
      <c r="C1301" s="44" t="s">
        <v>4353</v>
      </c>
      <c r="D1301" s="44" t="s">
        <v>1135</v>
      </c>
      <c r="E1301" s="49" t="s">
        <v>884</v>
      </c>
      <c r="F1301" s="44" t="s">
        <v>1821</v>
      </c>
      <c r="G1301" s="44">
        <v>60.0</v>
      </c>
      <c r="H1301" s="47" t="s">
        <v>970</v>
      </c>
      <c r="I1301" s="47" t="s">
        <v>884</v>
      </c>
      <c r="J1301" s="44">
        <v>10.788246</v>
      </c>
      <c r="K1301" s="48">
        <v>106.700142</v>
      </c>
    </row>
    <row r="1302" ht="22.5" customHeight="1">
      <c r="A1302" s="44" t="s">
        <v>779</v>
      </c>
      <c r="B1302" s="44" t="s">
        <v>4354</v>
      </c>
      <c r="C1302" s="44" t="s">
        <v>4355</v>
      </c>
      <c r="D1302" s="44" t="s">
        <v>1648</v>
      </c>
      <c r="E1302" s="49" t="s">
        <v>883</v>
      </c>
      <c r="F1302" s="44" t="s">
        <v>1471</v>
      </c>
      <c r="G1302" s="44">
        <v>85.0</v>
      </c>
      <c r="H1302" s="47" t="s">
        <v>970</v>
      </c>
      <c r="I1302" s="47" t="s">
        <v>890</v>
      </c>
      <c r="J1302" s="44">
        <v>10.967761</v>
      </c>
      <c r="K1302" s="48">
        <v>106.742084</v>
      </c>
    </row>
    <row r="1303" ht="22.5" customHeight="1">
      <c r="A1303" s="44" t="s">
        <v>4356</v>
      </c>
      <c r="B1303" s="44" t="s">
        <v>4357</v>
      </c>
      <c r="C1303" s="44" t="s">
        <v>4358</v>
      </c>
      <c r="D1303" s="44" t="s">
        <v>1478</v>
      </c>
      <c r="E1303" s="49" t="s">
        <v>895</v>
      </c>
      <c r="F1303" s="44" t="s">
        <v>1121</v>
      </c>
      <c r="G1303" s="44">
        <v>66.0</v>
      </c>
      <c r="H1303" s="47" t="s">
        <v>970</v>
      </c>
      <c r="I1303" s="47" t="s">
        <v>899</v>
      </c>
      <c r="J1303" s="44">
        <v>10.819149</v>
      </c>
      <c r="K1303" s="48">
        <v>106.770957</v>
      </c>
    </row>
    <row r="1304" ht="22.5" customHeight="1">
      <c r="A1304" s="44" t="s">
        <v>4359</v>
      </c>
      <c r="B1304" s="44" t="s">
        <v>4360</v>
      </c>
      <c r="C1304" s="44" t="s">
        <v>4361</v>
      </c>
      <c r="D1304" s="44" t="s">
        <v>982</v>
      </c>
      <c r="E1304" s="49" t="s">
        <v>510</v>
      </c>
      <c r="F1304" s="44" t="s">
        <v>983</v>
      </c>
      <c r="G1304" s="44">
        <v>66.0</v>
      </c>
      <c r="H1304" s="47" t="s">
        <v>970</v>
      </c>
      <c r="I1304" s="47" t="s">
        <v>832</v>
      </c>
      <c r="J1304" s="44">
        <v>10.832495</v>
      </c>
      <c r="K1304" s="48">
        <v>106.727998</v>
      </c>
    </row>
    <row r="1305" ht="22.5" customHeight="1">
      <c r="A1305" s="44" t="s">
        <v>4362</v>
      </c>
      <c r="B1305" s="44" t="s">
        <v>4363</v>
      </c>
      <c r="C1305" s="44" t="s">
        <v>4364</v>
      </c>
      <c r="D1305" s="44" t="s">
        <v>1925</v>
      </c>
      <c r="E1305" s="49" t="s">
        <v>885</v>
      </c>
      <c r="F1305" s="44" t="s">
        <v>1117</v>
      </c>
      <c r="G1305" s="44">
        <v>60.0</v>
      </c>
      <c r="H1305" s="47" t="s">
        <v>970</v>
      </c>
      <c r="I1305" s="47" t="s">
        <v>789</v>
      </c>
      <c r="J1305" s="44">
        <v>10.703386</v>
      </c>
      <c r="K1305" s="48">
        <v>106.621902</v>
      </c>
    </row>
    <row r="1306" ht="22.5" customHeight="1">
      <c r="A1306" s="44" t="s">
        <v>4365</v>
      </c>
      <c r="B1306" s="44" t="s">
        <v>4366</v>
      </c>
      <c r="C1306" s="44" t="s">
        <v>4367</v>
      </c>
      <c r="D1306" s="44" t="s">
        <v>969</v>
      </c>
      <c r="E1306" s="49" t="s">
        <v>893</v>
      </c>
      <c r="F1306" s="44" t="s">
        <v>1088</v>
      </c>
      <c r="G1306" s="44">
        <v>60.0</v>
      </c>
      <c r="H1306" s="47" t="s">
        <v>970</v>
      </c>
      <c r="I1306" s="47" t="s">
        <v>893</v>
      </c>
      <c r="J1306" s="44">
        <v>10.80052</v>
      </c>
      <c r="K1306" s="48">
        <v>106.637306</v>
      </c>
    </row>
    <row r="1307" ht="22.5" customHeight="1">
      <c r="A1307" s="44" t="s">
        <v>4368</v>
      </c>
      <c r="B1307" s="44" t="s">
        <v>4369</v>
      </c>
      <c r="C1307" s="44" t="s">
        <v>3285</v>
      </c>
      <c r="D1307" s="44" t="s">
        <v>1929</v>
      </c>
      <c r="E1307" s="49" t="s">
        <v>893</v>
      </c>
      <c r="F1307" s="44" t="s">
        <v>1088</v>
      </c>
      <c r="G1307" s="44">
        <v>60.0</v>
      </c>
      <c r="H1307" s="47" t="s">
        <v>970</v>
      </c>
      <c r="I1307" s="47" t="s">
        <v>806</v>
      </c>
      <c r="J1307" s="44">
        <v>10.791346</v>
      </c>
      <c r="K1307" s="48">
        <v>106.653432</v>
      </c>
    </row>
    <row r="1308" ht="22.5" customHeight="1">
      <c r="A1308" s="44" t="s">
        <v>641</v>
      </c>
      <c r="B1308" s="44" t="s">
        <v>4370</v>
      </c>
      <c r="C1308" s="44" t="s">
        <v>4371</v>
      </c>
      <c r="D1308" s="44" t="s">
        <v>1925</v>
      </c>
      <c r="E1308" s="49" t="s">
        <v>885</v>
      </c>
      <c r="F1308" s="44" t="s">
        <v>1117</v>
      </c>
      <c r="G1308" s="44">
        <v>60.0</v>
      </c>
      <c r="H1308" s="47" t="s">
        <v>970</v>
      </c>
      <c r="I1308" s="47" t="s">
        <v>885</v>
      </c>
      <c r="J1308" s="44">
        <v>10.736988</v>
      </c>
      <c r="K1308" s="48">
        <v>106.657367</v>
      </c>
    </row>
    <row r="1309" ht="22.5" customHeight="1">
      <c r="A1309" s="44" t="s">
        <v>4372</v>
      </c>
      <c r="B1309" s="44" t="s">
        <v>4373</v>
      </c>
      <c r="C1309" s="44" t="s">
        <v>4374</v>
      </c>
      <c r="D1309" s="44" t="s">
        <v>3171</v>
      </c>
      <c r="E1309" s="49" t="s">
        <v>804</v>
      </c>
      <c r="F1309" s="44" t="s">
        <v>1497</v>
      </c>
      <c r="G1309" s="44">
        <v>60.0</v>
      </c>
      <c r="H1309" s="47" t="s">
        <v>970</v>
      </c>
      <c r="I1309" s="47" t="s">
        <v>804</v>
      </c>
      <c r="J1309" s="44">
        <v>10.761309</v>
      </c>
      <c r="K1309" s="48">
        <v>106.700524</v>
      </c>
    </row>
    <row r="1310" ht="22.5" customHeight="1">
      <c r="A1310" s="44" t="s">
        <v>257</v>
      </c>
      <c r="B1310" s="44" t="s">
        <v>4375</v>
      </c>
      <c r="C1310" s="44" t="s">
        <v>3713</v>
      </c>
      <c r="D1310" s="44" t="s">
        <v>1180</v>
      </c>
      <c r="E1310" s="49" t="s">
        <v>892</v>
      </c>
      <c r="F1310" s="44" t="s">
        <v>1108</v>
      </c>
      <c r="G1310" s="44">
        <v>60.0</v>
      </c>
      <c r="H1310" s="47" t="s">
        <v>970</v>
      </c>
      <c r="I1310" s="47" t="s">
        <v>892</v>
      </c>
      <c r="J1310" s="44">
        <v>10.996529</v>
      </c>
      <c r="K1310" s="48">
        <v>106.655943</v>
      </c>
    </row>
    <row r="1311" ht="22.5" customHeight="1">
      <c r="A1311" s="44" t="s">
        <v>4376</v>
      </c>
      <c r="B1311" s="44" t="s">
        <v>4377</v>
      </c>
      <c r="C1311" s="44" t="s">
        <v>4378</v>
      </c>
      <c r="D1311" s="44" t="s">
        <v>1051</v>
      </c>
      <c r="E1311" s="49" t="s">
        <v>863</v>
      </c>
      <c r="F1311" s="44" t="s">
        <v>1052</v>
      </c>
      <c r="G1311" s="44">
        <v>60.0</v>
      </c>
      <c r="H1311" s="47" t="s">
        <v>970</v>
      </c>
      <c r="I1311" s="47" t="s">
        <v>863</v>
      </c>
      <c r="J1311" s="44">
        <v>10.354086</v>
      </c>
      <c r="K1311" s="48">
        <v>107.074729</v>
      </c>
    </row>
    <row r="1312" ht="22.5" customHeight="1">
      <c r="A1312" s="44" t="s">
        <v>166</v>
      </c>
      <c r="B1312" s="44" t="s">
        <v>4379</v>
      </c>
      <c r="C1312" s="44" t="s">
        <v>4380</v>
      </c>
      <c r="D1312" s="44" t="s">
        <v>973</v>
      </c>
      <c r="E1312" s="49" t="s">
        <v>894</v>
      </c>
      <c r="F1312" s="44" t="s">
        <v>974</v>
      </c>
      <c r="G1312" s="44">
        <v>70.0</v>
      </c>
      <c r="H1312" s="47" t="s">
        <v>970</v>
      </c>
      <c r="I1312" s="47" t="s">
        <v>894</v>
      </c>
      <c r="J1312" s="44">
        <v>10.738323</v>
      </c>
      <c r="K1312" s="48">
        <v>106.713842</v>
      </c>
    </row>
    <row r="1313" ht="22.5" customHeight="1">
      <c r="A1313" s="44" t="s">
        <v>4381</v>
      </c>
      <c r="B1313" s="44" t="s">
        <v>4382</v>
      </c>
      <c r="C1313" s="44" t="s">
        <v>4383</v>
      </c>
      <c r="D1313" s="44" t="s">
        <v>1224</v>
      </c>
      <c r="E1313" s="49" t="s">
        <v>872</v>
      </c>
      <c r="F1313" s="44" t="s">
        <v>1003</v>
      </c>
      <c r="G1313" s="44">
        <v>30.0</v>
      </c>
      <c r="H1313" s="47" t="s">
        <v>970</v>
      </c>
      <c r="I1313" s="47" t="s">
        <v>872</v>
      </c>
      <c r="J1313" s="44">
        <v>10.536302</v>
      </c>
      <c r="K1313" s="48">
        <v>106.416238</v>
      </c>
    </row>
    <row r="1314" ht="22.5" customHeight="1">
      <c r="A1314" s="44" t="s">
        <v>4384</v>
      </c>
      <c r="B1314" s="44" t="s">
        <v>4385</v>
      </c>
      <c r="C1314" s="44" t="s">
        <v>4386</v>
      </c>
      <c r="D1314" s="44" t="s">
        <v>1224</v>
      </c>
      <c r="E1314" s="49" t="s">
        <v>872</v>
      </c>
      <c r="F1314" s="44" t="s">
        <v>1003</v>
      </c>
      <c r="G1314" s="44">
        <v>100.0</v>
      </c>
      <c r="H1314" s="47" t="s">
        <v>970</v>
      </c>
      <c r="I1314" s="47" t="s">
        <v>872</v>
      </c>
      <c r="J1314" s="44">
        <v>10.544933840623</v>
      </c>
      <c r="K1314" s="48">
        <v>106.40534310741</v>
      </c>
    </row>
    <row r="1315" ht="22.5" customHeight="1">
      <c r="A1315" s="44" t="s">
        <v>607</v>
      </c>
      <c r="B1315" s="44" t="s">
        <v>4387</v>
      </c>
      <c r="C1315" s="44" t="s">
        <v>4388</v>
      </c>
      <c r="D1315" s="44" t="s">
        <v>1811</v>
      </c>
      <c r="E1315" s="49" t="s">
        <v>889</v>
      </c>
      <c r="F1315" s="44" t="s">
        <v>1043</v>
      </c>
      <c r="G1315" s="44">
        <v>45.0</v>
      </c>
      <c r="H1315" s="47" t="s">
        <v>970</v>
      </c>
      <c r="I1315" s="47" t="s">
        <v>889</v>
      </c>
      <c r="J1315" s="44">
        <v>10.820815</v>
      </c>
      <c r="K1315" s="48">
        <v>106.70457</v>
      </c>
    </row>
    <row r="1316" ht="22.5" customHeight="1">
      <c r="A1316" s="44" t="s">
        <v>4389</v>
      </c>
      <c r="B1316" s="44" t="s">
        <v>4390</v>
      </c>
      <c r="C1316" s="44" t="s">
        <v>4391</v>
      </c>
      <c r="D1316" s="44" t="s">
        <v>1224</v>
      </c>
      <c r="E1316" s="49" t="s">
        <v>872</v>
      </c>
      <c r="F1316" s="44" t="s">
        <v>1003</v>
      </c>
      <c r="G1316" s="44">
        <v>60.0</v>
      </c>
      <c r="H1316" s="47" t="s">
        <v>970</v>
      </c>
      <c r="I1316" s="47" t="s">
        <v>872</v>
      </c>
      <c r="J1316" s="44">
        <v>10.5393</v>
      </c>
      <c r="K1316" s="48">
        <v>106.40875</v>
      </c>
    </row>
    <row r="1317" ht="22.5" customHeight="1">
      <c r="A1317" s="44" t="s">
        <v>4392</v>
      </c>
      <c r="B1317" s="44" t="s">
        <v>4393</v>
      </c>
      <c r="C1317" s="44" t="s">
        <v>1585</v>
      </c>
      <c r="D1317" s="44" t="s">
        <v>1586</v>
      </c>
      <c r="E1317" s="49" t="s">
        <v>872</v>
      </c>
      <c r="F1317" s="44" t="s">
        <v>1003</v>
      </c>
      <c r="G1317" s="44">
        <v>45.0</v>
      </c>
      <c r="H1317" s="47" t="s">
        <v>970</v>
      </c>
      <c r="I1317" s="47" t="s">
        <v>872</v>
      </c>
      <c r="J1317" s="44">
        <v>10.490788</v>
      </c>
      <c r="K1317" s="48">
        <v>106.372759</v>
      </c>
    </row>
    <row r="1318" ht="22.5" customHeight="1">
      <c r="A1318" s="44" t="s">
        <v>4394</v>
      </c>
      <c r="B1318" s="44" t="s">
        <v>4395</v>
      </c>
      <c r="C1318" s="44" t="s">
        <v>4396</v>
      </c>
      <c r="D1318" s="44" t="s">
        <v>1224</v>
      </c>
      <c r="E1318" s="49" t="s">
        <v>872</v>
      </c>
      <c r="F1318" s="44" t="s">
        <v>1003</v>
      </c>
      <c r="G1318" s="44">
        <v>60.0</v>
      </c>
      <c r="H1318" s="47" t="s">
        <v>970</v>
      </c>
      <c r="I1318" s="47" t="s">
        <v>872</v>
      </c>
      <c r="J1318" s="44">
        <v>10.544745</v>
      </c>
      <c r="K1318" s="48">
        <v>106.40695</v>
      </c>
    </row>
    <row r="1319" ht="22.5" customHeight="1">
      <c r="A1319" s="44" t="s">
        <v>4397</v>
      </c>
      <c r="B1319" s="44" t="s">
        <v>4398</v>
      </c>
      <c r="C1319" s="44" t="s">
        <v>4399</v>
      </c>
      <c r="D1319" s="44" t="s">
        <v>1224</v>
      </c>
      <c r="E1319" s="49" t="s">
        <v>872</v>
      </c>
      <c r="F1319" s="44" t="s">
        <v>1003</v>
      </c>
      <c r="G1319" s="44">
        <v>60.0</v>
      </c>
      <c r="H1319" s="47" t="s">
        <v>970</v>
      </c>
      <c r="I1319" s="47" t="s">
        <v>872</v>
      </c>
      <c r="J1319" s="44">
        <v>10.537978</v>
      </c>
      <c r="K1319" s="48">
        <v>106.413395</v>
      </c>
    </row>
    <row r="1320" ht="22.5" customHeight="1">
      <c r="A1320" s="44" t="s">
        <v>493</v>
      </c>
      <c r="B1320" s="44" t="s">
        <v>4400</v>
      </c>
      <c r="C1320" s="44" t="s">
        <v>4401</v>
      </c>
      <c r="D1320" s="44" t="s">
        <v>977</v>
      </c>
      <c r="E1320" s="49" t="s">
        <v>900</v>
      </c>
      <c r="F1320" s="44" t="s">
        <v>978</v>
      </c>
      <c r="G1320" s="44">
        <v>39.0</v>
      </c>
      <c r="H1320" s="47" t="s">
        <v>970</v>
      </c>
      <c r="I1320" s="47" t="s">
        <v>902</v>
      </c>
      <c r="J1320" s="44">
        <v>10.78935</v>
      </c>
      <c r="K1320" s="48">
        <v>106.675524</v>
      </c>
    </row>
    <row r="1321" ht="22.5" customHeight="1">
      <c r="A1321" s="44" t="s">
        <v>4402</v>
      </c>
      <c r="B1321" s="44" t="s">
        <v>4403</v>
      </c>
      <c r="C1321" s="44" t="s">
        <v>4404</v>
      </c>
      <c r="D1321" s="44" t="s">
        <v>4405</v>
      </c>
      <c r="E1321" s="49" t="s">
        <v>850</v>
      </c>
      <c r="F1321" s="44" t="s">
        <v>1057</v>
      </c>
      <c r="G1321" s="44">
        <v>60.0</v>
      </c>
      <c r="H1321" s="47" t="s">
        <v>970</v>
      </c>
      <c r="I1321" s="47" t="s">
        <v>850</v>
      </c>
      <c r="J1321" s="44">
        <v>11.148650637915</v>
      </c>
      <c r="K1321" s="48">
        <v>106.42686727116</v>
      </c>
    </row>
    <row r="1322" ht="22.5" customHeight="1">
      <c r="A1322" s="44" t="s">
        <v>4406</v>
      </c>
      <c r="B1322" s="44" t="s">
        <v>4407</v>
      </c>
      <c r="C1322" s="44" t="s">
        <v>4408</v>
      </c>
      <c r="D1322" s="44" t="s">
        <v>1939</v>
      </c>
      <c r="E1322" s="49" t="s">
        <v>510</v>
      </c>
      <c r="F1322" s="44" t="s">
        <v>983</v>
      </c>
      <c r="G1322" s="44">
        <v>66.0</v>
      </c>
      <c r="H1322" s="47" t="s">
        <v>970</v>
      </c>
      <c r="I1322" s="47" t="s">
        <v>890</v>
      </c>
      <c r="J1322" s="44">
        <v>10.887954</v>
      </c>
      <c r="K1322" s="48">
        <v>106.773606</v>
      </c>
    </row>
    <row r="1323" ht="22.5" customHeight="1">
      <c r="A1323" s="44" t="s">
        <v>258</v>
      </c>
      <c r="B1323" s="44" t="s">
        <v>4409</v>
      </c>
      <c r="C1323" s="44" t="s">
        <v>4410</v>
      </c>
      <c r="D1323" s="44" t="s">
        <v>1910</v>
      </c>
      <c r="E1323" s="49" t="s">
        <v>892</v>
      </c>
      <c r="F1323" s="44" t="s">
        <v>1108</v>
      </c>
      <c r="G1323" s="44">
        <v>30.0</v>
      </c>
      <c r="H1323" s="47" t="s">
        <v>970</v>
      </c>
      <c r="I1323" s="47" t="s">
        <v>892</v>
      </c>
      <c r="J1323" s="44">
        <v>11.007378</v>
      </c>
      <c r="K1323" s="48">
        <v>106.634792</v>
      </c>
    </row>
    <row r="1324" ht="22.5" customHeight="1">
      <c r="A1324" s="44" t="s">
        <v>4411</v>
      </c>
      <c r="B1324" s="44" t="s">
        <v>4412</v>
      </c>
      <c r="C1324" s="44" t="s">
        <v>2972</v>
      </c>
      <c r="D1324" s="44" t="s">
        <v>1470</v>
      </c>
      <c r="E1324" s="49" t="s">
        <v>883</v>
      </c>
      <c r="F1324" s="44" t="s">
        <v>1471</v>
      </c>
      <c r="G1324" s="44">
        <v>85.0</v>
      </c>
      <c r="H1324" s="47" t="s">
        <v>970</v>
      </c>
      <c r="I1324" s="47" t="s">
        <v>883</v>
      </c>
      <c r="J1324" s="44">
        <v>10.908706</v>
      </c>
      <c r="K1324" s="48">
        <v>106.701948</v>
      </c>
    </row>
    <row r="1325" ht="22.5" customHeight="1">
      <c r="A1325" s="44" t="s">
        <v>4413</v>
      </c>
      <c r="B1325" s="44" t="s">
        <v>4414</v>
      </c>
      <c r="C1325" s="44" t="s">
        <v>4415</v>
      </c>
      <c r="D1325" s="44" t="s">
        <v>1977</v>
      </c>
      <c r="E1325" s="49" t="s">
        <v>863</v>
      </c>
      <c r="F1325" s="44" t="s">
        <v>1052</v>
      </c>
      <c r="G1325" s="44">
        <v>60.0</v>
      </c>
      <c r="H1325" s="47" t="s">
        <v>970</v>
      </c>
      <c r="I1325" s="47" t="s">
        <v>863</v>
      </c>
      <c r="J1325" s="44">
        <v>10.499451</v>
      </c>
      <c r="K1325" s="48">
        <v>107.173029</v>
      </c>
    </row>
    <row r="1326" ht="22.5" customHeight="1">
      <c r="A1326" s="44" t="s">
        <v>4416</v>
      </c>
      <c r="B1326" s="44" t="s">
        <v>4417</v>
      </c>
      <c r="C1326" s="44" t="s">
        <v>2512</v>
      </c>
      <c r="D1326" s="44" t="s">
        <v>1939</v>
      </c>
      <c r="E1326" s="49" t="s">
        <v>895</v>
      </c>
      <c r="F1326" s="44" t="s">
        <v>1121</v>
      </c>
      <c r="G1326" s="44">
        <v>66.0</v>
      </c>
      <c r="H1326" s="47" t="s">
        <v>970</v>
      </c>
      <c r="I1326" s="47" t="s">
        <v>895</v>
      </c>
      <c r="J1326" s="44">
        <v>10.861369</v>
      </c>
      <c r="K1326" s="48">
        <v>106.779868</v>
      </c>
    </row>
    <row r="1327" ht="22.5" customHeight="1">
      <c r="A1327" s="44" t="s">
        <v>4418</v>
      </c>
      <c r="B1327" s="44" t="s">
        <v>4419</v>
      </c>
      <c r="C1327" s="44" t="s">
        <v>4420</v>
      </c>
      <c r="D1327" s="44" t="s">
        <v>1021</v>
      </c>
      <c r="E1327" s="49" t="s">
        <v>809</v>
      </c>
      <c r="F1327" s="44" t="s">
        <v>1022</v>
      </c>
      <c r="G1327" s="44">
        <v>68.0</v>
      </c>
      <c r="H1327" s="47" t="s">
        <v>970</v>
      </c>
      <c r="I1327" s="47" t="s">
        <v>809</v>
      </c>
      <c r="J1327" s="44">
        <v>10.830299</v>
      </c>
      <c r="K1327" s="48">
        <v>106.677772</v>
      </c>
    </row>
    <row r="1328" ht="22.5" customHeight="1">
      <c r="A1328" s="44" t="s">
        <v>4421</v>
      </c>
      <c r="B1328" s="44" t="s">
        <v>4422</v>
      </c>
      <c r="C1328" s="44" t="s">
        <v>4423</v>
      </c>
      <c r="D1328" s="44" t="s">
        <v>1368</v>
      </c>
      <c r="E1328" s="49" t="s">
        <v>814</v>
      </c>
      <c r="F1328" s="44" t="s">
        <v>1369</v>
      </c>
      <c r="G1328" s="44">
        <v>45.0</v>
      </c>
      <c r="H1328" s="47" t="s">
        <v>970</v>
      </c>
      <c r="I1328" s="47" t="s">
        <v>902</v>
      </c>
      <c r="J1328" s="44">
        <v>10.793022</v>
      </c>
      <c r="K1328" s="48">
        <v>106.678062</v>
      </c>
    </row>
    <row r="1329" ht="22.5" customHeight="1">
      <c r="A1329" s="44" t="s">
        <v>259</v>
      </c>
      <c r="B1329" s="44" t="s">
        <v>4424</v>
      </c>
      <c r="C1329" s="44" t="s">
        <v>4425</v>
      </c>
      <c r="D1329" s="44" t="s">
        <v>1107</v>
      </c>
      <c r="E1329" s="49" t="s">
        <v>892</v>
      </c>
      <c r="F1329" s="44" t="s">
        <v>1108</v>
      </c>
      <c r="G1329" s="44">
        <v>45.0</v>
      </c>
      <c r="H1329" s="47" t="s">
        <v>970</v>
      </c>
      <c r="I1329" s="47" t="s">
        <v>892</v>
      </c>
      <c r="J1329" s="44">
        <v>10.962637</v>
      </c>
      <c r="K1329" s="48">
        <v>106.676165</v>
      </c>
    </row>
    <row r="1330" ht="22.5" customHeight="1">
      <c r="A1330" s="44" t="s">
        <v>260</v>
      </c>
      <c r="B1330" s="44" t="s">
        <v>4426</v>
      </c>
      <c r="C1330" s="44" t="s">
        <v>4427</v>
      </c>
      <c r="D1330" s="44" t="s">
        <v>1180</v>
      </c>
      <c r="E1330" s="49" t="s">
        <v>892</v>
      </c>
      <c r="F1330" s="44" t="s">
        <v>1108</v>
      </c>
      <c r="G1330" s="44">
        <v>60.0</v>
      </c>
      <c r="H1330" s="47" t="s">
        <v>970</v>
      </c>
      <c r="I1330" s="47" t="s">
        <v>892</v>
      </c>
      <c r="J1330" s="44">
        <v>10.99402</v>
      </c>
      <c r="K1330" s="48">
        <v>106.661124</v>
      </c>
    </row>
    <row r="1331" ht="22.5" customHeight="1">
      <c r="A1331" s="44" t="s">
        <v>261</v>
      </c>
      <c r="B1331" s="44" t="s">
        <v>4428</v>
      </c>
      <c r="C1331" s="44" t="s">
        <v>4429</v>
      </c>
      <c r="D1331" s="44" t="s">
        <v>1180</v>
      </c>
      <c r="E1331" s="49" t="s">
        <v>892</v>
      </c>
      <c r="F1331" s="44" t="s">
        <v>1108</v>
      </c>
      <c r="G1331" s="44">
        <v>60.0</v>
      </c>
      <c r="H1331" s="47" t="s">
        <v>970</v>
      </c>
      <c r="I1331" s="47" t="s">
        <v>892</v>
      </c>
      <c r="J1331" s="44">
        <v>10.99739</v>
      </c>
      <c r="K1331" s="48">
        <v>106.656198</v>
      </c>
    </row>
    <row r="1332" ht="22.5" customHeight="1">
      <c r="A1332" s="44" t="s">
        <v>262</v>
      </c>
      <c r="B1332" s="44" t="s">
        <v>4430</v>
      </c>
      <c r="C1332" s="44" t="s">
        <v>4431</v>
      </c>
      <c r="D1332" s="44" t="s">
        <v>1180</v>
      </c>
      <c r="E1332" s="49" t="s">
        <v>892</v>
      </c>
      <c r="F1332" s="44" t="s">
        <v>1108</v>
      </c>
      <c r="G1332" s="50">
        <v>30.0</v>
      </c>
      <c r="H1332" s="47" t="s">
        <v>970</v>
      </c>
      <c r="I1332" s="47" t="s">
        <v>892</v>
      </c>
      <c r="J1332" s="44">
        <v>10.997251428582</v>
      </c>
      <c r="K1332" s="48">
        <v>106.67520832275</v>
      </c>
    </row>
    <row r="1333" ht="22.5" customHeight="1">
      <c r="A1333" s="44" t="s">
        <v>263</v>
      </c>
      <c r="B1333" s="44" t="s">
        <v>4432</v>
      </c>
      <c r="C1333" s="44" t="s">
        <v>4429</v>
      </c>
      <c r="D1333" s="44" t="s">
        <v>1180</v>
      </c>
      <c r="E1333" s="49" t="s">
        <v>892</v>
      </c>
      <c r="F1333" s="44" t="s">
        <v>1108</v>
      </c>
      <c r="G1333" s="44">
        <v>60.0</v>
      </c>
      <c r="H1333" s="47" t="s">
        <v>970</v>
      </c>
      <c r="I1333" s="47" t="s">
        <v>892</v>
      </c>
      <c r="J1333" s="44">
        <v>10.99739</v>
      </c>
      <c r="K1333" s="48">
        <v>106.656198</v>
      </c>
    </row>
    <row r="1334" ht="22.5" customHeight="1">
      <c r="A1334" s="44" t="s">
        <v>32</v>
      </c>
      <c r="B1334" s="44" t="s">
        <v>4433</v>
      </c>
      <c r="C1334" s="44" t="s">
        <v>4434</v>
      </c>
      <c r="D1334" s="44" t="s">
        <v>4435</v>
      </c>
      <c r="E1334" s="49" t="s">
        <v>891</v>
      </c>
      <c r="F1334" s="44" t="s">
        <v>1125</v>
      </c>
      <c r="G1334" s="44">
        <v>45.0</v>
      </c>
      <c r="H1334" s="47" t="s">
        <v>970</v>
      </c>
      <c r="I1334" s="47" t="s">
        <v>891</v>
      </c>
      <c r="J1334" s="44">
        <v>10.96689</v>
      </c>
      <c r="K1334" s="48">
        <v>106.90793</v>
      </c>
    </row>
    <row r="1335" ht="22.5" customHeight="1">
      <c r="A1335" s="44" t="s">
        <v>264</v>
      </c>
      <c r="B1335" s="44" t="s">
        <v>4436</v>
      </c>
      <c r="C1335" s="44" t="s">
        <v>4437</v>
      </c>
      <c r="D1335" s="44" t="s">
        <v>1107</v>
      </c>
      <c r="E1335" s="49" t="s">
        <v>892</v>
      </c>
      <c r="F1335" s="44" t="s">
        <v>1108</v>
      </c>
      <c r="G1335" s="44">
        <v>30.0</v>
      </c>
      <c r="H1335" s="47" t="s">
        <v>970</v>
      </c>
      <c r="I1335" s="47" t="s">
        <v>892</v>
      </c>
      <c r="J1335" s="44">
        <v>10.982436</v>
      </c>
      <c r="K1335" s="48">
        <v>106.653311</v>
      </c>
    </row>
    <row r="1336" ht="22.5" customHeight="1">
      <c r="A1336" s="44" t="s">
        <v>265</v>
      </c>
      <c r="B1336" s="44" t="s">
        <v>4438</v>
      </c>
      <c r="C1336" s="44" t="s">
        <v>4439</v>
      </c>
      <c r="D1336" s="44" t="s">
        <v>1910</v>
      </c>
      <c r="E1336" s="49" t="s">
        <v>892</v>
      </c>
      <c r="F1336" s="44" t="s">
        <v>1108</v>
      </c>
      <c r="G1336" s="44">
        <v>60.0</v>
      </c>
      <c r="H1336" s="47" t="s">
        <v>970</v>
      </c>
      <c r="I1336" s="47" t="s">
        <v>892</v>
      </c>
      <c r="J1336" s="44">
        <v>11.027131365499</v>
      </c>
      <c r="K1336" s="48">
        <v>106.64605959957</v>
      </c>
    </row>
    <row r="1337" ht="22.5" customHeight="1">
      <c r="A1337" s="44" t="s">
        <v>4440</v>
      </c>
      <c r="B1337" s="44" t="s">
        <v>4441</v>
      </c>
      <c r="C1337" s="44" t="s">
        <v>4442</v>
      </c>
      <c r="D1337" s="44" t="s">
        <v>973</v>
      </c>
      <c r="E1337" s="49" t="s">
        <v>894</v>
      </c>
      <c r="F1337" s="44" t="s">
        <v>974</v>
      </c>
      <c r="G1337" s="44">
        <v>68.0</v>
      </c>
      <c r="H1337" s="47" t="s">
        <v>970</v>
      </c>
      <c r="I1337" s="47" t="s">
        <v>894</v>
      </c>
      <c r="J1337" s="44">
        <v>10.731598</v>
      </c>
      <c r="K1337" s="48">
        <v>106.709593</v>
      </c>
    </row>
    <row r="1338" ht="22.5" customHeight="1">
      <c r="A1338" s="44" t="s">
        <v>4443</v>
      </c>
      <c r="B1338" s="44" t="s">
        <v>4444</v>
      </c>
      <c r="C1338" s="44" t="s">
        <v>4445</v>
      </c>
      <c r="D1338" s="44" t="s">
        <v>1802</v>
      </c>
      <c r="E1338" s="49" t="s">
        <v>888</v>
      </c>
      <c r="F1338" s="44" t="s">
        <v>1136</v>
      </c>
      <c r="G1338" s="44">
        <v>45.0</v>
      </c>
      <c r="H1338" s="47" t="s">
        <v>970</v>
      </c>
      <c r="I1338" s="47" t="s">
        <v>888</v>
      </c>
      <c r="J1338" s="44">
        <v>10.775406</v>
      </c>
      <c r="K1338" s="48">
        <v>106.697118</v>
      </c>
    </row>
    <row r="1339" ht="22.5" customHeight="1">
      <c r="A1339" s="44" t="s">
        <v>670</v>
      </c>
      <c r="B1339" s="44" t="s">
        <v>4446</v>
      </c>
      <c r="C1339" s="44" t="s">
        <v>4447</v>
      </c>
      <c r="D1339" s="44" t="s">
        <v>1076</v>
      </c>
      <c r="E1339" s="49" t="s">
        <v>910</v>
      </c>
      <c r="F1339" s="44" t="s">
        <v>987</v>
      </c>
      <c r="G1339" s="44">
        <v>76.0</v>
      </c>
      <c r="H1339" s="47" t="s">
        <v>970</v>
      </c>
      <c r="I1339" s="47" t="s">
        <v>813</v>
      </c>
      <c r="J1339" s="44">
        <v>10.756945</v>
      </c>
      <c r="K1339" s="48">
        <v>106.670966</v>
      </c>
    </row>
    <row r="1340" ht="22.5" customHeight="1">
      <c r="A1340" s="44" t="s">
        <v>4448</v>
      </c>
      <c r="B1340" s="44" t="s">
        <v>4449</v>
      </c>
      <c r="C1340" s="44" t="s">
        <v>4450</v>
      </c>
      <c r="D1340" s="44" t="s">
        <v>1076</v>
      </c>
      <c r="E1340" s="49" t="s">
        <v>910</v>
      </c>
      <c r="F1340" s="44" t="s">
        <v>987</v>
      </c>
      <c r="G1340" s="44">
        <v>76.0</v>
      </c>
      <c r="H1340" s="47" t="s">
        <v>970</v>
      </c>
      <c r="I1340" s="47" t="s">
        <v>813</v>
      </c>
      <c r="J1340" s="44">
        <v>10.758886</v>
      </c>
      <c r="K1340" s="48">
        <v>106.670304</v>
      </c>
    </row>
    <row r="1341" ht="22.5" customHeight="1">
      <c r="A1341" s="44" t="s">
        <v>4451</v>
      </c>
      <c r="B1341" s="44" t="s">
        <v>4452</v>
      </c>
      <c r="C1341" s="44" t="s">
        <v>4453</v>
      </c>
      <c r="D1341" s="44" t="s">
        <v>1076</v>
      </c>
      <c r="E1341" s="49" t="s">
        <v>910</v>
      </c>
      <c r="F1341" s="44" t="s">
        <v>987</v>
      </c>
      <c r="G1341" s="44">
        <v>76.0</v>
      </c>
      <c r="H1341" s="47" t="s">
        <v>970</v>
      </c>
      <c r="I1341" s="47" t="s">
        <v>813</v>
      </c>
      <c r="J1341" s="44">
        <v>10.750595</v>
      </c>
      <c r="K1341" s="48">
        <v>106.67053</v>
      </c>
    </row>
    <row r="1342" ht="22.5" customHeight="1">
      <c r="A1342" s="44" t="s">
        <v>4454</v>
      </c>
      <c r="B1342" s="44" t="s">
        <v>4455</v>
      </c>
      <c r="C1342" s="44" t="s">
        <v>4456</v>
      </c>
      <c r="D1342" s="44" t="s">
        <v>982</v>
      </c>
      <c r="E1342" s="49" t="s">
        <v>510</v>
      </c>
      <c r="F1342" s="44" t="s">
        <v>983</v>
      </c>
      <c r="G1342" s="44">
        <v>96.0</v>
      </c>
      <c r="H1342" s="47" t="s">
        <v>970</v>
      </c>
      <c r="I1342" s="47" t="s">
        <v>889</v>
      </c>
      <c r="J1342" s="44">
        <v>10.82704</v>
      </c>
      <c r="K1342" s="48">
        <v>106.71577</v>
      </c>
    </row>
    <row r="1343" ht="22.5" customHeight="1">
      <c r="A1343" s="44" t="s">
        <v>266</v>
      </c>
      <c r="B1343" s="44" t="s">
        <v>4457</v>
      </c>
      <c r="C1343" s="44" t="s">
        <v>1609</v>
      </c>
      <c r="D1343" s="44" t="s">
        <v>1107</v>
      </c>
      <c r="E1343" s="49" t="s">
        <v>892</v>
      </c>
      <c r="F1343" s="44" t="s">
        <v>1108</v>
      </c>
      <c r="G1343" s="44">
        <v>60.0</v>
      </c>
      <c r="H1343" s="47" t="s">
        <v>970</v>
      </c>
      <c r="I1343" s="47" t="s">
        <v>892</v>
      </c>
      <c r="J1343" s="44">
        <v>10.986911</v>
      </c>
      <c r="K1343" s="48">
        <v>106.664316</v>
      </c>
    </row>
    <row r="1344" ht="22.5" customHeight="1">
      <c r="A1344" s="44" t="s">
        <v>534</v>
      </c>
      <c r="B1344" s="44" t="s">
        <v>4458</v>
      </c>
      <c r="C1344" s="44" t="s">
        <v>4459</v>
      </c>
      <c r="D1344" s="44" t="s">
        <v>1470</v>
      </c>
      <c r="E1344" s="49" t="s">
        <v>883</v>
      </c>
      <c r="F1344" s="44" t="s">
        <v>1471</v>
      </c>
      <c r="G1344" s="44">
        <v>55.0</v>
      </c>
      <c r="H1344" s="47" t="s">
        <v>970</v>
      </c>
      <c r="I1344" s="47" t="s">
        <v>883</v>
      </c>
      <c r="J1344" s="44">
        <v>10.901068</v>
      </c>
      <c r="K1344" s="48">
        <v>106.698317</v>
      </c>
    </row>
    <row r="1345" ht="22.5" customHeight="1">
      <c r="A1345" s="44" t="s">
        <v>522</v>
      </c>
      <c r="B1345" s="44" t="s">
        <v>4460</v>
      </c>
      <c r="C1345" s="44" t="s">
        <v>2992</v>
      </c>
      <c r="D1345" s="44" t="s">
        <v>1470</v>
      </c>
      <c r="E1345" s="49" t="s">
        <v>883</v>
      </c>
      <c r="F1345" s="44" t="s">
        <v>1471</v>
      </c>
      <c r="G1345" s="44">
        <v>55.0</v>
      </c>
      <c r="H1345" s="47" t="s">
        <v>970</v>
      </c>
      <c r="I1345" s="47" t="s">
        <v>883</v>
      </c>
      <c r="J1345" s="44">
        <v>10.908706</v>
      </c>
      <c r="K1345" s="48">
        <v>106.701948</v>
      </c>
    </row>
    <row r="1346" ht="22.5" customHeight="1">
      <c r="A1346" s="44" t="s">
        <v>267</v>
      </c>
      <c r="B1346" s="44" t="s">
        <v>4461</v>
      </c>
      <c r="C1346" s="44" t="s">
        <v>4462</v>
      </c>
      <c r="D1346" s="44" t="s">
        <v>1180</v>
      </c>
      <c r="E1346" s="49" t="s">
        <v>892</v>
      </c>
      <c r="F1346" s="44" t="s">
        <v>1108</v>
      </c>
      <c r="G1346" s="44">
        <v>60.0</v>
      </c>
      <c r="H1346" s="47" t="s">
        <v>970</v>
      </c>
      <c r="I1346" s="47" t="s">
        <v>892</v>
      </c>
      <c r="J1346" s="44">
        <v>10.98916</v>
      </c>
      <c r="K1346" s="48">
        <v>106.696008</v>
      </c>
    </row>
    <row r="1347" ht="22.5" customHeight="1">
      <c r="A1347" s="44" t="s">
        <v>4463</v>
      </c>
      <c r="B1347" s="44" t="s">
        <v>4464</v>
      </c>
      <c r="C1347" s="44" t="s">
        <v>4465</v>
      </c>
      <c r="D1347" s="44" t="s">
        <v>1883</v>
      </c>
      <c r="E1347" s="49" t="s">
        <v>883</v>
      </c>
      <c r="F1347" s="44" t="s">
        <v>1471</v>
      </c>
      <c r="G1347" s="44">
        <v>125.0</v>
      </c>
      <c r="H1347" s="47" t="s">
        <v>970</v>
      </c>
      <c r="I1347" s="47" t="s">
        <v>883</v>
      </c>
      <c r="J1347" s="44">
        <v>10.89162</v>
      </c>
      <c r="K1347" s="48">
        <v>106.729261</v>
      </c>
    </row>
    <row r="1348" ht="22.5" customHeight="1">
      <c r="A1348" s="44" t="s">
        <v>4466</v>
      </c>
      <c r="B1348" s="44" t="s">
        <v>4467</v>
      </c>
      <c r="C1348" s="44" t="s">
        <v>4468</v>
      </c>
      <c r="D1348" s="44" t="s">
        <v>2611</v>
      </c>
      <c r="E1348" s="49" t="s">
        <v>892</v>
      </c>
      <c r="F1348" s="44" t="s">
        <v>1108</v>
      </c>
      <c r="G1348" s="44">
        <v>60.0</v>
      </c>
      <c r="H1348" s="47" t="s">
        <v>970</v>
      </c>
      <c r="I1348" s="47" t="s">
        <v>892</v>
      </c>
      <c r="J1348" s="44">
        <v>11.124212</v>
      </c>
      <c r="K1348" s="48">
        <v>106.612551</v>
      </c>
    </row>
    <row r="1349" ht="22.5" customHeight="1">
      <c r="A1349" s="44" t="s">
        <v>4469</v>
      </c>
      <c r="B1349" s="44" t="s">
        <v>4470</v>
      </c>
      <c r="C1349" s="44" t="s">
        <v>4471</v>
      </c>
      <c r="D1349" s="44" t="s">
        <v>3423</v>
      </c>
      <c r="E1349" s="49" t="s">
        <v>892</v>
      </c>
      <c r="F1349" s="44" t="s">
        <v>1108</v>
      </c>
      <c r="G1349" s="44">
        <v>60.0</v>
      </c>
      <c r="H1349" s="47" t="s">
        <v>970</v>
      </c>
      <c r="I1349" s="47" t="s">
        <v>892</v>
      </c>
      <c r="J1349" s="44">
        <v>11.137097</v>
      </c>
      <c r="K1349" s="48">
        <v>106.608981</v>
      </c>
    </row>
    <row r="1350" ht="22.5" customHeight="1">
      <c r="A1350" s="44" t="s">
        <v>690</v>
      </c>
      <c r="B1350" s="44" t="s">
        <v>4472</v>
      </c>
      <c r="C1350" s="44" t="s">
        <v>4473</v>
      </c>
      <c r="D1350" s="44" t="s">
        <v>1644</v>
      </c>
      <c r="E1350" s="49" t="s">
        <v>868</v>
      </c>
      <c r="F1350" s="44" t="s">
        <v>1220</v>
      </c>
      <c r="G1350" s="44">
        <v>30.0</v>
      </c>
      <c r="H1350" s="47" t="s">
        <v>970</v>
      </c>
      <c r="I1350" s="47" t="s">
        <v>868</v>
      </c>
      <c r="J1350" s="44">
        <v>10.35441</v>
      </c>
      <c r="K1350" s="48">
        <v>106.340462</v>
      </c>
    </row>
    <row r="1351" ht="22.5" customHeight="1">
      <c r="A1351" s="44" t="s">
        <v>4474</v>
      </c>
      <c r="B1351" s="44" t="s">
        <v>4475</v>
      </c>
      <c r="C1351" s="44" t="s">
        <v>4476</v>
      </c>
      <c r="D1351" s="44" t="s">
        <v>4477</v>
      </c>
      <c r="E1351" s="49" t="s">
        <v>850</v>
      </c>
      <c r="F1351" s="44" t="s">
        <v>1057</v>
      </c>
      <c r="G1351" s="44">
        <v>75.0</v>
      </c>
      <c r="H1351" s="47" t="s">
        <v>970</v>
      </c>
      <c r="I1351" s="47" t="s">
        <v>850</v>
      </c>
      <c r="J1351" s="44">
        <v>11.040311555184</v>
      </c>
      <c r="K1351" s="48">
        <v>106.45380646463</v>
      </c>
    </row>
    <row r="1352" ht="22.5" customHeight="1">
      <c r="A1352" s="44" t="s">
        <v>4478</v>
      </c>
      <c r="B1352" s="44" t="s">
        <v>4479</v>
      </c>
      <c r="C1352" s="44" t="s">
        <v>4480</v>
      </c>
      <c r="D1352" s="44" t="s">
        <v>973</v>
      </c>
      <c r="E1352" s="49" t="s">
        <v>894</v>
      </c>
      <c r="F1352" s="44" t="s">
        <v>974</v>
      </c>
      <c r="G1352" s="44">
        <v>83.0</v>
      </c>
      <c r="H1352" s="47" t="s">
        <v>970</v>
      </c>
      <c r="I1352" s="47" t="s">
        <v>811</v>
      </c>
      <c r="J1352" s="44">
        <v>10.739197</v>
      </c>
      <c r="K1352" s="48">
        <v>106.69828</v>
      </c>
    </row>
    <row r="1353" ht="22.5" customHeight="1">
      <c r="A1353" s="44" t="s">
        <v>4481</v>
      </c>
      <c r="B1353" s="44" t="s">
        <v>4482</v>
      </c>
      <c r="C1353" s="44" t="s">
        <v>4483</v>
      </c>
      <c r="D1353" s="44" t="s">
        <v>1532</v>
      </c>
      <c r="E1353" s="49" t="s">
        <v>893</v>
      </c>
      <c r="F1353" s="44" t="s">
        <v>1088</v>
      </c>
      <c r="G1353" s="44">
        <v>60.0</v>
      </c>
      <c r="H1353" s="47" t="s">
        <v>970</v>
      </c>
      <c r="I1353" s="47" t="s">
        <v>814</v>
      </c>
      <c r="J1353" s="44">
        <v>10.798349</v>
      </c>
      <c r="K1353" s="48">
        <v>106.666001</v>
      </c>
    </row>
    <row r="1354" ht="22.5" customHeight="1">
      <c r="A1354" s="44" t="s">
        <v>4484</v>
      </c>
      <c r="B1354" s="44" t="s">
        <v>4485</v>
      </c>
      <c r="C1354" s="44" t="s">
        <v>4486</v>
      </c>
      <c r="D1354" s="44" t="s">
        <v>1345</v>
      </c>
      <c r="E1354" s="49" t="s">
        <v>910</v>
      </c>
      <c r="F1354" s="44" t="s">
        <v>987</v>
      </c>
      <c r="G1354" s="44">
        <v>30.0</v>
      </c>
      <c r="H1354" s="47" t="s">
        <v>970</v>
      </c>
      <c r="I1354" s="47" t="s">
        <v>822</v>
      </c>
      <c r="J1354" s="44">
        <v>10.758905520463</v>
      </c>
      <c r="K1354" s="48">
        <v>106.6613279515</v>
      </c>
    </row>
    <row r="1355" ht="22.5" customHeight="1">
      <c r="A1355" s="44" t="s">
        <v>4487</v>
      </c>
      <c r="B1355" s="44" t="s">
        <v>4488</v>
      </c>
      <c r="C1355" s="44" t="s">
        <v>4489</v>
      </c>
      <c r="D1355" s="44" t="s">
        <v>986</v>
      </c>
      <c r="E1355" s="49" t="s">
        <v>910</v>
      </c>
      <c r="F1355" s="44" t="s">
        <v>987</v>
      </c>
      <c r="G1355" s="44">
        <v>60.0</v>
      </c>
      <c r="H1355" s="47" t="s">
        <v>970</v>
      </c>
      <c r="I1355" s="47" t="s">
        <v>822</v>
      </c>
      <c r="J1355" s="44">
        <v>10.762481</v>
      </c>
      <c r="K1355" s="48">
        <v>106.664979</v>
      </c>
    </row>
    <row r="1356" ht="22.5" customHeight="1">
      <c r="A1356" s="44" t="s">
        <v>4490</v>
      </c>
      <c r="B1356" s="44" t="s">
        <v>4491</v>
      </c>
      <c r="C1356" s="44" t="s">
        <v>4492</v>
      </c>
      <c r="D1356" s="44" t="s">
        <v>1268</v>
      </c>
      <c r="E1356" s="49" t="s">
        <v>910</v>
      </c>
      <c r="F1356" s="44" t="s">
        <v>987</v>
      </c>
      <c r="G1356" s="44">
        <v>69.0</v>
      </c>
      <c r="H1356" s="47" t="s">
        <v>970</v>
      </c>
      <c r="I1356" s="47" t="s">
        <v>826</v>
      </c>
      <c r="J1356" s="44">
        <v>10.777282</v>
      </c>
      <c r="K1356" s="48">
        <v>106.682258</v>
      </c>
    </row>
    <row r="1357" ht="22.5" customHeight="1">
      <c r="A1357" s="44" t="s">
        <v>4493</v>
      </c>
      <c r="B1357" s="44" t="s">
        <v>4494</v>
      </c>
      <c r="C1357" s="44" t="s">
        <v>4495</v>
      </c>
      <c r="D1357" s="44" t="s">
        <v>1528</v>
      </c>
      <c r="E1357" s="49" t="s">
        <v>910</v>
      </c>
      <c r="F1357" s="44" t="s">
        <v>987</v>
      </c>
      <c r="G1357" s="44">
        <v>69.0</v>
      </c>
      <c r="H1357" s="47" t="s">
        <v>970</v>
      </c>
      <c r="I1357" s="47" t="s">
        <v>826</v>
      </c>
      <c r="J1357" s="44">
        <v>10.771379</v>
      </c>
      <c r="K1357" s="48">
        <v>106.680363</v>
      </c>
    </row>
    <row r="1358" ht="22.5" customHeight="1">
      <c r="A1358" s="44" t="s">
        <v>4496</v>
      </c>
      <c r="B1358" s="44" t="s">
        <v>4497</v>
      </c>
      <c r="C1358" s="44" t="s">
        <v>3818</v>
      </c>
      <c r="D1358" s="44" t="s">
        <v>1359</v>
      </c>
      <c r="E1358" s="49" t="s">
        <v>813</v>
      </c>
      <c r="F1358" s="44" t="s">
        <v>1015</v>
      </c>
      <c r="G1358" s="44">
        <v>76.0</v>
      </c>
      <c r="H1358" s="47" t="s">
        <v>970</v>
      </c>
      <c r="I1358" s="47" t="s">
        <v>822</v>
      </c>
      <c r="J1358" s="44">
        <v>10.757837</v>
      </c>
      <c r="K1358" s="48">
        <v>106.659521</v>
      </c>
    </row>
    <row r="1359" ht="22.5" customHeight="1">
      <c r="A1359" s="44" t="s">
        <v>4498</v>
      </c>
      <c r="B1359" s="44" t="s">
        <v>4499</v>
      </c>
      <c r="C1359" s="44" t="s">
        <v>4500</v>
      </c>
      <c r="D1359" s="44" t="s">
        <v>1359</v>
      </c>
      <c r="E1359" s="49" t="s">
        <v>813</v>
      </c>
      <c r="F1359" s="44" t="s">
        <v>1015</v>
      </c>
      <c r="G1359" s="44">
        <v>76.0</v>
      </c>
      <c r="H1359" s="47" t="s">
        <v>970</v>
      </c>
      <c r="I1359" s="47" t="s">
        <v>813</v>
      </c>
      <c r="J1359" s="44">
        <v>10.751186</v>
      </c>
      <c r="K1359" s="48">
        <v>106.664696</v>
      </c>
    </row>
    <row r="1360" ht="22.5" customHeight="1">
      <c r="A1360" s="44" t="s">
        <v>4501</v>
      </c>
      <c r="B1360" s="44" t="s">
        <v>4502</v>
      </c>
      <c r="C1360" s="44" t="s">
        <v>4503</v>
      </c>
      <c r="D1360" s="44" t="s">
        <v>1929</v>
      </c>
      <c r="E1360" s="49" t="s">
        <v>893</v>
      </c>
      <c r="F1360" s="44" t="s">
        <v>1088</v>
      </c>
      <c r="G1360" s="44">
        <v>60.0</v>
      </c>
      <c r="H1360" s="47" t="s">
        <v>970</v>
      </c>
      <c r="I1360" s="47" t="s">
        <v>824</v>
      </c>
      <c r="J1360" s="44">
        <v>10.785038</v>
      </c>
      <c r="K1360" s="48">
        <v>106.654246</v>
      </c>
    </row>
    <row r="1361" ht="22.5" customHeight="1">
      <c r="A1361" s="44" t="s">
        <v>4504</v>
      </c>
      <c r="B1361" s="44" t="s">
        <v>4505</v>
      </c>
      <c r="C1361" s="44" t="s">
        <v>4506</v>
      </c>
      <c r="D1361" s="44" t="s">
        <v>969</v>
      </c>
      <c r="E1361" s="49" t="s">
        <v>893</v>
      </c>
      <c r="F1361" s="44" t="s">
        <v>1088</v>
      </c>
      <c r="G1361" s="44">
        <v>60.0</v>
      </c>
      <c r="H1361" s="47" t="s">
        <v>970</v>
      </c>
      <c r="I1361" s="47" t="s">
        <v>893</v>
      </c>
      <c r="J1361" s="44">
        <v>10.796888</v>
      </c>
      <c r="K1361" s="48">
        <v>106.640922</v>
      </c>
    </row>
    <row r="1362" ht="22.5" customHeight="1">
      <c r="A1362" s="44" t="s">
        <v>100</v>
      </c>
      <c r="B1362" s="44" t="s">
        <v>4507</v>
      </c>
      <c r="C1362" s="44" t="s">
        <v>4508</v>
      </c>
      <c r="D1362" s="44" t="s">
        <v>1104</v>
      </c>
      <c r="E1362" s="49" t="s">
        <v>893</v>
      </c>
      <c r="F1362" s="44" t="s">
        <v>1088</v>
      </c>
      <c r="G1362" s="44">
        <v>60.0</v>
      </c>
      <c r="H1362" s="47" t="s">
        <v>970</v>
      </c>
      <c r="I1362" s="47" t="s">
        <v>808</v>
      </c>
      <c r="J1362" s="44">
        <v>10.763755</v>
      </c>
      <c r="K1362" s="48">
        <v>106.623958</v>
      </c>
    </row>
    <row r="1363" ht="22.5" customHeight="1">
      <c r="A1363" s="44" t="s">
        <v>4509</v>
      </c>
      <c r="B1363" s="44" t="s">
        <v>4510</v>
      </c>
      <c r="C1363" s="44" t="s">
        <v>4511</v>
      </c>
      <c r="D1363" s="44" t="s">
        <v>1506</v>
      </c>
      <c r="E1363" s="49" t="s">
        <v>897</v>
      </c>
      <c r="F1363" s="44" t="s">
        <v>1027</v>
      </c>
      <c r="G1363" s="44">
        <v>75.0</v>
      </c>
      <c r="H1363" s="47" t="s">
        <v>970</v>
      </c>
      <c r="I1363" s="47" t="s">
        <v>897</v>
      </c>
      <c r="J1363" s="44">
        <v>10.857411</v>
      </c>
      <c r="K1363" s="48">
        <v>106.6258</v>
      </c>
    </row>
    <row r="1364" ht="22.5" customHeight="1">
      <c r="A1364" s="44" t="s">
        <v>268</v>
      </c>
      <c r="B1364" s="44" t="s">
        <v>4512</v>
      </c>
      <c r="C1364" s="44" t="s">
        <v>4513</v>
      </c>
      <c r="D1364" s="44" t="s">
        <v>1180</v>
      </c>
      <c r="E1364" s="49" t="s">
        <v>892</v>
      </c>
      <c r="F1364" s="44" t="s">
        <v>1108</v>
      </c>
      <c r="G1364" s="44">
        <v>45.0</v>
      </c>
      <c r="H1364" s="47" t="s">
        <v>970</v>
      </c>
      <c r="I1364" s="47" t="s">
        <v>892</v>
      </c>
      <c r="J1364" s="44">
        <v>10.996048237172</v>
      </c>
      <c r="K1364" s="48">
        <v>106.65611217903</v>
      </c>
    </row>
    <row r="1365" ht="22.5" customHeight="1">
      <c r="A1365" s="44" t="s">
        <v>731</v>
      </c>
      <c r="B1365" s="44" t="s">
        <v>4514</v>
      </c>
      <c r="C1365" s="44" t="s">
        <v>4515</v>
      </c>
      <c r="D1365" s="44" t="s">
        <v>1139</v>
      </c>
      <c r="E1365" s="49" t="s">
        <v>894</v>
      </c>
      <c r="F1365" s="44" t="s">
        <v>974</v>
      </c>
      <c r="G1365" s="44">
        <v>75.0</v>
      </c>
      <c r="H1365" s="47" t="s">
        <v>970</v>
      </c>
      <c r="I1365" s="47" t="s">
        <v>894</v>
      </c>
      <c r="J1365" s="44">
        <v>10.717023</v>
      </c>
      <c r="K1365" s="48">
        <v>106.69952</v>
      </c>
    </row>
    <row r="1366" ht="22.5" customHeight="1">
      <c r="A1366" s="44" t="s">
        <v>269</v>
      </c>
      <c r="B1366" s="44" t="s">
        <v>4516</v>
      </c>
      <c r="C1366" s="44" t="s">
        <v>4517</v>
      </c>
      <c r="D1366" s="44" t="s">
        <v>1180</v>
      </c>
      <c r="E1366" s="49" t="s">
        <v>892</v>
      </c>
      <c r="F1366" s="44" t="s">
        <v>1108</v>
      </c>
      <c r="G1366" s="44">
        <v>60.0</v>
      </c>
      <c r="H1366" s="47" t="s">
        <v>970</v>
      </c>
      <c r="I1366" s="47" t="s">
        <v>892</v>
      </c>
      <c r="J1366" s="44">
        <v>11.003072</v>
      </c>
      <c r="K1366" s="48">
        <v>106.66488</v>
      </c>
    </row>
    <row r="1367" ht="22.5" customHeight="1">
      <c r="A1367" s="44" t="s">
        <v>773</v>
      </c>
      <c r="B1367" s="44" t="s">
        <v>4518</v>
      </c>
      <c r="C1367" s="44" t="s">
        <v>4519</v>
      </c>
      <c r="D1367" s="44" t="s">
        <v>977</v>
      </c>
      <c r="E1367" s="49" t="s">
        <v>910</v>
      </c>
      <c r="F1367" s="44" t="s">
        <v>987</v>
      </c>
      <c r="G1367" s="44">
        <v>39.0</v>
      </c>
      <c r="H1367" s="47" t="s">
        <v>970</v>
      </c>
      <c r="I1367" s="47" t="s">
        <v>910</v>
      </c>
      <c r="J1367" s="44">
        <v>10.78318760371</v>
      </c>
      <c r="K1367" s="48">
        <v>106.67170845874</v>
      </c>
    </row>
    <row r="1368" ht="22.5" customHeight="1">
      <c r="A1368" s="44" t="s">
        <v>4520</v>
      </c>
      <c r="B1368" s="44" t="s">
        <v>4521</v>
      </c>
      <c r="C1368" s="44" t="s">
        <v>1205</v>
      </c>
      <c r="D1368" s="44" t="s">
        <v>1116</v>
      </c>
      <c r="E1368" s="49" t="s">
        <v>885</v>
      </c>
      <c r="F1368" s="44" t="s">
        <v>1117</v>
      </c>
      <c r="G1368" s="44">
        <v>30.0</v>
      </c>
      <c r="H1368" s="47" t="s">
        <v>970</v>
      </c>
      <c r="I1368" s="47" t="s">
        <v>885</v>
      </c>
      <c r="J1368" s="44">
        <v>10.741667</v>
      </c>
      <c r="K1368" s="48">
        <v>106.676389</v>
      </c>
    </row>
    <row r="1369" ht="22.5" customHeight="1">
      <c r="A1369" s="44" t="s">
        <v>611</v>
      </c>
      <c r="B1369" s="44" t="s">
        <v>4522</v>
      </c>
      <c r="C1369" s="44" t="s">
        <v>4523</v>
      </c>
      <c r="D1369" s="44" t="s">
        <v>1219</v>
      </c>
      <c r="E1369" s="49" t="s">
        <v>868</v>
      </c>
      <c r="F1369" s="44" t="s">
        <v>1220</v>
      </c>
      <c r="G1369" s="44">
        <v>30.0</v>
      </c>
      <c r="H1369" s="47" t="s">
        <v>970</v>
      </c>
      <c r="I1369" s="47" t="s">
        <v>868</v>
      </c>
      <c r="J1369" s="44">
        <v>10.355648</v>
      </c>
      <c r="K1369" s="48">
        <v>106.366096</v>
      </c>
    </row>
    <row r="1370" ht="22.5" customHeight="1">
      <c r="A1370" s="44" t="s">
        <v>270</v>
      </c>
      <c r="B1370" s="44" t="s">
        <v>4524</v>
      </c>
      <c r="C1370" s="44" t="s">
        <v>4525</v>
      </c>
      <c r="D1370" s="44" t="s">
        <v>1180</v>
      </c>
      <c r="E1370" s="49" t="s">
        <v>892</v>
      </c>
      <c r="F1370" s="44" t="s">
        <v>1108</v>
      </c>
      <c r="G1370" s="44">
        <v>60.0</v>
      </c>
      <c r="H1370" s="47" t="s">
        <v>970</v>
      </c>
      <c r="I1370" s="47" t="s">
        <v>892</v>
      </c>
      <c r="J1370" s="44">
        <v>10.987019</v>
      </c>
      <c r="K1370" s="48">
        <v>106.687877</v>
      </c>
    </row>
    <row r="1371" ht="22.5" customHeight="1">
      <c r="A1371" s="44" t="s">
        <v>4526</v>
      </c>
      <c r="B1371" s="44" t="s">
        <v>4527</v>
      </c>
      <c r="C1371" s="44" t="s">
        <v>4528</v>
      </c>
      <c r="D1371" s="44" t="s">
        <v>1303</v>
      </c>
      <c r="E1371" s="49" t="s">
        <v>789</v>
      </c>
      <c r="F1371" s="44" t="s">
        <v>1168</v>
      </c>
      <c r="G1371" s="44">
        <v>30.0</v>
      </c>
      <c r="H1371" s="47" t="s">
        <v>970</v>
      </c>
      <c r="I1371" s="47" t="s">
        <v>789</v>
      </c>
      <c r="J1371" s="44">
        <v>10.691846</v>
      </c>
      <c r="K1371" s="48">
        <v>106.575279</v>
      </c>
    </row>
    <row r="1372" ht="22.5" customHeight="1">
      <c r="A1372" s="44" t="s">
        <v>4529</v>
      </c>
      <c r="B1372" s="44" t="s">
        <v>4530</v>
      </c>
      <c r="C1372" s="44" t="s">
        <v>4531</v>
      </c>
      <c r="D1372" s="44" t="s">
        <v>1021</v>
      </c>
      <c r="E1372" s="49" t="s">
        <v>809</v>
      </c>
      <c r="F1372" s="44" t="s">
        <v>1022</v>
      </c>
      <c r="G1372" s="44">
        <v>68.0</v>
      </c>
      <c r="H1372" s="47" t="s">
        <v>970</v>
      </c>
      <c r="I1372" s="47" t="s">
        <v>809</v>
      </c>
      <c r="J1372" s="44">
        <v>10.8333</v>
      </c>
      <c r="K1372" s="48">
        <v>106.67134</v>
      </c>
    </row>
    <row r="1373" ht="22.5" customHeight="1">
      <c r="A1373" s="44" t="s">
        <v>4532</v>
      </c>
      <c r="B1373" s="44" t="s">
        <v>4533</v>
      </c>
      <c r="C1373" s="44" t="s">
        <v>4534</v>
      </c>
      <c r="D1373" s="44" t="s">
        <v>1546</v>
      </c>
      <c r="E1373" s="49" t="s">
        <v>797</v>
      </c>
      <c r="F1373" s="44" t="s">
        <v>1409</v>
      </c>
      <c r="G1373" s="44">
        <v>60.0</v>
      </c>
      <c r="H1373" s="47" t="s">
        <v>970</v>
      </c>
      <c r="I1373" s="47" t="s">
        <v>797</v>
      </c>
      <c r="J1373" s="44">
        <v>10.878588019918</v>
      </c>
      <c r="K1373" s="48">
        <v>106.59936814782</v>
      </c>
    </row>
    <row r="1374" ht="22.5" customHeight="1">
      <c r="A1374" s="44" t="s">
        <v>34</v>
      </c>
      <c r="B1374" s="44" t="s">
        <v>4535</v>
      </c>
      <c r="C1374" s="44" t="s">
        <v>4536</v>
      </c>
      <c r="D1374" s="44" t="s">
        <v>1883</v>
      </c>
      <c r="E1374" s="49" t="s">
        <v>883</v>
      </c>
      <c r="F1374" s="44" t="s">
        <v>1471</v>
      </c>
      <c r="G1374" s="44">
        <v>85.0</v>
      </c>
      <c r="H1374" s="47" t="s">
        <v>970</v>
      </c>
      <c r="I1374" s="47" t="s">
        <v>890</v>
      </c>
      <c r="J1374" s="44">
        <v>10.908462</v>
      </c>
      <c r="K1374" s="48">
        <v>106.740349</v>
      </c>
    </row>
    <row r="1375" ht="22.5" customHeight="1">
      <c r="A1375" s="44" t="s">
        <v>101</v>
      </c>
      <c r="B1375" s="44" t="s">
        <v>4537</v>
      </c>
      <c r="C1375" s="44" t="s">
        <v>4538</v>
      </c>
      <c r="D1375" s="44" t="s">
        <v>1154</v>
      </c>
      <c r="E1375" s="49" t="s">
        <v>893</v>
      </c>
      <c r="F1375" s="44" t="s">
        <v>1088</v>
      </c>
      <c r="G1375" s="44">
        <v>60.0</v>
      </c>
      <c r="H1375" s="47" t="s">
        <v>970</v>
      </c>
      <c r="I1375" s="47" t="s">
        <v>820</v>
      </c>
      <c r="J1375" s="44">
        <v>10.787827</v>
      </c>
      <c r="K1375" s="48">
        <v>106.617553</v>
      </c>
    </row>
    <row r="1376" ht="22.5" customHeight="1">
      <c r="A1376" s="44" t="s">
        <v>766</v>
      </c>
      <c r="B1376" s="44" t="s">
        <v>4539</v>
      </c>
      <c r="C1376" s="44" t="s">
        <v>4540</v>
      </c>
      <c r="D1376" s="44" t="s">
        <v>4541</v>
      </c>
      <c r="E1376" s="49" t="s">
        <v>660</v>
      </c>
      <c r="F1376" s="44" t="s">
        <v>1638</v>
      </c>
      <c r="G1376" s="44">
        <v>60.0</v>
      </c>
      <c r="H1376" s="47" t="s">
        <v>970</v>
      </c>
      <c r="I1376" s="47" t="s">
        <v>870</v>
      </c>
      <c r="J1376" s="44">
        <v>10.051895332162</v>
      </c>
      <c r="K1376" s="48">
        <v>105.77408248511</v>
      </c>
    </row>
    <row r="1377" ht="22.5" customHeight="1">
      <c r="A1377" s="44" t="s">
        <v>4542</v>
      </c>
      <c r="B1377" s="44" t="s">
        <v>4543</v>
      </c>
      <c r="C1377" s="44" t="s">
        <v>4544</v>
      </c>
      <c r="D1377" s="44" t="s">
        <v>1306</v>
      </c>
      <c r="E1377" s="49" t="s">
        <v>892</v>
      </c>
      <c r="F1377" s="44" t="s">
        <v>1108</v>
      </c>
      <c r="G1377" s="44">
        <v>100.0</v>
      </c>
      <c r="H1377" s="47" t="s">
        <v>970</v>
      </c>
      <c r="I1377" s="47" t="s">
        <v>892</v>
      </c>
      <c r="J1377" s="44">
        <v>11.145336916057</v>
      </c>
      <c r="K1377" s="48">
        <v>106.60004611702</v>
      </c>
    </row>
    <row r="1378" ht="22.5" customHeight="1">
      <c r="A1378" s="44" t="s">
        <v>271</v>
      </c>
      <c r="B1378" s="44" t="s">
        <v>4545</v>
      </c>
      <c r="C1378" s="44" t="s">
        <v>4061</v>
      </c>
      <c r="D1378" s="44" t="s">
        <v>1107</v>
      </c>
      <c r="E1378" s="49" t="s">
        <v>892</v>
      </c>
      <c r="F1378" s="44" t="s">
        <v>1108</v>
      </c>
      <c r="G1378" s="44">
        <v>60.0</v>
      </c>
      <c r="H1378" s="47" t="s">
        <v>970</v>
      </c>
      <c r="I1378" s="47" t="s">
        <v>892</v>
      </c>
      <c r="J1378" s="44">
        <v>10.987081</v>
      </c>
      <c r="K1378" s="48">
        <v>106.664383</v>
      </c>
    </row>
    <row r="1379" ht="22.5" customHeight="1">
      <c r="A1379" s="44" t="s">
        <v>272</v>
      </c>
      <c r="B1379" s="44" t="s">
        <v>4546</v>
      </c>
      <c r="C1379" s="44" t="s">
        <v>4547</v>
      </c>
      <c r="D1379" s="44" t="s">
        <v>1180</v>
      </c>
      <c r="E1379" s="49" t="s">
        <v>892</v>
      </c>
      <c r="F1379" s="44" t="s">
        <v>1108</v>
      </c>
      <c r="G1379" s="44">
        <v>60.0</v>
      </c>
      <c r="H1379" s="47" t="s">
        <v>970</v>
      </c>
      <c r="I1379" s="47" t="s">
        <v>892</v>
      </c>
      <c r="J1379" s="44">
        <v>10.996742</v>
      </c>
      <c r="K1379" s="48">
        <v>106.65639</v>
      </c>
    </row>
    <row r="1380" ht="22.5" customHeight="1">
      <c r="A1380" s="44" t="s">
        <v>4548</v>
      </c>
      <c r="B1380" s="44" t="s">
        <v>4549</v>
      </c>
      <c r="C1380" s="44" t="s">
        <v>4550</v>
      </c>
      <c r="D1380" s="44" t="s">
        <v>2374</v>
      </c>
      <c r="E1380" s="49" t="s">
        <v>809</v>
      </c>
      <c r="F1380" s="44" t="s">
        <v>1022</v>
      </c>
      <c r="G1380" s="44">
        <v>38.0</v>
      </c>
      <c r="H1380" s="47" t="s">
        <v>970</v>
      </c>
      <c r="I1380" s="47" t="s">
        <v>809</v>
      </c>
      <c r="J1380" s="44">
        <v>10.843687</v>
      </c>
      <c r="K1380" s="48">
        <v>106.666788</v>
      </c>
    </row>
    <row r="1381" ht="22.5" customHeight="1">
      <c r="A1381" s="44" t="s">
        <v>4551</v>
      </c>
      <c r="B1381" s="44" t="s">
        <v>4552</v>
      </c>
      <c r="C1381" s="44" t="s">
        <v>4553</v>
      </c>
      <c r="D1381" s="44" t="s">
        <v>973</v>
      </c>
      <c r="E1381" s="49" t="s">
        <v>894</v>
      </c>
      <c r="F1381" s="44" t="s">
        <v>974</v>
      </c>
      <c r="G1381" s="44">
        <v>68.0</v>
      </c>
      <c r="H1381" s="47" t="s">
        <v>970</v>
      </c>
      <c r="I1381" s="47" t="s">
        <v>811</v>
      </c>
      <c r="J1381" s="44">
        <v>10.739653</v>
      </c>
      <c r="K1381" s="48">
        <v>106.697016</v>
      </c>
    </row>
    <row r="1382" ht="22.5" customHeight="1">
      <c r="A1382" s="44" t="s">
        <v>628</v>
      </c>
      <c r="B1382" s="44" t="s">
        <v>4554</v>
      </c>
      <c r="C1382" s="44" t="s">
        <v>4555</v>
      </c>
      <c r="D1382" s="44" t="s">
        <v>1811</v>
      </c>
      <c r="E1382" s="49" t="s">
        <v>889</v>
      </c>
      <c r="F1382" s="44" t="s">
        <v>1043</v>
      </c>
      <c r="G1382" s="44">
        <v>60.0</v>
      </c>
      <c r="H1382" s="47" t="s">
        <v>970</v>
      </c>
      <c r="I1382" s="47" t="s">
        <v>889</v>
      </c>
      <c r="J1382" s="44">
        <v>10.813216</v>
      </c>
      <c r="K1382" s="48">
        <v>106.687428</v>
      </c>
    </row>
    <row r="1383" ht="22.5" customHeight="1">
      <c r="A1383" s="44" t="s">
        <v>4556</v>
      </c>
      <c r="B1383" s="44" t="s">
        <v>4557</v>
      </c>
      <c r="C1383" s="44" t="s">
        <v>4558</v>
      </c>
      <c r="D1383" s="44" t="s">
        <v>1135</v>
      </c>
      <c r="E1383" s="49" t="s">
        <v>888</v>
      </c>
      <c r="F1383" s="44" t="s">
        <v>1136</v>
      </c>
      <c r="G1383" s="44">
        <v>60.0</v>
      </c>
      <c r="H1383" s="47" t="s">
        <v>970</v>
      </c>
      <c r="I1383" s="47" t="s">
        <v>888</v>
      </c>
      <c r="J1383" s="44">
        <v>10.780876</v>
      </c>
      <c r="K1383" s="48">
        <v>106.704078</v>
      </c>
    </row>
    <row r="1384" ht="22.5" customHeight="1">
      <c r="A1384" s="44" t="s">
        <v>4559</v>
      </c>
      <c r="B1384" s="44" t="s">
        <v>4560</v>
      </c>
      <c r="C1384" s="44" t="s">
        <v>4561</v>
      </c>
      <c r="D1384" s="44" t="s">
        <v>1925</v>
      </c>
      <c r="E1384" s="49" t="s">
        <v>885</v>
      </c>
      <c r="F1384" s="44" t="s">
        <v>1117</v>
      </c>
      <c r="G1384" s="44">
        <v>60.0</v>
      </c>
      <c r="H1384" s="47" t="s">
        <v>970</v>
      </c>
      <c r="I1384" s="47" t="s">
        <v>885</v>
      </c>
      <c r="J1384" s="44">
        <v>10.734279</v>
      </c>
      <c r="K1384" s="48">
        <v>106.658089</v>
      </c>
    </row>
    <row r="1385" ht="22.5" customHeight="1">
      <c r="A1385" s="44" t="s">
        <v>4562</v>
      </c>
      <c r="B1385" s="44" t="s">
        <v>4563</v>
      </c>
      <c r="C1385" s="44" t="s">
        <v>4564</v>
      </c>
      <c r="D1385" s="44" t="s">
        <v>4541</v>
      </c>
      <c r="E1385" s="49"/>
      <c r="F1385" s="44" t="s">
        <v>1098</v>
      </c>
      <c r="G1385" s="44"/>
      <c r="H1385" s="47" t="s">
        <v>970</v>
      </c>
      <c r="I1385" s="47" t="s">
        <v>870</v>
      </c>
      <c r="J1385" s="44">
        <v>10.044929</v>
      </c>
      <c r="K1385" s="48">
        <v>105.766408</v>
      </c>
    </row>
    <row r="1386" ht="22.5" customHeight="1">
      <c r="A1386" s="44" t="s">
        <v>4565</v>
      </c>
      <c r="B1386" s="44" t="s">
        <v>4566</v>
      </c>
      <c r="C1386" s="44" t="s">
        <v>4567</v>
      </c>
      <c r="D1386" s="44" t="s">
        <v>1120</v>
      </c>
      <c r="E1386" s="49" t="s">
        <v>895</v>
      </c>
      <c r="F1386" s="44" t="s">
        <v>1121</v>
      </c>
      <c r="G1386" s="44">
        <v>72.0</v>
      </c>
      <c r="H1386" s="47" t="s">
        <v>970</v>
      </c>
      <c r="I1386" s="47" t="s">
        <v>895</v>
      </c>
      <c r="J1386" s="44">
        <v>10.846004143383</v>
      </c>
      <c r="K1386" s="48">
        <v>106.77847326692</v>
      </c>
    </row>
    <row r="1387" ht="22.5" customHeight="1">
      <c r="A1387" s="44" t="s">
        <v>4568</v>
      </c>
      <c r="B1387" s="44" t="s">
        <v>4569</v>
      </c>
      <c r="C1387" s="44" t="s">
        <v>4237</v>
      </c>
      <c r="D1387" s="44" t="s">
        <v>1268</v>
      </c>
      <c r="E1387" s="49" t="s">
        <v>888</v>
      </c>
      <c r="F1387" s="44" t="s">
        <v>1136</v>
      </c>
      <c r="G1387" s="44">
        <v>69.0</v>
      </c>
      <c r="H1387" s="47" t="s">
        <v>970</v>
      </c>
      <c r="I1387" s="47" t="s">
        <v>902</v>
      </c>
      <c r="J1387" s="44">
        <v>10.784746</v>
      </c>
      <c r="K1387" s="48">
        <v>106.683987</v>
      </c>
    </row>
    <row r="1388" ht="22.5" customHeight="1">
      <c r="A1388" s="44" t="s">
        <v>4570</v>
      </c>
      <c r="B1388" s="44" t="s">
        <v>4571</v>
      </c>
      <c r="C1388" s="44" t="s">
        <v>4572</v>
      </c>
      <c r="D1388" s="44" t="s">
        <v>990</v>
      </c>
      <c r="E1388" s="49" t="s">
        <v>894</v>
      </c>
      <c r="F1388" s="44" t="s">
        <v>974</v>
      </c>
      <c r="G1388" s="44">
        <v>68.0</v>
      </c>
      <c r="H1388" s="47" t="s">
        <v>970</v>
      </c>
      <c r="I1388" s="47" t="s">
        <v>894</v>
      </c>
      <c r="J1388" s="44">
        <v>10.736646</v>
      </c>
      <c r="K1388" s="48">
        <v>106.717338</v>
      </c>
    </row>
    <row r="1389" ht="22.5" customHeight="1">
      <c r="A1389" s="44" t="s">
        <v>4573</v>
      </c>
      <c r="B1389" s="44" t="s">
        <v>4574</v>
      </c>
      <c r="C1389" s="44" t="s">
        <v>4575</v>
      </c>
      <c r="D1389" s="44" t="s">
        <v>1132</v>
      </c>
      <c r="E1389" s="49" t="s">
        <v>897</v>
      </c>
      <c r="F1389" s="44" t="s">
        <v>1027</v>
      </c>
      <c r="G1389" s="44">
        <v>75.0</v>
      </c>
      <c r="H1389" s="47" t="s">
        <v>970</v>
      </c>
      <c r="I1389" s="47" t="s">
        <v>797</v>
      </c>
      <c r="J1389" s="44">
        <v>10.884129</v>
      </c>
      <c r="K1389" s="48">
        <v>106.628837</v>
      </c>
    </row>
    <row r="1390" ht="22.5" customHeight="1">
      <c r="A1390" s="44" t="s">
        <v>4576</v>
      </c>
      <c r="B1390" s="44" t="s">
        <v>4577</v>
      </c>
      <c r="C1390" s="44" t="s">
        <v>4578</v>
      </c>
      <c r="D1390" s="44" t="s">
        <v>1239</v>
      </c>
      <c r="E1390" s="49" t="s">
        <v>789</v>
      </c>
      <c r="F1390" s="44" t="s">
        <v>1168</v>
      </c>
      <c r="G1390" s="44">
        <v>69.0</v>
      </c>
      <c r="H1390" s="47" t="s">
        <v>970</v>
      </c>
      <c r="I1390" s="47" t="s">
        <v>820</v>
      </c>
      <c r="J1390" s="44">
        <v>10.758541</v>
      </c>
      <c r="K1390" s="48">
        <v>106.578999</v>
      </c>
    </row>
    <row r="1391" ht="22.5" customHeight="1">
      <c r="A1391" s="44" t="s">
        <v>4579</v>
      </c>
      <c r="B1391" s="44" t="s">
        <v>4580</v>
      </c>
      <c r="C1391" s="44" t="s">
        <v>4581</v>
      </c>
      <c r="D1391" s="44" t="s">
        <v>1026</v>
      </c>
      <c r="E1391" s="49" t="s">
        <v>897</v>
      </c>
      <c r="F1391" s="44" t="s">
        <v>1027</v>
      </c>
      <c r="G1391" s="44">
        <v>68.0</v>
      </c>
      <c r="H1391" s="47" t="s">
        <v>970</v>
      </c>
      <c r="I1391" s="47" t="s">
        <v>897</v>
      </c>
      <c r="J1391" s="44">
        <v>10.847637</v>
      </c>
      <c r="K1391" s="48">
        <v>106.647109</v>
      </c>
    </row>
    <row r="1392" ht="22.5" customHeight="1">
      <c r="A1392" s="44" t="s">
        <v>643</v>
      </c>
      <c r="B1392" s="44" t="s">
        <v>4582</v>
      </c>
      <c r="C1392" s="44" t="s">
        <v>4583</v>
      </c>
      <c r="D1392" s="44" t="s">
        <v>1442</v>
      </c>
      <c r="E1392" s="49" t="s">
        <v>910</v>
      </c>
      <c r="F1392" s="44" t="s">
        <v>987</v>
      </c>
      <c r="G1392" s="44">
        <v>30.0</v>
      </c>
      <c r="H1392" s="47" t="s">
        <v>970</v>
      </c>
      <c r="I1392" s="47" t="s">
        <v>804</v>
      </c>
      <c r="J1392" s="44">
        <v>10.766678</v>
      </c>
      <c r="K1392" s="48">
        <v>106.68792</v>
      </c>
    </row>
    <row r="1393" ht="22.5" customHeight="1">
      <c r="A1393" s="44" t="s">
        <v>649</v>
      </c>
      <c r="B1393" s="44" t="s">
        <v>4584</v>
      </c>
      <c r="C1393" s="44" t="s">
        <v>4585</v>
      </c>
      <c r="D1393" s="44" t="s">
        <v>973</v>
      </c>
      <c r="E1393" s="49" t="s">
        <v>894</v>
      </c>
      <c r="F1393" s="44" t="s">
        <v>974</v>
      </c>
      <c r="G1393" s="44">
        <v>38.0</v>
      </c>
      <c r="H1393" s="47" t="s">
        <v>970</v>
      </c>
      <c r="I1393" s="47" t="s">
        <v>894</v>
      </c>
      <c r="J1393" s="44">
        <v>10.729572</v>
      </c>
      <c r="K1393" s="48">
        <v>106.708151</v>
      </c>
    </row>
    <row r="1394" ht="22.5" customHeight="1">
      <c r="A1394" s="44" t="s">
        <v>4586</v>
      </c>
      <c r="B1394" s="44" t="s">
        <v>4587</v>
      </c>
      <c r="C1394" s="44" t="s">
        <v>4588</v>
      </c>
      <c r="D1394" s="44" t="s">
        <v>1747</v>
      </c>
      <c r="E1394" s="49" t="s">
        <v>883</v>
      </c>
      <c r="F1394" s="44" t="s">
        <v>1471</v>
      </c>
      <c r="G1394" s="44">
        <v>85.0</v>
      </c>
      <c r="H1394" s="47" t="s">
        <v>970</v>
      </c>
      <c r="I1394" s="47" t="s">
        <v>883</v>
      </c>
      <c r="J1394" s="44">
        <v>10.942015090779</v>
      </c>
      <c r="K1394" s="48">
        <v>106.7226405966</v>
      </c>
    </row>
    <row r="1395" ht="22.5" customHeight="1">
      <c r="A1395" s="44" t="s">
        <v>4589</v>
      </c>
      <c r="B1395" s="44" t="s">
        <v>4590</v>
      </c>
      <c r="C1395" s="44" t="s">
        <v>4591</v>
      </c>
      <c r="D1395" s="44" t="s">
        <v>1474</v>
      </c>
      <c r="E1395" s="49" t="s">
        <v>897</v>
      </c>
      <c r="F1395" s="44" t="s">
        <v>1027</v>
      </c>
      <c r="G1395" s="44">
        <v>75.0</v>
      </c>
      <c r="H1395" s="47" t="s">
        <v>970</v>
      </c>
      <c r="I1395" s="47" t="s">
        <v>809</v>
      </c>
      <c r="J1395" s="44">
        <v>10.855259</v>
      </c>
      <c r="K1395" s="48">
        <v>106.675902</v>
      </c>
    </row>
    <row r="1396" ht="22.5" customHeight="1">
      <c r="A1396" s="44" t="s">
        <v>4592</v>
      </c>
      <c r="B1396" s="44" t="s">
        <v>4593</v>
      </c>
      <c r="C1396" s="44" t="s">
        <v>4594</v>
      </c>
      <c r="D1396" s="44" t="s">
        <v>1895</v>
      </c>
      <c r="E1396" s="49" t="s">
        <v>897</v>
      </c>
      <c r="F1396" s="44" t="s">
        <v>1027</v>
      </c>
      <c r="G1396" s="44">
        <v>53.0</v>
      </c>
      <c r="H1396" s="47" t="s">
        <v>970</v>
      </c>
      <c r="I1396" s="47" t="s">
        <v>897</v>
      </c>
      <c r="J1396" s="44">
        <v>10.844495</v>
      </c>
      <c r="K1396" s="48">
        <v>106.639617</v>
      </c>
    </row>
    <row r="1397" ht="22.5" customHeight="1">
      <c r="A1397" s="44" t="s">
        <v>4592</v>
      </c>
      <c r="B1397" s="44" t="s">
        <v>4595</v>
      </c>
      <c r="C1397" s="44" t="s">
        <v>4594</v>
      </c>
      <c r="D1397" s="44" t="s">
        <v>1895</v>
      </c>
      <c r="E1397" s="49" t="s">
        <v>897</v>
      </c>
      <c r="F1397" s="44" t="s">
        <v>1027</v>
      </c>
      <c r="G1397" s="44">
        <v>53.0</v>
      </c>
      <c r="H1397" s="47" t="s">
        <v>970</v>
      </c>
      <c r="I1397" s="47" t="s">
        <v>897</v>
      </c>
      <c r="J1397" s="44">
        <v>10.844495</v>
      </c>
      <c r="K1397" s="48">
        <v>106.639617</v>
      </c>
    </row>
    <row r="1398" ht="22.5" customHeight="1">
      <c r="A1398" s="44" t="s">
        <v>4596</v>
      </c>
      <c r="B1398" s="44" t="s">
        <v>4597</v>
      </c>
      <c r="C1398" s="44" t="s">
        <v>4598</v>
      </c>
      <c r="D1398" s="44" t="s">
        <v>1470</v>
      </c>
      <c r="E1398" s="49" t="s">
        <v>883</v>
      </c>
      <c r="F1398" s="44" t="s">
        <v>1471</v>
      </c>
      <c r="G1398" s="44">
        <v>70.0</v>
      </c>
      <c r="H1398" s="47" t="s">
        <v>970</v>
      </c>
      <c r="I1398" s="47" t="s">
        <v>883</v>
      </c>
      <c r="J1398" s="44">
        <v>10.926447898273</v>
      </c>
      <c r="K1398" s="48">
        <v>106.71210472566</v>
      </c>
    </row>
    <row r="1399" ht="22.5" customHeight="1">
      <c r="A1399" s="44" t="s">
        <v>4599</v>
      </c>
      <c r="B1399" s="44" t="s">
        <v>4600</v>
      </c>
      <c r="C1399" s="44" t="s">
        <v>3932</v>
      </c>
      <c r="D1399" s="44" t="s">
        <v>1026</v>
      </c>
      <c r="E1399" s="49" t="s">
        <v>897</v>
      </c>
      <c r="F1399" s="44" t="s">
        <v>1027</v>
      </c>
      <c r="G1399" s="44">
        <v>38.0</v>
      </c>
      <c r="H1399" s="47" t="s">
        <v>970</v>
      </c>
      <c r="I1399" s="47" t="s">
        <v>897</v>
      </c>
      <c r="J1399" s="44">
        <v>10.834649</v>
      </c>
      <c r="K1399" s="48">
        <v>106.66155</v>
      </c>
    </row>
    <row r="1400" ht="22.5" customHeight="1">
      <c r="A1400" s="44" t="s">
        <v>718</v>
      </c>
      <c r="B1400" s="44" t="s">
        <v>4601</v>
      </c>
      <c r="C1400" s="44" t="s">
        <v>4602</v>
      </c>
      <c r="D1400" s="44" t="s">
        <v>1747</v>
      </c>
      <c r="E1400" s="49" t="s">
        <v>883</v>
      </c>
      <c r="F1400" s="44" t="s">
        <v>1471</v>
      </c>
      <c r="G1400" s="44">
        <v>70.0</v>
      </c>
      <c r="H1400" s="47" t="s">
        <v>970</v>
      </c>
      <c r="I1400" s="47" t="s">
        <v>883</v>
      </c>
      <c r="J1400" s="44">
        <v>10.948377245807</v>
      </c>
      <c r="K1400" s="48">
        <v>106.72242236863</v>
      </c>
    </row>
    <row r="1401" ht="22.5" customHeight="1">
      <c r="A1401" s="44" t="s">
        <v>491</v>
      </c>
      <c r="B1401" s="44" t="s">
        <v>4603</v>
      </c>
      <c r="C1401" s="44" t="s">
        <v>4604</v>
      </c>
      <c r="D1401" s="44" t="s">
        <v>1120</v>
      </c>
      <c r="E1401" s="49" t="s">
        <v>895</v>
      </c>
      <c r="F1401" s="44" t="s">
        <v>1121</v>
      </c>
      <c r="G1401" s="44">
        <v>42.0</v>
      </c>
      <c r="H1401" s="47" t="s">
        <v>970</v>
      </c>
      <c r="I1401" s="47" t="s">
        <v>895</v>
      </c>
      <c r="J1401" s="44">
        <v>10.845452120252</v>
      </c>
      <c r="K1401" s="48">
        <v>106.78674434181</v>
      </c>
    </row>
    <row r="1402" ht="22.5" customHeight="1">
      <c r="A1402" s="44" t="s">
        <v>492</v>
      </c>
      <c r="B1402" s="44" t="s">
        <v>4605</v>
      </c>
      <c r="C1402" s="44" t="s">
        <v>4606</v>
      </c>
      <c r="D1402" s="44" t="s">
        <v>1939</v>
      </c>
      <c r="E1402" s="49" t="s">
        <v>510</v>
      </c>
      <c r="F1402" s="44" t="s">
        <v>983</v>
      </c>
      <c r="G1402" s="44">
        <v>66.0</v>
      </c>
      <c r="H1402" s="47" t="s">
        <v>970</v>
      </c>
      <c r="I1402" s="47" t="s">
        <v>890</v>
      </c>
      <c r="J1402" s="44">
        <v>10.878842</v>
      </c>
      <c r="K1402" s="48">
        <v>106.766663</v>
      </c>
    </row>
    <row r="1403" ht="22.5" customHeight="1">
      <c r="A1403" s="44" t="s">
        <v>102</v>
      </c>
      <c r="B1403" s="44" t="s">
        <v>4607</v>
      </c>
      <c r="C1403" s="44" t="s">
        <v>4608</v>
      </c>
      <c r="D1403" s="44" t="s">
        <v>1154</v>
      </c>
      <c r="E1403" s="49" t="s">
        <v>893</v>
      </c>
      <c r="F1403" s="44" t="s">
        <v>1088</v>
      </c>
      <c r="G1403" s="44">
        <v>60.0</v>
      </c>
      <c r="H1403" s="47" t="s">
        <v>970</v>
      </c>
      <c r="I1403" s="47" t="s">
        <v>893</v>
      </c>
      <c r="J1403" s="44">
        <v>10.791002155304</v>
      </c>
      <c r="K1403" s="48">
        <v>106.63342817124</v>
      </c>
    </row>
    <row r="1404" ht="22.5" customHeight="1">
      <c r="A1404" s="44" t="s">
        <v>4609</v>
      </c>
      <c r="B1404" s="44" t="s">
        <v>4610</v>
      </c>
      <c r="C1404" s="44" t="s">
        <v>4611</v>
      </c>
      <c r="D1404" s="44" t="s">
        <v>1832</v>
      </c>
      <c r="E1404" s="49" t="s">
        <v>884</v>
      </c>
      <c r="F1404" s="44" t="s">
        <v>1821</v>
      </c>
      <c r="G1404" s="44">
        <v>75.0</v>
      </c>
      <c r="H1404" s="47" t="s">
        <v>970</v>
      </c>
      <c r="I1404" s="47" t="s">
        <v>887</v>
      </c>
      <c r="J1404" s="44">
        <v>10.796207</v>
      </c>
      <c r="K1404" s="48">
        <v>106.721478</v>
      </c>
    </row>
    <row r="1405" ht="22.5" customHeight="1">
      <c r="A1405" s="44" t="s">
        <v>191</v>
      </c>
      <c r="B1405" s="44" t="s">
        <v>4612</v>
      </c>
      <c r="C1405" s="44" t="s">
        <v>4613</v>
      </c>
      <c r="D1405" s="44" t="s">
        <v>1084</v>
      </c>
      <c r="E1405" s="49" t="s">
        <v>887</v>
      </c>
      <c r="F1405" s="44" t="s">
        <v>1031</v>
      </c>
      <c r="G1405" s="44">
        <v>74.0</v>
      </c>
      <c r="H1405" s="47" t="s">
        <v>970</v>
      </c>
      <c r="I1405" s="47" t="s">
        <v>898</v>
      </c>
      <c r="J1405" s="44">
        <v>10.759786</v>
      </c>
      <c r="K1405" s="48">
        <v>106.787421</v>
      </c>
    </row>
    <row r="1406" ht="22.5" customHeight="1">
      <c r="A1406" s="44" t="s">
        <v>4614</v>
      </c>
      <c r="B1406" s="44" t="s">
        <v>4615</v>
      </c>
      <c r="C1406" s="44" t="s">
        <v>4616</v>
      </c>
      <c r="D1406" s="44" t="s">
        <v>1093</v>
      </c>
      <c r="E1406" s="49" t="s">
        <v>886</v>
      </c>
      <c r="F1406" s="44" t="s">
        <v>1202</v>
      </c>
      <c r="G1406" s="44">
        <v>68.0</v>
      </c>
      <c r="H1406" s="47" t="s">
        <v>970</v>
      </c>
      <c r="I1406" s="47" t="s">
        <v>886</v>
      </c>
      <c r="J1406" s="44">
        <v>10.820027</v>
      </c>
      <c r="K1406" s="48">
        <v>106.680002</v>
      </c>
    </row>
    <row r="1407" ht="22.5" customHeight="1">
      <c r="A1407" s="44" t="s">
        <v>4617</v>
      </c>
      <c r="B1407" s="44" t="s">
        <v>4618</v>
      </c>
      <c r="C1407" s="44" t="s">
        <v>4619</v>
      </c>
      <c r="D1407" s="44" t="s">
        <v>1532</v>
      </c>
      <c r="E1407" s="49" t="s">
        <v>814</v>
      </c>
      <c r="F1407" s="44" t="s">
        <v>1369</v>
      </c>
      <c r="G1407" s="44">
        <v>60.0</v>
      </c>
      <c r="H1407" s="47" t="s">
        <v>970</v>
      </c>
      <c r="I1407" s="47" t="s">
        <v>814</v>
      </c>
      <c r="J1407" s="44">
        <v>10.798921</v>
      </c>
      <c r="K1407" s="48">
        <v>106.661</v>
      </c>
    </row>
    <row r="1408" ht="22.5" customHeight="1">
      <c r="A1408" s="44" t="s">
        <v>4620</v>
      </c>
      <c r="B1408" s="44" t="s">
        <v>4621</v>
      </c>
      <c r="C1408" s="44" t="s">
        <v>4622</v>
      </c>
      <c r="D1408" s="44" t="s">
        <v>1939</v>
      </c>
      <c r="E1408" s="49" t="s">
        <v>510</v>
      </c>
      <c r="F1408" s="44" t="s">
        <v>983</v>
      </c>
      <c r="G1408" s="44">
        <v>66.0</v>
      </c>
      <c r="H1408" s="47" t="s">
        <v>970</v>
      </c>
      <c r="I1408" s="47" t="s">
        <v>890</v>
      </c>
      <c r="J1408" s="44">
        <v>10.880207</v>
      </c>
      <c r="K1408" s="48">
        <v>106.766871</v>
      </c>
    </row>
    <row r="1409" ht="22.5" customHeight="1">
      <c r="A1409" s="44" t="s">
        <v>4623</v>
      </c>
      <c r="B1409" s="44" t="s">
        <v>4624</v>
      </c>
      <c r="C1409" s="44" t="s">
        <v>4567</v>
      </c>
      <c r="D1409" s="44" t="s">
        <v>1120</v>
      </c>
      <c r="E1409" s="49" t="s">
        <v>895</v>
      </c>
      <c r="F1409" s="44" t="s">
        <v>1121</v>
      </c>
      <c r="G1409" s="44">
        <v>57.0</v>
      </c>
      <c r="H1409" s="47" t="s">
        <v>970</v>
      </c>
      <c r="I1409" s="47" t="s">
        <v>895</v>
      </c>
      <c r="J1409" s="44">
        <v>10.844885</v>
      </c>
      <c r="K1409" s="48">
        <v>106.778572</v>
      </c>
    </row>
    <row r="1410" ht="22.5" customHeight="1">
      <c r="A1410" s="44" t="s">
        <v>4625</v>
      </c>
      <c r="B1410" s="44" t="s">
        <v>4626</v>
      </c>
      <c r="C1410" s="44" t="s">
        <v>4627</v>
      </c>
      <c r="D1410" s="44" t="s">
        <v>1227</v>
      </c>
      <c r="E1410" s="49" t="s">
        <v>890</v>
      </c>
      <c r="F1410" s="44" t="s">
        <v>1228</v>
      </c>
      <c r="G1410" s="44">
        <v>60.0</v>
      </c>
      <c r="H1410" s="47" t="s">
        <v>970</v>
      </c>
      <c r="I1410" s="47" t="s">
        <v>890</v>
      </c>
      <c r="J1410" s="44">
        <v>10.888054199719</v>
      </c>
      <c r="K1410" s="48">
        <v>106.75900125336</v>
      </c>
    </row>
    <row r="1411" ht="22.5" customHeight="1">
      <c r="A1411" s="44" t="s">
        <v>4628</v>
      </c>
      <c r="B1411" s="44" t="s">
        <v>4629</v>
      </c>
      <c r="C1411" s="44" t="s">
        <v>4630</v>
      </c>
      <c r="D1411" s="44" t="s">
        <v>1227</v>
      </c>
      <c r="E1411" s="49" t="s">
        <v>890</v>
      </c>
      <c r="F1411" s="44" t="s">
        <v>1228</v>
      </c>
      <c r="G1411" s="44">
        <v>60.0</v>
      </c>
      <c r="H1411" s="47" t="s">
        <v>970</v>
      </c>
      <c r="I1411" s="47" t="s">
        <v>890</v>
      </c>
      <c r="J1411" s="44">
        <v>10.885495</v>
      </c>
      <c r="K1411" s="48">
        <v>106.758595</v>
      </c>
    </row>
    <row r="1412" ht="22.5" customHeight="1">
      <c r="A1412" s="44" t="s">
        <v>103</v>
      </c>
      <c r="B1412" s="44" t="s">
        <v>4631</v>
      </c>
      <c r="C1412" s="44" t="s">
        <v>4632</v>
      </c>
      <c r="D1412" s="44" t="s">
        <v>1227</v>
      </c>
      <c r="E1412" s="49" t="s">
        <v>890</v>
      </c>
      <c r="F1412" s="44" t="s">
        <v>1228</v>
      </c>
      <c r="G1412" s="44">
        <v>60.0</v>
      </c>
      <c r="H1412" s="47" t="s">
        <v>970</v>
      </c>
      <c r="I1412" s="47" t="s">
        <v>890</v>
      </c>
      <c r="J1412" s="44">
        <v>10.888141</v>
      </c>
      <c r="K1412" s="48">
        <v>106.759044</v>
      </c>
    </row>
    <row r="1413" ht="22.5" customHeight="1">
      <c r="A1413" s="44" t="s">
        <v>4633</v>
      </c>
      <c r="B1413" s="44" t="s">
        <v>4634</v>
      </c>
      <c r="C1413" s="44" t="s">
        <v>4635</v>
      </c>
      <c r="D1413" s="44" t="s">
        <v>1994</v>
      </c>
      <c r="E1413" s="49" t="s">
        <v>890</v>
      </c>
      <c r="F1413" s="44" t="s">
        <v>1228</v>
      </c>
      <c r="G1413" s="44">
        <v>60.0</v>
      </c>
      <c r="H1413" s="47" t="s">
        <v>970</v>
      </c>
      <c r="I1413" s="47" t="s">
        <v>890</v>
      </c>
      <c r="J1413" s="44">
        <v>10.93425157955</v>
      </c>
      <c r="K1413" s="48">
        <v>106.75849358168</v>
      </c>
    </row>
    <row r="1414" ht="22.5" customHeight="1">
      <c r="A1414" s="44" t="s">
        <v>4636</v>
      </c>
      <c r="B1414" s="44" t="s">
        <v>4637</v>
      </c>
      <c r="C1414" s="44" t="s">
        <v>4638</v>
      </c>
      <c r="D1414" s="44" t="s">
        <v>1007</v>
      </c>
      <c r="E1414" s="49" t="s">
        <v>510</v>
      </c>
      <c r="F1414" s="44" t="s">
        <v>983</v>
      </c>
      <c r="G1414" s="44">
        <v>36.0</v>
      </c>
      <c r="H1414" s="47" t="s">
        <v>970</v>
      </c>
      <c r="I1414" s="47" t="s">
        <v>510</v>
      </c>
      <c r="J1414" s="44">
        <v>10.869078498484</v>
      </c>
      <c r="K1414" s="48">
        <v>106.73616682465</v>
      </c>
    </row>
    <row r="1415" ht="22.5" customHeight="1">
      <c r="A1415" s="44" t="s">
        <v>4639</v>
      </c>
      <c r="B1415" s="44" t="s">
        <v>4640</v>
      </c>
      <c r="C1415" s="44" t="s">
        <v>4641</v>
      </c>
      <c r="D1415" s="44" t="s">
        <v>1026</v>
      </c>
      <c r="E1415" s="49" t="s">
        <v>897</v>
      </c>
      <c r="F1415" s="44" t="s">
        <v>1027</v>
      </c>
      <c r="G1415" s="44">
        <v>68.0</v>
      </c>
      <c r="H1415" s="47" t="s">
        <v>970</v>
      </c>
      <c r="I1415" s="47" t="s">
        <v>897</v>
      </c>
      <c r="J1415" s="44">
        <v>10.834790335741</v>
      </c>
      <c r="K1415" s="48">
        <v>106.66167076879</v>
      </c>
    </row>
    <row r="1416" ht="22.5" customHeight="1">
      <c r="A1416" s="44" t="s">
        <v>586</v>
      </c>
      <c r="B1416" s="44" t="s">
        <v>4642</v>
      </c>
      <c r="C1416" s="44" t="s">
        <v>4643</v>
      </c>
      <c r="D1416" s="44" t="s">
        <v>1470</v>
      </c>
      <c r="E1416" s="49" t="s">
        <v>883</v>
      </c>
      <c r="F1416" s="44" t="s">
        <v>1471</v>
      </c>
      <c r="G1416" s="44">
        <v>70.0</v>
      </c>
      <c r="H1416" s="47" t="s">
        <v>970</v>
      </c>
      <c r="I1416" s="47" t="s">
        <v>883</v>
      </c>
      <c r="J1416" s="44">
        <v>10.901896</v>
      </c>
      <c r="K1416" s="48">
        <v>106.703503</v>
      </c>
    </row>
    <row r="1417" ht="22.5" customHeight="1">
      <c r="A1417" s="44" t="s">
        <v>273</v>
      </c>
      <c r="B1417" s="44" t="s">
        <v>4644</v>
      </c>
      <c r="C1417" s="44" t="s">
        <v>4645</v>
      </c>
      <c r="D1417" s="44" t="s">
        <v>1107</v>
      </c>
      <c r="E1417" s="49" t="s">
        <v>892</v>
      </c>
      <c r="F1417" s="44" t="s">
        <v>1108</v>
      </c>
      <c r="G1417" s="44">
        <v>60.0</v>
      </c>
      <c r="H1417" s="47" t="s">
        <v>970</v>
      </c>
      <c r="I1417" s="47" t="s">
        <v>892</v>
      </c>
      <c r="J1417" s="44">
        <v>10.981574</v>
      </c>
      <c r="K1417" s="48">
        <v>106.655523</v>
      </c>
    </row>
    <row r="1418" ht="22.5" customHeight="1">
      <c r="A1418" s="44" t="s">
        <v>4646</v>
      </c>
      <c r="B1418" s="44" t="s">
        <v>4647</v>
      </c>
      <c r="C1418" s="44" t="s">
        <v>4648</v>
      </c>
      <c r="D1418" s="44" t="s">
        <v>1359</v>
      </c>
      <c r="E1418" s="49" t="s">
        <v>813</v>
      </c>
      <c r="F1418" s="44" t="s">
        <v>1015</v>
      </c>
      <c r="G1418" s="44">
        <v>76.0</v>
      </c>
      <c r="H1418" s="47" t="s">
        <v>970</v>
      </c>
      <c r="I1418" s="47" t="s">
        <v>822</v>
      </c>
      <c r="J1418" s="44">
        <v>10.757865</v>
      </c>
      <c r="K1418" s="48">
        <v>106.659513</v>
      </c>
    </row>
    <row r="1419" ht="22.5" customHeight="1">
      <c r="A1419" s="44" t="s">
        <v>4649</v>
      </c>
      <c r="B1419" s="44" t="s">
        <v>4650</v>
      </c>
      <c r="C1419" s="44" t="s">
        <v>4651</v>
      </c>
      <c r="D1419" s="44" t="s">
        <v>990</v>
      </c>
      <c r="E1419" s="49" t="s">
        <v>894</v>
      </c>
      <c r="F1419" s="44" t="s">
        <v>974</v>
      </c>
      <c r="G1419" s="44">
        <v>70.0</v>
      </c>
      <c r="H1419" s="47" t="s">
        <v>970</v>
      </c>
      <c r="I1419" s="47" t="s">
        <v>882</v>
      </c>
      <c r="J1419" s="44">
        <v>10.722474085234</v>
      </c>
      <c r="K1419" s="48">
        <v>106.72954375097</v>
      </c>
    </row>
    <row r="1420" ht="22.5" customHeight="1">
      <c r="A1420" s="44" t="s">
        <v>4652</v>
      </c>
      <c r="B1420" s="44" t="s">
        <v>4653</v>
      </c>
      <c r="C1420" s="44" t="s">
        <v>4654</v>
      </c>
      <c r="D1420" s="44" t="s">
        <v>1528</v>
      </c>
      <c r="E1420" s="49" t="s">
        <v>910</v>
      </c>
      <c r="F1420" s="44" t="s">
        <v>987</v>
      </c>
      <c r="G1420" s="44">
        <v>69.0</v>
      </c>
      <c r="H1420" s="47" t="s">
        <v>970</v>
      </c>
      <c r="I1420" s="47" t="s">
        <v>910</v>
      </c>
      <c r="J1420" s="44">
        <v>10.768017962755</v>
      </c>
      <c r="K1420" s="48">
        <v>106.67791561529</v>
      </c>
    </row>
    <row r="1421" ht="22.5" customHeight="1">
      <c r="A1421" s="44" t="s">
        <v>752</v>
      </c>
      <c r="B1421" s="44" t="s">
        <v>4655</v>
      </c>
      <c r="C1421" s="44" t="s">
        <v>4656</v>
      </c>
      <c r="D1421" s="44" t="s">
        <v>1883</v>
      </c>
      <c r="E1421" s="49" t="s">
        <v>883</v>
      </c>
      <c r="F1421" s="44" t="s">
        <v>1471</v>
      </c>
      <c r="G1421" s="44">
        <v>90.0</v>
      </c>
      <c r="H1421" s="47" t="s">
        <v>970</v>
      </c>
      <c r="I1421" s="47" t="s">
        <v>883</v>
      </c>
      <c r="J1421" s="44">
        <v>10.919081819689</v>
      </c>
      <c r="K1421" s="48">
        <v>106.73021819374</v>
      </c>
    </row>
    <row r="1422" ht="22.5" customHeight="1">
      <c r="A1422" s="44" t="s">
        <v>535</v>
      </c>
      <c r="B1422" s="44" t="s">
        <v>4657</v>
      </c>
      <c r="C1422" s="44" t="s">
        <v>4658</v>
      </c>
      <c r="D1422" s="44" t="s">
        <v>1470</v>
      </c>
      <c r="E1422" s="49" t="s">
        <v>883</v>
      </c>
      <c r="F1422" s="44" t="s">
        <v>1471</v>
      </c>
      <c r="G1422" s="44">
        <v>55.0</v>
      </c>
      <c r="H1422" s="47" t="s">
        <v>970</v>
      </c>
      <c r="I1422" s="47" t="s">
        <v>883</v>
      </c>
      <c r="J1422" s="44">
        <v>10.904156</v>
      </c>
      <c r="K1422" s="48">
        <v>106.702676</v>
      </c>
    </row>
    <row r="1423" ht="22.5" customHeight="1">
      <c r="A1423" s="44" t="s">
        <v>4659</v>
      </c>
      <c r="B1423" s="44" t="s">
        <v>4660</v>
      </c>
      <c r="C1423" s="44" t="s">
        <v>4661</v>
      </c>
      <c r="D1423" s="44" t="s">
        <v>1139</v>
      </c>
      <c r="E1423" s="49" t="s">
        <v>882</v>
      </c>
      <c r="F1423" s="44" t="s">
        <v>991</v>
      </c>
      <c r="G1423" s="44">
        <v>60.0</v>
      </c>
      <c r="H1423" s="47" t="s">
        <v>970</v>
      </c>
      <c r="I1423" s="47" t="s">
        <v>882</v>
      </c>
      <c r="J1423" s="44">
        <v>10.699462</v>
      </c>
      <c r="K1423" s="48">
        <v>106.738531</v>
      </c>
    </row>
    <row r="1424" ht="22.5" customHeight="1">
      <c r="A1424" s="44" t="s">
        <v>4662</v>
      </c>
      <c r="B1424" s="44" t="s">
        <v>4663</v>
      </c>
      <c r="C1424" s="44" t="s">
        <v>4664</v>
      </c>
      <c r="D1424" s="44" t="s">
        <v>1132</v>
      </c>
      <c r="E1424" s="49" t="s">
        <v>897</v>
      </c>
      <c r="F1424" s="44" t="s">
        <v>1027</v>
      </c>
      <c r="G1424" s="44">
        <v>75.0</v>
      </c>
      <c r="H1424" s="47" t="s">
        <v>970</v>
      </c>
      <c r="I1424" s="47" t="s">
        <v>897</v>
      </c>
      <c r="J1424" s="44">
        <v>10.876395207235</v>
      </c>
      <c r="K1424" s="48">
        <v>106.64712115159</v>
      </c>
    </row>
    <row r="1425" ht="22.5" customHeight="1">
      <c r="A1425" s="44" t="s">
        <v>4665</v>
      </c>
      <c r="B1425" s="44" t="s">
        <v>4666</v>
      </c>
      <c r="C1425" s="44" t="s">
        <v>4667</v>
      </c>
      <c r="D1425" s="44" t="s">
        <v>1506</v>
      </c>
      <c r="E1425" s="49" t="s">
        <v>797</v>
      </c>
      <c r="F1425" s="44" t="s">
        <v>1409</v>
      </c>
      <c r="G1425" s="44">
        <v>60.0</v>
      </c>
      <c r="H1425" s="47" t="s">
        <v>970</v>
      </c>
      <c r="I1425" s="47" t="s">
        <v>797</v>
      </c>
      <c r="J1425" s="44">
        <v>10.856448</v>
      </c>
      <c r="K1425" s="48">
        <v>106.608139</v>
      </c>
    </row>
    <row r="1426" ht="22.5" customHeight="1">
      <c r="A1426" s="44" t="s">
        <v>4668</v>
      </c>
      <c r="B1426" s="44" t="s">
        <v>4669</v>
      </c>
      <c r="C1426" s="44" t="s">
        <v>4670</v>
      </c>
      <c r="D1426" s="44" t="s">
        <v>1433</v>
      </c>
      <c r="E1426" s="49" t="s">
        <v>910</v>
      </c>
      <c r="F1426" s="44" t="s">
        <v>987</v>
      </c>
      <c r="G1426" s="44">
        <v>60.0</v>
      </c>
      <c r="H1426" s="47" t="s">
        <v>970</v>
      </c>
      <c r="I1426" s="47" t="s">
        <v>910</v>
      </c>
      <c r="J1426" s="44">
        <v>10.765911</v>
      </c>
      <c r="K1426" s="48">
        <v>106.668345</v>
      </c>
    </row>
    <row r="1427" ht="22.5" customHeight="1">
      <c r="A1427" s="44" t="s">
        <v>168</v>
      </c>
      <c r="B1427" s="44" t="s">
        <v>4671</v>
      </c>
      <c r="C1427" s="44" t="s">
        <v>4032</v>
      </c>
      <c r="D1427" s="44" t="s">
        <v>990</v>
      </c>
      <c r="E1427" s="49" t="s">
        <v>894</v>
      </c>
      <c r="F1427" s="44" t="s">
        <v>974</v>
      </c>
      <c r="G1427" s="44">
        <v>68.0</v>
      </c>
      <c r="H1427" s="47" t="s">
        <v>970</v>
      </c>
      <c r="I1427" s="47" t="s">
        <v>894</v>
      </c>
      <c r="J1427" s="44">
        <v>10.737331</v>
      </c>
      <c r="K1427" s="48">
        <v>106.724166</v>
      </c>
    </row>
    <row r="1428" ht="22.5" customHeight="1">
      <c r="A1428" s="44" t="s">
        <v>4672</v>
      </c>
      <c r="B1428" s="44" t="s">
        <v>4673</v>
      </c>
      <c r="C1428" s="44" t="s">
        <v>4674</v>
      </c>
      <c r="D1428" s="44" t="s">
        <v>1007</v>
      </c>
      <c r="E1428" s="49" t="s">
        <v>510</v>
      </c>
      <c r="F1428" s="44" t="s">
        <v>983</v>
      </c>
      <c r="G1428" s="44">
        <v>66.0</v>
      </c>
      <c r="H1428" s="47" t="s">
        <v>970</v>
      </c>
      <c r="I1428" s="47" t="s">
        <v>510</v>
      </c>
      <c r="J1428" s="44">
        <v>10.860993</v>
      </c>
      <c r="K1428" s="48">
        <v>106.745406</v>
      </c>
    </row>
    <row r="1429" ht="22.5" customHeight="1">
      <c r="A1429" s="44" t="s">
        <v>4675</v>
      </c>
      <c r="B1429" s="44" t="s">
        <v>4676</v>
      </c>
      <c r="C1429" s="44" t="s">
        <v>4677</v>
      </c>
      <c r="D1429" s="44" t="s">
        <v>1648</v>
      </c>
      <c r="E1429" s="49" t="s">
        <v>883</v>
      </c>
      <c r="F1429" s="44" t="s">
        <v>1471</v>
      </c>
      <c r="G1429" s="44">
        <v>85.0</v>
      </c>
      <c r="H1429" s="47" t="s">
        <v>970</v>
      </c>
      <c r="I1429" s="47" t="s">
        <v>890</v>
      </c>
      <c r="J1429" s="44">
        <v>10.9416</v>
      </c>
      <c r="K1429" s="48">
        <v>106.738688</v>
      </c>
    </row>
    <row r="1430" ht="22.5" customHeight="1">
      <c r="A1430" s="44" t="s">
        <v>4678</v>
      </c>
      <c r="B1430" s="44" t="s">
        <v>4679</v>
      </c>
      <c r="C1430" s="44" t="s">
        <v>2972</v>
      </c>
      <c r="D1430" s="44" t="s">
        <v>1470</v>
      </c>
      <c r="E1430" s="49" t="s">
        <v>883</v>
      </c>
      <c r="F1430" s="44" t="s">
        <v>1471</v>
      </c>
      <c r="G1430" s="44">
        <v>85.0</v>
      </c>
      <c r="H1430" s="47" t="s">
        <v>970</v>
      </c>
      <c r="I1430" s="47" t="s">
        <v>883</v>
      </c>
      <c r="J1430" s="44">
        <v>10.908706</v>
      </c>
      <c r="K1430" s="48">
        <v>106.701948</v>
      </c>
    </row>
    <row r="1431" ht="22.5" customHeight="1">
      <c r="A1431" s="44" t="s">
        <v>4680</v>
      </c>
      <c r="B1431" s="44" t="s">
        <v>4681</v>
      </c>
      <c r="C1431" s="44" t="s">
        <v>1020</v>
      </c>
      <c r="D1431" s="44" t="s">
        <v>1021</v>
      </c>
      <c r="E1431" s="49" t="s">
        <v>809</v>
      </c>
      <c r="F1431" s="44" t="s">
        <v>1022</v>
      </c>
      <c r="G1431" s="44">
        <v>68.0</v>
      </c>
      <c r="H1431" s="47" t="s">
        <v>970</v>
      </c>
      <c r="I1431" s="47" t="s">
        <v>809</v>
      </c>
      <c r="J1431" s="44">
        <v>10.841724</v>
      </c>
      <c r="K1431" s="48">
        <v>106.676419</v>
      </c>
    </row>
    <row r="1432" ht="22.5" customHeight="1">
      <c r="A1432" s="44" t="s">
        <v>4682</v>
      </c>
      <c r="B1432" s="44" t="s">
        <v>4683</v>
      </c>
      <c r="C1432" s="44" t="s">
        <v>4684</v>
      </c>
      <c r="D1432" s="44" t="s">
        <v>1014</v>
      </c>
      <c r="E1432" s="49" t="s">
        <v>813</v>
      </c>
      <c r="F1432" s="44" t="s">
        <v>1015</v>
      </c>
      <c r="G1432" s="44">
        <v>46.0</v>
      </c>
      <c r="H1432" s="47" t="s">
        <v>970</v>
      </c>
      <c r="I1432" s="47" t="s">
        <v>813</v>
      </c>
      <c r="J1432" s="44">
        <v>10.754479</v>
      </c>
      <c r="K1432" s="48">
        <v>106.682036</v>
      </c>
    </row>
    <row r="1433" ht="22.5" customHeight="1">
      <c r="A1433" s="44" t="s">
        <v>4685</v>
      </c>
      <c r="B1433" s="44" t="s">
        <v>4686</v>
      </c>
      <c r="C1433" s="44" t="s">
        <v>3818</v>
      </c>
      <c r="D1433" s="44" t="s">
        <v>1359</v>
      </c>
      <c r="E1433" s="49" t="s">
        <v>813</v>
      </c>
      <c r="F1433" s="44" t="s">
        <v>1015</v>
      </c>
      <c r="G1433" s="44">
        <v>61.0</v>
      </c>
      <c r="H1433" s="47" t="s">
        <v>970</v>
      </c>
      <c r="I1433" s="47" t="s">
        <v>822</v>
      </c>
      <c r="J1433" s="44">
        <v>10.757865</v>
      </c>
      <c r="K1433" s="48">
        <v>106.659513</v>
      </c>
    </row>
    <row r="1434" ht="22.5" customHeight="1">
      <c r="A1434" s="44" t="s">
        <v>4687</v>
      </c>
      <c r="B1434" s="44" t="s">
        <v>4688</v>
      </c>
      <c r="C1434" s="44" t="s">
        <v>4689</v>
      </c>
      <c r="D1434" s="44" t="s">
        <v>1359</v>
      </c>
      <c r="E1434" s="49" t="s">
        <v>813</v>
      </c>
      <c r="F1434" s="44" t="s">
        <v>1015</v>
      </c>
      <c r="G1434" s="44">
        <v>76.0</v>
      </c>
      <c r="H1434" s="47" t="s">
        <v>970</v>
      </c>
      <c r="I1434" s="47" t="s">
        <v>822</v>
      </c>
      <c r="J1434" s="44">
        <v>10.755830584503</v>
      </c>
      <c r="K1434" s="48">
        <v>106.66148409301</v>
      </c>
    </row>
    <row r="1435" ht="22.5" customHeight="1">
      <c r="A1435" s="44" t="s">
        <v>4687</v>
      </c>
      <c r="B1435" s="44" t="s">
        <v>4690</v>
      </c>
      <c r="C1435" s="44" t="s">
        <v>4691</v>
      </c>
      <c r="D1435" s="44" t="s">
        <v>1359</v>
      </c>
      <c r="E1435" s="49" t="s">
        <v>813</v>
      </c>
      <c r="F1435" s="44" t="s">
        <v>1015</v>
      </c>
      <c r="G1435" s="44">
        <v>76.0</v>
      </c>
      <c r="H1435" s="47" t="s">
        <v>970</v>
      </c>
      <c r="I1435" s="47" t="s">
        <v>822</v>
      </c>
      <c r="J1435" s="44">
        <v>10.754931</v>
      </c>
      <c r="K1435" s="48">
        <v>106.661711</v>
      </c>
    </row>
    <row r="1436" ht="22.5" customHeight="1">
      <c r="A1436" s="44" t="s">
        <v>36</v>
      </c>
      <c r="B1436" s="44" t="s">
        <v>4692</v>
      </c>
      <c r="C1436" s="44" t="s">
        <v>4693</v>
      </c>
      <c r="D1436" s="44" t="s">
        <v>1779</v>
      </c>
      <c r="E1436" s="49" t="s">
        <v>891</v>
      </c>
      <c r="F1436" s="44" t="s">
        <v>1125</v>
      </c>
      <c r="G1436" s="44">
        <v>30.0</v>
      </c>
      <c r="H1436" s="47" t="s">
        <v>970</v>
      </c>
      <c r="I1436" s="47" t="s">
        <v>891</v>
      </c>
      <c r="J1436" s="44">
        <v>10.95015808741</v>
      </c>
      <c r="K1436" s="48">
        <v>106.82944984162</v>
      </c>
    </row>
    <row r="1437" ht="22.5" customHeight="1">
      <c r="A1437" s="44" t="s">
        <v>169</v>
      </c>
      <c r="B1437" s="44" t="s">
        <v>4694</v>
      </c>
      <c r="C1437" s="44" t="s">
        <v>4695</v>
      </c>
      <c r="D1437" s="44" t="s">
        <v>1317</v>
      </c>
      <c r="E1437" s="49" t="s">
        <v>894</v>
      </c>
      <c r="F1437" s="44" t="s">
        <v>974</v>
      </c>
      <c r="G1437" s="44">
        <v>68.0</v>
      </c>
      <c r="H1437" s="47" t="s">
        <v>970</v>
      </c>
      <c r="I1437" s="47" t="s">
        <v>894</v>
      </c>
      <c r="J1437" s="44">
        <v>10.738122</v>
      </c>
      <c r="K1437" s="48">
        <v>106.72427</v>
      </c>
    </row>
    <row r="1438" ht="22.5" customHeight="1">
      <c r="A1438" s="44" t="s">
        <v>4696</v>
      </c>
      <c r="B1438" s="44" t="s">
        <v>4697</v>
      </c>
      <c r="C1438" s="44" t="s">
        <v>4698</v>
      </c>
      <c r="D1438" s="44" t="s">
        <v>1832</v>
      </c>
      <c r="E1438" s="49" t="s">
        <v>901</v>
      </c>
      <c r="F1438" s="44" t="s">
        <v>1562</v>
      </c>
      <c r="G1438" s="44">
        <v>70.0</v>
      </c>
      <c r="H1438" s="47" t="s">
        <v>970</v>
      </c>
      <c r="I1438" s="47" t="s">
        <v>887</v>
      </c>
      <c r="J1438" s="44">
        <v>10.79216</v>
      </c>
      <c r="K1438" s="48">
        <v>106.722862</v>
      </c>
    </row>
    <row r="1439" ht="22.5" customHeight="1">
      <c r="A1439" s="44" t="s">
        <v>4699</v>
      </c>
      <c r="B1439" s="44" t="s">
        <v>4700</v>
      </c>
      <c r="C1439" s="44" t="s">
        <v>4701</v>
      </c>
      <c r="D1439" s="44" t="s">
        <v>1076</v>
      </c>
      <c r="E1439" s="49" t="s">
        <v>813</v>
      </c>
      <c r="F1439" s="44" t="s">
        <v>1015</v>
      </c>
      <c r="G1439" s="44">
        <v>76.0</v>
      </c>
      <c r="H1439" s="47" t="s">
        <v>970</v>
      </c>
      <c r="I1439" s="47" t="s">
        <v>813</v>
      </c>
      <c r="J1439" s="44">
        <v>10.756708</v>
      </c>
      <c r="K1439" s="48">
        <v>106.671085</v>
      </c>
    </row>
    <row r="1440" ht="22.5" customHeight="1">
      <c r="A1440" s="44" t="s">
        <v>4702</v>
      </c>
      <c r="B1440" s="44" t="s">
        <v>4703</v>
      </c>
      <c r="C1440" s="44" t="s">
        <v>4704</v>
      </c>
      <c r="D1440" s="44" t="s">
        <v>1811</v>
      </c>
      <c r="E1440" s="49" t="s">
        <v>889</v>
      </c>
      <c r="F1440" s="44" t="s">
        <v>1043</v>
      </c>
      <c r="G1440" s="44">
        <v>45.0</v>
      </c>
      <c r="H1440" s="47" t="s">
        <v>970</v>
      </c>
      <c r="I1440" s="47" t="s">
        <v>809</v>
      </c>
      <c r="J1440" s="44">
        <v>10.834759</v>
      </c>
      <c r="K1440" s="48">
        <v>106.703843</v>
      </c>
    </row>
    <row r="1441" ht="22.5" customHeight="1">
      <c r="A1441" s="44" t="s">
        <v>4705</v>
      </c>
      <c r="B1441" s="44" t="s">
        <v>4706</v>
      </c>
      <c r="C1441" s="44" t="s">
        <v>3280</v>
      </c>
      <c r="D1441" s="44" t="s">
        <v>1433</v>
      </c>
      <c r="E1441" s="49" t="s">
        <v>910</v>
      </c>
      <c r="F1441" s="44" t="s">
        <v>987</v>
      </c>
      <c r="G1441" s="44">
        <v>60.0</v>
      </c>
      <c r="H1441" s="47" t="s">
        <v>970</v>
      </c>
      <c r="I1441" s="47" t="s">
        <v>910</v>
      </c>
      <c r="J1441" s="44">
        <v>10.76856</v>
      </c>
      <c r="K1441" s="48">
        <v>106.670159</v>
      </c>
    </row>
    <row r="1442" ht="22.5" customHeight="1">
      <c r="A1442" s="44" t="s">
        <v>4707</v>
      </c>
      <c r="B1442" s="44" t="s">
        <v>4708</v>
      </c>
      <c r="C1442" s="44" t="s">
        <v>4709</v>
      </c>
      <c r="D1442" s="44" t="s">
        <v>990</v>
      </c>
      <c r="E1442" s="49" t="s">
        <v>894</v>
      </c>
      <c r="F1442" s="44" t="s">
        <v>974</v>
      </c>
      <c r="G1442" s="44">
        <v>68.0</v>
      </c>
      <c r="H1442" s="47" t="s">
        <v>970</v>
      </c>
      <c r="I1442" s="47" t="s">
        <v>894</v>
      </c>
      <c r="J1442" s="44">
        <v>10.736937</v>
      </c>
      <c r="K1442" s="48">
        <v>106.715187</v>
      </c>
    </row>
    <row r="1443" ht="22.5" customHeight="1">
      <c r="A1443" s="44" t="s">
        <v>4710</v>
      </c>
      <c r="B1443" s="44" t="s">
        <v>4711</v>
      </c>
      <c r="C1443" s="44" t="s">
        <v>2512</v>
      </c>
      <c r="D1443" s="44" t="s">
        <v>1939</v>
      </c>
      <c r="E1443" s="49" t="s">
        <v>895</v>
      </c>
      <c r="F1443" s="44" t="s">
        <v>1121</v>
      </c>
      <c r="G1443" s="44">
        <v>66.0</v>
      </c>
      <c r="H1443" s="47" t="s">
        <v>970</v>
      </c>
      <c r="I1443" s="47" t="s">
        <v>895</v>
      </c>
      <c r="J1443" s="44">
        <v>10.861369</v>
      </c>
      <c r="K1443" s="48">
        <v>106.779868</v>
      </c>
    </row>
    <row r="1444" ht="22.5" customHeight="1">
      <c r="A1444" s="44" t="s">
        <v>4712</v>
      </c>
      <c r="B1444" s="44" t="s">
        <v>4713</v>
      </c>
      <c r="C1444" s="44" t="s">
        <v>4714</v>
      </c>
      <c r="D1444" s="44" t="s">
        <v>4715</v>
      </c>
      <c r="E1444" s="49" t="s">
        <v>872</v>
      </c>
      <c r="F1444" s="44" t="s">
        <v>1003</v>
      </c>
      <c r="G1444" s="44">
        <v>60.0</v>
      </c>
      <c r="H1444" s="47" t="s">
        <v>970</v>
      </c>
      <c r="I1444" s="47" t="s">
        <v>872</v>
      </c>
      <c r="J1444" s="44">
        <v>10.438784017685</v>
      </c>
      <c r="K1444" s="48">
        <v>106.45008002537</v>
      </c>
    </row>
    <row r="1445" ht="22.5" customHeight="1">
      <c r="A1445" s="44" t="s">
        <v>650</v>
      </c>
      <c r="B1445" s="44" t="s">
        <v>4716</v>
      </c>
      <c r="C1445" s="44" t="s">
        <v>4717</v>
      </c>
      <c r="D1445" s="44" t="s">
        <v>973</v>
      </c>
      <c r="E1445" s="49" t="s">
        <v>894</v>
      </c>
      <c r="F1445" s="44" t="s">
        <v>974</v>
      </c>
      <c r="G1445" s="44">
        <v>38.0</v>
      </c>
      <c r="H1445" s="47" t="s">
        <v>970</v>
      </c>
      <c r="I1445" s="47" t="s">
        <v>894</v>
      </c>
      <c r="J1445" s="44">
        <v>10.726284</v>
      </c>
      <c r="K1445" s="48">
        <v>106.712035</v>
      </c>
    </row>
    <row r="1446" ht="22.5" customHeight="1">
      <c r="A1446" s="44" t="s">
        <v>4718</v>
      </c>
      <c r="B1446" s="44" t="s">
        <v>4719</v>
      </c>
      <c r="C1446" s="44" t="s">
        <v>4720</v>
      </c>
      <c r="D1446" s="44" t="s">
        <v>1268</v>
      </c>
      <c r="E1446" s="49" t="s">
        <v>900</v>
      </c>
      <c r="F1446" s="44" t="s">
        <v>978</v>
      </c>
      <c r="G1446" s="44">
        <v>54.0</v>
      </c>
      <c r="H1446" s="47" t="s">
        <v>970</v>
      </c>
      <c r="I1446" s="47" t="s">
        <v>826</v>
      </c>
      <c r="J1446" s="44">
        <v>10.781408</v>
      </c>
      <c r="K1446" s="48">
        <v>106.68322</v>
      </c>
    </row>
    <row r="1447" ht="22.5" customHeight="1">
      <c r="A1447" s="44" t="s">
        <v>4721</v>
      </c>
      <c r="B1447" s="44" t="s">
        <v>4722</v>
      </c>
      <c r="C1447" s="44" t="s">
        <v>4723</v>
      </c>
      <c r="D1447" s="44" t="s">
        <v>1056</v>
      </c>
      <c r="E1447" s="49" t="s">
        <v>850</v>
      </c>
      <c r="F1447" s="44" t="s">
        <v>1057</v>
      </c>
      <c r="G1447" s="44">
        <v>45.0</v>
      </c>
      <c r="H1447" s="47" t="s">
        <v>970</v>
      </c>
      <c r="I1447" s="47" t="s">
        <v>797</v>
      </c>
      <c r="J1447" s="44">
        <v>10.92802</v>
      </c>
      <c r="K1447" s="48">
        <v>106.558159</v>
      </c>
    </row>
    <row r="1448" ht="22.5" customHeight="1">
      <c r="A1448" s="44" t="s">
        <v>4724</v>
      </c>
      <c r="B1448" s="44" t="s">
        <v>4725</v>
      </c>
      <c r="C1448" s="44" t="s">
        <v>4726</v>
      </c>
      <c r="D1448" s="44" t="s">
        <v>1506</v>
      </c>
      <c r="E1448" s="49" t="s">
        <v>897</v>
      </c>
      <c r="F1448" s="44" t="s">
        <v>1027</v>
      </c>
      <c r="G1448" s="44">
        <v>75.0</v>
      </c>
      <c r="H1448" s="47" t="s">
        <v>970</v>
      </c>
      <c r="I1448" s="47" t="s">
        <v>797</v>
      </c>
      <c r="J1448" s="44">
        <v>10.870175</v>
      </c>
      <c r="K1448" s="48">
        <v>106.618426</v>
      </c>
    </row>
    <row r="1449" ht="22.5" customHeight="1">
      <c r="A1449" s="44" t="s">
        <v>4727</v>
      </c>
      <c r="B1449" s="44" t="s">
        <v>4728</v>
      </c>
      <c r="C1449" s="44" t="s">
        <v>4729</v>
      </c>
      <c r="D1449" s="44" t="s">
        <v>1905</v>
      </c>
      <c r="E1449" s="49" t="s">
        <v>890</v>
      </c>
      <c r="F1449" s="44" t="s">
        <v>1228</v>
      </c>
      <c r="G1449" s="44">
        <v>60.0</v>
      </c>
      <c r="H1449" s="47" t="s">
        <v>970</v>
      </c>
      <c r="I1449" s="47" t="s">
        <v>890</v>
      </c>
      <c r="J1449" s="44">
        <v>10.891576</v>
      </c>
      <c r="K1449" s="48">
        <v>106.772408</v>
      </c>
    </row>
    <row r="1450" ht="22.5" customHeight="1">
      <c r="A1450" s="44" t="s">
        <v>4730</v>
      </c>
      <c r="B1450" s="44" t="s">
        <v>4731</v>
      </c>
      <c r="C1450" s="44" t="s">
        <v>4732</v>
      </c>
      <c r="D1450" s="44" t="s">
        <v>1747</v>
      </c>
      <c r="E1450" s="49" t="s">
        <v>883</v>
      </c>
      <c r="F1450" s="44" t="s">
        <v>1471</v>
      </c>
      <c r="G1450" s="44">
        <v>85.0</v>
      </c>
      <c r="H1450" s="47" t="s">
        <v>970</v>
      </c>
      <c r="I1450" s="47" t="s">
        <v>883</v>
      </c>
      <c r="J1450" s="44">
        <v>10.948379</v>
      </c>
      <c r="K1450" s="48">
        <v>106.719063</v>
      </c>
    </row>
    <row r="1451" ht="22.5" customHeight="1">
      <c r="A1451" s="44" t="s">
        <v>4733</v>
      </c>
      <c r="B1451" s="44" t="s">
        <v>4734</v>
      </c>
      <c r="C1451" s="44" t="s">
        <v>1300</v>
      </c>
      <c r="D1451" s="44" t="s">
        <v>986</v>
      </c>
      <c r="E1451" s="49" t="s">
        <v>910</v>
      </c>
      <c r="F1451" s="44" t="s">
        <v>987</v>
      </c>
      <c r="G1451" s="44">
        <v>30.0</v>
      </c>
      <c r="H1451" s="47" t="s">
        <v>970</v>
      </c>
      <c r="I1451" s="47" t="s">
        <v>822</v>
      </c>
      <c r="J1451" s="44">
        <v>10.769125</v>
      </c>
      <c r="K1451" s="48">
        <v>106.661549</v>
      </c>
    </row>
    <row r="1452" ht="22.5" customHeight="1">
      <c r="A1452" s="44" t="s">
        <v>4735</v>
      </c>
      <c r="B1452" s="44" t="s">
        <v>4736</v>
      </c>
      <c r="C1452" s="44" t="s">
        <v>4737</v>
      </c>
      <c r="D1452" s="44" t="s">
        <v>2200</v>
      </c>
      <c r="E1452" s="49" t="s">
        <v>820</v>
      </c>
      <c r="F1452" s="44" t="s">
        <v>1112</v>
      </c>
      <c r="G1452" s="44">
        <v>99.0</v>
      </c>
      <c r="H1452" s="47" t="s">
        <v>970</v>
      </c>
      <c r="I1452" s="47" t="s">
        <v>820</v>
      </c>
      <c r="J1452" s="44">
        <v>10.771603</v>
      </c>
      <c r="K1452" s="48">
        <v>106.586952</v>
      </c>
    </row>
    <row r="1453" ht="22.5" customHeight="1">
      <c r="A1453" s="44" t="s">
        <v>192</v>
      </c>
      <c r="B1453" s="44" t="s">
        <v>4738</v>
      </c>
      <c r="C1453" s="44" t="s">
        <v>4739</v>
      </c>
      <c r="D1453" s="44" t="s">
        <v>1030</v>
      </c>
      <c r="E1453" s="49" t="s">
        <v>887</v>
      </c>
      <c r="F1453" s="44" t="s">
        <v>1031</v>
      </c>
      <c r="G1453" s="44">
        <v>44.0</v>
      </c>
      <c r="H1453" s="47" t="s">
        <v>970</v>
      </c>
      <c r="I1453" s="47" t="s">
        <v>887</v>
      </c>
      <c r="J1453" s="44">
        <v>10.786927</v>
      </c>
      <c r="K1453" s="48">
        <v>106.729272</v>
      </c>
    </row>
    <row r="1454" ht="22.5" customHeight="1">
      <c r="A1454" s="44" t="s">
        <v>4740</v>
      </c>
      <c r="B1454" s="44" t="s">
        <v>4741</v>
      </c>
      <c r="C1454" s="44" t="s">
        <v>4742</v>
      </c>
      <c r="D1454" s="44" t="s">
        <v>1359</v>
      </c>
      <c r="E1454" s="49" t="s">
        <v>813</v>
      </c>
      <c r="F1454" s="44" t="s">
        <v>1015</v>
      </c>
      <c r="G1454" s="44">
        <v>76.0</v>
      </c>
      <c r="H1454" s="47" t="s">
        <v>970</v>
      </c>
      <c r="I1454" s="47" t="s">
        <v>822</v>
      </c>
      <c r="J1454" s="44">
        <v>10.757509</v>
      </c>
      <c r="K1454" s="48">
        <v>106.657909</v>
      </c>
    </row>
    <row r="1455" ht="22.5" customHeight="1">
      <c r="A1455" s="44" t="s">
        <v>4743</v>
      </c>
      <c r="B1455" s="44" t="s">
        <v>4744</v>
      </c>
      <c r="C1455" s="44" t="s">
        <v>4745</v>
      </c>
      <c r="D1455" s="44" t="s">
        <v>1135</v>
      </c>
      <c r="E1455" s="49" t="s">
        <v>884</v>
      </c>
      <c r="F1455" s="44" t="s">
        <v>1821</v>
      </c>
      <c r="G1455" s="44">
        <v>30.0</v>
      </c>
      <c r="H1455" s="47" t="s">
        <v>970</v>
      </c>
      <c r="I1455" s="47" t="s">
        <v>884</v>
      </c>
      <c r="J1455" s="44">
        <v>10.786125</v>
      </c>
      <c r="K1455" s="48">
        <v>106.695593</v>
      </c>
    </row>
    <row r="1456" ht="22.5" customHeight="1">
      <c r="A1456" s="44" t="s">
        <v>699</v>
      </c>
      <c r="B1456" s="44" t="s">
        <v>4746</v>
      </c>
      <c r="C1456" s="44" t="s">
        <v>4747</v>
      </c>
      <c r="D1456" s="44" t="s">
        <v>1239</v>
      </c>
      <c r="E1456" s="49" t="s">
        <v>820</v>
      </c>
      <c r="F1456" s="44" t="s">
        <v>1112</v>
      </c>
      <c r="G1456" s="44">
        <v>39.0</v>
      </c>
      <c r="H1456" s="47" t="s">
        <v>970</v>
      </c>
      <c r="I1456" s="47" t="s">
        <v>789</v>
      </c>
      <c r="J1456" s="44">
        <v>10.75191</v>
      </c>
      <c r="K1456" s="48">
        <v>106.600592</v>
      </c>
    </row>
    <row r="1457" ht="22.5" customHeight="1">
      <c r="A1457" s="44" t="s">
        <v>199</v>
      </c>
      <c r="B1457" s="44" t="s">
        <v>4748</v>
      </c>
      <c r="C1457" s="44" t="s">
        <v>4749</v>
      </c>
      <c r="D1457" s="44" t="s">
        <v>1036</v>
      </c>
      <c r="E1457" s="49" t="s">
        <v>887</v>
      </c>
      <c r="F1457" s="44" t="s">
        <v>1031</v>
      </c>
      <c r="G1457" s="44">
        <v>44.0</v>
      </c>
      <c r="H1457" s="47" t="s">
        <v>970</v>
      </c>
      <c r="I1457" s="47" t="s">
        <v>898</v>
      </c>
      <c r="J1457" s="44">
        <v>10.784501</v>
      </c>
      <c r="K1457" s="48">
        <v>106.747722</v>
      </c>
    </row>
    <row r="1458" ht="22.5" customHeight="1">
      <c r="A1458" s="44" t="s">
        <v>4750</v>
      </c>
      <c r="B1458" s="44" t="s">
        <v>4751</v>
      </c>
      <c r="C1458" s="44" t="s">
        <v>4752</v>
      </c>
      <c r="D1458" s="44" t="s">
        <v>1359</v>
      </c>
      <c r="E1458" s="49" t="s">
        <v>813</v>
      </c>
      <c r="F1458" s="44" t="s">
        <v>1015</v>
      </c>
      <c r="G1458" s="44">
        <v>46.0</v>
      </c>
      <c r="H1458" s="47" t="s">
        <v>970</v>
      </c>
      <c r="I1458" s="47" t="s">
        <v>813</v>
      </c>
      <c r="J1458" s="44">
        <v>10.756331</v>
      </c>
      <c r="K1458" s="48">
        <v>106.665504</v>
      </c>
    </row>
    <row r="1459" ht="22.5" customHeight="1">
      <c r="A1459" s="44" t="s">
        <v>4753</v>
      </c>
      <c r="B1459" s="44" t="s">
        <v>4754</v>
      </c>
      <c r="C1459" s="44" t="s">
        <v>4755</v>
      </c>
      <c r="D1459" s="44" t="s">
        <v>973</v>
      </c>
      <c r="E1459" s="49" t="s">
        <v>894</v>
      </c>
      <c r="F1459" s="44" t="s">
        <v>974</v>
      </c>
      <c r="G1459" s="44">
        <v>68.0</v>
      </c>
      <c r="H1459" s="47" t="s">
        <v>970</v>
      </c>
      <c r="I1459" s="47" t="s">
        <v>894</v>
      </c>
      <c r="J1459" s="44">
        <v>10.721533</v>
      </c>
      <c r="K1459" s="48">
        <v>106.713236</v>
      </c>
    </row>
    <row r="1460" ht="22.5" customHeight="1">
      <c r="A1460" s="44" t="s">
        <v>106</v>
      </c>
      <c r="B1460" s="44" t="s">
        <v>4756</v>
      </c>
      <c r="C1460" s="44" t="s">
        <v>4757</v>
      </c>
      <c r="D1460" s="44" t="s">
        <v>1189</v>
      </c>
      <c r="E1460" s="49" t="s">
        <v>893</v>
      </c>
      <c r="F1460" s="44" t="s">
        <v>1088</v>
      </c>
      <c r="G1460" s="44">
        <v>30.0</v>
      </c>
      <c r="H1460" s="47" t="s">
        <v>970</v>
      </c>
      <c r="I1460" s="47" t="s">
        <v>819</v>
      </c>
      <c r="J1460" s="44">
        <v>10.810808128924</v>
      </c>
      <c r="K1460" s="48">
        <v>106.61220224344</v>
      </c>
    </row>
    <row r="1461" ht="22.5" customHeight="1">
      <c r="A1461" s="44" t="s">
        <v>4758</v>
      </c>
      <c r="B1461" s="44" t="s">
        <v>4759</v>
      </c>
      <c r="C1461" s="44" t="s">
        <v>4760</v>
      </c>
      <c r="D1461" s="44" t="s">
        <v>1510</v>
      </c>
      <c r="E1461" s="49" t="s">
        <v>804</v>
      </c>
      <c r="F1461" s="44" t="s">
        <v>1497</v>
      </c>
      <c r="G1461" s="44">
        <v>30.0</v>
      </c>
      <c r="H1461" s="47" t="s">
        <v>970</v>
      </c>
      <c r="I1461" s="47" t="s">
        <v>804</v>
      </c>
      <c r="J1461" s="44">
        <v>10.765334</v>
      </c>
      <c r="K1461" s="48">
        <v>106.702183</v>
      </c>
    </row>
    <row r="1462" ht="22.5" customHeight="1">
      <c r="A1462" s="44" t="s">
        <v>594</v>
      </c>
      <c r="B1462" s="44" t="s">
        <v>4761</v>
      </c>
      <c r="C1462" s="44" t="s">
        <v>4762</v>
      </c>
      <c r="D1462" s="44" t="s">
        <v>1280</v>
      </c>
      <c r="E1462" s="49" t="s">
        <v>510</v>
      </c>
      <c r="F1462" s="44" t="s">
        <v>983</v>
      </c>
      <c r="G1462" s="44">
        <v>66.0</v>
      </c>
      <c r="H1462" s="47" t="s">
        <v>970</v>
      </c>
      <c r="I1462" s="47" t="s">
        <v>510</v>
      </c>
      <c r="J1462" s="44">
        <v>10.851544</v>
      </c>
      <c r="K1462" s="48">
        <v>106.754707</v>
      </c>
    </row>
    <row r="1463" ht="22.5" customHeight="1">
      <c r="A1463" s="44" t="s">
        <v>4763</v>
      </c>
      <c r="B1463" s="44" t="s">
        <v>4764</v>
      </c>
      <c r="C1463" s="44" t="s">
        <v>4765</v>
      </c>
      <c r="D1463" s="44" t="s">
        <v>1167</v>
      </c>
      <c r="E1463" s="49" t="s">
        <v>789</v>
      </c>
      <c r="F1463" s="44" t="s">
        <v>1168</v>
      </c>
      <c r="G1463" s="44">
        <v>69.0</v>
      </c>
      <c r="H1463" s="47" t="s">
        <v>970</v>
      </c>
      <c r="I1463" s="47" t="s">
        <v>789</v>
      </c>
      <c r="J1463" s="44">
        <v>10.75461</v>
      </c>
      <c r="K1463" s="48">
        <v>106.619998</v>
      </c>
    </row>
    <row r="1464" ht="22.5" customHeight="1">
      <c r="A1464" s="44" t="s">
        <v>4766</v>
      </c>
      <c r="B1464" s="44" t="s">
        <v>4767</v>
      </c>
      <c r="C1464" s="44" t="s">
        <v>4768</v>
      </c>
      <c r="D1464" s="44" t="s">
        <v>2200</v>
      </c>
      <c r="E1464" s="49" t="s">
        <v>789</v>
      </c>
      <c r="F1464" s="44" t="s">
        <v>1168</v>
      </c>
      <c r="G1464" s="44">
        <v>69.0</v>
      </c>
      <c r="H1464" s="47" t="s">
        <v>970</v>
      </c>
      <c r="I1464" s="47" t="s">
        <v>820</v>
      </c>
      <c r="J1464" s="44">
        <v>10.771665</v>
      </c>
      <c r="K1464" s="48">
        <v>106.58654</v>
      </c>
    </row>
    <row r="1465" ht="22.5" customHeight="1">
      <c r="A1465" s="44" t="s">
        <v>107</v>
      </c>
      <c r="B1465" s="44" t="s">
        <v>4769</v>
      </c>
      <c r="C1465" s="44" t="s">
        <v>4770</v>
      </c>
      <c r="D1465" s="44" t="s">
        <v>1189</v>
      </c>
      <c r="E1465" s="49" t="s">
        <v>893</v>
      </c>
      <c r="F1465" s="44" t="s">
        <v>1088</v>
      </c>
      <c r="G1465" s="44">
        <v>60.0</v>
      </c>
      <c r="H1465" s="47" t="s">
        <v>970</v>
      </c>
      <c r="I1465" s="47" t="s">
        <v>819</v>
      </c>
      <c r="J1465" s="44">
        <v>10.809061933471</v>
      </c>
      <c r="K1465" s="48">
        <v>106.61541836075</v>
      </c>
    </row>
    <row r="1466" ht="22.5" customHeight="1">
      <c r="A1466" s="44" t="s">
        <v>4771</v>
      </c>
      <c r="B1466" s="44" t="s">
        <v>4772</v>
      </c>
      <c r="C1466" s="44" t="s">
        <v>4773</v>
      </c>
      <c r="D1466" s="44" t="s">
        <v>1359</v>
      </c>
      <c r="E1466" s="49" t="s">
        <v>813</v>
      </c>
      <c r="F1466" s="44" t="s">
        <v>1015</v>
      </c>
      <c r="G1466" s="44">
        <v>76.0</v>
      </c>
      <c r="H1466" s="47" t="s">
        <v>970</v>
      </c>
      <c r="I1466" s="47" t="s">
        <v>822</v>
      </c>
      <c r="J1466" s="44">
        <v>10.754824</v>
      </c>
      <c r="K1466" s="48">
        <v>106.658731</v>
      </c>
    </row>
    <row r="1467" ht="22.5" customHeight="1">
      <c r="A1467" s="44" t="s">
        <v>4774</v>
      </c>
      <c r="B1467" s="44" t="s">
        <v>4775</v>
      </c>
      <c r="C1467" s="44" t="s">
        <v>4776</v>
      </c>
      <c r="D1467" s="44" t="s">
        <v>1583</v>
      </c>
      <c r="E1467" s="49" t="s">
        <v>872</v>
      </c>
      <c r="F1467" s="44" t="s">
        <v>1003</v>
      </c>
      <c r="G1467" s="44">
        <v>75.0</v>
      </c>
      <c r="H1467" s="47" t="s">
        <v>970</v>
      </c>
      <c r="I1467" s="47" t="s">
        <v>872</v>
      </c>
      <c r="J1467" s="44">
        <v>10.520031</v>
      </c>
      <c r="K1467" s="48">
        <v>106.412045</v>
      </c>
    </row>
    <row r="1468" ht="22.5" customHeight="1">
      <c r="A1468" s="44" t="s">
        <v>4777</v>
      </c>
      <c r="B1468" s="44" t="s">
        <v>4778</v>
      </c>
      <c r="C1468" s="44" t="s">
        <v>4779</v>
      </c>
      <c r="D1468" s="44" t="s">
        <v>1268</v>
      </c>
      <c r="E1468" s="49" t="s">
        <v>888</v>
      </c>
      <c r="F1468" s="44" t="s">
        <v>1136</v>
      </c>
      <c r="G1468" s="44">
        <v>39.0</v>
      </c>
      <c r="H1468" s="47" t="s">
        <v>970</v>
      </c>
      <c r="I1468" s="47" t="s">
        <v>826</v>
      </c>
      <c r="J1468" s="44">
        <v>10.77722</v>
      </c>
      <c r="K1468" s="48">
        <v>106.687502</v>
      </c>
    </row>
    <row r="1469" ht="22.5" customHeight="1">
      <c r="A1469" s="44" t="s">
        <v>4780</v>
      </c>
      <c r="B1469" s="44" t="s">
        <v>4781</v>
      </c>
      <c r="C1469" s="44" t="s">
        <v>4782</v>
      </c>
      <c r="D1469" s="44" t="s">
        <v>1093</v>
      </c>
      <c r="E1469" s="49" t="s">
        <v>897</v>
      </c>
      <c r="F1469" s="44" t="s">
        <v>1027</v>
      </c>
      <c r="G1469" s="44">
        <v>68.0</v>
      </c>
      <c r="H1469" s="47" t="s">
        <v>970</v>
      </c>
      <c r="I1469" s="47" t="s">
        <v>886</v>
      </c>
      <c r="J1469" s="44">
        <v>10.818152</v>
      </c>
      <c r="K1469" s="48">
        <v>106.676089</v>
      </c>
    </row>
    <row r="1470" ht="22.5" customHeight="1">
      <c r="A1470" s="44" t="s">
        <v>4783</v>
      </c>
      <c r="B1470" s="44" t="s">
        <v>4784</v>
      </c>
      <c r="C1470" s="44" t="s">
        <v>4785</v>
      </c>
      <c r="D1470" s="44" t="s">
        <v>1280</v>
      </c>
      <c r="E1470" s="49" t="s">
        <v>510</v>
      </c>
      <c r="F1470" s="44" t="s">
        <v>983</v>
      </c>
      <c r="G1470" s="44">
        <v>66.0</v>
      </c>
      <c r="H1470" s="47" t="s">
        <v>970</v>
      </c>
      <c r="I1470" s="47" t="s">
        <v>510</v>
      </c>
      <c r="J1470" s="44">
        <v>10.848453</v>
      </c>
      <c r="K1470" s="48">
        <v>106.755048</v>
      </c>
    </row>
    <row r="1471" ht="22.5" customHeight="1">
      <c r="A1471" s="44" t="s">
        <v>732</v>
      </c>
      <c r="B1471" s="44" t="s">
        <v>4786</v>
      </c>
      <c r="C1471" s="44" t="s">
        <v>4787</v>
      </c>
      <c r="D1471" s="44" t="s">
        <v>1139</v>
      </c>
      <c r="E1471" s="49" t="s">
        <v>894</v>
      </c>
      <c r="F1471" s="44" t="s">
        <v>974</v>
      </c>
      <c r="G1471" s="44">
        <v>45.0</v>
      </c>
      <c r="H1471" s="47" t="s">
        <v>970</v>
      </c>
      <c r="I1471" s="47" t="s">
        <v>894</v>
      </c>
      <c r="J1471" s="44">
        <v>10.721936</v>
      </c>
      <c r="K1471" s="48">
        <v>106.703464</v>
      </c>
    </row>
    <row r="1472" ht="22.5" customHeight="1">
      <c r="A1472" s="44" t="s">
        <v>671</v>
      </c>
      <c r="B1472" s="44" t="s">
        <v>4788</v>
      </c>
      <c r="C1472" s="44" t="s">
        <v>4789</v>
      </c>
      <c r="D1472" s="44" t="s">
        <v>1007</v>
      </c>
      <c r="E1472" s="49" t="s">
        <v>510</v>
      </c>
      <c r="F1472" s="44" t="s">
        <v>983</v>
      </c>
      <c r="G1472" s="44">
        <v>66.0</v>
      </c>
      <c r="H1472" s="47" t="s">
        <v>970</v>
      </c>
      <c r="I1472" s="47" t="s">
        <v>510</v>
      </c>
      <c r="J1472" s="44">
        <v>10.872228</v>
      </c>
      <c r="K1472" s="48">
        <v>106.733632</v>
      </c>
    </row>
    <row r="1473" ht="22.5" customHeight="1">
      <c r="A1473" s="44" t="s">
        <v>4790</v>
      </c>
      <c r="B1473" s="44" t="s">
        <v>4791</v>
      </c>
      <c r="C1473" s="44" t="s">
        <v>4792</v>
      </c>
      <c r="D1473" s="44" t="s">
        <v>1227</v>
      </c>
      <c r="E1473" s="49" t="s">
        <v>890</v>
      </c>
      <c r="F1473" s="44" t="s">
        <v>1228</v>
      </c>
      <c r="G1473" s="44">
        <v>60.0</v>
      </c>
      <c r="H1473" s="47" t="s">
        <v>970</v>
      </c>
      <c r="I1473" s="47" t="s">
        <v>890</v>
      </c>
      <c r="J1473" s="44">
        <v>10.88543462074</v>
      </c>
      <c r="K1473" s="48">
        <v>106.7540628604</v>
      </c>
    </row>
    <row r="1474" ht="22.5" customHeight="1">
      <c r="A1474" s="44" t="s">
        <v>4793</v>
      </c>
      <c r="B1474" s="44" t="s">
        <v>4794</v>
      </c>
      <c r="C1474" s="44" t="s">
        <v>4795</v>
      </c>
      <c r="D1474" s="44" t="s">
        <v>982</v>
      </c>
      <c r="E1474" s="49" t="s">
        <v>510</v>
      </c>
      <c r="F1474" s="44" t="s">
        <v>983</v>
      </c>
      <c r="G1474" s="44">
        <v>66.0</v>
      </c>
      <c r="H1474" s="47" t="s">
        <v>970</v>
      </c>
      <c r="I1474" s="47" t="s">
        <v>809</v>
      </c>
      <c r="J1474" s="44">
        <v>10.837307</v>
      </c>
      <c r="K1474" s="48">
        <v>106.714174</v>
      </c>
    </row>
    <row r="1475" ht="22.5" customHeight="1">
      <c r="A1475" s="44" t="s">
        <v>38</v>
      </c>
      <c r="B1475" s="44" t="s">
        <v>4796</v>
      </c>
      <c r="C1475" s="44" t="s">
        <v>4797</v>
      </c>
      <c r="D1475" s="44" t="s">
        <v>2129</v>
      </c>
      <c r="E1475" s="49" t="s">
        <v>891</v>
      </c>
      <c r="F1475" s="44" t="s">
        <v>1125</v>
      </c>
      <c r="G1475" s="44">
        <v>45.0</v>
      </c>
      <c r="H1475" s="47" t="s">
        <v>970</v>
      </c>
      <c r="I1475" s="47" t="s">
        <v>891</v>
      </c>
      <c r="J1475" s="44">
        <v>10.991414171523</v>
      </c>
      <c r="K1475" s="48">
        <v>106.87163539561</v>
      </c>
    </row>
    <row r="1476" ht="22.5" customHeight="1">
      <c r="A1476" s="44" t="s">
        <v>4798</v>
      </c>
      <c r="B1476" s="44" t="s">
        <v>4799</v>
      </c>
      <c r="C1476" s="44" t="s">
        <v>4800</v>
      </c>
      <c r="D1476" s="44" t="s">
        <v>1120</v>
      </c>
      <c r="E1476" s="49" t="s">
        <v>895</v>
      </c>
      <c r="F1476" s="44" t="s">
        <v>1121</v>
      </c>
      <c r="G1476" s="44">
        <v>72.0</v>
      </c>
      <c r="H1476" s="47" t="s">
        <v>970</v>
      </c>
      <c r="I1476" s="47" t="s">
        <v>895</v>
      </c>
      <c r="J1476" s="44">
        <v>10.86898</v>
      </c>
      <c r="K1476" s="48">
        <v>106.807693</v>
      </c>
    </row>
    <row r="1477" ht="22.5" customHeight="1">
      <c r="A1477" s="44" t="s">
        <v>4801</v>
      </c>
      <c r="B1477" s="44" t="s">
        <v>4802</v>
      </c>
      <c r="C1477" s="44" t="s">
        <v>3280</v>
      </c>
      <c r="D1477" s="44" t="s">
        <v>1433</v>
      </c>
      <c r="E1477" s="49" t="s">
        <v>910</v>
      </c>
      <c r="F1477" s="44" t="s">
        <v>987</v>
      </c>
      <c r="G1477" s="44">
        <v>60.0</v>
      </c>
      <c r="H1477" s="47" t="s">
        <v>970</v>
      </c>
      <c r="I1477" s="47" t="s">
        <v>910</v>
      </c>
      <c r="J1477" s="44">
        <v>10.76856</v>
      </c>
      <c r="K1477" s="48">
        <v>106.670159</v>
      </c>
    </row>
    <row r="1478" ht="22.5" customHeight="1">
      <c r="A1478" s="44" t="s">
        <v>635</v>
      </c>
      <c r="B1478" s="44" t="s">
        <v>4803</v>
      </c>
      <c r="C1478" s="44" t="s">
        <v>4804</v>
      </c>
      <c r="D1478" s="44" t="s">
        <v>1820</v>
      </c>
      <c r="E1478" s="49" t="s">
        <v>850</v>
      </c>
      <c r="F1478" s="44" t="s">
        <v>1057</v>
      </c>
      <c r="G1478" s="44">
        <v>60.0</v>
      </c>
      <c r="H1478" s="47" t="s">
        <v>970</v>
      </c>
      <c r="I1478" s="47" t="s">
        <v>850</v>
      </c>
      <c r="J1478" s="44">
        <v>10.975802015747</v>
      </c>
      <c r="K1478" s="48">
        <v>106.48040235397</v>
      </c>
    </row>
    <row r="1479" ht="22.5" customHeight="1">
      <c r="A1479" s="44" t="s">
        <v>696</v>
      </c>
      <c r="B1479" s="44" t="s">
        <v>4805</v>
      </c>
      <c r="C1479" s="44" t="s">
        <v>4806</v>
      </c>
      <c r="D1479" s="44" t="s">
        <v>1668</v>
      </c>
      <c r="E1479" s="49" t="s">
        <v>797</v>
      </c>
      <c r="F1479" s="44" t="s">
        <v>1409</v>
      </c>
      <c r="G1479" s="44">
        <v>30.0</v>
      </c>
      <c r="H1479" s="47" t="s">
        <v>970</v>
      </c>
      <c r="I1479" s="47" t="s">
        <v>797</v>
      </c>
      <c r="J1479" s="44">
        <v>10.896166</v>
      </c>
      <c r="K1479" s="48">
        <v>106.622626</v>
      </c>
    </row>
    <row r="1480" ht="22.5" customHeight="1">
      <c r="A1480" s="44" t="s">
        <v>4807</v>
      </c>
      <c r="B1480" s="44" t="s">
        <v>4808</v>
      </c>
      <c r="C1480" s="44" t="s">
        <v>2512</v>
      </c>
      <c r="D1480" s="44" t="s">
        <v>1939</v>
      </c>
      <c r="E1480" s="49" t="s">
        <v>895</v>
      </c>
      <c r="F1480" s="44" t="s">
        <v>1121</v>
      </c>
      <c r="G1480" s="44">
        <v>66.0</v>
      </c>
      <c r="H1480" s="47" t="s">
        <v>970</v>
      </c>
      <c r="I1480" s="47" t="s">
        <v>895</v>
      </c>
      <c r="J1480" s="44">
        <v>10.861369</v>
      </c>
      <c r="K1480" s="48">
        <v>106.779868</v>
      </c>
    </row>
    <row r="1481" ht="22.5" customHeight="1">
      <c r="A1481" s="44" t="s">
        <v>4809</v>
      </c>
      <c r="B1481" s="44" t="s">
        <v>4810</v>
      </c>
      <c r="C1481" s="44" t="s">
        <v>4811</v>
      </c>
      <c r="D1481" s="44" t="s">
        <v>1067</v>
      </c>
      <c r="E1481" s="49" t="s">
        <v>897</v>
      </c>
      <c r="F1481" s="44" t="s">
        <v>1027</v>
      </c>
      <c r="G1481" s="44">
        <v>60.0</v>
      </c>
      <c r="H1481" s="47" t="s">
        <v>970</v>
      </c>
      <c r="I1481" s="47" t="s">
        <v>896</v>
      </c>
      <c r="J1481" s="44">
        <v>10.84266</v>
      </c>
      <c r="K1481" s="48">
        <v>106.620808</v>
      </c>
    </row>
    <row r="1482" ht="22.5" customHeight="1">
      <c r="A1482" s="44" t="s">
        <v>4812</v>
      </c>
      <c r="B1482" s="44" t="s">
        <v>4813</v>
      </c>
      <c r="C1482" s="44" t="s">
        <v>4814</v>
      </c>
      <c r="D1482" s="44" t="s">
        <v>1026</v>
      </c>
      <c r="E1482" s="49" t="s">
        <v>897</v>
      </c>
      <c r="F1482" s="44" t="s">
        <v>1027</v>
      </c>
      <c r="G1482" s="44">
        <v>68.0</v>
      </c>
      <c r="H1482" s="47" t="s">
        <v>970</v>
      </c>
      <c r="I1482" s="47" t="s">
        <v>897</v>
      </c>
      <c r="J1482" s="44">
        <v>10.843208</v>
      </c>
      <c r="K1482" s="48">
        <v>106.641964</v>
      </c>
    </row>
    <row r="1483" ht="22.5" customHeight="1">
      <c r="A1483" s="44" t="s">
        <v>4815</v>
      </c>
      <c r="B1483" s="44" t="s">
        <v>4816</v>
      </c>
      <c r="C1483" s="44" t="s">
        <v>4817</v>
      </c>
      <c r="D1483" s="44" t="s">
        <v>1442</v>
      </c>
      <c r="E1483" s="49" t="s">
        <v>888</v>
      </c>
      <c r="F1483" s="44" t="s">
        <v>1136</v>
      </c>
      <c r="G1483" s="44">
        <v>60.0</v>
      </c>
      <c r="H1483" s="47" t="s">
        <v>970</v>
      </c>
      <c r="I1483" s="47" t="s">
        <v>804</v>
      </c>
      <c r="J1483" s="44">
        <v>10.762422</v>
      </c>
      <c r="K1483" s="48">
        <v>106.688652</v>
      </c>
    </row>
    <row r="1484" ht="22.5" customHeight="1">
      <c r="A1484" s="44" t="s">
        <v>4818</v>
      </c>
      <c r="B1484" s="44" t="s">
        <v>4819</v>
      </c>
      <c r="C1484" s="44" t="s">
        <v>4820</v>
      </c>
      <c r="D1484" s="44" t="s">
        <v>973</v>
      </c>
      <c r="E1484" s="49" t="s">
        <v>894</v>
      </c>
      <c r="F1484" s="44" t="s">
        <v>974</v>
      </c>
      <c r="G1484" s="44">
        <v>68.0</v>
      </c>
      <c r="H1484" s="47" t="s">
        <v>970</v>
      </c>
      <c r="I1484" s="47" t="s">
        <v>811</v>
      </c>
      <c r="J1484" s="44">
        <v>10.74237</v>
      </c>
      <c r="K1484" s="48">
        <v>106.69615</v>
      </c>
    </row>
    <row r="1485" ht="22.5" customHeight="1">
      <c r="A1485" s="44" t="s">
        <v>274</v>
      </c>
      <c r="B1485" s="44" t="s">
        <v>4821</v>
      </c>
      <c r="C1485" s="44" t="s">
        <v>4061</v>
      </c>
      <c r="D1485" s="44" t="s">
        <v>1107</v>
      </c>
      <c r="E1485" s="49" t="s">
        <v>892</v>
      </c>
      <c r="F1485" s="44" t="s">
        <v>1108</v>
      </c>
      <c r="G1485" s="44">
        <v>60.0</v>
      </c>
      <c r="H1485" s="47" t="s">
        <v>970</v>
      </c>
      <c r="I1485" s="47" t="s">
        <v>892</v>
      </c>
      <c r="J1485" s="44">
        <v>10.987081</v>
      </c>
      <c r="K1485" s="48">
        <v>106.664383</v>
      </c>
    </row>
    <row r="1486" ht="22.5" customHeight="1">
      <c r="A1486" s="44" t="s">
        <v>108</v>
      </c>
      <c r="B1486" s="44" t="s">
        <v>4822</v>
      </c>
      <c r="C1486" s="44" t="s">
        <v>4823</v>
      </c>
      <c r="D1486" s="44" t="s">
        <v>1154</v>
      </c>
      <c r="E1486" s="49" t="s">
        <v>893</v>
      </c>
      <c r="F1486" s="44" t="s">
        <v>1088</v>
      </c>
      <c r="G1486" s="44">
        <v>30.0</v>
      </c>
      <c r="H1486" s="47" t="s">
        <v>970</v>
      </c>
      <c r="I1486" s="47" t="s">
        <v>893</v>
      </c>
      <c r="J1486" s="44">
        <v>10.790861372157</v>
      </c>
      <c r="K1486" s="48">
        <v>106.63424947052</v>
      </c>
    </row>
    <row r="1487" ht="22.5" customHeight="1">
      <c r="A1487" s="44" t="s">
        <v>4824</v>
      </c>
      <c r="B1487" s="44" t="s">
        <v>4825</v>
      </c>
      <c r="C1487" s="44" t="s">
        <v>4826</v>
      </c>
      <c r="D1487" s="44" t="s">
        <v>1528</v>
      </c>
      <c r="E1487" s="49" t="s">
        <v>910</v>
      </c>
      <c r="F1487" s="44" t="s">
        <v>987</v>
      </c>
      <c r="G1487" s="44">
        <v>60.0</v>
      </c>
      <c r="H1487" s="47" t="s">
        <v>970</v>
      </c>
      <c r="I1487" s="47" t="s">
        <v>826</v>
      </c>
      <c r="J1487" s="44">
        <v>10.77267</v>
      </c>
      <c r="K1487" s="48">
        <v>106.682621</v>
      </c>
    </row>
    <row r="1488" ht="22.5" customHeight="1">
      <c r="A1488" s="44" t="s">
        <v>4827</v>
      </c>
      <c r="B1488" s="44" t="s">
        <v>4828</v>
      </c>
      <c r="C1488" s="44" t="s">
        <v>4829</v>
      </c>
      <c r="D1488" s="44" t="s">
        <v>1047</v>
      </c>
      <c r="E1488" s="49" t="s">
        <v>889</v>
      </c>
      <c r="F1488" s="44" t="s">
        <v>1043</v>
      </c>
      <c r="G1488" s="44">
        <v>60.0</v>
      </c>
      <c r="H1488" s="47" t="s">
        <v>970</v>
      </c>
      <c r="I1488" s="47" t="s">
        <v>889</v>
      </c>
      <c r="J1488" s="44">
        <v>10.803747</v>
      </c>
      <c r="K1488" s="48">
        <v>106.694139</v>
      </c>
    </row>
    <row r="1489" ht="22.5" customHeight="1">
      <c r="A1489" s="44" t="s">
        <v>4830</v>
      </c>
      <c r="B1489" s="44" t="s">
        <v>4831</v>
      </c>
      <c r="C1489" s="44" t="s">
        <v>4832</v>
      </c>
      <c r="D1489" s="44" t="s">
        <v>1860</v>
      </c>
      <c r="E1489" s="49" t="s">
        <v>814</v>
      </c>
      <c r="F1489" s="44" t="s">
        <v>1369</v>
      </c>
      <c r="G1489" s="44">
        <v>60.0</v>
      </c>
      <c r="H1489" s="47" t="s">
        <v>970</v>
      </c>
      <c r="I1489" s="47" t="s">
        <v>889</v>
      </c>
      <c r="J1489" s="44">
        <v>10.80606</v>
      </c>
      <c r="K1489" s="48">
        <v>106.683443</v>
      </c>
    </row>
    <row r="1490" ht="22.5" customHeight="1">
      <c r="A1490" s="44" t="s">
        <v>4833</v>
      </c>
      <c r="B1490" s="44" t="s">
        <v>4834</v>
      </c>
      <c r="C1490" s="44" t="s">
        <v>4835</v>
      </c>
      <c r="D1490" s="44" t="s">
        <v>4836</v>
      </c>
      <c r="E1490" s="49" t="s">
        <v>891</v>
      </c>
      <c r="F1490" s="44" t="s">
        <v>1125</v>
      </c>
      <c r="G1490" s="44">
        <v>60.0</v>
      </c>
      <c r="H1490" s="47" t="s">
        <v>970</v>
      </c>
      <c r="I1490" s="47" t="s">
        <v>891</v>
      </c>
      <c r="J1490" s="44">
        <v>10.949301</v>
      </c>
      <c r="K1490" s="48">
        <v>107.008059</v>
      </c>
    </row>
    <row r="1491" ht="22.5" customHeight="1">
      <c r="A1491" s="44" t="s">
        <v>193</v>
      </c>
      <c r="B1491" s="44" t="s">
        <v>4837</v>
      </c>
      <c r="C1491" s="44" t="s">
        <v>4838</v>
      </c>
      <c r="D1491" s="44" t="s">
        <v>1030</v>
      </c>
      <c r="E1491" s="49" t="s">
        <v>887</v>
      </c>
      <c r="F1491" s="44" t="s">
        <v>1031</v>
      </c>
      <c r="G1491" s="44">
        <v>59.0</v>
      </c>
      <c r="H1491" s="47" t="s">
        <v>970</v>
      </c>
      <c r="I1491" s="47" t="s">
        <v>832</v>
      </c>
      <c r="J1491" s="44">
        <v>10.805233126497</v>
      </c>
      <c r="K1491" s="48">
        <v>106.75167862614</v>
      </c>
    </row>
    <row r="1492" ht="22.5" customHeight="1">
      <c r="A1492" s="44" t="s">
        <v>4839</v>
      </c>
      <c r="B1492" s="44" t="s">
        <v>4840</v>
      </c>
      <c r="C1492" s="44" t="s">
        <v>4061</v>
      </c>
      <c r="D1492" s="44" t="s">
        <v>1107</v>
      </c>
      <c r="E1492" s="49" t="s">
        <v>883</v>
      </c>
      <c r="F1492" s="44" t="s">
        <v>1471</v>
      </c>
      <c r="G1492" s="44">
        <v>60.0</v>
      </c>
      <c r="H1492" s="47" t="s">
        <v>970</v>
      </c>
      <c r="I1492" s="47" t="s">
        <v>892</v>
      </c>
      <c r="J1492" s="44">
        <v>10.987081</v>
      </c>
      <c r="K1492" s="48">
        <v>106.664383</v>
      </c>
    </row>
    <row r="1493" ht="22.5" customHeight="1">
      <c r="A1493" s="44" t="s">
        <v>275</v>
      </c>
      <c r="B1493" s="44" t="s">
        <v>4841</v>
      </c>
      <c r="C1493" s="44" t="s">
        <v>4842</v>
      </c>
      <c r="D1493" s="44" t="s">
        <v>4843</v>
      </c>
      <c r="E1493" s="49" t="s">
        <v>892</v>
      </c>
      <c r="F1493" s="44" t="s">
        <v>1108</v>
      </c>
      <c r="G1493" s="44">
        <v>75.0</v>
      </c>
      <c r="H1493" s="47" t="s">
        <v>970</v>
      </c>
      <c r="I1493" s="47" t="s">
        <v>892</v>
      </c>
      <c r="J1493" s="44">
        <v>11.015967</v>
      </c>
      <c r="K1493" s="48">
        <v>106.647648</v>
      </c>
    </row>
    <row r="1494" ht="22.5" customHeight="1">
      <c r="A1494" s="44" t="s">
        <v>275</v>
      </c>
      <c r="B1494" s="44" t="s">
        <v>4844</v>
      </c>
      <c r="C1494" s="44" t="s">
        <v>4845</v>
      </c>
      <c r="D1494" s="44" t="s">
        <v>4843</v>
      </c>
      <c r="E1494" s="49" t="s">
        <v>892</v>
      </c>
      <c r="F1494" s="44" t="s">
        <v>1108</v>
      </c>
      <c r="G1494" s="44">
        <v>75.0</v>
      </c>
      <c r="H1494" s="47" t="s">
        <v>970</v>
      </c>
      <c r="I1494" s="47" t="s">
        <v>892</v>
      </c>
      <c r="J1494" s="44">
        <v>11.02708</v>
      </c>
      <c r="K1494" s="48">
        <v>106.638556</v>
      </c>
    </row>
    <row r="1495" ht="22.5" customHeight="1">
      <c r="A1495" s="44" t="s">
        <v>4846</v>
      </c>
      <c r="B1495" s="44" t="s">
        <v>4847</v>
      </c>
      <c r="C1495" s="44" t="s">
        <v>4848</v>
      </c>
      <c r="D1495" s="44" t="s">
        <v>2374</v>
      </c>
      <c r="E1495" s="49" t="s">
        <v>897</v>
      </c>
      <c r="F1495" s="44" t="s">
        <v>1027</v>
      </c>
      <c r="G1495" s="44">
        <v>68.0</v>
      </c>
      <c r="H1495" s="47" t="s">
        <v>970</v>
      </c>
      <c r="I1495" s="47" t="s">
        <v>897</v>
      </c>
      <c r="J1495" s="44">
        <v>10.850962</v>
      </c>
      <c r="K1495" s="48">
        <v>106.663185</v>
      </c>
    </row>
    <row r="1496" ht="22.5" customHeight="1">
      <c r="A1496" s="44" t="s">
        <v>4846</v>
      </c>
      <c r="B1496" s="44" t="s">
        <v>4849</v>
      </c>
      <c r="C1496" s="44" t="s">
        <v>4850</v>
      </c>
      <c r="D1496" s="44" t="s">
        <v>2374</v>
      </c>
      <c r="E1496" s="49" t="s">
        <v>897</v>
      </c>
      <c r="F1496" s="44" t="s">
        <v>1027</v>
      </c>
      <c r="G1496" s="44">
        <v>68.0</v>
      </c>
      <c r="H1496" s="47" t="s">
        <v>970</v>
      </c>
      <c r="I1496" s="47" t="s">
        <v>897</v>
      </c>
      <c r="J1496" s="44">
        <v>10.851098</v>
      </c>
      <c r="K1496" s="48">
        <v>106.663029</v>
      </c>
    </row>
    <row r="1497" ht="22.5" customHeight="1">
      <c r="A1497" s="44" t="s">
        <v>4851</v>
      </c>
      <c r="B1497" s="44" t="s">
        <v>4852</v>
      </c>
      <c r="C1497" s="44" t="s">
        <v>4853</v>
      </c>
      <c r="D1497" s="44" t="s">
        <v>4854</v>
      </c>
      <c r="E1497" s="49" t="s">
        <v>872</v>
      </c>
      <c r="F1497" s="44" t="s">
        <v>1003</v>
      </c>
      <c r="G1497" s="44">
        <v>45.0</v>
      </c>
      <c r="H1497" s="47" t="s">
        <v>970</v>
      </c>
      <c r="I1497" s="47" t="s">
        <v>868</v>
      </c>
      <c r="J1497" s="44">
        <v>10.444966</v>
      </c>
      <c r="K1497" s="48">
        <v>106.342483</v>
      </c>
    </row>
    <row r="1498" ht="22.5" customHeight="1">
      <c r="A1498" s="44" t="s">
        <v>276</v>
      </c>
      <c r="B1498" s="44" t="s">
        <v>4855</v>
      </c>
      <c r="C1498" s="44" t="s">
        <v>3427</v>
      </c>
      <c r="D1498" s="44" t="s">
        <v>1107</v>
      </c>
      <c r="E1498" s="49" t="s">
        <v>892</v>
      </c>
      <c r="F1498" s="44" t="s">
        <v>1108</v>
      </c>
      <c r="G1498" s="44">
        <v>30.0</v>
      </c>
      <c r="H1498" s="47" t="s">
        <v>970</v>
      </c>
      <c r="I1498" s="47" t="s">
        <v>892</v>
      </c>
      <c r="J1498" s="44">
        <v>10.975602173817</v>
      </c>
      <c r="K1498" s="48">
        <v>106.65828222335</v>
      </c>
    </row>
    <row r="1499" ht="22.5" customHeight="1">
      <c r="A1499" s="44" t="s">
        <v>668</v>
      </c>
      <c r="B1499" s="44" t="s">
        <v>4856</v>
      </c>
      <c r="C1499" s="44" t="s">
        <v>4857</v>
      </c>
      <c r="D1499" s="44" t="s">
        <v>1668</v>
      </c>
      <c r="E1499" s="49" t="s">
        <v>797</v>
      </c>
      <c r="F1499" s="44" t="s">
        <v>1409</v>
      </c>
      <c r="G1499" s="44">
        <v>30.0</v>
      </c>
      <c r="H1499" s="47" t="s">
        <v>970</v>
      </c>
      <c r="I1499" s="47" t="s">
        <v>797</v>
      </c>
      <c r="J1499" s="44">
        <v>10.887147</v>
      </c>
      <c r="K1499" s="48">
        <v>106.607414</v>
      </c>
    </row>
    <row r="1500" ht="22.5" customHeight="1">
      <c r="A1500" s="44" t="s">
        <v>4858</v>
      </c>
      <c r="B1500" s="44" t="s">
        <v>4859</v>
      </c>
      <c r="C1500" s="44" t="s">
        <v>4860</v>
      </c>
      <c r="D1500" s="44" t="s">
        <v>1227</v>
      </c>
      <c r="E1500" s="49" t="s">
        <v>890</v>
      </c>
      <c r="F1500" s="44" t="s">
        <v>1228</v>
      </c>
      <c r="G1500" s="44">
        <v>45.0</v>
      </c>
      <c r="H1500" s="47" t="s">
        <v>970</v>
      </c>
      <c r="I1500" s="47" t="s">
        <v>510</v>
      </c>
      <c r="J1500" s="44">
        <v>10.871192</v>
      </c>
      <c r="K1500" s="48">
        <v>106.755027</v>
      </c>
    </row>
    <row r="1501" ht="22.5" customHeight="1">
      <c r="A1501" s="44" t="s">
        <v>4861</v>
      </c>
      <c r="B1501" s="44" t="s">
        <v>4862</v>
      </c>
      <c r="C1501" s="44" t="s">
        <v>2972</v>
      </c>
      <c r="D1501" s="44" t="s">
        <v>1470</v>
      </c>
      <c r="E1501" s="49" t="s">
        <v>883</v>
      </c>
      <c r="F1501" s="44" t="s">
        <v>1471</v>
      </c>
      <c r="G1501" s="44">
        <v>85.0</v>
      </c>
      <c r="H1501" s="47" t="s">
        <v>970</v>
      </c>
      <c r="I1501" s="47" t="s">
        <v>883</v>
      </c>
      <c r="J1501" s="44">
        <v>10.908706</v>
      </c>
      <c r="K1501" s="48">
        <v>106.701948</v>
      </c>
    </row>
    <row r="1502" ht="22.5" customHeight="1">
      <c r="A1502" s="44" t="s">
        <v>4863</v>
      </c>
      <c r="B1502" s="44" t="s">
        <v>4864</v>
      </c>
      <c r="C1502" s="44" t="s">
        <v>2972</v>
      </c>
      <c r="D1502" s="44" t="s">
        <v>1470</v>
      </c>
      <c r="E1502" s="49" t="s">
        <v>883</v>
      </c>
      <c r="F1502" s="44" t="s">
        <v>1471</v>
      </c>
      <c r="G1502" s="44">
        <v>85.0</v>
      </c>
      <c r="H1502" s="47" t="s">
        <v>970</v>
      </c>
      <c r="I1502" s="47" t="s">
        <v>883</v>
      </c>
      <c r="J1502" s="44">
        <v>10.908706</v>
      </c>
      <c r="K1502" s="48">
        <v>106.701948</v>
      </c>
    </row>
    <row r="1503" ht="22.5" customHeight="1">
      <c r="A1503" s="44" t="s">
        <v>4865</v>
      </c>
      <c r="B1503" s="44" t="s">
        <v>4866</v>
      </c>
      <c r="C1503" s="44" t="s">
        <v>2972</v>
      </c>
      <c r="D1503" s="44" t="s">
        <v>1470</v>
      </c>
      <c r="E1503" s="49" t="s">
        <v>883</v>
      </c>
      <c r="F1503" s="44" t="s">
        <v>1471</v>
      </c>
      <c r="G1503" s="44">
        <v>70.0</v>
      </c>
      <c r="H1503" s="47" t="s">
        <v>970</v>
      </c>
      <c r="I1503" s="47" t="s">
        <v>883</v>
      </c>
      <c r="J1503" s="44">
        <v>10.908706</v>
      </c>
      <c r="K1503" s="48">
        <v>106.701948</v>
      </c>
    </row>
    <row r="1504" ht="22.5" customHeight="1">
      <c r="A1504" s="44" t="s">
        <v>4867</v>
      </c>
      <c r="B1504" s="44" t="s">
        <v>4868</v>
      </c>
      <c r="C1504" s="44" t="s">
        <v>2972</v>
      </c>
      <c r="D1504" s="44" t="s">
        <v>1470</v>
      </c>
      <c r="E1504" s="49" t="s">
        <v>883</v>
      </c>
      <c r="F1504" s="44" t="s">
        <v>1471</v>
      </c>
      <c r="G1504" s="44">
        <v>55.0</v>
      </c>
      <c r="H1504" s="47" t="s">
        <v>970</v>
      </c>
      <c r="I1504" s="47" t="s">
        <v>883</v>
      </c>
      <c r="J1504" s="44">
        <v>10.908706</v>
      </c>
      <c r="K1504" s="48">
        <v>106.701948</v>
      </c>
    </row>
    <row r="1505" ht="22.5" customHeight="1">
      <c r="A1505" s="44" t="s">
        <v>4869</v>
      </c>
      <c r="B1505" s="44" t="s">
        <v>4870</v>
      </c>
      <c r="C1505" s="44" t="s">
        <v>4871</v>
      </c>
      <c r="D1505" s="44" t="s">
        <v>1280</v>
      </c>
      <c r="E1505" s="49" t="s">
        <v>895</v>
      </c>
      <c r="F1505" s="44" t="s">
        <v>1121</v>
      </c>
      <c r="G1505" s="44">
        <v>36.0</v>
      </c>
      <c r="H1505" s="47" t="s">
        <v>970</v>
      </c>
      <c r="I1505" s="47" t="s">
        <v>895</v>
      </c>
      <c r="J1505" s="44">
        <v>10.850294</v>
      </c>
      <c r="K1505" s="48">
        <v>106.76666</v>
      </c>
    </row>
    <row r="1506" ht="22.5" customHeight="1">
      <c r="A1506" s="44" t="s">
        <v>4872</v>
      </c>
      <c r="B1506" s="44" t="s">
        <v>4873</v>
      </c>
      <c r="C1506" s="44" t="s">
        <v>4874</v>
      </c>
      <c r="D1506" s="44" t="s">
        <v>1478</v>
      </c>
      <c r="E1506" s="49" t="s">
        <v>895</v>
      </c>
      <c r="F1506" s="44" t="s">
        <v>1121</v>
      </c>
      <c r="G1506" s="44">
        <v>72.0</v>
      </c>
      <c r="H1506" s="47" t="s">
        <v>970</v>
      </c>
      <c r="I1506" s="47" t="s">
        <v>899</v>
      </c>
      <c r="J1506" s="44">
        <v>10.814357</v>
      </c>
      <c r="K1506" s="48">
        <v>106.77525</v>
      </c>
    </row>
    <row r="1507" ht="22.5" customHeight="1">
      <c r="A1507" s="44" t="s">
        <v>194</v>
      </c>
      <c r="B1507" s="44" t="s">
        <v>4875</v>
      </c>
      <c r="C1507" s="44" t="s">
        <v>3448</v>
      </c>
      <c r="D1507" s="44" t="s">
        <v>1036</v>
      </c>
      <c r="E1507" s="49" t="s">
        <v>887</v>
      </c>
      <c r="F1507" s="44" t="s">
        <v>1031</v>
      </c>
      <c r="G1507" s="44">
        <v>74.0</v>
      </c>
      <c r="H1507" s="47" t="s">
        <v>970</v>
      </c>
      <c r="I1507" s="47" t="s">
        <v>898</v>
      </c>
      <c r="J1507" s="44">
        <v>10.782762</v>
      </c>
      <c r="K1507" s="48">
        <v>106.769197</v>
      </c>
    </row>
    <row r="1508" ht="22.5" customHeight="1">
      <c r="A1508" s="44" t="s">
        <v>4876</v>
      </c>
      <c r="B1508" s="44" t="s">
        <v>4877</v>
      </c>
      <c r="C1508" s="44" t="s">
        <v>4878</v>
      </c>
      <c r="D1508" s="44" t="s">
        <v>1442</v>
      </c>
      <c r="E1508" s="49" t="s">
        <v>910</v>
      </c>
      <c r="F1508" s="44" t="s">
        <v>987</v>
      </c>
      <c r="G1508" s="50">
        <v>60.0</v>
      </c>
      <c r="H1508" s="47" t="s">
        <v>970</v>
      </c>
      <c r="I1508" s="47" t="s">
        <v>826</v>
      </c>
      <c r="J1508" s="44">
        <v>10.768001</v>
      </c>
      <c r="K1508" s="48">
        <v>106.684837</v>
      </c>
    </row>
    <row r="1509" ht="22.5" customHeight="1">
      <c r="A1509" s="44" t="s">
        <v>4879</v>
      </c>
      <c r="B1509" s="44" t="s">
        <v>4880</v>
      </c>
      <c r="C1509" s="44" t="s">
        <v>4881</v>
      </c>
      <c r="D1509" s="44" t="s">
        <v>1116</v>
      </c>
      <c r="E1509" s="49" t="s">
        <v>885</v>
      </c>
      <c r="F1509" s="44" t="s">
        <v>1117</v>
      </c>
      <c r="G1509" s="44">
        <v>60.0</v>
      </c>
      <c r="H1509" s="47" t="s">
        <v>970</v>
      </c>
      <c r="I1509" s="47" t="s">
        <v>811</v>
      </c>
      <c r="J1509" s="44">
        <v>10.74846</v>
      </c>
      <c r="K1509" s="48">
        <v>106.685147</v>
      </c>
    </row>
    <row r="1510" ht="22.5" customHeight="1">
      <c r="A1510" s="44" t="s">
        <v>4882</v>
      </c>
      <c r="B1510" s="44" t="s">
        <v>4883</v>
      </c>
      <c r="C1510" s="44" t="s">
        <v>4884</v>
      </c>
      <c r="D1510" s="44" t="s">
        <v>1546</v>
      </c>
      <c r="E1510" s="49" t="s">
        <v>797</v>
      </c>
      <c r="F1510" s="44" t="s">
        <v>1409</v>
      </c>
      <c r="G1510" s="44">
        <v>60.0</v>
      </c>
      <c r="H1510" s="47" t="s">
        <v>970</v>
      </c>
      <c r="I1510" s="47" t="s">
        <v>797</v>
      </c>
      <c r="J1510" s="44">
        <v>10.872032607717</v>
      </c>
      <c r="K1510" s="48">
        <v>106.59753908651</v>
      </c>
    </row>
    <row r="1511" ht="22.5" customHeight="1">
      <c r="A1511" s="44" t="s">
        <v>4885</v>
      </c>
      <c r="B1511" s="44" t="s">
        <v>4886</v>
      </c>
      <c r="C1511" s="44" t="s">
        <v>4887</v>
      </c>
      <c r="D1511" s="44" t="s">
        <v>1648</v>
      </c>
      <c r="E1511" s="49" t="s">
        <v>883</v>
      </c>
      <c r="F1511" s="44" t="s">
        <v>1471</v>
      </c>
      <c r="G1511" s="44">
        <v>60.0</v>
      </c>
      <c r="H1511" s="47" t="s">
        <v>970</v>
      </c>
      <c r="I1511" s="47" t="s">
        <v>892</v>
      </c>
      <c r="J1511" s="44">
        <v>10.981637001038</v>
      </c>
      <c r="K1511" s="48">
        <v>106.72325897217</v>
      </c>
    </row>
    <row r="1512" ht="22.5" customHeight="1">
      <c r="A1512" s="44" t="s">
        <v>4888</v>
      </c>
      <c r="B1512" s="44" t="s">
        <v>4889</v>
      </c>
      <c r="C1512" s="44" t="s">
        <v>4890</v>
      </c>
      <c r="D1512" s="44" t="s">
        <v>1224</v>
      </c>
      <c r="E1512" s="49" t="s">
        <v>872</v>
      </c>
      <c r="F1512" s="44" t="s">
        <v>1003</v>
      </c>
      <c r="G1512" s="44">
        <v>30.0</v>
      </c>
      <c r="H1512" s="47" t="s">
        <v>970</v>
      </c>
      <c r="I1512" s="47" t="s">
        <v>872</v>
      </c>
      <c r="J1512" s="44">
        <v>10.535102</v>
      </c>
      <c r="K1512" s="48">
        <v>106.41327</v>
      </c>
    </row>
    <row r="1513" ht="22.5" customHeight="1">
      <c r="A1513" s="44" t="s">
        <v>4891</v>
      </c>
      <c r="B1513" s="44" t="s">
        <v>4892</v>
      </c>
      <c r="C1513" s="44" t="s">
        <v>4893</v>
      </c>
      <c r="D1513" s="44" t="s">
        <v>1224</v>
      </c>
      <c r="E1513" s="49" t="s">
        <v>872</v>
      </c>
      <c r="F1513" s="44" t="s">
        <v>1003</v>
      </c>
      <c r="G1513" s="44">
        <v>60.0</v>
      </c>
      <c r="H1513" s="47" t="s">
        <v>970</v>
      </c>
      <c r="I1513" s="47" t="s">
        <v>872</v>
      </c>
      <c r="J1513" s="44">
        <v>10.537936</v>
      </c>
      <c r="K1513" s="48">
        <v>106.414867</v>
      </c>
    </row>
    <row r="1514" ht="22.5" customHeight="1">
      <c r="A1514" s="44" t="s">
        <v>4894</v>
      </c>
      <c r="B1514" s="44" t="s">
        <v>4895</v>
      </c>
      <c r="C1514" s="44" t="s">
        <v>4896</v>
      </c>
      <c r="D1514" s="44" t="s">
        <v>1811</v>
      </c>
      <c r="E1514" s="49" t="s">
        <v>889</v>
      </c>
      <c r="F1514" s="44" t="s">
        <v>1043</v>
      </c>
      <c r="G1514" s="44">
        <v>60.0</v>
      </c>
      <c r="H1514" s="47" t="s">
        <v>970</v>
      </c>
      <c r="I1514" s="47" t="s">
        <v>889</v>
      </c>
      <c r="J1514" s="44">
        <v>10.818872582734</v>
      </c>
      <c r="K1514" s="48">
        <v>106.70087572945</v>
      </c>
    </row>
    <row r="1515" ht="22.5" customHeight="1">
      <c r="A1515" s="44" t="s">
        <v>4897</v>
      </c>
      <c r="B1515" s="44" t="s">
        <v>4898</v>
      </c>
      <c r="C1515" s="44" t="s">
        <v>4899</v>
      </c>
      <c r="D1515" s="44" t="s">
        <v>1129</v>
      </c>
      <c r="E1515" s="49" t="s">
        <v>910</v>
      </c>
      <c r="F1515" s="44" t="s">
        <v>987</v>
      </c>
      <c r="G1515" s="44">
        <v>60.0</v>
      </c>
      <c r="H1515" s="47" t="s">
        <v>970</v>
      </c>
      <c r="I1515" s="47" t="s">
        <v>910</v>
      </c>
      <c r="J1515" s="44">
        <v>10.779311</v>
      </c>
      <c r="K1515" s="48">
        <v>106.674858</v>
      </c>
    </row>
    <row r="1516" ht="22.5" customHeight="1">
      <c r="A1516" s="44" t="s">
        <v>4900</v>
      </c>
      <c r="B1516" s="44" t="s">
        <v>4901</v>
      </c>
      <c r="C1516" s="44" t="s">
        <v>4902</v>
      </c>
      <c r="D1516" s="44" t="s">
        <v>1129</v>
      </c>
      <c r="E1516" s="49" t="s">
        <v>910</v>
      </c>
      <c r="F1516" s="44" t="s">
        <v>987</v>
      </c>
      <c r="G1516" s="44">
        <v>60.0</v>
      </c>
      <c r="H1516" s="47" t="s">
        <v>970</v>
      </c>
      <c r="I1516" s="47" t="s">
        <v>910</v>
      </c>
      <c r="J1516" s="44">
        <v>10.782235</v>
      </c>
      <c r="K1516" s="48">
        <v>106.670995</v>
      </c>
    </row>
    <row r="1517" ht="22.5" customHeight="1">
      <c r="A1517" s="44" t="s">
        <v>680</v>
      </c>
      <c r="B1517" s="44" t="s">
        <v>4903</v>
      </c>
      <c r="C1517" s="44" t="s">
        <v>4904</v>
      </c>
      <c r="D1517" s="44" t="s">
        <v>1368</v>
      </c>
      <c r="E1517" s="49" t="s">
        <v>900</v>
      </c>
      <c r="F1517" s="44" t="s">
        <v>978</v>
      </c>
      <c r="G1517" s="44">
        <v>30.0</v>
      </c>
      <c r="H1517" s="47" t="s">
        <v>970</v>
      </c>
      <c r="I1517" s="47" t="s">
        <v>814</v>
      </c>
      <c r="J1517" s="44">
        <v>10.796576</v>
      </c>
      <c r="K1517" s="48">
        <v>106.677588</v>
      </c>
    </row>
    <row r="1518" ht="22.5" customHeight="1">
      <c r="A1518" s="44" t="s">
        <v>4905</v>
      </c>
      <c r="B1518" s="44" t="s">
        <v>4906</v>
      </c>
      <c r="C1518" s="44" t="s">
        <v>4907</v>
      </c>
      <c r="D1518" s="44" t="s">
        <v>1227</v>
      </c>
      <c r="E1518" s="49" t="s">
        <v>890</v>
      </c>
      <c r="F1518" s="44" t="s">
        <v>1228</v>
      </c>
      <c r="G1518" s="44">
        <v>30.0</v>
      </c>
      <c r="H1518" s="47" t="s">
        <v>970</v>
      </c>
      <c r="I1518" s="47" t="s">
        <v>890</v>
      </c>
      <c r="J1518" s="44">
        <v>10.927087</v>
      </c>
      <c r="K1518" s="48">
        <v>106.749419</v>
      </c>
    </row>
    <row r="1519" ht="22.5" customHeight="1">
      <c r="A1519" s="44" t="s">
        <v>4908</v>
      </c>
      <c r="B1519" s="44" t="s">
        <v>4909</v>
      </c>
      <c r="C1519" s="44" t="s">
        <v>2955</v>
      </c>
      <c r="D1519" s="44" t="s">
        <v>1442</v>
      </c>
      <c r="E1519" s="49" t="s">
        <v>888</v>
      </c>
      <c r="F1519" s="44" t="s">
        <v>1136</v>
      </c>
      <c r="G1519" s="44">
        <v>30.0</v>
      </c>
      <c r="H1519" s="47" t="s">
        <v>970</v>
      </c>
      <c r="I1519" s="47" t="s">
        <v>813</v>
      </c>
      <c r="J1519" s="44">
        <v>10.760451</v>
      </c>
      <c r="K1519" s="48">
        <v>106.685653</v>
      </c>
    </row>
    <row r="1520" ht="22.5" customHeight="1">
      <c r="A1520" s="44" t="s">
        <v>4910</v>
      </c>
      <c r="B1520" s="44" t="s">
        <v>4911</v>
      </c>
      <c r="C1520" s="44" t="s">
        <v>4912</v>
      </c>
      <c r="D1520" s="44" t="s">
        <v>1268</v>
      </c>
      <c r="E1520" s="49" t="s">
        <v>888</v>
      </c>
      <c r="F1520" s="44" t="s">
        <v>1136</v>
      </c>
      <c r="G1520" s="44">
        <v>69.0</v>
      </c>
      <c r="H1520" s="47" t="s">
        <v>970</v>
      </c>
      <c r="I1520" s="47" t="s">
        <v>888</v>
      </c>
      <c r="J1520" s="44">
        <v>10.777179</v>
      </c>
      <c r="K1520" s="48">
        <v>106.69117</v>
      </c>
    </row>
    <row r="1521" ht="22.5" customHeight="1">
      <c r="A1521" s="44" t="s">
        <v>4913</v>
      </c>
      <c r="B1521" s="44" t="s">
        <v>4914</v>
      </c>
      <c r="C1521" s="44" t="s">
        <v>4915</v>
      </c>
      <c r="D1521" s="44" t="s">
        <v>1368</v>
      </c>
      <c r="E1521" s="49" t="s">
        <v>814</v>
      </c>
      <c r="F1521" s="44" t="s">
        <v>1369</v>
      </c>
      <c r="G1521" s="44">
        <v>60.0</v>
      </c>
      <c r="H1521" s="47" t="s">
        <v>970</v>
      </c>
      <c r="I1521" s="47" t="s">
        <v>814</v>
      </c>
      <c r="J1521" s="44">
        <v>10.796337630405</v>
      </c>
      <c r="K1521" s="48">
        <v>106.67384782559</v>
      </c>
    </row>
    <row r="1522" ht="22.5" customHeight="1">
      <c r="A1522" s="44" t="s">
        <v>4916</v>
      </c>
      <c r="B1522" s="44" t="s">
        <v>4917</v>
      </c>
      <c r="C1522" s="44" t="s">
        <v>4918</v>
      </c>
      <c r="D1522" s="44" t="s">
        <v>1802</v>
      </c>
      <c r="E1522" s="49" t="s">
        <v>910</v>
      </c>
      <c r="F1522" s="44" t="s">
        <v>987</v>
      </c>
      <c r="G1522" s="44">
        <v>60.0</v>
      </c>
      <c r="H1522" s="47" t="s">
        <v>970</v>
      </c>
      <c r="I1522" s="47" t="s">
        <v>826</v>
      </c>
      <c r="J1522" s="44">
        <v>10.769754</v>
      </c>
      <c r="K1522" s="48">
        <v>106.688603</v>
      </c>
    </row>
    <row r="1523" ht="22.5" customHeight="1">
      <c r="A1523" s="44" t="s">
        <v>4919</v>
      </c>
      <c r="B1523" s="44" t="s">
        <v>4920</v>
      </c>
      <c r="C1523" s="44" t="s">
        <v>2972</v>
      </c>
      <c r="D1523" s="44" t="s">
        <v>1470</v>
      </c>
      <c r="E1523" s="49" t="s">
        <v>883</v>
      </c>
      <c r="F1523" s="44" t="s">
        <v>1471</v>
      </c>
      <c r="G1523" s="44">
        <v>70.0</v>
      </c>
      <c r="H1523" s="47" t="s">
        <v>970</v>
      </c>
      <c r="I1523" s="47" t="s">
        <v>883</v>
      </c>
      <c r="J1523" s="44">
        <v>10.908706</v>
      </c>
      <c r="K1523" s="48">
        <v>106.701948</v>
      </c>
    </row>
    <row r="1524" ht="22.5" customHeight="1">
      <c r="A1524" s="44" t="s">
        <v>4921</v>
      </c>
      <c r="B1524" s="44" t="s">
        <v>4922</v>
      </c>
      <c r="C1524" s="44" t="s">
        <v>4923</v>
      </c>
      <c r="D1524" s="44" t="s">
        <v>2148</v>
      </c>
      <c r="E1524" s="49" t="s">
        <v>863</v>
      </c>
      <c r="F1524" s="44" t="s">
        <v>1052</v>
      </c>
      <c r="G1524" s="44">
        <v>60.0</v>
      </c>
      <c r="H1524" s="47" t="s">
        <v>970</v>
      </c>
      <c r="I1524" s="47" t="s">
        <v>863</v>
      </c>
      <c r="J1524" s="44">
        <v>10.36757</v>
      </c>
      <c r="K1524" s="48">
        <v>107.076415</v>
      </c>
    </row>
    <row r="1525" ht="22.5" customHeight="1">
      <c r="A1525" s="44" t="s">
        <v>4924</v>
      </c>
      <c r="B1525" s="44" t="s">
        <v>4925</v>
      </c>
      <c r="C1525" s="44" t="s">
        <v>2430</v>
      </c>
      <c r="D1525" s="44" t="s">
        <v>1227</v>
      </c>
      <c r="E1525" s="49" t="s">
        <v>890</v>
      </c>
      <c r="F1525" s="44" t="s">
        <v>1228</v>
      </c>
      <c r="G1525" s="44">
        <v>30.0</v>
      </c>
      <c r="H1525" s="47" t="s">
        <v>970</v>
      </c>
      <c r="I1525" s="47" t="s">
        <v>890</v>
      </c>
      <c r="J1525" s="44">
        <v>10.911016</v>
      </c>
      <c r="K1525" s="48">
        <v>106.781359</v>
      </c>
    </row>
    <row r="1526" ht="22.5" customHeight="1">
      <c r="A1526" s="44" t="s">
        <v>836</v>
      </c>
      <c r="B1526" s="44" t="s">
        <v>4926</v>
      </c>
      <c r="C1526" s="44" t="s">
        <v>4927</v>
      </c>
      <c r="D1526" s="44" t="s">
        <v>1832</v>
      </c>
      <c r="E1526" s="49" t="s">
        <v>901</v>
      </c>
      <c r="F1526" s="44" t="s">
        <v>1562</v>
      </c>
      <c r="G1526" s="44">
        <v>60.0</v>
      </c>
      <c r="H1526" s="47" t="s">
        <v>970</v>
      </c>
      <c r="I1526" s="47" t="s">
        <v>901</v>
      </c>
      <c r="J1526" s="44">
        <v>10.803567</v>
      </c>
      <c r="K1526" s="48">
        <v>106.718117</v>
      </c>
    </row>
    <row r="1527" ht="22.5" customHeight="1">
      <c r="A1527" s="44" t="s">
        <v>576</v>
      </c>
      <c r="B1527" s="44" t="s">
        <v>4928</v>
      </c>
      <c r="C1527" s="44" t="s">
        <v>4929</v>
      </c>
      <c r="D1527" s="44" t="s">
        <v>1129</v>
      </c>
      <c r="E1527" s="49" t="s">
        <v>910</v>
      </c>
      <c r="F1527" s="44" t="s">
        <v>987</v>
      </c>
      <c r="G1527" s="44">
        <v>60.0</v>
      </c>
      <c r="H1527" s="47" t="s">
        <v>970</v>
      </c>
      <c r="I1527" s="47" t="s">
        <v>910</v>
      </c>
      <c r="J1527" s="44">
        <v>10.782129</v>
      </c>
      <c r="K1527" s="48">
        <v>106.667761</v>
      </c>
    </row>
    <row r="1528" ht="22.5" customHeight="1">
      <c r="A1528" s="44" t="s">
        <v>4930</v>
      </c>
      <c r="B1528" s="44" t="s">
        <v>4931</v>
      </c>
      <c r="C1528" s="44" t="s">
        <v>4932</v>
      </c>
      <c r="D1528" s="44" t="s">
        <v>1268</v>
      </c>
      <c r="E1528" s="49" t="s">
        <v>910</v>
      </c>
      <c r="F1528" s="44" t="s">
        <v>987</v>
      </c>
      <c r="G1528" s="44">
        <v>69.0</v>
      </c>
      <c r="H1528" s="47" t="s">
        <v>970</v>
      </c>
      <c r="I1528" s="47" t="s">
        <v>888</v>
      </c>
      <c r="J1528" s="44">
        <v>10.776553</v>
      </c>
      <c r="K1528" s="48">
        <v>106.691332</v>
      </c>
    </row>
    <row r="1529" ht="22.5" customHeight="1">
      <c r="A1529" s="44" t="s">
        <v>4933</v>
      </c>
      <c r="B1529" s="44" t="s">
        <v>4934</v>
      </c>
      <c r="C1529" s="44" t="s">
        <v>4935</v>
      </c>
      <c r="D1529" s="44" t="s">
        <v>2109</v>
      </c>
      <c r="E1529" s="49" t="s">
        <v>891</v>
      </c>
      <c r="F1529" s="44" t="s">
        <v>1125</v>
      </c>
      <c r="G1529" s="44">
        <v>60.0</v>
      </c>
      <c r="H1529" s="47" t="s">
        <v>970</v>
      </c>
      <c r="I1529" s="47" t="s">
        <v>891</v>
      </c>
      <c r="J1529" s="44">
        <v>10.881397970962</v>
      </c>
      <c r="K1529" s="48">
        <v>106.99402964684</v>
      </c>
    </row>
    <row r="1530" ht="22.5" customHeight="1">
      <c r="A1530" s="44" t="s">
        <v>4936</v>
      </c>
      <c r="B1530" s="44" t="s">
        <v>4937</v>
      </c>
      <c r="C1530" s="44" t="s">
        <v>3774</v>
      </c>
      <c r="D1530" s="44" t="s">
        <v>1268</v>
      </c>
      <c r="E1530" s="49" t="s">
        <v>910</v>
      </c>
      <c r="F1530" s="44" t="s">
        <v>987</v>
      </c>
      <c r="G1530" s="44">
        <v>69.0</v>
      </c>
      <c r="H1530" s="47" t="s">
        <v>970</v>
      </c>
      <c r="I1530" s="47" t="s">
        <v>826</v>
      </c>
      <c r="J1530" s="44">
        <v>10.780515</v>
      </c>
      <c r="K1530" s="48">
        <v>106.687882</v>
      </c>
    </row>
    <row r="1531" ht="22.5" customHeight="1">
      <c r="A1531" s="44" t="s">
        <v>4938</v>
      </c>
      <c r="B1531" s="44" t="s">
        <v>4939</v>
      </c>
      <c r="C1531" s="44" t="s">
        <v>4940</v>
      </c>
      <c r="D1531" s="44" t="s">
        <v>986</v>
      </c>
      <c r="E1531" s="49" t="s">
        <v>910</v>
      </c>
      <c r="F1531" s="44" t="s">
        <v>987</v>
      </c>
      <c r="G1531" s="44">
        <v>30.0</v>
      </c>
      <c r="H1531" s="47" t="s">
        <v>970</v>
      </c>
      <c r="I1531" s="47" t="s">
        <v>910</v>
      </c>
      <c r="J1531" s="44">
        <v>10.769737</v>
      </c>
      <c r="K1531" s="48">
        <v>106.664737</v>
      </c>
    </row>
    <row r="1532" ht="22.5" customHeight="1">
      <c r="A1532" s="44" t="s">
        <v>4941</v>
      </c>
      <c r="B1532" s="44" t="s">
        <v>4942</v>
      </c>
      <c r="C1532" s="44" t="s">
        <v>4943</v>
      </c>
      <c r="D1532" s="44" t="s">
        <v>1116</v>
      </c>
      <c r="E1532" s="49" t="s">
        <v>885</v>
      </c>
      <c r="F1532" s="44" t="s">
        <v>1117</v>
      </c>
      <c r="G1532" s="44">
        <v>60.0</v>
      </c>
      <c r="H1532" s="47" t="s">
        <v>970</v>
      </c>
      <c r="I1532" s="47" t="s">
        <v>885</v>
      </c>
      <c r="J1532" s="44">
        <v>10.738361</v>
      </c>
      <c r="K1532" s="48">
        <v>106.675287</v>
      </c>
    </row>
    <row r="1533" ht="22.5" customHeight="1">
      <c r="A1533" s="44" t="s">
        <v>4944</v>
      </c>
      <c r="B1533" s="44" t="s">
        <v>4945</v>
      </c>
      <c r="C1533" s="44" t="s">
        <v>4946</v>
      </c>
      <c r="D1533" s="44" t="s">
        <v>1042</v>
      </c>
      <c r="E1533" s="49" t="s">
        <v>901</v>
      </c>
      <c r="F1533" s="44" t="s">
        <v>1562</v>
      </c>
      <c r="G1533" s="44">
        <v>60.0</v>
      </c>
      <c r="H1533" s="47" t="s">
        <v>970</v>
      </c>
      <c r="I1533" s="47" t="s">
        <v>901</v>
      </c>
      <c r="J1533" s="44">
        <v>10.808445927846</v>
      </c>
      <c r="K1533" s="48">
        <v>106.70914336889</v>
      </c>
    </row>
    <row r="1534" ht="22.5" customHeight="1">
      <c r="A1534" s="44" t="s">
        <v>4947</v>
      </c>
      <c r="B1534" s="44" t="s">
        <v>4948</v>
      </c>
      <c r="C1534" s="44" t="s">
        <v>3774</v>
      </c>
      <c r="D1534" s="44" t="s">
        <v>1268</v>
      </c>
      <c r="E1534" s="49" t="s">
        <v>910</v>
      </c>
      <c r="F1534" s="44" t="s">
        <v>987</v>
      </c>
      <c r="G1534" s="44">
        <v>69.0</v>
      </c>
      <c r="H1534" s="47" t="s">
        <v>970</v>
      </c>
      <c r="I1534" s="47" t="s">
        <v>826</v>
      </c>
      <c r="J1534" s="44">
        <v>10.780515</v>
      </c>
      <c r="K1534" s="48">
        <v>106.687882</v>
      </c>
    </row>
    <row r="1535" ht="22.5" customHeight="1">
      <c r="A1535" s="44" t="s">
        <v>4949</v>
      </c>
      <c r="B1535" s="44" t="s">
        <v>4950</v>
      </c>
      <c r="C1535" s="44" t="s">
        <v>4951</v>
      </c>
      <c r="D1535" s="44" t="s">
        <v>1227</v>
      </c>
      <c r="E1535" s="49" t="s">
        <v>890</v>
      </c>
      <c r="F1535" s="44" t="s">
        <v>1228</v>
      </c>
      <c r="G1535" s="50">
        <v>60.0</v>
      </c>
      <c r="H1535" s="47" t="s">
        <v>970</v>
      </c>
      <c r="I1535" s="47" t="s">
        <v>890</v>
      </c>
      <c r="J1535" s="44">
        <v>10.910984</v>
      </c>
      <c r="K1535" s="48">
        <v>106.781354</v>
      </c>
    </row>
    <row r="1536" ht="22.5" customHeight="1">
      <c r="A1536" s="44" t="s">
        <v>4952</v>
      </c>
      <c r="B1536" s="44" t="s">
        <v>4953</v>
      </c>
      <c r="C1536" s="44" t="s">
        <v>4954</v>
      </c>
      <c r="D1536" s="44" t="s">
        <v>1820</v>
      </c>
      <c r="E1536" s="49" t="s">
        <v>850</v>
      </c>
      <c r="F1536" s="44" t="s">
        <v>1057</v>
      </c>
      <c r="G1536" s="44">
        <v>60.0</v>
      </c>
      <c r="H1536" s="47" t="s">
        <v>970</v>
      </c>
      <c r="I1536" s="47" t="s">
        <v>850</v>
      </c>
      <c r="J1536" s="44">
        <v>10.974642</v>
      </c>
      <c r="K1536" s="48">
        <v>106.477171</v>
      </c>
    </row>
    <row r="1537" ht="22.5" customHeight="1">
      <c r="A1537" s="44" t="s">
        <v>4955</v>
      </c>
      <c r="B1537" s="44" t="s">
        <v>4956</v>
      </c>
      <c r="C1537" s="44" t="s">
        <v>3000</v>
      </c>
      <c r="D1537" s="44" t="s">
        <v>1303</v>
      </c>
      <c r="E1537" s="49" t="s">
        <v>789</v>
      </c>
      <c r="F1537" s="44" t="s">
        <v>1168</v>
      </c>
      <c r="G1537" s="44">
        <v>60.0</v>
      </c>
      <c r="H1537" s="47" t="s">
        <v>970</v>
      </c>
      <c r="I1537" s="47" t="s">
        <v>789</v>
      </c>
      <c r="J1537" s="44">
        <v>10.690881</v>
      </c>
      <c r="K1537" s="48">
        <v>106.585983</v>
      </c>
    </row>
    <row r="1538" ht="22.5" customHeight="1">
      <c r="A1538" s="44" t="s">
        <v>4957</v>
      </c>
      <c r="B1538" s="44" t="s">
        <v>4958</v>
      </c>
      <c r="C1538" s="44" t="s">
        <v>4959</v>
      </c>
      <c r="D1538" s="44" t="s">
        <v>4960</v>
      </c>
      <c r="E1538" s="49" t="s">
        <v>809</v>
      </c>
      <c r="F1538" s="44" t="s">
        <v>1022</v>
      </c>
      <c r="G1538" s="44">
        <v>68.0</v>
      </c>
      <c r="H1538" s="47" t="s">
        <v>970</v>
      </c>
      <c r="I1538" s="47" t="s">
        <v>809</v>
      </c>
      <c r="J1538" s="44">
        <v>10.826469</v>
      </c>
      <c r="K1538" s="48">
        <v>106.690616</v>
      </c>
    </row>
    <row r="1539" ht="22.5" customHeight="1">
      <c r="A1539" s="44" t="s">
        <v>4961</v>
      </c>
      <c r="B1539" s="44" t="s">
        <v>4962</v>
      </c>
      <c r="C1539" s="44" t="s">
        <v>4963</v>
      </c>
      <c r="D1539" s="44" t="s">
        <v>1929</v>
      </c>
      <c r="E1539" s="49" t="s">
        <v>893</v>
      </c>
      <c r="F1539" s="44" t="s">
        <v>1088</v>
      </c>
      <c r="G1539" s="44">
        <v>60.0</v>
      </c>
      <c r="H1539" s="47" t="s">
        <v>970</v>
      </c>
      <c r="I1539" s="47" t="s">
        <v>806</v>
      </c>
      <c r="J1539" s="44">
        <v>10.800959</v>
      </c>
      <c r="K1539" s="48">
        <v>106.655042</v>
      </c>
    </row>
    <row r="1540" ht="22.5" customHeight="1">
      <c r="A1540" s="44" t="s">
        <v>4964</v>
      </c>
      <c r="B1540" s="44" t="s">
        <v>4965</v>
      </c>
      <c r="C1540" s="44" t="s">
        <v>4966</v>
      </c>
      <c r="D1540" s="44" t="s">
        <v>1470</v>
      </c>
      <c r="E1540" s="49" t="s">
        <v>883</v>
      </c>
      <c r="F1540" s="44" t="s">
        <v>1471</v>
      </c>
      <c r="G1540" s="44">
        <v>85.0</v>
      </c>
      <c r="H1540" s="47" t="s">
        <v>970</v>
      </c>
      <c r="I1540" s="47" t="s">
        <v>883</v>
      </c>
      <c r="J1540" s="44">
        <v>10.910583</v>
      </c>
      <c r="K1540" s="48">
        <v>106.702874</v>
      </c>
    </row>
    <row r="1541" ht="22.5" customHeight="1">
      <c r="A1541" s="44" t="s">
        <v>4967</v>
      </c>
      <c r="B1541" s="44" t="s">
        <v>4968</v>
      </c>
      <c r="C1541" s="44" t="s">
        <v>4969</v>
      </c>
      <c r="D1541" s="44" t="s">
        <v>1129</v>
      </c>
      <c r="E1541" s="49" t="s">
        <v>910</v>
      </c>
      <c r="F1541" s="44" t="s">
        <v>987</v>
      </c>
      <c r="G1541" s="44">
        <v>30.0</v>
      </c>
      <c r="H1541" s="47" t="s">
        <v>970</v>
      </c>
      <c r="I1541" s="47" t="s">
        <v>910</v>
      </c>
      <c r="J1541" s="44">
        <v>10.773644</v>
      </c>
      <c r="K1541" s="48">
        <v>106.664952</v>
      </c>
    </row>
    <row r="1542" ht="22.5" customHeight="1">
      <c r="A1542" s="44" t="s">
        <v>4970</v>
      </c>
      <c r="B1542" s="44" t="s">
        <v>4971</v>
      </c>
      <c r="C1542" s="44" t="s">
        <v>4972</v>
      </c>
      <c r="D1542" s="44" t="s">
        <v>1883</v>
      </c>
      <c r="E1542" s="49" t="s">
        <v>883</v>
      </c>
      <c r="F1542" s="44" t="s">
        <v>1471</v>
      </c>
      <c r="G1542" s="44">
        <v>100.0</v>
      </c>
      <c r="H1542" s="47" t="s">
        <v>970</v>
      </c>
      <c r="I1542" s="47" t="s">
        <v>883</v>
      </c>
      <c r="J1542" s="44">
        <v>10.892202000336</v>
      </c>
      <c r="K1542" s="48">
        <v>106.73196401091</v>
      </c>
    </row>
    <row r="1543" ht="22.5" customHeight="1">
      <c r="A1543" s="44" t="s">
        <v>4973</v>
      </c>
      <c r="B1543" s="44" t="s">
        <v>4974</v>
      </c>
      <c r="C1543" s="44" t="s">
        <v>4975</v>
      </c>
      <c r="D1543" s="44" t="s">
        <v>4477</v>
      </c>
      <c r="E1543" s="49" t="s">
        <v>850</v>
      </c>
      <c r="F1543" s="44" t="s">
        <v>1057</v>
      </c>
      <c r="G1543" s="44">
        <v>45.0</v>
      </c>
      <c r="H1543" s="47" t="s">
        <v>970</v>
      </c>
      <c r="I1543" s="47" t="s">
        <v>850</v>
      </c>
      <c r="J1543" s="44">
        <v>11.007877060907</v>
      </c>
      <c r="K1543" s="48">
        <v>106.42831897097</v>
      </c>
    </row>
    <row r="1544" ht="22.5" customHeight="1">
      <c r="A1544" s="44" t="s">
        <v>768</v>
      </c>
      <c r="B1544" s="44" t="s">
        <v>4976</v>
      </c>
      <c r="C1544" s="44" t="s">
        <v>4977</v>
      </c>
      <c r="D1544" s="44" t="s">
        <v>4978</v>
      </c>
      <c r="E1544" s="49" t="s">
        <v>850</v>
      </c>
      <c r="F1544" s="44" t="s">
        <v>1057</v>
      </c>
      <c r="G1544" s="44">
        <v>60.0</v>
      </c>
      <c r="H1544" s="47" t="s">
        <v>970</v>
      </c>
      <c r="I1544" s="47" t="s">
        <v>892</v>
      </c>
      <c r="J1544" s="44">
        <v>10.981683</v>
      </c>
      <c r="K1544" s="48">
        <v>106.603878</v>
      </c>
    </row>
    <row r="1545" ht="22.5" customHeight="1">
      <c r="A1545" s="44" t="s">
        <v>39</v>
      </c>
      <c r="B1545" s="44" t="s">
        <v>4979</v>
      </c>
      <c r="C1545" s="44" t="s">
        <v>1866</v>
      </c>
      <c r="D1545" s="44" t="s">
        <v>1662</v>
      </c>
      <c r="E1545" s="49" t="s">
        <v>891</v>
      </c>
      <c r="F1545" s="44" t="s">
        <v>1125</v>
      </c>
      <c r="G1545" s="44">
        <v>70.0</v>
      </c>
      <c r="H1545" s="47" t="s">
        <v>970</v>
      </c>
      <c r="I1545" s="47" t="s">
        <v>891</v>
      </c>
      <c r="J1545" s="44">
        <v>10.952683</v>
      </c>
      <c r="K1545" s="48">
        <v>106.867861</v>
      </c>
    </row>
    <row r="1546" ht="22.5" customHeight="1">
      <c r="A1546" s="44" t="s">
        <v>4980</v>
      </c>
      <c r="B1546" s="44" t="s">
        <v>4981</v>
      </c>
      <c r="C1546" s="44" t="s">
        <v>2972</v>
      </c>
      <c r="D1546" s="44" t="s">
        <v>1470</v>
      </c>
      <c r="E1546" s="49" t="s">
        <v>883</v>
      </c>
      <c r="F1546" s="44" t="s">
        <v>1471</v>
      </c>
      <c r="G1546" s="44">
        <v>85.0</v>
      </c>
      <c r="H1546" s="47" t="s">
        <v>970</v>
      </c>
      <c r="I1546" s="47" t="s">
        <v>883</v>
      </c>
      <c r="J1546" s="44">
        <v>10.908706</v>
      </c>
      <c r="K1546" s="48">
        <v>106.701948</v>
      </c>
    </row>
    <row r="1547" ht="22.5" customHeight="1">
      <c r="A1547" s="44" t="s">
        <v>4982</v>
      </c>
      <c r="B1547" s="44" t="s">
        <v>4983</v>
      </c>
      <c r="C1547" s="44" t="s">
        <v>3000</v>
      </c>
      <c r="D1547" s="44" t="s">
        <v>1303</v>
      </c>
      <c r="E1547" s="49" t="s">
        <v>789</v>
      </c>
      <c r="F1547" s="44" t="s">
        <v>1168</v>
      </c>
      <c r="G1547" s="44">
        <v>60.0</v>
      </c>
      <c r="H1547" s="47" t="s">
        <v>970</v>
      </c>
      <c r="I1547" s="47" t="s">
        <v>789</v>
      </c>
      <c r="J1547" s="44">
        <v>10.690881</v>
      </c>
      <c r="K1547" s="48">
        <v>106.585983</v>
      </c>
    </row>
    <row r="1548" ht="22.5" customHeight="1">
      <c r="A1548" s="44" t="s">
        <v>4984</v>
      </c>
      <c r="B1548" s="44" t="s">
        <v>4985</v>
      </c>
      <c r="C1548" s="44" t="s">
        <v>4986</v>
      </c>
      <c r="D1548" s="44" t="s">
        <v>1303</v>
      </c>
      <c r="E1548" s="49" t="s">
        <v>789</v>
      </c>
      <c r="F1548" s="44" t="s">
        <v>1168</v>
      </c>
      <c r="G1548" s="44">
        <v>60.0</v>
      </c>
      <c r="H1548" s="47" t="s">
        <v>970</v>
      </c>
      <c r="I1548" s="47" t="s">
        <v>789</v>
      </c>
      <c r="J1548" s="44">
        <v>10.690881</v>
      </c>
      <c r="K1548" s="48">
        <v>106.585983</v>
      </c>
    </row>
    <row r="1549" ht="22.5" customHeight="1">
      <c r="A1549" s="44" t="s">
        <v>4987</v>
      </c>
      <c r="B1549" s="44" t="s">
        <v>4988</v>
      </c>
      <c r="C1549" s="44" t="s">
        <v>4989</v>
      </c>
      <c r="D1549" s="44" t="s">
        <v>1470</v>
      </c>
      <c r="E1549" s="49" t="s">
        <v>883</v>
      </c>
      <c r="F1549" s="44" t="s">
        <v>1471</v>
      </c>
      <c r="G1549" s="44">
        <v>85.0</v>
      </c>
      <c r="H1549" s="47" t="s">
        <v>970</v>
      </c>
      <c r="I1549" s="47" t="s">
        <v>883</v>
      </c>
      <c r="J1549" s="44">
        <v>10.908725</v>
      </c>
      <c r="K1549" s="48">
        <v>106.702381</v>
      </c>
    </row>
    <row r="1550" ht="22.5" customHeight="1">
      <c r="A1550" s="44" t="s">
        <v>4990</v>
      </c>
      <c r="B1550" s="44" t="s">
        <v>4991</v>
      </c>
      <c r="C1550" s="44" t="s">
        <v>4992</v>
      </c>
      <c r="D1550" s="44" t="s">
        <v>1224</v>
      </c>
      <c r="E1550" s="49" t="s">
        <v>872</v>
      </c>
      <c r="F1550" s="44" t="s">
        <v>1003</v>
      </c>
      <c r="G1550" s="44">
        <v>75.0</v>
      </c>
      <c r="H1550" s="47" t="s">
        <v>970</v>
      </c>
      <c r="I1550" s="47" t="s">
        <v>872</v>
      </c>
      <c r="J1550" s="44">
        <v>10.531976</v>
      </c>
      <c r="K1550" s="48">
        <v>106.423978</v>
      </c>
    </row>
    <row r="1551" ht="22.5" customHeight="1">
      <c r="A1551" s="44" t="s">
        <v>4993</v>
      </c>
      <c r="B1551" s="44" t="s">
        <v>4994</v>
      </c>
      <c r="C1551" s="44" t="s">
        <v>4995</v>
      </c>
      <c r="D1551" s="44" t="s">
        <v>4996</v>
      </c>
      <c r="E1551" s="49" t="s">
        <v>868</v>
      </c>
      <c r="F1551" s="44" t="s">
        <v>1220</v>
      </c>
      <c r="G1551" s="44">
        <v>75.0</v>
      </c>
      <c r="H1551" s="47" t="s">
        <v>970</v>
      </c>
      <c r="I1551" s="47" t="s">
        <v>872</v>
      </c>
      <c r="J1551" s="44">
        <v>10.494406983381</v>
      </c>
      <c r="K1551" s="48">
        <v>106.42355269555</v>
      </c>
    </row>
    <row r="1552" ht="22.5" customHeight="1">
      <c r="A1552" s="44" t="s">
        <v>4997</v>
      </c>
      <c r="B1552" s="44" t="s">
        <v>4998</v>
      </c>
      <c r="C1552" s="44" t="s">
        <v>4999</v>
      </c>
      <c r="D1552" s="44" t="s">
        <v>1135</v>
      </c>
      <c r="E1552" s="49" t="s">
        <v>910</v>
      </c>
      <c r="F1552" s="44" t="s">
        <v>987</v>
      </c>
      <c r="G1552" s="44">
        <v>60.0</v>
      </c>
      <c r="H1552" s="47" t="s">
        <v>970</v>
      </c>
      <c r="I1552" s="47" t="s">
        <v>884</v>
      </c>
      <c r="J1552" s="44">
        <v>10.79185</v>
      </c>
      <c r="K1552" s="48">
        <v>106.702969</v>
      </c>
    </row>
    <row r="1553" ht="22.5" customHeight="1">
      <c r="A1553" s="44" t="s">
        <v>5000</v>
      </c>
      <c r="B1553" s="44" t="s">
        <v>5001</v>
      </c>
      <c r="C1553" s="44" t="s">
        <v>5002</v>
      </c>
      <c r="D1553" s="44" t="s">
        <v>1227</v>
      </c>
      <c r="E1553" s="49" t="s">
        <v>890</v>
      </c>
      <c r="F1553" s="44" t="s">
        <v>1228</v>
      </c>
      <c r="G1553" s="44">
        <v>60.0</v>
      </c>
      <c r="H1553" s="47" t="s">
        <v>970</v>
      </c>
      <c r="I1553" s="47" t="s">
        <v>890</v>
      </c>
      <c r="J1553" s="44">
        <v>10.903609</v>
      </c>
      <c r="K1553" s="48">
        <v>106.77273</v>
      </c>
    </row>
    <row r="1554" ht="22.5" customHeight="1">
      <c r="A1554" s="44" t="s">
        <v>5003</v>
      </c>
      <c r="B1554" s="44" t="s">
        <v>5004</v>
      </c>
      <c r="C1554" s="44" t="s">
        <v>5005</v>
      </c>
      <c r="D1554" s="44" t="s">
        <v>1224</v>
      </c>
      <c r="E1554" s="49" t="s">
        <v>872</v>
      </c>
      <c r="F1554" s="44" t="s">
        <v>1003</v>
      </c>
      <c r="G1554" s="44">
        <v>45.0</v>
      </c>
      <c r="H1554" s="47" t="s">
        <v>970</v>
      </c>
      <c r="I1554" s="47" t="s">
        <v>872</v>
      </c>
      <c r="J1554" s="44">
        <v>10.540865104853</v>
      </c>
      <c r="K1554" s="48">
        <v>106.41178394795</v>
      </c>
    </row>
    <row r="1555" ht="22.5" customHeight="1">
      <c r="A1555" s="44" t="s">
        <v>5006</v>
      </c>
      <c r="B1555" s="44" t="s">
        <v>5007</v>
      </c>
      <c r="C1555" s="44" t="s">
        <v>5008</v>
      </c>
      <c r="D1555" s="44" t="s">
        <v>1621</v>
      </c>
      <c r="E1555" s="49" t="s">
        <v>885</v>
      </c>
      <c r="F1555" s="44" t="s">
        <v>1117</v>
      </c>
      <c r="G1555" s="44">
        <v>80.0</v>
      </c>
      <c r="H1555" s="47" t="s">
        <v>970</v>
      </c>
      <c r="I1555" s="47" t="s">
        <v>885</v>
      </c>
      <c r="J1555" s="44">
        <v>10.728154</v>
      </c>
      <c r="K1555" s="48">
        <v>106.653603</v>
      </c>
    </row>
    <row r="1556" ht="22.5" customHeight="1">
      <c r="A1556" s="44" t="s">
        <v>196</v>
      </c>
      <c r="B1556" s="44" t="s">
        <v>5009</v>
      </c>
      <c r="C1556" s="44" t="s">
        <v>5010</v>
      </c>
      <c r="D1556" s="44" t="s">
        <v>1036</v>
      </c>
      <c r="E1556" s="49" t="s">
        <v>898</v>
      </c>
      <c r="F1556" s="44" t="s">
        <v>1037</v>
      </c>
      <c r="G1556" s="44">
        <v>70.0</v>
      </c>
      <c r="H1556" s="47" t="s">
        <v>970</v>
      </c>
      <c r="I1556" s="47" t="s">
        <v>898</v>
      </c>
      <c r="J1556" s="44">
        <v>10.788071</v>
      </c>
      <c r="K1556" s="48">
        <v>106.767024</v>
      </c>
    </row>
    <row r="1557" ht="22.5" customHeight="1">
      <c r="A1557" s="44" t="s">
        <v>5011</v>
      </c>
      <c r="B1557" s="44" t="s">
        <v>5012</v>
      </c>
      <c r="C1557" s="44" t="s">
        <v>5013</v>
      </c>
      <c r="D1557" s="44" t="s">
        <v>1076</v>
      </c>
      <c r="E1557" s="49" t="s">
        <v>813</v>
      </c>
      <c r="F1557" s="44" t="s">
        <v>1015</v>
      </c>
      <c r="G1557" s="44">
        <v>76.0</v>
      </c>
      <c r="H1557" s="47" t="s">
        <v>970</v>
      </c>
      <c r="I1557" s="47" t="s">
        <v>813</v>
      </c>
      <c r="J1557" s="44">
        <v>10.760109</v>
      </c>
      <c r="K1557" s="48">
        <v>106.670934</v>
      </c>
    </row>
    <row r="1558" ht="22.5" customHeight="1">
      <c r="A1558" s="44" t="s">
        <v>5014</v>
      </c>
      <c r="B1558" s="44" t="s">
        <v>5015</v>
      </c>
      <c r="C1558" s="44" t="s">
        <v>5016</v>
      </c>
      <c r="D1558" s="44" t="s">
        <v>1224</v>
      </c>
      <c r="E1558" s="49" t="s">
        <v>872</v>
      </c>
      <c r="F1558" s="44" t="s">
        <v>1003</v>
      </c>
      <c r="G1558" s="44">
        <v>60.0</v>
      </c>
      <c r="H1558" s="47" t="s">
        <v>970</v>
      </c>
      <c r="I1558" s="47" t="s">
        <v>872</v>
      </c>
      <c r="J1558" s="44">
        <v>10.532694</v>
      </c>
      <c r="K1558" s="48">
        <v>106.426206</v>
      </c>
    </row>
    <row r="1559" ht="22.5" customHeight="1">
      <c r="A1559" s="44" t="s">
        <v>5017</v>
      </c>
      <c r="B1559" s="44" t="s">
        <v>5018</v>
      </c>
      <c r="C1559" s="44" t="s">
        <v>5019</v>
      </c>
      <c r="D1559" s="44" t="s">
        <v>1939</v>
      </c>
      <c r="E1559" s="49"/>
      <c r="F1559" s="44" t="s">
        <v>1098</v>
      </c>
      <c r="G1559" s="44"/>
      <c r="H1559" s="47" t="s">
        <v>970</v>
      </c>
      <c r="I1559" s="47" t="s">
        <v>895</v>
      </c>
      <c r="J1559" s="44">
        <v>10.8615</v>
      </c>
      <c r="K1559" s="48">
        <v>106.779801</v>
      </c>
    </row>
    <row r="1560" ht="22.5" customHeight="1">
      <c r="A1560" s="44" t="s">
        <v>5020</v>
      </c>
      <c r="B1560" s="44" t="s">
        <v>5021</v>
      </c>
      <c r="C1560" s="44" t="s">
        <v>4166</v>
      </c>
      <c r="D1560" s="44" t="s">
        <v>1510</v>
      </c>
      <c r="E1560" s="49" t="s">
        <v>804</v>
      </c>
      <c r="F1560" s="44" t="s">
        <v>1497</v>
      </c>
      <c r="G1560" s="44">
        <v>60.0</v>
      </c>
      <c r="H1560" s="47" t="s">
        <v>970</v>
      </c>
      <c r="I1560" s="47" t="s">
        <v>804</v>
      </c>
      <c r="J1560" s="44">
        <v>10.765397</v>
      </c>
      <c r="K1560" s="48">
        <v>106.702102</v>
      </c>
    </row>
    <row r="1561" ht="22.5" customHeight="1">
      <c r="A1561" s="44" t="s">
        <v>5022</v>
      </c>
      <c r="B1561" s="44" t="s">
        <v>5023</v>
      </c>
      <c r="C1561" s="44" t="s">
        <v>5024</v>
      </c>
      <c r="D1561" s="44" t="s">
        <v>973</v>
      </c>
      <c r="E1561" s="49" t="s">
        <v>894</v>
      </c>
      <c r="F1561" s="44" t="s">
        <v>974</v>
      </c>
      <c r="G1561" s="44">
        <v>75.0</v>
      </c>
      <c r="H1561" s="47" t="s">
        <v>970</v>
      </c>
      <c r="I1561" s="47" t="s">
        <v>894</v>
      </c>
      <c r="J1561" s="44">
        <v>10.740682</v>
      </c>
      <c r="K1561" s="48">
        <v>106.706448</v>
      </c>
    </row>
    <row r="1562" ht="22.5" customHeight="1">
      <c r="A1562" s="44" t="s">
        <v>5025</v>
      </c>
      <c r="B1562" s="44" t="s">
        <v>5026</v>
      </c>
      <c r="C1562" s="44" t="s">
        <v>5027</v>
      </c>
      <c r="D1562" s="44" t="s">
        <v>1994</v>
      </c>
      <c r="E1562" s="49" t="s">
        <v>890</v>
      </c>
      <c r="F1562" s="44" t="s">
        <v>1228</v>
      </c>
      <c r="G1562" s="44">
        <v>60.0</v>
      </c>
      <c r="H1562" s="47" t="s">
        <v>970</v>
      </c>
      <c r="I1562" s="47" t="s">
        <v>890</v>
      </c>
      <c r="J1562" s="44">
        <v>10.939241668286</v>
      </c>
      <c r="K1562" s="48">
        <v>106.75209740002</v>
      </c>
    </row>
    <row r="1563" ht="22.5" customHeight="1">
      <c r="A1563" s="44" t="s">
        <v>5028</v>
      </c>
      <c r="B1563" s="44" t="s">
        <v>5029</v>
      </c>
      <c r="C1563" s="44" t="s">
        <v>5030</v>
      </c>
      <c r="D1563" s="44" t="s">
        <v>1268</v>
      </c>
      <c r="E1563" s="49" t="s">
        <v>910</v>
      </c>
      <c r="F1563" s="44" t="s">
        <v>987</v>
      </c>
      <c r="G1563" s="44">
        <v>54.0</v>
      </c>
      <c r="H1563" s="47" t="s">
        <v>970</v>
      </c>
      <c r="I1563" s="47" t="s">
        <v>826</v>
      </c>
      <c r="J1563" s="44">
        <v>10.776556</v>
      </c>
      <c r="K1563" s="48">
        <v>106.688003</v>
      </c>
    </row>
    <row r="1564" ht="22.5" customHeight="1">
      <c r="A1564" s="44" t="s">
        <v>5031</v>
      </c>
      <c r="B1564" s="44" t="s">
        <v>5032</v>
      </c>
      <c r="C1564" s="44" t="s">
        <v>5033</v>
      </c>
      <c r="D1564" s="44" t="s">
        <v>1268</v>
      </c>
      <c r="E1564" s="49" t="s">
        <v>910</v>
      </c>
      <c r="F1564" s="44" t="s">
        <v>987</v>
      </c>
      <c r="G1564" s="44">
        <v>69.0</v>
      </c>
      <c r="H1564" s="47" t="s">
        <v>970</v>
      </c>
      <c r="I1564" s="47" t="s">
        <v>826</v>
      </c>
      <c r="J1564" s="44">
        <v>10.776556</v>
      </c>
      <c r="K1564" s="48">
        <v>106.688003</v>
      </c>
    </row>
    <row r="1565" ht="22.5" customHeight="1">
      <c r="A1565" s="44" t="s">
        <v>197</v>
      </c>
      <c r="B1565" s="44" t="s">
        <v>5034</v>
      </c>
      <c r="C1565" s="44" t="s">
        <v>4739</v>
      </c>
      <c r="D1565" s="44" t="s">
        <v>1030</v>
      </c>
      <c r="E1565" s="49" t="s">
        <v>887</v>
      </c>
      <c r="F1565" s="44" t="s">
        <v>1031</v>
      </c>
      <c r="G1565" s="44">
        <v>74.0</v>
      </c>
      <c r="H1565" s="47" t="s">
        <v>970</v>
      </c>
      <c r="I1565" s="47" t="s">
        <v>887</v>
      </c>
      <c r="J1565" s="44">
        <v>10.787069</v>
      </c>
      <c r="K1565" s="48">
        <v>106.729031</v>
      </c>
    </row>
    <row r="1566" ht="22.5" customHeight="1">
      <c r="A1566" s="44" t="s">
        <v>277</v>
      </c>
      <c r="B1566" s="44" t="s">
        <v>5035</v>
      </c>
      <c r="C1566" s="44" t="s">
        <v>5036</v>
      </c>
      <c r="D1566" s="44" t="s">
        <v>1180</v>
      </c>
      <c r="E1566" s="49" t="s">
        <v>892</v>
      </c>
      <c r="F1566" s="44" t="s">
        <v>1108</v>
      </c>
      <c r="G1566" s="44">
        <v>60.0</v>
      </c>
      <c r="H1566" s="47" t="s">
        <v>970</v>
      </c>
      <c r="I1566" s="47" t="s">
        <v>892</v>
      </c>
      <c r="J1566" s="44">
        <v>11.002742</v>
      </c>
      <c r="K1566" s="48">
        <v>106.666631</v>
      </c>
    </row>
    <row r="1567" ht="22.5" customHeight="1">
      <c r="A1567" s="44" t="s">
        <v>278</v>
      </c>
      <c r="B1567" s="44" t="s">
        <v>5037</v>
      </c>
      <c r="C1567" s="44" t="s">
        <v>4429</v>
      </c>
      <c r="D1567" s="44" t="s">
        <v>1180</v>
      </c>
      <c r="E1567" s="49" t="s">
        <v>892</v>
      </c>
      <c r="F1567" s="44" t="s">
        <v>1108</v>
      </c>
      <c r="G1567" s="44">
        <v>60.0</v>
      </c>
      <c r="H1567" s="47" t="s">
        <v>970</v>
      </c>
      <c r="I1567" s="47" t="s">
        <v>892</v>
      </c>
      <c r="J1567" s="44">
        <v>10.99739</v>
      </c>
      <c r="K1567" s="48">
        <v>106.656198</v>
      </c>
    </row>
    <row r="1568" ht="22.5" customHeight="1">
      <c r="A1568" s="44" t="s">
        <v>5038</v>
      </c>
      <c r="B1568" s="44" t="s">
        <v>5039</v>
      </c>
      <c r="C1568" s="44" t="s">
        <v>5040</v>
      </c>
      <c r="D1568" s="44" t="s">
        <v>1542</v>
      </c>
      <c r="E1568" s="49" t="s">
        <v>884</v>
      </c>
      <c r="F1568" s="44" t="s">
        <v>1821</v>
      </c>
      <c r="G1568" s="44">
        <v>30.0</v>
      </c>
      <c r="H1568" s="47" t="s">
        <v>970</v>
      </c>
      <c r="I1568" s="47" t="s">
        <v>884</v>
      </c>
      <c r="J1568" s="44">
        <v>10.789954</v>
      </c>
      <c r="K1568" s="48">
        <v>106.698089</v>
      </c>
    </row>
    <row r="1569" ht="22.5" customHeight="1">
      <c r="A1569" s="44" t="s">
        <v>5041</v>
      </c>
      <c r="B1569" s="44" t="s">
        <v>5042</v>
      </c>
      <c r="C1569" s="44" t="s">
        <v>5043</v>
      </c>
      <c r="D1569" s="44" t="s">
        <v>1542</v>
      </c>
      <c r="E1569" s="49" t="s">
        <v>900</v>
      </c>
      <c r="F1569" s="44" t="s">
        <v>978</v>
      </c>
      <c r="G1569" s="44">
        <v>60.0</v>
      </c>
      <c r="H1569" s="47" t="s">
        <v>970</v>
      </c>
      <c r="I1569" s="47" t="s">
        <v>900</v>
      </c>
      <c r="J1569" s="44">
        <v>10.790132</v>
      </c>
      <c r="K1569" s="48">
        <v>106.689594</v>
      </c>
    </row>
    <row r="1570" ht="22.5" customHeight="1">
      <c r="A1570" s="44" t="s">
        <v>5044</v>
      </c>
      <c r="B1570" s="44" t="s">
        <v>5045</v>
      </c>
      <c r="C1570" s="44" t="s">
        <v>5046</v>
      </c>
      <c r="D1570" s="44" t="s">
        <v>1120</v>
      </c>
      <c r="E1570" s="49" t="s">
        <v>895</v>
      </c>
      <c r="F1570" s="44" t="s">
        <v>1121</v>
      </c>
      <c r="G1570" s="44">
        <v>72.0</v>
      </c>
      <c r="H1570" s="47" t="s">
        <v>970</v>
      </c>
      <c r="I1570" s="47" t="s">
        <v>895</v>
      </c>
      <c r="J1570" s="44">
        <v>10.844294</v>
      </c>
      <c r="K1570" s="48">
        <v>106.817769</v>
      </c>
    </row>
    <row r="1571" ht="22.5" customHeight="1">
      <c r="A1571" s="44" t="s">
        <v>279</v>
      </c>
      <c r="B1571" s="44" t="s">
        <v>5047</v>
      </c>
      <c r="C1571" s="44" t="s">
        <v>5048</v>
      </c>
      <c r="D1571" s="44" t="s">
        <v>1910</v>
      </c>
      <c r="E1571" s="49" t="s">
        <v>892</v>
      </c>
      <c r="F1571" s="44" t="s">
        <v>1108</v>
      </c>
      <c r="G1571" s="44">
        <v>60.0</v>
      </c>
      <c r="H1571" s="47" t="s">
        <v>970</v>
      </c>
      <c r="I1571" s="47" t="s">
        <v>892</v>
      </c>
      <c r="J1571" s="44">
        <v>11.011556</v>
      </c>
      <c r="K1571" s="48">
        <v>106.639244</v>
      </c>
    </row>
    <row r="1572" ht="22.5" customHeight="1">
      <c r="A1572" s="44" t="s">
        <v>5049</v>
      </c>
      <c r="B1572" s="44" t="s">
        <v>5050</v>
      </c>
      <c r="C1572" s="44" t="s">
        <v>5051</v>
      </c>
      <c r="D1572" s="44" t="s">
        <v>1621</v>
      </c>
      <c r="E1572" s="49" t="s">
        <v>789</v>
      </c>
      <c r="F1572" s="44" t="s">
        <v>1168</v>
      </c>
      <c r="G1572" s="44">
        <v>60.0</v>
      </c>
      <c r="H1572" s="47" t="s">
        <v>970</v>
      </c>
      <c r="I1572" s="47" t="s">
        <v>885</v>
      </c>
      <c r="J1572" s="44">
        <v>10.722419</v>
      </c>
      <c r="K1572" s="48">
        <v>106.681935</v>
      </c>
    </row>
    <row r="1573" ht="22.5" customHeight="1">
      <c r="A1573" s="44" t="s">
        <v>198</v>
      </c>
      <c r="B1573" s="44" t="s">
        <v>5052</v>
      </c>
      <c r="C1573" s="44" t="s">
        <v>5053</v>
      </c>
      <c r="D1573" s="44" t="s">
        <v>1030</v>
      </c>
      <c r="E1573" s="49" t="s">
        <v>887</v>
      </c>
      <c r="F1573" s="44" t="s">
        <v>1031</v>
      </c>
      <c r="G1573" s="44">
        <v>74.0</v>
      </c>
      <c r="H1573" s="47" t="s">
        <v>970</v>
      </c>
      <c r="I1573" s="47" t="s">
        <v>887</v>
      </c>
      <c r="J1573" s="44">
        <v>10.769477</v>
      </c>
      <c r="K1573" s="48">
        <v>106.72447</v>
      </c>
    </row>
    <row r="1574" ht="22.5" customHeight="1">
      <c r="A1574" s="44" t="s">
        <v>5054</v>
      </c>
      <c r="B1574" s="44" t="s">
        <v>5055</v>
      </c>
      <c r="C1574" s="44" t="s">
        <v>5056</v>
      </c>
      <c r="D1574" s="44" t="s">
        <v>1067</v>
      </c>
      <c r="E1574" s="49" t="s">
        <v>897</v>
      </c>
      <c r="F1574" s="44" t="s">
        <v>1027</v>
      </c>
      <c r="G1574" s="44">
        <v>45.0</v>
      </c>
      <c r="H1574" s="47" t="s">
        <v>970</v>
      </c>
      <c r="I1574" s="47" t="s">
        <v>896</v>
      </c>
      <c r="J1574" s="44">
        <v>10.827772471938</v>
      </c>
      <c r="K1574" s="48">
        <v>106.62230490029</v>
      </c>
    </row>
    <row r="1575" ht="22.5" customHeight="1">
      <c r="A1575" s="44" t="s">
        <v>5057</v>
      </c>
      <c r="B1575" s="44" t="s">
        <v>5058</v>
      </c>
      <c r="C1575" s="44" t="s">
        <v>2037</v>
      </c>
      <c r="D1575" s="44" t="s">
        <v>1668</v>
      </c>
      <c r="E1575" s="49" t="s">
        <v>797</v>
      </c>
      <c r="F1575" s="44" t="s">
        <v>1409</v>
      </c>
      <c r="G1575" s="44">
        <v>60.0</v>
      </c>
      <c r="H1575" s="47" t="s">
        <v>970</v>
      </c>
      <c r="I1575" s="47" t="s">
        <v>797</v>
      </c>
      <c r="J1575" s="44">
        <v>10.882285</v>
      </c>
      <c r="K1575" s="48">
        <v>106.608604</v>
      </c>
    </row>
    <row r="1576" ht="22.5" customHeight="1">
      <c r="A1576" s="44" t="s">
        <v>5059</v>
      </c>
      <c r="B1576" s="44" t="s">
        <v>5060</v>
      </c>
      <c r="C1576" s="44" t="s">
        <v>5061</v>
      </c>
      <c r="D1576" s="44" t="s">
        <v>982</v>
      </c>
      <c r="E1576" s="49" t="s">
        <v>510</v>
      </c>
      <c r="F1576" s="44" t="s">
        <v>983</v>
      </c>
      <c r="G1576" s="44">
        <v>90.0</v>
      </c>
      <c r="H1576" s="47" t="s">
        <v>970</v>
      </c>
      <c r="I1576" s="47" t="s">
        <v>832</v>
      </c>
      <c r="J1576" s="44">
        <v>10.827821821481</v>
      </c>
      <c r="K1576" s="48">
        <v>106.72361893793</v>
      </c>
    </row>
    <row r="1577" ht="22.5" customHeight="1">
      <c r="A1577" s="44" t="s">
        <v>5062</v>
      </c>
      <c r="B1577" s="44" t="s">
        <v>5063</v>
      </c>
      <c r="C1577" s="44" t="s">
        <v>5064</v>
      </c>
      <c r="D1577" s="44" t="s">
        <v>1546</v>
      </c>
      <c r="E1577" s="49" t="s">
        <v>797</v>
      </c>
      <c r="F1577" s="44" t="s">
        <v>1409</v>
      </c>
      <c r="G1577" s="44">
        <v>45.0</v>
      </c>
      <c r="H1577" s="47" t="s">
        <v>970</v>
      </c>
      <c r="I1577" s="47" t="s">
        <v>797</v>
      </c>
      <c r="J1577" s="44">
        <v>10.896164</v>
      </c>
      <c r="K1577" s="48">
        <v>106.599026</v>
      </c>
    </row>
    <row r="1578" ht="22.5" customHeight="1">
      <c r="A1578" s="44" t="s">
        <v>5065</v>
      </c>
      <c r="B1578" s="44" t="s">
        <v>5066</v>
      </c>
      <c r="C1578" s="44" t="s">
        <v>3061</v>
      </c>
      <c r="D1578" s="44" t="s">
        <v>1747</v>
      </c>
      <c r="E1578" s="49" t="s">
        <v>883</v>
      </c>
      <c r="F1578" s="44" t="s">
        <v>1471</v>
      </c>
      <c r="G1578" s="44">
        <v>70.0</v>
      </c>
      <c r="H1578" s="47" t="s">
        <v>970</v>
      </c>
      <c r="I1578" s="47" t="s">
        <v>883</v>
      </c>
      <c r="J1578" s="44">
        <v>10.951149</v>
      </c>
      <c r="K1578" s="48">
        <v>106.707234</v>
      </c>
    </row>
    <row r="1579" ht="22.5" customHeight="1">
      <c r="A1579" s="44" t="s">
        <v>5067</v>
      </c>
      <c r="B1579" s="44" t="s">
        <v>5068</v>
      </c>
      <c r="C1579" s="44" t="s">
        <v>3000</v>
      </c>
      <c r="D1579" s="44" t="s">
        <v>1303</v>
      </c>
      <c r="E1579" s="49" t="s">
        <v>789</v>
      </c>
      <c r="F1579" s="44" t="s">
        <v>1168</v>
      </c>
      <c r="G1579" s="44">
        <v>60.0</v>
      </c>
      <c r="H1579" s="47" t="s">
        <v>970</v>
      </c>
      <c r="I1579" s="47" t="s">
        <v>789</v>
      </c>
      <c r="J1579" s="44">
        <v>10.690881</v>
      </c>
      <c r="K1579" s="48">
        <v>106.585983</v>
      </c>
    </row>
    <row r="1580" ht="22.5" customHeight="1">
      <c r="A1580" s="44" t="s">
        <v>5069</v>
      </c>
      <c r="B1580" s="44" t="s">
        <v>5070</v>
      </c>
      <c r="C1580" s="44" t="s">
        <v>5071</v>
      </c>
      <c r="D1580" s="44" t="s">
        <v>1648</v>
      </c>
      <c r="E1580" s="49" t="s">
        <v>883</v>
      </c>
      <c r="F1580" s="44" t="s">
        <v>1471</v>
      </c>
      <c r="G1580" s="44">
        <v>85.0</v>
      </c>
      <c r="H1580" s="47" t="s">
        <v>970</v>
      </c>
      <c r="I1580" s="47" t="s">
        <v>890</v>
      </c>
      <c r="J1580" s="44">
        <v>10.942225930351</v>
      </c>
      <c r="K1580" s="48">
        <v>106.73972493795</v>
      </c>
    </row>
    <row r="1581" ht="22.5" customHeight="1">
      <c r="A1581" s="44" t="s">
        <v>5072</v>
      </c>
      <c r="B1581" s="44" t="s">
        <v>5073</v>
      </c>
      <c r="C1581" s="44" t="s">
        <v>5074</v>
      </c>
      <c r="D1581" s="44" t="s">
        <v>1470</v>
      </c>
      <c r="E1581" s="49" t="s">
        <v>883</v>
      </c>
      <c r="F1581" s="44" t="s">
        <v>1471</v>
      </c>
      <c r="G1581" s="44">
        <v>85.0</v>
      </c>
      <c r="H1581" s="47" t="s">
        <v>970</v>
      </c>
      <c r="I1581" s="47" t="s">
        <v>883</v>
      </c>
      <c r="J1581" s="44">
        <v>10.904094</v>
      </c>
      <c r="K1581" s="48">
        <v>106.709797</v>
      </c>
    </row>
    <row r="1582" ht="22.5" customHeight="1">
      <c r="A1582" s="44" t="s">
        <v>5075</v>
      </c>
      <c r="B1582" s="44" t="s">
        <v>5076</v>
      </c>
      <c r="C1582" s="44" t="s">
        <v>5077</v>
      </c>
      <c r="D1582" s="44" t="s">
        <v>1359</v>
      </c>
      <c r="E1582" s="49" t="s">
        <v>813</v>
      </c>
      <c r="F1582" s="44" t="s">
        <v>1015</v>
      </c>
      <c r="G1582" s="44">
        <v>46.0</v>
      </c>
      <c r="H1582" s="47" t="s">
        <v>970</v>
      </c>
      <c r="I1582" s="47" t="s">
        <v>822</v>
      </c>
      <c r="J1582" s="44">
        <v>10.755877</v>
      </c>
      <c r="K1582" s="48">
        <v>106.659235</v>
      </c>
    </row>
    <row r="1583" ht="22.5" customHeight="1">
      <c r="A1583" s="44" t="s">
        <v>5078</v>
      </c>
      <c r="B1583" s="44" t="s">
        <v>5079</v>
      </c>
      <c r="C1583" s="44" t="s">
        <v>5080</v>
      </c>
      <c r="D1583" s="44" t="s">
        <v>1668</v>
      </c>
      <c r="E1583" s="49" t="s">
        <v>797</v>
      </c>
      <c r="F1583" s="44" t="s">
        <v>1409</v>
      </c>
      <c r="G1583" s="44">
        <v>60.0</v>
      </c>
      <c r="H1583" s="47" t="s">
        <v>970</v>
      </c>
      <c r="I1583" s="47" t="s">
        <v>797</v>
      </c>
      <c r="J1583" s="44">
        <v>10.898961</v>
      </c>
      <c r="K1583" s="48">
        <v>106.604874</v>
      </c>
    </row>
    <row r="1584" ht="22.5" customHeight="1">
      <c r="A1584" s="44" t="s">
        <v>5081</v>
      </c>
      <c r="B1584" s="44" t="s">
        <v>5082</v>
      </c>
      <c r="C1584" s="44" t="s">
        <v>5083</v>
      </c>
      <c r="D1584" s="44" t="s">
        <v>3435</v>
      </c>
      <c r="E1584" s="49" t="s">
        <v>883</v>
      </c>
      <c r="F1584" s="44" t="s">
        <v>1471</v>
      </c>
      <c r="G1584" s="44">
        <v>60.0</v>
      </c>
      <c r="H1584" s="47" t="s">
        <v>970</v>
      </c>
      <c r="I1584" s="47" t="s">
        <v>891</v>
      </c>
      <c r="J1584" s="44">
        <v>10.993409051167</v>
      </c>
      <c r="K1584" s="48">
        <v>106.76531845448</v>
      </c>
    </row>
    <row r="1585" ht="22.5" customHeight="1">
      <c r="A1585" s="44" t="s">
        <v>5084</v>
      </c>
      <c r="B1585" s="44" t="s">
        <v>5085</v>
      </c>
      <c r="C1585" s="44" t="s">
        <v>5086</v>
      </c>
      <c r="D1585" s="44" t="s">
        <v>1939</v>
      </c>
      <c r="E1585" s="49" t="s">
        <v>895</v>
      </c>
      <c r="F1585" s="44" t="s">
        <v>1121</v>
      </c>
      <c r="G1585" s="44">
        <v>66.0</v>
      </c>
      <c r="H1585" s="47" t="s">
        <v>970</v>
      </c>
      <c r="I1585" s="47" t="s">
        <v>895</v>
      </c>
      <c r="J1585" s="44">
        <v>10.861369</v>
      </c>
      <c r="K1585" s="48">
        <v>106.779868</v>
      </c>
    </row>
    <row r="1586" ht="22.5" customHeight="1">
      <c r="A1586" s="44" t="s">
        <v>5087</v>
      </c>
      <c r="B1586" s="44" t="s">
        <v>5088</v>
      </c>
      <c r="C1586" s="44" t="s">
        <v>5089</v>
      </c>
      <c r="D1586" s="44" t="s">
        <v>1129</v>
      </c>
      <c r="E1586" s="49"/>
      <c r="F1586" s="44" t="s">
        <v>1098</v>
      </c>
      <c r="G1586" s="44"/>
      <c r="H1586" s="47" t="s">
        <v>970</v>
      </c>
      <c r="I1586" s="47" t="s">
        <v>910</v>
      </c>
      <c r="J1586" s="44">
        <v>10.776052</v>
      </c>
      <c r="K1586" s="48">
        <v>106.671847</v>
      </c>
    </row>
    <row r="1587" ht="22.5" customHeight="1">
      <c r="A1587" s="44" t="s">
        <v>5090</v>
      </c>
      <c r="B1587" s="44" t="s">
        <v>5091</v>
      </c>
      <c r="C1587" s="44" t="s">
        <v>3946</v>
      </c>
      <c r="D1587" s="44" t="s">
        <v>1026</v>
      </c>
      <c r="E1587" s="49" t="s">
        <v>897</v>
      </c>
      <c r="F1587" s="44" t="s">
        <v>1027</v>
      </c>
      <c r="G1587" s="44">
        <v>68.0</v>
      </c>
      <c r="H1587" s="47" t="s">
        <v>970</v>
      </c>
      <c r="I1587" s="47" t="s">
        <v>897</v>
      </c>
      <c r="J1587" s="44">
        <v>10.839292</v>
      </c>
      <c r="K1587" s="48">
        <v>106.657465</v>
      </c>
    </row>
    <row r="1588" ht="22.5" customHeight="1">
      <c r="A1588" s="44" t="s">
        <v>5092</v>
      </c>
      <c r="B1588" s="44" t="s">
        <v>5093</v>
      </c>
      <c r="C1588" s="44" t="s">
        <v>5094</v>
      </c>
      <c r="D1588" s="44" t="s">
        <v>1227</v>
      </c>
      <c r="E1588" s="49" t="s">
        <v>890</v>
      </c>
      <c r="F1588" s="44" t="s">
        <v>1228</v>
      </c>
      <c r="G1588" s="44">
        <v>30.0</v>
      </c>
      <c r="H1588" s="47" t="s">
        <v>970</v>
      </c>
      <c r="I1588" s="47" t="s">
        <v>890</v>
      </c>
      <c r="J1588" s="44">
        <v>10.926168</v>
      </c>
      <c r="K1588" s="48">
        <v>106.762215</v>
      </c>
    </row>
    <row r="1589" ht="22.5" customHeight="1">
      <c r="A1589" s="44" t="s">
        <v>5095</v>
      </c>
      <c r="B1589" s="44" t="s">
        <v>5096</v>
      </c>
      <c r="C1589" s="44" t="s">
        <v>5097</v>
      </c>
      <c r="D1589" s="44" t="s">
        <v>1747</v>
      </c>
      <c r="E1589" s="49" t="s">
        <v>883</v>
      </c>
      <c r="F1589" s="44" t="s">
        <v>1471</v>
      </c>
      <c r="G1589" s="44">
        <v>85.0</v>
      </c>
      <c r="H1589" s="47" t="s">
        <v>970</v>
      </c>
      <c r="I1589" s="47" t="s">
        <v>883</v>
      </c>
      <c r="J1589" s="44">
        <v>10.950220657367</v>
      </c>
      <c r="K1589" s="48">
        <v>106.70886353749</v>
      </c>
    </row>
    <row r="1590" ht="22.5" customHeight="1">
      <c r="A1590" s="44" t="s">
        <v>5098</v>
      </c>
      <c r="B1590" s="44" t="s">
        <v>5099</v>
      </c>
      <c r="C1590" s="44" t="s">
        <v>5100</v>
      </c>
      <c r="D1590" s="44" t="s">
        <v>1691</v>
      </c>
      <c r="E1590" s="49" t="s">
        <v>850</v>
      </c>
      <c r="F1590" s="44" t="s">
        <v>1057</v>
      </c>
      <c r="G1590" s="44">
        <v>60.0</v>
      </c>
      <c r="H1590" s="47" t="s">
        <v>970</v>
      </c>
      <c r="I1590" s="47" t="s">
        <v>892</v>
      </c>
      <c r="J1590" s="44">
        <v>10.955275</v>
      </c>
      <c r="K1590" s="48">
        <v>106.6009</v>
      </c>
    </row>
    <row r="1591" ht="22.5" customHeight="1">
      <c r="A1591" s="44" t="s">
        <v>484</v>
      </c>
      <c r="B1591" s="44" t="s">
        <v>5101</v>
      </c>
      <c r="C1591" s="44" t="s">
        <v>5102</v>
      </c>
      <c r="D1591" s="44" t="s">
        <v>1478</v>
      </c>
      <c r="E1591" s="49" t="s">
        <v>895</v>
      </c>
      <c r="F1591" s="44" t="s">
        <v>1121</v>
      </c>
      <c r="G1591" s="44">
        <v>72.0</v>
      </c>
      <c r="H1591" s="47" t="s">
        <v>970</v>
      </c>
      <c r="I1591" s="47" t="s">
        <v>899</v>
      </c>
      <c r="J1591" s="44">
        <v>10.804219</v>
      </c>
      <c r="K1591" s="48">
        <v>106.782284</v>
      </c>
    </row>
    <row r="1592" ht="22.5" customHeight="1">
      <c r="A1592" s="44" t="s">
        <v>109</v>
      </c>
      <c r="B1592" s="44" t="s">
        <v>5103</v>
      </c>
      <c r="C1592" s="44" t="s">
        <v>5104</v>
      </c>
      <c r="D1592" s="44" t="s">
        <v>1120</v>
      </c>
      <c r="E1592" s="49" t="s">
        <v>895</v>
      </c>
      <c r="F1592" s="44" t="s">
        <v>1121</v>
      </c>
      <c r="G1592" s="44">
        <v>57.0</v>
      </c>
      <c r="H1592" s="47" t="s">
        <v>970</v>
      </c>
      <c r="I1592" s="47" t="s">
        <v>895</v>
      </c>
      <c r="J1592" s="44">
        <v>10.865016</v>
      </c>
      <c r="K1592" s="48">
        <v>106.810757</v>
      </c>
    </row>
    <row r="1593" ht="22.5" customHeight="1">
      <c r="A1593" s="44" t="s">
        <v>473</v>
      </c>
      <c r="B1593" s="44" t="s">
        <v>5105</v>
      </c>
      <c r="C1593" s="44" t="s">
        <v>5106</v>
      </c>
      <c r="D1593" s="44" t="s">
        <v>1433</v>
      </c>
      <c r="E1593" s="49" t="s">
        <v>910</v>
      </c>
      <c r="F1593" s="44" t="s">
        <v>987</v>
      </c>
      <c r="G1593" s="50">
        <v>60.0</v>
      </c>
      <c r="H1593" s="47" t="s">
        <v>970</v>
      </c>
      <c r="I1593" s="47" t="s">
        <v>813</v>
      </c>
      <c r="J1593" s="44">
        <v>10.763383</v>
      </c>
      <c r="K1593" s="48">
        <v>106.675751</v>
      </c>
    </row>
    <row r="1594" ht="22.5" customHeight="1">
      <c r="A1594" s="44" t="s">
        <v>5107</v>
      </c>
      <c r="B1594" s="44" t="s">
        <v>5108</v>
      </c>
      <c r="C1594" s="44" t="s">
        <v>5109</v>
      </c>
      <c r="D1594" s="44" t="s">
        <v>1076</v>
      </c>
      <c r="E1594" s="49" t="s">
        <v>813</v>
      </c>
      <c r="F1594" s="44" t="s">
        <v>1015</v>
      </c>
      <c r="G1594" s="44">
        <v>76.0</v>
      </c>
      <c r="H1594" s="47" t="s">
        <v>970</v>
      </c>
      <c r="I1594" s="47" t="s">
        <v>813</v>
      </c>
      <c r="J1594" s="44">
        <v>10.750595</v>
      </c>
      <c r="K1594" s="48">
        <v>106.67053</v>
      </c>
    </row>
    <row r="1595" ht="22.5" customHeight="1">
      <c r="A1595" s="44" t="s">
        <v>596</v>
      </c>
      <c r="B1595" s="44" t="s">
        <v>5110</v>
      </c>
      <c r="C1595" s="44" t="s">
        <v>5111</v>
      </c>
      <c r="D1595" s="44" t="s">
        <v>990</v>
      </c>
      <c r="E1595" s="49" t="s">
        <v>894</v>
      </c>
      <c r="F1595" s="44" t="s">
        <v>974</v>
      </c>
      <c r="G1595" s="44">
        <v>38.0</v>
      </c>
      <c r="H1595" s="47" t="s">
        <v>970</v>
      </c>
      <c r="I1595" s="47" t="s">
        <v>894</v>
      </c>
      <c r="J1595" s="44">
        <v>10.730884</v>
      </c>
      <c r="K1595" s="48">
        <v>106.723585</v>
      </c>
    </row>
    <row r="1596" ht="22.5" customHeight="1">
      <c r="A1596" s="44" t="s">
        <v>5112</v>
      </c>
      <c r="B1596" s="44" t="s">
        <v>5113</v>
      </c>
      <c r="C1596" s="44" t="s">
        <v>5114</v>
      </c>
      <c r="D1596" s="44" t="s">
        <v>1014</v>
      </c>
      <c r="E1596" s="49" t="s">
        <v>813</v>
      </c>
      <c r="F1596" s="44" t="s">
        <v>1015</v>
      </c>
      <c r="G1596" s="44">
        <v>76.0</v>
      </c>
      <c r="H1596" s="47" t="s">
        <v>970</v>
      </c>
      <c r="I1596" s="47" t="s">
        <v>813</v>
      </c>
      <c r="J1596" s="44">
        <v>10.752669</v>
      </c>
      <c r="K1596" s="48">
        <v>106.678919</v>
      </c>
    </row>
    <row r="1597" ht="22.5" customHeight="1">
      <c r="A1597" s="44" t="s">
        <v>5115</v>
      </c>
      <c r="B1597" s="44" t="s">
        <v>5116</v>
      </c>
      <c r="C1597" s="44" t="s">
        <v>5117</v>
      </c>
      <c r="D1597" s="44" t="s">
        <v>1994</v>
      </c>
      <c r="E1597" s="49" t="s">
        <v>890</v>
      </c>
      <c r="F1597" s="44" t="s">
        <v>1228</v>
      </c>
      <c r="G1597" s="44">
        <v>60.0</v>
      </c>
      <c r="H1597" s="47" t="s">
        <v>970</v>
      </c>
      <c r="I1597" s="47" t="s">
        <v>890</v>
      </c>
      <c r="J1597" s="44">
        <v>10.929944076199</v>
      </c>
      <c r="K1597" s="48">
        <v>106.76498777843</v>
      </c>
    </row>
    <row r="1598" ht="22.5" customHeight="1">
      <c r="A1598" s="44" t="s">
        <v>5118</v>
      </c>
      <c r="B1598" s="44" t="s">
        <v>5119</v>
      </c>
      <c r="C1598" s="44" t="s">
        <v>2430</v>
      </c>
      <c r="D1598" s="44" t="s">
        <v>1227</v>
      </c>
      <c r="E1598" s="49" t="s">
        <v>890</v>
      </c>
      <c r="F1598" s="44" t="s">
        <v>1228</v>
      </c>
      <c r="G1598" s="44">
        <v>30.0</v>
      </c>
      <c r="H1598" s="47" t="s">
        <v>970</v>
      </c>
      <c r="I1598" s="47" t="s">
        <v>890</v>
      </c>
      <c r="J1598" s="44">
        <v>10.911016</v>
      </c>
      <c r="K1598" s="48">
        <v>106.781359</v>
      </c>
    </row>
    <row r="1599" ht="22.5" customHeight="1">
      <c r="A1599" s="44" t="s">
        <v>5120</v>
      </c>
      <c r="B1599" s="44" t="s">
        <v>5121</v>
      </c>
      <c r="C1599" s="44" t="s">
        <v>5122</v>
      </c>
      <c r="D1599" s="44" t="s">
        <v>1227</v>
      </c>
      <c r="E1599" s="49" t="s">
        <v>890</v>
      </c>
      <c r="F1599" s="44" t="s">
        <v>1228</v>
      </c>
      <c r="G1599" s="44">
        <v>60.0</v>
      </c>
      <c r="H1599" s="47" t="s">
        <v>970</v>
      </c>
      <c r="I1599" s="47" t="s">
        <v>890</v>
      </c>
      <c r="J1599" s="44">
        <v>10.916213</v>
      </c>
      <c r="K1599" s="48">
        <v>106.753264</v>
      </c>
    </row>
    <row r="1600" ht="22.5" customHeight="1">
      <c r="A1600" s="44" t="s">
        <v>280</v>
      </c>
      <c r="B1600" s="44" t="s">
        <v>5123</v>
      </c>
      <c r="C1600" s="44" t="s">
        <v>4429</v>
      </c>
      <c r="D1600" s="44" t="s">
        <v>1180</v>
      </c>
      <c r="E1600" s="49" t="s">
        <v>892</v>
      </c>
      <c r="F1600" s="44" t="s">
        <v>1108</v>
      </c>
      <c r="G1600" s="44">
        <v>75.0</v>
      </c>
      <c r="H1600" s="47" t="s">
        <v>970</v>
      </c>
      <c r="I1600" s="47" t="s">
        <v>892</v>
      </c>
      <c r="J1600" s="44">
        <v>10.99739</v>
      </c>
      <c r="K1600" s="48">
        <v>106.656198</v>
      </c>
    </row>
    <row r="1601" ht="22.5" customHeight="1">
      <c r="A1601" s="44" t="s">
        <v>5124</v>
      </c>
      <c r="B1601" s="44" t="s">
        <v>5125</v>
      </c>
      <c r="C1601" s="44" t="s">
        <v>5126</v>
      </c>
      <c r="D1601" s="44" t="s">
        <v>1905</v>
      </c>
      <c r="E1601" s="49" t="s">
        <v>890</v>
      </c>
      <c r="F1601" s="44" t="s">
        <v>1228</v>
      </c>
      <c r="G1601" s="44">
        <v>60.0</v>
      </c>
      <c r="H1601" s="47" t="s">
        <v>970</v>
      </c>
      <c r="I1601" s="47" t="s">
        <v>890</v>
      </c>
      <c r="J1601" s="44">
        <v>10.900014</v>
      </c>
      <c r="K1601" s="48">
        <v>106.799202</v>
      </c>
    </row>
    <row r="1602" ht="22.5" customHeight="1">
      <c r="A1602" s="44" t="s">
        <v>282</v>
      </c>
      <c r="B1602" s="44" t="s">
        <v>5127</v>
      </c>
      <c r="C1602" s="44" t="s">
        <v>5074</v>
      </c>
      <c r="D1602" s="44" t="s">
        <v>1470</v>
      </c>
      <c r="E1602" s="49" t="s">
        <v>892</v>
      </c>
      <c r="F1602" s="44" t="s">
        <v>1108</v>
      </c>
      <c r="G1602" s="44">
        <v>75.0</v>
      </c>
      <c r="H1602" s="47" t="s">
        <v>970</v>
      </c>
      <c r="I1602" s="47" t="s">
        <v>883</v>
      </c>
      <c r="J1602" s="44">
        <v>10.904094</v>
      </c>
      <c r="K1602" s="48">
        <v>106.709797</v>
      </c>
    </row>
    <row r="1603" ht="22.5" customHeight="1">
      <c r="A1603" s="44" t="s">
        <v>5128</v>
      </c>
      <c r="B1603" s="44" t="s">
        <v>5129</v>
      </c>
      <c r="C1603" s="44" t="s">
        <v>3020</v>
      </c>
      <c r="D1603" s="44" t="s">
        <v>1470</v>
      </c>
      <c r="E1603" s="49" t="s">
        <v>883</v>
      </c>
      <c r="F1603" s="44" t="s">
        <v>1471</v>
      </c>
      <c r="G1603" s="44">
        <v>85.0</v>
      </c>
      <c r="H1603" s="47" t="s">
        <v>970</v>
      </c>
      <c r="I1603" s="47" t="s">
        <v>883</v>
      </c>
      <c r="J1603" s="44">
        <v>10.919357</v>
      </c>
      <c r="K1603" s="48">
        <v>106.712474</v>
      </c>
    </row>
    <row r="1604" ht="22.5" customHeight="1">
      <c r="A1604" s="44" t="s">
        <v>5130</v>
      </c>
      <c r="B1604" s="44" t="s">
        <v>5131</v>
      </c>
      <c r="C1604" s="44" t="s">
        <v>4155</v>
      </c>
      <c r="D1604" s="44" t="s">
        <v>1820</v>
      </c>
      <c r="E1604" s="49" t="s">
        <v>850</v>
      </c>
      <c r="F1604" s="44" t="s">
        <v>1057</v>
      </c>
      <c r="G1604" s="44">
        <v>60.0</v>
      </c>
      <c r="H1604" s="47" t="s">
        <v>970</v>
      </c>
      <c r="I1604" s="47" t="s">
        <v>850</v>
      </c>
      <c r="J1604" s="44">
        <v>10.975727</v>
      </c>
      <c r="K1604" s="48">
        <v>106.477073</v>
      </c>
    </row>
    <row r="1605" ht="22.5" customHeight="1">
      <c r="A1605" s="44" t="s">
        <v>5132</v>
      </c>
      <c r="B1605" s="44" t="s">
        <v>5133</v>
      </c>
      <c r="C1605" s="44" t="s">
        <v>5134</v>
      </c>
      <c r="D1605" s="44" t="s">
        <v>1433</v>
      </c>
      <c r="E1605" s="49" t="s">
        <v>910</v>
      </c>
      <c r="F1605" s="44" t="s">
        <v>987</v>
      </c>
      <c r="G1605" s="44">
        <v>60.0</v>
      </c>
      <c r="H1605" s="47" t="s">
        <v>970</v>
      </c>
      <c r="I1605" s="47" t="s">
        <v>813</v>
      </c>
      <c r="J1605" s="44">
        <v>10.762322</v>
      </c>
      <c r="K1605" s="48">
        <v>106.674896</v>
      </c>
    </row>
    <row r="1606" ht="22.5" customHeight="1">
      <c r="A1606" s="44" t="s">
        <v>5135</v>
      </c>
      <c r="B1606" s="44" t="s">
        <v>5136</v>
      </c>
      <c r="C1606" s="44" t="s">
        <v>5137</v>
      </c>
      <c r="D1606" s="44" t="s">
        <v>1988</v>
      </c>
      <c r="E1606" s="49" t="s">
        <v>889</v>
      </c>
      <c r="F1606" s="44" t="s">
        <v>1043</v>
      </c>
      <c r="G1606" s="44">
        <v>100.0</v>
      </c>
      <c r="H1606" s="47" t="s">
        <v>970</v>
      </c>
      <c r="I1606" s="47" t="s">
        <v>901</v>
      </c>
      <c r="J1606" s="44">
        <v>10.818679</v>
      </c>
      <c r="K1606" s="48">
        <v>106.716058</v>
      </c>
    </row>
    <row r="1607" ht="22.5" customHeight="1">
      <c r="A1607" s="44" t="s">
        <v>283</v>
      </c>
      <c r="B1607" s="44" t="s">
        <v>5138</v>
      </c>
      <c r="C1607" s="44" t="s">
        <v>3713</v>
      </c>
      <c r="D1607" s="44" t="s">
        <v>1180</v>
      </c>
      <c r="E1607" s="49" t="s">
        <v>892</v>
      </c>
      <c r="F1607" s="44" t="s">
        <v>1108</v>
      </c>
      <c r="G1607" s="44">
        <v>30.0</v>
      </c>
      <c r="H1607" s="47" t="s">
        <v>970</v>
      </c>
      <c r="I1607" s="47" t="s">
        <v>892</v>
      </c>
      <c r="J1607" s="44">
        <v>10.994873</v>
      </c>
      <c r="K1607" s="48">
        <v>106.657071</v>
      </c>
    </row>
    <row r="1608" ht="22.5" customHeight="1">
      <c r="A1608" s="44" t="s">
        <v>284</v>
      </c>
      <c r="B1608" s="44" t="s">
        <v>5139</v>
      </c>
      <c r="C1608" s="44" t="s">
        <v>3713</v>
      </c>
      <c r="D1608" s="44" t="s">
        <v>1180</v>
      </c>
      <c r="E1608" s="49" t="s">
        <v>892</v>
      </c>
      <c r="F1608" s="44" t="s">
        <v>1108</v>
      </c>
      <c r="G1608" s="44">
        <v>60.0</v>
      </c>
      <c r="H1608" s="47" t="s">
        <v>970</v>
      </c>
      <c r="I1608" s="47" t="s">
        <v>892</v>
      </c>
      <c r="J1608" s="44">
        <v>10.996826</v>
      </c>
      <c r="K1608" s="48">
        <v>106.655896</v>
      </c>
    </row>
    <row r="1609" ht="22.5" customHeight="1">
      <c r="A1609" s="44" t="s">
        <v>5140</v>
      </c>
      <c r="B1609" s="44" t="s">
        <v>5141</v>
      </c>
      <c r="C1609" s="44" t="s">
        <v>5142</v>
      </c>
      <c r="D1609" s="44" t="s">
        <v>1359</v>
      </c>
      <c r="E1609" s="49" t="s">
        <v>813</v>
      </c>
      <c r="F1609" s="44" t="s">
        <v>1015</v>
      </c>
      <c r="G1609" s="44">
        <v>76.0</v>
      </c>
      <c r="H1609" s="47" t="s">
        <v>970</v>
      </c>
      <c r="I1609" s="47" t="s">
        <v>825</v>
      </c>
      <c r="J1609" s="44">
        <v>10.75178</v>
      </c>
      <c r="K1609" s="48">
        <v>106.651682</v>
      </c>
    </row>
    <row r="1610" ht="22.5" customHeight="1">
      <c r="A1610" s="44" t="s">
        <v>5143</v>
      </c>
      <c r="B1610" s="44" t="s">
        <v>5144</v>
      </c>
      <c r="C1610" s="44" t="s">
        <v>3774</v>
      </c>
      <c r="D1610" s="44" t="s">
        <v>1268</v>
      </c>
      <c r="E1610" s="49" t="s">
        <v>910</v>
      </c>
      <c r="F1610" s="44" t="s">
        <v>987</v>
      </c>
      <c r="G1610" s="44">
        <v>69.0</v>
      </c>
      <c r="H1610" s="47" t="s">
        <v>970</v>
      </c>
      <c r="I1610" s="47" t="s">
        <v>826</v>
      </c>
      <c r="J1610" s="44">
        <v>10.780515</v>
      </c>
      <c r="K1610" s="48">
        <v>106.687882</v>
      </c>
    </row>
    <row r="1611" ht="22.5" customHeight="1">
      <c r="A1611" s="44" t="s">
        <v>5145</v>
      </c>
      <c r="B1611" s="44" t="s">
        <v>5146</v>
      </c>
      <c r="C1611" s="44" t="s">
        <v>5147</v>
      </c>
      <c r="D1611" s="44" t="s">
        <v>1747</v>
      </c>
      <c r="E1611" s="49" t="s">
        <v>883</v>
      </c>
      <c r="F1611" s="44" t="s">
        <v>1471</v>
      </c>
      <c r="G1611" s="44">
        <v>55.0</v>
      </c>
      <c r="H1611" s="47" t="s">
        <v>970</v>
      </c>
      <c r="I1611" s="47" t="s">
        <v>883</v>
      </c>
      <c r="J1611" s="44">
        <v>10.928810365068</v>
      </c>
      <c r="K1611" s="48">
        <v>106.71213291016</v>
      </c>
    </row>
    <row r="1612" ht="22.5" customHeight="1">
      <c r="A1612" s="44" t="s">
        <v>471</v>
      </c>
      <c r="B1612" s="44" t="s">
        <v>5148</v>
      </c>
      <c r="C1612" s="44" t="s">
        <v>5147</v>
      </c>
      <c r="D1612" s="44" t="s">
        <v>1747</v>
      </c>
      <c r="E1612" s="49" t="s">
        <v>883</v>
      </c>
      <c r="F1612" s="44" t="s">
        <v>1471</v>
      </c>
      <c r="G1612" s="44">
        <v>55.0</v>
      </c>
      <c r="H1612" s="47" t="s">
        <v>970</v>
      </c>
      <c r="I1612" s="47" t="s">
        <v>883</v>
      </c>
      <c r="J1612" s="44">
        <v>10.92892898145</v>
      </c>
      <c r="K1612" s="48">
        <v>106.71253562894</v>
      </c>
    </row>
    <row r="1613" ht="22.5" customHeight="1">
      <c r="A1613" s="44" t="s">
        <v>5149</v>
      </c>
      <c r="B1613" s="44" t="s">
        <v>5150</v>
      </c>
      <c r="C1613" s="44" t="s">
        <v>3818</v>
      </c>
      <c r="D1613" s="44" t="s">
        <v>1359</v>
      </c>
      <c r="E1613" s="49" t="s">
        <v>813</v>
      </c>
      <c r="F1613" s="44" t="s">
        <v>1015</v>
      </c>
      <c r="G1613" s="44">
        <v>61.0</v>
      </c>
      <c r="H1613" s="47" t="s">
        <v>970</v>
      </c>
      <c r="I1613" s="47" t="s">
        <v>822</v>
      </c>
      <c r="J1613" s="44">
        <v>10.757837</v>
      </c>
      <c r="K1613" s="48">
        <v>106.659521</v>
      </c>
    </row>
    <row r="1614" ht="22.5" customHeight="1">
      <c r="A1614" s="44" t="s">
        <v>285</v>
      </c>
      <c r="B1614" s="44" t="s">
        <v>5151</v>
      </c>
      <c r="C1614" s="44" t="s">
        <v>5152</v>
      </c>
      <c r="D1614" s="44" t="s">
        <v>1180</v>
      </c>
      <c r="E1614" s="49" t="s">
        <v>892</v>
      </c>
      <c r="F1614" s="44" t="s">
        <v>1108</v>
      </c>
      <c r="G1614" s="44">
        <v>60.0</v>
      </c>
      <c r="H1614" s="47" t="s">
        <v>970</v>
      </c>
      <c r="I1614" s="47" t="s">
        <v>892</v>
      </c>
      <c r="J1614" s="44">
        <v>10.994883114473</v>
      </c>
      <c r="K1614" s="48">
        <v>106.65707694605</v>
      </c>
    </row>
    <row r="1615" ht="22.5" customHeight="1">
      <c r="A1615" s="44" t="s">
        <v>5153</v>
      </c>
      <c r="B1615" s="44" t="s">
        <v>5154</v>
      </c>
      <c r="C1615" s="44" t="s">
        <v>5155</v>
      </c>
      <c r="D1615" s="44" t="s">
        <v>1132</v>
      </c>
      <c r="E1615" s="49" t="s">
        <v>897</v>
      </c>
      <c r="F1615" s="44" t="s">
        <v>1027</v>
      </c>
      <c r="G1615" s="44">
        <v>75.0</v>
      </c>
      <c r="H1615" s="47" t="s">
        <v>970</v>
      </c>
      <c r="I1615" s="47" t="s">
        <v>897</v>
      </c>
      <c r="J1615" s="44">
        <v>10.8762</v>
      </c>
      <c r="K1615" s="48">
        <v>106.643633</v>
      </c>
    </row>
    <row r="1616" ht="22.5" customHeight="1">
      <c r="A1616" s="44" t="s">
        <v>5156</v>
      </c>
      <c r="B1616" s="44" t="s">
        <v>5157</v>
      </c>
      <c r="C1616" s="44" t="s">
        <v>5158</v>
      </c>
      <c r="D1616" s="44" t="s">
        <v>1120</v>
      </c>
      <c r="E1616" s="49" t="s">
        <v>510</v>
      </c>
      <c r="F1616" s="44" t="s">
        <v>983</v>
      </c>
      <c r="G1616" s="44">
        <v>66.0</v>
      </c>
      <c r="H1616" s="47" t="s">
        <v>970</v>
      </c>
      <c r="I1616" s="47" t="s">
        <v>895</v>
      </c>
      <c r="J1616" s="44">
        <v>10.871213</v>
      </c>
      <c r="K1616" s="48">
        <v>106.809375</v>
      </c>
    </row>
    <row r="1617" ht="22.5" customHeight="1">
      <c r="A1617" s="44" t="s">
        <v>5159</v>
      </c>
      <c r="B1617" s="44" t="s">
        <v>5160</v>
      </c>
      <c r="C1617" s="44" t="s">
        <v>5161</v>
      </c>
      <c r="D1617" s="44" t="s">
        <v>1021</v>
      </c>
      <c r="E1617" s="49" t="s">
        <v>809</v>
      </c>
      <c r="F1617" s="44" t="s">
        <v>1022</v>
      </c>
      <c r="G1617" s="44">
        <v>68.0</v>
      </c>
      <c r="H1617" s="47" t="s">
        <v>970</v>
      </c>
      <c r="I1617" s="47" t="s">
        <v>809</v>
      </c>
      <c r="J1617" s="44">
        <v>10.83349991847</v>
      </c>
      <c r="K1617" s="48">
        <v>106.6707409762</v>
      </c>
    </row>
    <row r="1618" ht="22.5" customHeight="1">
      <c r="A1618" s="44" t="s">
        <v>286</v>
      </c>
      <c r="B1618" s="44" t="s">
        <v>5162</v>
      </c>
      <c r="C1618" s="44" t="s">
        <v>5152</v>
      </c>
      <c r="D1618" s="44" t="s">
        <v>1180</v>
      </c>
      <c r="E1618" s="49" t="s">
        <v>892</v>
      </c>
      <c r="F1618" s="44" t="s">
        <v>1108</v>
      </c>
      <c r="G1618" s="44">
        <v>60.0</v>
      </c>
      <c r="H1618" s="47" t="s">
        <v>970</v>
      </c>
      <c r="I1618" s="47" t="s">
        <v>892</v>
      </c>
      <c r="J1618" s="44">
        <v>10.997763</v>
      </c>
      <c r="K1618" s="48">
        <v>106.656016</v>
      </c>
    </row>
    <row r="1619" ht="22.5" customHeight="1">
      <c r="A1619" s="44" t="s">
        <v>5163</v>
      </c>
      <c r="B1619" s="44" t="s">
        <v>5164</v>
      </c>
      <c r="C1619" s="44" t="s">
        <v>5165</v>
      </c>
      <c r="D1619" s="44" t="s">
        <v>986</v>
      </c>
      <c r="E1619" s="49" t="s">
        <v>910</v>
      </c>
      <c r="F1619" s="44" t="s">
        <v>987</v>
      </c>
      <c r="G1619" s="44">
        <v>60.0</v>
      </c>
      <c r="H1619" s="47" t="s">
        <v>970</v>
      </c>
      <c r="I1619" s="47" t="s">
        <v>822</v>
      </c>
      <c r="J1619" s="44">
        <v>10.770739</v>
      </c>
      <c r="K1619" s="48">
        <v>106.659385</v>
      </c>
    </row>
    <row r="1620" ht="22.5" customHeight="1">
      <c r="A1620" s="44" t="s">
        <v>678</v>
      </c>
      <c r="B1620" s="44" t="s">
        <v>5166</v>
      </c>
      <c r="C1620" s="44" t="s">
        <v>5167</v>
      </c>
      <c r="D1620" s="44" t="s">
        <v>1408</v>
      </c>
      <c r="E1620" s="49" t="s">
        <v>797</v>
      </c>
      <c r="F1620" s="44" t="s">
        <v>1409</v>
      </c>
      <c r="G1620" s="44">
        <v>30.0</v>
      </c>
      <c r="H1620" s="47" t="s">
        <v>970</v>
      </c>
      <c r="I1620" s="47" t="s">
        <v>797</v>
      </c>
      <c r="J1620" s="44">
        <v>10.895496</v>
      </c>
      <c r="K1620" s="48">
        <v>106.578766</v>
      </c>
    </row>
    <row r="1621" ht="22.5" customHeight="1">
      <c r="A1621" s="44" t="s">
        <v>5168</v>
      </c>
      <c r="B1621" s="44" t="s">
        <v>5169</v>
      </c>
      <c r="C1621" s="44" t="s">
        <v>5170</v>
      </c>
      <c r="D1621" s="44" t="s">
        <v>973</v>
      </c>
      <c r="E1621" s="49" t="s">
        <v>894</v>
      </c>
      <c r="F1621" s="44" t="s">
        <v>974</v>
      </c>
      <c r="G1621" s="44">
        <v>68.0</v>
      </c>
      <c r="H1621" s="47" t="s">
        <v>970</v>
      </c>
      <c r="I1621" s="47" t="s">
        <v>811</v>
      </c>
      <c r="J1621" s="44">
        <v>10.751225</v>
      </c>
      <c r="K1621" s="48">
        <v>106.696356</v>
      </c>
    </row>
    <row r="1622" ht="22.5" customHeight="1">
      <c r="A1622" s="44" t="s">
        <v>597</v>
      </c>
      <c r="B1622" s="44" t="s">
        <v>5171</v>
      </c>
      <c r="C1622" s="44" t="s">
        <v>5172</v>
      </c>
      <c r="D1622" s="44" t="s">
        <v>973</v>
      </c>
      <c r="E1622" s="49" t="s">
        <v>894</v>
      </c>
      <c r="F1622" s="44" t="s">
        <v>974</v>
      </c>
      <c r="G1622" s="44">
        <v>38.0</v>
      </c>
      <c r="H1622" s="47" t="s">
        <v>970</v>
      </c>
      <c r="I1622" s="47" t="s">
        <v>894</v>
      </c>
      <c r="J1622" s="44">
        <v>10.74447</v>
      </c>
      <c r="K1622" s="48">
        <v>106.710989</v>
      </c>
    </row>
    <row r="1623" ht="22.5" customHeight="1">
      <c r="A1623" s="44" t="s">
        <v>5173</v>
      </c>
      <c r="B1623" s="44" t="s">
        <v>5174</v>
      </c>
      <c r="C1623" s="44" t="s">
        <v>5175</v>
      </c>
      <c r="D1623" s="44" t="s">
        <v>1905</v>
      </c>
      <c r="E1623" s="49" t="s">
        <v>890</v>
      </c>
      <c r="F1623" s="44" t="s">
        <v>1228</v>
      </c>
      <c r="G1623" s="44">
        <v>30.0</v>
      </c>
      <c r="H1623" s="47" t="s">
        <v>970</v>
      </c>
      <c r="I1623" s="47" t="s">
        <v>890</v>
      </c>
      <c r="J1623" s="44">
        <v>10.900234427005</v>
      </c>
      <c r="K1623" s="48">
        <v>106.80522435151</v>
      </c>
    </row>
    <row r="1624" ht="22.5" customHeight="1">
      <c r="A1624" s="44" t="s">
        <v>5176</v>
      </c>
      <c r="B1624" s="44" t="s">
        <v>5177</v>
      </c>
      <c r="C1624" s="44" t="s">
        <v>5178</v>
      </c>
      <c r="D1624" s="44" t="s">
        <v>1532</v>
      </c>
      <c r="E1624" s="49" t="s">
        <v>814</v>
      </c>
      <c r="F1624" s="44" t="s">
        <v>1369</v>
      </c>
      <c r="G1624" s="44">
        <v>60.0</v>
      </c>
      <c r="H1624" s="47" t="s">
        <v>970</v>
      </c>
      <c r="I1624" s="47" t="s">
        <v>814</v>
      </c>
      <c r="J1624" s="44">
        <v>10.802485</v>
      </c>
      <c r="K1624" s="48">
        <v>106.666044</v>
      </c>
    </row>
    <row r="1625" ht="22.5" customHeight="1">
      <c r="A1625" s="44" t="s">
        <v>5179</v>
      </c>
      <c r="B1625" s="44" t="s">
        <v>5180</v>
      </c>
      <c r="C1625" s="44" t="s">
        <v>5181</v>
      </c>
      <c r="D1625" s="44" t="s">
        <v>1268</v>
      </c>
      <c r="E1625" s="49" t="s">
        <v>910</v>
      </c>
      <c r="F1625" s="44" t="s">
        <v>987</v>
      </c>
      <c r="G1625" s="44">
        <v>69.0</v>
      </c>
      <c r="H1625" s="47" t="s">
        <v>970</v>
      </c>
      <c r="I1625" s="47" t="s">
        <v>826</v>
      </c>
      <c r="J1625" s="44">
        <v>10.776088</v>
      </c>
      <c r="K1625" s="48">
        <v>106.6874</v>
      </c>
    </row>
    <row r="1626" ht="22.5" customHeight="1">
      <c r="A1626" s="44" t="s">
        <v>5182</v>
      </c>
      <c r="B1626" s="44" t="s">
        <v>5183</v>
      </c>
      <c r="C1626" s="44" t="s">
        <v>5184</v>
      </c>
      <c r="D1626" s="44" t="s">
        <v>1860</v>
      </c>
      <c r="E1626" s="49" t="s">
        <v>814</v>
      </c>
      <c r="F1626" s="44" t="s">
        <v>1369</v>
      </c>
      <c r="G1626" s="44">
        <v>75.0</v>
      </c>
      <c r="H1626" s="47" t="s">
        <v>970</v>
      </c>
      <c r="I1626" s="47" t="s">
        <v>886</v>
      </c>
      <c r="J1626" s="44">
        <v>10.810284</v>
      </c>
      <c r="K1626" s="48">
        <v>106.682788</v>
      </c>
    </row>
    <row r="1627" ht="22.5" customHeight="1">
      <c r="A1627" s="44" t="s">
        <v>5185</v>
      </c>
      <c r="B1627" s="44" t="s">
        <v>5186</v>
      </c>
      <c r="C1627" s="44" t="s">
        <v>5187</v>
      </c>
      <c r="D1627" s="44" t="s">
        <v>1510</v>
      </c>
      <c r="E1627" s="49" t="s">
        <v>804</v>
      </c>
      <c r="F1627" s="44" t="s">
        <v>1497</v>
      </c>
      <c r="G1627" s="44">
        <v>60.0</v>
      </c>
      <c r="H1627" s="47" t="s">
        <v>970</v>
      </c>
      <c r="I1627" s="47" t="s">
        <v>804</v>
      </c>
      <c r="J1627" s="44">
        <v>10.765397</v>
      </c>
      <c r="K1627" s="48">
        <v>106.702102</v>
      </c>
    </row>
    <row r="1628" ht="22.5" customHeight="1">
      <c r="A1628" s="44" t="s">
        <v>5188</v>
      </c>
      <c r="B1628" s="44" t="s">
        <v>5189</v>
      </c>
      <c r="C1628" s="44" t="s">
        <v>5190</v>
      </c>
      <c r="D1628" s="44" t="s">
        <v>1129</v>
      </c>
      <c r="E1628" s="49" t="s">
        <v>910</v>
      </c>
      <c r="F1628" s="44" t="s">
        <v>987</v>
      </c>
      <c r="G1628" s="44">
        <v>30.0</v>
      </c>
      <c r="H1628" s="47" t="s">
        <v>970</v>
      </c>
      <c r="I1628" s="47" t="s">
        <v>910</v>
      </c>
      <c r="J1628" s="44">
        <v>10.768721053901</v>
      </c>
      <c r="K1628" s="48">
        <v>106.66836519412</v>
      </c>
    </row>
    <row r="1629" ht="22.5" customHeight="1">
      <c r="A1629" s="44" t="s">
        <v>772</v>
      </c>
      <c r="B1629" s="44" t="s">
        <v>5191</v>
      </c>
      <c r="C1629" s="44" t="s">
        <v>5192</v>
      </c>
      <c r="D1629" s="44" t="s">
        <v>3615</v>
      </c>
      <c r="E1629" s="49" t="s">
        <v>850</v>
      </c>
      <c r="F1629" s="44" t="s">
        <v>1057</v>
      </c>
      <c r="G1629" s="44">
        <v>30.0</v>
      </c>
      <c r="H1629" s="47" t="s">
        <v>970</v>
      </c>
      <c r="I1629" s="47" t="s">
        <v>850</v>
      </c>
      <c r="J1629" s="44">
        <v>11.058777</v>
      </c>
      <c r="K1629" s="48">
        <v>106.474917</v>
      </c>
    </row>
    <row r="1630" ht="22.5" customHeight="1">
      <c r="A1630" s="44" t="s">
        <v>5193</v>
      </c>
      <c r="B1630" s="44" t="s">
        <v>5194</v>
      </c>
      <c r="C1630" s="44" t="s">
        <v>5195</v>
      </c>
      <c r="D1630" s="44" t="s">
        <v>1007</v>
      </c>
      <c r="E1630" s="49" t="s">
        <v>510</v>
      </c>
      <c r="F1630" s="44" t="s">
        <v>983</v>
      </c>
      <c r="G1630" s="44">
        <v>51.0</v>
      </c>
      <c r="H1630" s="47" t="s">
        <v>970</v>
      </c>
      <c r="I1630" s="47" t="s">
        <v>510</v>
      </c>
      <c r="J1630" s="44">
        <v>10.864214</v>
      </c>
      <c r="K1630" s="48">
        <v>106.745516</v>
      </c>
    </row>
    <row r="1631" ht="22.5" customHeight="1">
      <c r="A1631" s="44" t="s">
        <v>5196</v>
      </c>
      <c r="B1631" s="44" t="s">
        <v>5197</v>
      </c>
      <c r="C1631" s="44" t="s">
        <v>5198</v>
      </c>
      <c r="D1631" s="44" t="s">
        <v>1433</v>
      </c>
      <c r="E1631" s="49" t="s">
        <v>910</v>
      </c>
      <c r="F1631" s="44" t="s">
        <v>987</v>
      </c>
      <c r="G1631" s="44">
        <v>30.0</v>
      </c>
      <c r="H1631" s="47" t="s">
        <v>970</v>
      </c>
      <c r="I1631" s="47" t="s">
        <v>826</v>
      </c>
      <c r="J1631" s="44">
        <v>10.774854</v>
      </c>
      <c r="K1631" s="48">
        <v>106.679663</v>
      </c>
    </row>
    <row r="1632" ht="22.5" customHeight="1">
      <c r="A1632" s="44" t="s">
        <v>5199</v>
      </c>
      <c r="B1632" s="44" t="s">
        <v>5200</v>
      </c>
      <c r="C1632" s="44" t="s">
        <v>5201</v>
      </c>
      <c r="D1632" s="44" t="s">
        <v>1021</v>
      </c>
      <c r="E1632" s="49" t="s">
        <v>809</v>
      </c>
      <c r="F1632" s="44" t="s">
        <v>1022</v>
      </c>
      <c r="G1632" s="44">
        <v>53.0</v>
      </c>
      <c r="H1632" s="47" t="s">
        <v>970</v>
      </c>
      <c r="I1632" s="47" t="s">
        <v>809</v>
      </c>
      <c r="J1632" s="44">
        <v>10.83538</v>
      </c>
      <c r="K1632" s="48">
        <v>106.668941</v>
      </c>
    </row>
    <row r="1633" ht="22.5" customHeight="1">
      <c r="A1633" s="44" t="s">
        <v>5202</v>
      </c>
      <c r="B1633" s="44" t="s">
        <v>5203</v>
      </c>
      <c r="C1633" s="44" t="s">
        <v>4966</v>
      </c>
      <c r="D1633" s="44" t="s">
        <v>1470</v>
      </c>
      <c r="E1633" s="49" t="s">
        <v>883</v>
      </c>
      <c r="F1633" s="44" t="s">
        <v>1471</v>
      </c>
      <c r="G1633" s="44">
        <v>85.0</v>
      </c>
      <c r="H1633" s="47" t="s">
        <v>970</v>
      </c>
      <c r="I1633" s="47" t="s">
        <v>883</v>
      </c>
      <c r="J1633" s="44">
        <v>10.910583</v>
      </c>
      <c r="K1633" s="48">
        <v>106.702874</v>
      </c>
    </row>
    <row r="1634" ht="22.5" customHeight="1">
      <c r="A1634" s="44" t="s">
        <v>5204</v>
      </c>
      <c r="B1634" s="44" t="s">
        <v>5205</v>
      </c>
      <c r="C1634" s="44" t="s">
        <v>5206</v>
      </c>
      <c r="D1634" s="44" t="s">
        <v>1047</v>
      </c>
      <c r="E1634" s="49" t="s">
        <v>901</v>
      </c>
      <c r="F1634" s="44" t="s">
        <v>1562</v>
      </c>
      <c r="G1634" s="44">
        <v>60.0</v>
      </c>
      <c r="H1634" s="47" t="s">
        <v>970</v>
      </c>
      <c r="I1634" s="47" t="s">
        <v>901</v>
      </c>
      <c r="J1634" s="44">
        <v>10.801272</v>
      </c>
      <c r="K1634" s="48">
        <v>106.708648</v>
      </c>
    </row>
    <row r="1635" ht="22.5" customHeight="1">
      <c r="A1635" s="44" t="s">
        <v>5207</v>
      </c>
      <c r="B1635" s="44" t="s">
        <v>5208</v>
      </c>
      <c r="C1635" s="44" t="s">
        <v>5209</v>
      </c>
      <c r="D1635" s="44" t="s">
        <v>5210</v>
      </c>
      <c r="E1635" s="49" t="s">
        <v>892</v>
      </c>
      <c r="F1635" s="44" t="s">
        <v>1108</v>
      </c>
      <c r="G1635" s="44">
        <v>60.0</v>
      </c>
      <c r="H1635" s="47" t="s">
        <v>970</v>
      </c>
      <c r="I1635" s="47" t="s">
        <v>892</v>
      </c>
      <c r="J1635" s="44">
        <v>11.158224962436</v>
      </c>
      <c r="K1635" s="48">
        <v>106.74612555213</v>
      </c>
    </row>
    <row r="1636" ht="22.5" customHeight="1">
      <c r="A1636" s="44" t="s">
        <v>5211</v>
      </c>
      <c r="B1636" s="44" t="s">
        <v>5212</v>
      </c>
      <c r="C1636" s="44" t="s">
        <v>2972</v>
      </c>
      <c r="D1636" s="44" t="s">
        <v>1470</v>
      </c>
      <c r="E1636" s="49" t="s">
        <v>883</v>
      </c>
      <c r="F1636" s="44" t="s">
        <v>1471</v>
      </c>
      <c r="G1636" s="44">
        <v>85.0</v>
      </c>
      <c r="H1636" s="47" t="s">
        <v>970</v>
      </c>
      <c r="I1636" s="47" t="s">
        <v>883</v>
      </c>
      <c r="J1636" s="44">
        <v>10.908706</v>
      </c>
      <c r="K1636" s="48">
        <v>106.701948</v>
      </c>
    </row>
    <row r="1637" ht="22.5" customHeight="1">
      <c r="A1637" s="44" t="s">
        <v>5213</v>
      </c>
      <c r="B1637" s="44" t="s">
        <v>5214</v>
      </c>
      <c r="C1637" s="44" t="s">
        <v>5215</v>
      </c>
      <c r="D1637" s="44" t="s">
        <v>1470</v>
      </c>
      <c r="E1637" s="49" t="s">
        <v>883</v>
      </c>
      <c r="F1637" s="44" t="s">
        <v>1471</v>
      </c>
      <c r="G1637" s="44">
        <v>85.0</v>
      </c>
      <c r="H1637" s="47" t="s">
        <v>970</v>
      </c>
      <c r="I1637" s="47" t="s">
        <v>883</v>
      </c>
      <c r="J1637" s="44">
        <v>10.90871038669</v>
      </c>
      <c r="K1637" s="48">
        <v>106.70194861252</v>
      </c>
    </row>
    <row r="1638" ht="22.5" customHeight="1">
      <c r="A1638" s="44" t="s">
        <v>111</v>
      </c>
      <c r="B1638" s="44" t="s">
        <v>5216</v>
      </c>
      <c r="C1638" s="44" t="s">
        <v>5217</v>
      </c>
      <c r="D1638" s="44" t="s">
        <v>1756</v>
      </c>
      <c r="E1638" s="49" t="s">
        <v>883</v>
      </c>
      <c r="F1638" s="44" t="s">
        <v>1471</v>
      </c>
      <c r="G1638" s="44">
        <v>60.0</v>
      </c>
      <c r="H1638" s="47" t="s">
        <v>970</v>
      </c>
      <c r="I1638" s="47" t="s">
        <v>892</v>
      </c>
      <c r="J1638" s="44">
        <v>11.062243</v>
      </c>
      <c r="K1638" s="48">
        <v>106.707871</v>
      </c>
    </row>
    <row r="1639" ht="22.5" customHeight="1">
      <c r="A1639" s="44" t="s">
        <v>5218</v>
      </c>
      <c r="B1639" s="44" t="s">
        <v>5219</v>
      </c>
      <c r="C1639" s="44" t="s">
        <v>5220</v>
      </c>
      <c r="D1639" s="44" t="s">
        <v>1268</v>
      </c>
      <c r="E1639" s="49" t="s">
        <v>888</v>
      </c>
      <c r="F1639" s="44" t="s">
        <v>1136</v>
      </c>
      <c r="G1639" s="44">
        <v>39.0</v>
      </c>
      <c r="H1639" s="47" t="s">
        <v>970</v>
      </c>
      <c r="I1639" s="47" t="s">
        <v>884</v>
      </c>
      <c r="J1639" s="44">
        <v>10.785727</v>
      </c>
      <c r="K1639" s="48">
        <v>106.692815</v>
      </c>
    </row>
    <row r="1640" ht="22.5" customHeight="1">
      <c r="A1640" s="44" t="s">
        <v>528</v>
      </c>
      <c r="B1640" s="44" t="s">
        <v>5221</v>
      </c>
      <c r="C1640" s="44" t="s">
        <v>5222</v>
      </c>
      <c r="D1640" s="44" t="s">
        <v>1116</v>
      </c>
      <c r="E1640" s="49" t="s">
        <v>885</v>
      </c>
      <c r="F1640" s="44" t="s">
        <v>1117</v>
      </c>
      <c r="G1640" s="44">
        <v>30.0</v>
      </c>
      <c r="H1640" s="47" t="s">
        <v>970</v>
      </c>
      <c r="I1640" s="47" t="s">
        <v>885</v>
      </c>
      <c r="J1640" s="44">
        <v>10.736349</v>
      </c>
      <c r="K1640" s="48">
        <v>106.671437</v>
      </c>
    </row>
    <row r="1641" ht="22.5" customHeight="1">
      <c r="A1641" s="44" t="s">
        <v>5223</v>
      </c>
      <c r="B1641" s="44" t="s">
        <v>5224</v>
      </c>
      <c r="C1641" s="44" t="s">
        <v>5225</v>
      </c>
      <c r="D1641" s="44" t="s">
        <v>1076</v>
      </c>
      <c r="E1641" s="49" t="s">
        <v>813</v>
      </c>
      <c r="F1641" s="44" t="s">
        <v>1015</v>
      </c>
      <c r="G1641" s="44">
        <v>76.0</v>
      </c>
      <c r="H1641" s="47" t="s">
        <v>970</v>
      </c>
      <c r="I1641" s="47" t="s">
        <v>813</v>
      </c>
      <c r="J1641" s="44">
        <v>10.754244</v>
      </c>
      <c r="K1641" s="48">
        <v>106.671571</v>
      </c>
    </row>
    <row r="1642" ht="22.5" customHeight="1">
      <c r="A1642" s="44" t="s">
        <v>5226</v>
      </c>
      <c r="B1642" s="44" t="s">
        <v>5227</v>
      </c>
      <c r="C1642" s="44" t="s">
        <v>5228</v>
      </c>
      <c r="D1642" s="44" t="s">
        <v>1929</v>
      </c>
      <c r="E1642" s="49" t="s">
        <v>806</v>
      </c>
      <c r="F1642" s="44" t="s">
        <v>1500</v>
      </c>
      <c r="G1642" s="44">
        <v>45.0</v>
      </c>
      <c r="H1642" s="47" t="s">
        <v>970</v>
      </c>
      <c r="I1642" s="47" t="s">
        <v>806</v>
      </c>
      <c r="J1642" s="44">
        <v>10.792191</v>
      </c>
      <c r="K1642" s="48">
        <v>106.654426</v>
      </c>
    </row>
    <row r="1643" ht="22.5" customHeight="1">
      <c r="A1643" s="44" t="s">
        <v>5229</v>
      </c>
      <c r="B1643" s="44" t="s">
        <v>5230</v>
      </c>
      <c r="C1643" s="44" t="s">
        <v>5231</v>
      </c>
      <c r="D1643" s="44" t="s">
        <v>1929</v>
      </c>
      <c r="E1643" s="49" t="s">
        <v>893</v>
      </c>
      <c r="F1643" s="44" t="s">
        <v>1088</v>
      </c>
      <c r="G1643" s="44">
        <v>60.0</v>
      </c>
      <c r="H1643" s="47" t="s">
        <v>970</v>
      </c>
      <c r="I1643" s="47" t="s">
        <v>806</v>
      </c>
      <c r="J1643" s="44">
        <v>10.791515</v>
      </c>
      <c r="K1643" s="48">
        <v>106.653454</v>
      </c>
    </row>
    <row r="1644" ht="22.5" customHeight="1">
      <c r="A1644" s="44" t="s">
        <v>5232</v>
      </c>
      <c r="B1644" s="44" t="s">
        <v>5233</v>
      </c>
      <c r="C1644" s="44" t="s">
        <v>5234</v>
      </c>
      <c r="D1644" s="44" t="s">
        <v>986</v>
      </c>
      <c r="E1644" s="49"/>
      <c r="F1644" s="44" t="s">
        <v>1098</v>
      </c>
      <c r="G1644" s="44"/>
      <c r="H1644" s="47" t="s">
        <v>970</v>
      </c>
      <c r="I1644" s="47" t="s">
        <v>822</v>
      </c>
      <c r="J1644" s="44">
        <v>10.770506</v>
      </c>
      <c r="K1644" s="48">
        <v>106.659448</v>
      </c>
    </row>
    <row r="1645" ht="22.5" customHeight="1">
      <c r="A1645" s="44" t="s">
        <v>5235</v>
      </c>
      <c r="B1645" s="44" t="s">
        <v>5236</v>
      </c>
      <c r="C1645" s="44" t="s">
        <v>5237</v>
      </c>
      <c r="D1645" s="44" t="s">
        <v>1939</v>
      </c>
      <c r="E1645" s="49" t="s">
        <v>895</v>
      </c>
      <c r="F1645" s="44" t="s">
        <v>1121</v>
      </c>
      <c r="G1645" s="44">
        <v>66.0</v>
      </c>
      <c r="H1645" s="47" t="s">
        <v>970</v>
      </c>
      <c r="I1645" s="47" t="s">
        <v>895</v>
      </c>
      <c r="J1645" s="44">
        <v>10.861369</v>
      </c>
      <c r="K1645" s="48">
        <v>106.779868</v>
      </c>
    </row>
    <row r="1646" ht="22.5" customHeight="1">
      <c r="A1646" s="44" t="s">
        <v>5238</v>
      </c>
      <c r="B1646" s="44" t="s">
        <v>5239</v>
      </c>
      <c r="C1646" s="44" t="s">
        <v>5240</v>
      </c>
      <c r="D1646" s="44" t="s">
        <v>1236</v>
      </c>
      <c r="E1646" s="49" t="s">
        <v>895</v>
      </c>
      <c r="F1646" s="44" t="s">
        <v>1121</v>
      </c>
      <c r="G1646" s="44">
        <v>70.0</v>
      </c>
      <c r="H1646" s="47" t="s">
        <v>970</v>
      </c>
      <c r="I1646" s="47" t="s">
        <v>895</v>
      </c>
      <c r="J1646" s="44">
        <v>10.867191</v>
      </c>
      <c r="K1646" s="48">
        <v>106.813836</v>
      </c>
    </row>
    <row r="1647" ht="22.5" customHeight="1">
      <c r="A1647" s="44" t="s">
        <v>113</v>
      </c>
      <c r="B1647" s="44" t="s">
        <v>5241</v>
      </c>
      <c r="C1647" s="44" t="s">
        <v>5242</v>
      </c>
      <c r="D1647" s="44" t="s">
        <v>1104</v>
      </c>
      <c r="E1647" s="49" t="s">
        <v>893</v>
      </c>
      <c r="F1647" s="44" t="s">
        <v>1088</v>
      </c>
      <c r="G1647" s="44">
        <v>60.0</v>
      </c>
      <c r="H1647" s="47" t="s">
        <v>970</v>
      </c>
      <c r="I1647" s="47" t="s">
        <v>808</v>
      </c>
      <c r="J1647" s="44">
        <v>10.761004</v>
      </c>
      <c r="K1647" s="48">
        <v>106.630182</v>
      </c>
    </row>
    <row r="1648" ht="22.5" customHeight="1">
      <c r="A1648" s="44" t="s">
        <v>5243</v>
      </c>
      <c r="B1648" s="44" t="s">
        <v>5244</v>
      </c>
      <c r="C1648" s="44" t="s">
        <v>3641</v>
      </c>
      <c r="D1648" s="44" t="s">
        <v>1076</v>
      </c>
      <c r="E1648" s="49" t="s">
        <v>813</v>
      </c>
      <c r="F1648" s="44" t="s">
        <v>1015</v>
      </c>
      <c r="G1648" s="44">
        <v>76.0</v>
      </c>
      <c r="H1648" s="47" t="s">
        <v>970</v>
      </c>
      <c r="I1648" s="47" t="s">
        <v>813</v>
      </c>
      <c r="J1648" s="44">
        <v>10.756156</v>
      </c>
      <c r="K1648" s="48">
        <v>106.674954</v>
      </c>
    </row>
    <row r="1649" ht="22.5" customHeight="1">
      <c r="A1649" s="44" t="s">
        <v>465</v>
      </c>
      <c r="B1649" s="44" t="s">
        <v>5245</v>
      </c>
      <c r="C1649" s="44" t="s">
        <v>5246</v>
      </c>
      <c r="D1649" s="44" t="s">
        <v>1018</v>
      </c>
      <c r="E1649" s="49" t="s">
        <v>808</v>
      </c>
      <c r="F1649" s="44" t="s">
        <v>998</v>
      </c>
      <c r="G1649" s="44">
        <v>30.0</v>
      </c>
      <c r="H1649" s="47" t="s">
        <v>970</v>
      </c>
      <c r="I1649" s="47" t="s">
        <v>789</v>
      </c>
      <c r="J1649" s="44">
        <v>10.741517</v>
      </c>
      <c r="K1649" s="48">
        <v>106.625147</v>
      </c>
    </row>
    <row r="1650" ht="22.5" customHeight="1">
      <c r="A1650" s="44" t="s">
        <v>5247</v>
      </c>
      <c r="B1650" s="44" t="s">
        <v>5248</v>
      </c>
      <c r="C1650" s="44" t="s">
        <v>5249</v>
      </c>
      <c r="D1650" s="44" t="s">
        <v>986</v>
      </c>
      <c r="E1650" s="49" t="s">
        <v>910</v>
      </c>
      <c r="F1650" s="44" t="s">
        <v>987</v>
      </c>
      <c r="G1650" s="44">
        <v>60.0</v>
      </c>
      <c r="H1650" s="47" t="s">
        <v>970</v>
      </c>
      <c r="I1650" s="47" t="s">
        <v>822</v>
      </c>
      <c r="J1650" s="44">
        <v>10.770506</v>
      </c>
      <c r="K1650" s="48">
        <v>106.659448</v>
      </c>
    </row>
    <row r="1651" ht="22.5" customHeight="1">
      <c r="A1651" s="44" t="s">
        <v>5250</v>
      </c>
      <c r="B1651" s="44" t="s">
        <v>5251</v>
      </c>
      <c r="C1651" s="44" t="s">
        <v>5249</v>
      </c>
      <c r="D1651" s="44" t="s">
        <v>986</v>
      </c>
      <c r="E1651" s="49" t="s">
        <v>910</v>
      </c>
      <c r="F1651" s="44" t="s">
        <v>987</v>
      </c>
      <c r="G1651" s="44">
        <v>60.0</v>
      </c>
      <c r="H1651" s="47" t="s">
        <v>970</v>
      </c>
      <c r="I1651" s="47" t="s">
        <v>822</v>
      </c>
      <c r="J1651" s="44">
        <v>10.770506</v>
      </c>
      <c r="K1651" s="48">
        <v>106.659448</v>
      </c>
    </row>
    <row r="1652" ht="22.5" customHeight="1">
      <c r="A1652" s="44" t="s">
        <v>5252</v>
      </c>
      <c r="B1652" s="44" t="s">
        <v>5253</v>
      </c>
      <c r="C1652" s="44" t="s">
        <v>5254</v>
      </c>
      <c r="D1652" s="44" t="s">
        <v>1571</v>
      </c>
      <c r="E1652" s="49" t="s">
        <v>797</v>
      </c>
      <c r="F1652" s="44" t="s">
        <v>1409</v>
      </c>
      <c r="G1652" s="44">
        <v>45.0</v>
      </c>
      <c r="H1652" s="47" t="s">
        <v>970</v>
      </c>
      <c r="I1652" s="47" t="s">
        <v>896</v>
      </c>
      <c r="J1652" s="44">
        <v>10.853732</v>
      </c>
      <c r="K1652" s="48">
        <v>106.60553</v>
      </c>
    </row>
    <row r="1653" ht="22.5" customHeight="1">
      <c r="A1653" s="44" t="s">
        <v>5255</v>
      </c>
      <c r="B1653" s="44" t="s">
        <v>5256</v>
      </c>
      <c r="C1653" s="44" t="s">
        <v>5257</v>
      </c>
      <c r="D1653" s="44" t="s">
        <v>1129</v>
      </c>
      <c r="E1653" s="49" t="s">
        <v>910</v>
      </c>
      <c r="F1653" s="44" t="s">
        <v>987</v>
      </c>
      <c r="G1653" s="44">
        <v>45.0</v>
      </c>
      <c r="H1653" s="47" t="s">
        <v>970</v>
      </c>
      <c r="I1653" s="47" t="s">
        <v>910</v>
      </c>
      <c r="J1653" s="44">
        <v>10.770784</v>
      </c>
      <c r="K1653" s="48">
        <v>106.672408</v>
      </c>
    </row>
    <row r="1654" ht="22.5" customHeight="1">
      <c r="A1654" s="44" t="s">
        <v>567</v>
      </c>
      <c r="B1654" s="44" t="s">
        <v>5258</v>
      </c>
      <c r="C1654" s="44" t="s">
        <v>5259</v>
      </c>
      <c r="D1654" s="44" t="s">
        <v>1014</v>
      </c>
      <c r="E1654" s="49" t="s">
        <v>813</v>
      </c>
      <c r="F1654" s="44" t="s">
        <v>1015</v>
      </c>
      <c r="G1654" s="44">
        <v>76.0</v>
      </c>
      <c r="H1654" s="47" t="s">
        <v>970</v>
      </c>
      <c r="I1654" s="47" t="s">
        <v>813</v>
      </c>
      <c r="J1654" s="44">
        <v>10.757722</v>
      </c>
      <c r="K1654" s="48">
        <v>106.678932</v>
      </c>
    </row>
    <row r="1655" ht="22.5" customHeight="1">
      <c r="A1655" s="44" t="s">
        <v>170</v>
      </c>
      <c r="B1655" s="44" t="s">
        <v>5260</v>
      </c>
      <c r="C1655" s="44" t="s">
        <v>5261</v>
      </c>
      <c r="D1655" s="44" t="s">
        <v>990</v>
      </c>
      <c r="E1655" s="49" t="s">
        <v>894</v>
      </c>
      <c r="F1655" s="44" t="s">
        <v>974</v>
      </c>
      <c r="G1655" s="44">
        <v>53.0</v>
      </c>
      <c r="H1655" s="47" t="s">
        <v>970</v>
      </c>
      <c r="I1655" s="47" t="s">
        <v>894</v>
      </c>
      <c r="J1655" s="44">
        <v>10.737861</v>
      </c>
      <c r="K1655" s="48">
        <v>106.720493</v>
      </c>
    </row>
    <row r="1656" ht="22.5" customHeight="1">
      <c r="A1656" s="44" t="s">
        <v>5262</v>
      </c>
      <c r="B1656" s="44" t="s">
        <v>5263</v>
      </c>
      <c r="C1656" s="44" t="s">
        <v>5264</v>
      </c>
      <c r="D1656" s="44" t="s">
        <v>1802</v>
      </c>
      <c r="E1656" s="49" t="s">
        <v>888</v>
      </c>
      <c r="F1656" s="44" t="s">
        <v>1136</v>
      </c>
      <c r="G1656" s="44">
        <v>45.0</v>
      </c>
      <c r="H1656" s="47" t="s">
        <v>970</v>
      </c>
      <c r="I1656" s="47" t="s">
        <v>804</v>
      </c>
      <c r="J1656" s="44">
        <v>10.769776</v>
      </c>
      <c r="K1656" s="48">
        <v>106.690886</v>
      </c>
    </row>
    <row r="1657" ht="22.5" customHeight="1">
      <c r="A1657" s="44" t="s">
        <v>5265</v>
      </c>
      <c r="B1657" s="44" t="s">
        <v>5266</v>
      </c>
      <c r="C1657" s="44" t="s">
        <v>5267</v>
      </c>
      <c r="D1657" s="44" t="s">
        <v>969</v>
      </c>
      <c r="E1657" s="49" t="s">
        <v>893</v>
      </c>
      <c r="F1657" s="44" t="s">
        <v>1088</v>
      </c>
      <c r="G1657" s="44">
        <v>60.0</v>
      </c>
      <c r="H1657" s="47" t="s">
        <v>970</v>
      </c>
      <c r="I1657" s="47" t="s">
        <v>893</v>
      </c>
      <c r="J1657" s="44">
        <v>10.803118</v>
      </c>
      <c r="K1657" s="48">
        <v>106.638046</v>
      </c>
    </row>
    <row r="1658" ht="22.5" customHeight="1">
      <c r="A1658" s="44" t="s">
        <v>5268</v>
      </c>
      <c r="B1658" s="44" t="s">
        <v>5269</v>
      </c>
      <c r="C1658" s="44" t="s">
        <v>5270</v>
      </c>
      <c r="D1658" s="44" t="s">
        <v>1542</v>
      </c>
      <c r="E1658" s="49" t="s">
        <v>884</v>
      </c>
      <c r="F1658" s="44" t="s">
        <v>1821</v>
      </c>
      <c r="G1658" s="44">
        <v>30.0</v>
      </c>
      <c r="H1658" s="47" t="s">
        <v>970</v>
      </c>
      <c r="I1658" s="47" t="s">
        <v>884</v>
      </c>
      <c r="J1658" s="44">
        <v>10.789812</v>
      </c>
      <c r="K1658" s="48">
        <v>106.697084</v>
      </c>
    </row>
    <row r="1659" ht="22.5" customHeight="1">
      <c r="A1659" s="44" t="s">
        <v>5271</v>
      </c>
      <c r="B1659" s="44" t="s">
        <v>5272</v>
      </c>
      <c r="C1659" s="44" t="s">
        <v>5273</v>
      </c>
      <c r="D1659" s="44" t="s">
        <v>1929</v>
      </c>
      <c r="E1659" s="49" t="s">
        <v>806</v>
      </c>
      <c r="F1659" s="44" t="s">
        <v>1500</v>
      </c>
      <c r="G1659" s="44">
        <v>60.0</v>
      </c>
      <c r="H1659" s="47" t="s">
        <v>970</v>
      </c>
      <c r="I1659" s="47" t="s">
        <v>806</v>
      </c>
      <c r="J1659" s="44">
        <v>10.792079</v>
      </c>
      <c r="K1659" s="48">
        <v>106.654596</v>
      </c>
    </row>
    <row r="1660" ht="22.5" customHeight="1">
      <c r="A1660" s="44" t="s">
        <v>559</v>
      </c>
      <c r="B1660" s="44" t="s">
        <v>5274</v>
      </c>
      <c r="C1660" s="44" t="s">
        <v>5275</v>
      </c>
      <c r="D1660" s="44" t="s">
        <v>1532</v>
      </c>
      <c r="E1660" s="49" t="s">
        <v>806</v>
      </c>
      <c r="F1660" s="44" t="s">
        <v>1500</v>
      </c>
      <c r="G1660" s="44">
        <v>30.0</v>
      </c>
      <c r="H1660" s="47" t="s">
        <v>970</v>
      </c>
      <c r="I1660" s="47" t="s">
        <v>806</v>
      </c>
      <c r="J1660" s="44">
        <v>10.792552</v>
      </c>
      <c r="K1660" s="48">
        <v>106.662504</v>
      </c>
    </row>
    <row r="1661" ht="22.5" customHeight="1">
      <c r="A1661" s="44" t="s">
        <v>445</v>
      </c>
      <c r="B1661" s="44" t="s">
        <v>5276</v>
      </c>
      <c r="C1661" s="44" t="s">
        <v>5277</v>
      </c>
      <c r="D1661" s="44" t="s">
        <v>1268</v>
      </c>
      <c r="E1661" s="49" t="s">
        <v>910</v>
      </c>
      <c r="F1661" s="44" t="s">
        <v>987</v>
      </c>
      <c r="G1661" s="44">
        <v>39.0</v>
      </c>
      <c r="H1661" s="47" t="s">
        <v>970</v>
      </c>
      <c r="I1661" s="47" t="s">
        <v>826</v>
      </c>
      <c r="J1661" s="44">
        <v>10.774786</v>
      </c>
      <c r="K1661" s="48">
        <v>106.688464</v>
      </c>
    </row>
    <row r="1662" ht="22.5" customHeight="1">
      <c r="A1662" s="44" t="s">
        <v>5278</v>
      </c>
      <c r="B1662" s="44" t="s">
        <v>5279</v>
      </c>
      <c r="C1662" s="44" t="s">
        <v>5280</v>
      </c>
      <c r="D1662" s="44" t="s">
        <v>1129</v>
      </c>
      <c r="E1662" s="49" t="s">
        <v>910</v>
      </c>
      <c r="F1662" s="44" t="s">
        <v>987</v>
      </c>
      <c r="G1662" s="44">
        <v>45.0</v>
      </c>
      <c r="H1662" s="47" t="s">
        <v>970</v>
      </c>
      <c r="I1662" s="47" t="s">
        <v>910</v>
      </c>
      <c r="J1662" s="44">
        <v>10.77447</v>
      </c>
      <c r="K1662" s="48">
        <v>106.666286</v>
      </c>
    </row>
    <row r="1663" ht="22.5" customHeight="1">
      <c r="A1663" s="44" t="s">
        <v>5281</v>
      </c>
      <c r="B1663" s="44" t="s">
        <v>5282</v>
      </c>
      <c r="C1663" s="44" t="s">
        <v>5283</v>
      </c>
      <c r="D1663" s="44" t="s">
        <v>986</v>
      </c>
      <c r="E1663" s="49" t="s">
        <v>910</v>
      </c>
      <c r="F1663" s="44" t="s">
        <v>987</v>
      </c>
      <c r="G1663" s="44">
        <v>60.0</v>
      </c>
      <c r="H1663" s="47" t="s">
        <v>970</v>
      </c>
      <c r="I1663" s="47" t="s">
        <v>822</v>
      </c>
      <c r="J1663" s="44">
        <v>10.770786</v>
      </c>
      <c r="K1663" s="48">
        <v>106.662701</v>
      </c>
    </row>
    <row r="1664" ht="22.5" customHeight="1">
      <c r="A1664" s="44" t="s">
        <v>577</v>
      </c>
      <c r="B1664" s="44" t="s">
        <v>5284</v>
      </c>
      <c r="C1664" s="44" t="s">
        <v>5285</v>
      </c>
      <c r="D1664" s="44" t="s">
        <v>1129</v>
      </c>
      <c r="E1664" s="49" t="s">
        <v>910</v>
      </c>
      <c r="F1664" s="44" t="s">
        <v>987</v>
      </c>
      <c r="G1664" s="44">
        <v>30.0</v>
      </c>
      <c r="H1664" s="47" t="s">
        <v>970</v>
      </c>
      <c r="I1664" s="47" t="s">
        <v>910</v>
      </c>
      <c r="J1664" s="44">
        <v>10.76878</v>
      </c>
      <c r="K1664" s="48">
        <v>106.666739</v>
      </c>
    </row>
    <row r="1665" ht="22.5" customHeight="1">
      <c r="A1665" s="44" t="s">
        <v>5286</v>
      </c>
      <c r="B1665" s="44" t="s">
        <v>5287</v>
      </c>
      <c r="C1665" s="44" t="s">
        <v>2512</v>
      </c>
      <c r="D1665" s="44" t="s">
        <v>1939</v>
      </c>
      <c r="E1665" s="49" t="s">
        <v>895</v>
      </c>
      <c r="F1665" s="44" t="s">
        <v>1121</v>
      </c>
      <c r="G1665" s="44">
        <v>66.0</v>
      </c>
      <c r="H1665" s="47" t="s">
        <v>970</v>
      </c>
      <c r="I1665" s="47" t="s">
        <v>895</v>
      </c>
      <c r="J1665" s="44">
        <v>10.861369</v>
      </c>
      <c r="K1665" s="48">
        <v>106.779868</v>
      </c>
    </row>
    <row r="1666" ht="22.5" customHeight="1">
      <c r="A1666" s="44" t="s">
        <v>5288</v>
      </c>
      <c r="B1666" s="44" t="s">
        <v>5289</v>
      </c>
      <c r="C1666" s="44" t="s">
        <v>3013</v>
      </c>
      <c r="D1666" s="44" t="s">
        <v>1018</v>
      </c>
      <c r="E1666" s="49" t="s">
        <v>808</v>
      </c>
      <c r="F1666" s="44" t="s">
        <v>998</v>
      </c>
      <c r="G1666" s="44">
        <v>60.0</v>
      </c>
      <c r="H1666" s="47" t="s">
        <v>970</v>
      </c>
      <c r="I1666" s="47" t="s">
        <v>808</v>
      </c>
      <c r="J1666" s="44">
        <v>10.746539</v>
      </c>
      <c r="K1666" s="48">
        <v>106.634509</v>
      </c>
    </row>
    <row r="1667" ht="22.5" customHeight="1">
      <c r="A1667" s="44" t="s">
        <v>5290</v>
      </c>
      <c r="B1667" s="44" t="s">
        <v>5291</v>
      </c>
      <c r="C1667" s="44" t="s">
        <v>3334</v>
      </c>
      <c r="D1667" s="44" t="s">
        <v>1076</v>
      </c>
      <c r="E1667" s="49" t="s">
        <v>813</v>
      </c>
      <c r="F1667" s="44" t="s">
        <v>1015</v>
      </c>
      <c r="G1667" s="44">
        <v>76.0</v>
      </c>
      <c r="H1667" s="47" t="s">
        <v>970</v>
      </c>
      <c r="I1667" s="47" t="s">
        <v>813</v>
      </c>
      <c r="J1667" s="44">
        <v>10.754446</v>
      </c>
      <c r="K1667" s="48">
        <v>106.666581</v>
      </c>
    </row>
    <row r="1668" ht="22.5" customHeight="1">
      <c r="A1668" s="44" t="s">
        <v>5292</v>
      </c>
      <c r="B1668" s="44" t="s">
        <v>5293</v>
      </c>
      <c r="C1668" s="44" t="s">
        <v>3104</v>
      </c>
      <c r="D1668" s="44" t="s">
        <v>1076</v>
      </c>
      <c r="E1668" s="49" t="s">
        <v>813</v>
      </c>
      <c r="F1668" s="44" t="s">
        <v>1015</v>
      </c>
      <c r="G1668" s="44">
        <v>46.0</v>
      </c>
      <c r="H1668" s="47" t="s">
        <v>970</v>
      </c>
      <c r="I1668" s="47" t="s">
        <v>813</v>
      </c>
      <c r="J1668" s="44">
        <v>10.754244</v>
      </c>
      <c r="K1668" s="48">
        <v>106.671571</v>
      </c>
    </row>
    <row r="1669" ht="22.5" customHeight="1">
      <c r="A1669" s="44" t="s">
        <v>41</v>
      </c>
      <c r="B1669" s="44" t="s">
        <v>5294</v>
      </c>
      <c r="C1669" s="44" t="s">
        <v>5295</v>
      </c>
      <c r="D1669" s="44" t="s">
        <v>1236</v>
      </c>
      <c r="E1669" s="49" t="s">
        <v>891</v>
      </c>
      <c r="F1669" s="44" t="s">
        <v>1125</v>
      </c>
      <c r="G1669" s="44">
        <v>45.0</v>
      </c>
      <c r="H1669" s="47" t="s">
        <v>970</v>
      </c>
      <c r="I1669" s="47" t="s">
        <v>891</v>
      </c>
      <c r="J1669" s="44">
        <v>10.96278</v>
      </c>
      <c r="K1669" s="48">
        <v>106.887195</v>
      </c>
    </row>
    <row r="1670" ht="22.5" customHeight="1">
      <c r="A1670" s="44" t="s">
        <v>5296</v>
      </c>
      <c r="B1670" s="44" t="s">
        <v>5297</v>
      </c>
      <c r="C1670" s="44" t="s">
        <v>5298</v>
      </c>
      <c r="D1670" s="44" t="s">
        <v>1359</v>
      </c>
      <c r="E1670" s="49" t="s">
        <v>813</v>
      </c>
      <c r="F1670" s="44" t="s">
        <v>1015</v>
      </c>
      <c r="G1670" s="44">
        <v>76.0</v>
      </c>
      <c r="H1670" s="47" t="s">
        <v>970</v>
      </c>
      <c r="I1670" s="47" t="s">
        <v>822</v>
      </c>
      <c r="J1670" s="44">
        <v>10.756098</v>
      </c>
      <c r="K1670" s="48">
        <v>106.662009</v>
      </c>
    </row>
    <row r="1671" ht="22.5" customHeight="1">
      <c r="A1671" s="44" t="s">
        <v>486</v>
      </c>
      <c r="B1671" s="44" t="s">
        <v>5299</v>
      </c>
      <c r="C1671" s="44" t="s">
        <v>3474</v>
      </c>
      <c r="D1671" s="44" t="s">
        <v>1120</v>
      </c>
      <c r="E1671" s="49" t="s">
        <v>895</v>
      </c>
      <c r="F1671" s="44" t="s">
        <v>1121</v>
      </c>
      <c r="G1671" s="44">
        <v>82.0</v>
      </c>
      <c r="H1671" s="47" t="s">
        <v>970</v>
      </c>
      <c r="I1671" s="47" t="s">
        <v>895</v>
      </c>
      <c r="J1671" s="44">
        <v>10.868917</v>
      </c>
      <c r="K1671" s="48">
        <v>106.807084</v>
      </c>
    </row>
    <row r="1672" ht="22.5" customHeight="1">
      <c r="A1672" s="44" t="s">
        <v>5300</v>
      </c>
      <c r="B1672" s="44" t="s">
        <v>5301</v>
      </c>
      <c r="C1672" s="44" t="s">
        <v>5302</v>
      </c>
      <c r="D1672" s="44" t="s">
        <v>1129</v>
      </c>
      <c r="E1672" s="49" t="s">
        <v>910</v>
      </c>
      <c r="F1672" s="44" t="s">
        <v>987</v>
      </c>
      <c r="G1672" s="44">
        <v>60.0</v>
      </c>
      <c r="H1672" s="47" t="s">
        <v>970</v>
      </c>
      <c r="I1672" s="47" t="s">
        <v>910</v>
      </c>
      <c r="J1672" s="44">
        <v>10.776603379956</v>
      </c>
      <c r="K1672" s="48">
        <v>106.66676527554</v>
      </c>
    </row>
    <row r="1673" ht="22.5" customHeight="1">
      <c r="A1673" s="44" t="s">
        <v>5300</v>
      </c>
      <c r="B1673" s="44" t="s">
        <v>5303</v>
      </c>
      <c r="C1673" s="44" t="s">
        <v>5304</v>
      </c>
      <c r="D1673" s="44" t="s">
        <v>1129</v>
      </c>
      <c r="E1673" s="49" t="s">
        <v>910</v>
      </c>
      <c r="F1673" s="44" t="s">
        <v>987</v>
      </c>
      <c r="G1673" s="44">
        <v>60.0</v>
      </c>
      <c r="H1673" s="47" t="s">
        <v>970</v>
      </c>
      <c r="I1673" s="47" t="s">
        <v>910</v>
      </c>
      <c r="J1673" s="44">
        <v>10.776232</v>
      </c>
      <c r="K1673" s="48">
        <v>106.66668</v>
      </c>
    </row>
    <row r="1674" ht="22.5" customHeight="1">
      <c r="A1674" s="44" t="s">
        <v>653</v>
      </c>
      <c r="B1674" s="44" t="s">
        <v>5305</v>
      </c>
      <c r="C1674" s="44" t="s">
        <v>3304</v>
      </c>
      <c r="D1674" s="44" t="s">
        <v>1014</v>
      </c>
      <c r="E1674" s="49" t="s">
        <v>813</v>
      </c>
      <c r="F1674" s="44" t="s">
        <v>1015</v>
      </c>
      <c r="G1674" s="44">
        <v>91.0</v>
      </c>
      <c r="H1674" s="47" t="s">
        <v>970</v>
      </c>
      <c r="I1674" s="47" t="s">
        <v>813</v>
      </c>
      <c r="J1674" s="44">
        <v>10.759869</v>
      </c>
      <c r="K1674" s="48">
        <v>106.676995</v>
      </c>
    </row>
    <row r="1675" ht="22.5" customHeight="1">
      <c r="A1675" s="44" t="s">
        <v>5306</v>
      </c>
      <c r="B1675" s="44" t="s">
        <v>5307</v>
      </c>
      <c r="C1675" s="44" t="s">
        <v>5308</v>
      </c>
      <c r="D1675" s="44" t="s">
        <v>990</v>
      </c>
      <c r="E1675" s="49" t="s">
        <v>894</v>
      </c>
      <c r="F1675" s="44" t="s">
        <v>974</v>
      </c>
      <c r="G1675" s="44">
        <v>68.0</v>
      </c>
      <c r="H1675" s="47" t="s">
        <v>970</v>
      </c>
      <c r="I1675" s="47" t="s">
        <v>882</v>
      </c>
      <c r="J1675" s="44">
        <v>10.704204</v>
      </c>
      <c r="K1675" s="48">
        <v>106.730338</v>
      </c>
    </row>
    <row r="1676" ht="22.5" customHeight="1">
      <c r="A1676" s="44" t="s">
        <v>200</v>
      </c>
      <c r="B1676" s="44" t="s">
        <v>5309</v>
      </c>
      <c r="C1676" s="44" t="s">
        <v>5310</v>
      </c>
      <c r="D1676" s="44" t="s">
        <v>1030</v>
      </c>
      <c r="E1676" s="49" t="s">
        <v>887</v>
      </c>
      <c r="F1676" s="44" t="s">
        <v>1031</v>
      </c>
      <c r="G1676" s="44">
        <v>44.0</v>
      </c>
      <c r="H1676" s="47" t="s">
        <v>970</v>
      </c>
      <c r="I1676" s="47" t="s">
        <v>832</v>
      </c>
      <c r="J1676" s="44">
        <v>10.801854</v>
      </c>
      <c r="K1676" s="48">
        <v>106.749306</v>
      </c>
    </row>
    <row r="1677" ht="22.5" customHeight="1">
      <c r="A1677" s="44" t="s">
        <v>474</v>
      </c>
      <c r="B1677" s="44" t="s">
        <v>5311</v>
      </c>
      <c r="C1677" s="44" t="s">
        <v>5312</v>
      </c>
      <c r="D1677" s="44" t="s">
        <v>1129</v>
      </c>
      <c r="E1677" s="49" t="s">
        <v>910</v>
      </c>
      <c r="F1677" s="44" t="s">
        <v>987</v>
      </c>
      <c r="G1677" s="44">
        <v>60.0</v>
      </c>
      <c r="H1677" s="47" t="s">
        <v>970</v>
      </c>
      <c r="I1677" s="47" t="s">
        <v>910</v>
      </c>
      <c r="J1677" s="44">
        <v>10.772304</v>
      </c>
      <c r="K1677" s="48">
        <v>106.671387</v>
      </c>
    </row>
    <row r="1678" ht="22.5" customHeight="1">
      <c r="A1678" s="44" t="s">
        <v>5313</v>
      </c>
      <c r="B1678" s="44" t="s">
        <v>5314</v>
      </c>
      <c r="C1678" s="44" t="s">
        <v>5315</v>
      </c>
      <c r="D1678" s="44" t="s">
        <v>1129</v>
      </c>
      <c r="E1678" s="49" t="s">
        <v>910</v>
      </c>
      <c r="F1678" s="44" t="s">
        <v>987</v>
      </c>
      <c r="G1678" s="44">
        <v>60.0</v>
      </c>
      <c r="H1678" s="47" t="s">
        <v>970</v>
      </c>
      <c r="I1678" s="47" t="s">
        <v>910</v>
      </c>
      <c r="J1678" s="44">
        <v>10.77399</v>
      </c>
      <c r="K1678" s="48">
        <v>106.665972</v>
      </c>
    </row>
    <row r="1679" ht="22.5" customHeight="1">
      <c r="A1679" s="44" t="s">
        <v>5316</v>
      </c>
      <c r="B1679" s="44" t="s">
        <v>5317</v>
      </c>
      <c r="C1679" s="44" t="s">
        <v>5318</v>
      </c>
      <c r="D1679" s="44" t="s">
        <v>1272</v>
      </c>
      <c r="E1679" s="49" t="s">
        <v>808</v>
      </c>
      <c r="F1679" s="44" t="s">
        <v>998</v>
      </c>
      <c r="G1679" s="44">
        <v>45.0</v>
      </c>
      <c r="H1679" s="47" t="s">
        <v>970</v>
      </c>
      <c r="I1679" s="47" t="s">
        <v>808</v>
      </c>
      <c r="J1679" s="44">
        <v>10.754542</v>
      </c>
      <c r="K1679" s="48">
        <v>106.629856</v>
      </c>
    </row>
    <row r="1680" ht="22.5" customHeight="1">
      <c r="A1680" s="44" t="s">
        <v>171</v>
      </c>
      <c r="B1680" s="44" t="s">
        <v>5319</v>
      </c>
      <c r="C1680" s="44" t="s">
        <v>5320</v>
      </c>
      <c r="D1680" s="44" t="s">
        <v>990</v>
      </c>
      <c r="E1680" s="49" t="s">
        <v>894</v>
      </c>
      <c r="F1680" s="44" t="s">
        <v>974</v>
      </c>
      <c r="G1680" s="44">
        <v>68.0</v>
      </c>
      <c r="H1680" s="47" t="s">
        <v>970</v>
      </c>
      <c r="I1680" s="47" t="s">
        <v>894</v>
      </c>
      <c r="J1680" s="44">
        <v>10.737331</v>
      </c>
      <c r="K1680" s="48">
        <v>106.724166</v>
      </c>
    </row>
    <row r="1681" ht="22.5" customHeight="1">
      <c r="A1681" s="44" t="s">
        <v>5321</v>
      </c>
      <c r="B1681" s="44" t="s">
        <v>5322</v>
      </c>
      <c r="C1681" s="44" t="s">
        <v>5323</v>
      </c>
      <c r="D1681" s="44" t="s">
        <v>5324</v>
      </c>
      <c r="E1681" s="49" t="s">
        <v>789</v>
      </c>
      <c r="F1681" s="44" t="s">
        <v>1168</v>
      </c>
      <c r="G1681" s="44">
        <v>100.0</v>
      </c>
      <c r="H1681" s="47" t="s">
        <v>970</v>
      </c>
      <c r="I1681" s="47" t="s">
        <v>789</v>
      </c>
      <c r="J1681" s="44">
        <v>10.64863</v>
      </c>
      <c r="K1681" s="48">
        <v>106.627433</v>
      </c>
    </row>
    <row r="1682" ht="22.5" customHeight="1">
      <c r="A1682" s="44" t="s">
        <v>5325</v>
      </c>
      <c r="B1682" s="44" t="s">
        <v>5326</v>
      </c>
      <c r="C1682" s="44" t="s">
        <v>5327</v>
      </c>
      <c r="D1682" s="44" t="s">
        <v>1076</v>
      </c>
      <c r="E1682" s="49" t="s">
        <v>813</v>
      </c>
      <c r="F1682" s="44" t="s">
        <v>1015</v>
      </c>
      <c r="G1682" s="44">
        <v>56.0</v>
      </c>
      <c r="H1682" s="47" t="s">
        <v>970</v>
      </c>
      <c r="I1682" s="47" t="s">
        <v>813</v>
      </c>
      <c r="J1682" s="44">
        <v>10.754474</v>
      </c>
      <c r="K1682" s="48">
        <v>106.666596</v>
      </c>
    </row>
    <row r="1683" ht="22.5" customHeight="1">
      <c r="A1683" s="44" t="s">
        <v>115</v>
      </c>
      <c r="B1683" s="44" t="s">
        <v>5328</v>
      </c>
      <c r="C1683" s="44" t="s">
        <v>5329</v>
      </c>
      <c r="D1683" s="44" t="s">
        <v>1076</v>
      </c>
      <c r="E1683" s="49" t="s">
        <v>813</v>
      </c>
      <c r="F1683" s="44" t="s">
        <v>1015</v>
      </c>
      <c r="G1683" s="44">
        <v>46.0</v>
      </c>
      <c r="H1683" s="47" t="s">
        <v>970</v>
      </c>
      <c r="I1683" s="47" t="s">
        <v>813</v>
      </c>
      <c r="J1683" s="44">
        <v>10.756895</v>
      </c>
      <c r="K1683" s="48">
        <v>106.6739</v>
      </c>
    </row>
    <row r="1684" ht="22.5" customHeight="1">
      <c r="A1684" s="44" t="s">
        <v>5330</v>
      </c>
      <c r="B1684" s="44" t="s">
        <v>5331</v>
      </c>
      <c r="C1684" s="44" t="s">
        <v>2270</v>
      </c>
      <c r="D1684" s="44" t="s">
        <v>1359</v>
      </c>
      <c r="E1684" s="49" t="s">
        <v>813</v>
      </c>
      <c r="F1684" s="44" t="s">
        <v>1015</v>
      </c>
      <c r="G1684" s="44">
        <v>76.0</v>
      </c>
      <c r="H1684" s="47" t="s">
        <v>970</v>
      </c>
      <c r="I1684" s="47" t="s">
        <v>813</v>
      </c>
      <c r="J1684" s="44">
        <v>10.756331</v>
      </c>
      <c r="K1684" s="48">
        <v>106.665504</v>
      </c>
    </row>
    <row r="1685" ht="22.5" customHeight="1">
      <c r="A1685" s="44" t="s">
        <v>5332</v>
      </c>
      <c r="B1685" s="44" t="s">
        <v>5333</v>
      </c>
      <c r="C1685" s="44" t="s">
        <v>5334</v>
      </c>
      <c r="D1685" s="44" t="s">
        <v>1268</v>
      </c>
      <c r="E1685" s="49" t="s">
        <v>910</v>
      </c>
      <c r="F1685" s="44" t="s">
        <v>987</v>
      </c>
      <c r="G1685" s="44">
        <v>79.0</v>
      </c>
      <c r="H1685" s="47" t="s">
        <v>970</v>
      </c>
      <c r="I1685" s="47" t="s">
        <v>902</v>
      </c>
      <c r="J1685" s="44">
        <v>10.784825</v>
      </c>
      <c r="K1685" s="48">
        <v>106.683846</v>
      </c>
    </row>
    <row r="1686" ht="22.5" customHeight="1">
      <c r="A1686" s="44" t="s">
        <v>5335</v>
      </c>
      <c r="B1686" s="44" t="s">
        <v>5336</v>
      </c>
      <c r="C1686" s="44" t="s">
        <v>1758</v>
      </c>
      <c r="D1686" s="44" t="s">
        <v>1510</v>
      </c>
      <c r="E1686" s="49" t="s">
        <v>804</v>
      </c>
      <c r="F1686" s="44" t="s">
        <v>1497</v>
      </c>
      <c r="G1686" s="44">
        <v>60.0</v>
      </c>
      <c r="H1686" s="47" t="s">
        <v>970</v>
      </c>
      <c r="I1686" s="47" t="s">
        <v>804</v>
      </c>
      <c r="J1686" s="44">
        <v>10.765334</v>
      </c>
      <c r="K1686" s="48">
        <v>106.702183</v>
      </c>
    </row>
    <row r="1687" ht="22.5" customHeight="1">
      <c r="A1687" s="44" t="s">
        <v>5337</v>
      </c>
      <c r="B1687" s="44" t="s">
        <v>5338</v>
      </c>
      <c r="C1687" s="44" t="s">
        <v>5315</v>
      </c>
      <c r="D1687" s="44" t="s">
        <v>1129</v>
      </c>
      <c r="E1687" s="49" t="s">
        <v>910</v>
      </c>
      <c r="F1687" s="44" t="s">
        <v>987</v>
      </c>
      <c r="G1687" s="44">
        <v>60.0</v>
      </c>
      <c r="H1687" s="47" t="s">
        <v>970</v>
      </c>
      <c r="I1687" s="47" t="s">
        <v>910</v>
      </c>
      <c r="J1687" s="44">
        <v>10.77399</v>
      </c>
      <c r="K1687" s="48">
        <v>106.665972</v>
      </c>
    </row>
    <row r="1688" ht="22.5" customHeight="1">
      <c r="A1688" s="44" t="s">
        <v>5339</v>
      </c>
      <c r="B1688" s="44" t="s">
        <v>5340</v>
      </c>
      <c r="C1688" s="44" t="s">
        <v>2512</v>
      </c>
      <c r="D1688" s="44" t="s">
        <v>1939</v>
      </c>
      <c r="E1688" s="49" t="s">
        <v>895</v>
      </c>
      <c r="F1688" s="44" t="s">
        <v>1121</v>
      </c>
      <c r="G1688" s="44">
        <v>51.0</v>
      </c>
      <c r="H1688" s="47" t="s">
        <v>970</v>
      </c>
      <c r="I1688" s="47" t="s">
        <v>895</v>
      </c>
      <c r="J1688" s="44">
        <v>10.861369</v>
      </c>
      <c r="K1688" s="48">
        <v>106.779868</v>
      </c>
    </row>
    <row r="1689" ht="22.5" customHeight="1">
      <c r="A1689" s="44" t="s">
        <v>5341</v>
      </c>
      <c r="B1689" s="44" t="s">
        <v>5342</v>
      </c>
      <c r="C1689" s="44" t="s">
        <v>3280</v>
      </c>
      <c r="D1689" s="44" t="s">
        <v>1433</v>
      </c>
      <c r="E1689" s="49" t="s">
        <v>910</v>
      </c>
      <c r="F1689" s="44" t="s">
        <v>987</v>
      </c>
      <c r="G1689" s="44">
        <v>60.0</v>
      </c>
      <c r="H1689" s="47" t="s">
        <v>970</v>
      </c>
      <c r="I1689" s="47" t="s">
        <v>910</v>
      </c>
      <c r="J1689" s="44">
        <v>10.76856</v>
      </c>
      <c r="K1689" s="48">
        <v>106.670159</v>
      </c>
    </row>
    <row r="1690" ht="22.5" customHeight="1">
      <c r="A1690" s="44" t="s">
        <v>5343</v>
      </c>
      <c r="B1690" s="44" t="s">
        <v>5344</v>
      </c>
      <c r="C1690" s="44" t="s">
        <v>5345</v>
      </c>
      <c r="D1690" s="44" t="s">
        <v>986</v>
      </c>
      <c r="E1690" s="49" t="s">
        <v>910</v>
      </c>
      <c r="F1690" s="44" t="s">
        <v>987</v>
      </c>
      <c r="G1690" s="44">
        <v>60.0</v>
      </c>
      <c r="H1690" s="47" t="s">
        <v>970</v>
      </c>
      <c r="I1690" s="47" t="s">
        <v>910</v>
      </c>
      <c r="J1690" s="44">
        <v>10.7734</v>
      </c>
      <c r="K1690" s="48">
        <v>106.661449</v>
      </c>
    </row>
    <row r="1691" ht="22.5" customHeight="1">
      <c r="A1691" s="44" t="s">
        <v>590</v>
      </c>
      <c r="B1691" s="44" t="s">
        <v>5346</v>
      </c>
      <c r="C1691" s="44" t="s">
        <v>5347</v>
      </c>
      <c r="D1691" s="44" t="s">
        <v>986</v>
      </c>
      <c r="E1691" s="49" t="s">
        <v>910</v>
      </c>
      <c r="F1691" s="44" t="s">
        <v>987</v>
      </c>
      <c r="G1691" s="44">
        <v>60.0</v>
      </c>
      <c r="H1691" s="47" t="s">
        <v>970</v>
      </c>
      <c r="I1691" s="47" t="s">
        <v>910</v>
      </c>
      <c r="J1691" s="44">
        <v>10.77065</v>
      </c>
      <c r="K1691" s="48">
        <v>106.664627</v>
      </c>
    </row>
    <row r="1692" ht="22.5" customHeight="1">
      <c r="A1692" s="44" t="s">
        <v>697</v>
      </c>
      <c r="B1692" s="44" t="s">
        <v>5348</v>
      </c>
      <c r="C1692" s="44" t="s">
        <v>5349</v>
      </c>
      <c r="D1692" s="44" t="s">
        <v>986</v>
      </c>
      <c r="E1692" s="49" t="s">
        <v>910</v>
      </c>
      <c r="F1692" s="44" t="s">
        <v>987</v>
      </c>
      <c r="G1692" s="44">
        <v>60.0</v>
      </c>
      <c r="H1692" s="47" t="s">
        <v>970</v>
      </c>
      <c r="I1692" s="47" t="s">
        <v>822</v>
      </c>
      <c r="J1692" s="44">
        <v>10.762371</v>
      </c>
      <c r="K1692" s="48">
        <v>106.661359</v>
      </c>
    </row>
    <row r="1693" ht="22.5" customHeight="1">
      <c r="A1693" s="44" t="s">
        <v>455</v>
      </c>
      <c r="B1693" s="44" t="s">
        <v>5350</v>
      </c>
      <c r="C1693" s="44" t="s">
        <v>5351</v>
      </c>
      <c r="D1693" s="44" t="s">
        <v>1345</v>
      </c>
      <c r="E1693" s="49" t="s">
        <v>822</v>
      </c>
      <c r="F1693" s="44" t="s">
        <v>1284</v>
      </c>
      <c r="G1693" s="44">
        <v>30.0</v>
      </c>
      <c r="H1693" s="47" t="s">
        <v>970</v>
      </c>
      <c r="I1693" s="47" t="s">
        <v>822</v>
      </c>
      <c r="J1693" s="44">
        <v>10.758073</v>
      </c>
      <c r="K1693" s="48">
        <v>106.659187</v>
      </c>
    </row>
    <row r="1694" ht="22.5" customHeight="1">
      <c r="A1694" s="44" t="s">
        <v>5352</v>
      </c>
      <c r="B1694" s="44" t="s">
        <v>5353</v>
      </c>
      <c r="C1694" s="44" t="s">
        <v>5354</v>
      </c>
      <c r="D1694" s="44" t="s">
        <v>1883</v>
      </c>
      <c r="E1694" s="49" t="s">
        <v>883</v>
      </c>
      <c r="F1694" s="44" t="s">
        <v>1471</v>
      </c>
      <c r="G1694" s="44">
        <v>55.0</v>
      </c>
      <c r="H1694" s="47" t="s">
        <v>970</v>
      </c>
      <c r="I1694" s="47" t="s">
        <v>883</v>
      </c>
      <c r="J1694" s="44">
        <v>10.891120019739</v>
      </c>
      <c r="K1694" s="48">
        <v>106.72760272451</v>
      </c>
    </row>
    <row r="1695" ht="22.5" customHeight="1">
      <c r="A1695" s="44" t="s">
        <v>691</v>
      </c>
      <c r="B1695" s="44" t="s">
        <v>5355</v>
      </c>
      <c r="C1695" s="44" t="s">
        <v>5356</v>
      </c>
      <c r="D1695" s="44" t="s">
        <v>1470</v>
      </c>
      <c r="E1695" s="49" t="s">
        <v>883</v>
      </c>
      <c r="F1695" s="44" t="s">
        <v>1471</v>
      </c>
      <c r="G1695" s="44">
        <v>70.0</v>
      </c>
      <c r="H1695" s="47" t="s">
        <v>970</v>
      </c>
      <c r="I1695" s="47" t="s">
        <v>883</v>
      </c>
      <c r="J1695" s="44">
        <v>10.885654048133</v>
      </c>
      <c r="K1695" s="48">
        <v>106.70041803995</v>
      </c>
    </row>
    <row r="1696" ht="22.5" customHeight="1">
      <c r="A1696" s="44" t="s">
        <v>5357</v>
      </c>
      <c r="B1696" s="44" t="s">
        <v>5358</v>
      </c>
      <c r="C1696" s="44" t="s">
        <v>5280</v>
      </c>
      <c r="D1696" s="44" t="s">
        <v>1129</v>
      </c>
      <c r="E1696" s="49" t="s">
        <v>910</v>
      </c>
      <c r="F1696" s="44" t="s">
        <v>987</v>
      </c>
      <c r="G1696" s="44">
        <v>30.0</v>
      </c>
      <c r="H1696" s="47" t="s">
        <v>970</v>
      </c>
      <c r="I1696" s="47" t="s">
        <v>910</v>
      </c>
      <c r="J1696" s="44">
        <v>10.77447</v>
      </c>
      <c r="K1696" s="48">
        <v>106.666286</v>
      </c>
    </row>
    <row r="1697" ht="22.5" customHeight="1">
      <c r="A1697" s="44" t="s">
        <v>591</v>
      </c>
      <c r="B1697" s="44" t="s">
        <v>5359</v>
      </c>
      <c r="C1697" s="44" t="s">
        <v>5360</v>
      </c>
      <c r="D1697" s="44" t="s">
        <v>1628</v>
      </c>
      <c r="E1697" s="49" t="s">
        <v>806</v>
      </c>
      <c r="F1697" s="44" t="s">
        <v>1500</v>
      </c>
      <c r="G1697" s="44">
        <v>30.0</v>
      </c>
      <c r="H1697" s="47" t="s">
        <v>970</v>
      </c>
      <c r="I1697" s="47" t="s">
        <v>806</v>
      </c>
      <c r="J1697" s="44">
        <v>10.801408</v>
      </c>
      <c r="K1697" s="48">
        <v>106.649509</v>
      </c>
    </row>
    <row r="1698" ht="22.5" customHeight="1">
      <c r="A1698" s="44" t="s">
        <v>117</v>
      </c>
      <c r="B1698" s="44" t="s">
        <v>5361</v>
      </c>
      <c r="C1698" s="44" t="s">
        <v>5362</v>
      </c>
      <c r="D1698" s="44" t="s">
        <v>1736</v>
      </c>
      <c r="E1698" s="49" t="s">
        <v>893</v>
      </c>
      <c r="F1698" s="44" t="s">
        <v>1088</v>
      </c>
      <c r="G1698" s="44">
        <v>60.0</v>
      </c>
      <c r="H1698" s="47" t="s">
        <v>970</v>
      </c>
      <c r="I1698" s="47" t="s">
        <v>518</v>
      </c>
      <c r="J1698" s="44">
        <v>10.77379</v>
      </c>
      <c r="K1698" s="48">
        <v>106.63789</v>
      </c>
    </row>
    <row r="1699" ht="22.5" customHeight="1">
      <c r="A1699" s="44" t="s">
        <v>5363</v>
      </c>
      <c r="B1699" s="44" t="s">
        <v>5364</v>
      </c>
      <c r="C1699" s="44" t="s">
        <v>5365</v>
      </c>
      <c r="D1699" s="44" t="s">
        <v>1478</v>
      </c>
      <c r="E1699" s="49" t="s">
        <v>895</v>
      </c>
      <c r="F1699" s="44" t="s">
        <v>1121</v>
      </c>
      <c r="G1699" s="44">
        <v>72.0</v>
      </c>
      <c r="H1699" s="47" t="s">
        <v>970</v>
      </c>
      <c r="I1699" s="47" t="s">
        <v>895</v>
      </c>
      <c r="J1699" s="44">
        <v>10.834722</v>
      </c>
      <c r="K1699" s="48">
        <v>106.766667</v>
      </c>
    </row>
    <row r="1700" ht="22.5" customHeight="1">
      <c r="A1700" s="44" t="s">
        <v>5366</v>
      </c>
      <c r="B1700" s="44" t="s">
        <v>5367</v>
      </c>
      <c r="C1700" s="44" t="s">
        <v>5368</v>
      </c>
      <c r="D1700" s="44" t="s">
        <v>1047</v>
      </c>
      <c r="E1700" s="49" t="s">
        <v>884</v>
      </c>
      <c r="F1700" s="44" t="s">
        <v>1821</v>
      </c>
      <c r="G1700" s="44">
        <v>60.0</v>
      </c>
      <c r="H1700" s="47" t="s">
        <v>970</v>
      </c>
      <c r="I1700" s="47" t="s">
        <v>901</v>
      </c>
      <c r="J1700" s="44">
        <v>10.793022</v>
      </c>
      <c r="K1700" s="48">
        <v>106.707414</v>
      </c>
    </row>
    <row r="1701" ht="22.5" customHeight="1">
      <c r="A1701" s="44" t="s">
        <v>5369</v>
      </c>
      <c r="B1701" s="44" t="s">
        <v>5370</v>
      </c>
      <c r="C1701" s="44" t="s">
        <v>5371</v>
      </c>
      <c r="D1701" s="44" t="s">
        <v>1542</v>
      </c>
      <c r="E1701" s="49" t="s">
        <v>901</v>
      </c>
      <c r="F1701" s="44" t="s">
        <v>1562</v>
      </c>
      <c r="G1701" s="44">
        <v>60.0</v>
      </c>
      <c r="H1701" s="47" t="s">
        <v>970</v>
      </c>
      <c r="I1701" s="47" t="s">
        <v>884</v>
      </c>
      <c r="J1701" s="44">
        <v>10.791918</v>
      </c>
      <c r="K1701" s="48">
        <v>106.698679</v>
      </c>
    </row>
    <row r="1702" ht="22.5" customHeight="1">
      <c r="A1702" s="44" t="s">
        <v>5372</v>
      </c>
      <c r="B1702" s="44" t="s">
        <v>5373</v>
      </c>
      <c r="C1702" s="44" t="s">
        <v>5374</v>
      </c>
      <c r="D1702" s="44" t="s">
        <v>1239</v>
      </c>
      <c r="E1702" s="49" t="s">
        <v>789</v>
      </c>
      <c r="F1702" s="44" t="s">
        <v>1168</v>
      </c>
      <c r="G1702" s="44">
        <v>69.0</v>
      </c>
      <c r="H1702" s="47" t="s">
        <v>970</v>
      </c>
      <c r="I1702" s="47" t="s">
        <v>789</v>
      </c>
      <c r="J1702" s="44">
        <v>10.751079358499</v>
      </c>
      <c r="K1702" s="48">
        <v>106.59893357138</v>
      </c>
    </row>
    <row r="1703" ht="22.5" customHeight="1">
      <c r="A1703" s="44" t="s">
        <v>530</v>
      </c>
      <c r="B1703" s="44" t="s">
        <v>5375</v>
      </c>
      <c r="C1703" s="44" t="s">
        <v>5376</v>
      </c>
      <c r="D1703" s="44" t="s">
        <v>1167</v>
      </c>
      <c r="E1703" s="49" t="s">
        <v>789</v>
      </c>
      <c r="F1703" s="44" t="s">
        <v>1168</v>
      </c>
      <c r="G1703" s="44">
        <v>39.0</v>
      </c>
      <c r="H1703" s="47" t="s">
        <v>970</v>
      </c>
      <c r="I1703" s="47" t="s">
        <v>789</v>
      </c>
      <c r="J1703" s="44">
        <v>10.751675</v>
      </c>
      <c r="K1703" s="48">
        <v>106.610343</v>
      </c>
    </row>
    <row r="1704" ht="22.5" customHeight="1">
      <c r="A1704" s="44" t="s">
        <v>118</v>
      </c>
      <c r="B1704" s="44" t="s">
        <v>5377</v>
      </c>
      <c r="C1704" s="44" t="s">
        <v>5378</v>
      </c>
      <c r="D1704" s="44" t="s">
        <v>1189</v>
      </c>
      <c r="E1704" s="49" t="s">
        <v>893</v>
      </c>
      <c r="F1704" s="44" t="s">
        <v>1088</v>
      </c>
      <c r="G1704" s="44">
        <v>45.0</v>
      </c>
      <c r="H1704" s="47" t="s">
        <v>970</v>
      </c>
      <c r="I1704" s="47" t="s">
        <v>893</v>
      </c>
      <c r="J1704" s="44">
        <v>10.799775</v>
      </c>
      <c r="K1704" s="48">
        <v>106.61584</v>
      </c>
    </row>
    <row r="1705" ht="22.5" customHeight="1">
      <c r="A1705" s="44" t="s">
        <v>5379</v>
      </c>
      <c r="B1705" s="44" t="s">
        <v>5380</v>
      </c>
      <c r="C1705" s="44" t="s">
        <v>5381</v>
      </c>
      <c r="D1705" s="44" t="s">
        <v>1542</v>
      </c>
      <c r="E1705" s="49" t="s">
        <v>900</v>
      </c>
      <c r="F1705" s="44" t="s">
        <v>978</v>
      </c>
      <c r="G1705" s="44">
        <v>60.0</v>
      </c>
      <c r="H1705" s="47" t="s">
        <v>970</v>
      </c>
      <c r="I1705" s="47" t="s">
        <v>900</v>
      </c>
      <c r="J1705" s="44">
        <v>10.790132</v>
      </c>
      <c r="K1705" s="48">
        <v>106.689594</v>
      </c>
    </row>
    <row r="1706" ht="22.5" customHeight="1">
      <c r="A1706" s="44" t="s">
        <v>5382</v>
      </c>
      <c r="B1706" s="44" t="s">
        <v>5383</v>
      </c>
      <c r="C1706" s="44" t="s">
        <v>5384</v>
      </c>
      <c r="D1706" s="44" t="s">
        <v>1895</v>
      </c>
      <c r="E1706" s="49" t="s">
        <v>897</v>
      </c>
      <c r="F1706" s="44" t="s">
        <v>1027</v>
      </c>
      <c r="G1706" s="44">
        <v>68.0</v>
      </c>
      <c r="H1706" s="47" t="s">
        <v>970</v>
      </c>
      <c r="I1706" s="47" t="s">
        <v>897</v>
      </c>
      <c r="J1706" s="44">
        <v>10.843712</v>
      </c>
      <c r="K1706" s="48">
        <v>106.635735</v>
      </c>
    </row>
    <row r="1707" ht="22.5" customHeight="1">
      <c r="A1707" s="44" t="s">
        <v>203</v>
      </c>
      <c r="B1707" s="44" t="s">
        <v>5385</v>
      </c>
      <c r="C1707" s="44" t="s">
        <v>5386</v>
      </c>
      <c r="D1707" s="44" t="s">
        <v>1036</v>
      </c>
      <c r="E1707" s="49" t="s">
        <v>898</v>
      </c>
      <c r="F1707" s="44" t="s">
        <v>1037</v>
      </c>
      <c r="G1707" s="44">
        <v>74.0</v>
      </c>
      <c r="H1707" s="47" t="s">
        <v>970</v>
      </c>
      <c r="I1707" s="47" t="s">
        <v>898</v>
      </c>
      <c r="J1707" s="44">
        <v>10.788436</v>
      </c>
      <c r="K1707" s="48">
        <v>106.77703</v>
      </c>
    </row>
    <row r="1708" ht="22.5" customHeight="1">
      <c r="A1708" s="44" t="s">
        <v>562</v>
      </c>
      <c r="B1708" s="44" t="s">
        <v>5387</v>
      </c>
      <c r="C1708" s="44" t="s">
        <v>5388</v>
      </c>
      <c r="D1708" s="44" t="s">
        <v>973</v>
      </c>
      <c r="E1708" s="49" t="s">
        <v>894</v>
      </c>
      <c r="F1708" s="44" t="s">
        <v>974</v>
      </c>
      <c r="G1708" s="44">
        <v>38.0</v>
      </c>
      <c r="H1708" s="47" t="s">
        <v>970</v>
      </c>
      <c r="I1708" s="47" t="s">
        <v>894</v>
      </c>
      <c r="J1708" s="44">
        <v>10.736717</v>
      </c>
      <c r="K1708" s="48">
        <v>106.708903</v>
      </c>
    </row>
    <row r="1709" ht="22.5" customHeight="1">
      <c r="A1709" s="44" t="s">
        <v>5389</v>
      </c>
      <c r="B1709" s="44" t="s">
        <v>5390</v>
      </c>
      <c r="C1709" s="44" t="s">
        <v>5391</v>
      </c>
      <c r="D1709" s="44" t="s">
        <v>1268</v>
      </c>
      <c r="E1709" s="49" t="s">
        <v>888</v>
      </c>
      <c r="F1709" s="44" t="s">
        <v>1136</v>
      </c>
      <c r="G1709" s="44">
        <v>69.0</v>
      </c>
      <c r="H1709" s="47" t="s">
        <v>970</v>
      </c>
      <c r="I1709" s="47" t="s">
        <v>826</v>
      </c>
      <c r="J1709" s="44">
        <v>10.780546</v>
      </c>
      <c r="K1709" s="48">
        <v>106.683786</v>
      </c>
    </row>
    <row r="1710" ht="22.5" customHeight="1">
      <c r="A1710" s="44" t="s">
        <v>629</v>
      </c>
      <c r="B1710" s="44" t="s">
        <v>5392</v>
      </c>
      <c r="C1710" s="44" t="s">
        <v>5393</v>
      </c>
      <c r="D1710" s="44" t="s">
        <v>1811</v>
      </c>
      <c r="E1710" s="49" t="s">
        <v>889</v>
      </c>
      <c r="F1710" s="44" t="s">
        <v>1043</v>
      </c>
      <c r="G1710" s="44">
        <v>30.0</v>
      </c>
      <c r="H1710" s="47" t="s">
        <v>970</v>
      </c>
      <c r="I1710" s="47" t="s">
        <v>889</v>
      </c>
      <c r="J1710" s="44">
        <v>10.809534</v>
      </c>
      <c r="K1710" s="48">
        <v>106.685666</v>
      </c>
    </row>
    <row r="1711" ht="22.5" customHeight="1">
      <c r="A1711" s="44" t="s">
        <v>5394</v>
      </c>
      <c r="B1711" s="44" t="s">
        <v>5395</v>
      </c>
      <c r="C1711" s="44" t="s">
        <v>5396</v>
      </c>
      <c r="D1711" s="44" t="s">
        <v>1129</v>
      </c>
      <c r="E1711" s="49" t="s">
        <v>910</v>
      </c>
      <c r="F1711" s="44" t="s">
        <v>987</v>
      </c>
      <c r="G1711" s="44">
        <v>30.0</v>
      </c>
      <c r="H1711" s="47" t="s">
        <v>970</v>
      </c>
      <c r="I1711" s="47" t="s">
        <v>910</v>
      </c>
      <c r="J1711" s="44">
        <v>10.77399</v>
      </c>
      <c r="K1711" s="48">
        <v>106.665972</v>
      </c>
    </row>
    <row r="1712" ht="22.5" customHeight="1">
      <c r="A1712" s="44" t="s">
        <v>5397</v>
      </c>
      <c r="B1712" s="44" t="s">
        <v>5398</v>
      </c>
      <c r="C1712" s="44" t="s">
        <v>1901</v>
      </c>
      <c r="D1712" s="44" t="s">
        <v>1433</v>
      </c>
      <c r="E1712" s="49" t="s">
        <v>910</v>
      </c>
      <c r="F1712" s="44" t="s">
        <v>987</v>
      </c>
      <c r="G1712" s="44">
        <v>60.0</v>
      </c>
      <c r="H1712" s="47" t="s">
        <v>970</v>
      </c>
      <c r="I1712" s="47" t="s">
        <v>910</v>
      </c>
      <c r="J1712" s="44">
        <v>10.76902</v>
      </c>
      <c r="K1712" s="48">
        <v>106.671149</v>
      </c>
    </row>
    <row r="1713" ht="22.5" customHeight="1">
      <c r="A1713" s="44" t="s">
        <v>5399</v>
      </c>
      <c r="B1713" s="44" t="s">
        <v>5400</v>
      </c>
      <c r="C1713" s="44" t="s">
        <v>5401</v>
      </c>
      <c r="D1713" s="44" t="s">
        <v>1129</v>
      </c>
      <c r="E1713" s="49" t="s">
        <v>910</v>
      </c>
      <c r="F1713" s="44" t="s">
        <v>987</v>
      </c>
      <c r="G1713" s="44">
        <v>30.0</v>
      </c>
      <c r="H1713" s="47" t="s">
        <v>970</v>
      </c>
      <c r="I1713" s="47" t="s">
        <v>910</v>
      </c>
      <c r="J1713" s="44">
        <v>10.784871</v>
      </c>
      <c r="K1713" s="48">
        <v>106.665884</v>
      </c>
    </row>
    <row r="1714" ht="22.5" customHeight="1">
      <c r="A1714" s="44" t="s">
        <v>5402</v>
      </c>
      <c r="B1714" s="44" t="s">
        <v>5403</v>
      </c>
      <c r="C1714" s="44" t="s">
        <v>5404</v>
      </c>
      <c r="D1714" s="44" t="s">
        <v>1129</v>
      </c>
      <c r="E1714" s="49" t="s">
        <v>910</v>
      </c>
      <c r="F1714" s="44" t="s">
        <v>987</v>
      </c>
      <c r="G1714" s="44">
        <v>45.0</v>
      </c>
      <c r="H1714" s="47" t="s">
        <v>970</v>
      </c>
      <c r="I1714" s="47" t="s">
        <v>910</v>
      </c>
      <c r="J1714" s="44">
        <v>10.77526457325</v>
      </c>
      <c r="K1714" s="48">
        <v>106.66761512267</v>
      </c>
    </row>
    <row r="1715" ht="22.5" customHeight="1">
      <c r="A1715" s="44" t="s">
        <v>5405</v>
      </c>
      <c r="B1715" s="44" t="s">
        <v>5406</v>
      </c>
      <c r="C1715" s="44" t="s">
        <v>5407</v>
      </c>
      <c r="D1715" s="44" t="s">
        <v>1442</v>
      </c>
      <c r="E1715" s="49" t="s">
        <v>910</v>
      </c>
      <c r="F1715" s="44" t="s">
        <v>987</v>
      </c>
      <c r="G1715" s="44">
        <v>45.0</v>
      </c>
      <c r="H1715" s="47" t="s">
        <v>970</v>
      </c>
      <c r="I1715" s="47" t="s">
        <v>826</v>
      </c>
      <c r="J1715" s="44">
        <v>10.767486</v>
      </c>
      <c r="K1715" s="48">
        <v>106.684979</v>
      </c>
    </row>
    <row r="1716" ht="22.5" customHeight="1">
      <c r="A1716" s="44" t="s">
        <v>5408</v>
      </c>
      <c r="B1716" s="44" t="s">
        <v>5409</v>
      </c>
      <c r="C1716" s="44" t="s">
        <v>5410</v>
      </c>
      <c r="D1716" s="44" t="s">
        <v>1359</v>
      </c>
      <c r="E1716" s="49" t="s">
        <v>813</v>
      </c>
      <c r="F1716" s="44" t="s">
        <v>1015</v>
      </c>
      <c r="G1716" s="44">
        <v>61.0</v>
      </c>
      <c r="H1716" s="47" t="s">
        <v>970</v>
      </c>
      <c r="I1716" s="47" t="s">
        <v>822</v>
      </c>
      <c r="J1716" s="44">
        <v>10.756757823967</v>
      </c>
      <c r="K1716" s="48">
        <v>106.66257580732</v>
      </c>
    </row>
    <row r="1717" ht="22.5" customHeight="1">
      <c r="A1717" s="44" t="s">
        <v>43</v>
      </c>
      <c r="B1717" s="44" t="s">
        <v>5411</v>
      </c>
      <c r="C1717" s="44" t="s">
        <v>5412</v>
      </c>
      <c r="D1717" s="44" t="s">
        <v>4435</v>
      </c>
      <c r="E1717" s="49" t="s">
        <v>891</v>
      </c>
      <c r="F1717" s="44" t="s">
        <v>1125</v>
      </c>
      <c r="G1717" s="44">
        <v>80.0</v>
      </c>
      <c r="H1717" s="47" t="s">
        <v>970</v>
      </c>
      <c r="I1717" s="47" t="s">
        <v>891</v>
      </c>
      <c r="J1717" s="44">
        <v>10.983533</v>
      </c>
      <c r="K1717" s="48">
        <v>106.909277</v>
      </c>
    </row>
    <row r="1718" ht="22.5" customHeight="1">
      <c r="A1718" s="44" t="s">
        <v>43</v>
      </c>
      <c r="B1718" s="44" t="s">
        <v>5413</v>
      </c>
      <c r="C1718" s="44" t="s">
        <v>5412</v>
      </c>
      <c r="D1718" s="44" t="s">
        <v>4435</v>
      </c>
      <c r="E1718" s="49" t="s">
        <v>891</v>
      </c>
      <c r="F1718" s="44" t="s">
        <v>1125</v>
      </c>
      <c r="G1718" s="44">
        <v>80.0</v>
      </c>
      <c r="H1718" s="47" t="s">
        <v>970</v>
      </c>
      <c r="I1718" s="47" t="s">
        <v>891</v>
      </c>
      <c r="J1718" s="44">
        <v>10.983505</v>
      </c>
      <c r="K1718" s="48">
        <v>106.909289</v>
      </c>
    </row>
    <row r="1719" ht="22.5" customHeight="1">
      <c r="A1719" s="44" t="s">
        <v>5414</v>
      </c>
      <c r="B1719" s="44" t="s">
        <v>5415</v>
      </c>
      <c r="C1719" s="44" t="s">
        <v>5416</v>
      </c>
      <c r="D1719" s="44" t="s">
        <v>1528</v>
      </c>
      <c r="E1719" s="49" t="s">
        <v>910</v>
      </c>
      <c r="F1719" s="44" t="s">
        <v>987</v>
      </c>
      <c r="G1719" s="44">
        <v>69.0</v>
      </c>
      <c r="H1719" s="47" t="s">
        <v>970</v>
      </c>
      <c r="I1719" s="47" t="s">
        <v>826</v>
      </c>
      <c r="J1719" s="44">
        <v>10.771551</v>
      </c>
      <c r="K1719" s="48">
        <v>106.683311</v>
      </c>
    </row>
    <row r="1720" ht="22.5" customHeight="1">
      <c r="A1720" s="44" t="s">
        <v>5417</v>
      </c>
      <c r="B1720" s="44" t="s">
        <v>5418</v>
      </c>
      <c r="C1720" s="44" t="s">
        <v>2270</v>
      </c>
      <c r="D1720" s="44" t="s">
        <v>1359</v>
      </c>
      <c r="E1720" s="49" t="s">
        <v>813</v>
      </c>
      <c r="F1720" s="44" t="s">
        <v>1015</v>
      </c>
      <c r="G1720" s="44">
        <v>46.0</v>
      </c>
      <c r="H1720" s="47" t="s">
        <v>970</v>
      </c>
      <c r="I1720" s="47" t="s">
        <v>813</v>
      </c>
      <c r="J1720" s="44">
        <v>10.756331</v>
      </c>
      <c r="K1720" s="48">
        <v>106.665504</v>
      </c>
    </row>
    <row r="1721" ht="22.5" customHeight="1">
      <c r="A1721" s="44" t="s">
        <v>5419</v>
      </c>
      <c r="B1721" s="44" t="s">
        <v>5420</v>
      </c>
      <c r="C1721" s="44" t="s">
        <v>5421</v>
      </c>
      <c r="D1721" s="44" t="s">
        <v>1135</v>
      </c>
      <c r="E1721" s="49" t="s">
        <v>884</v>
      </c>
      <c r="F1721" s="44" t="s">
        <v>1821</v>
      </c>
      <c r="G1721" s="44">
        <v>60.0</v>
      </c>
      <c r="H1721" s="47" t="s">
        <v>970</v>
      </c>
      <c r="I1721" s="47" t="s">
        <v>884</v>
      </c>
      <c r="J1721" s="44">
        <v>10.789610105959</v>
      </c>
      <c r="K1721" s="48">
        <v>106.70229681176</v>
      </c>
    </row>
    <row r="1722" ht="22.5" customHeight="1">
      <c r="A1722" s="44" t="s">
        <v>5422</v>
      </c>
      <c r="B1722" s="44" t="s">
        <v>5423</v>
      </c>
      <c r="C1722" s="44" t="s">
        <v>5424</v>
      </c>
      <c r="D1722" s="44" t="s">
        <v>1042</v>
      </c>
      <c r="E1722" s="49" t="s">
        <v>889</v>
      </c>
      <c r="F1722" s="44" t="s">
        <v>1043</v>
      </c>
      <c r="G1722" s="44">
        <v>60.0</v>
      </c>
      <c r="H1722" s="47" t="s">
        <v>970</v>
      </c>
      <c r="I1722" s="47" t="s">
        <v>901</v>
      </c>
      <c r="J1722" s="44">
        <v>10.810611</v>
      </c>
      <c r="K1722" s="48">
        <v>106.710576</v>
      </c>
    </row>
    <row r="1723" ht="22.5" customHeight="1">
      <c r="A1723" s="44" t="s">
        <v>5425</v>
      </c>
      <c r="B1723" s="44" t="s">
        <v>5426</v>
      </c>
      <c r="C1723" s="44" t="s">
        <v>5195</v>
      </c>
      <c r="D1723" s="44" t="s">
        <v>1007</v>
      </c>
      <c r="E1723" s="49" t="s">
        <v>510</v>
      </c>
      <c r="F1723" s="44" t="s">
        <v>983</v>
      </c>
      <c r="G1723" s="44">
        <v>96.0</v>
      </c>
      <c r="H1723" s="47" t="s">
        <v>970</v>
      </c>
      <c r="I1723" s="47" t="s">
        <v>510</v>
      </c>
      <c r="J1723" s="44">
        <v>10.864087</v>
      </c>
      <c r="K1723" s="48">
        <v>106.746045</v>
      </c>
    </row>
    <row r="1724" ht="22.5" customHeight="1">
      <c r="A1724" s="44" t="s">
        <v>5427</v>
      </c>
      <c r="B1724" s="44" t="s">
        <v>5428</v>
      </c>
      <c r="C1724" s="44" t="s">
        <v>5429</v>
      </c>
      <c r="D1724" s="44" t="s">
        <v>1026</v>
      </c>
      <c r="E1724" s="49" t="s">
        <v>897</v>
      </c>
      <c r="F1724" s="44" t="s">
        <v>1027</v>
      </c>
      <c r="G1724" s="44">
        <v>68.0</v>
      </c>
      <c r="H1724" s="47" t="s">
        <v>970</v>
      </c>
      <c r="I1724" s="47" t="s">
        <v>897</v>
      </c>
      <c r="J1724" s="44">
        <v>10.834649</v>
      </c>
      <c r="K1724" s="48">
        <v>106.66155</v>
      </c>
    </row>
    <row r="1725" ht="22.5" customHeight="1">
      <c r="A1725" s="44" t="s">
        <v>5430</v>
      </c>
      <c r="B1725" s="44" t="s">
        <v>5431</v>
      </c>
      <c r="C1725" s="44" t="s">
        <v>5432</v>
      </c>
      <c r="D1725" s="44" t="s">
        <v>1116</v>
      </c>
      <c r="E1725" s="49" t="s">
        <v>885</v>
      </c>
      <c r="F1725" s="44" t="s">
        <v>1117</v>
      </c>
      <c r="G1725" s="44">
        <v>60.0</v>
      </c>
      <c r="H1725" s="47" t="s">
        <v>970</v>
      </c>
      <c r="I1725" s="47" t="s">
        <v>813</v>
      </c>
      <c r="J1725" s="44">
        <v>10.747209</v>
      </c>
      <c r="K1725" s="48">
        <v>106.676382</v>
      </c>
    </row>
    <row r="1726" ht="22.5" customHeight="1">
      <c r="A1726" s="44" t="s">
        <v>5433</v>
      </c>
      <c r="B1726" s="44" t="s">
        <v>5434</v>
      </c>
      <c r="C1726" s="44" t="s">
        <v>5435</v>
      </c>
      <c r="D1726" s="44" t="s">
        <v>1424</v>
      </c>
      <c r="E1726" s="49" t="s">
        <v>518</v>
      </c>
      <c r="F1726" s="44" t="s">
        <v>1011</v>
      </c>
      <c r="G1726" s="44">
        <v>60.0</v>
      </c>
      <c r="H1726" s="47" t="s">
        <v>970</v>
      </c>
      <c r="I1726" s="47" t="s">
        <v>824</v>
      </c>
      <c r="J1726" s="44">
        <v>10.774049</v>
      </c>
      <c r="K1726" s="48">
        <v>106.656418</v>
      </c>
    </row>
    <row r="1727" ht="22.5" customHeight="1">
      <c r="A1727" s="44" t="s">
        <v>293</v>
      </c>
      <c r="B1727" s="44" t="s">
        <v>5436</v>
      </c>
      <c r="C1727" s="44" t="s">
        <v>5437</v>
      </c>
      <c r="D1727" s="44" t="s">
        <v>1180</v>
      </c>
      <c r="E1727" s="49" t="s">
        <v>892</v>
      </c>
      <c r="F1727" s="44" t="s">
        <v>1108</v>
      </c>
      <c r="G1727" s="44">
        <v>30.0</v>
      </c>
      <c r="H1727" s="47" t="s">
        <v>970</v>
      </c>
      <c r="I1727" s="47" t="s">
        <v>892</v>
      </c>
      <c r="J1727" s="44">
        <v>10.982012</v>
      </c>
      <c r="K1727" s="48">
        <v>106.671824</v>
      </c>
    </row>
    <row r="1728" ht="22.5" customHeight="1">
      <c r="A1728" s="44" t="s">
        <v>294</v>
      </c>
      <c r="B1728" s="44" t="s">
        <v>5438</v>
      </c>
      <c r="C1728" s="44" t="s">
        <v>4429</v>
      </c>
      <c r="D1728" s="44" t="s">
        <v>1180</v>
      </c>
      <c r="E1728" s="49" t="s">
        <v>892</v>
      </c>
      <c r="F1728" s="44" t="s">
        <v>1108</v>
      </c>
      <c r="G1728" s="44">
        <v>45.0</v>
      </c>
      <c r="H1728" s="47" t="s">
        <v>970</v>
      </c>
      <c r="I1728" s="47" t="s">
        <v>892</v>
      </c>
      <c r="J1728" s="44">
        <v>10.99739</v>
      </c>
      <c r="K1728" s="48">
        <v>106.656198</v>
      </c>
    </row>
    <row r="1729" ht="22.5" customHeight="1">
      <c r="A1729" s="44" t="s">
        <v>5439</v>
      </c>
      <c r="B1729" s="44" t="s">
        <v>5440</v>
      </c>
      <c r="C1729" s="44" t="s">
        <v>4471</v>
      </c>
      <c r="D1729" s="44" t="s">
        <v>3423</v>
      </c>
      <c r="E1729" s="49" t="s">
        <v>892</v>
      </c>
      <c r="F1729" s="44" t="s">
        <v>1108</v>
      </c>
      <c r="G1729" s="44">
        <v>100.0</v>
      </c>
      <c r="H1729" s="47" t="s">
        <v>970</v>
      </c>
      <c r="I1729" s="47" t="s">
        <v>892</v>
      </c>
      <c r="J1729" s="44">
        <v>11.137097</v>
      </c>
      <c r="K1729" s="48">
        <v>106.608981</v>
      </c>
    </row>
    <row r="1730" ht="22.5" customHeight="1">
      <c r="A1730" s="44" t="s">
        <v>5441</v>
      </c>
      <c r="B1730" s="44" t="s">
        <v>5442</v>
      </c>
      <c r="C1730" s="44" t="s">
        <v>5443</v>
      </c>
      <c r="D1730" s="44" t="s">
        <v>1442</v>
      </c>
      <c r="E1730" s="49" t="s">
        <v>888</v>
      </c>
      <c r="F1730" s="44" t="s">
        <v>1136</v>
      </c>
      <c r="G1730" s="44">
        <v>45.0</v>
      </c>
      <c r="H1730" s="47" t="s">
        <v>970</v>
      </c>
      <c r="I1730" s="47" t="s">
        <v>804</v>
      </c>
      <c r="J1730" s="44">
        <v>10.762472</v>
      </c>
      <c r="K1730" s="48">
        <v>106.691061</v>
      </c>
    </row>
    <row r="1731" ht="22.5" customHeight="1">
      <c r="A1731" s="44" t="s">
        <v>5444</v>
      </c>
      <c r="B1731" s="44" t="s">
        <v>5445</v>
      </c>
      <c r="C1731" s="44" t="s">
        <v>5446</v>
      </c>
      <c r="D1731" s="44" t="s">
        <v>1528</v>
      </c>
      <c r="E1731" s="49" t="s">
        <v>884</v>
      </c>
      <c r="F1731" s="44" t="s">
        <v>1821</v>
      </c>
      <c r="G1731" s="44">
        <v>69.0</v>
      </c>
      <c r="H1731" s="47" t="s">
        <v>970</v>
      </c>
      <c r="I1731" s="47" t="s">
        <v>910</v>
      </c>
      <c r="J1731" s="44">
        <v>10.769902</v>
      </c>
      <c r="K1731" s="48">
        <v>106.67629</v>
      </c>
    </row>
    <row r="1732" ht="22.5" customHeight="1">
      <c r="A1732" s="44" t="s">
        <v>5447</v>
      </c>
      <c r="B1732" s="44" t="s">
        <v>5448</v>
      </c>
      <c r="C1732" s="44" t="s">
        <v>5449</v>
      </c>
      <c r="D1732" s="44" t="s">
        <v>1368</v>
      </c>
      <c r="E1732" s="49" t="s">
        <v>900</v>
      </c>
      <c r="F1732" s="44" t="s">
        <v>978</v>
      </c>
      <c r="G1732" s="44">
        <v>30.0</v>
      </c>
      <c r="H1732" s="47" t="s">
        <v>970</v>
      </c>
      <c r="I1732" s="47" t="s">
        <v>814</v>
      </c>
      <c r="J1732" s="44">
        <v>10.796785</v>
      </c>
      <c r="K1732" s="48">
        <v>106.6778</v>
      </c>
    </row>
    <row r="1733" ht="22.5" customHeight="1">
      <c r="A1733" s="44" t="s">
        <v>5450</v>
      </c>
      <c r="B1733" s="44" t="s">
        <v>5451</v>
      </c>
      <c r="C1733" s="44" t="s">
        <v>5452</v>
      </c>
      <c r="D1733" s="44" t="s">
        <v>1925</v>
      </c>
      <c r="E1733" s="49" t="s">
        <v>885</v>
      </c>
      <c r="F1733" s="44" t="s">
        <v>1117</v>
      </c>
      <c r="G1733" s="44">
        <v>60.0</v>
      </c>
      <c r="H1733" s="47" t="s">
        <v>970</v>
      </c>
      <c r="I1733" s="47" t="s">
        <v>885</v>
      </c>
      <c r="J1733" s="44">
        <v>10.735325</v>
      </c>
      <c r="K1733" s="48">
        <v>106.654431</v>
      </c>
    </row>
    <row r="1734" ht="22.5" customHeight="1">
      <c r="A1734" s="44" t="s">
        <v>5453</v>
      </c>
      <c r="B1734" s="44" t="s">
        <v>5454</v>
      </c>
      <c r="C1734" s="44" t="s">
        <v>5455</v>
      </c>
      <c r="D1734" s="44" t="s">
        <v>1129</v>
      </c>
      <c r="E1734" s="49" t="s">
        <v>910</v>
      </c>
      <c r="F1734" s="44" t="s">
        <v>987</v>
      </c>
      <c r="G1734" s="44">
        <v>30.0</v>
      </c>
      <c r="H1734" s="47" t="s">
        <v>970</v>
      </c>
      <c r="I1734" s="47" t="s">
        <v>910</v>
      </c>
      <c r="J1734" s="44">
        <v>10.774000275927</v>
      </c>
      <c r="K1734" s="48">
        <v>106.66596930799</v>
      </c>
    </row>
    <row r="1735" ht="22.5" customHeight="1">
      <c r="A1735" s="44" t="s">
        <v>44</v>
      </c>
      <c r="B1735" s="44" t="s">
        <v>5456</v>
      </c>
      <c r="C1735" s="44" t="s">
        <v>4434</v>
      </c>
      <c r="D1735" s="44" t="s">
        <v>4435</v>
      </c>
      <c r="E1735" s="49" t="s">
        <v>891</v>
      </c>
      <c r="F1735" s="44" t="s">
        <v>1125</v>
      </c>
      <c r="G1735" s="44">
        <v>45.0</v>
      </c>
      <c r="H1735" s="47" t="s">
        <v>970</v>
      </c>
      <c r="I1735" s="47" t="s">
        <v>891</v>
      </c>
      <c r="J1735" s="44">
        <v>10.983644823103</v>
      </c>
      <c r="K1735" s="48">
        <v>106.90934241038</v>
      </c>
    </row>
    <row r="1736" ht="22.5" customHeight="1">
      <c r="A1736" s="44" t="s">
        <v>5457</v>
      </c>
      <c r="B1736" s="44" t="s">
        <v>5458</v>
      </c>
      <c r="C1736" s="44" t="s">
        <v>5459</v>
      </c>
      <c r="D1736" s="44" t="s">
        <v>1832</v>
      </c>
      <c r="E1736" s="49" t="s">
        <v>901</v>
      </c>
      <c r="F1736" s="44" t="s">
        <v>1562</v>
      </c>
      <c r="G1736" s="44">
        <v>60.0</v>
      </c>
      <c r="H1736" s="47" t="s">
        <v>970</v>
      </c>
      <c r="I1736" s="47" t="s">
        <v>901</v>
      </c>
      <c r="J1736" s="44">
        <v>10.802362</v>
      </c>
      <c r="K1736" s="48">
        <v>106.715713</v>
      </c>
    </row>
    <row r="1737" ht="22.5" customHeight="1">
      <c r="A1737" s="44" t="s">
        <v>5460</v>
      </c>
      <c r="B1737" s="44" t="s">
        <v>5461</v>
      </c>
      <c r="C1737" s="44" t="s">
        <v>5462</v>
      </c>
      <c r="D1737" s="44" t="s">
        <v>1811</v>
      </c>
      <c r="E1737" s="49" t="s">
        <v>889</v>
      </c>
      <c r="F1737" s="44" t="s">
        <v>1043</v>
      </c>
      <c r="G1737" s="44">
        <v>60.0</v>
      </c>
      <c r="H1737" s="47" t="s">
        <v>970</v>
      </c>
      <c r="I1737" s="47" t="s">
        <v>889</v>
      </c>
      <c r="J1737" s="44">
        <v>10.821057</v>
      </c>
      <c r="K1737" s="48">
        <v>106.69451</v>
      </c>
    </row>
    <row r="1738" ht="22.5" customHeight="1">
      <c r="A1738" s="44" t="s">
        <v>5463</v>
      </c>
      <c r="B1738" s="44" t="s">
        <v>5464</v>
      </c>
      <c r="C1738" s="44" t="s">
        <v>5465</v>
      </c>
      <c r="D1738" s="44" t="s">
        <v>1021</v>
      </c>
      <c r="E1738" s="49" t="s">
        <v>897</v>
      </c>
      <c r="F1738" s="44" t="s">
        <v>1027</v>
      </c>
      <c r="G1738" s="44">
        <v>68.0</v>
      </c>
      <c r="H1738" s="47" t="s">
        <v>970</v>
      </c>
      <c r="I1738" s="47" t="s">
        <v>809</v>
      </c>
      <c r="J1738" s="44">
        <v>10.828356</v>
      </c>
      <c r="K1738" s="48">
        <v>106.674046</v>
      </c>
    </row>
    <row r="1739" ht="22.5" customHeight="1">
      <c r="A1739" s="44" t="s">
        <v>5466</v>
      </c>
      <c r="B1739" s="44" t="s">
        <v>5467</v>
      </c>
      <c r="C1739" s="44" t="s">
        <v>3608</v>
      </c>
      <c r="D1739" s="44" t="s">
        <v>1532</v>
      </c>
      <c r="E1739" s="49" t="s">
        <v>893</v>
      </c>
      <c r="F1739" s="44" t="s">
        <v>1088</v>
      </c>
      <c r="G1739" s="44">
        <v>60.0</v>
      </c>
      <c r="H1739" s="47" t="s">
        <v>970</v>
      </c>
      <c r="I1739" s="47" t="s">
        <v>814</v>
      </c>
      <c r="J1739" s="44">
        <v>10.802485</v>
      </c>
      <c r="K1739" s="48">
        <v>106.666044</v>
      </c>
    </row>
    <row r="1740" ht="22.5" customHeight="1">
      <c r="A1740" s="44" t="s">
        <v>675</v>
      </c>
      <c r="B1740" s="44" t="s">
        <v>5468</v>
      </c>
      <c r="C1740" s="44" t="s">
        <v>5469</v>
      </c>
      <c r="D1740" s="44" t="s">
        <v>1135</v>
      </c>
      <c r="E1740" s="49" t="s">
        <v>888</v>
      </c>
      <c r="F1740" s="44" t="s">
        <v>1136</v>
      </c>
      <c r="G1740" s="44">
        <v>30.0</v>
      </c>
      <c r="H1740" s="47" t="s">
        <v>970</v>
      </c>
      <c r="I1740" s="47" t="s">
        <v>888</v>
      </c>
      <c r="J1740" s="44">
        <v>10.772101</v>
      </c>
      <c r="K1740" s="48">
        <v>106.702054</v>
      </c>
    </row>
    <row r="1741" ht="22.5" customHeight="1">
      <c r="A1741" s="44" t="s">
        <v>5470</v>
      </c>
      <c r="B1741" s="44" t="s">
        <v>5471</v>
      </c>
      <c r="C1741" s="44" t="s">
        <v>5472</v>
      </c>
      <c r="D1741" s="44" t="s">
        <v>1528</v>
      </c>
      <c r="E1741" s="49" t="s">
        <v>910</v>
      </c>
      <c r="F1741" s="44" t="s">
        <v>987</v>
      </c>
      <c r="G1741" s="44">
        <v>60.0</v>
      </c>
      <c r="H1741" s="47" t="s">
        <v>970</v>
      </c>
      <c r="I1741" s="47" t="s">
        <v>910</v>
      </c>
      <c r="J1741" s="44">
        <v>10.769744</v>
      </c>
      <c r="K1741" s="48">
        <v>106.677944</v>
      </c>
    </row>
    <row r="1742" ht="22.5" customHeight="1">
      <c r="A1742" s="44" t="s">
        <v>5473</v>
      </c>
      <c r="B1742" s="44" t="s">
        <v>5474</v>
      </c>
      <c r="C1742" s="44" t="s">
        <v>5475</v>
      </c>
      <c r="D1742" s="44" t="s">
        <v>1368</v>
      </c>
      <c r="E1742" s="49" t="s">
        <v>814</v>
      </c>
      <c r="F1742" s="44" t="s">
        <v>1369</v>
      </c>
      <c r="G1742" s="44">
        <v>60.0</v>
      </c>
      <c r="H1742" s="47" t="s">
        <v>970</v>
      </c>
      <c r="I1742" s="47" t="s">
        <v>814</v>
      </c>
      <c r="J1742" s="44">
        <v>10.798519</v>
      </c>
      <c r="K1742" s="48">
        <v>106.671064</v>
      </c>
    </row>
    <row r="1743" ht="22.5" customHeight="1">
      <c r="A1743" s="44" t="s">
        <v>172</v>
      </c>
      <c r="B1743" s="44" t="s">
        <v>5476</v>
      </c>
      <c r="C1743" s="44" t="s">
        <v>4695</v>
      </c>
      <c r="D1743" s="44" t="s">
        <v>1317</v>
      </c>
      <c r="E1743" s="49" t="s">
        <v>894</v>
      </c>
      <c r="F1743" s="44" t="s">
        <v>974</v>
      </c>
      <c r="G1743" s="44">
        <v>68.0</v>
      </c>
      <c r="H1743" s="47" t="s">
        <v>970</v>
      </c>
      <c r="I1743" s="47" t="s">
        <v>894</v>
      </c>
      <c r="J1743" s="44">
        <v>10.738122</v>
      </c>
      <c r="K1743" s="48">
        <v>106.72427</v>
      </c>
    </row>
    <row r="1744" ht="22.5" customHeight="1">
      <c r="A1744" s="44" t="s">
        <v>5477</v>
      </c>
      <c r="B1744" s="44" t="s">
        <v>5478</v>
      </c>
      <c r="C1744" s="44" t="s">
        <v>5479</v>
      </c>
      <c r="D1744" s="44" t="s">
        <v>1021</v>
      </c>
      <c r="E1744" s="49" t="s">
        <v>809</v>
      </c>
      <c r="F1744" s="44" t="s">
        <v>1022</v>
      </c>
      <c r="G1744" s="44">
        <v>38.0</v>
      </c>
      <c r="H1744" s="47" t="s">
        <v>970</v>
      </c>
      <c r="I1744" s="47" t="s">
        <v>809</v>
      </c>
      <c r="J1744" s="44">
        <v>10.840666</v>
      </c>
      <c r="K1744" s="48">
        <v>106.675285</v>
      </c>
    </row>
    <row r="1745" ht="22.5" customHeight="1">
      <c r="A1745" s="44" t="s">
        <v>5480</v>
      </c>
      <c r="B1745" s="44" t="s">
        <v>5481</v>
      </c>
      <c r="C1745" s="44" t="s">
        <v>5482</v>
      </c>
      <c r="D1745" s="44" t="s">
        <v>1528</v>
      </c>
      <c r="E1745" s="49" t="s">
        <v>910</v>
      </c>
      <c r="F1745" s="44" t="s">
        <v>987</v>
      </c>
      <c r="G1745" s="44">
        <v>54.0</v>
      </c>
      <c r="H1745" s="47" t="s">
        <v>970</v>
      </c>
      <c r="I1745" s="47" t="s">
        <v>910</v>
      </c>
      <c r="J1745" s="44">
        <v>10.768239</v>
      </c>
      <c r="K1745" s="48">
        <v>106.679037</v>
      </c>
    </row>
    <row r="1746" ht="22.5" customHeight="1">
      <c r="A1746" s="44" t="s">
        <v>5483</v>
      </c>
      <c r="B1746" s="44" t="s">
        <v>5484</v>
      </c>
      <c r="C1746" s="44" t="s">
        <v>5485</v>
      </c>
      <c r="D1746" s="44" t="s">
        <v>1139</v>
      </c>
      <c r="E1746" s="49" t="s">
        <v>882</v>
      </c>
      <c r="F1746" s="44" t="s">
        <v>991</v>
      </c>
      <c r="G1746" s="44">
        <v>60.0</v>
      </c>
      <c r="H1746" s="47" t="s">
        <v>970</v>
      </c>
      <c r="I1746" s="47" t="s">
        <v>882</v>
      </c>
      <c r="J1746" s="44">
        <v>10.691096</v>
      </c>
      <c r="K1746" s="48">
        <v>106.702855</v>
      </c>
    </row>
    <row r="1747" ht="22.5" customHeight="1">
      <c r="A1747" s="44" t="s">
        <v>5486</v>
      </c>
      <c r="B1747" s="44" t="s">
        <v>5487</v>
      </c>
      <c r="C1747" s="44" t="s">
        <v>1205</v>
      </c>
      <c r="D1747" s="44" t="s">
        <v>1116</v>
      </c>
      <c r="E1747" s="49" t="s">
        <v>885</v>
      </c>
      <c r="F1747" s="44" t="s">
        <v>1117</v>
      </c>
      <c r="G1747" s="44">
        <v>60.0</v>
      </c>
      <c r="H1747" s="47" t="s">
        <v>970</v>
      </c>
      <c r="I1747" s="47" t="s">
        <v>885</v>
      </c>
      <c r="J1747" s="44">
        <v>10.741667</v>
      </c>
      <c r="K1747" s="48">
        <v>106.676389</v>
      </c>
    </row>
    <row r="1748" ht="22.5" customHeight="1">
      <c r="A1748" s="44" t="s">
        <v>46</v>
      </c>
      <c r="B1748" s="44" t="s">
        <v>5488</v>
      </c>
      <c r="C1748" s="44" t="s">
        <v>5489</v>
      </c>
      <c r="D1748" s="44" t="s">
        <v>1662</v>
      </c>
      <c r="E1748" s="49" t="s">
        <v>891</v>
      </c>
      <c r="F1748" s="44" t="s">
        <v>1125</v>
      </c>
      <c r="G1748" s="44">
        <v>30.0</v>
      </c>
      <c r="H1748" s="47" t="s">
        <v>970</v>
      </c>
      <c r="I1748" s="47" t="s">
        <v>891</v>
      </c>
      <c r="J1748" s="44">
        <v>10.952751054415</v>
      </c>
      <c r="K1748" s="48">
        <v>106.86684110601</v>
      </c>
    </row>
    <row r="1749" ht="22.5" customHeight="1">
      <c r="A1749" s="44" t="s">
        <v>5490</v>
      </c>
      <c r="B1749" s="44" t="s">
        <v>5491</v>
      </c>
      <c r="C1749" s="44" t="s">
        <v>5492</v>
      </c>
      <c r="D1749" s="44" t="s">
        <v>5493</v>
      </c>
      <c r="E1749" s="49" t="s">
        <v>891</v>
      </c>
      <c r="F1749" s="44" t="s">
        <v>1125</v>
      </c>
      <c r="G1749" s="44">
        <v>100.0</v>
      </c>
      <c r="H1749" s="47" t="s">
        <v>970</v>
      </c>
      <c r="I1749" s="47" t="s">
        <v>789</v>
      </c>
      <c r="J1749" s="44">
        <v>10.623293706679</v>
      </c>
      <c r="K1749" s="48">
        <v>106.58935485658</v>
      </c>
    </row>
    <row r="1750" ht="22.5" customHeight="1">
      <c r="A1750" s="44" t="s">
        <v>5494</v>
      </c>
      <c r="B1750" s="44" t="s">
        <v>5495</v>
      </c>
      <c r="C1750" s="44" t="s">
        <v>5496</v>
      </c>
      <c r="D1750" s="44" t="s">
        <v>1268</v>
      </c>
      <c r="E1750" s="49" t="s">
        <v>910</v>
      </c>
      <c r="F1750" s="44" t="s">
        <v>987</v>
      </c>
      <c r="G1750" s="44">
        <v>69.0</v>
      </c>
      <c r="H1750" s="47" t="s">
        <v>970</v>
      </c>
      <c r="I1750" s="47" t="s">
        <v>826</v>
      </c>
      <c r="J1750" s="44">
        <v>10.778468</v>
      </c>
      <c r="K1750" s="48">
        <v>106.690227</v>
      </c>
    </row>
    <row r="1751" ht="22.5" customHeight="1">
      <c r="A1751" s="44" t="s">
        <v>47</v>
      </c>
      <c r="B1751" s="44" t="s">
        <v>5497</v>
      </c>
      <c r="C1751" s="44" t="s">
        <v>5498</v>
      </c>
      <c r="D1751" s="44" t="s">
        <v>1236</v>
      </c>
      <c r="E1751" s="49" t="s">
        <v>891</v>
      </c>
      <c r="F1751" s="44" t="s">
        <v>1125</v>
      </c>
      <c r="G1751" s="44">
        <v>60.0</v>
      </c>
      <c r="H1751" s="47" t="s">
        <v>970</v>
      </c>
      <c r="I1751" s="47" t="s">
        <v>891</v>
      </c>
      <c r="J1751" s="44">
        <v>10.971923</v>
      </c>
      <c r="K1751" s="48">
        <v>106.890425</v>
      </c>
    </row>
    <row r="1752" ht="22.5" customHeight="1">
      <c r="A1752" s="44" t="s">
        <v>598</v>
      </c>
      <c r="B1752" s="44" t="s">
        <v>5499</v>
      </c>
      <c r="C1752" s="44" t="s">
        <v>5500</v>
      </c>
      <c r="D1752" s="44" t="s">
        <v>973</v>
      </c>
      <c r="E1752" s="49" t="s">
        <v>894</v>
      </c>
      <c r="F1752" s="44" t="s">
        <v>974</v>
      </c>
      <c r="G1752" s="44">
        <v>53.0</v>
      </c>
      <c r="H1752" s="47" t="s">
        <v>970</v>
      </c>
      <c r="I1752" s="47" t="s">
        <v>894</v>
      </c>
      <c r="J1752" s="44">
        <v>10.733472</v>
      </c>
      <c r="K1752" s="48">
        <v>106.710183</v>
      </c>
    </row>
    <row r="1753" ht="22.5" customHeight="1">
      <c r="A1753" s="44" t="s">
        <v>5501</v>
      </c>
      <c r="B1753" s="44" t="s">
        <v>5502</v>
      </c>
      <c r="C1753" s="44" t="s">
        <v>2512</v>
      </c>
      <c r="D1753" s="44" t="s">
        <v>1939</v>
      </c>
      <c r="E1753" s="49" t="s">
        <v>895</v>
      </c>
      <c r="F1753" s="44" t="s">
        <v>1121</v>
      </c>
      <c r="G1753" s="44">
        <v>96.0</v>
      </c>
      <c r="H1753" s="47" t="s">
        <v>970</v>
      </c>
      <c r="I1753" s="47" t="s">
        <v>895</v>
      </c>
      <c r="J1753" s="44">
        <v>10.861369</v>
      </c>
      <c r="K1753" s="48">
        <v>106.779868</v>
      </c>
    </row>
    <row r="1754" ht="22.5" customHeight="1">
      <c r="A1754" s="44" t="s">
        <v>5503</v>
      </c>
      <c r="B1754" s="44" t="s">
        <v>5504</v>
      </c>
      <c r="C1754" s="44" t="s">
        <v>5505</v>
      </c>
      <c r="D1754" s="44" t="s">
        <v>1359</v>
      </c>
      <c r="E1754" s="49" t="s">
        <v>813</v>
      </c>
      <c r="F1754" s="44" t="s">
        <v>1015</v>
      </c>
      <c r="G1754" s="44">
        <v>46.0</v>
      </c>
      <c r="H1754" s="47" t="s">
        <v>970</v>
      </c>
      <c r="I1754" s="47" t="s">
        <v>813</v>
      </c>
      <c r="J1754" s="44">
        <v>10.752474</v>
      </c>
      <c r="K1754" s="48">
        <v>106.664489</v>
      </c>
    </row>
    <row r="1755" ht="22.5" customHeight="1">
      <c r="A1755" s="44" t="s">
        <v>436</v>
      </c>
      <c r="B1755" s="44" t="s">
        <v>5506</v>
      </c>
      <c r="C1755" s="44" t="s">
        <v>5507</v>
      </c>
      <c r="D1755" s="44" t="s">
        <v>1621</v>
      </c>
      <c r="E1755" s="49" t="s">
        <v>885</v>
      </c>
      <c r="F1755" s="44" t="s">
        <v>1117</v>
      </c>
      <c r="G1755" s="44">
        <v>60.0</v>
      </c>
      <c r="H1755" s="47" t="s">
        <v>970</v>
      </c>
      <c r="I1755" s="47" t="s">
        <v>885</v>
      </c>
      <c r="J1755" s="44">
        <v>10.724336172013</v>
      </c>
      <c r="K1755" s="48">
        <v>106.65583045331</v>
      </c>
    </row>
    <row r="1756" ht="22.5" customHeight="1">
      <c r="A1756" s="44" t="s">
        <v>437</v>
      </c>
      <c r="B1756" s="44" t="s">
        <v>5508</v>
      </c>
      <c r="C1756" s="44" t="s">
        <v>5509</v>
      </c>
      <c r="D1756" s="44" t="s">
        <v>1111</v>
      </c>
      <c r="E1756" s="49" t="s">
        <v>820</v>
      </c>
      <c r="F1756" s="44" t="s">
        <v>1112</v>
      </c>
      <c r="G1756" s="44">
        <v>69.0</v>
      </c>
      <c r="H1756" s="47" t="s">
        <v>970</v>
      </c>
      <c r="I1756" s="47" t="s">
        <v>820</v>
      </c>
      <c r="J1756" s="44">
        <v>10.776499</v>
      </c>
      <c r="K1756" s="48">
        <v>106.602817</v>
      </c>
    </row>
    <row r="1757" ht="22.5" customHeight="1">
      <c r="A1757" s="44" t="s">
        <v>438</v>
      </c>
      <c r="B1757" s="44" t="s">
        <v>5510</v>
      </c>
      <c r="C1757" s="44" t="s">
        <v>5511</v>
      </c>
      <c r="D1757" s="44" t="s">
        <v>1129</v>
      </c>
      <c r="E1757" s="49" t="s">
        <v>910</v>
      </c>
      <c r="F1757" s="44" t="s">
        <v>987</v>
      </c>
      <c r="G1757" s="50">
        <v>60.0</v>
      </c>
      <c r="H1757" s="47" t="s">
        <v>970</v>
      </c>
      <c r="I1757" s="47" t="s">
        <v>910</v>
      </c>
      <c r="J1757" s="44">
        <v>10.780253</v>
      </c>
      <c r="K1757" s="48">
        <v>106.668419</v>
      </c>
    </row>
    <row r="1758" ht="22.5" customHeight="1">
      <c r="A1758" s="44" t="s">
        <v>439</v>
      </c>
      <c r="B1758" s="44" t="s">
        <v>5512</v>
      </c>
      <c r="C1758" s="44" t="s">
        <v>5513</v>
      </c>
      <c r="D1758" s="44" t="s">
        <v>1506</v>
      </c>
      <c r="E1758" s="49" t="s">
        <v>897</v>
      </c>
      <c r="F1758" s="44" t="s">
        <v>1027</v>
      </c>
      <c r="G1758" s="44">
        <v>75.0</v>
      </c>
      <c r="H1758" s="47" t="s">
        <v>970</v>
      </c>
      <c r="I1758" s="47" t="s">
        <v>797</v>
      </c>
      <c r="J1758" s="44">
        <v>10.873196100633</v>
      </c>
      <c r="K1758" s="48">
        <v>106.62143130002</v>
      </c>
    </row>
    <row r="1759" ht="22.5" customHeight="1">
      <c r="A1759" s="44" t="s">
        <v>440</v>
      </c>
      <c r="B1759" s="44" t="s">
        <v>5514</v>
      </c>
      <c r="C1759" s="44" t="s">
        <v>5515</v>
      </c>
      <c r="D1759" s="44" t="s">
        <v>1067</v>
      </c>
      <c r="E1759" s="49" t="s">
        <v>897</v>
      </c>
      <c r="F1759" s="44" t="s">
        <v>1027</v>
      </c>
      <c r="G1759" s="44">
        <v>75.0</v>
      </c>
      <c r="H1759" s="47" t="s">
        <v>970</v>
      </c>
      <c r="I1759" s="47" t="s">
        <v>897</v>
      </c>
      <c r="J1759" s="44">
        <v>10.850513224277</v>
      </c>
      <c r="K1759" s="48">
        <v>106.63678345144</v>
      </c>
    </row>
    <row r="1760" ht="22.5" customHeight="1">
      <c r="A1760" s="44" t="s">
        <v>205</v>
      </c>
      <c r="B1760" s="44" t="s">
        <v>5516</v>
      </c>
      <c r="C1760" s="44" t="s">
        <v>5517</v>
      </c>
      <c r="D1760" s="44" t="s">
        <v>1084</v>
      </c>
      <c r="E1760" s="49" t="s">
        <v>898</v>
      </c>
      <c r="F1760" s="44" t="s">
        <v>1037</v>
      </c>
      <c r="G1760" s="44">
        <v>74.0</v>
      </c>
      <c r="H1760" s="47" t="s">
        <v>970</v>
      </c>
      <c r="I1760" s="47" t="s">
        <v>898</v>
      </c>
      <c r="J1760" s="44">
        <v>10.777437</v>
      </c>
      <c r="K1760" s="48">
        <v>106.764638</v>
      </c>
    </row>
    <row r="1761" ht="22.5" customHeight="1">
      <c r="A1761" s="44" t="s">
        <v>441</v>
      </c>
      <c r="B1761" s="44" t="s">
        <v>5518</v>
      </c>
      <c r="C1761" s="44" t="s">
        <v>5519</v>
      </c>
      <c r="D1761" s="44" t="s">
        <v>1317</v>
      </c>
      <c r="E1761" s="49" t="s">
        <v>894</v>
      </c>
      <c r="F1761" s="44" t="s">
        <v>974</v>
      </c>
      <c r="G1761" s="44">
        <v>68.0</v>
      </c>
      <c r="H1761" s="47" t="s">
        <v>970</v>
      </c>
      <c r="I1761" s="47" t="s">
        <v>894</v>
      </c>
      <c r="J1761" s="44">
        <v>10.740418</v>
      </c>
      <c r="K1761" s="48">
        <v>106.730095</v>
      </c>
    </row>
    <row r="1762" ht="22.5" customHeight="1">
      <c r="A1762" s="44" t="s">
        <v>442</v>
      </c>
      <c r="B1762" s="44" t="s">
        <v>5520</v>
      </c>
      <c r="C1762" s="44" t="s">
        <v>5521</v>
      </c>
      <c r="D1762" s="44" t="s">
        <v>1120</v>
      </c>
      <c r="E1762" s="49" t="s">
        <v>895</v>
      </c>
      <c r="F1762" s="44" t="s">
        <v>1121</v>
      </c>
      <c r="G1762" s="44">
        <v>72.0</v>
      </c>
      <c r="H1762" s="47" t="s">
        <v>970</v>
      </c>
      <c r="I1762" s="47" t="s">
        <v>895</v>
      </c>
      <c r="J1762" s="44">
        <v>10.8498</v>
      </c>
      <c r="K1762" s="48">
        <v>106.811255</v>
      </c>
    </row>
    <row r="1763" ht="22.5" customHeight="1">
      <c r="A1763" s="44" t="s">
        <v>443</v>
      </c>
      <c r="B1763" s="44" t="s">
        <v>5522</v>
      </c>
      <c r="C1763" s="44" t="s">
        <v>5523</v>
      </c>
      <c r="D1763" s="44" t="s">
        <v>2374</v>
      </c>
      <c r="E1763" s="49" t="s">
        <v>897</v>
      </c>
      <c r="F1763" s="44" t="s">
        <v>1027</v>
      </c>
      <c r="G1763" s="44">
        <v>68.0</v>
      </c>
      <c r="H1763" s="47" t="s">
        <v>970</v>
      </c>
      <c r="I1763" s="47" t="s">
        <v>897</v>
      </c>
      <c r="J1763" s="44">
        <v>10.852763</v>
      </c>
      <c r="K1763" s="48">
        <v>106.660391</v>
      </c>
    </row>
    <row r="1764" ht="22.5" customHeight="1">
      <c r="A1764" s="44" t="s">
        <v>444</v>
      </c>
      <c r="B1764" s="44" t="s">
        <v>5524</v>
      </c>
      <c r="C1764" s="44" t="s">
        <v>5525</v>
      </c>
      <c r="D1764" s="44" t="s">
        <v>1571</v>
      </c>
      <c r="E1764" s="49" t="s">
        <v>797</v>
      </c>
      <c r="F1764" s="44" t="s">
        <v>1409</v>
      </c>
      <c r="G1764" s="44">
        <v>60.0</v>
      </c>
      <c r="H1764" s="47" t="s">
        <v>970</v>
      </c>
      <c r="I1764" s="47" t="s">
        <v>819</v>
      </c>
      <c r="J1764" s="44">
        <v>10.845806209977</v>
      </c>
      <c r="K1764" s="48">
        <v>106.59299599758</v>
      </c>
    </row>
    <row r="1765" ht="22.5" customHeight="1">
      <c r="A1765" s="44" t="s">
        <v>120</v>
      </c>
      <c r="B1765" s="44" t="s">
        <v>5526</v>
      </c>
      <c r="C1765" s="44" t="s">
        <v>5527</v>
      </c>
      <c r="D1765" s="44" t="s">
        <v>1104</v>
      </c>
      <c r="E1765" s="49" t="s">
        <v>893</v>
      </c>
      <c r="F1765" s="44" t="s">
        <v>1088</v>
      </c>
      <c r="G1765" s="44">
        <v>60.0</v>
      </c>
      <c r="H1765" s="47" t="s">
        <v>970</v>
      </c>
      <c r="I1765" s="47" t="s">
        <v>893</v>
      </c>
      <c r="J1765" s="44">
        <v>10.782635</v>
      </c>
      <c r="K1765" s="48">
        <v>106.626745</v>
      </c>
    </row>
    <row r="1766" ht="22.5" customHeight="1">
      <c r="A1766" s="44" t="s">
        <v>313</v>
      </c>
      <c r="B1766" s="44" t="s">
        <v>5528</v>
      </c>
      <c r="C1766" s="44" t="s">
        <v>5529</v>
      </c>
      <c r="D1766" s="44" t="s">
        <v>2509</v>
      </c>
      <c r="E1766" s="49" t="s">
        <v>789</v>
      </c>
      <c r="F1766" s="44" t="s">
        <v>1168</v>
      </c>
      <c r="G1766" s="44">
        <v>100.0</v>
      </c>
      <c r="H1766" s="47" t="s">
        <v>970</v>
      </c>
      <c r="I1766" s="47" t="s">
        <v>789</v>
      </c>
      <c r="J1766" s="44">
        <v>10.656465953215</v>
      </c>
      <c r="K1766" s="48">
        <v>106.58411620925</v>
      </c>
    </row>
    <row r="1767" ht="22.5" customHeight="1">
      <c r="A1767" s="44" t="s">
        <v>315</v>
      </c>
      <c r="B1767" s="44" t="s">
        <v>5530</v>
      </c>
      <c r="C1767" s="44" t="s">
        <v>5531</v>
      </c>
      <c r="D1767" s="44" t="s">
        <v>1621</v>
      </c>
      <c r="E1767" s="49" t="s">
        <v>885</v>
      </c>
      <c r="F1767" s="44" t="s">
        <v>1117</v>
      </c>
      <c r="G1767" s="44">
        <v>60.0</v>
      </c>
      <c r="H1767" s="47" t="s">
        <v>970</v>
      </c>
      <c r="I1767" s="47" t="s">
        <v>885</v>
      </c>
      <c r="J1767" s="44">
        <v>10.730097699222</v>
      </c>
      <c r="K1767" s="48">
        <v>106.67627605457</v>
      </c>
    </row>
    <row r="1768" ht="22.5" customHeight="1">
      <c r="A1768" s="44" t="s">
        <v>317</v>
      </c>
      <c r="B1768" s="44" t="s">
        <v>5532</v>
      </c>
      <c r="C1768" s="44" t="s">
        <v>5533</v>
      </c>
      <c r="D1768" s="44" t="s">
        <v>1167</v>
      </c>
      <c r="E1768" s="49" t="s">
        <v>789</v>
      </c>
      <c r="F1768" s="44" t="s">
        <v>1168</v>
      </c>
      <c r="G1768" s="44">
        <v>69.0</v>
      </c>
      <c r="H1768" s="47" t="s">
        <v>970</v>
      </c>
      <c r="I1768" s="47" t="s">
        <v>789</v>
      </c>
      <c r="J1768" s="44">
        <v>10.725202</v>
      </c>
      <c r="K1768" s="48">
        <v>106.609356</v>
      </c>
    </row>
    <row r="1769" ht="22.5" customHeight="1">
      <c r="A1769" s="44" t="s">
        <v>318</v>
      </c>
      <c r="B1769" s="44" t="s">
        <v>5534</v>
      </c>
      <c r="C1769" s="44" t="s">
        <v>5535</v>
      </c>
      <c r="D1769" s="44" t="s">
        <v>1111</v>
      </c>
      <c r="E1769" s="49" t="s">
        <v>820</v>
      </c>
      <c r="F1769" s="44" t="s">
        <v>1112</v>
      </c>
      <c r="G1769" s="44">
        <v>69.0</v>
      </c>
      <c r="H1769" s="47" t="s">
        <v>970</v>
      </c>
      <c r="I1769" s="47" t="s">
        <v>820</v>
      </c>
      <c r="J1769" s="44">
        <v>10.775844</v>
      </c>
      <c r="K1769" s="48">
        <v>106.613314</v>
      </c>
    </row>
    <row r="1770" ht="22.5" customHeight="1">
      <c r="A1770" s="44" t="s">
        <v>322</v>
      </c>
      <c r="B1770" s="44" t="s">
        <v>5536</v>
      </c>
      <c r="C1770" s="44" t="s">
        <v>5537</v>
      </c>
      <c r="D1770" s="44" t="s">
        <v>5538</v>
      </c>
      <c r="E1770" s="49" t="s">
        <v>820</v>
      </c>
      <c r="F1770" s="44" t="s">
        <v>1112</v>
      </c>
      <c r="G1770" s="44">
        <v>99.0</v>
      </c>
      <c r="H1770" s="47" t="s">
        <v>970</v>
      </c>
      <c r="I1770" s="47" t="s">
        <v>820</v>
      </c>
      <c r="J1770" s="44">
        <v>10.787465</v>
      </c>
      <c r="K1770" s="48">
        <v>106.5981</v>
      </c>
    </row>
    <row r="1771" ht="22.5" customHeight="1">
      <c r="A1771" s="44" t="s">
        <v>323</v>
      </c>
      <c r="B1771" s="44" t="s">
        <v>5539</v>
      </c>
      <c r="C1771" s="44" t="s">
        <v>3150</v>
      </c>
      <c r="D1771" s="44" t="s">
        <v>2200</v>
      </c>
      <c r="E1771" s="49" t="s">
        <v>820</v>
      </c>
      <c r="F1771" s="44" t="s">
        <v>1112</v>
      </c>
      <c r="G1771" s="44">
        <v>69.0</v>
      </c>
      <c r="H1771" s="47" t="s">
        <v>970</v>
      </c>
      <c r="I1771" s="47" t="s">
        <v>820</v>
      </c>
      <c r="J1771" s="44">
        <v>10.771665</v>
      </c>
      <c r="K1771" s="48">
        <v>106.58654</v>
      </c>
    </row>
    <row r="1772" ht="22.5" customHeight="1">
      <c r="A1772" s="44" t="s">
        <v>325</v>
      </c>
      <c r="B1772" s="44" t="s">
        <v>5540</v>
      </c>
      <c r="C1772" s="44" t="s">
        <v>5541</v>
      </c>
      <c r="D1772" s="44" t="s">
        <v>1042</v>
      </c>
      <c r="E1772" s="49" t="s">
        <v>901</v>
      </c>
      <c r="F1772" s="44" t="s">
        <v>1562</v>
      </c>
      <c r="G1772" s="44">
        <v>60.0</v>
      </c>
      <c r="H1772" s="47" t="s">
        <v>970</v>
      </c>
      <c r="I1772" s="47" t="s">
        <v>901</v>
      </c>
      <c r="J1772" s="44">
        <v>10.803122</v>
      </c>
      <c r="K1772" s="48">
        <v>106.709715</v>
      </c>
    </row>
    <row r="1773" ht="22.5" customHeight="1">
      <c r="A1773" s="44" t="s">
        <v>327</v>
      </c>
      <c r="B1773" s="44" t="s">
        <v>5542</v>
      </c>
      <c r="C1773" s="44" t="s">
        <v>5543</v>
      </c>
      <c r="D1773" s="44" t="s">
        <v>1811</v>
      </c>
      <c r="E1773" s="49" t="s">
        <v>889</v>
      </c>
      <c r="F1773" s="44" t="s">
        <v>1043</v>
      </c>
      <c r="G1773" s="44">
        <v>60.0</v>
      </c>
      <c r="H1773" s="47" t="s">
        <v>970</v>
      </c>
      <c r="I1773" s="47" t="s">
        <v>889</v>
      </c>
      <c r="J1773" s="44">
        <v>10.821663329731</v>
      </c>
      <c r="K1773" s="48">
        <v>106.70338800415</v>
      </c>
    </row>
    <row r="1774" ht="22.5" customHeight="1">
      <c r="A1774" s="44" t="s">
        <v>329</v>
      </c>
      <c r="B1774" s="44" t="s">
        <v>5544</v>
      </c>
      <c r="C1774" s="44" t="s">
        <v>5545</v>
      </c>
      <c r="D1774" s="44" t="s">
        <v>1820</v>
      </c>
      <c r="E1774" s="49" t="s">
        <v>850</v>
      </c>
      <c r="F1774" s="44" t="s">
        <v>1057</v>
      </c>
      <c r="G1774" s="44">
        <v>60.0</v>
      </c>
      <c r="H1774" s="47" t="s">
        <v>970</v>
      </c>
      <c r="I1774" s="47" t="s">
        <v>850</v>
      </c>
      <c r="J1774" s="44">
        <v>10.970664</v>
      </c>
      <c r="K1774" s="48">
        <v>106.482703</v>
      </c>
    </row>
    <row r="1775" ht="22.5" customHeight="1">
      <c r="A1775" s="44" t="s">
        <v>333</v>
      </c>
      <c r="B1775" s="44" t="s">
        <v>5546</v>
      </c>
      <c r="C1775" s="44" t="s">
        <v>5547</v>
      </c>
      <c r="D1775" s="44" t="s">
        <v>1820</v>
      </c>
      <c r="E1775" s="49" t="s">
        <v>850</v>
      </c>
      <c r="F1775" s="44" t="s">
        <v>1057</v>
      </c>
      <c r="G1775" s="44">
        <v>60.0</v>
      </c>
      <c r="H1775" s="47" t="s">
        <v>970</v>
      </c>
      <c r="I1775" s="47" t="s">
        <v>850</v>
      </c>
      <c r="J1775" s="44">
        <v>10.977278</v>
      </c>
      <c r="K1775" s="48">
        <v>106.502066</v>
      </c>
    </row>
    <row r="1776" ht="22.5" customHeight="1">
      <c r="A1776" s="44" t="s">
        <v>336</v>
      </c>
      <c r="B1776" s="44" t="s">
        <v>5548</v>
      </c>
      <c r="C1776" s="44" t="s">
        <v>5549</v>
      </c>
      <c r="D1776" s="44" t="s">
        <v>1345</v>
      </c>
      <c r="E1776" s="49" t="s">
        <v>822</v>
      </c>
      <c r="F1776" s="44" t="s">
        <v>1284</v>
      </c>
      <c r="G1776" s="44">
        <v>60.0</v>
      </c>
      <c r="H1776" s="47" t="s">
        <v>970</v>
      </c>
      <c r="I1776" s="47" t="s">
        <v>822</v>
      </c>
      <c r="J1776" s="44">
        <v>10.75998</v>
      </c>
      <c r="K1776" s="48">
        <v>106.660908</v>
      </c>
    </row>
    <row r="1777" ht="22.5" customHeight="1">
      <c r="A1777" s="44" t="s">
        <v>337</v>
      </c>
      <c r="B1777" s="44" t="s">
        <v>5550</v>
      </c>
      <c r="C1777" s="44" t="s">
        <v>5551</v>
      </c>
      <c r="D1777" s="44" t="s">
        <v>1711</v>
      </c>
      <c r="E1777" s="49" t="s">
        <v>897</v>
      </c>
      <c r="F1777" s="44" t="s">
        <v>1027</v>
      </c>
      <c r="G1777" s="44">
        <v>75.0</v>
      </c>
      <c r="H1777" s="47" t="s">
        <v>970</v>
      </c>
      <c r="I1777" s="47" t="s">
        <v>883</v>
      </c>
      <c r="J1777" s="44">
        <v>10.885834</v>
      </c>
      <c r="K1777" s="48">
        <v>106.682429</v>
      </c>
    </row>
    <row r="1778" ht="22.5" customHeight="1">
      <c r="A1778" s="44" t="s">
        <v>339</v>
      </c>
      <c r="B1778" s="44" t="s">
        <v>5552</v>
      </c>
      <c r="C1778" s="44" t="s">
        <v>5553</v>
      </c>
      <c r="D1778" s="44" t="s">
        <v>1132</v>
      </c>
      <c r="E1778" s="49" t="s">
        <v>897</v>
      </c>
      <c r="F1778" s="44" t="s">
        <v>1027</v>
      </c>
      <c r="G1778" s="44">
        <v>75.0</v>
      </c>
      <c r="H1778" s="47" t="s">
        <v>970</v>
      </c>
      <c r="I1778" s="47" t="s">
        <v>897</v>
      </c>
      <c r="J1778" s="44">
        <v>10.867929003113</v>
      </c>
      <c r="K1778" s="48">
        <v>106.64936196516</v>
      </c>
    </row>
    <row r="1779" ht="22.5" customHeight="1">
      <c r="A1779" s="44" t="s">
        <v>340</v>
      </c>
      <c r="B1779" s="44" t="s">
        <v>5554</v>
      </c>
      <c r="C1779" s="44" t="s">
        <v>5555</v>
      </c>
      <c r="D1779" s="44" t="s">
        <v>1506</v>
      </c>
      <c r="E1779" s="49" t="s">
        <v>897</v>
      </c>
      <c r="F1779" s="44" t="s">
        <v>1027</v>
      </c>
      <c r="G1779" s="50">
        <v>75.0</v>
      </c>
      <c r="H1779" s="47" t="s">
        <v>970</v>
      </c>
      <c r="I1779" s="47" t="s">
        <v>797</v>
      </c>
      <c r="J1779" s="44">
        <v>10.873707273229</v>
      </c>
      <c r="K1779" s="48">
        <v>106.62172315283</v>
      </c>
    </row>
    <row r="1780" ht="22.5" customHeight="1">
      <c r="A1780" s="44" t="s">
        <v>341</v>
      </c>
      <c r="B1780" s="44" t="s">
        <v>5556</v>
      </c>
      <c r="C1780" s="44" t="s">
        <v>5557</v>
      </c>
      <c r="D1780" s="44" t="s">
        <v>1067</v>
      </c>
      <c r="E1780" s="49" t="s">
        <v>897</v>
      </c>
      <c r="F1780" s="44" t="s">
        <v>1027</v>
      </c>
      <c r="G1780" s="44">
        <v>75.0</v>
      </c>
      <c r="H1780" s="47" t="s">
        <v>970</v>
      </c>
      <c r="I1780" s="47" t="s">
        <v>896</v>
      </c>
      <c r="J1780" s="44">
        <v>10.839257</v>
      </c>
      <c r="K1780" s="48">
        <v>106.629709</v>
      </c>
    </row>
    <row r="1781" ht="22.5" customHeight="1">
      <c r="A1781" s="44" t="s">
        <v>206</v>
      </c>
      <c r="B1781" s="44" t="s">
        <v>5558</v>
      </c>
      <c r="C1781" s="44" t="s">
        <v>5559</v>
      </c>
      <c r="D1781" s="44" t="s">
        <v>1030</v>
      </c>
      <c r="E1781" s="49" t="s">
        <v>887</v>
      </c>
      <c r="F1781" s="44" t="s">
        <v>1031</v>
      </c>
      <c r="G1781" s="44">
        <v>74.0</v>
      </c>
      <c r="H1781" s="47" t="s">
        <v>970</v>
      </c>
      <c r="I1781" s="47" t="s">
        <v>887</v>
      </c>
      <c r="J1781" s="44">
        <v>10.78759</v>
      </c>
      <c r="K1781" s="48">
        <v>106.733737</v>
      </c>
    </row>
    <row r="1782" ht="22.5" customHeight="1">
      <c r="A1782" s="44" t="s">
        <v>342</v>
      </c>
      <c r="B1782" s="44" t="s">
        <v>5560</v>
      </c>
      <c r="C1782" s="44" t="s">
        <v>5561</v>
      </c>
      <c r="D1782" s="44" t="s">
        <v>3171</v>
      </c>
      <c r="E1782" s="49" t="s">
        <v>804</v>
      </c>
      <c r="F1782" s="44" t="s">
        <v>1497</v>
      </c>
      <c r="G1782" s="44">
        <v>60.0</v>
      </c>
      <c r="H1782" s="47" t="s">
        <v>970</v>
      </c>
      <c r="I1782" s="47" t="s">
        <v>804</v>
      </c>
      <c r="J1782" s="44">
        <v>10.759731</v>
      </c>
      <c r="K1782" s="48">
        <v>106.698936</v>
      </c>
    </row>
    <row r="1783" ht="22.5" customHeight="1">
      <c r="A1783" s="44" t="s">
        <v>347</v>
      </c>
      <c r="B1783" s="44" t="s">
        <v>5562</v>
      </c>
      <c r="C1783" s="44" t="s">
        <v>5563</v>
      </c>
      <c r="D1783" s="44" t="s">
        <v>1741</v>
      </c>
      <c r="E1783" s="49" t="s">
        <v>882</v>
      </c>
      <c r="F1783" s="44" t="s">
        <v>991</v>
      </c>
      <c r="G1783" s="44">
        <v>68.0</v>
      </c>
      <c r="H1783" s="47" t="s">
        <v>970</v>
      </c>
      <c r="I1783" s="47" t="s">
        <v>882</v>
      </c>
      <c r="J1783" s="44">
        <v>10.717899</v>
      </c>
      <c r="K1783" s="48">
        <v>106.736876</v>
      </c>
    </row>
    <row r="1784" ht="22.5" customHeight="1">
      <c r="A1784" s="44" t="s">
        <v>173</v>
      </c>
      <c r="B1784" s="44" t="s">
        <v>5564</v>
      </c>
      <c r="C1784" s="44" t="s">
        <v>5565</v>
      </c>
      <c r="D1784" s="44" t="s">
        <v>990</v>
      </c>
      <c r="E1784" s="49" t="s">
        <v>894</v>
      </c>
      <c r="F1784" s="44" t="s">
        <v>974</v>
      </c>
      <c r="G1784" s="44">
        <v>68.0</v>
      </c>
      <c r="H1784" s="47" t="s">
        <v>970</v>
      </c>
      <c r="I1784" s="47" t="s">
        <v>894</v>
      </c>
      <c r="J1784" s="44">
        <v>10.737861</v>
      </c>
      <c r="K1784" s="48">
        <v>106.720493</v>
      </c>
    </row>
    <row r="1785" ht="22.5" customHeight="1">
      <c r="A1785" s="44" t="s">
        <v>349</v>
      </c>
      <c r="B1785" s="44" t="s">
        <v>5566</v>
      </c>
      <c r="C1785" s="44" t="s">
        <v>3175</v>
      </c>
      <c r="D1785" s="44" t="s">
        <v>1116</v>
      </c>
      <c r="E1785" s="49" t="s">
        <v>811</v>
      </c>
      <c r="F1785" s="44" t="s">
        <v>2625</v>
      </c>
      <c r="G1785" s="44">
        <v>60.0</v>
      </c>
      <c r="H1785" s="47" t="s">
        <v>970</v>
      </c>
      <c r="I1785" s="47" t="s">
        <v>811</v>
      </c>
      <c r="J1785" s="44">
        <v>10.741573</v>
      </c>
      <c r="K1785" s="48">
        <v>106.68845</v>
      </c>
    </row>
    <row r="1786" ht="22.5" customHeight="1">
      <c r="A1786" s="44" t="s">
        <v>351</v>
      </c>
      <c r="B1786" s="44" t="s">
        <v>5567</v>
      </c>
      <c r="C1786" s="44" t="s">
        <v>5568</v>
      </c>
      <c r="D1786" s="44" t="s">
        <v>1478</v>
      </c>
      <c r="E1786" s="49" t="s">
        <v>899</v>
      </c>
      <c r="F1786" s="44" t="s">
        <v>1479</v>
      </c>
      <c r="G1786" s="44">
        <v>72.0</v>
      </c>
      <c r="H1786" s="47" t="s">
        <v>970</v>
      </c>
      <c r="I1786" s="47" t="s">
        <v>899</v>
      </c>
      <c r="J1786" s="44">
        <v>10.828484</v>
      </c>
      <c r="K1786" s="48">
        <v>106.768506</v>
      </c>
    </row>
    <row r="1787" ht="22.5" customHeight="1">
      <c r="A1787" s="44" t="s">
        <v>353</v>
      </c>
      <c r="B1787" s="44" t="s">
        <v>5569</v>
      </c>
      <c r="C1787" s="44" t="s">
        <v>5570</v>
      </c>
      <c r="D1787" s="44" t="s">
        <v>1120</v>
      </c>
      <c r="E1787" s="49" t="s">
        <v>895</v>
      </c>
      <c r="F1787" s="44" t="s">
        <v>1121</v>
      </c>
      <c r="G1787" s="44">
        <v>102.0</v>
      </c>
      <c r="H1787" s="47" t="s">
        <v>970</v>
      </c>
      <c r="I1787" s="47" t="s">
        <v>895</v>
      </c>
      <c r="J1787" s="44">
        <v>10.85295</v>
      </c>
      <c r="K1787" s="48">
        <v>106.79217</v>
      </c>
    </row>
    <row r="1788" ht="22.5" customHeight="1">
      <c r="A1788" s="44" t="s">
        <v>358</v>
      </c>
      <c r="B1788" s="44" t="s">
        <v>5571</v>
      </c>
      <c r="C1788" s="44" t="s">
        <v>5572</v>
      </c>
      <c r="D1788" s="44" t="s">
        <v>1021</v>
      </c>
      <c r="E1788" s="49" t="s">
        <v>809</v>
      </c>
      <c r="F1788" s="44" t="s">
        <v>1022</v>
      </c>
      <c r="G1788" s="44">
        <v>68.0</v>
      </c>
      <c r="H1788" s="47" t="s">
        <v>970</v>
      </c>
      <c r="I1788" s="47" t="s">
        <v>809</v>
      </c>
      <c r="J1788" s="44">
        <v>10.834972</v>
      </c>
      <c r="K1788" s="48">
        <v>106.665526</v>
      </c>
    </row>
    <row r="1789" ht="22.5" customHeight="1">
      <c r="A1789" s="44" t="s">
        <v>359</v>
      </c>
      <c r="B1789" s="44" t="s">
        <v>5573</v>
      </c>
      <c r="C1789" s="44" t="s">
        <v>5574</v>
      </c>
      <c r="D1789" s="44" t="s">
        <v>1895</v>
      </c>
      <c r="E1789" s="49" t="s">
        <v>897</v>
      </c>
      <c r="F1789" s="44" t="s">
        <v>1027</v>
      </c>
      <c r="G1789" s="44">
        <v>68.0</v>
      </c>
      <c r="H1789" s="47" t="s">
        <v>970</v>
      </c>
      <c r="I1789" s="47" t="s">
        <v>897</v>
      </c>
      <c r="J1789" s="44">
        <v>10.844937</v>
      </c>
      <c r="K1789" s="48">
        <v>106.639036</v>
      </c>
    </row>
    <row r="1790" ht="22.5" customHeight="1">
      <c r="A1790" s="44" t="s">
        <v>360</v>
      </c>
      <c r="B1790" s="44" t="s">
        <v>5575</v>
      </c>
      <c r="C1790" s="44" t="s">
        <v>5576</v>
      </c>
      <c r="D1790" s="44" t="s">
        <v>1668</v>
      </c>
      <c r="E1790" s="49" t="s">
        <v>797</v>
      </c>
      <c r="F1790" s="44" t="s">
        <v>1409</v>
      </c>
      <c r="G1790" s="44">
        <v>60.0</v>
      </c>
      <c r="H1790" s="47" t="s">
        <v>970</v>
      </c>
      <c r="I1790" s="47" t="s">
        <v>797</v>
      </c>
      <c r="J1790" s="44">
        <v>10.891154589265</v>
      </c>
      <c r="K1790" s="48">
        <v>106.61420565441</v>
      </c>
    </row>
    <row r="1791" ht="22.5" customHeight="1">
      <c r="A1791" s="44" t="s">
        <v>364</v>
      </c>
      <c r="B1791" s="44" t="s">
        <v>5577</v>
      </c>
      <c r="C1791" s="44" t="s">
        <v>5578</v>
      </c>
      <c r="D1791" s="44" t="s">
        <v>1571</v>
      </c>
      <c r="E1791" s="49" t="s">
        <v>797</v>
      </c>
      <c r="F1791" s="44" t="s">
        <v>1409</v>
      </c>
      <c r="G1791" s="44">
        <v>60.0</v>
      </c>
      <c r="H1791" s="47" t="s">
        <v>970</v>
      </c>
      <c r="I1791" s="47" t="s">
        <v>797</v>
      </c>
      <c r="J1791" s="44">
        <v>10.852922155064</v>
      </c>
      <c r="K1791" s="48">
        <v>106.58394185458</v>
      </c>
    </row>
    <row r="1792" ht="22.5" customHeight="1">
      <c r="A1792" s="44" t="s">
        <v>368</v>
      </c>
      <c r="B1792" s="44" t="s">
        <v>5579</v>
      </c>
      <c r="C1792" s="44" t="s">
        <v>5580</v>
      </c>
      <c r="D1792" s="44" t="s">
        <v>969</v>
      </c>
      <c r="E1792" s="49" t="s">
        <v>893</v>
      </c>
      <c r="F1792" s="44" t="s">
        <v>1088</v>
      </c>
      <c r="G1792" s="44">
        <v>60.0</v>
      </c>
      <c r="H1792" s="47" t="s">
        <v>970</v>
      </c>
      <c r="I1792" s="47" t="s">
        <v>893</v>
      </c>
      <c r="J1792" s="44">
        <v>10.792123</v>
      </c>
      <c r="K1792" s="48">
        <v>106.64274</v>
      </c>
    </row>
    <row r="1793" ht="22.5" customHeight="1">
      <c r="A1793" s="44" t="s">
        <v>369</v>
      </c>
      <c r="B1793" s="44" t="s">
        <v>5581</v>
      </c>
      <c r="C1793" s="44" t="s">
        <v>5582</v>
      </c>
      <c r="D1793" s="44" t="s">
        <v>1929</v>
      </c>
      <c r="E1793" s="49" t="s">
        <v>806</v>
      </c>
      <c r="F1793" s="44" t="s">
        <v>1500</v>
      </c>
      <c r="G1793" s="44">
        <v>60.0</v>
      </c>
      <c r="H1793" s="47" t="s">
        <v>970</v>
      </c>
      <c r="I1793" s="47" t="s">
        <v>806</v>
      </c>
      <c r="J1793" s="44">
        <v>10.787693</v>
      </c>
      <c r="K1793" s="48">
        <v>106.66343</v>
      </c>
    </row>
    <row r="1794" ht="22.5" customHeight="1">
      <c r="A1794" s="44" t="s">
        <v>370</v>
      </c>
      <c r="B1794" s="44" t="s">
        <v>5583</v>
      </c>
      <c r="C1794" s="44" t="s">
        <v>5584</v>
      </c>
      <c r="D1794" s="44" t="s">
        <v>1929</v>
      </c>
      <c r="E1794" s="49" t="s">
        <v>806</v>
      </c>
      <c r="F1794" s="44" t="s">
        <v>1500</v>
      </c>
      <c r="G1794" s="44">
        <v>60.0</v>
      </c>
      <c r="H1794" s="47" t="s">
        <v>970</v>
      </c>
      <c r="I1794" s="47" t="s">
        <v>806</v>
      </c>
      <c r="J1794" s="44">
        <v>10.798414</v>
      </c>
      <c r="K1794" s="48">
        <v>106.658728</v>
      </c>
    </row>
    <row r="1795" ht="22.5" customHeight="1">
      <c r="A1795" s="44" t="s">
        <v>371</v>
      </c>
      <c r="B1795" s="44" t="s">
        <v>5585</v>
      </c>
      <c r="C1795" s="44" t="s">
        <v>5586</v>
      </c>
      <c r="D1795" s="44" t="s">
        <v>1631</v>
      </c>
      <c r="E1795" s="49" t="s">
        <v>824</v>
      </c>
      <c r="F1795" s="44" t="s">
        <v>2008</v>
      </c>
      <c r="G1795" s="44">
        <v>60.0</v>
      </c>
      <c r="H1795" s="47" t="s">
        <v>970</v>
      </c>
      <c r="I1795" s="47" t="s">
        <v>824</v>
      </c>
      <c r="J1795" s="44">
        <v>10.782944</v>
      </c>
      <c r="K1795" s="48">
        <v>106.650619</v>
      </c>
    </row>
    <row r="1796" ht="22.5" customHeight="1">
      <c r="A1796" s="44" t="s">
        <v>372</v>
      </c>
      <c r="B1796" s="44" t="s">
        <v>5587</v>
      </c>
      <c r="C1796" s="44" t="s">
        <v>5588</v>
      </c>
      <c r="D1796" s="44" t="s">
        <v>969</v>
      </c>
      <c r="E1796" s="49" t="s">
        <v>893</v>
      </c>
      <c r="F1796" s="44" t="s">
        <v>1088</v>
      </c>
      <c r="G1796" s="44">
        <v>60.0</v>
      </c>
      <c r="H1796" s="47" t="s">
        <v>970</v>
      </c>
      <c r="I1796" s="47" t="s">
        <v>893</v>
      </c>
      <c r="J1796" s="44">
        <v>10.801347761835</v>
      </c>
      <c r="K1796" s="48">
        <v>106.63786154233</v>
      </c>
    </row>
    <row r="1797" ht="22.5" customHeight="1">
      <c r="A1797" s="44" t="s">
        <v>373</v>
      </c>
      <c r="B1797" s="44" t="s">
        <v>5589</v>
      </c>
      <c r="C1797" s="44" t="s">
        <v>5590</v>
      </c>
      <c r="D1797" s="44" t="s">
        <v>982</v>
      </c>
      <c r="E1797" s="49" t="s">
        <v>510</v>
      </c>
      <c r="F1797" s="44" t="s">
        <v>983</v>
      </c>
      <c r="G1797" s="44">
        <v>66.0</v>
      </c>
      <c r="H1797" s="47" t="s">
        <v>970</v>
      </c>
      <c r="I1797" s="47" t="s">
        <v>510</v>
      </c>
      <c r="J1797" s="44">
        <v>10.843002</v>
      </c>
      <c r="K1797" s="48">
        <v>106.730765</v>
      </c>
    </row>
    <row r="1798" ht="22.5" customHeight="1">
      <c r="A1798" s="44" t="s">
        <v>374</v>
      </c>
      <c r="B1798" s="44" t="s">
        <v>5591</v>
      </c>
      <c r="C1798" s="44" t="s">
        <v>5592</v>
      </c>
      <c r="D1798" s="44" t="s">
        <v>1280</v>
      </c>
      <c r="E1798" s="49" t="s">
        <v>510</v>
      </c>
      <c r="F1798" s="44" t="s">
        <v>983</v>
      </c>
      <c r="G1798" s="44">
        <v>66.0</v>
      </c>
      <c r="H1798" s="47" t="s">
        <v>970</v>
      </c>
      <c r="I1798" s="47" t="s">
        <v>510</v>
      </c>
      <c r="J1798" s="44">
        <v>10.860524</v>
      </c>
      <c r="K1798" s="48">
        <v>106.760625</v>
      </c>
    </row>
    <row r="1799" ht="22.5" customHeight="1">
      <c r="A1799" s="44" t="s">
        <v>122</v>
      </c>
      <c r="B1799" s="44" t="s">
        <v>5593</v>
      </c>
      <c r="C1799" s="44" t="s">
        <v>5594</v>
      </c>
      <c r="D1799" s="44" t="s">
        <v>5538</v>
      </c>
      <c r="E1799" s="49" t="s">
        <v>893</v>
      </c>
      <c r="F1799" s="44" t="s">
        <v>1088</v>
      </c>
      <c r="G1799" s="44">
        <v>60.0</v>
      </c>
      <c r="H1799" s="47" t="s">
        <v>970</v>
      </c>
      <c r="I1799" s="47" t="s">
        <v>819</v>
      </c>
      <c r="J1799" s="44">
        <v>10.810943</v>
      </c>
      <c r="K1799" s="48">
        <v>106.611032</v>
      </c>
    </row>
    <row r="1800" ht="22.5" customHeight="1">
      <c r="A1800" s="44" t="s">
        <v>5595</v>
      </c>
      <c r="B1800" s="44" t="s">
        <v>5596</v>
      </c>
      <c r="C1800" s="44" t="s">
        <v>5597</v>
      </c>
      <c r="D1800" s="44" t="s">
        <v>2611</v>
      </c>
      <c r="E1800" s="49" t="s">
        <v>892</v>
      </c>
      <c r="F1800" s="44" t="s">
        <v>1108</v>
      </c>
      <c r="G1800" s="50">
        <v>120.0</v>
      </c>
      <c r="H1800" s="47" t="s">
        <v>970</v>
      </c>
      <c r="I1800" s="47" t="s">
        <v>892</v>
      </c>
      <c r="J1800" s="44">
        <v>11.097477</v>
      </c>
      <c r="K1800" s="48">
        <v>106.634952</v>
      </c>
    </row>
    <row r="1801" ht="22.5" customHeight="1">
      <c r="A1801" s="44" t="s">
        <v>296</v>
      </c>
      <c r="B1801" s="44" t="s">
        <v>5598</v>
      </c>
      <c r="C1801" s="44" t="s">
        <v>5152</v>
      </c>
      <c r="D1801" s="44" t="s">
        <v>1180</v>
      </c>
      <c r="E1801" s="49" t="s">
        <v>892</v>
      </c>
      <c r="F1801" s="44" t="s">
        <v>1108</v>
      </c>
      <c r="G1801" s="44">
        <v>45.0</v>
      </c>
      <c r="H1801" s="47" t="s">
        <v>970</v>
      </c>
      <c r="I1801" s="47" t="s">
        <v>892</v>
      </c>
      <c r="J1801" s="44">
        <v>10.997401306808</v>
      </c>
      <c r="K1801" s="48">
        <v>106.65619412424</v>
      </c>
    </row>
    <row r="1802" ht="22.5" customHeight="1">
      <c r="A1802" s="44" t="s">
        <v>124</v>
      </c>
      <c r="B1802" s="44" t="s">
        <v>5599</v>
      </c>
      <c r="C1802" s="44" t="s">
        <v>5600</v>
      </c>
      <c r="D1802" s="44" t="s">
        <v>1736</v>
      </c>
      <c r="E1802" s="49" t="s">
        <v>893</v>
      </c>
      <c r="F1802" s="44" t="s">
        <v>1088</v>
      </c>
      <c r="G1802" s="44">
        <v>45.0</v>
      </c>
      <c r="H1802" s="47" t="s">
        <v>970</v>
      </c>
      <c r="I1802" s="47" t="s">
        <v>893</v>
      </c>
      <c r="J1802" s="44">
        <v>10.781692</v>
      </c>
      <c r="K1802" s="48">
        <v>106.63629</v>
      </c>
    </row>
    <row r="1803" ht="22.5" customHeight="1">
      <c r="A1803" s="44" t="s">
        <v>624</v>
      </c>
      <c r="B1803" s="44" t="s">
        <v>5601</v>
      </c>
      <c r="C1803" s="44" t="s">
        <v>5602</v>
      </c>
      <c r="D1803" s="44" t="s">
        <v>1528</v>
      </c>
      <c r="E1803" s="49" t="s">
        <v>910</v>
      </c>
      <c r="F1803" s="44" t="s">
        <v>987</v>
      </c>
      <c r="G1803" s="44">
        <v>54.0</v>
      </c>
      <c r="H1803" s="47" t="s">
        <v>970</v>
      </c>
      <c r="I1803" s="47" t="s">
        <v>826</v>
      </c>
      <c r="J1803" s="44">
        <v>10.767427</v>
      </c>
      <c r="K1803" s="48">
        <v>106.680892</v>
      </c>
    </row>
    <row r="1804" ht="22.5" customHeight="1">
      <c r="A1804" s="44" t="s">
        <v>5603</v>
      </c>
      <c r="B1804" s="44" t="s">
        <v>5604</v>
      </c>
      <c r="C1804" s="44" t="s">
        <v>5605</v>
      </c>
      <c r="D1804" s="44" t="s">
        <v>1811</v>
      </c>
      <c r="E1804" s="49" t="s">
        <v>889</v>
      </c>
      <c r="F1804" s="44" t="s">
        <v>1043</v>
      </c>
      <c r="G1804" s="44">
        <v>30.0</v>
      </c>
      <c r="H1804" s="47" t="s">
        <v>970</v>
      </c>
      <c r="I1804" s="47" t="s">
        <v>889</v>
      </c>
      <c r="J1804" s="44">
        <v>10.809219</v>
      </c>
      <c r="K1804" s="48">
        <v>106.686341</v>
      </c>
    </row>
    <row r="1805" ht="22.5" customHeight="1">
      <c r="A1805" s="44" t="s">
        <v>5606</v>
      </c>
      <c r="B1805" s="44" t="s">
        <v>5607</v>
      </c>
      <c r="C1805" s="44" t="s">
        <v>5608</v>
      </c>
      <c r="D1805" s="44" t="s">
        <v>1116</v>
      </c>
      <c r="E1805" s="49" t="s">
        <v>885</v>
      </c>
      <c r="F1805" s="44" t="s">
        <v>1117</v>
      </c>
      <c r="G1805" s="44">
        <v>100.0</v>
      </c>
      <c r="H1805" s="47" t="s">
        <v>970</v>
      </c>
      <c r="I1805" s="47" t="s">
        <v>885</v>
      </c>
      <c r="J1805" s="44">
        <v>10.741667</v>
      </c>
      <c r="K1805" s="48">
        <v>106.676389</v>
      </c>
    </row>
    <row r="1806" ht="22.5" customHeight="1">
      <c r="A1806" s="44" t="s">
        <v>578</v>
      </c>
      <c r="B1806" s="44" t="s">
        <v>5609</v>
      </c>
      <c r="C1806" s="44" t="s">
        <v>5610</v>
      </c>
      <c r="D1806" s="44" t="s">
        <v>1268</v>
      </c>
      <c r="E1806" s="49" t="s">
        <v>910</v>
      </c>
      <c r="F1806" s="44" t="s">
        <v>987</v>
      </c>
      <c r="G1806" s="44">
        <v>39.0</v>
      </c>
      <c r="H1806" s="47" t="s">
        <v>970</v>
      </c>
      <c r="I1806" s="47" t="s">
        <v>826</v>
      </c>
      <c r="J1806" s="44">
        <v>10.776741</v>
      </c>
      <c r="K1806" s="48">
        <v>106.684054</v>
      </c>
    </row>
    <row r="1807" ht="22.5" customHeight="1">
      <c r="A1807" s="44" t="s">
        <v>803</v>
      </c>
      <c r="B1807" s="44" t="s">
        <v>5611</v>
      </c>
      <c r="C1807" s="44" t="s">
        <v>5612</v>
      </c>
      <c r="D1807" s="44" t="s">
        <v>1433</v>
      </c>
      <c r="E1807" s="49"/>
      <c r="F1807" s="44" t="s">
        <v>1098</v>
      </c>
      <c r="G1807" s="44"/>
      <c r="H1807" s="47" t="s">
        <v>970</v>
      </c>
      <c r="I1807" s="47" t="s">
        <v>813</v>
      </c>
      <c r="J1807" s="44">
        <v>10.764926</v>
      </c>
      <c r="K1807" s="48">
        <v>106.675535</v>
      </c>
    </row>
    <row r="1808" ht="22.5" customHeight="1">
      <c r="A1808" s="44" t="s">
        <v>5613</v>
      </c>
      <c r="B1808" s="44" t="s">
        <v>5614</v>
      </c>
      <c r="C1808" s="44" t="s">
        <v>5615</v>
      </c>
      <c r="D1808" s="44" t="s">
        <v>4996</v>
      </c>
      <c r="E1808" s="49" t="s">
        <v>872</v>
      </c>
      <c r="F1808" s="44" t="s">
        <v>1003</v>
      </c>
      <c r="G1808" s="44">
        <v>100.0</v>
      </c>
      <c r="H1808" s="47" t="s">
        <v>970</v>
      </c>
      <c r="I1808" s="47" t="s">
        <v>872</v>
      </c>
      <c r="J1808" s="44">
        <v>10.507938</v>
      </c>
      <c r="K1808" s="48">
        <v>106.466384</v>
      </c>
    </row>
    <row r="1809" ht="22.5" customHeight="1">
      <c r="A1809" s="44" t="s">
        <v>5616</v>
      </c>
      <c r="B1809" s="44" t="s">
        <v>5617</v>
      </c>
      <c r="C1809" s="44" t="s">
        <v>5618</v>
      </c>
      <c r="D1809" s="44" t="s">
        <v>5619</v>
      </c>
      <c r="E1809" s="49" t="s">
        <v>872</v>
      </c>
      <c r="F1809" s="44" t="s">
        <v>1003</v>
      </c>
      <c r="G1809" s="44">
        <v>90.0</v>
      </c>
      <c r="H1809" s="47" t="s">
        <v>970</v>
      </c>
      <c r="I1809" s="47" t="s">
        <v>872</v>
      </c>
      <c r="J1809" s="44">
        <v>10.599038122087</v>
      </c>
      <c r="K1809" s="48">
        <v>106.40639230383</v>
      </c>
    </row>
    <row r="1810" ht="22.5" customHeight="1">
      <c r="A1810" s="44" t="s">
        <v>769</v>
      </c>
      <c r="B1810" s="44" t="s">
        <v>5620</v>
      </c>
      <c r="C1810" s="44" t="s">
        <v>5621</v>
      </c>
      <c r="D1810" s="44" t="s">
        <v>1143</v>
      </c>
      <c r="E1810" s="49" t="s">
        <v>872</v>
      </c>
      <c r="F1810" s="44" t="s">
        <v>1003</v>
      </c>
      <c r="G1810" s="44">
        <v>100.0</v>
      </c>
      <c r="H1810" s="47" t="s">
        <v>970</v>
      </c>
      <c r="I1810" s="47" t="s">
        <v>872</v>
      </c>
      <c r="J1810" s="44">
        <v>10.439021</v>
      </c>
      <c r="K1810" s="48">
        <v>106.471251</v>
      </c>
    </row>
    <row r="1811" ht="22.5" customHeight="1">
      <c r="A1811" s="44" t="s">
        <v>5622</v>
      </c>
      <c r="B1811" s="44" t="s">
        <v>5623</v>
      </c>
      <c r="C1811" s="44" t="s">
        <v>4992</v>
      </c>
      <c r="D1811" s="44" t="s">
        <v>1224</v>
      </c>
      <c r="E1811" s="49" t="s">
        <v>872</v>
      </c>
      <c r="F1811" s="44" t="s">
        <v>1003</v>
      </c>
      <c r="G1811" s="44">
        <v>60.0</v>
      </c>
      <c r="H1811" s="47" t="s">
        <v>970</v>
      </c>
      <c r="I1811" s="47" t="s">
        <v>872</v>
      </c>
      <c r="J1811" s="44">
        <v>10.531924</v>
      </c>
      <c r="K1811" s="48">
        <v>106.426109</v>
      </c>
    </row>
    <row r="1812" ht="22.5" customHeight="1">
      <c r="A1812" s="44" t="s">
        <v>5624</v>
      </c>
      <c r="B1812" s="44" t="s">
        <v>5625</v>
      </c>
      <c r="C1812" s="44" t="s">
        <v>5626</v>
      </c>
      <c r="D1812" s="44" t="s">
        <v>1047</v>
      </c>
      <c r="E1812" s="49" t="s">
        <v>889</v>
      </c>
      <c r="F1812" s="44" t="s">
        <v>1043</v>
      </c>
      <c r="G1812" s="44">
        <v>60.0</v>
      </c>
      <c r="H1812" s="47" t="s">
        <v>970</v>
      </c>
      <c r="I1812" s="47" t="s">
        <v>884</v>
      </c>
      <c r="J1812" s="44">
        <v>10.798626</v>
      </c>
      <c r="K1812" s="48">
        <v>106.696395</v>
      </c>
    </row>
    <row r="1813" ht="22.5" customHeight="1">
      <c r="A1813" s="44" t="s">
        <v>5627</v>
      </c>
      <c r="B1813" s="44" t="s">
        <v>5628</v>
      </c>
      <c r="C1813" s="44" t="s">
        <v>4147</v>
      </c>
      <c r="D1813" s="44" t="s">
        <v>1820</v>
      </c>
      <c r="E1813" s="49" t="s">
        <v>850</v>
      </c>
      <c r="F1813" s="44" t="s">
        <v>1057</v>
      </c>
      <c r="G1813" s="44">
        <v>30.0</v>
      </c>
      <c r="H1813" s="47" t="s">
        <v>970</v>
      </c>
      <c r="I1813" s="47" t="s">
        <v>850</v>
      </c>
      <c r="J1813" s="44">
        <v>10.975727</v>
      </c>
      <c r="K1813" s="48">
        <v>106.477073</v>
      </c>
    </row>
    <row r="1814" ht="22.5" customHeight="1">
      <c r="A1814" s="44" t="s">
        <v>5629</v>
      </c>
      <c r="B1814" s="44" t="s">
        <v>5630</v>
      </c>
      <c r="C1814" s="44" t="s">
        <v>5631</v>
      </c>
      <c r="D1814" s="44" t="s">
        <v>1026</v>
      </c>
      <c r="E1814" s="49" t="s">
        <v>897</v>
      </c>
      <c r="F1814" s="44" t="s">
        <v>1027</v>
      </c>
      <c r="G1814" s="44">
        <v>70.0</v>
      </c>
      <c r="H1814" s="47" t="s">
        <v>970</v>
      </c>
      <c r="I1814" s="47" t="s">
        <v>897</v>
      </c>
      <c r="J1814" s="44">
        <v>10.834649</v>
      </c>
      <c r="K1814" s="48">
        <v>106.66155</v>
      </c>
    </row>
    <row r="1815" ht="22.5" customHeight="1">
      <c r="A1815" s="44" t="s">
        <v>672</v>
      </c>
      <c r="B1815" s="44" t="s">
        <v>5632</v>
      </c>
      <c r="C1815" s="44" t="s">
        <v>5633</v>
      </c>
      <c r="D1815" s="44" t="s">
        <v>973</v>
      </c>
      <c r="E1815" s="49" t="s">
        <v>894</v>
      </c>
      <c r="F1815" s="44" t="s">
        <v>974</v>
      </c>
      <c r="G1815" s="44">
        <v>38.0</v>
      </c>
      <c r="H1815" s="47" t="s">
        <v>970</v>
      </c>
      <c r="I1815" s="47" t="s">
        <v>894</v>
      </c>
      <c r="J1815" s="44">
        <v>10.72795</v>
      </c>
      <c r="K1815" s="48">
        <v>106.707989</v>
      </c>
    </row>
    <row r="1816" ht="22.5" customHeight="1">
      <c r="A1816" s="44" t="s">
        <v>5634</v>
      </c>
      <c r="B1816" s="44" t="s">
        <v>5635</v>
      </c>
      <c r="C1816" s="44" t="s">
        <v>5636</v>
      </c>
      <c r="D1816" s="44" t="s">
        <v>1474</v>
      </c>
      <c r="E1816" s="49" t="s">
        <v>897</v>
      </c>
      <c r="F1816" s="44" t="s">
        <v>1027</v>
      </c>
      <c r="G1816" s="44">
        <v>90.0</v>
      </c>
      <c r="H1816" s="47" t="s">
        <v>970</v>
      </c>
      <c r="I1816" s="47" t="s">
        <v>897</v>
      </c>
      <c r="J1816" s="44">
        <v>10.889837</v>
      </c>
      <c r="K1816" s="48">
        <v>106.648103</v>
      </c>
    </row>
    <row r="1817" ht="22.5" customHeight="1">
      <c r="A1817" s="44" t="s">
        <v>5637</v>
      </c>
      <c r="B1817" s="44" t="s">
        <v>5638</v>
      </c>
      <c r="C1817" s="44" t="s">
        <v>5639</v>
      </c>
      <c r="D1817" s="44" t="s">
        <v>1132</v>
      </c>
      <c r="E1817" s="49" t="s">
        <v>897</v>
      </c>
      <c r="F1817" s="44" t="s">
        <v>1027</v>
      </c>
      <c r="G1817" s="44">
        <v>75.0</v>
      </c>
      <c r="H1817" s="47" t="s">
        <v>970</v>
      </c>
      <c r="I1817" s="47" t="s">
        <v>897</v>
      </c>
      <c r="J1817" s="44">
        <v>10.877715</v>
      </c>
      <c r="K1817" s="48">
        <v>106.639143</v>
      </c>
    </row>
    <row r="1818" ht="22.5" customHeight="1">
      <c r="A1818" s="44" t="s">
        <v>5640</v>
      </c>
      <c r="B1818" s="44" t="s">
        <v>5641</v>
      </c>
      <c r="C1818" s="44" t="s">
        <v>5642</v>
      </c>
      <c r="D1818" s="44" t="s">
        <v>1571</v>
      </c>
      <c r="E1818" s="49" t="s">
        <v>797</v>
      </c>
      <c r="F1818" s="44" t="s">
        <v>1409</v>
      </c>
      <c r="G1818" s="44">
        <v>60.0</v>
      </c>
      <c r="H1818" s="47" t="s">
        <v>970</v>
      </c>
      <c r="I1818" s="47" t="s">
        <v>819</v>
      </c>
      <c r="J1818" s="44">
        <v>10.843041041265</v>
      </c>
      <c r="K1818" s="48">
        <v>106.59591055288</v>
      </c>
    </row>
    <row r="1819" ht="22.5" customHeight="1">
      <c r="A1819" s="44" t="s">
        <v>5643</v>
      </c>
      <c r="B1819" s="44" t="s">
        <v>5644</v>
      </c>
      <c r="C1819" s="44" t="s">
        <v>5645</v>
      </c>
      <c r="D1819" s="44" t="s">
        <v>1120</v>
      </c>
      <c r="E1819" s="49" t="s">
        <v>895</v>
      </c>
      <c r="F1819" s="44" t="s">
        <v>1121</v>
      </c>
      <c r="G1819" s="44">
        <v>72.0</v>
      </c>
      <c r="H1819" s="47" t="s">
        <v>970</v>
      </c>
      <c r="I1819" s="47" t="s">
        <v>895</v>
      </c>
      <c r="J1819" s="44">
        <v>10.843708</v>
      </c>
      <c r="K1819" s="48">
        <v>106.777465</v>
      </c>
    </row>
    <row r="1820" ht="22.5" customHeight="1">
      <c r="A1820" s="44" t="s">
        <v>615</v>
      </c>
      <c r="B1820" s="44" t="s">
        <v>5646</v>
      </c>
      <c r="C1820" s="44" t="s">
        <v>5647</v>
      </c>
      <c r="D1820" s="44" t="s">
        <v>1977</v>
      </c>
      <c r="E1820" s="49" t="s">
        <v>863</v>
      </c>
      <c r="F1820" s="44" t="s">
        <v>1052</v>
      </c>
      <c r="G1820" s="44">
        <v>60.0</v>
      </c>
      <c r="H1820" s="47" t="s">
        <v>970</v>
      </c>
      <c r="I1820" s="47" t="s">
        <v>863</v>
      </c>
      <c r="J1820" s="44">
        <v>10.500181770842</v>
      </c>
      <c r="K1820" s="48">
        <v>107.17344904023</v>
      </c>
    </row>
    <row r="1821" ht="22.5" customHeight="1">
      <c r="A1821" s="44" t="s">
        <v>5648</v>
      </c>
      <c r="B1821" s="44" t="s">
        <v>5649</v>
      </c>
      <c r="C1821" s="44" t="s">
        <v>5650</v>
      </c>
      <c r="D1821" s="44" t="s">
        <v>1030</v>
      </c>
      <c r="E1821" s="49" t="s">
        <v>510</v>
      </c>
      <c r="F1821" s="44" t="s">
        <v>983</v>
      </c>
      <c r="G1821" s="44">
        <v>70.0</v>
      </c>
      <c r="H1821" s="47" t="s">
        <v>970</v>
      </c>
      <c r="I1821" s="47" t="s">
        <v>832</v>
      </c>
      <c r="J1821" s="44">
        <v>10.802768</v>
      </c>
      <c r="K1821" s="48">
        <v>106.731982</v>
      </c>
    </row>
    <row r="1822" ht="22.5" customHeight="1">
      <c r="A1822" s="44" t="s">
        <v>550</v>
      </c>
      <c r="B1822" s="44" t="s">
        <v>5651</v>
      </c>
      <c r="C1822" s="44" t="s">
        <v>5652</v>
      </c>
      <c r="D1822" s="44" t="s">
        <v>1135</v>
      </c>
      <c r="E1822" s="49" t="s">
        <v>884</v>
      </c>
      <c r="F1822" s="44" t="s">
        <v>1821</v>
      </c>
      <c r="G1822" s="44">
        <v>30.0</v>
      </c>
      <c r="H1822" s="47" t="s">
        <v>970</v>
      </c>
      <c r="I1822" s="47" t="s">
        <v>884</v>
      </c>
      <c r="J1822" s="44">
        <v>10.787143</v>
      </c>
      <c r="K1822" s="48">
        <v>106.696491</v>
      </c>
    </row>
    <row r="1823" ht="22.5" customHeight="1">
      <c r="A1823" s="44" t="s">
        <v>5653</v>
      </c>
      <c r="B1823" s="44" t="s">
        <v>5654</v>
      </c>
      <c r="C1823" s="44" t="s">
        <v>5655</v>
      </c>
      <c r="D1823" s="44" t="s">
        <v>1306</v>
      </c>
      <c r="E1823" s="49" t="s">
        <v>892</v>
      </c>
      <c r="F1823" s="44" t="s">
        <v>1108</v>
      </c>
      <c r="G1823" s="44">
        <v>60.0</v>
      </c>
      <c r="H1823" s="47" t="s">
        <v>970</v>
      </c>
      <c r="I1823" s="47" t="s">
        <v>892</v>
      </c>
      <c r="J1823" s="44">
        <v>11.143999490247</v>
      </c>
      <c r="K1823" s="48">
        <v>106.60118466725</v>
      </c>
    </row>
    <row r="1824" ht="22.5" customHeight="1">
      <c r="A1824" s="44" t="s">
        <v>5656</v>
      </c>
      <c r="B1824" s="44" t="s">
        <v>5657</v>
      </c>
      <c r="C1824" s="44" t="s">
        <v>5658</v>
      </c>
      <c r="D1824" s="44" t="s">
        <v>1644</v>
      </c>
      <c r="E1824" s="49" t="s">
        <v>868</v>
      </c>
      <c r="F1824" s="44" t="s">
        <v>1220</v>
      </c>
      <c r="G1824" s="50">
        <v>60.0</v>
      </c>
      <c r="H1824" s="47" t="s">
        <v>970</v>
      </c>
      <c r="I1824" s="47" t="s">
        <v>868</v>
      </c>
      <c r="J1824" s="44">
        <v>10.348385</v>
      </c>
      <c r="K1824" s="48">
        <v>106.341501</v>
      </c>
    </row>
    <row r="1825" ht="22.5" customHeight="1">
      <c r="A1825" s="44" t="s">
        <v>572</v>
      </c>
      <c r="B1825" s="44" t="s">
        <v>5659</v>
      </c>
      <c r="C1825" s="44" t="s">
        <v>5660</v>
      </c>
      <c r="D1825" s="44" t="s">
        <v>1272</v>
      </c>
      <c r="E1825" s="49" t="s">
        <v>808</v>
      </c>
      <c r="F1825" s="44" t="s">
        <v>998</v>
      </c>
      <c r="G1825" s="50">
        <v>30.0</v>
      </c>
      <c r="H1825" s="47" t="s">
        <v>970</v>
      </c>
      <c r="I1825" s="47" t="s">
        <v>808</v>
      </c>
      <c r="J1825" s="44">
        <v>10.7518</v>
      </c>
      <c r="K1825" s="48">
        <v>106.627284</v>
      </c>
    </row>
    <row r="1826" ht="22.5" customHeight="1">
      <c r="A1826" s="44" t="s">
        <v>979</v>
      </c>
      <c r="B1826" s="44" t="s">
        <v>5661</v>
      </c>
      <c r="C1826" s="44" t="s">
        <v>5662</v>
      </c>
      <c r="D1826" s="44" t="s">
        <v>982</v>
      </c>
      <c r="E1826" s="49" t="s">
        <v>510</v>
      </c>
      <c r="F1826" s="44" t="s">
        <v>983</v>
      </c>
      <c r="G1826" s="44">
        <v>70.0</v>
      </c>
      <c r="H1826" s="47" t="s">
        <v>970</v>
      </c>
      <c r="I1826" s="47" t="s">
        <v>510</v>
      </c>
      <c r="J1826" s="44">
        <v>10.845276</v>
      </c>
      <c r="K1826" s="48">
        <v>106.727625</v>
      </c>
    </row>
    <row r="1827" ht="22.5" customHeight="1">
      <c r="A1827" s="44" t="s">
        <v>5663</v>
      </c>
      <c r="B1827" s="44" t="s">
        <v>5664</v>
      </c>
      <c r="C1827" s="44" t="s">
        <v>5665</v>
      </c>
      <c r="D1827" s="44" t="s">
        <v>973</v>
      </c>
      <c r="E1827" s="49" t="s">
        <v>894</v>
      </c>
      <c r="F1827" s="44" t="s">
        <v>974</v>
      </c>
      <c r="G1827" s="44">
        <v>68.0</v>
      </c>
      <c r="H1827" s="47" t="s">
        <v>970</v>
      </c>
      <c r="I1827" s="47" t="s">
        <v>894</v>
      </c>
      <c r="J1827" s="44">
        <v>10.72139</v>
      </c>
      <c r="K1827" s="48">
        <v>106.714765</v>
      </c>
    </row>
    <row r="1828" ht="22.5" customHeight="1">
      <c r="A1828" s="44" t="s">
        <v>5666</v>
      </c>
      <c r="B1828" s="44" t="s">
        <v>5667</v>
      </c>
      <c r="C1828" s="44" t="s">
        <v>5195</v>
      </c>
      <c r="D1828" s="44" t="s">
        <v>1007</v>
      </c>
      <c r="E1828" s="49" t="s">
        <v>510</v>
      </c>
      <c r="F1828" s="44" t="s">
        <v>983</v>
      </c>
      <c r="G1828" s="44">
        <v>66.0</v>
      </c>
      <c r="H1828" s="47" t="s">
        <v>970</v>
      </c>
      <c r="I1828" s="47" t="s">
        <v>510</v>
      </c>
      <c r="J1828" s="44">
        <v>10.864451</v>
      </c>
      <c r="K1828" s="48">
        <v>106.745688</v>
      </c>
    </row>
    <row r="1829" ht="22.5" customHeight="1">
      <c r="A1829" s="44" t="s">
        <v>5668</v>
      </c>
      <c r="B1829" s="44" t="s">
        <v>5669</v>
      </c>
      <c r="C1829" s="44" t="s">
        <v>5670</v>
      </c>
      <c r="D1829" s="44" t="s">
        <v>1026</v>
      </c>
      <c r="E1829" s="49"/>
      <c r="F1829" s="44" t="s">
        <v>1098</v>
      </c>
      <c r="G1829" s="44"/>
      <c r="H1829" s="47" t="s">
        <v>970</v>
      </c>
      <c r="I1829" s="47" t="s">
        <v>897</v>
      </c>
      <c r="J1829" s="44">
        <v>10.837675382584</v>
      </c>
      <c r="K1829" s="48">
        <v>106.65974600895</v>
      </c>
    </row>
    <row r="1830" ht="22.5" customHeight="1">
      <c r="A1830" s="44" t="s">
        <v>450</v>
      </c>
      <c r="B1830" s="44" t="s">
        <v>5671</v>
      </c>
      <c r="C1830" s="44" t="s">
        <v>5672</v>
      </c>
      <c r="D1830" s="44" t="s">
        <v>1832</v>
      </c>
      <c r="E1830" s="49" t="s">
        <v>901</v>
      </c>
      <c r="F1830" s="44" t="s">
        <v>1562</v>
      </c>
      <c r="G1830" s="44">
        <v>60.0</v>
      </c>
      <c r="H1830" s="47" t="s">
        <v>970</v>
      </c>
      <c r="I1830" s="47" t="s">
        <v>901</v>
      </c>
      <c r="J1830" s="44">
        <v>10.806659</v>
      </c>
      <c r="K1830" s="48">
        <v>106.713948</v>
      </c>
    </row>
    <row r="1831" ht="22.5" customHeight="1">
      <c r="A1831" s="44" t="s">
        <v>5673</v>
      </c>
      <c r="B1831" s="44" t="s">
        <v>5674</v>
      </c>
      <c r="C1831" s="44" t="s">
        <v>5675</v>
      </c>
      <c r="D1831" s="44" t="s">
        <v>1047</v>
      </c>
      <c r="E1831" s="49" t="s">
        <v>814</v>
      </c>
      <c r="F1831" s="44" t="s">
        <v>1369</v>
      </c>
      <c r="G1831" s="44">
        <v>45.0</v>
      </c>
      <c r="H1831" s="47" t="s">
        <v>970</v>
      </c>
      <c r="I1831" s="47" t="s">
        <v>889</v>
      </c>
      <c r="J1831" s="44">
        <v>10.803959</v>
      </c>
      <c r="K1831" s="48">
        <v>106.688284</v>
      </c>
    </row>
    <row r="1832" ht="22.5" customHeight="1">
      <c r="A1832" s="44" t="s">
        <v>5676</v>
      </c>
      <c r="B1832" s="44" t="s">
        <v>5677</v>
      </c>
      <c r="C1832" s="44" t="s">
        <v>5678</v>
      </c>
      <c r="D1832" s="44" t="s">
        <v>1442</v>
      </c>
      <c r="E1832" s="49" t="s">
        <v>910</v>
      </c>
      <c r="F1832" s="44" t="s">
        <v>987</v>
      </c>
      <c r="G1832" s="44">
        <v>60.0</v>
      </c>
      <c r="H1832" s="47" t="s">
        <v>970</v>
      </c>
      <c r="I1832" s="47" t="s">
        <v>813</v>
      </c>
      <c r="J1832" s="44">
        <v>10.765609</v>
      </c>
      <c r="K1832" s="48">
        <v>106.682257</v>
      </c>
    </row>
    <row r="1833" ht="22.5" customHeight="1">
      <c r="A1833" s="44" t="s">
        <v>5679</v>
      </c>
      <c r="B1833" s="44" t="s">
        <v>5680</v>
      </c>
      <c r="C1833" s="44" t="s">
        <v>5681</v>
      </c>
      <c r="D1833" s="44" t="s">
        <v>1239</v>
      </c>
      <c r="E1833" s="49" t="s">
        <v>789</v>
      </c>
      <c r="F1833" s="44" t="s">
        <v>1168</v>
      </c>
      <c r="G1833" s="44">
        <v>54.0</v>
      </c>
      <c r="H1833" s="47" t="s">
        <v>970</v>
      </c>
      <c r="I1833" s="47" t="s">
        <v>789</v>
      </c>
      <c r="J1833" s="44">
        <v>10.751065</v>
      </c>
      <c r="K1833" s="48">
        <v>106.598939</v>
      </c>
    </row>
    <row r="1834" ht="22.5" customHeight="1">
      <c r="A1834" s="44" t="s">
        <v>5682</v>
      </c>
      <c r="B1834" s="44" t="s">
        <v>5683</v>
      </c>
      <c r="C1834" s="44" t="s">
        <v>5684</v>
      </c>
      <c r="D1834" s="44" t="s">
        <v>990</v>
      </c>
      <c r="E1834" s="49" t="s">
        <v>894</v>
      </c>
      <c r="F1834" s="44" t="s">
        <v>974</v>
      </c>
      <c r="G1834" s="44">
        <v>68.0</v>
      </c>
      <c r="H1834" s="47" t="s">
        <v>970</v>
      </c>
      <c r="I1834" s="47" t="s">
        <v>894</v>
      </c>
      <c r="J1834" s="44">
        <v>10.736028</v>
      </c>
      <c r="K1834" s="48">
        <v>106.718337</v>
      </c>
    </row>
    <row r="1835" ht="22.5" customHeight="1">
      <c r="A1835" s="44" t="s">
        <v>5685</v>
      </c>
      <c r="B1835" s="44" t="s">
        <v>5686</v>
      </c>
      <c r="C1835" s="44" t="s">
        <v>2512</v>
      </c>
      <c r="D1835" s="44" t="s">
        <v>1939</v>
      </c>
      <c r="E1835" s="49" t="s">
        <v>895</v>
      </c>
      <c r="F1835" s="44" t="s">
        <v>1121</v>
      </c>
      <c r="G1835" s="44">
        <v>76.0</v>
      </c>
      <c r="H1835" s="47" t="s">
        <v>970</v>
      </c>
      <c r="I1835" s="47" t="s">
        <v>895</v>
      </c>
      <c r="J1835" s="44">
        <v>10.861491</v>
      </c>
      <c r="K1835" s="48">
        <v>106.780439</v>
      </c>
    </row>
    <row r="1836" ht="22.5" customHeight="1">
      <c r="A1836" s="44" t="s">
        <v>589</v>
      </c>
      <c r="B1836" s="44" t="s">
        <v>5687</v>
      </c>
      <c r="C1836" s="44" t="s">
        <v>5688</v>
      </c>
      <c r="D1836" s="44" t="s">
        <v>1368</v>
      </c>
      <c r="E1836" s="49" t="s">
        <v>814</v>
      </c>
      <c r="F1836" s="44" t="s">
        <v>1369</v>
      </c>
      <c r="G1836" s="44">
        <v>30.0</v>
      </c>
      <c r="H1836" s="47" t="s">
        <v>970</v>
      </c>
      <c r="I1836" s="47" t="s">
        <v>814</v>
      </c>
      <c r="J1836" s="44">
        <v>10.79765</v>
      </c>
      <c r="K1836" s="48">
        <v>106.672975</v>
      </c>
    </row>
    <row r="1837" ht="22.5" customHeight="1">
      <c r="A1837" s="44" t="s">
        <v>5689</v>
      </c>
      <c r="B1837" s="44" t="s">
        <v>5690</v>
      </c>
      <c r="C1837" s="44" t="s">
        <v>5691</v>
      </c>
      <c r="D1837" s="44" t="s">
        <v>1408</v>
      </c>
      <c r="E1837" s="49" t="s">
        <v>797</v>
      </c>
      <c r="F1837" s="44" t="s">
        <v>1409</v>
      </c>
      <c r="G1837" s="44">
        <v>30.0</v>
      </c>
      <c r="H1837" s="47" t="s">
        <v>970</v>
      </c>
      <c r="I1837" s="47" t="s">
        <v>797</v>
      </c>
      <c r="J1837" s="44">
        <v>10.894712988952</v>
      </c>
      <c r="K1837" s="48">
        <v>106.57943665133</v>
      </c>
    </row>
    <row r="1838" ht="22.5" customHeight="1">
      <c r="A1838" s="44" t="s">
        <v>5692</v>
      </c>
      <c r="B1838" s="44" t="s">
        <v>5693</v>
      </c>
      <c r="C1838" s="44" t="s">
        <v>3611</v>
      </c>
      <c r="D1838" s="44" t="s">
        <v>1700</v>
      </c>
      <c r="E1838" s="49" t="s">
        <v>822</v>
      </c>
      <c r="F1838" s="44" t="s">
        <v>1284</v>
      </c>
      <c r="G1838" s="44">
        <v>30.0</v>
      </c>
      <c r="H1838" s="47" t="s">
        <v>970</v>
      </c>
      <c r="I1838" s="47" t="s">
        <v>518</v>
      </c>
      <c r="J1838" s="44">
        <v>10.760571</v>
      </c>
      <c r="K1838" s="48">
        <v>106.648121</v>
      </c>
    </row>
    <row r="1839" ht="22.5" customHeight="1">
      <c r="A1839" s="44" t="s">
        <v>747</v>
      </c>
      <c r="B1839" s="44" t="s">
        <v>5694</v>
      </c>
      <c r="C1839" s="44" t="s">
        <v>5695</v>
      </c>
      <c r="D1839" s="44" t="s">
        <v>1583</v>
      </c>
      <c r="E1839" s="49" t="s">
        <v>872</v>
      </c>
      <c r="F1839" s="44" t="s">
        <v>1003</v>
      </c>
      <c r="G1839" s="44">
        <v>30.0</v>
      </c>
      <c r="H1839" s="47" t="s">
        <v>970</v>
      </c>
      <c r="I1839" s="47" t="s">
        <v>872</v>
      </c>
      <c r="J1839" s="44">
        <v>10.520014712803</v>
      </c>
      <c r="K1839" s="48">
        <v>106.41210210408</v>
      </c>
    </row>
    <row r="1840" ht="22.5" customHeight="1">
      <c r="A1840" s="44" t="s">
        <v>749</v>
      </c>
      <c r="B1840" s="44" t="s">
        <v>5696</v>
      </c>
      <c r="C1840" s="44" t="s">
        <v>5697</v>
      </c>
      <c r="D1840" s="44" t="s">
        <v>1939</v>
      </c>
      <c r="E1840" s="49" t="s">
        <v>510</v>
      </c>
      <c r="F1840" s="44" t="s">
        <v>983</v>
      </c>
      <c r="G1840" s="50">
        <v>90.0</v>
      </c>
      <c r="H1840" s="47" t="s">
        <v>970</v>
      </c>
      <c r="I1840" s="47" t="s">
        <v>890</v>
      </c>
      <c r="J1840" s="44">
        <v>10.885166</v>
      </c>
      <c r="K1840" s="48">
        <v>106.773016</v>
      </c>
    </row>
    <row r="1841" ht="22.5" customHeight="1">
      <c r="A1841" s="44" t="s">
        <v>771</v>
      </c>
      <c r="B1841" s="44" t="s">
        <v>5698</v>
      </c>
      <c r="C1841" s="44" t="s">
        <v>5699</v>
      </c>
      <c r="D1841" s="44" t="s">
        <v>5700</v>
      </c>
      <c r="E1841" s="49" t="s">
        <v>872</v>
      </c>
      <c r="F1841" s="44" t="s">
        <v>1003</v>
      </c>
      <c r="G1841" s="44">
        <v>45.0</v>
      </c>
      <c r="H1841" s="47" t="s">
        <v>970</v>
      </c>
      <c r="I1841" s="47" t="s">
        <v>872</v>
      </c>
      <c r="J1841" s="44">
        <v>10.634334</v>
      </c>
      <c r="K1841" s="48">
        <v>106.491021</v>
      </c>
    </row>
    <row r="1842" ht="22.5" customHeight="1">
      <c r="A1842" s="44" t="s">
        <v>502</v>
      </c>
      <c r="B1842" s="44" t="s">
        <v>5701</v>
      </c>
      <c r="C1842" s="44" t="s">
        <v>5702</v>
      </c>
      <c r="D1842" s="44" t="s">
        <v>1129</v>
      </c>
      <c r="E1842" s="49" t="s">
        <v>910</v>
      </c>
      <c r="F1842" s="44" t="s">
        <v>987</v>
      </c>
      <c r="G1842" s="44">
        <v>60.0</v>
      </c>
      <c r="H1842" s="47" t="s">
        <v>970</v>
      </c>
      <c r="I1842" s="47" t="s">
        <v>910</v>
      </c>
      <c r="J1842" s="44">
        <v>10.775028</v>
      </c>
      <c r="K1842" s="48">
        <v>106.673722</v>
      </c>
    </row>
    <row r="1843" ht="22.5" customHeight="1">
      <c r="A1843" s="44" t="s">
        <v>5703</v>
      </c>
      <c r="B1843" s="44" t="s">
        <v>5704</v>
      </c>
      <c r="C1843" s="44" t="s">
        <v>5705</v>
      </c>
      <c r="D1843" s="44" t="s">
        <v>1067</v>
      </c>
      <c r="E1843" s="49" t="s">
        <v>897</v>
      </c>
      <c r="F1843" s="44" t="s">
        <v>1027</v>
      </c>
      <c r="G1843" s="44">
        <v>45.0</v>
      </c>
      <c r="H1843" s="47" t="s">
        <v>970</v>
      </c>
      <c r="I1843" s="47" t="s">
        <v>896</v>
      </c>
      <c r="J1843" s="44">
        <v>10.838071193216</v>
      </c>
      <c r="K1843" s="48">
        <v>106.61538129815</v>
      </c>
    </row>
    <row r="1844" ht="22.5" customHeight="1">
      <c r="A1844" s="44" t="s">
        <v>210</v>
      </c>
      <c r="B1844" s="44" t="s">
        <v>5706</v>
      </c>
      <c r="C1844" s="44" t="s">
        <v>5707</v>
      </c>
      <c r="D1844" s="44" t="s">
        <v>1030</v>
      </c>
      <c r="E1844" s="49" t="s">
        <v>887</v>
      </c>
      <c r="F1844" s="44" t="s">
        <v>1031</v>
      </c>
      <c r="G1844" s="44">
        <v>59.0</v>
      </c>
      <c r="H1844" s="47" t="s">
        <v>970</v>
      </c>
      <c r="I1844" s="47" t="s">
        <v>832</v>
      </c>
      <c r="J1844" s="44">
        <v>10.805759</v>
      </c>
      <c r="K1844" s="48">
        <v>106.734565</v>
      </c>
    </row>
    <row r="1845" ht="22.5" customHeight="1">
      <c r="A1845" s="44" t="s">
        <v>211</v>
      </c>
      <c r="B1845" s="44" t="s">
        <v>5708</v>
      </c>
      <c r="C1845" s="44" t="s">
        <v>5709</v>
      </c>
      <c r="D1845" s="44" t="s">
        <v>1030</v>
      </c>
      <c r="E1845" s="49" t="s">
        <v>887</v>
      </c>
      <c r="F1845" s="44" t="s">
        <v>1031</v>
      </c>
      <c r="G1845" s="44">
        <v>59.0</v>
      </c>
      <c r="H1845" s="47" t="s">
        <v>970</v>
      </c>
      <c r="I1845" s="47" t="s">
        <v>832</v>
      </c>
      <c r="J1845" s="44">
        <v>10.805434</v>
      </c>
      <c r="K1845" s="48">
        <v>106.732385</v>
      </c>
    </row>
    <row r="1846" ht="22.5" customHeight="1">
      <c r="A1846" s="44" t="s">
        <v>127</v>
      </c>
      <c r="B1846" s="44" t="s">
        <v>5710</v>
      </c>
      <c r="C1846" s="44" t="s">
        <v>5711</v>
      </c>
      <c r="D1846" s="44" t="s">
        <v>1433</v>
      </c>
      <c r="E1846" s="49" t="s">
        <v>910</v>
      </c>
      <c r="F1846" s="44" t="s">
        <v>987</v>
      </c>
      <c r="G1846" s="44">
        <v>30.0</v>
      </c>
      <c r="H1846" s="47" t="s">
        <v>970</v>
      </c>
      <c r="I1846" s="47" t="s">
        <v>910</v>
      </c>
      <c r="J1846" s="44">
        <v>10.766173</v>
      </c>
      <c r="K1846" s="48">
        <v>106.667893</v>
      </c>
    </row>
    <row r="1847" ht="22.5" customHeight="1">
      <c r="A1847" s="44" t="s">
        <v>724</v>
      </c>
      <c r="B1847" s="44" t="s">
        <v>5712</v>
      </c>
      <c r="C1847" s="44" t="s">
        <v>5713</v>
      </c>
      <c r="D1847" s="44" t="s">
        <v>1359</v>
      </c>
      <c r="E1847" s="49" t="s">
        <v>910</v>
      </c>
      <c r="F1847" s="44" t="s">
        <v>987</v>
      </c>
      <c r="G1847" s="44">
        <v>60.0</v>
      </c>
      <c r="H1847" s="47" t="s">
        <v>970</v>
      </c>
      <c r="I1847" s="47" t="s">
        <v>813</v>
      </c>
      <c r="J1847" s="44">
        <v>10.758584</v>
      </c>
      <c r="K1847" s="48">
        <v>106.665548</v>
      </c>
    </row>
    <row r="1848" ht="22.5" customHeight="1">
      <c r="A1848" s="44" t="s">
        <v>5714</v>
      </c>
      <c r="B1848" s="44" t="s">
        <v>5715</v>
      </c>
      <c r="C1848" s="44" t="s">
        <v>5716</v>
      </c>
      <c r="D1848" s="44" t="s">
        <v>1129</v>
      </c>
      <c r="E1848" s="49" t="s">
        <v>910</v>
      </c>
      <c r="F1848" s="44" t="s">
        <v>987</v>
      </c>
      <c r="G1848" s="44">
        <v>45.0</v>
      </c>
      <c r="H1848" s="47" t="s">
        <v>970</v>
      </c>
      <c r="I1848" s="47" t="s">
        <v>824</v>
      </c>
      <c r="J1848" s="44">
        <v>10.780338</v>
      </c>
      <c r="K1848" s="48">
        <v>106.661757</v>
      </c>
    </row>
    <row r="1849" ht="22.5" customHeight="1">
      <c r="A1849" s="44" t="s">
        <v>298</v>
      </c>
      <c r="B1849" s="44" t="s">
        <v>5717</v>
      </c>
      <c r="C1849" s="44" t="s">
        <v>5718</v>
      </c>
      <c r="D1849" s="44" t="s">
        <v>1107</v>
      </c>
      <c r="E1849" s="49" t="s">
        <v>892</v>
      </c>
      <c r="F1849" s="44" t="s">
        <v>1108</v>
      </c>
      <c r="G1849" s="44">
        <v>60.0</v>
      </c>
      <c r="H1849" s="47" t="s">
        <v>970</v>
      </c>
      <c r="I1849" s="47" t="s">
        <v>892</v>
      </c>
      <c r="J1849" s="44">
        <v>10.981401409932</v>
      </c>
      <c r="K1849" s="48">
        <v>106.65676988722</v>
      </c>
    </row>
    <row r="1850" ht="22.5" customHeight="1">
      <c r="A1850" s="44" t="s">
        <v>5719</v>
      </c>
      <c r="B1850" s="44" t="s">
        <v>5720</v>
      </c>
      <c r="C1850" s="44" t="s">
        <v>5721</v>
      </c>
      <c r="D1850" s="44" t="s">
        <v>990</v>
      </c>
      <c r="E1850" s="49"/>
      <c r="F1850" s="44" t="s">
        <v>1098</v>
      </c>
      <c r="G1850" s="44"/>
      <c r="H1850" s="47" t="s">
        <v>970</v>
      </c>
      <c r="I1850" s="47" t="s">
        <v>882</v>
      </c>
      <c r="J1850" s="44">
        <v>10.700211</v>
      </c>
      <c r="K1850" s="48">
        <v>106.731319</v>
      </c>
    </row>
    <row r="1851" ht="22.5" customHeight="1">
      <c r="A1851" s="44" t="s">
        <v>5722</v>
      </c>
      <c r="B1851" s="44" t="s">
        <v>5723</v>
      </c>
      <c r="C1851" s="44" t="s">
        <v>5724</v>
      </c>
      <c r="D1851" s="44" t="s">
        <v>1116</v>
      </c>
      <c r="E1851" s="49" t="s">
        <v>885</v>
      </c>
      <c r="F1851" s="44" t="s">
        <v>1117</v>
      </c>
      <c r="G1851" s="44">
        <v>60.0</v>
      </c>
      <c r="H1851" s="47" t="s">
        <v>970</v>
      </c>
      <c r="I1851" s="47" t="s">
        <v>885</v>
      </c>
      <c r="J1851" s="44">
        <v>10.73698</v>
      </c>
      <c r="K1851" s="48">
        <v>106.674681</v>
      </c>
    </row>
    <row r="1852" ht="22.5" customHeight="1">
      <c r="A1852" s="44" t="s">
        <v>5725</v>
      </c>
      <c r="B1852" s="44" t="s">
        <v>5726</v>
      </c>
      <c r="C1852" s="44" t="s">
        <v>3611</v>
      </c>
      <c r="D1852" s="44" t="s">
        <v>1700</v>
      </c>
      <c r="E1852" s="49" t="s">
        <v>822</v>
      </c>
      <c r="F1852" s="44" t="s">
        <v>1284</v>
      </c>
      <c r="G1852" s="44">
        <v>60.0</v>
      </c>
      <c r="H1852" s="47" t="s">
        <v>970</v>
      </c>
      <c r="I1852" s="47" t="s">
        <v>518</v>
      </c>
      <c r="J1852" s="44">
        <v>10.760571</v>
      </c>
      <c r="K1852" s="48">
        <v>106.648121</v>
      </c>
    </row>
    <row r="1853" ht="22.5" customHeight="1">
      <c r="A1853" s="44" t="s">
        <v>460</v>
      </c>
      <c r="B1853" s="44" t="s">
        <v>5727</v>
      </c>
      <c r="C1853" s="44" t="s">
        <v>5728</v>
      </c>
      <c r="D1853" s="44" t="s">
        <v>1832</v>
      </c>
      <c r="E1853" s="49" t="s">
        <v>901</v>
      </c>
      <c r="F1853" s="44" t="s">
        <v>1562</v>
      </c>
      <c r="G1853" s="44">
        <v>30.0</v>
      </c>
      <c r="H1853" s="47" t="s">
        <v>970</v>
      </c>
      <c r="I1853" s="47" t="s">
        <v>887</v>
      </c>
      <c r="J1853" s="44">
        <v>10.791205</v>
      </c>
      <c r="K1853" s="48">
        <v>106.722733</v>
      </c>
    </row>
    <row r="1854" ht="22.5" customHeight="1">
      <c r="A1854" s="44" t="s">
        <v>622</v>
      </c>
      <c r="B1854" s="44" t="s">
        <v>5729</v>
      </c>
      <c r="C1854" s="44" t="s">
        <v>5730</v>
      </c>
      <c r="D1854" s="44" t="s">
        <v>1532</v>
      </c>
      <c r="E1854" s="49" t="s">
        <v>806</v>
      </c>
      <c r="F1854" s="44" t="s">
        <v>1500</v>
      </c>
      <c r="G1854" s="44">
        <v>60.0</v>
      </c>
      <c r="H1854" s="47" t="s">
        <v>970</v>
      </c>
      <c r="I1854" s="47" t="s">
        <v>814</v>
      </c>
      <c r="J1854" s="44">
        <v>10.795427</v>
      </c>
      <c r="K1854" s="48">
        <v>106.667506</v>
      </c>
    </row>
    <row r="1855" ht="22.5" customHeight="1">
      <c r="A1855" s="44" t="s">
        <v>5731</v>
      </c>
      <c r="B1855" s="44" t="s">
        <v>5732</v>
      </c>
      <c r="C1855" s="44" t="s">
        <v>5733</v>
      </c>
      <c r="D1855" s="44" t="s">
        <v>1433</v>
      </c>
      <c r="E1855" s="49" t="s">
        <v>910</v>
      </c>
      <c r="F1855" s="44" t="s">
        <v>987</v>
      </c>
      <c r="G1855" s="44">
        <v>60.0</v>
      </c>
      <c r="H1855" s="47" t="s">
        <v>970</v>
      </c>
      <c r="I1855" s="47" t="s">
        <v>813</v>
      </c>
      <c r="J1855" s="44">
        <v>10.762476</v>
      </c>
      <c r="K1855" s="48">
        <v>106.670516</v>
      </c>
    </row>
    <row r="1856" ht="22.5" customHeight="1">
      <c r="A1856" s="44" t="s">
        <v>48</v>
      </c>
      <c r="B1856" s="44" t="s">
        <v>5734</v>
      </c>
      <c r="C1856" s="44" t="s">
        <v>5735</v>
      </c>
      <c r="D1856" s="44" t="s">
        <v>1124</v>
      </c>
      <c r="E1856" s="49" t="s">
        <v>891</v>
      </c>
      <c r="F1856" s="44" t="s">
        <v>1125</v>
      </c>
      <c r="G1856" s="50">
        <v>60.0</v>
      </c>
      <c r="H1856" s="47" t="s">
        <v>970</v>
      </c>
      <c r="I1856" s="47" t="s">
        <v>891</v>
      </c>
      <c r="J1856" s="44">
        <v>10.979537</v>
      </c>
      <c r="K1856" s="48">
        <v>106.842953</v>
      </c>
    </row>
    <row r="1857" ht="22.5" customHeight="1">
      <c r="A1857" s="44" t="s">
        <v>5736</v>
      </c>
      <c r="B1857" s="44" t="s">
        <v>5737</v>
      </c>
      <c r="C1857" s="44" t="s">
        <v>5738</v>
      </c>
      <c r="D1857" s="44" t="s">
        <v>1303</v>
      </c>
      <c r="E1857" s="49" t="s">
        <v>789</v>
      </c>
      <c r="F1857" s="44" t="s">
        <v>1168</v>
      </c>
      <c r="G1857" s="44">
        <v>60.0</v>
      </c>
      <c r="H1857" s="47" t="s">
        <v>970</v>
      </c>
      <c r="I1857" s="47" t="s">
        <v>789</v>
      </c>
      <c r="J1857" s="44">
        <v>10.693931180477</v>
      </c>
      <c r="K1857" s="48">
        <v>106.58008051557</v>
      </c>
    </row>
    <row r="1858" ht="22.5" customHeight="1">
      <c r="A1858" s="44" t="s">
        <v>609</v>
      </c>
      <c r="B1858" s="44" t="s">
        <v>5739</v>
      </c>
      <c r="C1858" s="44" t="s">
        <v>5740</v>
      </c>
      <c r="D1858" s="44" t="s">
        <v>1528</v>
      </c>
      <c r="E1858" s="49" t="s">
        <v>910</v>
      </c>
      <c r="F1858" s="44" t="s">
        <v>987</v>
      </c>
      <c r="G1858" s="44">
        <v>39.0</v>
      </c>
      <c r="H1858" s="47" t="s">
        <v>970</v>
      </c>
      <c r="I1858" s="47" t="s">
        <v>826</v>
      </c>
      <c r="J1858" s="44">
        <v>10.775258</v>
      </c>
      <c r="K1858" s="48">
        <v>106.682316</v>
      </c>
    </row>
    <row r="1859" ht="22.5" customHeight="1">
      <c r="A1859" s="44" t="s">
        <v>5741</v>
      </c>
      <c r="B1859" s="44" t="s">
        <v>5742</v>
      </c>
      <c r="C1859" s="44" t="s">
        <v>5743</v>
      </c>
      <c r="D1859" s="44" t="s">
        <v>1047</v>
      </c>
      <c r="E1859" s="49" t="s">
        <v>884</v>
      </c>
      <c r="F1859" s="44" t="s">
        <v>1821</v>
      </c>
      <c r="G1859" s="44">
        <v>60.0</v>
      </c>
      <c r="H1859" s="47" t="s">
        <v>970</v>
      </c>
      <c r="I1859" s="47" t="s">
        <v>884</v>
      </c>
      <c r="J1859" s="44">
        <v>10.793681</v>
      </c>
      <c r="K1859" s="48">
        <v>106.700653</v>
      </c>
    </row>
    <row r="1860" ht="22.5" customHeight="1">
      <c r="A1860" s="44" t="s">
        <v>642</v>
      </c>
      <c r="B1860" s="44" t="s">
        <v>5744</v>
      </c>
      <c r="C1860" s="44" t="s">
        <v>5745</v>
      </c>
      <c r="D1860" s="44" t="s">
        <v>1120</v>
      </c>
      <c r="E1860" s="49" t="s">
        <v>895</v>
      </c>
      <c r="F1860" s="44" t="s">
        <v>1121</v>
      </c>
      <c r="G1860" s="44">
        <v>72.0</v>
      </c>
      <c r="H1860" s="47" t="s">
        <v>970</v>
      </c>
      <c r="I1860" s="47" t="s">
        <v>895</v>
      </c>
      <c r="J1860" s="44">
        <v>10.844727</v>
      </c>
      <c r="K1860" s="48">
        <v>106.792084</v>
      </c>
    </row>
    <row r="1861" ht="22.5" customHeight="1">
      <c r="A1861" s="44" t="s">
        <v>782</v>
      </c>
      <c r="B1861" s="44" t="s">
        <v>5746</v>
      </c>
      <c r="C1861" s="44" t="s">
        <v>5747</v>
      </c>
      <c r="D1861" s="44" t="s">
        <v>2200</v>
      </c>
      <c r="E1861" s="49" t="s">
        <v>789</v>
      </c>
      <c r="F1861" s="44" t="s">
        <v>1168</v>
      </c>
      <c r="G1861" s="44">
        <v>54.0</v>
      </c>
      <c r="H1861" s="47" t="s">
        <v>970</v>
      </c>
      <c r="I1861" s="47" t="s">
        <v>820</v>
      </c>
      <c r="J1861" s="44">
        <v>10.758888324109</v>
      </c>
      <c r="K1861" s="48">
        <v>106.57910362429</v>
      </c>
    </row>
    <row r="1862" ht="22.5" customHeight="1">
      <c r="A1862" s="44" t="s">
        <v>5748</v>
      </c>
      <c r="B1862" s="44" t="s">
        <v>5749</v>
      </c>
      <c r="C1862" s="44" t="s">
        <v>5750</v>
      </c>
      <c r="D1862" s="44" t="s">
        <v>1802</v>
      </c>
      <c r="E1862" s="49" t="s">
        <v>888</v>
      </c>
      <c r="F1862" s="44" t="s">
        <v>1136</v>
      </c>
      <c r="G1862" s="44">
        <v>60.0</v>
      </c>
      <c r="H1862" s="47" t="s">
        <v>970</v>
      </c>
      <c r="I1862" s="47" t="s">
        <v>826</v>
      </c>
      <c r="J1862" s="44">
        <v>10.772669</v>
      </c>
      <c r="K1862" s="48">
        <v>106.690094</v>
      </c>
    </row>
    <row r="1863" ht="22.5" customHeight="1">
      <c r="A1863" s="44" t="s">
        <v>5751</v>
      </c>
      <c r="B1863" s="44" t="s">
        <v>5752</v>
      </c>
      <c r="C1863" s="44" t="s">
        <v>5753</v>
      </c>
      <c r="D1863" s="44" t="s">
        <v>1860</v>
      </c>
      <c r="E1863" s="49" t="s">
        <v>886</v>
      </c>
      <c r="F1863" s="44" t="s">
        <v>1202</v>
      </c>
      <c r="G1863" s="44">
        <v>60.0</v>
      </c>
      <c r="H1863" s="47" t="s">
        <v>970</v>
      </c>
      <c r="I1863" s="47" t="s">
        <v>814</v>
      </c>
      <c r="J1863" s="44">
        <v>10.809918</v>
      </c>
      <c r="K1863" s="48">
        <v>106.672533</v>
      </c>
    </row>
    <row r="1864" ht="22.5" customHeight="1">
      <c r="A1864" s="44" t="s">
        <v>527</v>
      </c>
      <c r="B1864" s="44" t="s">
        <v>5754</v>
      </c>
      <c r="C1864" s="44" t="s">
        <v>4594</v>
      </c>
      <c r="D1864" s="44" t="s">
        <v>1895</v>
      </c>
      <c r="E1864" s="49" t="s">
        <v>897</v>
      </c>
      <c r="F1864" s="44" t="s">
        <v>1027</v>
      </c>
      <c r="G1864" s="44">
        <v>68.0</v>
      </c>
      <c r="H1864" s="47" t="s">
        <v>970</v>
      </c>
      <c r="I1864" s="47" t="s">
        <v>897</v>
      </c>
      <c r="J1864" s="44">
        <v>10.844495</v>
      </c>
      <c r="K1864" s="48">
        <v>106.639617</v>
      </c>
    </row>
    <row r="1865" ht="22.5" customHeight="1">
      <c r="A1865" s="44" t="s">
        <v>5755</v>
      </c>
      <c r="B1865" s="44" t="s">
        <v>5756</v>
      </c>
      <c r="C1865" s="44" t="s">
        <v>5757</v>
      </c>
      <c r="D1865" s="44" t="s">
        <v>969</v>
      </c>
      <c r="E1865" s="49" t="s">
        <v>893</v>
      </c>
      <c r="F1865" s="44" t="s">
        <v>1088</v>
      </c>
      <c r="G1865" s="44">
        <v>60.0</v>
      </c>
      <c r="H1865" s="47" t="s">
        <v>970</v>
      </c>
      <c r="I1865" s="47" t="s">
        <v>893</v>
      </c>
      <c r="J1865" s="44">
        <v>10.801039</v>
      </c>
      <c r="K1865" s="48">
        <v>106.638388</v>
      </c>
    </row>
    <row r="1866" ht="22.5" customHeight="1">
      <c r="A1866" s="44" t="s">
        <v>5758</v>
      </c>
      <c r="B1866" s="44" t="s">
        <v>5759</v>
      </c>
      <c r="C1866" s="44" t="s">
        <v>5760</v>
      </c>
      <c r="D1866" s="44" t="s">
        <v>1691</v>
      </c>
      <c r="E1866" s="49" t="s">
        <v>850</v>
      </c>
      <c r="F1866" s="44" t="s">
        <v>1057</v>
      </c>
      <c r="G1866" s="44">
        <v>100.0</v>
      </c>
      <c r="H1866" s="47" t="s">
        <v>970</v>
      </c>
      <c r="I1866" s="47" t="s">
        <v>850</v>
      </c>
      <c r="J1866" s="44">
        <v>11.044776</v>
      </c>
      <c r="K1866" s="48">
        <v>106.55149</v>
      </c>
    </row>
    <row r="1867" ht="22.5" customHeight="1">
      <c r="A1867" s="44" t="s">
        <v>5761</v>
      </c>
      <c r="B1867" s="44" t="s">
        <v>5762</v>
      </c>
      <c r="C1867" s="44" t="s">
        <v>5763</v>
      </c>
      <c r="D1867" s="44" t="s">
        <v>1135</v>
      </c>
      <c r="E1867" s="49" t="s">
        <v>884</v>
      </c>
      <c r="F1867" s="44" t="s">
        <v>1821</v>
      </c>
      <c r="G1867" s="44">
        <v>60.0</v>
      </c>
      <c r="H1867" s="47" t="s">
        <v>970</v>
      </c>
      <c r="I1867" s="47" t="s">
        <v>884</v>
      </c>
      <c r="J1867" s="44">
        <v>10.792395</v>
      </c>
      <c r="K1867" s="48">
        <v>106.70149</v>
      </c>
    </row>
    <row r="1868" ht="22.5" customHeight="1">
      <c r="A1868" s="44" t="s">
        <v>5764</v>
      </c>
      <c r="B1868" s="44" t="s">
        <v>5765</v>
      </c>
      <c r="C1868" s="44" t="s">
        <v>5766</v>
      </c>
      <c r="D1868" s="44" t="s">
        <v>1532</v>
      </c>
      <c r="E1868" s="49" t="s">
        <v>886</v>
      </c>
      <c r="F1868" s="44" t="s">
        <v>1202</v>
      </c>
      <c r="G1868" s="44">
        <v>60.0</v>
      </c>
      <c r="H1868" s="47" t="s">
        <v>970</v>
      </c>
      <c r="I1868" s="47" t="s">
        <v>814</v>
      </c>
      <c r="J1868" s="44">
        <v>10.811143</v>
      </c>
      <c r="K1868" s="48">
        <v>106.669481</v>
      </c>
    </row>
    <row r="1869" ht="22.5" customHeight="1">
      <c r="A1869" s="44" t="s">
        <v>5767</v>
      </c>
      <c r="B1869" s="44" t="s">
        <v>5768</v>
      </c>
      <c r="C1869" s="44" t="s">
        <v>5769</v>
      </c>
      <c r="D1869" s="44" t="s">
        <v>1303</v>
      </c>
      <c r="E1869" s="49" t="s">
        <v>789</v>
      </c>
      <c r="F1869" s="44" t="s">
        <v>1168</v>
      </c>
      <c r="G1869" s="44">
        <v>100.0</v>
      </c>
      <c r="H1869" s="47" t="s">
        <v>970</v>
      </c>
      <c r="I1869" s="47" t="s">
        <v>789</v>
      </c>
      <c r="J1869" s="44">
        <v>10.690881</v>
      </c>
      <c r="K1869" s="48">
        <v>106.585983</v>
      </c>
    </row>
    <row r="1870" ht="22.5" customHeight="1">
      <c r="A1870" s="44" t="s">
        <v>748</v>
      </c>
      <c r="B1870" s="44" t="s">
        <v>5770</v>
      </c>
      <c r="C1870" s="44" t="s">
        <v>5771</v>
      </c>
      <c r="D1870" s="44" t="s">
        <v>1528</v>
      </c>
      <c r="E1870" s="49" t="s">
        <v>910</v>
      </c>
      <c r="F1870" s="44" t="s">
        <v>987</v>
      </c>
      <c r="G1870" s="44">
        <v>54.0</v>
      </c>
      <c r="H1870" s="47" t="s">
        <v>970</v>
      </c>
      <c r="I1870" s="47" t="s">
        <v>826</v>
      </c>
      <c r="J1870" s="44">
        <v>10.773569</v>
      </c>
      <c r="K1870" s="48">
        <v>106.688997</v>
      </c>
    </row>
    <row r="1871" ht="22.5" customHeight="1">
      <c r="A1871" s="44" t="s">
        <v>49</v>
      </c>
      <c r="B1871" s="44" t="s">
        <v>5772</v>
      </c>
      <c r="C1871" s="44" t="s">
        <v>5773</v>
      </c>
      <c r="D1871" s="44" t="s">
        <v>1779</v>
      </c>
      <c r="E1871" s="49" t="s">
        <v>891</v>
      </c>
      <c r="F1871" s="44" t="s">
        <v>1125</v>
      </c>
      <c r="G1871" s="44">
        <v>60.0</v>
      </c>
      <c r="H1871" s="47" t="s">
        <v>970</v>
      </c>
      <c r="I1871" s="47" t="s">
        <v>891</v>
      </c>
      <c r="J1871" s="44">
        <v>10.932338204776</v>
      </c>
      <c r="K1871" s="48">
        <v>106.83322328039</v>
      </c>
    </row>
    <row r="1872" ht="22.5" customHeight="1">
      <c r="A1872" s="44" t="s">
        <v>5774</v>
      </c>
      <c r="B1872" s="44" t="s">
        <v>5775</v>
      </c>
      <c r="C1872" s="44" t="s">
        <v>3000</v>
      </c>
      <c r="D1872" s="44" t="s">
        <v>1303</v>
      </c>
      <c r="E1872" s="49" t="s">
        <v>789</v>
      </c>
      <c r="F1872" s="44" t="s">
        <v>1168</v>
      </c>
      <c r="G1872" s="44">
        <v>100.0</v>
      </c>
      <c r="H1872" s="47" t="s">
        <v>970</v>
      </c>
      <c r="I1872" s="47" t="s">
        <v>789</v>
      </c>
      <c r="J1872" s="44">
        <v>10.690881</v>
      </c>
      <c r="K1872" s="48">
        <v>106.585983</v>
      </c>
    </row>
    <row r="1873" ht="22.5" customHeight="1">
      <c r="A1873" s="44" t="s">
        <v>5776</v>
      </c>
      <c r="B1873" s="44" t="s">
        <v>5777</v>
      </c>
      <c r="C1873" s="44" t="s">
        <v>5778</v>
      </c>
      <c r="D1873" s="44" t="s">
        <v>2148</v>
      </c>
      <c r="E1873" s="49" t="s">
        <v>863</v>
      </c>
      <c r="F1873" s="44" t="s">
        <v>1052</v>
      </c>
      <c r="G1873" s="44">
        <v>60.0</v>
      </c>
      <c r="H1873" s="47" t="s">
        <v>970</v>
      </c>
      <c r="I1873" s="47" t="s">
        <v>863</v>
      </c>
      <c r="J1873" s="44">
        <v>10.36845</v>
      </c>
      <c r="K1873" s="48">
        <v>107.083093</v>
      </c>
    </row>
    <row r="1874" ht="22.5" customHeight="1">
      <c r="A1874" s="44" t="s">
        <v>5779</v>
      </c>
      <c r="B1874" s="44" t="s">
        <v>5780</v>
      </c>
      <c r="C1874" s="44" t="s">
        <v>5781</v>
      </c>
      <c r="D1874" s="44" t="s">
        <v>2611</v>
      </c>
      <c r="E1874" s="49"/>
      <c r="F1874" s="44" t="s">
        <v>1098</v>
      </c>
      <c r="G1874" s="44"/>
      <c r="H1874" s="47" t="s">
        <v>970</v>
      </c>
      <c r="I1874" s="47" t="s">
        <v>892</v>
      </c>
      <c r="J1874" s="44">
        <v>11.124127</v>
      </c>
      <c r="K1874" s="48">
        <v>106.603746</v>
      </c>
    </row>
    <row r="1875" ht="22.5" customHeight="1">
      <c r="A1875" s="44" t="s">
        <v>5782</v>
      </c>
      <c r="B1875" s="44" t="s">
        <v>5783</v>
      </c>
      <c r="C1875" s="44" t="s">
        <v>5784</v>
      </c>
      <c r="D1875" s="44" t="s">
        <v>5785</v>
      </c>
      <c r="E1875" s="49"/>
      <c r="F1875" s="44" t="s">
        <v>1098</v>
      </c>
      <c r="G1875" s="44"/>
      <c r="H1875" s="47" t="s">
        <v>970</v>
      </c>
      <c r="I1875" s="47" t="s">
        <v>825</v>
      </c>
      <c r="J1875" s="44">
        <v>10.746848902656</v>
      </c>
      <c r="K1875" s="48">
        <v>106.64561606676</v>
      </c>
    </row>
    <row r="1876" ht="22.5" customHeight="1">
      <c r="A1876" s="44" t="s">
        <v>5786</v>
      </c>
      <c r="B1876" s="44" t="s">
        <v>5787</v>
      </c>
      <c r="C1876" s="44" t="s">
        <v>5788</v>
      </c>
      <c r="D1876" s="44" t="s">
        <v>1116</v>
      </c>
      <c r="E1876" s="49" t="s">
        <v>885</v>
      </c>
      <c r="F1876" s="44" t="s">
        <v>1117</v>
      </c>
      <c r="G1876" s="44">
        <v>60.0</v>
      </c>
      <c r="H1876" s="47" t="s">
        <v>970</v>
      </c>
      <c r="I1876" s="47" t="s">
        <v>885</v>
      </c>
      <c r="J1876" s="44">
        <v>10.73874</v>
      </c>
      <c r="K1876" s="48">
        <v>106.66865</v>
      </c>
    </row>
    <row r="1877" ht="22.5" customHeight="1">
      <c r="A1877" s="44" t="s">
        <v>5789</v>
      </c>
      <c r="B1877" s="44" t="s">
        <v>5790</v>
      </c>
      <c r="C1877" s="44" t="s">
        <v>5791</v>
      </c>
      <c r="D1877" s="44" t="s">
        <v>1929</v>
      </c>
      <c r="E1877" s="49" t="s">
        <v>806</v>
      </c>
      <c r="F1877" s="44" t="s">
        <v>1500</v>
      </c>
      <c r="G1877" s="44">
        <v>60.0</v>
      </c>
      <c r="H1877" s="47" t="s">
        <v>970</v>
      </c>
      <c r="I1877" s="47" t="s">
        <v>806</v>
      </c>
      <c r="J1877" s="44">
        <v>10.792191</v>
      </c>
      <c r="K1877" s="48">
        <v>106.654426</v>
      </c>
    </row>
    <row r="1878" ht="22.5" customHeight="1">
      <c r="A1878" s="44" t="s">
        <v>5792</v>
      </c>
      <c r="B1878" s="44" t="s">
        <v>5793</v>
      </c>
      <c r="C1878" s="44" t="s">
        <v>3050</v>
      </c>
      <c r="D1878" s="44" t="s">
        <v>1832</v>
      </c>
      <c r="E1878" s="49" t="s">
        <v>901</v>
      </c>
      <c r="F1878" s="44" t="s">
        <v>1562</v>
      </c>
      <c r="G1878" s="44">
        <v>60.0</v>
      </c>
      <c r="H1878" s="47" t="s">
        <v>970</v>
      </c>
      <c r="I1878" s="47" t="s">
        <v>887</v>
      </c>
      <c r="J1878" s="44">
        <v>10.793977</v>
      </c>
      <c r="K1878" s="48">
        <v>106.720348</v>
      </c>
    </row>
    <row r="1879" ht="22.5" customHeight="1">
      <c r="A1879" s="44" t="s">
        <v>5794</v>
      </c>
      <c r="B1879" s="44" t="s">
        <v>5795</v>
      </c>
      <c r="C1879" s="44" t="s">
        <v>3611</v>
      </c>
      <c r="D1879" s="44" t="s">
        <v>1700</v>
      </c>
      <c r="E1879" s="49" t="s">
        <v>822</v>
      </c>
      <c r="F1879" s="44" t="s">
        <v>1284</v>
      </c>
      <c r="G1879" s="44">
        <v>60.0</v>
      </c>
      <c r="H1879" s="47" t="s">
        <v>970</v>
      </c>
      <c r="I1879" s="47" t="s">
        <v>518</v>
      </c>
      <c r="J1879" s="44">
        <v>10.760571</v>
      </c>
      <c r="K1879" s="48">
        <v>106.648121</v>
      </c>
    </row>
    <row r="1880" ht="22.5" customHeight="1">
      <c r="A1880" s="44" t="s">
        <v>633</v>
      </c>
      <c r="B1880" s="44" t="s">
        <v>5796</v>
      </c>
      <c r="C1880" s="44" t="s">
        <v>5797</v>
      </c>
      <c r="D1880" s="44" t="s">
        <v>1644</v>
      </c>
      <c r="E1880" s="49" t="s">
        <v>868</v>
      </c>
      <c r="F1880" s="44" t="s">
        <v>1220</v>
      </c>
      <c r="G1880" s="44">
        <v>60.0</v>
      </c>
      <c r="H1880" s="47" t="s">
        <v>970</v>
      </c>
      <c r="I1880" s="47" t="s">
        <v>868</v>
      </c>
      <c r="J1880" s="44">
        <v>10.351790267846</v>
      </c>
      <c r="K1880" s="48">
        <v>106.34887563805</v>
      </c>
    </row>
    <row r="1881" ht="22.5" customHeight="1">
      <c r="A1881" s="44" t="s">
        <v>786</v>
      </c>
      <c r="B1881" s="44" t="s">
        <v>5798</v>
      </c>
      <c r="C1881" s="44" t="s">
        <v>5799</v>
      </c>
      <c r="D1881" s="44" t="s">
        <v>1621</v>
      </c>
      <c r="E1881" s="49" t="s">
        <v>811</v>
      </c>
      <c r="F1881" s="44" t="s">
        <v>2625</v>
      </c>
      <c r="G1881" s="44">
        <v>90.0</v>
      </c>
      <c r="H1881" s="47" t="s">
        <v>970</v>
      </c>
      <c r="I1881" s="47" t="s">
        <v>811</v>
      </c>
      <c r="J1881" s="44">
        <v>10.73309</v>
      </c>
      <c r="K1881" s="48">
        <v>106.689693</v>
      </c>
    </row>
    <row r="1882" ht="22.5" customHeight="1">
      <c r="A1882" s="44" t="s">
        <v>5800</v>
      </c>
      <c r="B1882" s="44" t="s">
        <v>5801</v>
      </c>
      <c r="C1882" s="44" t="s">
        <v>5802</v>
      </c>
      <c r="D1882" s="44" t="s">
        <v>1359</v>
      </c>
      <c r="E1882" s="49" t="s">
        <v>813</v>
      </c>
      <c r="F1882" s="44" t="s">
        <v>1015</v>
      </c>
      <c r="G1882" s="44">
        <v>76.0</v>
      </c>
      <c r="H1882" s="47" t="s">
        <v>970</v>
      </c>
      <c r="I1882" s="47" t="s">
        <v>822</v>
      </c>
      <c r="J1882" s="44">
        <v>10.757449</v>
      </c>
      <c r="K1882" s="48">
        <v>106.65748</v>
      </c>
    </row>
    <row r="1883" ht="22.5" customHeight="1">
      <c r="A1883" s="44" t="s">
        <v>602</v>
      </c>
      <c r="B1883" s="44" t="s">
        <v>5803</v>
      </c>
      <c r="C1883" s="44" t="s">
        <v>5804</v>
      </c>
      <c r="D1883" s="44" t="s">
        <v>969</v>
      </c>
      <c r="E1883" s="49" t="s">
        <v>893</v>
      </c>
      <c r="F1883" s="44" t="s">
        <v>1088</v>
      </c>
      <c r="G1883" s="44">
        <v>60.0</v>
      </c>
      <c r="H1883" s="47" t="s">
        <v>970</v>
      </c>
      <c r="I1883" s="47" t="s">
        <v>893</v>
      </c>
      <c r="J1883" s="44">
        <v>10.804737</v>
      </c>
      <c r="K1883" s="48">
        <v>106.641974</v>
      </c>
    </row>
    <row r="1884" ht="22.5" customHeight="1">
      <c r="A1884" s="44" t="s">
        <v>5805</v>
      </c>
      <c r="B1884" s="44" t="s">
        <v>5806</v>
      </c>
      <c r="C1884" s="44" t="s">
        <v>3732</v>
      </c>
      <c r="D1884" s="44" t="s">
        <v>990</v>
      </c>
      <c r="E1884" s="49" t="s">
        <v>894</v>
      </c>
      <c r="F1884" s="44" t="s">
        <v>974</v>
      </c>
      <c r="G1884" s="44">
        <v>68.0</v>
      </c>
      <c r="H1884" s="47" t="s">
        <v>970</v>
      </c>
      <c r="I1884" s="47" t="s">
        <v>894</v>
      </c>
      <c r="J1884" s="44">
        <v>10.732503</v>
      </c>
      <c r="K1884" s="48">
        <v>106.718007</v>
      </c>
    </row>
    <row r="1885" ht="22.5" customHeight="1">
      <c r="A1885" s="44" t="s">
        <v>659</v>
      </c>
      <c r="B1885" s="44" t="s">
        <v>5807</v>
      </c>
      <c r="C1885" s="44" t="s">
        <v>5808</v>
      </c>
      <c r="D1885" s="44" t="s">
        <v>2493</v>
      </c>
      <c r="E1885" s="49" t="s">
        <v>660</v>
      </c>
      <c r="F1885" s="44" t="s">
        <v>1638</v>
      </c>
      <c r="G1885" s="44">
        <v>60.0</v>
      </c>
      <c r="H1885" s="47" t="s">
        <v>970</v>
      </c>
      <c r="I1885" s="47" t="s">
        <v>870</v>
      </c>
      <c r="J1885" s="44">
        <v>10.009427</v>
      </c>
      <c r="K1885" s="48">
        <v>105.792083</v>
      </c>
    </row>
    <row r="1886" ht="22.5" customHeight="1">
      <c r="A1886" s="44" t="s">
        <v>5809</v>
      </c>
      <c r="B1886" s="44" t="s">
        <v>5810</v>
      </c>
      <c r="C1886" s="44" t="s">
        <v>1901</v>
      </c>
      <c r="D1886" s="44" t="s">
        <v>1433</v>
      </c>
      <c r="E1886" s="49" t="s">
        <v>910</v>
      </c>
      <c r="F1886" s="44" t="s">
        <v>987</v>
      </c>
      <c r="G1886" s="44">
        <v>40.0</v>
      </c>
      <c r="H1886" s="47" t="s">
        <v>970</v>
      </c>
      <c r="I1886" s="47" t="s">
        <v>910</v>
      </c>
      <c r="J1886" s="44">
        <v>10.768655</v>
      </c>
      <c r="K1886" s="48">
        <v>106.670189</v>
      </c>
    </row>
    <row r="1887" ht="22.5" customHeight="1">
      <c r="A1887" s="44" t="s">
        <v>5811</v>
      </c>
      <c r="B1887" s="44" t="s">
        <v>5812</v>
      </c>
      <c r="C1887" s="44" t="s">
        <v>2737</v>
      </c>
      <c r="D1887" s="44" t="s">
        <v>1939</v>
      </c>
      <c r="E1887" s="49" t="s">
        <v>895</v>
      </c>
      <c r="F1887" s="44" t="s">
        <v>1121</v>
      </c>
      <c r="G1887" s="44">
        <v>70.0</v>
      </c>
      <c r="H1887" s="47" t="s">
        <v>970</v>
      </c>
      <c r="I1887" s="47" t="s">
        <v>895</v>
      </c>
      <c r="J1887" s="44">
        <v>10.861491</v>
      </c>
      <c r="K1887" s="48">
        <v>106.780439</v>
      </c>
    </row>
    <row r="1888" ht="22.5" customHeight="1">
      <c r="A1888" s="44" t="s">
        <v>5813</v>
      </c>
      <c r="B1888" s="44" t="s">
        <v>5814</v>
      </c>
      <c r="C1888" s="44" t="s">
        <v>5681</v>
      </c>
      <c r="D1888" s="44" t="s">
        <v>1239</v>
      </c>
      <c r="E1888" s="49" t="s">
        <v>789</v>
      </c>
      <c r="F1888" s="44" t="s">
        <v>1168</v>
      </c>
      <c r="G1888" s="44">
        <v>69.0</v>
      </c>
      <c r="H1888" s="47" t="s">
        <v>970</v>
      </c>
      <c r="I1888" s="47" t="s">
        <v>789</v>
      </c>
      <c r="J1888" s="44">
        <v>10.751065</v>
      </c>
      <c r="K1888" s="48">
        <v>106.598939</v>
      </c>
    </row>
    <row r="1889" ht="22.5" customHeight="1">
      <c r="A1889" s="44" t="s">
        <v>739</v>
      </c>
      <c r="B1889" s="44" t="s">
        <v>5815</v>
      </c>
      <c r="C1889" s="44" t="s">
        <v>5816</v>
      </c>
      <c r="D1889" s="44" t="s">
        <v>5619</v>
      </c>
      <c r="E1889" s="49" t="s">
        <v>872</v>
      </c>
      <c r="F1889" s="44" t="s">
        <v>1003</v>
      </c>
      <c r="G1889" s="44">
        <v>100.0</v>
      </c>
      <c r="H1889" s="47" t="s">
        <v>970</v>
      </c>
      <c r="I1889" s="47" t="s">
        <v>872</v>
      </c>
      <c r="J1889" s="44">
        <v>10.599216</v>
      </c>
      <c r="K1889" s="48">
        <v>106.406313</v>
      </c>
    </row>
    <row r="1890" ht="22.5" customHeight="1">
      <c r="A1890" s="44" t="s">
        <v>707</v>
      </c>
      <c r="B1890" s="44" t="s">
        <v>5817</v>
      </c>
      <c r="C1890" s="44" t="s">
        <v>5818</v>
      </c>
      <c r="D1890" s="44" t="s">
        <v>1644</v>
      </c>
      <c r="E1890" s="49"/>
      <c r="F1890" s="44" t="s">
        <v>1098</v>
      </c>
      <c r="G1890" s="44"/>
      <c r="H1890" s="47" t="s">
        <v>970</v>
      </c>
      <c r="I1890" s="47" t="s">
        <v>868</v>
      </c>
      <c r="J1890" s="44">
        <v>10.355146</v>
      </c>
      <c r="K1890" s="48">
        <v>106.338246</v>
      </c>
    </row>
    <row r="1891" ht="22.5" customHeight="1">
      <c r="A1891" s="44" t="s">
        <v>5819</v>
      </c>
      <c r="B1891" s="44" t="s">
        <v>5820</v>
      </c>
      <c r="C1891" s="44" t="s">
        <v>5821</v>
      </c>
      <c r="D1891" s="44" t="s">
        <v>1802</v>
      </c>
      <c r="E1891" s="49" t="s">
        <v>888</v>
      </c>
      <c r="F1891" s="44" t="s">
        <v>1136</v>
      </c>
      <c r="G1891" s="44">
        <v>60.0</v>
      </c>
      <c r="H1891" s="47" t="s">
        <v>970</v>
      </c>
      <c r="I1891" s="47" t="s">
        <v>804</v>
      </c>
      <c r="J1891" s="44">
        <v>10.76945</v>
      </c>
      <c r="K1891" s="48">
        <v>106.691969</v>
      </c>
    </row>
    <row r="1892" ht="22.5" customHeight="1">
      <c r="A1892" s="44" t="s">
        <v>5822</v>
      </c>
      <c r="B1892" s="44" t="s">
        <v>5823</v>
      </c>
      <c r="C1892" s="44" t="s">
        <v>5824</v>
      </c>
      <c r="D1892" s="44" t="s">
        <v>1129</v>
      </c>
      <c r="E1892" s="49" t="s">
        <v>910</v>
      </c>
      <c r="F1892" s="44" t="s">
        <v>987</v>
      </c>
      <c r="G1892" s="44">
        <v>60.0</v>
      </c>
      <c r="H1892" s="47" t="s">
        <v>970</v>
      </c>
      <c r="I1892" s="47" t="s">
        <v>910</v>
      </c>
      <c r="J1892" s="44">
        <v>10.772792</v>
      </c>
      <c r="K1892" s="48">
        <v>106.669528</v>
      </c>
    </row>
    <row r="1893" ht="22.5" customHeight="1">
      <c r="A1893" s="44" t="s">
        <v>795</v>
      </c>
      <c r="B1893" s="44" t="s">
        <v>5825</v>
      </c>
      <c r="C1893" s="44" t="s">
        <v>5826</v>
      </c>
      <c r="D1893" s="44" t="s">
        <v>2179</v>
      </c>
      <c r="E1893" s="49" t="s">
        <v>891</v>
      </c>
      <c r="F1893" s="44" t="s">
        <v>1125</v>
      </c>
      <c r="G1893" s="44">
        <v>60.0</v>
      </c>
      <c r="H1893" s="47" t="s">
        <v>970</v>
      </c>
      <c r="I1893" s="47" t="s">
        <v>898</v>
      </c>
      <c r="J1893" s="44">
        <v>10.73595</v>
      </c>
      <c r="K1893" s="48">
        <v>106.934497</v>
      </c>
    </row>
    <row r="1894" ht="22.5" customHeight="1">
      <c r="A1894" s="44" t="s">
        <v>50</v>
      </c>
      <c r="B1894" s="44" t="s">
        <v>5827</v>
      </c>
      <c r="C1894" s="44" t="s">
        <v>5828</v>
      </c>
      <c r="D1894" s="44" t="s">
        <v>1662</v>
      </c>
      <c r="E1894" s="49" t="s">
        <v>891</v>
      </c>
      <c r="F1894" s="44" t="s">
        <v>1125</v>
      </c>
      <c r="G1894" s="44">
        <v>60.0</v>
      </c>
      <c r="H1894" s="47" t="s">
        <v>970</v>
      </c>
      <c r="I1894" s="47" t="s">
        <v>891</v>
      </c>
      <c r="J1894" s="44">
        <v>10.954098</v>
      </c>
      <c r="K1894" s="48">
        <v>106.868517</v>
      </c>
    </row>
    <row r="1895" ht="22.5" customHeight="1">
      <c r="A1895" s="44" t="s">
        <v>800</v>
      </c>
      <c r="B1895" s="44" t="s">
        <v>5829</v>
      </c>
      <c r="C1895" s="44" t="s">
        <v>5830</v>
      </c>
      <c r="D1895" s="44" t="s">
        <v>5831</v>
      </c>
      <c r="E1895" s="49" t="s">
        <v>891</v>
      </c>
      <c r="F1895" s="44" t="s">
        <v>1125</v>
      </c>
      <c r="G1895" s="44">
        <v>100.0</v>
      </c>
      <c r="H1895" s="47" t="s">
        <v>970</v>
      </c>
      <c r="I1895" s="47" t="s">
        <v>899</v>
      </c>
      <c r="J1895" s="44">
        <v>10.794623</v>
      </c>
      <c r="K1895" s="48">
        <v>106.945251</v>
      </c>
    </row>
    <row r="1896" ht="22.5" customHeight="1">
      <c r="A1896" s="44" t="s">
        <v>5832</v>
      </c>
      <c r="B1896" s="44" t="s">
        <v>5833</v>
      </c>
      <c r="C1896" s="44" t="s">
        <v>5834</v>
      </c>
      <c r="D1896" s="44" t="s">
        <v>5835</v>
      </c>
      <c r="E1896" s="49" t="s">
        <v>891</v>
      </c>
      <c r="F1896" s="44" t="s">
        <v>1125</v>
      </c>
      <c r="G1896" s="50">
        <v>100.0</v>
      </c>
      <c r="H1896" s="47" t="s">
        <v>970</v>
      </c>
      <c r="I1896" s="47" t="s">
        <v>891</v>
      </c>
      <c r="J1896" s="44">
        <v>10.921178</v>
      </c>
      <c r="K1896" s="48">
        <v>107.260911</v>
      </c>
    </row>
    <row r="1897" ht="22.5" customHeight="1">
      <c r="A1897" s="44" t="s">
        <v>5836</v>
      </c>
      <c r="B1897" s="44" t="s">
        <v>5837</v>
      </c>
      <c r="C1897" s="44" t="s">
        <v>5838</v>
      </c>
      <c r="D1897" s="44" t="s">
        <v>1076</v>
      </c>
      <c r="E1897" s="49" t="s">
        <v>813</v>
      </c>
      <c r="F1897" s="44" t="s">
        <v>1015</v>
      </c>
      <c r="G1897" s="44">
        <v>60.0</v>
      </c>
      <c r="H1897" s="47" t="s">
        <v>970</v>
      </c>
      <c r="I1897" s="47" t="s">
        <v>813</v>
      </c>
      <c r="J1897" s="44">
        <v>10.756271</v>
      </c>
      <c r="K1897" s="48">
        <v>106.671993</v>
      </c>
    </row>
    <row r="1898" ht="22.5" customHeight="1">
      <c r="A1898" s="44" t="s">
        <v>131</v>
      </c>
      <c r="B1898" s="44" t="s">
        <v>5839</v>
      </c>
      <c r="C1898" s="44" t="s">
        <v>5840</v>
      </c>
      <c r="D1898" s="44" t="s">
        <v>5831</v>
      </c>
      <c r="E1898" s="49" t="s">
        <v>891</v>
      </c>
      <c r="F1898" s="44" t="s">
        <v>1125</v>
      </c>
      <c r="G1898" s="44">
        <v>100.0</v>
      </c>
      <c r="H1898" s="47" t="s">
        <v>970</v>
      </c>
      <c r="I1898" s="47" t="s">
        <v>891</v>
      </c>
      <c r="J1898" s="44">
        <v>10.869151</v>
      </c>
      <c r="K1898" s="48">
        <v>106.973955</v>
      </c>
    </row>
    <row r="1899" ht="22.5" customHeight="1">
      <c r="A1899" s="44" t="s">
        <v>5841</v>
      </c>
      <c r="B1899" s="44" t="s">
        <v>5842</v>
      </c>
      <c r="C1899" s="44" t="s">
        <v>5237</v>
      </c>
      <c r="D1899" s="44" t="s">
        <v>1939</v>
      </c>
      <c r="E1899" s="49" t="s">
        <v>895</v>
      </c>
      <c r="F1899" s="44" t="s">
        <v>1121</v>
      </c>
      <c r="G1899" s="44">
        <v>66.0</v>
      </c>
      <c r="H1899" s="47" t="s">
        <v>970</v>
      </c>
      <c r="I1899" s="47" t="s">
        <v>895</v>
      </c>
      <c r="J1899" s="44">
        <v>10.861369</v>
      </c>
      <c r="K1899" s="48">
        <v>106.779868</v>
      </c>
    </row>
    <row r="1900" ht="22.5" customHeight="1">
      <c r="A1900" s="44" t="s">
        <v>5843</v>
      </c>
      <c r="B1900" s="44" t="s">
        <v>5844</v>
      </c>
      <c r="C1900" s="44" t="s">
        <v>5845</v>
      </c>
      <c r="D1900" s="44" t="s">
        <v>1236</v>
      </c>
      <c r="E1900" s="49" t="s">
        <v>895</v>
      </c>
      <c r="F1900" s="44" t="s">
        <v>1121</v>
      </c>
      <c r="G1900" s="44">
        <v>92.0</v>
      </c>
      <c r="H1900" s="47" t="s">
        <v>970</v>
      </c>
      <c r="I1900" s="47" t="s">
        <v>895</v>
      </c>
      <c r="J1900" s="44">
        <v>10.847176642479</v>
      </c>
      <c r="K1900" s="48">
        <v>106.83753417866</v>
      </c>
    </row>
    <row r="1901" ht="22.5" customHeight="1">
      <c r="A1901" s="44" t="s">
        <v>745</v>
      </c>
      <c r="B1901" s="44" t="s">
        <v>5846</v>
      </c>
      <c r="C1901" s="44" t="s">
        <v>5847</v>
      </c>
      <c r="D1901" s="44" t="s">
        <v>1227</v>
      </c>
      <c r="E1901" s="49" t="s">
        <v>883</v>
      </c>
      <c r="F1901" s="44" t="s">
        <v>1471</v>
      </c>
      <c r="G1901" s="44">
        <v>125.0</v>
      </c>
      <c r="H1901" s="47" t="s">
        <v>970</v>
      </c>
      <c r="I1901" s="47" t="s">
        <v>890</v>
      </c>
      <c r="J1901" s="44">
        <v>10.889838</v>
      </c>
      <c r="K1901" s="48">
        <v>106.739934</v>
      </c>
    </row>
    <row r="1902" ht="22.5" customHeight="1">
      <c r="A1902" s="44" t="s">
        <v>482</v>
      </c>
      <c r="B1902" s="44" t="s">
        <v>5848</v>
      </c>
      <c r="C1902" s="44" t="s">
        <v>5849</v>
      </c>
      <c r="D1902" s="44" t="s">
        <v>1939</v>
      </c>
      <c r="E1902" s="49" t="s">
        <v>510</v>
      </c>
      <c r="F1902" s="44" t="s">
        <v>983</v>
      </c>
      <c r="G1902" s="44">
        <v>96.0</v>
      </c>
      <c r="H1902" s="47" t="s">
        <v>970</v>
      </c>
      <c r="I1902" s="47" t="s">
        <v>890</v>
      </c>
      <c r="J1902" s="44">
        <v>10.878902</v>
      </c>
      <c r="K1902" s="48">
        <v>106.777869</v>
      </c>
    </row>
    <row r="1903" ht="22.5" customHeight="1">
      <c r="A1903" s="44" t="s">
        <v>5850</v>
      </c>
      <c r="B1903" s="44" t="s">
        <v>5851</v>
      </c>
      <c r="C1903" s="44" t="s">
        <v>5852</v>
      </c>
      <c r="D1903" s="44" t="s">
        <v>1532</v>
      </c>
      <c r="E1903" s="49" t="s">
        <v>886</v>
      </c>
      <c r="F1903" s="44" t="s">
        <v>1202</v>
      </c>
      <c r="G1903" s="44">
        <v>60.0</v>
      </c>
      <c r="H1903" s="47" t="s">
        <v>970</v>
      </c>
      <c r="I1903" s="47" t="s">
        <v>886</v>
      </c>
      <c r="J1903" s="44">
        <v>10.815177</v>
      </c>
      <c r="K1903" s="48">
        <v>106.671993</v>
      </c>
    </row>
    <row r="1904" ht="22.5" customHeight="1">
      <c r="A1904" s="44" t="s">
        <v>5853</v>
      </c>
      <c r="B1904" s="44" t="s">
        <v>5854</v>
      </c>
      <c r="C1904" s="44" t="s">
        <v>5855</v>
      </c>
      <c r="D1904" s="44" t="s">
        <v>1018</v>
      </c>
      <c r="E1904" s="49" t="s">
        <v>806</v>
      </c>
      <c r="F1904" s="44" t="s">
        <v>1500</v>
      </c>
      <c r="G1904" s="44">
        <v>60.0</v>
      </c>
      <c r="H1904" s="47" t="s">
        <v>970</v>
      </c>
      <c r="I1904" s="47" t="s">
        <v>808</v>
      </c>
      <c r="J1904" s="44">
        <v>10.746539</v>
      </c>
      <c r="K1904" s="48">
        <v>106.634509</v>
      </c>
    </row>
    <row r="1905" ht="22.5" customHeight="1">
      <c r="A1905" s="44" t="s">
        <v>5856</v>
      </c>
      <c r="B1905" s="44" t="s">
        <v>5857</v>
      </c>
      <c r="C1905" s="44" t="s">
        <v>5858</v>
      </c>
      <c r="D1905" s="44" t="s">
        <v>1433</v>
      </c>
      <c r="E1905" s="49" t="s">
        <v>910</v>
      </c>
      <c r="F1905" s="44" t="s">
        <v>987</v>
      </c>
      <c r="G1905" s="44">
        <v>60.0</v>
      </c>
      <c r="H1905" s="47" t="s">
        <v>970</v>
      </c>
      <c r="I1905" s="47" t="s">
        <v>813</v>
      </c>
      <c r="J1905" s="44">
        <v>10.763344</v>
      </c>
      <c r="K1905" s="48">
        <v>106.678008</v>
      </c>
    </row>
    <row r="1906" ht="22.5" customHeight="1">
      <c r="A1906" s="44" t="s">
        <v>5859</v>
      </c>
      <c r="B1906" s="44" t="s">
        <v>5860</v>
      </c>
      <c r="C1906" s="44" t="s">
        <v>5861</v>
      </c>
      <c r="D1906" s="44" t="s">
        <v>969</v>
      </c>
      <c r="E1906" s="49"/>
      <c r="F1906" s="44" t="s">
        <v>1098</v>
      </c>
      <c r="G1906" s="44"/>
      <c r="H1906" s="47" t="s">
        <v>970</v>
      </c>
      <c r="I1906" s="47" t="s">
        <v>893</v>
      </c>
      <c r="J1906" s="44">
        <v>10.799236</v>
      </c>
      <c r="K1906" s="48">
        <v>106.647138</v>
      </c>
    </row>
    <row r="1907" ht="22.5" customHeight="1">
      <c r="A1907" s="44" t="s">
        <v>5862</v>
      </c>
      <c r="B1907" s="44" t="s">
        <v>5863</v>
      </c>
      <c r="C1907" s="44" t="s">
        <v>2992</v>
      </c>
      <c r="D1907" s="44" t="s">
        <v>1470</v>
      </c>
      <c r="E1907" s="49" t="s">
        <v>883</v>
      </c>
      <c r="F1907" s="44" t="s">
        <v>1471</v>
      </c>
      <c r="G1907" s="44">
        <v>95.0</v>
      </c>
      <c r="H1907" s="47" t="s">
        <v>970</v>
      </c>
      <c r="I1907" s="47" t="s">
        <v>883</v>
      </c>
      <c r="J1907" s="44">
        <v>10.908706</v>
      </c>
      <c r="K1907" s="48">
        <v>106.701948</v>
      </c>
    </row>
    <row r="1908" ht="22.5" customHeight="1">
      <c r="A1908" s="44" t="s">
        <v>5864</v>
      </c>
      <c r="B1908" s="44" t="s">
        <v>5865</v>
      </c>
      <c r="C1908" s="44" t="s">
        <v>5866</v>
      </c>
      <c r="D1908" s="44" t="s">
        <v>1303</v>
      </c>
      <c r="E1908" s="49" t="s">
        <v>789</v>
      </c>
      <c r="F1908" s="44" t="s">
        <v>1168</v>
      </c>
      <c r="G1908" s="44">
        <v>100.0</v>
      </c>
      <c r="H1908" s="47" t="s">
        <v>970</v>
      </c>
      <c r="I1908" s="47" t="s">
        <v>789</v>
      </c>
      <c r="J1908" s="44">
        <v>10.721234</v>
      </c>
      <c r="K1908" s="48">
        <v>106.53688</v>
      </c>
    </row>
    <row r="1909" ht="22.5" customHeight="1">
      <c r="A1909" s="44" t="s">
        <v>129</v>
      </c>
      <c r="B1909" s="44" t="s">
        <v>5867</v>
      </c>
      <c r="C1909" s="44" t="s">
        <v>5868</v>
      </c>
      <c r="D1909" s="44" t="s">
        <v>990</v>
      </c>
      <c r="E1909" s="49" t="s">
        <v>894</v>
      </c>
      <c r="F1909" s="44" t="s">
        <v>974</v>
      </c>
      <c r="G1909" s="44">
        <v>68.0</v>
      </c>
      <c r="H1909" s="47" t="s">
        <v>970</v>
      </c>
      <c r="I1909" s="47" t="s">
        <v>894</v>
      </c>
      <c r="J1909" s="44">
        <v>10.725998</v>
      </c>
      <c r="K1909" s="48">
        <v>106.723879</v>
      </c>
    </row>
    <row r="1910" ht="22.5" customHeight="1">
      <c r="A1910" s="44" t="s">
        <v>5869</v>
      </c>
      <c r="B1910" s="44" t="s">
        <v>5870</v>
      </c>
      <c r="C1910" s="44"/>
      <c r="D1910" s="44"/>
      <c r="E1910" s="49"/>
      <c r="F1910" s="44" t="s">
        <v>1098</v>
      </c>
      <c r="G1910" s="44"/>
      <c r="H1910" s="47"/>
      <c r="I1910" s="47" t="s">
        <v>891</v>
      </c>
      <c r="J1910" s="44">
        <v>14.058324</v>
      </c>
      <c r="K1910" s="48">
        <v>108.277199</v>
      </c>
    </row>
    <row r="1911" ht="22.5" customHeight="1">
      <c r="A1911" s="44" t="s">
        <v>5871</v>
      </c>
      <c r="B1911" s="44" t="s">
        <v>5872</v>
      </c>
      <c r="C1911" s="44" t="s">
        <v>2970</v>
      </c>
      <c r="D1911" s="44" t="s">
        <v>986</v>
      </c>
      <c r="E1911" s="49" t="s">
        <v>822</v>
      </c>
      <c r="F1911" s="44" t="s">
        <v>1284</v>
      </c>
      <c r="G1911" s="44">
        <v>60.0</v>
      </c>
      <c r="H1911" s="47" t="s">
        <v>970</v>
      </c>
      <c r="I1911" s="47" t="s">
        <v>822</v>
      </c>
      <c r="J1911" s="44">
        <v>10.770739</v>
      </c>
      <c r="K1911" s="48">
        <v>106.659385</v>
      </c>
    </row>
    <row r="1912" ht="22.5" customHeight="1">
      <c r="A1912" s="44" t="s">
        <v>613</v>
      </c>
      <c r="B1912" s="44" t="s">
        <v>5873</v>
      </c>
      <c r="C1912" s="44" t="s">
        <v>5874</v>
      </c>
      <c r="D1912" s="44" t="s">
        <v>1470</v>
      </c>
      <c r="E1912" s="49" t="s">
        <v>883</v>
      </c>
      <c r="F1912" s="44" t="s">
        <v>1471</v>
      </c>
      <c r="G1912" s="44">
        <v>115.0</v>
      </c>
      <c r="H1912" s="47" t="s">
        <v>970</v>
      </c>
      <c r="I1912" s="47" t="s">
        <v>883</v>
      </c>
      <c r="J1912" s="44">
        <v>10.920012956817</v>
      </c>
      <c r="K1912" s="48">
        <v>106.70952527115</v>
      </c>
    </row>
    <row r="1913" ht="22.5" customHeight="1">
      <c r="A1913" s="44" t="s">
        <v>5875</v>
      </c>
      <c r="B1913" s="44" t="s">
        <v>5876</v>
      </c>
      <c r="C1913" s="44" t="s">
        <v>5877</v>
      </c>
      <c r="D1913" s="44" t="s">
        <v>986</v>
      </c>
      <c r="E1913" s="49" t="s">
        <v>813</v>
      </c>
      <c r="F1913" s="44" t="s">
        <v>1015</v>
      </c>
      <c r="G1913" s="44">
        <v>60.0</v>
      </c>
      <c r="H1913" s="47" t="s">
        <v>970</v>
      </c>
      <c r="I1913" s="47" t="s">
        <v>813</v>
      </c>
      <c r="J1913" s="44">
        <v>10.761913</v>
      </c>
      <c r="K1913" s="48">
        <v>106.666878</v>
      </c>
    </row>
    <row r="1914" ht="22.5" customHeight="1">
      <c r="A1914" s="44" t="s">
        <v>5878</v>
      </c>
      <c r="B1914" s="44" t="s">
        <v>5879</v>
      </c>
      <c r="C1914" s="44" t="s">
        <v>5880</v>
      </c>
      <c r="D1914" s="44" t="s">
        <v>2611</v>
      </c>
      <c r="E1914" s="49" t="s">
        <v>892</v>
      </c>
      <c r="F1914" s="44" t="s">
        <v>1108</v>
      </c>
      <c r="G1914" s="44">
        <v>70.0</v>
      </c>
      <c r="H1914" s="47" t="s">
        <v>970</v>
      </c>
      <c r="I1914" s="47" t="s">
        <v>892</v>
      </c>
      <c r="J1914" s="44">
        <v>11.122612</v>
      </c>
      <c r="K1914" s="48">
        <v>106.605377</v>
      </c>
    </row>
    <row r="1915" ht="22.5" customHeight="1">
      <c r="A1915" s="44" t="s">
        <v>5881</v>
      </c>
      <c r="B1915" s="44" t="s">
        <v>5882</v>
      </c>
      <c r="C1915" s="44" t="s">
        <v>5883</v>
      </c>
      <c r="D1915" s="44" t="s">
        <v>2200</v>
      </c>
      <c r="E1915" s="49" t="s">
        <v>819</v>
      </c>
      <c r="F1915" s="44" t="s">
        <v>2838</v>
      </c>
      <c r="G1915" s="44">
        <v>79.0</v>
      </c>
      <c r="H1915" s="47" t="s">
        <v>970</v>
      </c>
      <c r="I1915" s="47" t="s">
        <v>819</v>
      </c>
      <c r="J1915" s="44">
        <v>10.804288</v>
      </c>
      <c r="K1915" s="48">
        <v>106.591792</v>
      </c>
    </row>
    <row r="1916" ht="22.5" customHeight="1">
      <c r="A1916" s="44" t="s">
        <v>5884</v>
      </c>
      <c r="B1916" s="44" t="s">
        <v>5885</v>
      </c>
      <c r="C1916" s="44" t="s">
        <v>5886</v>
      </c>
      <c r="D1916" s="44" t="s">
        <v>5887</v>
      </c>
      <c r="E1916" s="49" t="s">
        <v>891</v>
      </c>
      <c r="F1916" s="44" t="s">
        <v>1125</v>
      </c>
      <c r="G1916" s="44">
        <v>100.0</v>
      </c>
      <c r="H1916" s="47" t="s">
        <v>970</v>
      </c>
      <c r="I1916" s="47" t="s">
        <v>891</v>
      </c>
      <c r="J1916" s="44">
        <v>10.855635810453</v>
      </c>
      <c r="K1916" s="48">
        <v>106.93804616679</v>
      </c>
    </row>
    <row r="1917" ht="22.5" customHeight="1">
      <c r="A1917" s="44" t="s">
        <v>5888</v>
      </c>
      <c r="B1917" s="44" t="s">
        <v>5889</v>
      </c>
      <c r="C1917" s="44" t="s">
        <v>5890</v>
      </c>
      <c r="D1917" s="44" t="s">
        <v>1929</v>
      </c>
      <c r="E1917" s="49" t="s">
        <v>806</v>
      </c>
      <c r="F1917" s="44" t="s">
        <v>1500</v>
      </c>
      <c r="G1917" s="44">
        <v>60.0</v>
      </c>
      <c r="H1917" s="47" t="s">
        <v>970</v>
      </c>
      <c r="I1917" s="47" t="s">
        <v>806</v>
      </c>
      <c r="J1917" s="44">
        <v>10.791515</v>
      </c>
      <c r="K1917" s="48">
        <v>106.653454</v>
      </c>
    </row>
    <row r="1918" ht="22.5" customHeight="1">
      <c r="A1918" s="44" t="s">
        <v>801</v>
      </c>
      <c r="B1918" s="44" t="s">
        <v>5891</v>
      </c>
      <c r="C1918" s="44" t="s">
        <v>5892</v>
      </c>
      <c r="D1918" s="44" t="s">
        <v>5893</v>
      </c>
      <c r="E1918" s="49" t="s">
        <v>892</v>
      </c>
      <c r="F1918" s="44" t="s">
        <v>1108</v>
      </c>
      <c r="G1918" s="44">
        <v>120.0</v>
      </c>
      <c r="H1918" s="47" t="s">
        <v>970</v>
      </c>
      <c r="I1918" s="47" t="s">
        <v>891</v>
      </c>
      <c r="J1918" s="44">
        <v>11.093496</v>
      </c>
      <c r="K1918" s="48">
        <v>106.833256</v>
      </c>
    </row>
    <row r="1919" ht="22.5" customHeight="1">
      <c r="A1919" s="44" t="s">
        <v>587</v>
      </c>
      <c r="B1919" s="44" t="s">
        <v>5894</v>
      </c>
      <c r="C1919" s="44" t="s">
        <v>5895</v>
      </c>
      <c r="D1919" s="44" t="s">
        <v>986</v>
      </c>
      <c r="E1919" s="49" t="s">
        <v>822</v>
      </c>
      <c r="F1919" s="44" t="s">
        <v>1284</v>
      </c>
      <c r="G1919" s="44">
        <v>60.0</v>
      </c>
      <c r="H1919" s="47" t="s">
        <v>970</v>
      </c>
      <c r="I1919" s="47" t="s">
        <v>822</v>
      </c>
      <c r="J1919" s="44">
        <v>10.762938922865</v>
      </c>
      <c r="K1919" s="48">
        <v>106.66062032114</v>
      </c>
    </row>
    <row r="1920" ht="22.5" customHeight="1">
      <c r="A1920" s="44" t="s">
        <v>51</v>
      </c>
      <c r="B1920" s="44" t="s">
        <v>5896</v>
      </c>
      <c r="C1920" s="44" t="s">
        <v>5897</v>
      </c>
      <c r="D1920" s="44" t="s">
        <v>1236</v>
      </c>
      <c r="E1920" s="49" t="s">
        <v>891</v>
      </c>
      <c r="F1920" s="44" t="s">
        <v>1125</v>
      </c>
      <c r="G1920" s="44">
        <v>80.0</v>
      </c>
      <c r="H1920" s="47" t="s">
        <v>970</v>
      </c>
      <c r="I1920" s="47" t="s">
        <v>891</v>
      </c>
      <c r="J1920" s="44">
        <v>10.967773</v>
      </c>
      <c r="K1920" s="48">
        <v>106.900209</v>
      </c>
    </row>
    <row r="1921" ht="22.5" customHeight="1">
      <c r="A1921" s="44" t="s">
        <v>5898</v>
      </c>
      <c r="B1921" s="44" t="s">
        <v>5899</v>
      </c>
      <c r="C1921" s="44" t="s">
        <v>5900</v>
      </c>
      <c r="D1921" s="44" t="s">
        <v>1268</v>
      </c>
      <c r="E1921" s="49" t="s">
        <v>888</v>
      </c>
      <c r="F1921" s="44" t="s">
        <v>1136</v>
      </c>
      <c r="G1921" s="44">
        <v>60.0</v>
      </c>
      <c r="H1921" s="47" t="s">
        <v>970</v>
      </c>
      <c r="I1921" s="47" t="s">
        <v>888</v>
      </c>
      <c r="J1921" s="44">
        <v>10.781038</v>
      </c>
      <c r="K1921" s="48">
        <v>106.695196</v>
      </c>
    </row>
    <row r="1922" ht="22.5" customHeight="1">
      <c r="A1922" s="44" t="s">
        <v>647</v>
      </c>
      <c r="B1922" s="44" t="s">
        <v>5901</v>
      </c>
      <c r="C1922" s="44" t="s">
        <v>5902</v>
      </c>
      <c r="D1922" s="44" t="s">
        <v>1939</v>
      </c>
      <c r="E1922" s="49" t="s">
        <v>510</v>
      </c>
      <c r="F1922" s="44" t="s">
        <v>983</v>
      </c>
      <c r="G1922" s="44">
        <v>96.0</v>
      </c>
      <c r="H1922" s="47" t="s">
        <v>970</v>
      </c>
      <c r="I1922" s="47" t="s">
        <v>510</v>
      </c>
      <c r="J1922" s="44">
        <v>10.87116</v>
      </c>
      <c r="K1922" s="48">
        <v>106.76351</v>
      </c>
    </row>
    <row r="1923" ht="22.5" customHeight="1">
      <c r="A1923" s="44" t="s">
        <v>5903</v>
      </c>
      <c r="B1923" s="44" t="s">
        <v>5904</v>
      </c>
      <c r="C1923" s="44" t="s">
        <v>3614</v>
      </c>
      <c r="D1923" s="44" t="s">
        <v>3615</v>
      </c>
      <c r="E1923" s="49" t="s">
        <v>850</v>
      </c>
      <c r="F1923" s="44" t="s">
        <v>1057</v>
      </c>
      <c r="G1923" s="44">
        <v>90.0</v>
      </c>
      <c r="H1923" s="47" t="s">
        <v>970</v>
      </c>
      <c r="I1923" s="47" t="s">
        <v>850</v>
      </c>
      <c r="J1923" s="44">
        <v>11.085407</v>
      </c>
      <c r="K1923" s="48">
        <v>106.509285</v>
      </c>
    </row>
    <row r="1924" ht="22.5" customHeight="1">
      <c r="A1924" s="44" t="s">
        <v>563</v>
      </c>
      <c r="B1924" s="44" t="s">
        <v>5905</v>
      </c>
      <c r="C1924" s="44" t="s">
        <v>5906</v>
      </c>
      <c r="D1924" s="44" t="s">
        <v>973</v>
      </c>
      <c r="E1924" s="49" t="s">
        <v>894</v>
      </c>
      <c r="F1924" s="44" t="s">
        <v>974</v>
      </c>
      <c r="G1924" s="44">
        <v>38.0</v>
      </c>
      <c r="H1924" s="47" t="s">
        <v>970</v>
      </c>
      <c r="I1924" s="47" t="s">
        <v>894</v>
      </c>
      <c r="J1924" s="44">
        <v>10.737713</v>
      </c>
      <c r="K1924" s="48">
        <v>106.706555</v>
      </c>
    </row>
    <row r="1925" ht="22.5" customHeight="1">
      <c r="A1925" s="44" t="s">
        <v>5907</v>
      </c>
      <c r="B1925" s="44" t="s">
        <v>5908</v>
      </c>
      <c r="C1925" s="44" t="s">
        <v>5909</v>
      </c>
      <c r="D1925" s="44" t="s">
        <v>5910</v>
      </c>
      <c r="E1925" s="49" t="s">
        <v>882</v>
      </c>
      <c r="F1925" s="44" t="s">
        <v>991</v>
      </c>
      <c r="G1925" s="44">
        <v>80.0</v>
      </c>
      <c r="H1925" s="47" t="s">
        <v>970</v>
      </c>
      <c r="I1925" s="47" t="s">
        <v>882</v>
      </c>
      <c r="J1925" s="44">
        <v>10.641169</v>
      </c>
      <c r="K1925" s="48">
        <v>106.733176</v>
      </c>
    </row>
    <row r="1926" ht="22.5" customHeight="1">
      <c r="A1926" s="44" t="s">
        <v>5911</v>
      </c>
      <c r="B1926" s="44" t="s">
        <v>5912</v>
      </c>
      <c r="C1926" s="44" t="s">
        <v>5913</v>
      </c>
      <c r="D1926" s="44" t="s">
        <v>1528</v>
      </c>
      <c r="E1926" s="49" t="s">
        <v>910</v>
      </c>
      <c r="F1926" s="44" t="s">
        <v>987</v>
      </c>
      <c r="G1926" s="44">
        <v>69.0</v>
      </c>
      <c r="H1926" s="47" t="s">
        <v>970</v>
      </c>
      <c r="I1926" s="47" t="s">
        <v>826</v>
      </c>
      <c r="J1926" s="44">
        <v>10.769939</v>
      </c>
      <c r="K1926" s="48">
        <v>106.685528</v>
      </c>
    </row>
    <row r="1927" ht="22.5" customHeight="1">
      <c r="A1927" s="44" t="s">
        <v>5914</v>
      </c>
      <c r="B1927" s="44" t="s">
        <v>5915</v>
      </c>
      <c r="C1927" s="44" t="s">
        <v>5916</v>
      </c>
      <c r="D1927" s="44" t="s">
        <v>1224</v>
      </c>
      <c r="E1927" s="49" t="s">
        <v>872</v>
      </c>
      <c r="F1927" s="44" t="s">
        <v>1003</v>
      </c>
      <c r="G1927" s="50">
        <v>100.0</v>
      </c>
      <c r="H1927" s="47" t="s">
        <v>970</v>
      </c>
      <c r="I1927" s="47" t="s">
        <v>872</v>
      </c>
      <c r="J1927" s="44">
        <v>10.548181851162</v>
      </c>
      <c r="K1927" s="48">
        <v>106.38827289209</v>
      </c>
    </row>
    <row r="1928" ht="22.5" customHeight="1">
      <c r="A1928" s="44" t="s">
        <v>5917</v>
      </c>
      <c r="B1928" s="44" t="s">
        <v>5918</v>
      </c>
      <c r="C1928" s="44" t="s">
        <v>5919</v>
      </c>
      <c r="D1928" s="44" t="s">
        <v>5920</v>
      </c>
      <c r="E1928" s="49" t="s">
        <v>868</v>
      </c>
      <c r="F1928" s="44" t="s">
        <v>1220</v>
      </c>
      <c r="G1928" s="44">
        <v>60.0</v>
      </c>
      <c r="H1928" s="47" t="s">
        <v>970</v>
      </c>
      <c r="I1928" s="47" t="s">
        <v>868</v>
      </c>
      <c r="J1928" s="44">
        <v>10.370845</v>
      </c>
      <c r="K1928" s="48">
        <v>106.364244</v>
      </c>
    </row>
    <row r="1929" ht="22.5" customHeight="1">
      <c r="A1929" s="44" t="s">
        <v>52</v>
      </c>
      <c r="B1929" s="44" t="s">
        <v>5921</v>
      </c>
      <c r="C1929" s="44" t="s">
        <v>5922</v>
      </c>
      <c r="D1929" s="44" t="s">
        <v>2129</v>
      </c>
      <c r="E1929" s="49" t="s">
        <v>891</v>
      </c>
      <c r="F1929" s="44" t="s">
        <v>1125</v>
      </c>
      <c r="G1929" s="44">
        <v>90.0</v>
      </c>
      <c r="H1929" s="47" t="s">
        <v>970</v>
      </c>
      <c r="I1929" s="47" t="s">
        <v>891</v>
      </c>
      <c r="J1929" s="44">
        <v>10.984995461742</v>
      </c>
      <c r="K1929" s="48">
        <v>106.86278866847</v>
      </c>
    </row>
    <row r="1930" ht="22.5" customHeight="1">
      <c r="A1930" s="44" t="s">
        <v>537</v>
      </c>
      <c r="B1930" s="44" t="s">
        <v>5923</v>
      </c>
      <c r="C1930" s="44" t="s">
        <v>5924</v>
      </c>
      <c r="D1930" s="44" t="s">
        <v>977</v>
      </c>
      <c r="E1930" s="49" t="s">
        <v>900</v>
      </c>
      <c r="F1930" s="44" t="s">
        <v>978</v>
      </c>
      <c r="G1930" s="44">
        <v>39.0</v>
      </c>
      <c r="H1930" s="47" t="s">
        <v>970</v>
      </c>
      <c r="I1930" s="47" t="s">
        <v>902</v>
      </c>
      <c r="J1930" s="44">
        <v>10.784382713666</v>
      </c>
      <c r="K1930" s="48">
        <v>106.68294072405</v>
      </c>
    </row>
    <row r="1931" ht="22.5" customHeight="1">
      <c r="A1931" s="44" t="s">
        <v>580</v>
      </c>
      <c r="B1931" s="44" t="s">
        <v>5925</v>
      </c>
      <c r="C1931" s="44" t="s">
        <v>4420</v>
      </c>
      <c r="D1931" s="44" t="s">
        <v>1021</v>
      </c>
      <c r="E1931" s="49" t="s">
        <v>809</v>
      </c>
      <c r="F1931" s="44" t="s">
        <v>1022</v>
      </c>
      <c r="G1931" s="50">
        <v>68.0</v>
      </c>
      <c r="H1931" s="47" t="s">
        <v>970</v>
      </c>
      <c r="I1931" s="47" t="s">
        <v>809</v>
      </c>
      <c r="J1931" s="44">
        <v>10.830299</v>
      </c>
      <c r="K1931" s="48">
        <v>106.677772</v>
      </c>
    </row>
    <row r="1932" ht="22.5" customHeight="1">
      <c r="A1932" s="44" t="s">
        <v>692</v>
      </c>
      <c r="B1932" s="44" t="s">
        <v>5926</v>
      </c>
      <c r="C1932" s="44" t="s">
        <v>5927</v>
      </c>
      <c r="D1932" s="44" t="s">
        <v>2419</v>
      </c>
      <c r="E1932" s="49" t="s">
        <v>883</v>
      </c>
      <c r="F1932" s="44" t="s">
        <v>1471</v>
      </c>
      <c r="G1932" s="44">
        <v>95.0</v>
      </c>
      <c r="H1932" s="47" t="s">
        <v>970</v>
      </c>
      <c r="I1932" s="47" t="s">
        <v>883</v>
      </c>
      <c r="J1932" s="44">
        <v>10.948764</v>
      </c>
      <c r="K1932" s="48">
        <v>106.68847</v>
      </c>
    </row>
    <row r="1933" ht="22.5" customHeight="1">
      <c r="A1933" s="44" t="s">
        <v>621</v>
      </c>
      <c r="B1933" s="44" t="s">
        <v>5928</v>
      </c>
      <c r="C1933" s="44" t="s">
        <v>5929</v>
      </c>
      <c r="D1933" s="44" t="s">
        <v>1424</v>
      </c>
      <c r="E1933" s="49" t="s">
        <v>822</v>
      </c>
      <c r="F1933" s="44" t="s">
        <v>1284</v>
      </c>
      <c r="G1933" s="50">
        <v>60.0</v>
      </c>
      <c r="H1933" s="47" t="s">
        <v>970</v>
      </c>
      <c r="I1933" s="47" t="s">
        <v>822</v>
      </c>
      <c r="J1933" s="44">
        <v>10.761975</v>
      </c>
      <c r="K1933" s="48">
        <v>106.653865</v>
      </c>
    </row>
    <row r="1934" ht="22.5" customHeight="1">
      <c r="A1934" s="44" t="s">
        <v>53</v>
      </c>
      <c r="B1934" s="44" t="s">
        <v>5930</v>
      </c>
      <c r="C1934" s="44" t="s">
        <v>5931</v>
      </c>
      <c r="D1934" s="44" t="s">
        <v>1662</v>
      </c>
      <c r="E1934" s="49" t="s">
        <v>891</v>
      </c>
      <c r="F1934" s="44" t="s">
        <v>1125</v>
      </c>
      <c r="G1934" s="50">
        <v>60.0</v>
      </c>
      <c r="H1934" s="47" t="s">
        <v>970</v>
      </c>
      <c r="I1934" s="47" t="s">
        <v>891</v>
      </c>
      <c r="J1934" s="44">
        <v>10.961717</v>
      </c>
      <c r="K1934" s="48">
        <v>106.834991</v>
      </c>
    </row>
    <row r="1935" ht="22.5" customHeight="1">
      <c r="A1935" s="44" t="s">
        <v>466</v>
      </c>
      <c r="B1935" s="44" t="s">
        <v>5932</v>
      </c>
      <c r="C1935" s="44" t="s">
        <v>5933</v>
      </c>
      <c r="D1935" s="44" t="s">
        <v>1648</v>
      </c>
      <c r="E1935" s="49" t="s">
        <v>883</v>
      </c>
      <c r="F1935" s="44" t="s">
        <v>1471</v>
      </c>
      <c r="G1935" s="50">
        <v>95.0</v>
      </c>
      <c r="H1935" s="47" t="s">
        <v>970</v>
      </c>
      <c r="I1935" s="47" t="s">
        <v>883</v>
      </c>
      <c r="J1935" s="44">
        <v>10.942276</v>
      </c>
      <c r="K1935" s="48">
        <v>106.725018</v>
      </c>
    </row>
    <row r="1936" ht="22.5" customHeight="1">
      <c r="A1936" s="44" t="s">
        <v>5934</v>
      </c>
      <c r="B1936" s="44" t="s">
        <v>5935</v>
      </c>
      <c r="C1936" s="44" t="s">
        <v>5936</v>
      </c>
      <c r="D1936" s="44" t="s">
        <v>1093</v>
      </c>
      <c r="E1936" s="49" t="s">
        <v>809</v>
      </c>
      <c r="F1936" s="44" t="s">
        <v>1022</v>
      </c>
      <c r="G1936" s="50">
        <v>70.0</v>
      </c>
      <c r="H1936" s="47" t="s">
        <v>970</v>
      </c>
      <c r="I1936" s="47" t="s">
        <v>809</v>
      </c>
      <c r="J1936" s="44">
        <v>10.82919</v>
      </c>
      <c r="K1936" s="48">
        <v>106.681939</v>
      </c>
    </row>
    <row r="1937" ht="22.5" customHeight="1">
      <c r="A1937" s="44" t="s">
        <v>5937</v>
      </c>
      <c r="B1937" s="44" t="s">
        <v>5938</v>
      </c>
      <c r="C1937" s="44" t="s">
        <v>5939</v>
      </c>
      <c r="D1937" s="44" t="s">
        <v>2374</v>
      </c>
      <c r="E1937" s="49" t="s">
        <v>897</v>
      </c>
      <c r="F1937" s="44" t="s">
        <v>1027</v>
      </c>
      <c r="G1937" s="50">
        <v>70.0</v>
      </c>
      <c r="H1937" s="47" t="s">
        <v>970</v>
      </c>
      <c r="I1937" s="47" t="s">
        <v>897</v>
      </c>
      <c r="J1937" s="44">
        <v>10.845114</v>
      </c>
      <c r="K1937" s="48">
        <v>106.664736</v>
      </c>
    </row>
    <row r="1938" ht="22.5" customHeight="1">
      <c r="A1938" s="44" t="s">
        <v>5940</v>
      </c>
      <c r="B1938" s="44" t="s">
        <v>5941</v>
      </c>
      <c r="C1938" s="44" t="s">
        <v>5942</v>
      </c>
      <c r="D1938" s="44" t="s">
        <v>990</v>
      </c>
      <c r="E1938" s="49" t="s">
        <v>894</v>
      </c>
      <c r="F1938" s="44" t="s">
        <v>974</v>
      </c>
      <c r="G1938" s="50">
        <v>78.0</v>
      </c>
      <c r="H1938" s="47" t="s">
        <v>970</v>
      </c>
      <c r="I1938" s="47" t="s">
        <v>882</v>
      </c>
      <c r="J1938" s="44">
        <v>10.724513</v>
      </c>
      <c r="K1938" s="48">
        <v>106.729478</v>
      </c>
    </row>
    <row r="1939" ht="22.5" customHeight="1">
      <c r="A1939" s="44" t="s">
        <v>634</v>
      </c>
      <c r="B1939" s="44" t="s">
        <v>5943</v>
      </c>
      <c r="C1939" s="44" t="s">
        <v>5201</v>
      </c>
      <c r="D1939" s="44" t="s">
        <v>1021</v>
      </c>
      <c r="E1939" s="49" t="s">
        <v>809</v>
      </c>
      <c r="F1939" s="44" t="s">
        <v>1022</v>
      </c>
      <c r="G1939" s="50">
        <v>68.0</v>
      </c>
      <c r="H1939" s="47" t="s">
        <v>970</v>
      </c>
      <c r="I1939" s="47" t="s">
        <v>809</v>
      </c>
      <c r="J1939" s="44">
        <v>10.83538</v>
      </c>
      <c r="K1939" s="48">
        <v>106.668941</v>
      </c>
    </row>
    <row r="1940" ht="22.5" customHeight="1">
      <c r="A1940" s="44" t="s">
        <v>618</v>
      </c>
      <c r="B1940" s="44" t="s">
        <v>5944</v>
      </c>
      <c r="C1940" s="44" t="s">
        <v>5919</v>
      </c>
      <c r="D1940" s="44" t="s">
        <v>5920</v>
      </c>
      <c r="E1940" s="49" t="s">
        <v>868</v>
      </c>
      <c r="F1940" s="44" t="s">
        <v>1220</v>
      </c>
      <c r="G1940" s="50">
        <v>60.0</v>
      </c>
      <c r="H1940" s="47" t="s">
        <v>970</v>
      </c>
      <c r="I1940" s="47" t="s">
        <v>868</v>
      </c>
      <c r="J1940" s="44">
        <v>10.370845</v>
      </c>
      <c r="K1940" s="48">
        <v>106.364244</v>
      </c>
    </row>
    <row r="1941" ht="22.5" customHeight="1">
      <c r="A1941" s="44" t="s">
        <v>560</v>
      </c>
      <c r="B1941" s="44" t="s">
        <v>5945</v>
      </c>
      <c r="C1941" s="44" t="s">
        <v>5946</v>
      </c>
      <c r="D1941" s="44" t="s">
        <v>1628</v>
      </c>
      <c r="E1941" s="49" t="s">
        <v>806</v>
      </c>
      <c r="F1941" s="44" t="s">
        <v>1500</v>
      </c>
      <c r="G1941" s="50">
        <v>60.0</v>
      </c>
      <c r="H1941" s="47" t="s">
        <v>970</v>
      </c>
      <c r="I1941" s="47" t="s">
        <v>806</v>
      </c>
      <c r="J1941" s="44">
        <v>10.795742</v>
      </c>
      <c r="K1941" s="48">
        <v>106.649311</v>
      </c>
    </row>
    <row r="1942" ht="22.5" customHeight="1">
      <c r="A1942" s="44" t="s">
        <v>5947</v>
      </c>
      <c r="B1942" s="44" t="s">
        <v>5948</v>
      </c>
      <c r="C1942" s="44" t="s">
        <v>5949</v>
      </c>
      <c r="D1942" s="44" t="s">
        <v>5950</v>
      </c>
      <c r="E1942" s="49" t="s">
        <v>789</v>
      </c>
      <c r="F1942" s="44" t="s">
        <v>1168</v>
      </c>
      <c r="G1942" s="50">
        <v>100.0</v>
      </c>
      <c r="H1942" s="47" t="s">
        <v>970</v>
      </c>
      <c r="I1942" s="47" t="s">
        <v>820</v>
      </c>
      <c r="J1942" s="44">
        <v>10.769857</v>
      </c>
      <c r="K1942" s="48">
        <v>106.54543</v>
      </c>
    </row>
    <row r="1943" ht="22.5" customHeight="1">
      <c r="A1943" s="44" t="s">
        <v>133</v>
      </c>
      <c r="B1943" s="44" t="s">
        <v>5951</v>
      </c>
      <c r="C1943" s="44" t="s">
        <v>5952</v>
      </c>
      <c r="D1943" s="44" t="s">
        <v>1736</v>
      </c>
      <c r="E1943" s="49" t="s">
        <v>893</v>
      </c>
      <c r="F1943" s="44" t="s">
        <v>1088</v>
      </c>
      <c r="G1943" s="50">
        <v>90.0</v>
      </c>
      <c r="H1943" s="47" t="s">
        <v>970</v>
      </c>
      <c r="I1943" s="47" t="s">
        <v>518</v>
      </c>
      <c r="J1943" s="44">
        <v>10.772029</v>
      </c>
      <c r="K1943" s="48">
        <v>106.632181</v>
      </c>
    </row>
    <row r="1944" ht="22.5" customHeight="1">
      <c r="A1944" s="44" t="s">
        <v>5953</v>
      </c>
      <c r="B1944" s="44" t="s">
        <v>5954</v>
      </c>
      <c r="C1944" s="44" t="s">
        <v>5955</v>
      </c>
      <c r="D1944" s="44" t="s">
        <v>1317</v>
      </c>
      <c r="E1944" s="49" t="s">
        <v>894</v>
      </c>
      <c r="F1944" s="44" t="s">
        <v>974</v>
      </c>
      <c r="G1944" s="50">
        <v>78.0</v>
      </c>
      <c r="H1944" s="47" t="s">
        <v>970</v>
      </c>
      <c r="I1944" s="47" t="s">
        <v>894</v>
      </c>
      <c r="J1944" s="44">
        <v>10.752035836654</v>
      </c>
      <c r="K1944" s="48">
        <v>106.72951864977</v>
      </c>
    </row>
    <row r="1945" ht="22.5" customHeight="1">
      <c r="A1945" s="44" t="s">
        <v>485</v>
      </c>
      <c r="B1945" s="44" t="s">
        <v>5956</v>
      </c>
      <c r="C1945" s="44" t="s">
        <v>5957</v>
      </c>
      <c r="D1945" s="44" t="s">
        <v>1007</v>
      </c>
      <c r="E1945" s="49" t="s">
        <v>510</v>
      </c>
      <c r="F1945" s="44" t="s">
        <v>983</v>
      </c>
      <c r="G1945" s="50">
        <v>80.0</v>
      </c>
      <c r="H1945" s="47" t="s">
        <v>970</v>
      </c>
      <c r="I1945" s="47" t="s">
        <v>510</v>
      </c>
      <c r="J1945" s="44">
        <v>10.885176</v>
      </c>
      <c r="K1945" s="48">
        <v>106.728646</v>
      </c>
    </row>
    <row r="1946" ht="22.5" customHeight="1">
      <c r="A1946" s="44" t="s">
        <v>134</v>
      </c>
      <c r="B1946" s="44" t="s">
        <v>5958</v>
      </c>
      <c r="C1946" s="44" t="s">
        <v>5959</v>
      </c>
      <c r="D1946" s="44" t="s">
        <v>1154</v>
      </c>
      <c r="E1946" s="49" t="s">
        <v>893</v>
      </c>
      <c r="F1946" s="44" t="s">
        <v>1088</v>
      </c>
      <c r="G1946" s="50">
        <v>70.0</v>
      </c>
      <c r="H1946" s="47" t="s">
        <v>970</v>
      </c>
      <c r="I1946" s="47" t="s">
        <v>893</v>
      </c>
      <c r="J1946" s="44">
        <v>10.795742</v>
      </c>
      <c r="K1946" s="48">
        <v>106.622913</v>
      </c>
    </row>
    <row r="1947" ht="22.5" customHeight="1">
      <c r="A1947" s="44" t="s">
        <v>5960</v>
      </c>
      <c r="B1947" s="44" t="s">
        <v>5961</v>
      </c>
      <c r="C1947" s="44" t="s">
        <v>5962</v>
      </c>
      <c r="D1947" s="44" t="s">
        <v>1442</v>
      </c>
      <c r="E1947" s="49"/>
      <c r="F1947" s="44" t="s">
        <v>1098</v>
      </c>
      <c r="G1947" s="50"/>
      <c r="H1947" s="47" t="s">
        <v>970</v>
      </c>
      <c r="I1947" s="47" t="s">
        <v>804</v>
      </c>
      <c r="J1947" s="44">
        <v>10.7595</v>
      </c>
      <c r="K1947" s="48">
        <v>106.692218</v>
      </c>
    </row>
    <row r="1948" ht="22.5" customHeight="1">
      <c r="A1948" s="44" t="s">
        <v>458</v>
      </c>
      <c r="B1948" s="44" t="s">
        <v>5963</v>
      </c>
      <c r="C1948" s="44" t="s">
        <v>5964</v>
      </c>
      <c r="D1948" s="44" t="s">
        <v>1014</v>
      </c>
      <c r="E1948" s="49" t="s">
        <v>910</v>
      </c>
      <c r="F1948" s="44" t="s">
        <v>987</v>
      </c>
      <c r="G1948" s="50">
        <v>60.0</v>
      </c>
      <c r="H1948" s="47" t="s">
        <v>970</v>
      </c>
      <c r="I1948" s="47" t="s">
        <v>813</v>
      </c>
      <c r="J1948" s="44">
        <v>10.759952</v>
      </c>
      <c r="K1948" s="48">
        <v>106.677374</v>
      </c>
    </row>
    <row r="1949" ht="22.5" customHeight="1">
      <c r="A1949" s="44" t="s">
        <v>457</v>
      </c>
      <c r="B1949" s="44" t="s">
        <v>5965</v>
      </c>
      <c r="C1949" s="44" t="s">
        <v>5966</v>
      </c>
      <c r="D1949" s="44" t="s">
        <v>1359</v>
      </c>
      <c r="E1949" s="49" t="s">
        <v>813</v>
      </c>
      <c r="F1949" s="44" t="s">
        <v>1015</v>
      </c>
      <c r="G1949" s="50">
        <v>60.0</v>
      </c>
      <c r="H1949" s="47" t="s">
        <v>970</v>
      </c>
      <c r="I1949" s="47" t="s">
        <v>825</v>
      </c>
      <c r="J1949" s="44">
        <v>10.75327</v>
      </c>
      <c r="K1949" s="48">
        <v>106.65385</v>
      </c>
    </row>
    <row r="1950" ht="22.5" customHeight="1">
      <c r="A1950" s="44" t="s">
        <v>459</v>
      </c>
      <c r="B1950" s="44" t="s">
        <v>5967</v>
      </c>
      <c r="C1950" s="44" t="s">
        <v>5968</v>
      </c>
      <c r="D1950" s="44" t="s">
        <v>1227</v>
      </c>
      <c r="E1950" s="49" t="s">
        <v>890</v>
      </c>
      <c r="F1950" s="44" t="s">
        <v>1228</v>
      </c>
      <c r="G1950" s="50">
        <v>80.0</v>
      </c>
      <c r="H1950" s="47" t="s">
        <v>970</v>
      </c>
      <c r="I1950" s="47" t="s">
        <v>890</v>
      </c>
      <c r="J1950" s="44">
        <v>10.907524</v>
      </c>
      <c r="K1950" s="48">
        <v>106.74946</v>
      </c>
    </row>
    <row r="1951" ht="22.5" customHeight="1">
      <c r="A1951" s="44" t="s">
        <v>301</v>
      </c>
      <c r="B1951" s="44" t="s">
        <v>5969</v>
      </c>
      <c r="C1951" s="44" t="s">
        <v>5970</v>
      </c>
      <c r="D1951" s="44" t="s">
        <v>1107</v>
      </c>
      <c r="E1951" s="49" t="s">
        <v>892</v>
      </c>
      <c r="F1951" s="44" t="s">
        <v>1108</v>
      </c>
      <c r="G1951" s="50">
        <v>80.0</v>
      </c>
      <c r="H1951" s="47" t="s">
        <v>970</v>
      </c>
      <c r="I1951" s="47" t="s">
        <v>892</v>
      </c>
      <c r="J1951" s="44">
        <v>10.992163</v>
      </c>
      <c r="K1951" s="48">
        <v>106.659811</v>
      </c>
    </row>
    <row r="1952" ht="22.5" customHeight="1">
      <c r="A1952" s="44" t="s">
        <v>654</v>
      </c>
      <c r="B1952" s="44" t="s">
        <v>5971</v>
      </c>
      <c r="C1952" s="44" t="s">
        <v>5972</v>
      </c>
      <c r="D1952" s="44" t="s">
        <v>1239</v>
      </c>
      <c r="E1952" s="49" t="s">
        <v>789</v>
      </c>
      <c r="F1952" s="44" t="s">
        <v>1168</v>
      </c>
      <c r="G1952" s="50">
        <v>89.0</v>
      </c>
      <c r="H1952" s="47" t="s">
        <v>970</v>
      </c>
      <c r="I1952" s="47" t="s">
        <v>789</v>
      </c>
      <c r="J1952" s="44">
        <v>10.752966</v>
      </c>
      <c r="K1952" s="48">
        <v>106.603447</v>
      </c>
    </row>
    <row r="1953" ht="22.5" customHeight="1">
      <c r="A1953" s="44" t="s">
        <v>658</v>
      </c>
      <c r="B1953" s="44" t="s">
        <v>5973</v>
      </c>
      <c r="C1953" s="44" t="s">
        <v>5974</v>
      </c>
      <c r="D1953" s="44" t="s">
        <v>1832</v>
      </c>
      <c r="E1953" s="49" t="s">
        <v>901</v>
      </c>
      <c r="F1953" s="44" t="s">
        <v>1562</v>
      </c>
      <c r="G1953" s="44">
        <v>70.0</v>
      </c>
      <c r="H1953" s="47" t="s">
        <v>970</v>
      </c>
      <c r="I1953" s="47" t="s">
        <v>887</v>
      </c>
      <c r="J1953" s="44">
        <v>10.792215</v>
      </c>
      <c r="K1953" s="48">
        <v>106.722876</v>
      </c>
    </row>
    <row r="1954" ht="22.5" customHeight="1">
      <c r="A1954" s="44" t="s">
        <v>54</v>
      </c>
      <c r="B1954" s="44" t="s">
        <v>5975</v>
      </c>
      <c r="C1954" s="44" t="s">
        <v>5976</v>
      </c>
      <c r="D1954" s="44" t="s">
        <v>2129</v>
      </c>
      <c r="E1954" s="49" t="s">
        <v>891</v>
      </c>
      <c r="F1954" s="44" t="s">
        <v>1125</v>
      </c>
      <c r="G1954" s="44">
        <v>60.0</v>
      </c>
      <c r="H1954" s="47" t="s">
        <v>970</v>
      </c>
      <c r="I1954" s="47" t="s">
        <v>891</v>
      </c>
      <c r="J1954" s="44">
        <v>10.985213</v>
      </c>
      <c r="K1954" s="48">
        <v>106.865817</v>
      </c>
    </row>
    <row r="1955" ht="22.5" customHeight="1">
      <c r="A1955" s="44" t="s">
        <v>5977</v>
      </c>
      <c r="B1955" s="44" t="s">
        <v>5978</v>
      </c>
      <c r="C1955" s="44" t="s">
        <v>5979</v>
      </c>
      <c r="D1955" s="44" t="s">
        <v>1811</v>
      </c>
      <c r="E1955" s="49" t="s">
        <v>889</v>
      </c>
      <c r="F1955" s="44" t="s">
        <v>1043</v>
      </c>
      <c r="G1955" s="44">
        <v>60.0</v>
      </c>
      <c r="H1955" s="47" t="s">
        <v>970</v>
      </c>
      <c r="I1955" s="47" t="s">
        <v>889</v>
      </c>
      <c r="J1955" s="44">
        <v>10.823194</v>
      </c>
      <c r="K1955" s="48">
        <v>106.7003423</v>
      </c>
    </row>
    <row r="1956" ht="22.5" customHeight="1">
      <c r="A1956" s="44" t="s">
        <v>302</v>
      </c>
      <c r="B1956" s="44" t="s">
        <v>5980</v>
      </c>
      <c r="C1956" s="44" t="s">
        <v>5981</v>
      </c>
      <c r="D1956" s="44" t="s">
        <v>1107</v>
      </c>
      <c r="E1956" s="49" t="s">
        <v>892</v>
      </c>
      <c r="F1956" s="44" t="s">
        <v>1108</v>
      </c>
      <c r="G1956" s="44">
        <v>60.0</v>
      </c>
      <c r="H1956" s="47" t="s">
        <v>970</v>
      </c>
      <c r="I1956" s="47" t="s">
        <v>892</v>
      </c>
      <c r="J1956" s="44">
        <v>10.982163</v>
      </c>
      <c r="K1956" s="48">
        <v>106.657837</v>
      </c>
    </row>
    <row r="1957" ht="22.5" customHeight="1">
      <c r="A1957" s="44" t="s">
        <v>5982</v>
      </c>
      <c r="B1957" s="44" t="s">
        <v>5983</v>
      </c>
      <c r="C1957" s="44" t="s">
        <v>4999</v>
      </c>
      <c r="D1957" s="44" t="s">
        <v>1135</v>
      </c>
      <c r="E1957" s="49" t="s">
        <v>910</v>
      </c>
      <c r="F1957" s="44" t="s">
        <v>987</v>
      </c>
      <c r="G1957" s="44">
        <v>60.0</v>
      </c>
      <c r="H1957" s="47" t="s">
        <v>970</v>
      </c>
      <c r="I1957" s="47" t="s">
        <v>884</v>
      </c>
      <c r="J1957" s="44">
        <v>10.79185</v>
      </c>
      <c r="K1957" s="48">
        <v>106.702969</v>
      </c>
    </row>
    <row r="1958" ht="22.5" customHeight="1">
      <c r="A1958" s="44" t="s">
        <v>5984</v>
      </c>
      <c r="B1958" s="44" t="s">
        <v>5985</v>
      </c>
      <c r="C1958" s="44" t="s">
        <v>2737</v>
      </c>
      <c r="D1958" s="44" t="s">
        <v>1939</v>
      </c>
      <c r="E1958" s="49" t="s">
        <v>895</v>
      </c>
      <c r="F1958" s="44" t="s">
        <v>1121</v>
      </c>
      <c r="G1958" s="44">
        <v>76.0</v>
      </c>
      <c r="H1958" s="47" t="s">
        <v>970</v>
      </c>
      <c r="I1958" s="47" t="s">
        <v>895</v>
      </c>
      <c r="J1958" s="44">
        <v>10.861491</v>
      </c>
      <c r="K1958" s="48">
        <v>106.780439</v>
      </c>
    </row>
    <row r="1959" ht="22.5" customHeight="1">
      <c r="A1959" s="44" t="s">
        <v>757</v>
      </c>
      <c r="B1959" s="44" t="s">
        <v>5986</v>
      </c>
      <c r="C1959" s="44" t="s">
        <v>5987</v>
      </c>
      <c r="D1959" s="44" t="s">
        <v>1143</v>
      </c>
      <c r="E1959" s="49" t="s">
        <v>872</v>
      </c>
      <c r="F1959" s="44" t="s">
        <v>1003</v>
      </c>
      <c r="G1959" s="44">
        <v>90.0</v>
      </c>
      <c r="H1959" s="47" t="s">
        <v>970</v>
      </c>
      <c r="I1959" s="47" t="s">
        <v>872</v>
      </c>
      <c r="J1959" s="44">
        <v>10.439036</v>
      </c>
      <c r="K1959" s="48">
        <v>106.474004</v>
      </c>
    </row>
    <row r="1960" ht="22.5" customHeight="1">
      <c r="A1960" s="44" t="s">
        <v>770</v>
      </c>
      <c r="B1960" s="44" t="s">
        <v>5988</v>
      </c>
      <c r="C1960" s="44" t="s">
        <v>5989</v>
      </c>
      <c r="D1960" s="44" t="s">
        <v>1143</v>
      </c>
      <c r="E1960" s="49" t="s">
        <v>872</v>
      </c>
      <c r="F1960" s="44" t="s">
        <v>1003</v>
      </c>
      <c r="G1960" s="44">
        <v>90.0</v>
      </c>
      <c r="H1960" s="47" t="s">
        <v>970</v>
      </c>
      <c r="I1960" s="47" t="s">
        <v>872</v>
      </c>
      <c r="J1960" s="44">
        <v>10.452501</v>
      </c>
      <c r="K1960" s="48">
        <v>106.457608</v>
      </c>
    </row>
    <row r="1961" ht="22.5" customHeight="1">
      <c r="A1961" s="44" t="s">
        <v>5990</v>
      </c>
      <c r="B1961" s="44" t="s">
        <v>5991</v>
      </c>
      <c r="C1961" s="44" t="s">
        <v>5992</v>
      </c>
      <c r="D1961" s="44" t="s">
        <v>1076</v>
      </c>
      <c r="E1961" s="49" t="s">
        <v>813</v>
      </c>
      <c r="F1961" s="44" t="s">
        <v>1015</v>
      </c>
      <c r="G1961" s="44">
        <v>60.0</v>
      </c>
      <c r="H1961" s="47" t="s">
        <v>970</v>
      </c>
      <c r="I1961" s="47" t="s">
        <v>813</v>
      </c>
      <c r="J1961" s="44">
        <v>10.754261</v>
      </c>
      <c r="K1961" s="48">
        <v>106.671585</v>
      </c>
    </row>
    <row r="1962" ht="22.5" customHeight="1">
      <c r="A1962" s="44" t="s">
        <v>5993</v>
      </c>
      <c r="B1962" s="44" t="s">
        <v>5994</v>
      </c>
      <c r="C1962" s="44" t="s">
        <v>5995</v>
      </c>
      <c r="D1962" s="44" t="s">
        <v>1883</v>
      </c>
      <c r="E1962" s="49" t="s">
        <v>883</v>
      </c>
      <c r="F1962" s="44" t="s">
        <v>1471</v>
      </c>
      <c r="G1962" s="44">
        <v>80.0</v>
      </c>
      <c r="H1962" s="47" t="s">
        <v>970</v>
      </c>
      <c r="I1962" s="47" t="s">
        <v>890</v>
      </c>
      <c r="J1962" s="44">
        <v>10.907589439318</v>
      </c>
      <c r="K1962" s="48">
        <v>106.73865533978</v>
      </c>
    </row>
    <row r="1963" ht="22.5" customHeight="1">
      <c r="A1963" s="44" t="s">
        <v>700</v>
      </c>
      <c r="B1963" s="44" t="s">
        <v>5996</v>
      </c>
      <c r="C1963" s="44" t="s">
        <v>5997</v>
      </c>
      <c r="D1963" s="44" t="s">
        <v>982</v>
      </c>
      <c r="E1963" s="49" t="s">
        <v>889</v>
      </c>
      <c r="F1963" s="44" t="s">
        <v>1043</v>
      </c>
      <c r="G1963" s="44">
        <v>90.0</v>
      </c>
      <c r="H1963" s="47" t="s">
        <v>970</v>
      </c>
      <c r="I1963" s="47" t="s">
        <v>510</v>
      </c>
      <c r="J1963" s="44">
        <v>10.833747</v>
      </c>
      <c r="K1963" s="48">
        <v>106.728815</v>
      </c>
    </row>
    <row r="1964" ht="22.5" customHeight="1">
      <c r="A1964" s="44" t="s">
        <v>688</v>
      </c>
      <c r="B1964" s="44" t="s">
        <v>5998</v>
      </c>
      <c r="C1964" s="44" t="s">
        <v>5999</v>
      </c>
      <c r="D1964" s="44" t="s">
        <v>1621</v>
      </c>
      <c r="E1964" s="49" t="s">
        <v>885</v>
      </c>
      <c r="F1964" s="44" t="s">
        <v>1117</v>
      </c>
      <c r="G1964" s="44">
        <v>100.0</v>
      </c>
      <c r="H1964" s="47" t="s">
        <v>970</v>
      </c>
      <c r="I1964" s="47" t="s">
        <v>885</v>
      </c>
      <c r="J1964" s="44">
        <v>10.724305</v>
      </c>
      <c r="K1964" s="48">
        <v>106.645159</v>
      </c>
    </row>
    <row r="1965" ht="22.5" customHeight="1">
      <c r="A1965" s="44" t="s">
        <v>569</v>
      </c>
      <c r="B1965" s="44" t="s">
        <v>6000</v>
      </c>
      <c r="C1965" s="44" t="s">
        <v>6001</v>
      </c>
      <c r="D1965" s="44" t="s">
        <v>1925</v>
      </c>
      <c r="E1965" s="49" t="s">
        <v>885</v>
      </c>
      <c r="F1965" s="44" t="s">
        <v>1117</v>
      </c>
      <c r="G1965" s="44">
        <v>60.0</v>
      </c>
      <c r="H1965" s="47" t="s">
        <v>970</v>
      </c>
      <c r="I1965" s="47" t="s">
        <v>885</v>
      </c>
      <c r="J1965" s="44">
        <v>10.734365</v>
      </c>
      <c r="K1965" s="48">
        <v>106.659457</v>
      </c>
    </row>
    <row r="1966" ht="22.5" customHeight="1">
      <c r="A1966" s="44" t="s">
        <v>790</v>
      </c>
      <c r="B1966" s="44" t="s">
        <v>6002</v>
      </c>
      <c r="C1966" s="44" t="s">
        <v>6003</v>
      </c>
      <c r="D1966" s="44" t="s">
        <v>1648</v>
      </c>
      <c r="E1966" s="49" t="s">
        <v>883</v>
      </c>
      <c r="F1966" s="44" t="s">
        <v>1471</v>
      </c>
      <c r="G1966" s="44">
        <v>80.0</v>
      </c>
      <c r="H1966" s="47" t="s">
        <v>970</v>
      </c>
      <c r="I1966" s="47" t="s">
        <v>890</v>
      </c>
      <c r="J1966" s="44">
        <v>10.944853</v>
      </c>
      <c r="K1966" s="48">
        <v>106.736833</v>
      </c>
    </row>
    <row r="1967" ht="22.5" customHeight="1">
      <c r="A1967" s="44" t="s">
        <v>706</v>
      </c>
      <c r="B1967" s="44" t="s">
        <v>6004</v>
      </c>
      <c r="C1967" s="44" t="s">
        <v>4752</v>
      </c>
      <c r="D1967" s="44" t="s">
        <v>1359</v>
      </c>
      <c r="E1967" s="49" t="s">
        <v>813</v>
      </c>
      <c r="F1967" s="44" t="s">
        <v>1015</v>
      </c>
      <c r="G1967" s="44">
        <v>70.0</v>
      </c>
      <c r="H1967" s="47" t="s">
        <v>970</v>
      </c>
      <c r="I1967" s="47" t="s">
        <v>813</v>
      </c>
      <c r="J1967" s="44">
        <v>10.757013</v>
      </c>
      <c r="K1967" s="48">
        <v>106.66597</v>
      </c>
    </row>
    <row r="1968" ht="22.5" customHeight="1">
      <c r="A1968" s="44" t="s">
        <v>504</v>
      </c>
      <c r="B1968" s="44" t="s">
        <v>6005</v>
      </c>
      <c r="C1968" s="44" t="s">
        <v>6006</v>
      </c>
      <c r="D1968" s="44" t="s">
        <v>1129</v>
      </c>
      <c r="E1968" s="49" t="s">
        <v>910</v>
      </c>
      <c r="F1968" s="44" t="s">
        <v>987</v>
      </c>
      <c r="G1968" s="44">
        <v>45.0</v>
      </c>
      <c r="H1968" s="47" t="s">
        <v>970</v>
      </c>
      <c r="I1968" s="47" t="s">
        <v>910</v>
      </c>
      <c r="J1968" s="44">
        <v>10.776575</v>
      </c>
      <c r="K1968" s="48">
        <v>106.671914</v>
      </c>
    </row>
    <row r="1969" ht="22.5" customHeight="1">
      <c r="A1969" s="44" t="s">
        <v>464</v>
      </c>
      <c r="B1969" s="44" t="s">
        <v>6007</v>
      </c>
      <c r="C1969" s="44" t="s">
        <v>6008</v>
      </c>
      <c r="D1969" s="44" t="s">
        <v>1925</v>
      </c>
      <c r="E1969" s="49" t="s">
        <v>885</v>
      </c>
      <c r="F1969" s="44" t="s">
        <v>1117</v>
      </c>
      <c r="G1969" s="44">
        <v>60.0</v>
      </c>
      <c r="H1969" s="47" t="s">
        <v>970</v>
      </c>
      <c r="I1969" s="47" t="s">
        <v>885</v>
      </c>
      <c r="J1969" s="44">
        <v>10.738047</v>
      </c>
      <c r="K1969" s="48">
        <v>106.658016</v>
      </c>
    </row>
    <row r="1970" ht="22.5" customHeight="1">
      <c r="A1970" s="44" t="s">
        <v>751</v>
      </c>
      <c r="B1970" s="44" t="s">
        <v>6009</v>
      </c>
      <c r="C1970" s="44" t="s">
        <v>6010</v>
      </c>
      <c r="D1970" s="44" t="s">
        <v>1268</v>
      </c>
      <c r="E1970" s="49" t="s">
        <v>910</v>
      </c>
      <c r="F1970" s="44" t="s">
        <v>987</v>
      </c>
      <c r="G1970" s="44">
        <v>60.0</v>
      </c>
      <c r="H1970" s="47" t="s">
        <v>970</v>
      </c>
      <c r="I1970" s="47" t="s">
        <v>826</v>
      </c>
      <c r="J1970" s="44">
        <v>10.776407</v>
      </c>
      <c r="K1970" s="48">
        <v>106.686573</v>
      </c>
    </row>
    <row r="1971" ht="22.5" customHeight="1">
      <c r="A1971" s="44" t="s">
        <v>216</v>
      </c>
      <c r="B1971" s="44" t="s">
        <v>6011</v>
      </c>
      <c r="C1971" s="44" t="s">
        <v>6012</v>
      </c>
      <c r="D1971" s="44" t="s">
        <v>1030</v>
      </c>
      <c r="E1971" s="49" t="s">
        <v>887</v>
      </c>
      <c r="F1971" s="44" t="s">
        <v>1031</v>
      </c>
      <c r="G1971" s="44">
        <v>70.0</v>
      </c>
      <c r="H1971" s="47" t="s">
        <v>970</v>
      </c>
      <c r="I1971" s="47" t="s">
        <v>832</v>
      </c>
      <c r="J1971" s="44">
        <v>10.796619</v>
      </c>
      <c r="K1971" s="48">
        <v>106.737206</v>
      </c>
    </row>
    <row r="1972" ht="22.5" customHeight="1">
      <c r="A1972" s="44" t="s">
        <v>507</v>
      </c>
      <c r="B1972" s="44" t="s">
        <v>6013</v>
      </c>
      <c r="C1972" s="44" t="s">
        <v>6014</v>
      </c>
      <c r="D1972" s="44" t="s">
        <v>6015</v>
      </c>
      <c r="E1972" s="49" t="s">
        <v>892</v>
      </c>
      <c r="F1972" s="44" t="s">
        <v>1108</v>
      </c>
      <c r="G1972" s="44">
        <v>120.0</v>
      </c>
      <c r="H1972" s="47" t="s">
        <v>970</v>
      </c>
      <c r="I1972" s="47" t="s">
        <v>850</v>
      </c>
      <c r="J1972" s="44">
        <v>11.090455</v>
      </c>
      <c r="K1972" s="48">
        <v>106.543467</v>
      </c>
    </row>
    <row r="1973" ht="22.5" customHeight="1">
      <c r="A1973" s="44" t="s">
        <v>174</v>
      </c>
      <c r="B1973" s="44" t="s">
        <v>6016</v>
      </c>
      <c r="C1973" s="44" t="s">
        <v>6017</v>
      </c>
      <c r="D1973" s="44" t="s">
        <v>990</v>
      </c>
      <c r="E1973" s="49" t="s">
        <v>894</v>
      </c>
      <c r="F1973" s="44" t="s">
        <v>974</v>
      </c>
      <c r="G1973" s="44">
        <v>68.0</v>
      </c>
      <c r="H1973" s="47" t="s">
        <v>970</v>
      </c>
      <c r="I1973" s="47" t="s">
        <v>894</v>
      </c>
      <c r="J1973" s="44">
        <v>10.737331</v>
      </c>
      <c r="K1973" s="48">
        <v>106.724166</v>
      </c>
    </row>
    <row r="1974" ht="22.5" customHeight="1">
      <c r="A1974" s="44" t="s">
        <v>6018</v>
      </c>
      <c r="B1974" s="44" t="s">
        <v>6019</v>
      </c>
      <c r="C1974" s="44" t="s">
        <v>6020</v>
      </c>
      <c r="D1974" s="44" t="s">
        <v>1116</v>
      </c>
      <c r="E1974" s="49" t="s">
        <v>885</v>
      </c>
      <c r="F1974" s="44" t="s">
        <v>1117</v>
      </c>
      <c r="G1974" s="44">
        <v>60.0</v>
      </c>
      <c r="H1974" s="47" t="s">
        <v>970</v>
      </c>
      <c r="I1974" s="47" t="s">
        <v>885</v>
      </c>
      <c r="J1974" s="44">
        <v>10.741241</v>
      </c>
      <c r="K1974" s="48">
        <v>106.669706</v>
      </c>
    </row>
    <row r="1975" ht="22.5" customHeight="1">
      <c r="A1975" s="44" t="s">
        <v>646</v>
      </c>
      <c r="B1975" s="44" t="s">
        <v>6021</v>
      </c>
      <c r="C1975" s="44" t="s">
        <v>6022</v>
      </c>
      <c r="D1975" s="44" t="s">
        <v>1129</v>
      </c>
      <c r="E1975" s="49" t="s">
        <v>910</v>
      </c>
      <c r="F1975" s="44" t="s">
        <v>987</v>
      </c>
      <c r="G1975" s="44">
        <v>60.0</v>
      </c>
      <c r="H1975" s="47" t="s">
        <v>970</v>
      </c>
      <c r="I1975" s="47" t="s">
        <v>910</v>
      </c>
      <c r="J1975" s="44">
        <v>10.780093</v>
      </c>
      <c r="K1975" s="48">
        <v>106.663793</v>
      </c>
    </row>
    <row r="1976" ht="22.5" customHeight="1">
      <c r="A1976" s="44" t="s">
        <v>6023</v>
      </c>
      <c r="B1976" s="44" t="s">
        <v>6024</v>
      </c>
      <c r="C1976" s="44" t="s">
        <v>6025</v>
      </c>
      <c r="D1976" s="44" t="s">
        <v>2067</v>
      </c>
      <c r="E1976" s="49" t="s">
        <v>900</v>
      </c>
      <c r="F1976" s="44" t="s">
        <v>978</v>
      </c>
      <c r="G1976" s="44">
        <v>60.0</v>
      </c>
      <c r="H1976" s="47" t="s">
        <v>970</v>
      </c>
      <c r="I1976" s="47" t="s">
        <v>900</v>
      </c>
      <c r="J1976" s="44">
        <v>10.793018</v>
      </c>
      <c r="K1976" s="48">
        <v>106.685267</v>
      </c>
    </row>
    <row r="1977" ht="22.5" customHeight="1">
      <c r="A1977" s="44" t="s">
        <v>627</v>
      </c>
      <c r="B1977" s="44" t="s">
        <v>6026</v>
      </c>
      <c r="C1977" s="44" t="s">
        <v>6027</v>
      </c>
      <c r="D1977" s="44" t="s">
        <v>1139</v>
      </c>
      <c r="E1977" s="49" t="s">
        <v>894</v>
      </c>
      <c r="F1977" s="44" t="s">
        <v>974</v>
      </c>
      <c r="G1977" s="44">
        <v>70.0</v>
      </c>
      <c r="H1977" s="47" t="s">
        <v>970</v>
      </c>
      <c r="I1977" s="47" t="s">
        <v>882</v>
      </c>
      <c r="J1977" s="44">
        <v>10.694905</v>
      </c>
      <c r="K1977" s="48">
        <v>106.704645</v>
      </c>
    </row>
    <row r="1978" ht="22.5" customHeight="1">
      <c r="A1978" s="44" t="s">
        <v>6028</v>
      </c>
      <c r="B1978" s="44" t="s">
        <v>6029</v>
      </c>
      <c r="C1978" s="44" t="s">
        <v>6030</v>
      </c>
      <c r="D1978" s="44" t="s">
        <v>1116</v>
      </c>
      <c r="E1978" s="49"/>
      <c r="F1978" s="44" t="s">
        <v>1098</v>
      </c>
      <c r="G1978" s="44"/>
      <c r="H1978" s="47" t="s">
        <v>970</v>
      </c>
      <c r="I1978" s="47" t="s">
        <v>885</v>
      </c>
      <c r="J1978" s="44">
        <v>10.741667</v>
      </c>
      <c r="K1978" s="48">
        <v>106.676389</v>
      </c>
    </row>
    <row r="1979" ht="22.5" customHeight="1">
      <c r="A1979" s="44" t="s">
        <v>715</v>
      </c>
      <c r="B1979" s="44" t="s">
        <v>6031</v>
      </c>
      <c r="C1979" s="44" t="s">
        <v>6032</v>
      </c>
      <c r="D1979" s="44" t="s">
        <v>1496</v>
      </c>
      <c r="E1979" s="49" t="s">
        <v>804</v>
      </c>
      <c r="F1979" s="44" t="s">
        <v>1497</v>
      </c>
      <c r="G1979" s="44">
        <v>60.0</v>
      </c>
      <c r="H1979" s="47" t="s">
        <v>970</v>
      </c>
      <c r="I1979" s="47" t="s">
        <v>804</v>
      </c>
      <c r="J1979" s="44">
        <v>10.75535</v>
      </c>
      <c r="K1979" s="48">
        <v>106.693917</v>
      </c>
    </row>
    <row r="1980" ht="22.5" customHeight="1">
      <c r="A1980" s="44" t="s">
        <v>664</v>
      </c>
      <c r="B1980" s="44" t="s">
        <v>6033</v>
      </c>
      <c r="C1980" s="44" t="s">
        <v>6034</v>
      </c>
      <c r="D1980" s="44" t="s">
        <v>1883</v>
      </c>
      <c r="E1980" s="49" t="s">
        <v>883</v>
      </c>
      <c r="F1980" s="44" t="s">
        <v>1471</v>
      </c>
      <c r="G1980" s="44">
        <v>60.0</v>
      </c>
      <c r="H1980" s="47" t="s">
        <v>970</v>
      </c>
      <c r="I1980" s="47" t="s">
        <v>883</v>
      </c>
      <c r="J1980" s="44">
        <v>10.886327</v>
      </c>
      <c r="K1980" s="48">
        <v>106.704321</v>
      </c>
    </row>
    <row r="1981" ht="22.5" customHeight="1">
      <c r="A1981" s="44" t="s">
        <v>217</v>
      </c>
      <c r="B1981" s="44" t="s">
        <v>6035</v>
      </c>
      <c r="C1981" s="44" t="s">
        <v>6036</v>
      </c>
      <c r="D1981" s="44" t="s">
        <v>1036</v>
      </c>
      <c r="E1981" s="49" t="s">
        <v>887</v>
      </c>
      <c r="F1981" s="44" t="s">
        <v>1031</v>
      </c>
      <c r="G1981" s="44">
        <v>70.0</v>
      </c>
      <c r="H1981" s="47" t="s">
        <v>970</v>
      </c>
      <c r="I1981" s="47" t="s">
        <v>898</v>
      </c>
      <c r="J1981" s="44">
        <v>10.784499852616</v>
      </c>
      <c r="K1981" s="48">
        <v>106.74772687866</v>
      </c>
    </row>
    <row r="1982" ht="22.5" customHeight="1">
      <c r="A1982" s="44">
        <v>3.0</v>
      </c>
      <c r="B1982" s="44" t="s">
        <v>6037</v>
      </c>
      <c r="C1982" s="44" t="s">
        <v>6038</v>
      </c>
      <c r="D1982" s="44" t="s">
        <v>1076</v>
      </c>
      <c r="E1982" s="49"/>
      <c r="F1982" s="44" t="s">
        <v>1098</v>
      </c>
      <c r="G1982" s="44"/>
      <c r="H1982" s="47" t="s">
        <v>970</v>
      </c>
      <c r="I1982" s="47" t="s">
        <v>813</v>
      </c>
      <c r="J1982" s="44">
        <v>10.758358</v>
      </c>
      <c r="K1982" s="48">
        <v>106.670814</v>
      </c>
    </row>
    <row r="1983" ht="22.5" customHeight="1">
      <c r="A1983" s="44" t="s">
        <v>6039</v>
      </c>
      <c r="B1983" s="44" t="s">
        <v>6040</v>
      </c>
      <c r="C1983" s="44" t="s">
        <v>6041</v>
      </c>
      <c r="D1983" s="44" t="s">
        <v>1442</v>
      </c>
      <c r="E1983" s="49" t="s">
        <v>910</v>
      </c>
      <c r="F1983" s="44" t="s">
        <v>987</v>
      </c>
      <c r="G1983" s="44">
        <v>30.0</v>
      </c>
      <c r="H1983" s="47" t="s">
        <v>970</v>
      </c>
      <c r="I1983" s="47" t="s">
        <v>826</v>
      </c>
      <c r="J1983" s="44">
        <v>10.767077</v>
      </c>
      <c r="K1983" s="48">
        <v>106.683604</v>
      </c>
    </row>
    <row r="1984" ht="22.5" customHeight="1">
      <c r="A1984" s="44" t="s">
        <v>928</v>
      </c>
      <c r="B1984" s="44" t="s">
        <v>6042</v>
      </c>
      <c r="C1984" s="44" t="s">
        <v>6043</v>
      </c>
      <c r="D1984" s="44" t="s">
        <v>5920</v>
      </c>
      <c r="E1984" s="49"/>
      <c r="F1984" s="44" t="s">
        <v>1098</v>
      </c>
      <c r="G1984" s="44"/>
      <c r="H1984" s="47" t="s">
        <v>970</v>
      </c>
      <c r="I1984" s="47" t="s">
        <v>868</v>
      </c>
      <c r="J1984" s="44">
        <v>10.373745</v>
      </c>
      <c r="K1984" s="48">
        <v>106.346655</v>
      </c>
    </row>
    <row r="1985" ht="22.5" customHeight="1">
      <c r="A1985" s="44" t="s">
        <v>6044</v>
      </c>
      <c r="B1985" s="44" t="s">
        <v>6045</v>
      </c>
      <c r="C1985" s="44" t="s">
        <v>6046</v>
      </c>
      <c r="D1985" s="44" t="s">
        <v>1977</v>
      </c>
      <c r="E1985" s="49"/>
      <c r="F1985" s="44" t="s">
        <v>1098</v>
      </c>
      <c r="G1985" s="44"/>
      <c r="H1985" s="47" t="s">
        <v>970</v>
      </c>
      <c r="I1985" s="47" t="s">
        <v>863</v>
      </c>
      <c r="J1985" s="44">
        <v>10.490968402669</v>
      </c>
      <c r="K1985" s="48">
        <v>107.16817786696</v>
      </c>
    </row>
    <row r="1986" ht="22.5" customHeight="1">
      <c r="A1986" s="44" t="s">
        <v>6047</v>
      </c>
      <c r="B1986" s="44" t="s">
        <v>6048</v>
      </c>
      <c r="C1986" s="44" t="s">
        <v>6049</v>
      </c>
      <c r="D1986" s="44" t="s">
        <v>3233</v>
      </c>
      <c r="E1986" s="49"/>
      <c r="F1986" s="44" t="s">
        <v>1098</v>
      </c>
      <c r="G1986" s="44"/>
      <c r="H1986" s="47" t="s">
        <v>970</v>
      </c>
      <c r="I1986" s="47" t="s">
        <v>870</v>
      </c>
      <c r="J1986" s="44">
        <v>10.00251821306</v>
      </c>
      <c r="K1986" s="48">
        <v>105.79444427809</v>
      </c>
    </row>
    <row r="1987" ht="22.5" customHeight="1">
      <c r="A1987" s="44" t="s">
        <v>940</v>
      </c>
      <c r="B1987" s="44" t="s">
        <v>6050</v>
      </c>
      <c r="C1987" s="44" t="s">
        <v>6051</v>
      </c>
      <c r="D1987" s="44" t="s">
        <v>4854</v>
      </c>
      <c r="E1987" s="49"/>
      <c r="F1987" s="44" t="s">
        <v>1098</v>
      </c>
      <c r="G1987" s="44"/>
      <c r="H1987" s="47" t="s">
        <v>970</v>
      </c>
      <c r="I1987" s="47" t="s">
        <v>868</v>
      </c>
      <c r="J1987" s="44">
        <v>10.426125</v>
      </c>
      <c r="K1987" s="48">
        <v>106.319994</v>
      </c>
    </row>
    <row r="1988" ht="22.5" customHeight="1">
      <c r="A1988" s="44" t="s">
        <v>6052</v>
      </c>
      <c r="B1988" s="44" t="s">
        <v>6053</v>
      </c>
      <c r="C1988" s="44" t="s">
        <v>6054</v>
      </c>
      <c r="D1988" s="44" t="s">
        <v>2706</v>
      </c>
      <c r="E1988" s="49"/>
      <c r="F1988" s="44" t="s">
        <v>1098</v>
      </c>
      <c r="G1988" s="44"/>
      <c r="H1988" s="47" t="s">
        <v>970</v>
      </c>
      <c r="I1988" s="47" t="s">
        <v>870</v>
      </c>
      <c r="J1988" s="44">
        <v>9.968657</v>
      </c>
      <c r="K1988" s="48">
        <v>105.104204</v>
      </c>
    </row>
    <row r="1989" ht="22.5" customHeight="1">
      <c r="A1989" s="44" t="s">
        <v>6055</v>
      </c>
      <c r="B1989" s="44" t="s">
        <v>6056</v>
      </c>
      <c r="C1989" s="44" t="s">
        <v>6057</v>
      </c>
      <c r="D1989" s="44" t="s">
        <v>1014</v>
      </c>
      <c r="E1989" s="49"/>
      <c r="F1989" s="44" t="s">
        <v>1098</v>
      </c>
      <c r="G1989" s="44"/>
      <c r="H1989" s="47" t="s">
        <v>970</v>
      </c>
      <c r="I1989" s="47" t="s">
        <v>813</v>
      </c>
      <c r="J1989" s="44">
        <v>10.759924</v>
      </c>
      <c r="K1989" s="48">
        <v>106.677128</v>
      </c>
    </row>
    <row r="1990" ht="22.5" customHeight="1">
      <c r="A1990" s="44" t="s">
        <v>869</v>
      </c>
      <c r="B1990" s="44" t="s">
        <v>6058</v>
      </c>
      <c r="C1990" s="44" t="s">
        <v>6059</v>
      </c>
      <c r="D1990" s="44" t="s">
        <v>1076</v>
      </c>
      <c r="E1990" s="49"/>
      <c r="F1990" s="44" t="s">
        <v>1098</v>
      </c>
      <c r="G1990" s="44"/>
      <c r="H1990" s="47" t="s">
        <v>970</v>
      </c>
      <c r="I1990" s="47" t="s">
        <v>813</v>
      </c>
      <c r="J1990" s="44">
        <v>10.759977</v>
      </c>
      <c r="K1990" s="48">
        <v>106.672711</v>
      </c>
    </row>
    <row r="1991" ht="22.5" customHeight="1">
      <c r="A1991" s="44" t="s">
        <v>6060</v>
      </c>
      <c r="B1991" s="44" t="s">
        <v>6061</v>
      </c>
      <c r="C1991" s="44" t="s">
        <v>6062</v>
      </c>
      <c r="D1991" s="44" t="s">
        <v>1359</v>
      </c>
      <c r="E1991" s="49"/>
      <c r="F1991" s="44" t="s">
        <v>1098</v>
      </c>
      <c r="G1991" s="44"/>
      <c r="H1991" s="47" t="s">
        <v>970</v>
      </c>
      <c r="I1991" s="47" t="s">
        <v>825</v>
      </c>
      <c r="J1991" s="44">
        <v>10.749064722875</v>
      </c>
      <c r="K1991" s="48">
        <v>106.66181447846</v>
      </c>
    </row>
    <row r="1992" ht="22.5" customHeight="1">
      <c r="A1992" s="44" t="s">
        <v>6060</v>
      </c>
      <c r="B1992" s="44" t="s">
        <v>6063</v>
      </c>
      <c r="C1992" s="44" t="s">
        <v>6064</v>
      </c>
      <c r="D1992" s="44" t="s">
        <v>1359</v>
      </c>
      <c r="E1992" s="49"/>
      <c r="F1992" s="44" t="s">
        <v>1098</v>
      </c>
      <c r="G1992" s="44"/>
      <c r="H1992" s="47" t="s">
        <v>970</v>
      </c>
      <c r="I1992" s="47" t="s">
        <v>813</v>
      </c>
      <c r="J1992" s="44">
        <v>10.74952</v>
      </c>
      <c r="K1992" s="48">
        <v>106.675075</v>
      </c>
    </row>
    <row r="1993" ht="22.5" customHeight="1">
      <c r="A1993" s="44" t="s">
        <v>6065</v>
      </c>
      <c r="B1993" s="44" t="s">
        <v>6066</v>
      </c>
      <c r="C1993" s="44" t="s">
        <v>6067</v>
      </c>
      <c r="D1993" s="44" t="s">
        <v>1167</v>
      </c>
      <c r="E1993" s="49"/>
      <c r="F1993" s="44" t="s">
        <v>1098</v>
      </c>
      <c r="G1993" s="50"/>
      <c r="H1993" s="47" t="s">
        <v>970</v>
      </c>
      <c r="I1993" s="47" t="s">
        <v>789</v>
      </c>
      <c r="J1993" s="44">
        <v>10.740958</v>
      </c>
      <c r="K1993" s="48">
        <v>106.618896</v>
      </c>
    </row>
    <row r="1994" ht="22.5" customHeight="1">
      <c r="A1994" s="44" t="s">
        <v>6068</v>
      </c>
      <c r="B1994" s="44" t="s">
        <v>6069</v>
      </c>
      <c r="C1994" s="44" t="s">
        <v>6070</v>
      </c>
      <c r="D1994" s="44" t="s">
        <v>1076</v>
      </c>
      <c r="E1994" s="49"/>
      <c r="F1994" s="44" t="s">
        <v>1098</v>
      </c>
      <c r="G1994" s="44"/>
      <c r="H1994" s="47" t="s">
        <v>970</v>
      </c>
      <c r="I1994" s="47" t="s">
        <v>813</v>
      </c>
      <c r="J1994" s="44">
        <v>10.751387</v>
      </c>
      <c r="K1994" s="48">
        <v>106.67443</v>
      </c>
    </row>
    <row r="1995" ht="22.5" customHeight="1">
      <c r="A1995" s="44" t="s">
        <v>6071</v>
      </c>
      <c r="B1995" s="44" t="s">
        <v>6072</v>
      </c>
      <c r="C1995" s="44" t="s">
        <v>6073</v>
      </c>
      <c r="D1995" s="44" t="s">
        <v>1076</v>
      </c>
      <c r="E1995" s="49"/>
      <c r="F1995" s="44" t="s">
        <v>1098</v>
      </c>
      <c r="G1995" s="44"/>
      <c r="H1995" s="47" t="s">
        <v>970</v>
      </c>
      <c r="I1995" s="47" t="s">
        <v>813</v>
      </c>
      <c r="J1995" s="44">
        <v>10.752116142967</v>
      </c>
      <c r="K1995" s="48">
        <v>106.67670762697</v>
      </c>
    </row>
    <row r="1996" ht="22.5" customHeight="1">
      <c r="A1996" s="44" t="s">
        <v>6074</v>
      </c>
      <c r="B1996" s="44" t="s">
        <v>6075</v>
      </c>
      <c r="C1996" s="44" t="s">
        <v>6076</v>
      </c>
      <c r="D1996" s="44" t="s">
        <v>1135</v>
      </c>
      <c r="E1996" s="49"/>
      <c r="F1996" s="44" t="s">
        <v>1098</v>
      </c>
      <c r="G1996" s="44"/>
      <c r="H1996" s="47" t="s">
        <v>970</v>
      </c>
      <c r="I1996" s="47" t="s">
        <v>804</v>
      </c>
      <c r="J1996" s="44">
        <v>10.765273</v>
      </c>
      <c r="K1996" s="48">
        <v>106.699382</v>
      </c>
    </row>
    <row r="1997" ht="22.5" customHeight="1">
      <c r="A1997" s="44" t="s">
        <v>6077</v>
      </c>
      <c r="B1997" s="44" t="s">
        <v>6078</v>
      </c>
      <c r="C1997" s="44" t="s">
        <v>6079</v>
      </c>
      <c r="D1997" s="44" t="s">
        <v>1135</v>
      </c>
      <c r="E1997" s="49"/>
      <c r="F1997" s="44" t="s">
        <v>1098</v>
      </c>
      <c r="G1997" s="44"/>
      <c r="H1997" s="47" t="s">
        <v>970</v>
      </c>
      <c r="I1997" s="47" t="s">
        <v>804</v>
      </c>
      <c r="J1997" s="44">
        <v>10.765679309461</v>
      </c>
      <c r="K1997" s="48">
        <v>106.69842222264</v>
      </c>
    </row>
    <row r="1998" ht="22.5" customHeight="1">
      <c r="A1998" s="44" t="s">
        <v>6080</v>
      </c>
      <c r="B1998" s="44" t="s">
        <v>6081</v>
      </c>
      <c r="C1998" s="44" t="s">
        <v>6082</v>
      </c>
      <c r="D1998" s="44" t="s">
        <v>1076</v>
      </c>
      <c r="E1998" s="49"/>
      <c r="F1998" s="44" t="s">
        <v>1098</v>
      </c>
      <c r="G1998" s="44"/>
      <c r="H1998" s="47" t="s">
        <v>970</v>
      </c>
      <c r="I1998" s="47" t="s">
        <v>813</v>
      </c>
      <c r="J1998" s="44">
        <v>10.751064</v>
      </c>
      <c r="K1998" s="48">
        <v>106.667268</v>
      </c>
    </row>
    <row r="1999" ht="22.5" customHeight="1">
      <c r="A1999" s="44" t="s">
        <v>865</v>
      </c>
      <c r="B1999" s="44" t="s">
        <v>6083</v>
      </c>
      <c r="C1999" s="44" t="s">
        <v>6084</v>
      </c>
      <c r="D1999" s="44" t="s">
        <v>1076</v>
      </c>
      <c r="E1999" s="49"/>
      <c r="F1999" s="44" t="s">
        <v>1098</v>
      </c>
      <c r="G1999" s="44"/>
      <c r="H1999" s="47" t="s">
        <v>970</v>
      </c>
      <c r="I1999" s="47" t="s">
        <v>813</v>
      </c>
      <c r="J1999" s="44">
        <v>10.758358</v>
      </c>
      <c r="K1999" s="48">
        <v>106.670814</v>
      </c>
    </row>
    <row r="2000" ht="22.5" customHeight="1">
      <c r="A2000" s="44" t="s">
        <v>6085</v>
      </c>
      <c r="B2000" s="44" t="s">
        <v>6086</v>
      </c>
      <c r="C2000" s="44" t="s">
        <v>6087</v>
      </c>
      <c r="D2000" s="44" t="s">
        <v>1076</v>
      </c>
      <c r="E2000" s="49"/>
      <c r="F2000" s="44" t="s">
        <v>1098</v>
      </c>
      <c r="G2000" s="44"/>
      <c r="H2000" s="47" t="s">
        <v>970</v>
      </c>
      <c r="I2000" s="47" t="s">
        <v>813</v>
      </c>
      <c r="J2000" s="44">
        <v>10.758358</v>
      </c>
      <c r="K2000" s="48">
        <v>106.670814</v>
      </c>
    </row>
    <row r="2001" ht="22.5" customHeight="1">
      <c r="A2001" s="44" t="s">
        <v>6085</v>
      </c>
      <c r="B2001" s="44" t="s">
        <v>6088</v>
      </c>
      <c r="C2001" s="44" t="s">
        <v>6087</v>
      </c>
      <c r="D2001" s="44" t="s">
        <v>1076</v>
      </c>
      <c r="E2001" s="49"/>
      <c r="F2001" s="44" t="s">
        <v>1098</v>
      </c>
      <c r="G2001" s="44"/>
      <c r="H2001" s="47" t="s">
        <v>970</v>
      </c>
      <c r="I2001" s="47" t="s">
        <v>813</v>
      </c>
      <c r="J2001" s="44">
        <v>10.758358</v>
      </c>
      <c r="K2001" s="48">
        <v>106.670814</v>
      </c>
    </row>
    <row r="2002" ht="22.5" customHeight="1">
      <c r="A2002" s="44" t="s">
        <v>867</v>
      </c>
      <c r="B2002" s="44" t="s">
        <v>6089</v>
      </c>
      <c r="C2002" s="44" t="s">
        <v>6090</v>
      </c>
      <c r="D2002" s="44" t="s">
        <v>1076</v>
      </c>
      <c r="E2002" s="49"/>
      <c r="F2002" s="44" t="s">
        <v>1098</v>
      </c>
      <c r="G2002" s="44"/>
      <c r="H2002" s="47" t="s">
        <v>970</v>
      </c>
      <c r="I2002" s="47" t="s">
        <v>813</v>
      </c>
      <c r="J2002" s="44">
        <v>10.75586</v>
      </c>
      <c r="K2002" s="48">
        <v>106.672354</v>
      </c>
    </row>
    <row r="2003" ht="22.5" customHeight="1">
      <c r="A2003" s="44" t="s">
        <v>6091</v>
      </c>
      <c r="B2003" s="44" t="s">
        <v>6092</v>
      </c>
      <c r="C2003" s="44" t="s">
        <v>6093</v>
      </c>
      <c r="D2003" s="44" t="s">
        <v>1129</v>
      </c>
      <c r="E2003" s="49"/>
      <c r="F2003" s="44" t="s">
        <v>1098</v>
      </c>
      <c r="G2003" s="44"/>
      <c r="H2003" s="47" t="s">
        <v>970</v>
      </c>
      <c r="I2003" s="47" t="s">
        <v>910</v>
      </c>
      <c r="J2003" s="44">
        <v>10.775286</v>
      </c>
      <c r="K2003" s="48">
        <v>106.671628</v>
      </c>
    </row>
    <row r="2004" ht="22.5" customHeight="1">
      <c r="A2004" s="44" t="s">
        <v>558</v>
      </c>
      <c r="B2004" s="44" t="s">
        <v>6094</v>
      </c>
      <c r="C2004" s="44" t="s">
        <v>6095</v>
      </c>
      <c r="D2004" s="44" t="s">
        <v>1700</v>
      </c>
      <c r="E2004" s="49" t="s">
        <v>518</v>
      </c>
      <c r="F2004" s="44" t="s">
        <v>1011</v>
      </c>
      <c r="G2004" s="44">
        <v>60.0</v>
      </c>
      <c r="H2004" s="47" t="s">
        <v>970</v>
      </c>
      <c r="I2004" s="47" t="s">
        <v>518</v>
      </c>
      <c r="J2004" s="44">
        <v>10.766506</v>
      </c>
      <c r="K2004" s="48">
        <v>106.643092</v>
      </c>
    </row>
    <row r="2005" ht="22.5" customHeight="1">
      <c r="A2005" s="44" t="s">
        <v>6096</v>
      </c>
      <c r="B2005" s="44" t="s">
        <v>6097</v>
      </c>
      <c r="C2005" s="44" t="s">
        <v>6098</v>
      </c>
      <c r="D2005" s="44" t="s">
        <v>1802</v>
      </c>
      <c r="E2005" s="49" t="s">
        <v>888</v>
      </c>
      <c r="F2005" s="44" t="s">
        <v>1136</v>
      </c>
      <c r="G2005" s="44">
        <v>60.0</v>
      </c>
      <c r="H2005" s="47" t="s">
        <v>970</v>
      </c>
      <c r="I2005" s="47" t="s">
        <v>804</v>
      </c>
      <c r="J2005" s="44">
        <v>10.769038</v>
      </c>
      <c r="K2005" s="48">
        <v>106.690882</v>
      </c>
    </row>
    <row r="2006" ht="22.5" customHeight="1">
      <c r="A2006" s="44" t="s">
        <v>6099</v>
      </c>
      <c r="B2006" s="44" t="s">
        <v>6100</v>
      </c>
      <c r="C2006" s="44" t="s">
        <v>6101</v>
      </c>
      <c r="D2006" s="44" t="s">
        <v>986</v>
      </c>
      <c r="E2006" s="49" t="s">
        <v>910</v>
      </c>
      <c r="F2006" s="44" t="s">
        <v>987</v>
      </c>
      <c r="G2006" s="44">
        <v>30.0</v>
      </c>
      <c r="H2006" s="47" t="s">
        <v>970</v>
      </c>
      <c r="I2006" s="47" t="s">
        <v>824</v>
      </c>
      <c r="J2006" s="44">
        <v>10.775569</v>
      </c>
      <c r="K2006" s="48">
        <v>106.657409</v>
      </c>
    </row>
    <row r="2007" ht="22.5" customHeight="1">
      <c r="A2007" s="44" t="s">
        <v>222</v>
      </c>
      <c r="B2007" s="44" t="s">
        <v>6102</v>
      </c>
      <c r="C2007" s="44" t="s">
        <v>6103</v>
      </c>
      <c r="D2007" s="44" t="s">
        <v>1030</v>
      </c>
      <c r="E2007" s="49" t="s">
        <v>887</v>
      </c>
      <c r="F2007" s="44" t="s">
        <v>1031</v>
      </c>
      <c r="G2007" s="44">
        <v>74.0</v>
      </c>
      <c r="H2007" s="47" t="s">
        <v>970</v>
      </c>
      <c r="I2007" s="47" t="s">
        <v>832</v>
      </c>
      <c r="J2007" s="44">
        <v>10.807331</v>
      </c>
      <c r="K2007" s="48">
        <v>106.730976</v>
      </c>
    </row>
    <row r="2008" ht="22.5" customHeight="1">
      <c r="A2008" s="44" t="s">
        <v>6104</v>
      </c>
      <c r="B2008" s="44" t="s">
        <v>6105</v>
      </c>
      <c r="C2008" s="44" t="s">
        <v>6106</v>
      </c>
      <c r="D2008" s="44" t="s">
        <v>1018</v>
      </c>
      <c r="E2008" s="49" t="s">
        <v>808</v>
      </c>
      <c r="F2008" s="44" t="s">
        <v>998</v>
      </c>
      <c r="G2008" s="44">
        <v>60.0</v>
      </c>
      <c r="H2008" s="47" t="s">
        <v>970</v>
      </c>
      <c r="I2008" s="47" t="s">
        <v>808</v>
      </c>
      <c r="J2008" s="44">
        <v>10.74654047306</v>
      </c>
      <c r="K2008" s="48">
        <v>106.63450657796</v>
      </c>
    </row>
    <row r="2009" ht="22.5" customHeight="1">
      <c r="A2009" s="44" t="s">
        <v>6107</v>
      </c>
      <c r="B2009" s="44" t="s">
        <v>6108</v>
      </c>
      <c r="C2009" s="44" t="s">
        <v>6109</v>
      </c>
      <c r="D2009" s="44" t="s">
        <v>977</v>
      </c>
      <c r="E2009" s="49" t="s">
        <v>910</v>
      </c>
      <c r="F2009" s="44" t="s">
        <v>987</v>
      </c>
      <c r="G2009" s="44">
        <v>69.0</v>
      </c>
      <c r="H2009" s="47" t="s">
        <v>970</v>
      </c>
      <c r="I2009" s="47" t="s">
        <v>902</v>
      </c>
      <c r="J2009" s="44">
        <v>10.785035</v>
      </c>
      <c r="K2009" s="48">
        <v>106.670959</v>
      </c>
    </row>
    <row r="2010" ht="22.5" customHeight="1">
      <c r="A2010" s="44" t="s">
        <v>6110</v>
      </c>
      <c r="B2010" s="44" t="s">
        <v>6111</v>
      </c>
      <c r="C2010" s="44" t="s">
        <v>6112</v>
      </c>
      <c r="D2010" s="44" t="s">
        <v>1532</v>
      </c>
      <c r="E2010" s="49" t="s">
        <v>893</v>
      </c>
      <c r="F2010" s="44" t="s">
        <v>1088</v>
      </c>
      <c r="G2010" s="50">
        <v>45.0</v>
      </c>
      <c r="H2010" s="47" t="s">
        <v>970</v>
      </c>
      <c r="I2010" s="47" t="s">
        <v>806</v>
      </c>
      <c r="J2010" s="44">
        <v>10.792285</v>
      </c>
      <c r="K2010" s="48">
        <v>106.662058</v>
      </c>
    </row>
    <row r="2011" ht="22.5" customHeight="1">
      <c r="A2011" s="44" t="s">
        <v>6113</v>
      </c>
      <c r="B2011" s="44" t="s">
        <v>6114</v>
      </c>
      <c r="C2011" s="44" t="s">
        <v>6115</v>
      </c>
      <c r="D2011" s="44" t="s">
        <v>1076</v>
      </c>
      <c r="E2011" s="49" t="s">
        <v>885</v>
      </c>
      <c r="F2011" s="44" t="s">
        <v>1117</v>
      </c>
      <c r="G2011" s="50">
        <v>70.0</v>
      </c>
      <c r="H2011" s="47" t="s">
        <v>970</v>
      </c>
      <c r="I2011" s="47" t="s">
        <v>813</v>
      </c>
      <c r="J2011" s="44">
        <v>10.75602</v>
      </c>
      <c r="K2011" s="48">
        <v>106.668922</v>
      </c>
    </row>
    <row r="2012" ht="22.5" customHeight="1">
      <c r="A2012" s="44" t="s">
        <v>6116</v>
      </c>
      <c r="B2012" s="44" t="s">
        <v>6117</v>
      </c>
      <c r="C2012" s="44" t="s">
        <v>6118</v>
      </c>
      <c r="D2012" s="44" t="s">
        <v>1076</v>
      </c>
      <c r="E2012" s="49" t="s">
        <v>813</v>
      </c>
      <c r="F2012" s="44" t="s">
        <v>1015</v>
      </c>
      <c r="G2012" s="50">
        <v>76.0</v>
      </c>
      <c r="H2012" s="47" t="s">
        <v>970</v>
      </c>
      <c r="I2012" s="47" t="s">
        <v>813</v>
      </c>
      <c r="J2012" s="44">
        <v>10.754244</v>
      </c>
      <c r="K2012" s="48">
        <v>106.671571</v>
      </c>
    </row>
    <row r="2013" ht="22.5" customHeight="1">
      <c r="A2013" s="44" t="s">
        <v>6119</v>
      </c>
      <c r="B2013" s="44" t="s">
        <v>6120</v>
      </c>
      <c r="C2013" s="44" t="s">
        <v>6121</v>
      </c>
      <c r="D2013" s="44" t="s">
        <v>1496</v>
      </c>
      <c r="E2013" s="49" t="s">
        <v>804</v>
      </c>
      <c r="F2013" s="44" t="s">
        <v>1497</v>
      </c>
      <c r="G2013" s="50">
        <v>30.0</v>
      </c>
      <c r="H2013" s="47" t="s">
        <v>970</v>
      </c>
      <c r="I2013" s="47" t="s">
        <v>804</v>
      </c>
      <c r="J2013" s="44">
        <v>10.75535</v>
      </c>
      <c r="K2013" s="48">
        <v>106.693917</v>
      </c>
    </row>
    <row r="2014" ht="22.5" customHeight="1">
      <c r="A2014" s="44" t="s">
        <v>223</v>
      </c>
      <c r="B2014" s="44" t="s">
        <v>6122</v>
      </c>
      <c r="C2014" s="44" t="s">
        <v>6123</v>
      </c>
      <c r="D2014" s="44" t="s">
        <v>1883</v>
      </c>
      <c r="E2014" s="49" t="s">
        <v>883</v>
      </c>
      <c r="F2014" s="44" t="s">
        <v>1471</v>
      </c>
      <c r="G2014" s="50">
        <v>100.0</v>
      </c>
      <c r="H2014" s="47" t="s">
        <v>970</v>
      </c>
      <c r="I2014" s="47" t="s">
        <v>883</v>
      </c>
      <c r="J2014" s="44">
        <v>10.886146550411</v>
      </c>
      <c r="K2014" s="48">
        <v>106.70386506524</v>
      </c>
    </row>
    <row r="2015" ht="22.5" customHeight="1">
      <c r="A2015" s="44" t="s">
        <v>6124</v>
      </c>
      <c r="B2015" s="44" t="s">
        <v>6125</v>
      </c>
      <c r="C2015" s="44" t="s">
        <v>6126</v>
      </c>
      <c r="D2015" s="44" t="s">
        <v>1042</v>
      </c>
      <c r="E2015" s="49" t="s">
        <v>889</v>
      </c>
      <c r="F2015" s="44" t="s">
        <v>1043</v>
      </c>
      <c r="G2015" s="50">
        <v>60.0</v>
      </c>
      <c r="H2015" s="47" t="s">
        <v>970</v>
      </c>
      <c r="I2015" s="47" t="s">
        <v>901</v>
      </c>
      <c r="J2015" s="44">
        <v>10.815639</v>
      </c>
      <c r="K2015" s="48">
        <v>106.713061</v>
      </c>
    </row>
    <row r="2016" ht="22.5" customHeight="1">
      <c r="A2016" s="44" t="s">
        <v>638</v>
      </c>
      <c r="B2016" s="44" t="s">
        <v>6127</v>
      </c>
      <c r="C2016" s="44" t="s">
        <v>6128</v>
      </c>
      <c r="D2016" s="44" t="s">
        <v>1268</v>
      </c>
      <c r="E2016" s="49" t="s">
        <v>910</v>
      </c>
      <c r="F2016" s="44" t="s">
        <v>987</v>
      </c>
      <c r="G2016" s="50">
        <v>69.0</v>
      </c>
      <c r="H2016" s="47" t="s">
        <v>970</v>
      </c>
      <c r="I2016" s="47" t="s">
        <v>826</v>
      </c>
      <c r="J2016" s="44">
        <v>10.778496</v>
      </c>
      <c r="K2016" s="48">
        <v>106.685771</v>
      </c>
    </row>
    <row r="2017" ht="22.5" customHeight="1">
      <c r="A2017" s="44" t="s">
        <v>176</v>
      </c>
      <c r="B2017" s="44" t="s">
        <v>6129</v>
      </c>
      <c r="C2017" s="44" t="s">
        <v>4272</v>
      </c>
      <c r="D2017" s="44" t="s">
        <v>990</v>
      </c>
      <c r="E2017" s="49" t="s">
        <v>894</v>
      </c>
      <c r="F2017" s="44" t="s">
        <v>974</v>
      </c>
      <c r="G2017" s="50">
        <v>68.0</v>
      </c>
      <c r="H2017" s="47" t="s">
        <v>970</v>
      </c>
      <c r="I2017" s="47" t="s">
        <v>894</v>
      </c>
      <c r="J2017" s="44">
        <v>10.737331</v>
      </c>
      <c r="K2017" s="48">
        <v>106.724166</v>
      </c>
    </row>
    <row r="2018" ht="22.5" customHeight="1">
      <c r="A2018" s="44" t="s">
        <v>6130</v>
      </c>
      <c r="B2018" s="44" t="s">
        <v>6131</v>
      </c>
      <c r="C2018" s="44" t="s">
        <v>6132</v>
      </c>
      <c r="D2018" s="44" t="s">
        <v>1129</v>
      </c>
      <c r="E2018" s="49" t="s">
        <v>910</v>
      </c>
      <c r="F2018" s="44" t="s">
        <v>987</v>
      </c>
      <c r="G2018" s="50">
        <v>30.0</v>
      </c>
      <c r="H2018" s="47" t="s">
        <v>970</v>
      </c>
      <c r="I2018" s="47" t="s">
        <v>826</v>
      </c>
      <c r="J2018" s="44">
        <v>10.777947</v>
      </c>
      <c r="K2018" s="48">
        <v>106.678388</v>
      </c>
    </row>
    <row r="2019" ht="22.5" customHeight="1">
      <c r="A2019" s="44" t="s">
        <v>136</v>
      </c>
      <c r="B2019" s="44" t="s">
        <v>6133</v>
      </c>
      <c r="C2019" s="44" t="s">
        <v>6134</v>
      </c>
      <c r="D2019" s="44" t="s">
        <v>1087</v>
      </c>
      <c r="E2019" s="49" t="s">
        <v>893</v>
      </c>
      <c r="F2019" s="44" t="s">
        <v>1088</v>
      </c>
      <c r="G2019" s="50">
        <v>30.0</v>
      </c>
      <c r="H2019" s="47" t="s">
        <v>970</v>
      </c>
      <c r="I2019" s="47" t="s">
        <v>893</v>
      </c>
      <c r="J2019" s="44">
        <v>10.789481</v>
      </c>
      <c r="K2019" s="48">
        <v>106.626819</v>
      </c>
    </row>
    <row r="2020" ht="22.5" customHeight="1">
      <c r="A2020" s="44" t="s">
        <v>6135</v>
      </c>
      <c r="B2020" s="44" t="s">
        <v>6136</v>
      </c>
      <c r="C2020" s="44" t="s">
        <v>6137</v>
      </c>
      <c r="D2020" s="44" t="s">
        <v>1860</v>
      </c>
      <c r="E2020" s="49" t="s">
        <v>814</v>
      </c>
      <c r="F2020" s="44" t="s">
        <v>1369</v>
      </c>
      <c r="G2020" s="50">
        <v>60.0</v>
      </c>
      <c r="H2020" s="47" t="s">
        <v>970</v>
      </c>
      <c r="I2020" s="47" t="s">
        <v>814</v>
      </c>
      <c r="J2020" s="44">
        <v>10.802475789332</v>
      </c>
      <c r="K2020" s="48">
        <v>106.67563007085</v>
      </c>
    </row>
    <row r="2021" ht="22.5" customHeight="1">
      <c r="A2021" s="44" t="s">
        <v>776</v>
      </c>
      <c r="B2021" s="44" t="s">
        <v>6138</v>
      </c>
      <c r="C2021" s="44" t="s">
        <v>6139</v>
      </c>
      <c r="D2021" s="44" t="s">
        <v>1135</v>
      </c>
      <c r="E2021" s="49" t="s">
        <v>910</v>
      </c>
      <c r="F2021" s="44" t="s">
        <v>987</v>
      </c>
      <c r="G2021" s="50">
        <v>60.0</v>
      </c>
      <c r="H2021" s="47" t="s">
        <v>970</v>
      </c>
      <c r="I2021" s="47" t="s">
        <v>888</v>
      </c>
      <c r="J2021" s="44">
        <v>10.781442</v>
      </c>
      <c r="K2021" s="48">
        <v>106.698474</v>
      </c>
    </row>
    <row r="2022" ht="22.5" customHeight="1">
      <c r="A2022" s="44" t="s">
        <v>224</v>
      </c>
      <c r="B2022" s="44" t="s">
        <v>6140</v>
      </c>
      <c r="C2022" s="44" t="s">
        <v>6141</v>
      </c>
      <c r="D2022" s="44" t="s">
        <v>1030</v>
      </c>
      <c r="E2022" s="49" t="s">
        <v>887</v>
      </c>
      <c r="F2022" s="44" t="s">
        <v>1031</v>
      </c>
      <c r="G2022" s="50">
        <v>74.0</v>
      </c>
      <c r="H2022" s="47" t="s">
        <v>970</v>
      </c>
      <c r="I2022" s="47" t="s">
        <v>832</v>
      </c>
      <c r="J2022" s="44">
        <v>10.80758</v>
      </c>
      <c r="K2022" s="48">
        <v>106.733666</v>
      </c>
    </row>
    <row r="2023" ht="22.5" customHeight="1">
      <c r="A2023" s="44" t="s">
        <v>703</v>
      </c>
      <c r="B2023" s="44" t="s">
        <v>6142</v>
      </c>
      <c r="C2023" s="44" t="s">
        <v>6143</v>
      </c>
      <c r="D2023" s="44" t="s">
        <v>973</v>
      </c>
      <c r="E2023" s="49" t="s">
        <v>894</v>
      </c>
      <c r="F2023" s="44" t="s">
        <v>974</v>
      </c>
      <c r="G2023" s="50">
        <v>68.0</v>
      </c>
      <c r="H2023" s="47" t="s">
        <v>970</v>
      </c>
      <c r="I2023" s="47" t="s">
        <v>894</v>
      </c>
      <c r="J2023" s="44">
        <v>10.725178</v>
      </c>
      <c r="K2023" s="48">
        <v>106.707437</v>
      </c>
    </row>
    <row r="2024" ht="22.5" customHeight="1">
      <c r="A2024" s="44" t="s">
        <v>6144</v>
      </c>
      <c r="B2024" s="44" t="s">
        <v>6145</v>
      </c>
      <c r="C2024" s="44" t="s">
        <v>6146</v>
      </c>
      <c r="D2024" s="44" t="s">
        <v>3171</v>
      </c>
      <c r="E2024" s="49" t="s">
        <v>510</v>
      </c>
      <c r="F2024" s="44" t="s">
        <v>983</v>
      </c>
      <c r="G2024" s="50">
        <v>80.0</v>
      </c>
      <c r="H2024" s="47" t="s">
        <v>970</v>
      </c>
      <c r="I2024" s="47" t="s">
        <v>804</v>
      </c>
      <c r="J2024" s="44">
        <v>10.759624</v>
      </c>
      <c r="K2024" s="48">
        <v>106.70013</v>
      </c>
    </row>
    <row r="2025" ht="22.5" customHeight="1">
      <c r="A2025" s="44" t="s">
        <v>6147</v>
      </c>
      <c r="B2025" s="44" t="s">
        <v>6148</v>
      </c>
      <c r="C2025" s="44" t="s">
        <v>6149</v>
      </c>
      <c r="D2025" s="44" t="s">
        <v>1359</v>
      </c>
      <c r="E2025" s="49" t="s">
        <v>813</v>
      </c>
      <c r="F2025" s="44" t="s">
        <v>1015</v>
      </c>
      <c r="G2025" s="50">
        <v>76.0</v>
      </c>
      <c r="H2025" s="47" t="s">
        <v>970</v>
      </c>
      <c r="I2025" s="47" t="s">
        <v>813</v>
      </c>
      <c r="J2025" s="44">
        <v>10.757282</v>
      </c>
      <c r="K2025" s="48">
        <v>106.665903</v>
      </c>
    </row>
    <row r="2026" ht="22.5" customHeight="1">
      <c r="A2026" s="44" t="s">
        <v>6150</v>
      </c>
      <c r="B2026" s="44" t="s">
        <v>6151</v>
      </c>
      <c r="C2026" s="44" t="s">
        <v>6152</v>
      </c>
      <c r="D2026" s="44" t="s">
        <v>1359</v>
      </c>
      <c r="E2026" s="49" t="s">
        <v>813</v>
      </c>
      <c r="F2026" s="44" t="s">
        <v>1015</v>
      </c>
      <c r="G2026" s="50">
        <v>76.0</v>
      </c>
      <c r="H2026" s="47" t="s">
        <v>970</v>
      </c>
      <c r="I2026" s="47" t="s">
        <v>813</v>
      </c>
      <c r="J2026" s="44">
        <v>10.752465</v>
      </c>
      <c r="K2026" s="48">
        <v>106.664548</v>
      </c>
    </row>
    <row r="2027" ht="22.5" customHeight="1">
      <c r="A2027" s="44" t="s">
        <v>6153</v>
      </c>
      <c r="B2027" s="44" t="s">
        <v>6154</v>
      </c>
      <c r="C2027" s="44" t="s">
        <v>6155</v>
      </c>
      <c r="D2027" s="44" t="s">
        <v>1832</v>
      </c>
      <c r="E2027" s="49" t="s">
        <v>901</v>
      </c>
      <c r="F2027" s="44" t="s">
        <v>1562</v>
      </c>
      <c r="G2027" s="50">
        <v>60.0</v>
      </c>
      <c r="H2027" s="47" t="s">
        <v>970</v>
      </c>
      <c r="I2027" s="47" t="s">
        <v>901</v>
      </c>
      <c r="J2027" s="44">
        <v>10.802139</v>
      </c>
      <c r="K2027" s="48">
        <v>106.718005</v>
      </c>
    </row>
    <row r="2028" ht="22.5" customHeight="1">
      <c r="A2028" s="44" t="s">
        <v>6156</v>
      </c>
      <c r="B2028" s="44" t="s">
        <v>6157</v>
      </c>
      <c r="C2028" s="44" t="s">
        <v>3800</v>
      </c>
      <c r="D2028" s="44" t="s">
        <v>1135</v>
      </c>
      <c r="E2028" s="49" t="s">
        <v>888</v>
      </c>
      <c r="F2028" s="44" t="s">
        <v>1136</v>
      </c>
      <c r="G2028" s="50">
        <v>60.0</v>
      </c>
      <c r="H2028" s="47" t="s">
        <v>970</v>
      </c>
      <c r="I2028" s="47" t="s">
        <v>888</v>
      </c>
      <c r="J2028" s="44">
        <v>10.780842</v>
      </c>
      <c r="K2028" s="48">
        <v>106.702319</v>
      </c>
    </row>
    <row r="2029" ht="22.5" customHeight="1">
      <c r="A2029" s="44" t="s">
        <v>225</v>
      </c>
      <c r="B2029" s="44" t="s">
        <v>6158</v>
      </c>
      <c r="C2029" s="44" t="s">
        <v>6159</v>
      </c>
      <c r="D2029" s="44" t="s">
        <v>1030</v>
      </c>
      <c r="E2029" s="49" t="s">
        <v>887</v>
      </c>
      <c r="F2029" s="44" t="s">
        <v>1031</v>
      </c>
      <c r="G2029" s="50">
        <v>44.0</v>
      </c>
      <c r="H2029" s="47" t="s">
        <v>970</v>
      </c>
      <c r="I2029" s="47" t="s">
        <v>887</v>
      </c>
      <c r="J2029" s="44">
        <v>10.770205</v>
      </c>
      <c r="K2029" s="48">
        <v>106.724779</v>
      </c>
    </row>
    <row r="2030" ht="22.5" customHeight="1">
      <c r="A2030" s="44" t="s">
        <v>6160</v>
      </c>
      <c r="B2030" s="44" t="s">
        <v>6161</v>
      </c>
      <c r="C2030" s="44" t="s">
        <v>3800</v>
      </c>
      <c r="D2030" s="44" t="s">
        <v>1135</v>
      </c>
      <c r="E2030" s="49" t="s">
        <v>888</v>
      </c>
      <c r="F2030" s="44" t="s">
        <v>1136</v>
      </c>
      <c r="G2030" s="50">
        <v>60.0</v>
      </c>
      <c r="H2030" s="47" t="s">
        <v>970</v>
      </c>
      <c r="I2030" s="47" t="s">
        <v>888</v>
      </c>
      <c r="J2030" s="44">
        <v>10.780842</v>
      </c>
      <c r="K2030" s="48">
        <v>106.702319</v>
      </c>
    </row>
    <row r="2031" ht="22.5" customHeight="1">
      <c r="A2031" s="44" t="s">
        <v>448</v>
      </c>
      <c r="B2031" s="44" t="s">
        <v>6162</v>
      </c>
      <c r="C2031" s="44" t="s">
        <v>6163</v>
      </c>
      <c r="D2031" s="44" t="s">
        <v>1345</v>
      </c>
      <c r="E2031" s="49" t="s">
        <v>822</v>
      </c>
      <c r="F2031" s="44" t="s">
        <v>1284</v>
      </c>
      <c r="G2031" s="50">
        <v>30.0</v>
      </c>
      <c r="H2031" s="47" t="s">
        <v>970</v>
      </c>
      <c r="I2031" s="47" t="s">
        <v>822</v>
      </c>
      <c r="J2031" s="44">
        <v>10.758715</v>
      </c>
      <c r="K2031" s="48">
        <v>106.657741</v>
      </c>
    </row>
    <row r="2032" ht="22.5" customHeight="1">
      <c r="A2032" s="44" t="s">
        <v>6164</v>
      </c>
      <c r="B2032" s="44" t="s">
        <v>6165</v>
      </c>
      <c r="C2032" s="44" t="s">
        <v>6166</v>
      </c>
      <c r="D2032" s="44" t="s">
        <v>1895</v>
      </c>
      <c r="E2032" s="49" t="s">
        <v>897</v>
      </c>
      <c r="F2032" s="44" t="s">
        <v>1027</v>
      </c>
      <c r="G2032" s="50">
        <v>90.0</v>
      </c>
      <c r="H2032" s="47" t="s">
        <v>970</v>
      </c>
      <c r="I2032" s="47" t="s">
        <v>896</v>
      </c>
      <c r="J2032" s="44">
        <v>10.832661</v>
      </c>
      <c r="K2032" s="48">
        <v>106.635498</v>
      </c>
    </row>
    <row r="2033" ht="22.5" customHeight="1">
      <c r="A2033" s="44" t="s">
        <v>6167</v>
      </c>
      <c r="B2033" s="44" t="s">
        <v>6168</v>
      </c>
      <c r="C2033" s="44" t="s">
        <v>6166</v>
      </c>
      <c r="D2033" s="44" t="s">
        <v>1895</v>
      </c>
      <c r="E2033" s="49" t="s">
        <v>809</v>
      </c>
      <c r="F2033" s="44" t="s">
        <v>1022</v>
      </c>
      <c r="G2033" s="50">
        <v>83.0</v>
      </c>
      <c r="H2033" s="47" t="s">
        <v>970</v>
      </c>
      <c r="I2033" s="47" t="s">
        <v>896</v>
      </c>
      <c r="J2033" s="44">
        <v>10.832661</v>
      </c>
      <c r="K2033" s="48">
        <v>106.635498</v>
      </c>
    </row>
    <row r="2034" ht="22.5" customHeight="1">
      <c r="A2034" s="44" t="s">
        <v>137</v>
      </c>
      <c r="B2034" s="44" t="s">
        <v>6169</v>
      </c>
      <c r="C2034" s="44" t="s">
        <v>6170</v>
      </c>
      <c r="D2034" s="44" t="s">
        <v>1736</v>
      </c>
      <c r="E2034" s="49" t="s">
        <v>893</v>
      </c>
      <c r="F2034" s="44" t="s">
        <v>1088</v>
      </c>
      <c r="G2034" s="50">
        <v>60.0</v>
      </c>
      <c r="H2034" s="47" t="s">
        <v>970</v>
      </c>
      <c r="I2034" s="47" t="s">
        <v>824</v>
      </c>
      <c r="J2034" s="44">
        <v>10.78022</v>
      </c>
      <c r="K2034" s="48">
        <v>106.635988</v>
      </c>
    </row>
    <row r="2035" ht="22.5" customHeight="1">
      <c r="A2035" s="44" t="s">
        <v>6171</v>
      </c>
      <c r="B2035" s="44" t="s">
        <v>6172</v>
      </c>
      <c r="C2035" s="44" t="s">
        <v>6173</v>
      </c>
      <c r="D2035" s="44" t="s">
        <v>1802</v>
      </c>
      <c r="E2035" s="49" t="s">
        <v>888</v>
      </c>
      <c r="F2035" s="44" t="s">
        <v>1136</v>
      </c>
      <c r="G2035" s="50">
        <v>30.0</v>
      </c>
      <c r="H2035" s="47" t="s">
        <v>970</v>
      </c>
      <c r="I2035" s="47" t="s">
        <v>826</v>
      </c>
      <c r="J2035" s="44">
        <v>10.770934</v>
      </c>
      <c r="K2035" s="48">
        <v>106.68975</v>
      </c>
    </row>
    <row r="2036" ht="22.5" customHeight="1">
      <c r="A2036" s="44" t="s">
        <v>6174</v>
      </c>
      <c r="B2036" s="44" t="s">
        <v>6175</v>
      </c>
      <c r="C2036" s="44" t="s">
        <v>6176</v>
      </c>
      <c r="D2036" s="44" t="s">
        <v>1076</v>
      </c>
      <c r="E2036" s="49" t="s">
        <v>813</v>
      </c>
      <c r="F2036" s="44" t="s">
        <v>1015</v>
      </c>
      <c r="G2036" s="50">
        <v>76.0</v>
      </c>
      <c r="H2036" s="47" t="s">
        <v>970</v>
      </c>
      <c r="I2036" s="47" t="s">
        <v>813</v>
      </c>
      <c r="J2036" s="44">
        <v>10.75521</v>
      </c>
      <c r="K2036" s="48">
        <v>106.670962</v>
      </c>
    </row>
    <row r="2037" ht="22.5" customHeight="1">
      <c r="A2037" s="44" t="s">
        <v>6177</v>
      </c>
      <c r="B2037" s="44" t="s">
        <v>6178</v>
      </c>
      <c r="C2037" s="44" t="s">
        <v>6179</v>
      </c>
      <c r="D2037" s="44" t="s">
        <v>1820</v>
      </c>
      <c r="E2037" s="49" t="s">
        <v>850</v>
      </c>
      <c r="F2037" s="44" t="s">
        <v>1057</v>
      </c>
      <c r="G2037" s="50">
        <v>60.0</v>
      </c>
      <c r="H2037" s="47" t="s">
        <v>970</v>
      </c>
      <c r="I2037" s="47" t="s">
        <v>850</v>
      </c>
      <c r="J2037" s="44">
        <v>10.981994</v>
      </c>
      <c r="K2037" s="48">
        <v>106.481896</v>
      </c>
    </row>
    <row r="2038" ht="22.5" customHeight="1">
      <c r="A2038" s="44" t="s">
        <v>802</v>
      </c>
      <c r="B2038" s="44" t="s">
        <v>6180</v>
      </c>
      <c r="C2038" s="44" t="s">
        <v>6181</v>
      </c>
      <c r="D2038" s="44" t="s">
        <v>1135</v>
      </c>
      <c r="E2038" s="49" t="s">
        <v>910</v>
      </c>
      <c r="F2038" s="44" t="s">
        <v>987</v>
      </c>
      <c r="G2038" s="50">
        <v>60.0</v>
      </c>
      <c r="H2038" s="47" t="s">
        <v>970</v>
      </c>
      <c r="I2038" s="47" t="s">
        <v>884</v>
      </c>
      <c r="J2038" s="44">
        <v>10.788766</v>
      </c>
      <c r="K2038" s="48">
        <v>106.699438</v>
      </c>
    </row>
    <row r="2039" ht="22.5" customHeight="1">
      <c r="A2039" s="44" t="s">
        <v>6182</v>
      </c>
      <c r="B2039" s="44" t="s">
        <v>6183</v>
      </c>
      <c r="C2039" s="44" t="s">
        <v>6184</v>
      </c>
      <c r="D2039" s="44" t="s">
        <v>1368</v>
      </c>
      <c r="E2039" s="49" t="s">
        <v>910</v>
      </c>
      <c r="F2039" s="44" t="s">
        <v>987</v>
      </c>
      <c r="G2039" s="50">
        <v>60.0</v>
      </c>
      <c r="H2039" s="47" t="s">
        <v>970</v>
      </c>
      <c r="I2039" s="47" t="s">
        <v>902</v>
      </c>
      <c r="J2039" s="44">
        <v>10.794238</v>
      </c>
      <c r="K2039" s="48">
        <v>106.677331</v>
      </c>
    </row>
    <row r="2040" ht="22.5" customHeight="1">
      <c r="A2040" s="44" t="s">
        <v>6185</v>
      </c>
      <c r="B2040" s="44" t="s">
        <v>6186</v>
      </c>
      <c r="C2040" s="44" t="s">
        <v>6187</v>
      </c>
      <c r="D2040" s="44" t="s">
        <v>1506</v>
      </c>
      <c r="E2040" s="49" t="s">
        <v>897</v>
      </c>
      <c r="F2040" s="44" t="s">
        <v>1027</v>
      </c>
      <c r="G2040" s="50">
        <v>75.0</v>
      </c>
      <c r="H2040" s="47" t="s">
        <v>970</v>
      </c>
      <c r="I2040" s="47" t="s">
        <v>897</v>
      </c>
      <c r="J2040" s="44">
        <v>10.851581</v>
      </c>
      <c r="K2040" s="48">
        <v>106.62844</v>
      </c>
    </row>
    <row r="2041" ht="22.5" customHeight="1">
      <c r="A2041" s="44" t="s">
        <v>6188</v>
      </c>
      <c r="B2041" s="44" t="s">
        <v>6189</v>
      </c>
      <c r="C2041" s="44" t="s">
        <v>6190</v>
      </c>
      <c r="D2041" s="44" t="s">
        <v>969</v>
      </c>
      <c r="E2041" s="49" t="s">
        <v>893</v>
      </c>
      <c r="F2041" s="44" t="s">
        <v>1088</v>
      </c>
      <c r="G2041" s="50">
        <v>60.0</v>
      </c>
      <c r="H2041" s="47" t="s">
        <v>970</v>
      </c>
      <c r="I2041" s="47" t="s">
        <v>893</v>
      </c>
      <c r="J2041" s="44">
        <v>10.799236</v>
      </c>
      <c r="K2041" s="48">
        <v>106.647138</v>
      </c>
    </row>
    <row r="2042" ht="22.5" customHeight="1">
      <c r="A2042" s="44" t="s">
        <v>6191</v>
      </c>
      <c r="B2042" s="44" t="s">
        <v>6192</v>
      </c>
      <c r="C2042" s="44" t="s">
        <v>6193</v>
      </c>
      <c r="D2042" s="44" t="s">
        <v>1129</v>
      </c>
      <c r="E2042" s="49" t="s">
        <v>910</v>
      </c>
      <c r="F2042" s="44" t="s">
        <v>987</v>
      </c>
      <c r="G2042" s="50">
        <v>60.0</v>
      </c>
      <c r="H2042" s="47" t="s">
        <v>970</v>
      </c>
      <c r="I2042" s="47" t="s">
        <v>806</v>
      </c>
      <c r="J2042" s="44">
        <v>10.782856</v>
      </c>
      <c r="K2042" s="48">
        <v>106.662387</v>
      </c>
    </row>
    <row r="2043" ht="22.5" customHeight="1">
      <c r="A2043" s="44" t="s">
        <v>447</v>
      </c>
      <c r="B2043" s="44" t="s">
        <v>6194</v>
      </c>
      <c r="C2043" s="44" t="s">
        <v>6195</v>
      </c>
      <c r="D2043" s="44" t="s">
        <v>1621</v>
      </c>
      <c r="E2043" s="49" t="s">
        <v>811</v>
      </c>
      <c r="F2043" s="44" t="s">
        <v>2625</v>
      </c>
      <c r="G2043" s="50">
        <v>45.0</v>
      </c>
      <c r="H2043" s="47" t="s">
        <v>970</v>
      </c>
      <c r="I2043" s="47" t="s">
        <v>811</v>
      </c>
      <c r="J2043" s="44">
        <v>10.736113</v>
      </c>
      <c r="K2043" s="48">
        <v>106.690802</v>
      </c>
    </row>
    <row r="2044" ht="22.5" customHeight="1">
      <c r="A2044" s="44" t="s">
        <v>6196</v>
      </c>
      <c r="B2044" s="44" t="s">
        <v>6197</v>
      </c>
      <c r="C2044" s="44" t="s">
        <v>6198</v>
      </c>
      <c r="D2044" s="44" t="s">
        <v>973</v>
      </c>
      <c r="E2044" s="49"/>
      <c r="F2044" s="44" t="s">
        <v>1098</v>
      </c>
      <c r="G2044" s="50"/>
      <c r="H2044" s="47" t="s">
        <v>970</v>
      </c>
      <c r="I2044" s="47" t="s">
        <v>894</v>
      </c>
      <c r="J2044" s="44">
        <v>10.726084</v>
      </c>
      <c r="K2044" s="48">
        <v>106.698557</v>
      </c>
    </row>
    <row r="2045" ht="22.5" customHeight="1">
      <c r="A2045" s="44" t="s">
        <v>640</v>
      </c>
      <c r="B2045" s="44" t="s">
        <v>6199</v>
      </c>
      <c r="C2045" s="44" t="s">
        <v>6200</v>
      </c>
      <c r="D2045" s="44" t="s">
        <v>1047</v>
      </c>
      <c r="E2045" s="49" t="s">
        <v>884</v>
      </c>
      <c r="F2045" s="44" t="s">
        <v>1821</v>
      </c>
      <c r="G2045" s="50">
        <v>30.0</v>
      </c>
      <c r="H2045" s="47" t="s">
        <v>970</v>
      </c>
      <c r="I2045" s="47" t="s">
        <v>884</v>
      </c>
      <c r="J2045" s="44">
        <v>10.795118</v>
      </c>
      <c r="K2045" s="48">
        <v>106.702587</v>
      </c>
    </row>
    <row r="2046" ht="22.5" customHeight="1">
      <c r="A2046" s="44" t="s">
        <v>6201</v>
      </c>
      <c r="B2046" s="44" t="s">
        <v>6202</v>
      </c>
      <c r="C2046" s="44" t="s">
        <v>6203</v>
      </c>
      <c r="D2046" s="44" t="s">
        <v>1368</v>
      </c>
      <c r="E2046" s="49" t="s">
        <v>814</v>
      </c>
      <c r="F2046" s="44" t="s">
        <v>1369</v>
      </c>
      <c r="G2046" s="50">
        <v>60.0</v>
      </c>
      <c r="H2046" s="47" t="s">
        <v>970</v>
      </c>
      <c r="I2046" s="47" t="s">
        <v>814</v>
      </c>
      <c r="J2046" s="44">
        <v>10.793018</v>
      </c>
      <c r="K2046" s="48">
        <v>106.673097</v>
      </c>
    </row>
    <row r="2047" ht="22.5" customHeight="1">
      <c r="A2047" s="44" t="s">
        <v>6204</v>
      </c>
      <c r="B2047" s="44" t="s">
        <v>6205</v>
      </c>
      <c r="C2047" s="44" t="s">
        <v>6206</v>
      </c>
      <c r="D2047" s="44" t="s">
        <v>1832</v>
      </c>
      <c r="E2047" s="49" t="s">
        <v>901</v>
      </c>
      <c r="F2047" s="44" t="s">
        <v>1562</v>
      </c>
      <c r="G2047" s="50">
        <v>60.0</v>
      </c>
      <c r="H2047" s="47" t="s">
        <v>970</v>
      </c>
      <c r="I2047" s="47" t="s">
        <v>901</v>
      </c>
      <c r="J2047" s="44">
        <v>10.798847</v>
      </c>
      <c r="K2047" s="48">
        <v>106.720656</v>
      </c>
    </row>
    <row r="2048" ht="22.5" customHeight="1">
      <c r="A2048" s="44" t="s">
        <v>592</v>
      </c>
      <c r="B2048" s="44" t="s">
        <v>6207</v>
      </c>
      <c r="C2048" s="44" t="s">
        <v>6208</v>
      </c>
      <c r="D2048" s="44" t="s">
        <v>1129</v>
      </c>
      <c r="E2048" s="49" t="s">
        <v>910</v>
      </c>
      <c r="F2048" s="44" t="s">
        <v>987</v>
      </c>
      <c r="G2048" s="50">
        <v>30.0</v>
      </c>
      <c r="H2048" s="47" t="s">
        <v>970</v>
      </c>
      <c r="I2048" s="47" t="s">
        <v>824</v>
      </c>
      <c r="J2048" s="44">
        <v>10.780499</v>
      </c>
      <c r="K2048" s="48">
        <v>106.661121</v>
      </c>
    </row>
    <row r="2049" ht="22.5" customHeight="1">
      <c r="A2049" s="44" t="s">
        <v>6209</v>
      </c>
      <c r="B2049" s="44" t="s">
        <v>6210</v>
      </c>
      <c r="C2049" s="44" t="s">
        <v>6211</v>
      </c>
      <c r="D2049" s="44" t="s">
        <v>1236</v>
      </c>
      <c r="E2049" s="49" t="s">
        <v>895</v>
      </c>
      <c r="F2049" s="44" t="s">
        <v>1121</v>
      </c>
      <c r="G2049" s="50">
        <v>57.0</v>
      </c>
      <c r="H2049" s="47" t="s">
        <v>970</v>
      </c>
      <c r="I2049" s="47" t="s">
        <v>895</v>
      </c>
      <c r="J2049" s="44">
        <v>10.83772</v>
      </c>
      <c r="K2049" s="48">
        <v>106.844238</v>
      </c>
    </row>
    <row r="2050" ht="22.5" customHeight="1">
      <c r="A2050" s="44" t="s">
        <v>6212</v>
      </c>
      <c r="B2050" s="44" t="s">
        <v>6213</v>
      </c>
      <c r="C2050" s="44" t="s">
        <v>6214</v>
      </c>
      <c r="D2050" s="44" t="s">
        <v>1345</v>
      </c>
      <c r="E2050" s="49" t="s">
        <v>822</v>
      </c>
      <c r="F2050" s="44" t="s">
        <v>1284</v>
      </c>
      <c r="G2050" s="50">
        <v>60.0</v>
      </c>
      <c r="H2050" s="47" t="s">
        <v>970</v>
      </c>
      <c r="I2050" s="47" t="s">
        <v>825</v>
      </c>
      <c r="J2050" s="44">
        <v>10.756029</v>
      </c>
      <c r="K2050" s="48">
        <v>106.645946</v>
      </c>
    </row>
    <row r="2051" ht="22.5" customHeight="1">
      <c r="A2051" s="44" t="s">
        <v>6215</v>
      </c>
      <c r="B2051" s="44" t="s">
        <v>6216</v>
      </c>
      <c r="C2051" s="44" t="s">
        <v>6217</v>
      </c>
      <c r="D2051" s="44" t="s">
        <v>1359</v>
      </c>
      <c r="E2051" s="49" t="s">
        <v>813</v>
      </c>
      <c r="F2051" s="44" t="s">
        <v>1015</v>
      </c>
      <c r="G2051" s="50">
        <v>61.0</v>
      </c>
      <c r="H2051" s="47" t="s">
        <v>970</v>
      </c>
      <c r="I2051" s="47" t="s">
        <v>813</v>
      </c>
      <c r="J2051" s="44">
        <v>10.752379</v>
      </c>
      <c r="K2051" s="48">
        <v>106.664453</v>
      </c>
    </row>
    <row r="2052" ht="22.5" customHeight="1">
      <c r="A2052" s="44" t="s">
        <v>6218</v>
      </c>
      <c r="B2052" s="44" t="s">
        <v>6219</v>
      </c>
      <c r="C2052" s="44" t="s">
        <v>6220</v>
      </c>
      <c r="D2052" s="44" t="s">
        <v>1802</v>
      </c>
      <c r="E2052" s="49" t="s">
        <v>888</v>
      </c>
      <c r="F2052" s="44" t="s">
        <v>1136</v>
      </c>
      <c r="G2052" s="44">
        <v>60.0</v>
      </c>
      <c r="H2052" s="47" t="s">
        <v>970</v>
      </c>
      <c r="I2052" s="47" t="s">
        <v>804</v>
      </c>
      <c r="J2052" s="44">
        <v>10.768086</v>
      </c>
      <c r="K2052" s="47">
        <v>106.697103</v>
      </c>
    </row>
    <row r="2053" ht="22.5" customHeight="1">
      <c r="A2053" s="44" t="s">
        <v>388</v>
      </c>
      <c r="B2053" s="44" t="s">
        <v>6221</v>
      </c>
      <c r="C2053" s="44" t="s">
        <v>6222</v>
      </c>
      <c r="D2053" s="44" t="s">
        <v>1042</v>
      </c>
      <c r="E2053" s="49" t="s">
        <v>889</v>
      </c>
      <c r="F2053" s="44" t="s">
        <v>1043</v>
      </c>
      <c r="G2053" s="50">
        <v>60.0</v>
      </c>
      <c r="H2053" s="47" t="s">
        <v>970</v>
      </c>
      <c r="I2053" s="47" t="s">
        <v>901</v>
      </c>
      <c r="J2053" s="44">
        <v>10.813653</v>
      </c>
      <c r="K2053" s="48">
        <v>106.708917</v>
      </c>
    </row>
    <row r="2054" ht="22.5" customHeight="1">
      <c r="A2054" s="44" t="s">
        <v>6223</v>
      </c>
      <c r="B2054" s="44" t="s">
        <v>6224</v>
      </c>
      <c r="C2054" s="44" t="s">
        <v>1835</v>
      </c>
      <c r="D2054" s="44" t="s">
        <v>1111</v>
      </c>
      <c r="E2054" s="49" t="s">
        <v>789</v>
      </c>
      <c r="F2054" s="44" t="s">
        <v>1168</v>
      </c>
      <c r="G2054" s="50">
        <v>69.0</v>
      </c>
      <c r="H2054" s="47" t="s">
        <v>970</v>
      </c>
      <c r="I2054" s="47" t="s">
        <v>820</v>
      </c>
      <c r="J2054" s="44">
        <v>10.76436</v>
      </c>
      <c r="K2054" s="48">
        <v>106.60321</v>
      </c>
    </row>
    <row r="2055" ht="22.5" customHeight="1">
      <c r="A2055" s="44" t="s">
        <v>390</v>
      </c>
      <c r="B2055" s="44" t="s">
        <v>6225</v>
      </c>
      <c r="C2055" s="44" t="s">
        <v>6226</v>
      </c>
      <c r="D2055" s="44" t="s">
        <v>1820</v>
      </c>
      <c r="E2055" s="49" t="s">
        <v>850</v>
      </c>
      <c r="F2055" s="44" t="s">
        <v>1057</v>
      </c>
      <c r="G2055" s="50">
        <v>60.0</v>
      </c>
      <c r="H2055" s="47" t="s">
        <v>970</v>
      </c>
      <c r="I2055" s="47" t="s">
        <v>850</v>
      </c>
      <c r="J2055" s="44">
        <v>10.97702</v>
      </c>
      <c r="K2055" s="48">
        <v>106.502009</v>
      </c>
    </row>
    <row r="2056" ht="22.5" customHeight="1">
      <c r="A2056" s="44" t="s">
        <v>6227</v>
      </c>
      <c r="B2056" s="44" t="s">
        <v>6228</v>
      </c>
      <c r="C2056" s="44" t="s">
        <v>6229</v>
      </c>
      <c r="D2056" s="44" t="s">
        <v>1135</v>
      </c>
      <c r="E2056" s="49" t="s">
        <v>888</v>
      </c>
      <c r="F2056" s="44" t="s">
        <v>1136</v>
      </c>
      <c r="G2056" s="50">
        <v>30.0</v>
      </c>
      <c r="H2056" s="47" t="s">
        <v>970</v>
      </c>
      <c r="I2056" s="47" t="s">
        <v>888</v>
      </c>
      <c r="J2056" s="44">
        <v>10.780612</v>
      </c>
      <c r="K2056" s="48">
        <v>106.70454</v>
      </c>
    </row>
    <row r="2057" ht="22.5" customHeight="1">
      <c r="A2057" s="44" t="s">
        <v>226</v>
      </c>
      <c r="B2057" s="44" t="s">
        <v>6230</v>
      </c>
      <c r="C2057" s="44" t="s">
        <v>6231</v>
      </c>
      <c r="D2057" s="44" t="s">
        <v>1030</v>
      </c>
      <c r="E2057" s="49" t="s">
        <v>887</v>
      </c>
      <c r="F2057" s="44" t="s">
        <v>1031</v>
      </c>
      <c r="G2057" s="50">
        <v>74.0</v>
      </c>
      <c r="H2057" s="47" t="s">
        <v>970</v>
      </c>
      <c r="I2057" s="47" t="s">
        <v>887</v>
      </c>
      <c r="J2057" s="44">
        <v>10.786239</v>
      </c>
      <c r="K2057" s="48">
        <v>106.731269</v>
      </c>
    </row>
    <row r="2058" ht="22.5" customHeight="1">
      <c r="A2058" s="44" t="s">
        <v>727</v>
      </c>
      <c r="B2058" s="44" t="s">
        <v>6232</v>
      </c>
      <c r="C2058" s="44" t="s">
        <v>6233</v>
      </c>
      <c r="D2058" s="44" t="s">
        <v>3615</v>
      </c>
      <c r="E2058" s="49" t="s">
        <v>850</v>
      </c>
      <c r="F2058" s="44" t="s">
        <v>1057</v>
      </c>
      <c r="G2058" s="50">
        <v>60.0</v>
      </c>
      <c r="H2058" s="47" t="s">
        <v>970</v>
      </c>
      <c r="I2058" s="47" t="s">
        <v>850</v>
      </c>
      <c r="J2058" s="44">
        <v>11.08366</v>
      </c>
      <c r="K2058" s="48">
        <v>106.51228</v>
      </c>
    </row>
    <row r="2059" ht="22.5" customHeight="1">
      <c r="A2059" s="44" t="s">
        <v>6234</v>
      </c>
      <c r="B2059" s="44" t="s">
        <v>6235</v>
      </c>
      <c r="C2059" s="44" t="s">
        <v>6236</v>
      </c>
      <c r="D2059" s="44" t="s">
        <v>1116</v>
      </c>
      <c r="E2059" s="49"/>
      <c r="F2059" s="44" t="s">
        <v>1098</v>
      </c>
      <c r="G2059" s="50"/>
      <c r="H2059" s="47"/>
      <c r="I2059" s="47" t="s">
        <v>885</v>
      </c>
      <c r="J2059" s="44">
        <v>10.736942</v>
      </c>
      <c r="K2059" s="48">
        <v>106.668163</v>
      </c>
    </row>
    <row r="2060" ht="22.5" customHeight="1">
      <c r="A2060" s="44" t="s">
        <v>830</v>
      </c>
      <c r="B2060" s="44" t="s">
        <v>6237</v>
      </c>
      <c r="C2060" s="44" t="s">
        <v>6238</v>
      </c>
      <c r="D2060" s="44" t="s">
        <v>1120</v>
      </c>
      <c r="E2060" s="49" t="s">
        <v>895</v>
      </c>
      <c r="F2060" s="44" t="s">
        <v>1121</v>
      </c>
      <c r="G2060" s="50">
        <v>57.0</v>
      </c>
      <c r="H2060" s="47" t="s">
        <v>970</v>
      </c>
      <c r="I2060" s="47" t="s">
        <v>895</v>
      </c>
      <c r="J2060" s="44">
        <v>10.847844</v>
      </c>
      <c r="K2060" s="48">
        <v>106.775361</v>
      </c>
    </row>
    <row r="2061" ht="22.5" customHeight="1">
      <c r="A2061" s="44" t="s">
        <v>6239</v>
      </c>
      <c r="B2061" s="44" t="s">
        <v>6240</v>
      </c>
      <c r="C2061" s="44" t="s">
        <v>6241</v>
      </c>
      <c r="D2061" s="44" t="s">
        <v>1030</v>
      </c>
      <c r="E2061" s="49"/>
      <c r="F2061" s="44" t="s">
        <v>1098</v>
      </c>
      <c r="G2061" s="50"/>
      <c r="H2061" s="47"/>
      <c r="I2061" s="47" t="s">
        <v>832</v>
      </c>
      <c r="J2061" s="44">
        <v>10.804538</v>
      </c>
      <c r="K2061" s="48">
        <v>106.745357</v>
      </c>
    </row>
    <row r="2062" ht="22.5" customHeight="1">
      <c r="A2062" s="44" t="s">
        <v>6242</v>
      </c>
      <c r="B2062" s="44" t="s">
        <v>6243</v>
      </c>
      <c r="C2062" s="44" t="s">
        <v>6244</v>
      </c>
      <c r="D2062" s="44" t="s">
        <v>6245</v>
      </c>
      <c r="E2062" s="49"/>
      <c r="F2062" s="44" t="s">
        <v>1098</v>
      </c>
      <c r="G2062" s="50"/>
      <c r="H2062" s="47"/>
      <c r="I2062" s="47" t="s">
        <v>850</v>
      </c>
      <c r="J2062" s="44">
        <v>10.9989506</v>
      </c>
      <c r="K2062" s="48">
        <v>106.4844734</v>
      </c>
    </row>
    <row r="2063" ht="22.5" customHeight="1">
      <c r="A2063" s="44" t="s">
        <v>6246</v>
      </c>
      <c r="B2063" s="44" t="s">
        <v>6247</v>
      </c>
      <c r="C2063" s="44" t="s">
        <v>6248</v>
      </c>
      <c r="D2063" s="44" t="s">
        <v>1280</v>
      </c>
      <c r="E2063" s="49" t="s">
        <v>510</v>
      </c>
      <c r="F2063" s="44" t="s">
        <v>983</v>
      </c>
      <c r="G2063" s="50">
        <v>51.0</v>
      </c>
      <c r="H2063" s="47" t="s">
        <v>970</v>
      </c>
      <c r="I2063" s="47" t="s">
        <v>510</v>
      </c>
      <c r="J2063" s="44">
        <v>10.860165</v>
      </c>
      <c r="K2063" s="48">
        <v>106.75689</v>
      </c>
    </row>
    <row r="2064" ht="22.5" customHeight="1">
      <c r="A2064" s="44" t="s">
        <v>855</v>
      </c>
      <c r="B2064" s="44" t="s">
        <v>6249</v>
      </c>
      <c r="C2064" s="44" t="s">
        <v>5868</v>
      </c>
      <c r="D2064" s="44" t="s">
        <v>990</v>
      </c>
      <c r="E2064" s="49" t="s">
        <v>894</v>
      </c>
      <c r="F2064" s="44" t="s">
        <v>974</v>
      </c>
      <c r="G2064" s="50">
        <v>120.0</v>
      </c>
      <c r="H2064" s="47"/>
      <c r="I2064" s="47" t="s">
        <v>894</v>
      </c>
      <c r="J2064" s="44">
        <v>10.7263071</v>
      </c>
      <c r="K2064" s="48">
        <v>106.7238087</v>
      </c>
    </row>
    <row r="2065" ht="22.5" customHeight="1">
      <c r="A2065" s="44" t="s">
        <v>6250</v>
      </c>
      <c r="B2065" s="44" t="s">
        <v>6251</v>
      </c>
      <c r="C2065" s="44" t="s">
        <v>6252</v>
      </c>
      <c r="D2065" s="44" t="s">
        <v>1528</v>
      </c>
      <c r="E2065" s="49"/>
      <c r="F2065" s="44" t="s">
        <v>1098</v>
      </c>
      <c r="G2065" s="44"/>
      <c r="H2065" s="53"/>
      <c r="I2065" s="47" t="s">
        <v>826</v>
      </c>
      <c r="J2065" s="44">
        <v>10.775320317</v>
      </c>
      <c r="K2065" s="48">
        <v>106.682244658</v>
      </c>
    </row>
    <row r="2066" ht="22.5" customHeight="1">
      <c r="A2066" s="44" t="s">
        <v>6253</v>
      </c>
      <c r="B2066" s="44" t="s">
        <v>6254</v>
      </c>
      <c r="C2066" s="44" t="s">
        <v>6255</v>
      </c>
      <c r="D2066" s="44" t="s">
        <v>1219</v>
      </c>
      <c r="E2066" s="51"/>
      <c r="F2066" s="44" t="s">
        <v>1098</v>
      </c>
      <c r="G2066" s="46"/>
      <c r="H2066" s="53"/>
      <c r="I2066" s="47" t="s">
        <v>868</v>
      </c>
      <c r="J2066" s="44">
        <v>10.355856337</v>
      </c>
      <c r="K2066" s="48">
        <v>106.366291836</v>
      </c>
    </row>
    <row r="2067" ht="22.5" customHeight="1">
      <c r="A2067" s="44" t="s">
        <v>6256</v>
      </c>
      <c r="B2067" s="44" t="s">
        <v>6257</v>
      </c>
      <c r="C2067" s="44" t="s">
        <v>6258</v>
      </c>
      <c r="D2067" s="44" t="s">
        <v>1268</v>
      </c>
      <c r="E2067" s="51"/>
      <c r="F2067" s="44" t="s">
        <v>1098</v>
      </c>
      <c r="G2067" s="46"/>
      <c r="H2067" s="53"/>
      <c r="I2067" s="47" t="s">
        <v>826</v>
      </c>
      <c r="J2067" s="44">
        <v>10.776836764209</v>
      </c>
      <c r="K2067" s="48">
        <v>106.68800520715</v>
      </c>
    </row>
    <row r="2068" ht="22.5" customHeight="1">
      <c r="A2068" s="44" t="s">
        <v>6259</v>
      </c>
      <c r="B2068" s="44" t="s">
        <v>6260</v>
      </c>
      <c r="C2068" s="44" t="s">
        <v>6261</v>
      </c>
      <c r="D2068" s="44" t="s">
        <v>1030</v>
      </c>
      <c r="E2068" s="51"/>
      <c r="F2068" s="44" t="s">
        <v>1098</v>
      </c>
      <c r="G2068" s="46"/>
      <c r="H2068" s="53"/>
      <c r="I2068" s="47" t="s">
        <v>887</v>
      </c>
      <c r="J2068" s="44">
        <v>10.772497471</v>
      </c>
      <c r="K2068" s="48">
        <v>106.726487148</v>
      </c>
    </row>
    <row r="2069" ht="22.5" customHeight="1">
      <c r="A2069" s="44" t="s">
        <v>6262</v>
      </c>
      <c r="B2069" s="44" t="s">
        <v>6263</v>
      </c>
      <c r="C2069" s="44" t="s">
        <v>6264</v>
      </c>
      <c r="D2069" s="44" t="s">
        <v>1408</v>
      </c>
      <c r="E2069" s="51"/>
      <c r="F2069" s="44" t="s">
        <v>1098</v>
      </c>
      <c r="G2069" s="46"/>
      <c r="H2069" s="53"/>
      <c r="I2069" s="47" t="s">
        <v>797</v>
      </c>
      <c r="J2069" s="44">
        <v>10.872053237</v>
      </c>
      <c r="K2069" s="48">
        <v>106.567841608</v>
      </c>
    </row>
    <row r="2070" ht="22.5" customHeight="1">
      <c r="A2070" s="44" t="s">
        <v>6265</v>
      </c>
      <c r="B2070" s="44" t="s">
        <v>6266</v>
      </c>
      <c r="C2070" s="44" t="s">
        <v>6267</v>
      </c>
      <c r="D2070" s="44" t="s">
        <v>1711</v>
      </c>
      <c r="E2070" s="51"/>
      <c r="F2070" s="44" t="s">
        <v>1098</v>
      </c>
      <c r="G2070" s="46"/>
      <c r="H2070" s="47" t="s">
        <v>1891</v>
      </c>
      <c r="I2070" s="47" t="s">
        <v>809</v>
      </c>
      <c r="J2070" s="44">
        <v>10.853305</v>
      </c>
      <c r="K2070" s="48">
        <v>106.704293</v>
      </c>
    </row>
    <row r="2071" ht="22.5" customHeight="1">
      <c r="A2071" s="44" t="s">
        <v>6268</v>
      </c>
      <c r="B2071" s="44" t="s">
        <v>6269</v>
      </c>
      <c r="C2071" s="44" t="s">
        <v>6270</v>
      </c>
      <c r="D2071" s="44" t="s">
        <v>1832</v>
      </c>
      <c r="E2071" s="49"/>
      <c r="F2071" s="44" t="s">
        <v>1098</v>
      </c>
      <c r="G2071" s="46"/>
      <c r="H2071" s="53"/>
      <c r="I2071" s="47" t="s">
        <v>901</v>
      </c>
      <c r="J2071" s="44">
        <v>10.7905418</v>
      </c>
      <c r="K2071" s="48">
        <v>106.714233</v>
      </c>
    </row>
    <row r="2072" ht="22.5" customHeight="1">
      <c r="A2072" s="44" t="s">
        <v>6271</v>
      </c>
      <c r="B2072" s="44" t="s">
        <v>6272</v>
      </c>
      <c r="C2072" s="44" t="s">
        <v>6273</v>
      </c>
      <c r="D2072" s="44" t="s">
        <v>1832</v>
      </c>
      <c r="E2072" s="51"/>
      <c r="F2072" s="44" t="s">
        <v>1098</v>
      </c>
      <c r="G2072" s="46"/>
      <c r="H2072" s="53"/>
      <c r="I2072" s="47" t="s">
        <v>901</v>
      </c>
      <c r="J2072" s="44">
        <v>10.7983808</v>
      </c>
      <c r="K2072" s="48">
        <v>106.711149</v>
      </c>
    </row>
    <row r="2073" ht="22.5" customHeight="1">
      <c r="A2073" s="44" t="s">
        <v>6271</v>
      </c>
      <c r="B2073" s="44" t="s">
        <v>6274</v>
      </c>
      <c r="C2073" s="44" t="s">
        <v>6275</v>
      </c>
      <c r="D2073" s="44" t="s">
        <v>1832</v>
      </c>
      <c r="E2073" s="51"/>
      <c r="F2073" s="44" t="s">
        <v>1098</v>
      </c>
      <c r="G2073" s="46"/>
      <c r="H2073" s="53"/>
      <c r="I2073" s="47" t="s">
        <v>901</v>
      </c>
      <c r="J2073" s="44">
        <v>10.8091656</v>
      </c>
      <c r="K2073" s="48">
        <v>106.712118</v>
      </c>
    </row>
    <row r="2074" ht="22.5" customHeight="1">
      <c r="A2074" s="44" t="s">
        <v>6276</v>
      </c>
      <c r="B2074" s="44" t="s">
        <v>6277</v>
      </c>
      <c r="C2074" s="44" t="s">
        <v>6278</v>
      </c>
      <c r="D2074" s="44" t="s">
        <v>6279</v>
      </c>
      <c r="E2074" s="51"/>
      <c r="F2074" s="44" t="s">
        <v>1098</v>
      </c>
      <c r="G2074" s="46"/>
      <c r="H2074" s="53"/>
      <c r="I2074" s="47" t="s">
        <v>892</v>
      </c>
      <c r="J2074" s="44">
        <v>11.143825</v>
      </c>
      <c r="K2074" s="48">
        <v>106.68921</v>
      </c>
    </row>
    <row r="2075" ht="22.5" customHeight="1">
      <c r="A2075" s="44" t="s">
        <v>6280</v>
      </c>
      <c r="B2075" s="44" t="s">
        <v>6281</v>
      </c>
      <c r="C2075" s="44" t="s">
        <v>6282</v>
      </c>
      <c r="D2075" s="44" t="s">
        <v>1042</v>
      </c>
      <c r="E2075" s="49" t="s">
        <v>889</v>
      </c>
      <c r="F2075" s="44" t="s">
        <v>1043</v>
      </c>
      <c r="G2075" s="46"/>
      <c r="H2075" s="53"/>
      <c r="I2075" s="47" t="s">
        <v>889</v>
      </c>
      <c r="J2075" s="44">
        <v>10.805137692</v>
      </c>
      <c r="K2075" s="48">
        <v>106.69947731</v>
      </c>
    </row>
    <row r="2076" ht="22.5" customHeight="1">
      <c r="A2076" s="44" t="s">
        <v>6283</v>
      </c>
      <c r="B2076" s="44" t="s">
        <v>6284</v>
      </c>
      <c r="C2076" s="44" t="s">
        <v>6285</v>
      </c>
      <c r="D2076" s="44" t="s">
        <v>1021</v>
      </c>
      <c r="E2076" s="51"/>
      <c r="F2076" s="44" t="s">
        <v>1098</v>
      </c>
      <c r="G2076" s="46"/>
      <c r="H2076" s="53"/>
      <c r="I2076" s="47" t="s">
        <v>809</v>
      </c>
      <c r="J2076" s="44">
        <v>10.835444</v>
      </c>
      <c r="K2076" s="48">
        <v>106.677779</v>
      </c>
    </row>
    <row r="2077" ht="22.5" customHeight="1">
      <c r="A2077" s="44" t="s">
        <v>424</v>
      </c>
      <c r="B2077" s="44" t="s">
        <v>6286</v>
      </c>
      <c r="C2077" s="44" t="s">
        <v>6287</v>
      </c>
      <c r="D2077" s="44" t="s">
        <v>1139</v>
      </c>
      <c r="E2077" s="49" t="s">
        <v>882</v>
      </c>
      <c r="F2077" s="44" t="s">
        <v>991</v>
      </c>
      <c r="G2077" s="50">
        <v>60.0</v>
      </c>
      <c r="H2077" s="53"/>
      <c r="I2077" s="47" t="s">
        <v>882</v>
      </c>
      <c r="J2077" s="44">
        <v>10.701674376624</v>
      </c>
      <c r="K2077" s="48">
        <v>106.7382247747</v>
      </c>
    </row>
    <row r="2078" ht="22.5" customHeight="1">
      <c r="A2078" s="44" t="s">
        <v>6288</v>
      </c>
      <c r="B2078" s="44" t="s">
        <v>6289</v>
      </c>
      <c r="C2078" s="44" t="s">
        <v>6290</v>
      </c>
      <c r="D2078" s="44" t="s">
        <v>1139</v>
      </c>
      <c r="E2078" s="49" t="s">
        <v>882</v>
      </c>
      <c r="F2078" s="44" t="s">
        <v>991</v>
      </c>
      <c r="G2078" s="50">
        <v>60.0</v>
      </c>
      <c r="H2078" s="47" t="s">
        <v>970</v>
      </c>
      <c r="I2078" s="47" t="s">
        <v>882</v>
      </c>
      <c r="J2078" s="44">
        <v>10.701674376624</v>
      </c>
      <c r="K2078" s="48">
        <v>106.7382247747</v>
      </c>
    </row>
    <row r="2079" ht="22.5" customHeight="1">
      <c r="A2079" s="44"/>
      <c r="B2079" s="44"/>
      <c r="C2079" s="44"/>
      <c r="D2079" s="44"/>
      <c r="E2079" s="51"/>
      <c r="F2079" s="44" t="s">
        <v>1098</v>
      </c>
      <c r="G2079" s="46"/>
      <c r="H2079" s="53"/>
      <c r="I2079" s="53"/>
      <c r="J2079" s="44"/>
      <c r="K2079" s="48"/>
    </row>
    <row r="2080" ht="22.5" customHeight="1">
      <c r="A2080" s="44"/>
      <c r="B2080" s="44"/>
      <c r="C2080" s="44"/>
      <c r="D2080" s="44"/>
      <c r="E2080" s="51"/>
      <c r="F2080" s="44" t="s">
        <v>1098</v>
      </c>
      <c r="G2080" s="46"/>
      <c r="H2080" s="53"/>
      <c r="I2080" s="53"/>
      <c r="J2080" s="44"/>
      <c r="K2080" s="48"/>
    </row>
    <row r="2081" ht="22.5" customHeight="1">
      <c r="A2081" s="44"/>
      <c r="B2081" s="44"/>
      <c r="C2081" s="44"/>
      <c r="D2081" s="44"/>
      <c r="E2081" s="51"/>
      <c r="F2081" s="44" t="s">
        <v>1098</v>
      </c>
      <c r="G2081" s="46"/>
      <c r="H2081" s="53"/>
      <c r="I2081" s="53"/>
      <c r="J2081" s="44"/>
      <c r="K2081" s="48"/>
    </row>
    <row r="2082" ht="22.5" customHeight="1">
      <c r="A2082" s="44"/>
      <c r="B2082" s="44"/>
      <c r="C2082" s="44"/>
      <c r="D2082" s="44"/>
      <c r="E2082" s="51"/>
      <c r="F2082" s="44" t="s">
        <v>1098</v>
      </c>
      <c r="G2082" s="46"/>
      <c r="H2082" s="53"/>
      <c r="I2082" s="53"/>
      <c r="J2082" s="44"/>
      <c r="K2082" s="48"/>
    </row>
    <row r="2083" ht="22.5" customHeight="1">
      <c r="A2083" s="44"/>
      <c r="B2083" s="44"/>
      <c r="C2083" s="44"/>
      <c r="D2083" s="44"/>
      <c r="E2083" s="51"/>
      <c r="F2083" s="44" t="s">
        <v>1098</v>
      </c>
      <c r="G2083" s="46"/>
      <c r="H2083" s="53"/>
      <c r="I2083" s="53"/>
      <c r="J2083" s="44"/>
      <c r="K2083" s="48"/>
    </row>
    <row r="2084" ht="22.5" customHeight="1">
      <c r="A2084" s="44"/>
      <c r="B2084" s="44"/>
      <c r="C2084" s="44"/>
      <c r="D2084" s="44"/>
      <c r="E2084" s="51"/>
      <c r="F2084" s="44" t="s">
        <v>1098</v>
      </c>
      <c r="G2084" s="46"/>
      <c r="H2084" s="53"/>
      <c r="I2084" s="53"/>
      <c r="J2084" s="44"/>
      <c r="K2084" s="48"/>
    </row>
    <row r="2085" ht="22.5" customHeight="1">
      <c r="A2085" s="44"/>
      <c r="B2085" s="44"/>
      <c r="C2085" s="44"/>
      <c r="D2085" s="44"/>
      <c r="E2085" s="51"/>
      <c r="F2085" s="44" t="s">
        <v>1098</v>
      </c>
      <c r="G2085" s="46"/>
      <c r="H2085" s="53"/>
      <c r="I2085" s="53"/>
      <c r="J2085" s="44"/>
      <c r="K2085" s="48"/>
    </row>
    <row r="2086" ht="22.5" customHeight="1">
      <c r="A2086" s="44"/>
      <c r="B2086" s="44"/>
      <c r="C2086" s="44"/>
      <c r="D2086" s="44"/>
      <c r="E2086" s="51"/>
      <c r="F2086" s="44" t="s">
        <v>1098</v>
      </c>
      <c r="G2086" s="46"/>
      <c r="H2086" s="53"/>
      <c r="I2086" s="53"/>
      <c r="J2086" s="44"/>
      <c r="K2086" s="48"/>
    </row>
    <row r="2087" ht="22.5" customHeight="1">
      <c r="A2087" s="44"/>
      <c r="B2087" s="44"/>
      <c r="C2087" s="44"/>
      <c r="D2087" s="44"/>
      <c r="E2087" s="51"/>
      <c r="F2087" s="44" t="s">
        <v>1098</v>
      </c>
      <c r="G2087" s="46"/>
      <c r="H2087" s="53"/>
      <c r="I2087" s="53"/>
      <c r="J2087" s="44"/>
      <c r="K2087" s="48"/>
    </row>
    <row r="2088" ht="22.5" customHeight="1">
      <c r="A2088" s="44"/>
      <c r="B2088" s="44"/>
      <c r="C2088" s="44"/>
      <c r="D2088" s="44"/>
      <c r="E2088" s="51"/>
      <c r="F2088" s="44" t="s">
        <v>1098</v>
      </c>
      <c r="G2088" s="46"/>
      <c r="H2088" s="53"/>
      <c r="I2088" s="53"/>
      <c r="J2088" s="44"/>
      <c r="K2088" s="48"/>
    </row>
    <row r="2089" ht="22.5" customHeight="1">
      <c r="A2089" s="44"/>
      <c r="B2089" s="44"/>
      <c r="C2089" s="44"/>
      <c r="D2089" s="44"/>
      <c r="E2089" s="51"/>
      <c r="F2089" s="44" t="s">
        <v>1098</v>
      </c>
      <c r="G2089" s="46"/>
      <c r="H2089" s="53"/>
      <c r="I2089" s="53"/>
      <c r="J2089" s="44"/>
      <c r="K2089" s="48"/>
    </row>
    <row r="2090" ht="22.5" customHeight="1">
      <c r="A2090" s="44"/>
      <c r="B2090" s="44"/>
      <c r="C2090" s="44"/>
      <c r="D2090" s="44"/>
      <c r="E2090" s="51"/>
      <c r="F2090" s="44" t="s">
        <v>1098</v>
      </c>
      <c r="G2090" s="46"/>
      <c r="H2090" s="53"/>
      <c r="I2090" s="53"/>
      <c r="J2090" s="44"/>
      <c r="K2090" s="48"/>
    </row>
    <row r="2091" ht="22.5" customHeight="1">
      <c r="A2091" s="44"/>
      <c r="B2091" s="44"/>
      <c r="C2091" s="44"/>
      <c r="D2091" s="44"/>
      <c r="E2091" s="51"/>
      <c r="F2091" s="44" t="s">
        <v>1098</v>
      </c>
      <c r="G2091" s="46"/>
      <c r="H2091" s="53"/>
      <c r="I2091" s="53"/>
      <c r="J2091" s="44"/>
      <c r="K2091" s="48"/>
    </row>
    <row r="2092" ht="22.5" customHeight="1">
      <c r="A2092" s="44"/>
      <c r="B2092" s="44"/>
      <c r="C2092" s="44"/>
      <c r="D2092" s="44"/>
      <c r="E2092" s="51"/>
      <c r="F2092" s="44" t="s">
        <v>1098</v>
      </c>
      <c r="G2092" s="46"/>
      <c r="H2092" s="53"/>
      <c r="I2092" s="53"/>
      <c r="J2092" s="44"/>
      <c r="K2092" s="48"/>
    </row>
    <row r="2093" ht="22.5" customHeight="1">
      <c r="A2093" s="44"/>
      <c r="B2093" s="44"/>
      <c r="C2093" s="44"/>
      <c r="D2093" s="44"/>
      <c r="E2093" s="51"/>
      <c r="F2093" s="44" t="s">
        <v>1098</v>
      </c>
      <c r="G2093" s="46"/>
      <c r="H2093" s="53"/>
      <c r="I2093" s="53"/>
      <c r="J2093" s="44"/>
      <c r="K2093" s="48"/>
    </row>
    <row r="2094" ht="22.5" customHeight="1">
      <c r="A2094" s="44"/>
      <c r="B2094" s="44"/>
      <c r="C2094" s="44"/>
      <c r="D2094" s="44"/>
      <c r="E2094" s="51"/>
      <c r="F2094" s="44" t="s">
        <v>1098</v>
      </c>
      <c r="G2094" s="46"/>
      <c r="H2094" s="53"/>
      <c r="I2094" s="53"/>
      <c r="J2094" s="44"/>
      <c r="K2094" s="48"/>
    </row>
    <row r="2095" ht="22.5" customHeight="1">
      <c r="A2095" s="44"/>
      <c r="B2095" s="44"/>
      <c r="C2095" s="44"/>
      <c r="D2095" s="44"/>
      <c r="E2095" s="51"/>
      <c r="F2095" s="44" t="s">
        <v>1098</v>
      </c>
      <c r="G2095" s="46"/>
      <c r="H2095" s="53"/>
      <c r="I2095" s="53"/>
      <c r="J2095" s="44"/>
      <c r="K2095" s="48"/>
    </row>
    <row r="2096" ht="22.5" customHeight="1">
      <c r="A2096" s="44"/>
      <c r="B2096" s="44"/>
      <c r="C2096" s="44"/>
      <c r="D2096" s="44"/>
      <c r="E2096" s="51"/>
      <c r="F2096" s="44" t="s">
        <v>1098</v>
      </c>
      <c r="G2096" s="46"/>
      <c r="H2096" s="53"/>
      <c r="I2096" s="53"/>
      <c r="J2096" s="44"/>
      <c r="K2096" s="48"/>
    </row>
    <row r="2097" ht="22.5" customHeight="1">
      <c r="A2097" s="44"/>
      <c r="B2097" s="44"/>
      <c r="C2097" s="44"/>
      <c r="D2097" s="44"/>
      <c r="E2097" s="51"/>
      <c r="F2097" s="44" t="s">
        <v>1098</v>
      </c>
      <c r="G2097" s="46"/>
      <c r="H2097" s="53"/>
      <c r="I2097" s="53"/>
      <c r="J2097" s="44"/>
      <c r="K2097" s="48"/>
    </row>
    <row r="2098" ht="22.5" customHeight="1">
      <c r="A2098" s="44"/>
      <c r="B2098" s="44"/>
      <c r="C2098" s="44"/>
      <c r="D2098" s="44"/>
      <c r="E2098" s="51"/>
      <c r="F2098" s="44" t="s">
        <v>1098</v>
      </c>
      <c r="G2098" s="46"/>
      <c r="H2098" s="53"/>
      <c r="I2098" s="53"/>
      <c r="J2098" s="44"/>
      <c r="K2098" s="48"/>
    </row>
    <row r="2099" ht="22.5" customHeight="1">
      <c r="A2099" s="44"/>
      <c r="B2099" s="44"/>
      <c r="C2099" s="44"/>
      <c r="D2099" s="44"/>
      <c r="E2099" s="51"/>
      <c r="F2099" s="44" t="s">
        <v>1098</v>
      </c>
      <c r="G2099" s="46"/>
      <c r="H2099" s="53"/>
      <c r="I2099" s="53"/>
      <c r="J2099" s="44"/>
      <c r="K2099" s="48"/>
    </row>
    <row r="2100" ht="22.5" customHeight="1">
      <c r="A2100" s="44"/>
      <c r="B2100" s="44"/>
      <c r="C2100" s="44"/>
      <c r="D2100" s="44"/>
      <c r="E2100" s="51"/>
      <c r="F2100" s="44" t="s">
        <v>1098</v>
      </c>
      <c r="G2100" s="46"/>
      <c r="H2100" s="53"/>
      <c r="I2100" s="53"/>
      <c r="J2100" s="44"/>
      <c r="K2100" s="48"/>
    </row>
    <row r="2101" ht="22.5" customHeight="1">
      <c r="A2101" s="44"/>
      <c r="B2101" s="44"/>
      <c r="C2101" s="44"/>
      <c r="D2101" s="44"/>
      <c r="E2101" s="51"/>
      <c r="F2101" s="44" t="s">
        <v>1098</v>
      </c>
      <c r="G2101" s="46"/>
      <c r="H2101" s="53"/>
      <c r="I2101" s="53"/>
      <c r="J2101" s="44"/>
      <c r="K2101" s="48"/>
    </row>
    <row r="2102" ht="22.5" customHeight="1">
      <c r="A2102" s="44"/>
      <c r="B2102" s="44"/>
      <c r="C2102" s="44"/>
      <c r="D2102" s="44"/>
      <c r="E2102" s="51"/>
      <c r="F2102" s="44" t="s">
        <v>1098</v>
      </c>
      <c r="G2102" s="46"/>
      <c r="H2102" s="53"/>
      <c r="I2102" s="53"/>
      <c r="J2102" s="44"/>
      <c r="K2102" s="48"/>
    </row>
    <row r="2103" ht="22.5" customHeight="1">
      <c r="A2103" s="44"/>
      <c r="B2103" s="44"/>
      <c r="C2103" s="44"/>
      <c r="D2103" s="44"/>
      <c r="E2103" s="51"/>
      <c r="F2103" s="44" t="s">
        <v>1098</v>
      </c>
      <c r="G2103" s="46"/>
      <c r="H2103" s="53"/>
      <c r="I2103" s="53"/>
      <c r="J2103" s="44"/>
      <c r="K2103" s="48"/>
    </row>
    <row r="2104" ht="22.5" customHeight="1">
      <c r="A2104" s="44"/>
      <c r="B2104" s="44"/>
      <c r="C2104" s="44"/>
      <c r="D2104" s="44"/>
      <c r="E2104" s="51"/>
      <c r="F2104" s="44" t="s">
        <v>1098</v>
      </c>
      <c r="G2104" s="46"/>
      <c r="H2104" s="53"/>
      <c r="I2104" s="53"/>
      <c r="J2104" s="44"/>
      <c r="K2104" s="48"/>
    </row>
    <row r="2105" ht="22.5" customHeight="1">
      <c r="A2105" s="44"/>
      <c r="B2105" s="44"/>
      <c r="C2105" s="44"/>
      <c r="D2105" s="44"/>
      <c r="E2105" s="51"/>
      <c r="F2105" s="44" t="s">
        <v>1098</v>
      </c>
      <c r="G2105" s="46"/>
      <c r="H2105" s="53"/>
      <c r="I2105" s="53"/>
      <c r="J2105" s="44"/>
      <c r="K2105" s="48"/>
    </row>
    <row r="2106" ht="22.5" customHeight="1">
      <c r="A2106" s="44"/>
      <c r="B2106" s="44"/>
      <c r="C2106" s="44"/>
      <c r="D2106" s="44"/>
      <c r="E2106" s="51"/>
      <c r="F2106" s="44" t="s">
        <v>1098</v>
      </c>
      <c r="G2106" s="46"/>
      <c r="H2106" s="53"/>
      <c r="I2106" s="53"/>
      <c r="J2106" s="44"/>
      <c r="K2106" s="48"/>
    </row>
    <row r="2107" ht="22.5" customHeight="1">
      <c r="A2107" s="44"/>
      <c r="B2107" s="44"/>
      <c r="C2107" s="44"/>
      <c r="D2107" s="44"/>
      <c r="E2107" s="51"/>
      <c r="F2107" s="44" t="s">
        <v>1098</v>
      </c>
      <c r="G2107" s="46"/>
      <c r="H2107" s="53"/>
      <c r="I2107" s="53"/>
      <c r="J2107" s="44"/>
      <c r="K2107" s="48"/>
    </row>
    <row r="2108" ht="22.5" customHeight="1">
      <c r="A2108" s="44"/>
      <c r="B2108" s="44"/>
      <c r="C2108" s="44"/>
      <c r="D2108" s="44"/>
      <c r="E2108" s="51"/>
      <c r="F2108" s="44" t="s">
        <v>1098</v>
      </c>
      <c r="G2108" s="46"/>
      <c r="H2108" s="53"/>
      <c r="I2108" s="53"/>
      <c r="J2108" s="44"/>
      <c r="K2108" s="48"/>
    </row>
    <row r="2109" ht="22.5" customHeight="1">
      <c r="A2109" s="44"/>
      <c r="B2109" s="44"/>
      <c r="C2109" s="44"/>
      <c r="D2109" s="44"/>
      <c r="E2109" s="51"/>
      <c r="F2109" s="44" t="s">
        <v>1098</v>
      </c>
      <c r="G2109" s="46"/>
      <c r="H2109" s="53"/>
      <c r="I2109" s="53"/>
      <c r="J2109" s="44"/>
      <c r="K2109" s="48"/>
    </row>
    <row r="2110" ht="22.5" customHeight="1">
      <c r="A2110" s="44"/>
      <c r="B2110" s="44"/>
      <c r="C2110" s="44"/>
      <c r="D2110" s="44"/>
      <c r="E2110" s="51"/>
      <c r="F2110" s="44" t="s">
        <v>1098</v>
      </c>
      <c r="G2110" s="46"/>
      <c r="H2110" s="53"/>
      <c r="I2110" s="53"/>
      <c r="J2110" s="44"/>
      <c r="K2110" s="48"/>
    </row>
    <row r="2111" ht="22.5" customHeight="1">
      <c r="A2111" s="44"/>
      <c r="B2111" s="44"/>
      <c r="C2111" s="44"/>
      <c r="D2111" s="44"/>
      <c r="E2111" s="51"/>
      <c r="F2111" s="44" t="s">
        <v>1098</v>
      </c>
      <c r="G2111" s="46"/>
      <c r="H2111" s="53"/>
      <c r="I2111" s="53"/>
      <c r="J2111" s="44"/>
      <c r="K2111" s="48"/>
    </row>
    <row r="2112" ht="22.5" customHeight="1">
      <c r="A2112" s="44"/>
      <c r="B2112" s="44"/>
      <c r="C2112" s="44"/>
      <c r="D2112" s="44"/>
      <c r="E2112" s="51"/>
      <c r="F2112" s="44" t="s">
        <v>1098</v>
      </c>
      <c r="G2112" s="46"/>
      <c r="H2112" s="53"/>
      <c r="I2112" s="53"/>
      <c r="J2112" s="44"/>
      <c r="K2112" s="48"/>
    </row>
    <row r="2113" ht="22.5" customHeight="1">
      <c r="A2113" s="44"/>
      <c r="B2113" s="44"/>
      <c r="C2113" s="44"/>
      <c r="D2113" s="44"/>
      <c r="E2113" s="51"/>
      <c r="F2113" s="44" t="s">
        <v>1098</v>
      </c>
      <c r="G2113" s="46"/>
      <c r="H2113" s="53"/>
      <c r="I2113" s="53"/>
      <c r="J2113" s="44"/>
      <c r="K2113" s="48"/>
    </row>
    <row r="2114" ht="22.5" customHeight="1">
      <c r="A2114" s="44"/>
      <c r="B2114" s="44"/>
      <c r="C2114" s="44"/>
      <c r="D2114" s="44"/>
      <c r="E2114" s="51"/>
      <c r="F2114" s="44" t="s">
        <v>1098</v>
      </c>
      <c r="G2114" s="46"/>
      <c r="H2114" s="53"/>
      <c r="I2114" s="53"/>
      <c r="J2114" s="44"/>
      <c r="K2114" s="48"/>
    </row>
    <row r="2115" ht="22.5" customHeight="1">
      <c r="A2115" s="44"/>
      <c r="B2115" s="44"/>
      <c r="C2115" s="44"/>
      <c r="D2115" s="44"/>
      <c r="E2115" s="51"/>
      <c r="F2115" s="44" t="s">
        <v>1098</v>
      </c>
      <c r="G2115" s="46"/>
      <c r="H2115" s="53"/>
      <c r="I2115" s="53"/>
      <c r="J2115" s="44"/>
      <c r="K2115" s="48"/>
    </row>
    <row r="2116" ht="22.5" customHeight="1">
      <c r="A2116" s="44"/>
      <c r="B2116" s="44"/>
      <c r="C2116" s="44"/>
      <c r="D2116" s="44"/>
      <c r="E2116" s="51"/>
      <c r="F2116" s="44" t="s">
        <v>1098</v>
      </c>
      <c r="G2116" s="46"/>
      <c r="H2116" s="53"/>
      <c r="I2116" s="53"/>
      <c r="J2116" s="44"/>
      <c r="K2116" s="48"/>
    </row>
    <row r="2117" ht="22.5" customHeight="1">
      <c r="A2117" s="44"/>
      <c r="B2117" s="44"/>
      <c r="C2117" s="44"/>
      <c r="D2117" s="44"/>
      <c r="E2117" s="51"/>
      <c r="F2117" s="44" t="s">
        <v>1098</v>
      </c>
      <c r="G2117" s="46"/>
      <c r="H2117" s="53"/>
      <c r="I2117" s="53"/>
      <c r="J2117" s="44"/>
      <c r="K2117" s="48"/>
    </row>
    <row r="2118" ht="22.5" customHeight="1">
      <c r="A2118" s="44"/>
      <c r="B2118" s="44"/>
      <c r="C2118" s="44"/>
      <c r="D2118" s="44"/>
      <c r="E2118" s="51"/>
      <c r="F2118" s="44" t="s">
        <v>1098</v>
      </c>
      <c r="G2118" s="46"/>
      <c r="H2118" s="53"/>
      <c r="I2118" s="53"/>
      <c r="J2118" s="44"/>
      <c r="K2118" s="48"/>
    </row>
    <row r="2119" ht="22.5" customHeight="1">
      <c r="A2119" s="44"/>
      <c r="B2119" s="44"/>
      <c r="C2119" s="44"/>
      <c r="D2119" s="44"/>
      <c r="E2119" s="51"/>
      <c r="F2119" s="44" t="s">
        <v>1098</v>
      </c>
      <c r="G2119" s="46"/>
      <c r="H2119" s="53"/>
      <c r="I2119" s="53"/>
      <c r="J2119" s="44"/>
      <c r="K2119" s="48"/>
    </row>
    <row r="2120" ht="22.5" customHeight="1">
      <c r="A2120" s="44"/>
      <c r="B2120" s="44"/>
      <c r="C2120" s="44"/>
      <c r="D2120" s="44"/>
      <c r="E2120" s="51"/>
      <c r="F2120" s="44" t="s">
        <v>1098</v>
      </c>
      <c r="G2120" s="46"/>
      <c r="H2120" s="53"/>
      <c r="I2120" s="53"/>
      <c r="J2120" s="44"/>
      <c r="K2120" s="48"/>
    </row>
    <row r="2121" ht="22.5" customHeight="1">
      <c r="A2121" s="44"/>
      <c r="B2121" s="44"/>
      <c r="C2121" s="44"/>
      <c r="D2121" s="44"/>
      <c r="E2121" s="51"/>
      <c r="F2121" s="44" t="s">
        <v>1098</v>
      </c>
      <c r="G2121" s="46"/>
      <c r="H2121" s="53"/>
      <c r="I2121" s="53"/>
      <c r="J2121" s="44"/>
      <c r="K2121" s="48"/>
    </row>
    <row r="2122" ht="22.5" customHeight="1">
      <c r="A2122" s="44"/>
      <c r="B2122" s="44"/>
      <c r="C2122" s="44"/>
      <c r="D2122" s="44"/>
      <c r="E2122" s="51"/>
      <c r="F2122" s="44" t="s">
        <v>1098</v>
      </c>
      <c r="G2122" s="46"/>
      <c r="H2122" s="53"/>
      <c r="I2122" s="53"/>
      <c r="J2122" s="44"/>
      <c r="K2122" s="48"/>
    </row>
    <row r="2123" ht="22.5" customHeight="1">
      <c r="A2123" s="44"/>
      <c r="B2123" s="44"/>
      <c r="C2123" s="44"/>
      <c r="D2123" s="44"/>
      <c r="E2123" s="51"/>
      <c r="F2123" s="44" t="s">
        <v>1098</v>
      </c>
      <c r="G2123" s="46"/>
      <c r="H2123" s="53"/>
      <c r="I2123" s="53"/>
      <c r="J2123" s="44"/>
      <c r="K2123" s="48"/>
    </row>
    <row r="2124" ht="22.5" customHeight="1">
      <c r="A2124" s="44"/>
      <c r="B2124" s="44"/>
      <c r="C2124" s="44"/>
      <c r="D2124" s="44"/>
      <c r="E2124" s="51"/>
      <c r="F2124" s="44" t="s">
        <v>1098</v>
      </c>
      <c r="G2124" s="46"/>
      <c r="H2124" s="53"/>
      <c r="I2124" s="53"/>
      <c r="J2124" s="44"/>
      <c r="K2124" s="48"/>
    </row>
    <row r="2125" ht="22.5" customHeight="1">
      <c r="A2125" s="44"/>
      <c r="B2125" s="44"/>
      <c r="C2125" s="44"/>
      <c r="D2125" s="44"/>
      <c r="E2125" s="51"/>
      <c r="F2125" s="44" t="s">
        <v>1098</v>
      </c>
      <c r="G2125" s="46"/>
      <c r="H2125" s="53"/>
      <c r="I2125" s="53"/>
      <c r="J2125" s="44"/>
      <c r="K2125" s="48"/>
    </row>
    <row r="2126" ht="22.5" customHeight="1">
      <c r="A2126" s="44"/>
      <c r="B2126" s="44"/>
      <c r="C2126" s="44"/>
      <c r="D2126" s="44"/>
      <c r="E2126" s="51"/>
      <c r="F2126" s="44" t="s">
        <v>1098</v>
      </c>
      <c r="G2126" s="46"/>
      <c r="H2126" s="53"/>
      <c r="I2126" s="53"/>
      <c r="J2126" s="44"/>
      <c r="K2126" s="48"/>
    </row>
    <row r="2127" ht="22.5" customHeight="1">
      <c r="A2127" s="44"/>
      <c r="B2127" s="44"/>
      <c r="C2127" s="44"/>
      <c r="D2127" s="44"/>
      <c r="E2127" s="51"/>
      <c r="F2127" s="44" t="s">
        <v>1098</v>
      </c>
      <c r="G2127" s="46"/>
      <c r="H2127" s="53"/>
      <c r="I2127" s="53"/>
      <c r="J2127" s="44"/>
      <c r="K2127" s="48"/>
    </row>
    <row r="2128" ht="22.5" customHeight="1">
      <c r="A2128" s="44"/>
      <c r="B2128" s="44"/>
      <c r="C2128" s="44"/>
      <c r="D2128" s="44"/>
      <c r="E2128" s="51"/>
      <c r="F2128" s="44" t="s">
        <v>1098</v>
      </c>
      <c r="G2128" s="46"/>
      <c r="H2128" s="53"/>
      <c r="I2128" s="53"/>
      <c r="J2128" s="44"/>
      <c r="K2128" s="48"/>
    </row>
    <row r="2129" ht="22.5" customHeight="1">
      <c r="A2129" s="44"/>
      <c r="B2129" s="44"/>
      <c r="C2129" s="44"/>
      <c r="D2129" s="44"/>
      <c r="E2129" s="51"/>
      <c r="F2129" s="44" t="s">
        <v>1098</v>
      </c>
      <c r="G2129" s="46"/>
      <c r="H2129" s="53"/>
      <c r="I2129" s="53"/>
      <c r="J2129" s="44"/>
      <c r="K2129" s="48"/>
    </row>
    <row r="2130" ht="22.5" customHeight="1">
      <c r="A2130" s="44"/>
      <c r="B2130" s="44"/>
      <c r="C2130" s="44"/>
      <c r="D2130" s="44"/>
      <c r="E2130" s="51"/>
      <c r="F2130" s="44" t="s">
        <v>1098</v>
      </c>
      <c r="G2130" s="46"/>
      <c r="H2130" s="53"/>
      <c r="I2130" s="53"/>
      <c r="J2130" s="44"/>
      <c r="K2130" s="48"/>
    </row>
    <row r="2131" ht="22.5" customHeight="1">
      <c r="A2131" s="44"/>
      <c r="B2131" s="44"/>
      <c r="C2131" s="44"/>
      <c r="D2131" s="44"/>
      <c r="E2131" s="51"/>
      <c r="F2131" s="44" t="s">
        <v>1098</v>
      </c>
      <c r="G2131" s="46"/>
      <c r="H2131" s="53"/>
      <c r="I2131" s="53"/>
      <c r="J2131" s="44"/>
      <c r="K2131" s="48"/>
    </row>
    <row r="2132" ht="22.5" customHeight="1">
      <c r="A2132" s="44"/>
      <c r="B2132" s="44"/>
      <c r="C2132" s="44"/>
      <c r="D2132" s="44"/>
      <c r="E2132" s="51"/>
      <c r="F2132" s="44" t="s">
        <v>1098</v>
      </c>
      <c r="G2132" s="46"/>
      <c r="H2132" s="53"/>
      <c r="I2132" s="53"/>
      <c r="J2132" s="44"/>
      <c r="K2132" s="48"/>
    </row>
    <row r="2133" ht="22.5" customHeight="1">
      <c r="A2133" s="44"/>
      <c r="B2133" s="44"/>
      <c r="C2133" s="44"/>
      <c r="D2133" s="44"/>
      <c r="E2133" s="51"/>
      <c r="F2133" s="44" t="s">
        <v>1098</v>
      </c>
      <c r="G2133" s="46"/>
      <c r="H2133" s="53"/>
      <c r="I2133" s="53"/>
      <c r="J2133" s="44"/>
      <c r="K2133" s="48"/>
    </row>
    <row r="2134" ht="22.5" customHeight="1">
      <c r="A2134" s="44"/>
      <c r="B2134" s="44"/>
      <c r="C2134" s="44"/>
      <c r="D2134" s="44"/>
      <c r="E2134" s="51"/>
      <c r="F2134" s="44" t="s">
        <v>1098</v>
      </c>
      <c r="G2134" s="46"/>
      <c r="H2134" s="53"/>
      <c r="I2134" s="53"/>
      <c r="J2134" s="44"/>
      <c r="K2134" s="48"/>
    </row>
    <row r="2135" ht="22.5" customHeight="1">
      <c r="A2135" s="44"/>
      <c r="B2135" s="44"/>
      <c r="C2135" s="44"/>
      <c r="D2135" s="44"/>
      <c r="E2135" s="51"/>
      <c r="F2135" s="44" t="s">
        <v>1098</v>
      </c>
      <c r="G2135" s="46"/>
      <c r="H2135" s="53"/>
      <c r="I2135" s="53"/>
      <c r="J2135" s="44"/>
      <c r="K2135" s="48"/>
    </row>
    <row r="2136" ht="22.5" customHeight="1">
      <c r="A2136" s="44"/>
      <c r="B2136" s="44"/>
      <c r="C2136" s="44"/>
      <c r="D2136" s="44"/>
      <c r="E2136" s="51"/>
      <c r="F2136" s="44" t="s">
        <v>1098</v>
      </c>
      <c r="G2136" s="46"/>
      <c r="H2136" s="53"/>
      <c r="I2136" s="53"/>
      <c r="J2136" s="44"/>
      <c r="K2136" s="48"/>
    </row>
    <row r="2137" ht="22.5" customHeight="1">
      <c r="A2137" s="44"/>
      <c r="B2137" s="44"/>
      <c r="C2137" s="44"/>
      <c r="D2137" s="44"/>
      <c r="E2137" s="51"/>
      <c r="F2137" s="44" t="s">
        <v>1098</v>
      </c>
      <c r="G2137" s="46"/>
      <c r="H2137" s="53"/>
      <c r="I2137" s="53"/>
      <c r="J2137" s="44"/>
      <c r="K2137" s="48"/>
    </row>
    <row r="2138" ht="22.5" customHeight="1">
      <c r="A2138" s="44"/>
      <c r="B2138" s="44"/>
      <c r="C2138" s="44"/>
      <c r="D2138" s="44"/>
      <c r="E2138" s="51"/>
      <c r="F2138" s="44" t="s">
        <v>1098</v>
      </c>
      <c r="G2138" s="46"/>
      <c r="H2138" s="53"/>
      <c r="I2138" s="53"/>
      <c r="J2138" s="44"/>
      <c r="K2138" s="48"/>
    </row>
    <row r="2139" ht="22.5" customHeight="1">
      <c r="A2139" s="44"/>
      <c r="B2139" s="44"/>
      <c r="C2139" s="44"/>
      <c r="D2139" s="44"/>
      <c r="E2139" s="51"/>
      <c r="F2139" s="44" t="s">
        <v>1098</v>
      </c>
      <c r="G2139" s="46"/>
      <c r="H2139" s="53"/>
      <c r="I2139" s="53"/>
      <c r="J2139" s="44"/>
      <c r="K2139" s="48"/>
    </row>
    <row r="2140" ht="22.5" customHeight="1">
      <c r="A2140" s="44"/>
      <c r="B2140" s="44"/>
      <c r="C2140" s="44"/>
      <c r="D2140" s="44"/>
      <c r="E2140" s="51"/>
      <c r="F2140" s="44" t="s">
        <v>1098</v>
      </c>
      <c r="G2140" s="46"/>
      <c r="H2140" s="53"/>
      <c r="I2140" s="53"/>
      <c r="J2140" s="44"/>
      <c r="K2140" s="48"/>
    </row>
    <row r="2141" ht="22.5" customHeight="1">
      <c r="A2141" s="44"/>
      <c r="B2141" s="44"/>
      <c r="C2141" s="44"/>
      <c r="D2141" s="44"/>
      <c r="E2141" s="51"/>
      <c r="F2141" s="44" t="s">
        <v>1098</v>
      </c>
      <c r="G2141" s="46"/>
      <c r="H2141" s="53"/>
      <c r="I2141" s="53"/>
      <c r="J2141" s="44"/>
      <c r="K2141" s="48"/>
    </row>
    <row r="2142" ht="22.5" customHeight="1">
      <c r="A2142" s="44"/>
      <c r="B2142" s="44"/>
      <c r="C2142" s="44"/>
      <c r="D2142" s="44"/>
      <c r="E2142" s="51"/>
      <c r="F2142" s="44" t="s">
        <v>1098</v>
      </c>
      <c r="G2142" s="46"/>
      <c r="H2142" s="53"/>
      <c r="I2142" s="53"/>
      <c r="J2142" s="44"/>
      <c r="K2142" s="48"/>
    </row>
    <row r="2143" ht="22.5" customHeight="1">
      <c r="A2143" s="44"/>
      <c r="B2143" s="44"/>
      <c r="C2143" s="44"/>
      <c r="D2143" s="44"/>
      <c r="E2143" s="51"/>
      <c r="F2143" s="44" t="s">
        <v>1098</v>
      </c>
      <c r="G2143" s="46"/>
      <c r="H2143" s="53"/>
      <c r="I2143" s="53"/>
      <c r="J2143" s="44"/>
      <c r="K2143" s="48"/>
    </row>
    <row r="2144" ht="22.5" customHeight="1">
      <c r="A2144" s="44"/>
      <c r="B2144" s="44"/>
      <c r="C2144" s="44"/>
      <c r="D2144" s="44"/>
      <c r="E2144" s="51"/>
      <c r="F2144" s="44" t="s">
        <v>1098</v>
      </c>
      <c r="G2144" s="46"/>
      <c r="H2144" s="53"/>
      <c r="I2144" s="53"/>
      <c r="J2144" s="44"/>
      <c r="K2144" s="48"/>
    </row>
    <row r="2145" ht="22.5" customHeight="1">
      <c r="A2145" s="44"/>
      <c r="B2145" s="44"/>
      <c r="C2145" s="44"/>
      <c r="D2145" s="44"/>
      <c r="E2145" s="51"/>
      <c r="F2145" s="44" t="s">
        <v>1098</v>
      </c>
      <c r="G2145" s="46"/>
      <c r="H2145" s="53"/>
      <c r="I2145" s="53"/>
      <c r="J2145" s="44"/>
      <c r="K2145" s="48"/>
    </row>
    <row r="2146" ht="22.5" customHeight="1">
      <c r="A2146" s="44"/>
      <c r="B2146" s="44"/>
      <c r="C2146" s="44"/>
      <c r="D2146" s="44"/>
      <c r="E2146" s="51"/>
      <c r="F2146" s="44" t="s">
        <v>1098</v>
      </c>
      <c r="G2146" s="46"/>
      <c r="H2146" s="53"/>
      <c r="I2146" s="53"/>
      <c r="J2146" s="44"/>
      <c r="K2146" s="48"/>
    </row>
    <row r="2147" ht="22.5" customHeight="1">
      <c r="A2147" s="44"/>
      <c r="B2147" s="44"/>
      <c r="C2147" s="44"/>
      <c r="D2147" s="44"/>
      <c r="E2147" s="51"/>
      <c r="F2147" s="44" t="s">
        <v>1098</v>
      </c>
      <c r="G2147" s="46"/>
      <c r="H2147" s="53"/>
      <c r="I2147" s="53"/>
      <c r="J2147" s="44"/>
      <c r="K2147" s="48"/>
    </row>
    <row r="2148" ht="22.5" customHeight="1">
      <c r="A2148" s="44"/>
      <c r="B2148" s="44"/>
      <c r="C2148" s="44"/>
      <c r="D2148" s="44"/>
      <c r="E2148" s="51"/>
      <c r="F2148" s="44" t="s">
        <v>1098</v>
      </c>
      <c r="G2148" s="46"/>
      <c r="H2148" s="53"/>
      <c r="I2148" s="53"/>
      <c r="J2148" s="44"/>
      <c r="K2148" s="48"/>
    </row>
    <row r="2149" ht="22.5" customHeight="1">
      <c r="A2149" s="44"/>
      <c r="B2149" s="44"/>
      <c r="C2149" s="44"/>
      <c r="D2149" s="44"/>
      <c r="E2149" s="51"/>
      <c r="F2149" s="44" t="s">
        <v>1098</v>
      </c>
      <c r="G2149" s="46"/>
      <c r="H2149" s="53"/>
      <c r="I2149" s="53"/>
      <c r="J2149" s="44"/>
      <c r="K2149" s="48"/>
    </row>
    <row r="2150" ht="22.5" customHeight="1">
      <c r="A2150" s="44"/>
      <c r="B2150" s="44"/>
      <c r="C2150" s="44"/>
      <c r="D2150" s="44"/>
      <c r="E2150" s="51"/>
      <c r="F2150" s="44" t="s">
        <v>1098</v>
      </c>
      <c r="G2150" s="46"/>
      <c r="H2150" s="53"/>
      <c r="I2150" s="53"/>
      <c r="J2150" s="44"/>
      <c r="K2150" s="48"/>
    </row>
    <row r="2151" ht="22.5" customHeight="1">
      <c r="A2151" s="44"/>
      <c r="B2151" s="44"/>
      <c r="C2151" s="44"/>
      <c r="D2151" s="44"/>
      <c r="E2151" s="51"/>
      <c r="F2151" s="44" t="s">
        <v>1098</v>
      </c>
      <c r="G2151" s="46"/>
      <c r="H2151" s="53"/>
      <c r="I2151" s="53"/>
      <c r="J2151" s="44"/>
      <c r="K2151" s="48"/>
    </row>
    <row r="2152" ht="22.5" customHeight="1">
      <c r="A2152" s="44"/>
      <c r="B2152" s="44"/>
      <c r="C2152" s="44"/>
      <c r="D2152" s="44"/>
      <c r="E2152" s="51"/>
      <c r="F2152" s="44" t="s">
        <v>1098</v>
      </c>
      <c r="G2152" s="46"/>
      <c r="H2152" s="53"/>
      <c r="I2152" s="53"/>
      <c r="J2152" s="44"/>
      <c r="K2152" s="48"/>
    </row>
    <row r="2153" ht="22.5" customHeight="1">
      <c r="A2153" s="44"/>
      <c r="B2153" s="44"/>
      <c r="C2153" s="44"/>
      <c r="D2153" s="44"/>
      <c r="E2153" s="51"/>
      <c r="F2153" s="44" t="s">
        <v>1098</v>
      </c>
      <c r="G2153" s="46"/>
      <c r="H2153" s="53"/>
      <c r="I2153" s="53"/>
      <c r="J2153" s="44"/>
      <c r="K2153" s="48"/>
    </row>
    <row r="2154" ht="22.5" customHeight="1">
      <c r="A2154" s="44"/>
      <c r="B2154" s="44"/>
      <c r="C2154" s="44"/>
      <c r="D2154" s="44"/>
      <c r="E2154" s="51"/>
      <c r="F2154" s="44" t="s">
        <v>1098</v>
      </c>
      <c r="G2154" s="46"/>
      <c r="H2154" s="53"/>
      <c r="I2154" s="53"/>
      <c r="J2154" s="44"/>
      <c r="K2154" s="48"/>
    </row>
    <row r="2155" ht="22.5" customHeight="1">
      <c r="A2155" s="44"/>
      <c r="B2155" s="44"/>
      <c r="C2155" s="44"/>
      <c r="D2155" s="44"/>
      <c r="E2155" s="51"/>
      <c r="F2155" s="44" t="s">
        <v>1098</v>
      </c>
      <c r="G2155" s="46"/>
      <c r="H2155" s="53"/>
      <c r="I2155" s="53"/>
      <c r="J2155" s="44"/>
      <c r="K2155" s="48"/>
    </row>
    <row r="2156" ht="22.5" customHeight="1">
      <c r="A2156" s="44"/>
      <c r="B2156" s="44"/>
      <c r="C2156" s="44"/>
      <c r="D2156" s="44"/>
      <c r="E2156" s="51"/>
      <c r="F2156" s="44" t="s">
        <v>1098</v>
      </c>
      <c r="G2156" s="46"/>
      <c r="H2156" s="53"/>
      <c r="I2156" s="53"/>
      <c r="J2156" s="44"/>
      <c r="K2156" s="48"/>
    </row>
    <row r="2157" ht="22.5" customHeight="1">
      <c r="A2157" s="44"/>
      <c r="B2157" s="44"/>
      <c r="C2157" s="44"/>
      <c r="D2157" s="44"/>
      <c r="E2157" s="51"/>
      <c r="F2157" s="44" t="s">
        <v>1098</v>
      </c>
      <c r="G2157" s="46"/>
      <c r="H2157" s="53"/>
      <c r="I2157" s="53"/>
      <c r="J2157" s="44"/>
      <c r="K2157" s="48"/>
    </row>
    <row r="2158" ht="22.5" customHeight="1">
      <c r="A2158" s="44"/>
      <c r="B2158" s="44"/>
      <c r="C2158" s="44"/>
      <c r="D2158" s="44"/>
      <c r="E2158" s="51"/>
      <c r="F2158" s="44" t="s">
        <v>1098</v>
      </c>
      <c r="G2158" s="46"/>
      <c r="H2158" s="53"/>
      <c r="I2158" s="53"/>
      <c r="J2158" s="44"/>
      <c r="K2158" s="48"/>
    </row>
    <row r="2159" ht="22.5" customHeight="1">
      <c r="A2159" s="44"/>
      <c r="B2159" s="44"/>
      <c r="C2159" s="44"/>
      <c r="D2159" s="44"/>
      <c r="E2159" s="51"/>
      <c r="F2159" s="44" t="s">
        <v>1098</v>
      </c>
      <c r="G2159" s="46"/>
      <c r="H2159" s="53"/>
      <c r="I2159" s="53"/>
      <c r="J2159" s="44"/>
      <c r="K2159" s="48"/>
    </row>
    <row r="2160" ht="22.5" customHeight="1">
      <c r="A2160" s="44"/>
      <c r="B2160" s="44"/>
      <c r="C2160" s="44"/>
      <c r="D2160" s="44"/>
      <c r="E2160" s="51"/>
      <c r="F2160" s="44" t="s">
        <v>1098</v>
      </c>
      <c r="G2160" s="46"/>
      <c r="H2160" s="53"/>
      <c r="I2160" s="53"/>
      <c r="J2160" s="44"/>
      <c r="K2160" s="48"/>
    </row>
    <row r="2161" ht="22.5" customHeight="1">
      <c r="A2161" s="44"/>
      <c r="B2161" s="44"/>
      <c r="C2161" s="44"/>
      <c r="D2161" s="44"/>
      <c r="E2161" s="51"/>
      <c r="F2161" s="44" t="s">
        <v>1098</v>
      </c>
      <c r="G2161" s="46"/>
      <c r="H2161" s="53"/>
      <c r="I2161" s="53"/>
      <c r="J2161" s="44"/>
      <c r="K2161" s="48"/>
    </row>
    <row r="2162" ht="22.5" customHeight="1">
      <c r="A2162" s="44"/>
      <c r="B2162" s="44"/>
      <c r="C2162" s="44"/>
      <c r="D2162" s="44"/>
      <c r="E2162" s="51"/>
      <c r="F2162" s="44" t="s">
        <v>1098</v>
      </c>
      <c r="G2162" s="46"/>
      <c r="H2162" s="53"/>
      <c r="I2162" s="53"/>
      <c r="J2162" s="44"/>
      <c r="K2162" s="48"/>
    </row>
    <row r="2163" ht="22.5" customHeight="1">
      <c r="A2163" s="44"/>
      <c r="B2163" s="44"/>
      <c r="C2163" s="44"/>
      <c r="D2163" s="44"/>
      <c r="E2163" s="51"/>
      <c r="F2163" s="44" t="s">
        <v>1098</v>
      </c>
      <c r="G2163" s="46"/>
      <c r="H2163" s="53"/>
      <c r="I2163" s="53"/>
      <c r="J2163" s="44"/>
      <c r="K2163" s="48"/>
    </row>
    <row r="2164" ht="22.5" customHeight="1">
      <c r="A2164" s="44"/>
      <c r="B2164" s="44"/>
      <c r="C2164" s="44"/>
      <c r="D2164" s="44"/>
      <c r="E2164" s="51"/>
      <c r="F2164" s="44" t="s">
        <v>1098</v>
      </c>
      <c r="G2164" s="46"/>
      <c r="H2164" s="53"/>
      <c r="I2164" s="53"/>
      <c r="J2164" s="44"/>
      <c r="K2164" s="48"/>
    </row>
    <row r="2165" ht="22.5" customHeight="1">
      <c r="A2165" s="44"/>
      <c r="B2165" s="44"/>
      <c r="C2165" s="44"/>
      <c r="D2165" s="44"/>
      <c r="E2165" s="51"/>
      <c r="F2165" s="44" t="s">
        <v>1098</v>
      </c>
      <c r="G2165" s="46"/>
      <c r="H2165" s="53"/>
      <c r="I2165" s="53"/>
      <c r="J2165" s="44"/>
      <c r="K2165" s="48"/>
    </row>
    <row r="2166" ht="22.5" customHeight="1">
      <c r="A2166" s="44"/>
      <c r="B2166" s="44"/>
      <c r="C2166" s="44"/>
      <c r="D2166" s="44"/>
      <c r="E2166" s="51"/>
      <c r="F2166" s="44" t="s">
        <v>1098</v>
      </c>
      <c r="G2166" s="46"/>
      <c r="H2166" s="53"/>
      <c r="I2166" s="53"/>
      <c r="J2166" s="44"/>
      <c r="K2166" s="48"/>
    </row>
    <row r="2167" ht="22.5" customHeight="1">
      <c r="A2167" s="44"/>
      <c r="B2167" s="44"/>
      <c r="C2167" s="44"/>
      <c r="D2167" s="44"/>
      <c r="E2167" s="51"/>
      <c r="F2167" s="44" t="s">
        <v>1098</v>
      </c>
      <c r="G2167" s="46"/>
      <c r="H2167" s="53"/>
      <c r="I2167" s="53"/>
      <c r="J2167" s="44"/>
      <c r="K2167" s="48"/>
    </row>
    <row r="2168" ht="22.5" customHeight="1">
      <c r="A2168" s="44"/>
      <c r="B2168" s="44"/>
      <c r="C2168" s="44"/>
      <c r="D2168" s="44"/>
      <c r="E2168" s="51"/>
      <c r="F2168" s="44" t="s">
        <v>1098</v>
      </c>
      <c r="G2168" s="46"/>
      <c r="H2168" s="53"/>
      <c r="I2168" s="53"/>
      <c r="J2168" s="44"/>
      <c r="K2168" s="48"/>
    </row>
    <row r="2169" ht="22.5" customHeight="1">
      <c r="A2169" s="44"/>
      <c r="B2169" s="44"/>
      <c r="C2169" s="44"/>
      <c r="D2169" s="44"/>
      <c r="E2169" s="51"/>
      <c r="F2169" s="44" t="s">
        <v>1098</v>
      </c>
      <c r="G2169" s="46"/>
      <c r="H2169" s="53"/>
      <c r="I2169" s="53"/>
      <c r="J2169" s="44"/>
      <c r="K2169" s="48"/>
    </row>
    <row r="2170" ht="22.5" customHeight="1">
      <c r="A2170" s="44"/>
      <c r="B2170" s="44"/>
      <c r="C2170" s="44"/>
      <c r="D2170" s="44"/>
      <c r="E2170" s="51"/>
      <c r="F2170" s="44" t="s">
        <v>1098</v>
      </c>
      <c r="G2170" s="46"/>
      <c r="H2170" s="53"/>
      <c r="I2170" s="53"/>
      <c r="J2170" s="44"/>
      <c r="K2170" s="48"/>
    </row>
    <row r="2171" ht="22.5" customHeight="1">
      <c r="A2171" s="44"/>
      <c r="B2171" s="44"/>
      <c r="C2171" s="44"/>
      <c r="D2171" s="44"/>
      <c r="E2171" s="51"/>
      <c r="F2171" s="44" t="s">
        <v>1098</v>
      </c>
      <c r="G2171" s="46"/>
      <c r="H2171" s="53"/>
      <c r="I2171" s="53"/>
      <c r="J2171" s="44"/>
      <c r="K2171" s="48"/>
    </row>
    <row r="2172" ht="22.5" customHeight="1">
      <c r="A2172" s="44"/>
      <c r="B2172" s="44"/>
      <c r="C2172" s="44"/>
      <c r="D2172" s="44"/>
      <c r="E2172" s="51"/>
      <c r="F2172" s="44" t="s">
        <v>1098</v>
      </c>
      <c r="G2172" s="46"/>
      <c r="H2172" s="53"/>
      <c r="I2172" s="53"/>
      <c r="J2172" s="44"/>
      <c r="K2172" s="48"/>
    </row>
    <row r="2173" ht="22.5" customHeight="1">
      <c r="A2173" s="44"/>
      <c r="B2173" s="44"/>
      <c r="C2173" s="44"/>
      <c r="D2173" s="44"/>
      <c r="E2173" s="51"/>
      <c r="F2173" s="44" t="s">
        <v>1098</v>
      </c>
      <c r="G2173" s="46"/>
      <c r="H2173" s="53"/>
      <c r="I2173" s="53"/>
      <c r="J2173" s="44"/>
      <c r="K2173" s="48"/>
    </row>
    <row r="2174" ht="22.5" customHeight="1">
      <c r="A2174" s="44"/>
      <c r="B2174" s="44"/>
      <c r="C2174" s="44"/>
      <c r="D2174" s="44"/>
      <c r="E2174" s="51"/>
      <c r="F2174" s="44" t="s">
        <v>1098</v>
      </c>
      <c r="G2174" s="46"/>
      <c r="H2174" s="53"/>
      <c r="I2174" s="53"/>
      <c r="J2174" s="44"/>
      <c r="K2174" s="48"/>
    </row>
    <row r="2175" ht="22.5" customHeight="1">
      <c r="A2175" s="44"/>
      <c r="B2175" s="44"/>
      <c r="C2175" s="44"/>
      <c r="D2175" s="44"/>
      <c r="E2175" s="51"/>
      <c r="F2175" s="44" t="s">
        <v>1098</v>
      </c>
      <c r="G2175" s="46"/>
      <c r="H2175" s="53"/>
      <c r="I2175" s="53"/>
      <c r="J2175" s="44"/>
      <c r="K2175" s="48"/>
    </row>
    <row r="2176" ht="22.5" customHeight="1">
      <c r="A2176" s="44"/>
      <c r="B2176" s="44"/>
      <c r="C2176" s="44"/>
      <c r="D2176" s="44"/>
      <c r="E2176" s="51"/>
      <c r="F2176" s="44" t="s">
        <v>1098</v>
      </c>
      <c r="G2176" s="46"/>
      <c r="H2176" s="53"/>
      <c r="I2176" s="53"/>
      <c r="J2176" s="44"/>
      <c r="K2176" s="48"/>
    </row>
    <row r="2177" ht="22.5" customHeight="1">
      <c r="A2177" s="44"/>
      <c r="B2177" s="44"/>
      <c r="C2177" s="44"/>
      <c r="D2177" s="44"/>
      <c r="E2177" s="51"/>
      <c r="F2177" s="44" t="s">
        <v>1098</v>
      </c>
      <c r="G2177" s="46"/>
      <c r="H2177" s="53"/>
      <c r="I2177" s="53"/>
      <c r="J2177" s="44"/>
      <c r="K2177" s="48"/>
    </row>
    <row r="2178" ht="22.5" customHeight="1">
      <c r="A2178" s="44"/>
      <c r="B2178" s="44"/>
      <c r="C2178" s="44"/>
      <c r="D2178" s="44"/>
      <c r="E2178" s="51"/>
      <c r="F2178" s="44" t="s">
        <v>1098</v>
      </c>
      <c r="G2178" s="46"/>
      <c r="H2178" s="53"/>
      <c r="I2178" s="53"/>
      <c r="J2178" s="44"/>
      <c r="K2178" s="48"/>
    </row>
    <row r="2179" ht="22.5" customHeight="1">
      <c r="A2179" s="44"/>
      <c r="B2179" s="44"/>
      <c r="C2179" s="44"/>
      <c r="D2179" s="44"/>
      <c r="E2179" s="51"/>
      <c r="F2179" s="44" t="s">
        <v>1098</v>
      </c>
      <c r="G2179" s="46"/>
      <c r="H2179" s="53"/>
      <c r="I2179" s="53"/>
      <c r="J2179" s="44"/>
      <c r="K2179" s="48"/>
    </row>
    <row r="2180" ht="22.5" customHeight="1">
      <c r="A2180" s="44"/>
      <c r="B2180" s="44"/>
      <c r="C2180" s="44"/>
      <c r="D2180" s="44"/>
      <c r="E2180" s="51"/>
      <c r="F2180" s="44" t="s">
        <v>1098</v>
      </c>
      <c r="G2180" s="46"/>
      <c r="H2180" s="53"/>
      <c r="I2180" s="53"/>
      <c r="J2180" s="44"/>
      <c r="K2180" s="48"/>
    </row>
    <row r="2181" ht="22.5" customHeight="1">
      <c r="A2181" s="44"/>
      <c r="B2181" s="44"/>
      <c r="C2181" s="44"/>
      <c r="D2181" s="44"/>
      <c r="E2181" s="51"/>
      <c r="F2181" s="44" t="s">
        <v>1098</v>
      </c>
      <c r="G2181" s="46"/>
      <c r="H2181" s="53"/>
      <c r="I2181" s="53"/>
      <c r="J2181" s="44"/>
      <c r="K2181" s="48"/>
    </row>
    <row r="2182" ht="22.5" customHeight="1">
      <c r="A2182" s="44"/>
      <c r="B2182" s="44"/>
      <c r="C2182" s="44"/>
      <c r="D2182" s="44"/>
      <c r="E2182" s="51"/>
      <c r="F2182" s="44" t="s">
        <v>1098</v>
      </c>
      <c r="G2182" s="46"/>
      <c r="H2182" s="53"/>
      <c r="I2182" s="53"/>
      <c r="J2182" s="44"/>
      <c r="K2182" s="48"/>
    </row>
    <row r="2183" ht="22.5" customHeight="1">
      <c r="A2183" s="44"/>
      <c r="B2183" s="44"/>
      <c r="C2183" s="44"/>
      <c r="D2183" s="44"/>
      <c r="E2183" s="51"/>
      <c r="F2183" s="44" t="s">
        <v>1098</v>
      </c>
      <c r="G2183" s="46"/>
      <c r="H2183" s="53"/>
      <c r="I2183" s="53"/>
      <c r="J2183" s="44"/>
      <c r="K2183" s="48"/>
    </row>
    <row r="2184" ht="22.5" customHeight="1">
      <c r="A2184" s="44"/>
      <c r="B2184" s="44"/>
      <c r="C2184" s="44"/>
      <c r="D2184" s="44"/>
      <c r="E2184" s="51"/>
      <c r="F2184" s="44" t="s">
        <v>1098</v>
      </c>
      <c r="G2184" s="46"/>
      <c r="H2184" s="53"/>
      <c r="I2184" s="53"/>
      <c r="J2184" s="44"/>
      <c r="K2184" s="48"/>
    </row>
    <row r="2185" ht="22.5" customHeight="1">
      <c r="A2185" s="44"/>
      <c r="B2185" s="44"/>
      <c r="C2185" s="44"/>
      <c r="D2185" s="44"/>
      <c r="E2185" s="51"/>
      <c r="F2185" s="44" t="s">
        <v>1098</v>
      </c>
      <c r="G2185" s="46"/>
      <c r="H2185" s="53"/>
      <c r="I2185" s="53"/>
      <c r="J2185" s="44"/>
      <c r="K2185" s="48"/>
    </row>
    <row r="2186" ht="22.5" customHeight="1">
      <c r="A2186" s="44"/>
      <c r="B2186" s="44"/>
      <c r="C2186" s="44"/>
      <c r="D2186" s="44"/>
      <c r="E2186" s="51"/>
      <c r="F2186" s="44" t="s">
        <v>1098</v>
      </c>
      <c r="G2186" s="46"/>
      <c r="H2186" s="53"/>
      <c r="I2186" s="53"/>
      <c r="J2186" s="44"/>
      <c r="K2186" s="48"/>
    </row>
    <row r="2187" ht="22.5" customHeight="1">
      <c r="A2187" s="44"/>
      <c r="B2187" s="44"/>
      <c r="C2187" s="44"/>
      <c r="D2187" s="44"/>
      <c r="E2187" s="51"/>
      <c r="F2187" s="44" t="s">
        <v>1098</v>
      </c>
      <c r="G2187" s="46"/>
      <c r="H2187" s="53"/>
      <c r="I2187" s="53"/>
      <c r="J2187" s="44"/>
      <c r="K2187" s="48"/>
    </row>
    <row r="2188" ht="22.5" customHeight="1">
      <c r="A2188" s="44"/>
      <c r="B2188" s="44"/>
      <c r="C2188" s="44"/>
      <c r="D2188" s="44"/>
      <c r="E2188" s="51"/>
      <c r="F2188" s="44" t="s">
        <v>1098</v>
      </c>
      <c r="G2188" s="46"/>
      <c r="H2188" s="53"/>
      <c r="I2188" s="53"/>
      <c r="J2188" s="44"/>
      <c r="K2188" s="48"/>
    </row>
    <row r="2189" ht="22.5" customHeight="1">
      <c r="A2189" s="44"/>
      <c r="B2189" s="44"/>
      <c r="C2189" s="44"/>
      <c r="D2189" s="44"/>
      <c r="E2189" s="51"/>
      <c r="F2189" s="44" t="s">
        <v>1098</v>
      </c>
      <c r="G2189" s="46"/>
      <c r="H2189" s="53"/>
      <c r="I2189" s="53"/>
      <c r="J2189" s="44"/>
      <c r="K2189" s="48"/>
    </row>
    <row r="2190" ht="22.5" customHeight="1">
      <c r="A2190" s="44"/>
      <c r="B2190" s="44"/>
      <c r="C2190" s="44"/>
      <c r="D2190" s="44"/>
      <c r="E2190" s="51"/>
      <c r="F2190" s="44" t="s">
        <v>1098</v>
      </c>
      <c r="G2190" s="46"/>
      <c r="H2190" s="53"/>
      <c r="I2190" s="53"/>
      <c r="J2190" s="44"/>
      <c r="K2190" s="48"/>
    </row>
    <row r="2191" ht="22.5" customHeight="1">
      <c r="A2191" s="44"/>
      <c r="B2191" s="44"/>
      <c r="C2191" s="44"/>
      <c r="D2191" s="44"/>
      <c r="E2191" s="51"/>
      <c r="F2191" s="44" t="s">
        <v>1098</v>
      </c>
      <c r="G2191" s="46"/>
      <c r="H2191" s="53"/>
      <c r="I2191" s="53"/>
      <c r="J2191" s="44"/>
      <c r="K2191" s="48"/>
    </row>
    <row r="2192" ht="22.5" customHeight="1">
      <c r="A2192" s="44"/>
      <c r="B2192" s="44"/>
      <c r="C2192" s="44"/>
      <c r="D2192" s="44"/>
      <c r="E2192" s="51"/>
      <c r="F2192" s="44" t="s">
        <v>1098</v>
      </c>
      <c r="G2192" s="46"/>
      <c r="H2192" s="53"/>
      <c r="I2192" s="53"/>
      <c r="J2192" s="44"/>
      <c r="K2192" s="48"/>
    </row>
    <row r="2193" ht="22.5" customHeight="1">
      <c r="A2193" s="44"/>
      <c r="B2193" s="44"/>
      <c r="C2193" s="44"/>
      <c r="D2193" s="44"/>
      <c r="E2193" s="51"/>
      <c r="F2193" s="44" t="s">
        <v>1098</v>
      </c>
      <c r="G2193" s="46"/>
      <c r="H2193" s="53"/>
      <c r="I2193" s="53"/>
      <c r="J2193" s="44"/>
      <c r="K2193" s="48"/>
    </row>
    <row r="2194" ht="22.5" customHeight="1">
      <c r="A2194" s="44"/>
      <c r="B2194" s="44"/>
      <c r="C2194" s="44"/>
      <c r="D2194" s="44"/>
      <c r="E2194" s="51"/>
      <c r="F2194" s="44" t="s">
        <v>1098</v>
      </c>
      <c r="G2194" s="46"/>
      <c r="H2194" s="53"/>
      <c r="I2194" s="53"/>
      <c r="J2194" s="44"/>
      <c r="K2194" s="48"/>
    </row>
    <row r="2195" ht="22.5" customHeight="1">
      <c r="A2195" s="44"/>
      <c r="B2195" s="44"/>
      <c r="C2195" s="44"/>
      <c r="D2195" s="44"/>
      <c r="E2195" s="51"/>
      <c r="F2195" s="44" t="s">
        <v>1098</v>
      </c>
      <c r="G2195" s="46"/>
      <c r="H2195" s="53"/>
      <c r="I2195" s="53"/>
      <c r="J2195" s="44"/>
      <c r="K2195" s="48"/>
    </row>
    <row r="2196" ht="22.5" customHeight="1">
      <c r="A2196" s="44"/>
      <c r="B2196" s="44"/>
      <c r="C2196" s="44"/>
      <c r="D2196" s="44"/>
      <c r="E2196" s="51"/>
      <c r="F2196" s="44" t="s">
        <v>1098</v>
      </c>
      <c r="G2196" s="46"/>
      <c r="H2196" s="53"/>
      <c r="I2196" s="53"/>
      <c r="J2196" s="44"/>
      <c r="K2196" s="48"/>
    </row>
    <row r="2197" ht="22.5" customHeight="1">
      <c r="A2197" s="44"/>
      <c r="B2197" s="44"/>
      <c r="C2197" s="44"/>
      <c r="D2197" s="44"/>
      <c r="E2197" s="51"/>
      <c r="F2197" s="44" t="s">
        <v>1098</v>
      </c>
      <c r="G2197" s="46"/>
      <c r="H2197" s="53"/>
      <c r="I2197" s="53"/>
      <c r="J2197" s="44"/>
      <c r="K2197" s="48"/>
    </row>
    <row r="2198" ht="22.5" customHeight="1">
      <c r="A2198" s="44"/>
      <c r="B2198" s="44"/>
      <c r="C2198" s="44"/>
      <c r="D2198" s="44"/>
      <c r="E2198" s="51"/>
      <c r="F2198" s="44" t="s">
        <v>1098</v>
      </c>
      <c r="G2198" s="46"/>
      <c r="H2198" s="53"/>
      <c r="I2198" s="53"/>
      <c r="J2198" s="44"/>
      <c r="K2198" s="48"/>
    </row>
    <row r="2199" ht="22.5" customHeight="1">
      <c r="A2199" s="44"/>
      <c r="B2199" s="44"/>
      <c r="C2199" s="44"/>
      <c r="D2199" s="44"/>
      <c r="E2199" s="51"/>
      <c r="F2199" s="44" t="s">
        <v>1098</v>
      </c>
      <c r="G2199" s="46"/>
      <c r="H2199" s="53"/>
      <c r="I2199" s="53"/>
      <c r="J2199" s="44"/>
      <c r="K2199" s="48"/>
    </row>
    <row r="2200" ht="22.5" customHeight="1">
      <c r="A2200" s="44"/>
      <c r="B2200" s="44"/>
      <c r="C2200" s="44"/>
      <c r="D2200" s="44"/>
      <c r="E2200" s="51"/>
      <c r="F2200" s="44" t="s">
        <v>1098</v>
      </c>
      <c r="G2200" s="46"/>
      <c r="H2200" s="53"/>
      <c r="I2200" s="53"/>
      <c r="J2200" s="44"/>
      <c r="K2200" s="48"/>
    </row>
    <row r="2201" ht="22.5" customHeight="1">
      <c r="A2201" s="44"/>
      <c r="B2201" s="44"/>
      <c r="C2201" s="44"/>
      <c r="D2201" s="44"/>
      <c r="E2201" s="51"/>
      <c r="F2201" s="44" t="s">
        <v>1098</v>
      </c>
      <c r="G2201" s="46"/>
      <c r="H2201" s="53"/>
      <c r="I2201" s="53"/>
      <c r="J2201" s="44"/>
      <c r="K2201" s="48"/>
    </row>
    <row r="2202" ht="22.5" customHeight="1">
      <c r="A2202" s="44"/>
      <c r="B2202" s="44"/>
      <c r="C2202" s="44"/>
      <c r="D2202" s="44"/>
      <c r="E2202" s="51"/>
      <c r="F2202" s="44" t="s">
        <v>1098</v>
      </c>
      <c r="G2202" s="46"/>
      <c r="H2202" s="53"/>
      <c r="I2202" s="53"/>
      <c r="J2202" s="44"/>
      <c r="K2202" s="48"/>
    </row>
    <row r="2203" ht="22.5" customHeight="1">
      <c r="A2203" s="44"/>
      <c r="B2203" s="44"/>
      <c r="C2203" s="44"/>
      <c r="D2203" s="44"/>
      <c r="E2203" s="51"/>
      <c r="F2203" s="44" t="s">
        <v>1098</v>
      </c>
      <c r="G2203" s="46"/>
      <c r="H2203" s="53"/>
      <c r="I2203" s="53"/>
      <c r="J2203" s="44"/>
      <c r="K2203" s="48"/>
    </row>
    <row r="2204" ht="22.5" customHeight="1">
      <c r="A2204" s="44"/>
      <c r="B2204" s="44"/>
      <c r="C2204" s="44"/>
      <c r="D2204" s="44"/>
      <c r="E2204" s="51"/>
      <c r="F2204" s="44" t="s">
        <v>1098</v>
      </c>
      <c r="G2204" s="46"/>
      <c r="H2204" s="53"/>
      <c r="I2204" s="53"/>
      <c r="J2204" s="44"/>
      <c r="K2204" s="48"/>
    </row>
    <row r="2205" ht="22.5" customHeight="1">
      <c r="A2205" s="44"/>
      <c r="B2205" s="44"/>
      <c r="C2205" s="44"/>
      <c r="D2205" s="44"/>
      <c r="E2205" s="51"/>
      <c r="F2205" s="44" t="s">
        <v>1098</v>
      </c>
      <c r="G2205" s="46"/>
      <c r="H2205" s="53"/>
      <c r="I2205" s="53"/>
      <c r="J2205" s="44"/>
      <c r="K2205" s="48"/>
    </row>
    <row r="2206" ht="22.5" customHeight="1">
      <c r="A2206" s="44"/>
      <c r="B2206" s="44"/>
      <c r="C2206" s="44"/>
      <c r="D2206" s="44"/>
      <c r="E2206" s="51"/>
      <c r="F2206" s="44" t="s">
        <v>1098</v>
      </c>
      <c r="G2206" s="46"/>
      <c r="H2206" s="53"/>
      <c r="I2206" s="53"/>
      <c r="J2206" s="44"/>
      <c r="K2206" s="48"/>
    </row>
    <row r="2207" ht="22.5" customHeight="1">
      <c r="A2207" s="44"/>
      <c r="B2207" s="44"/>
      <c r="C2207" s="44"/>
      <c r="D2207" s="44"/>
      <c r="E2207" s="51"/>
      <c r="F2207" s="44" t="s">
        <v>1098</v>
      </c>
      <c r="G2207" s="46"/>
      <c r="H2207" s="53"/>
      <c r="I2207" s="53"/>
      <c r="J2207" s="44"/>
      <c r="K2207" s="48"/>
    </row>
    <row r="2208" ht="22.5" customHeight="1">
      <c r="A2208" s="44"/>
      <c r="B2208" s="44"/>
      <c r="C2208" s="44"/>
      <c r="D2208" s="44"/>
      <c r="E2208" s="51"/>
      <c r="F2208" s="44" t="s">
        <v>1098</v>
      </c>
      <c r="G2208" s="46"/>
      <c r="H2208" s="53"/>
      <c r="I2208" s="53"/>
      <c r="J2208" s="44"/>
      <c r="K2208" s="48"/>
    </row>
    <row r="2209" ht="22.5" customHeight="1">
      <c r="A2209" s="44"/>
      <c r="B2209" s="44"/>
      <c r="C2209" s="44"/>
      <c r="D2209" s="44"/>
      <c r="E2209" s="51"/>
      <c r="F2209" s="44" t="s">
        <v>1098</v>
      </c>
      <c r="G2209" s="46"/>
      <c r="H2209" s="53"/>
      <c r="I2209" s="53"/>
      <c r="J2209" s="44"/>
      <c r="K2209" s="48"/>
    </row>
    <row r="2210" ht="22.5" customHeight="1">
      <c r="A2210" s="44"/>
      <c r="B2210" s="44"/>
      <c r="C2210" s="44"/>
      <c r="D2210" s="44"/>
      <c r="E2210" s="51"/>
      <c r="F2210" s="44" t="s">
        <v>1098</v>
      </c>
      <c r="G2210" s="46"/>
      <c r="H2210" s="53"/>
      <c r="I2210" s="53"/>
      <c r="J2210" s="44"/>
      <c r="K2210" s="48"/>
    </row>
    <row r="2211" ht="22.5" customHeight="1">
      <c r="A2211" s="44"/>
      <c r="B2211" s="44"/>
      <c r="C2211" s="44"/>
      <c r="D2211" s="44"/>
      <c r="E2211" s="51"/>
      <c r="F2211" s="44" t="s">
        <v>1098</v>
      </c>
      <c r="G2211" s="46"/>
      <c r="H2211" s="53"/>
      <c r="I2211" s="53"/>
      <c r="J2211" s="44"/>
      <c r="K2211" s="48"/>
    </row>
    <row r="2212" ht="22.5" customHeight="1">
      <c r="A2212" s="44"/>
      <c r="B2212" s="44"/>
      <c r="C2212" s="44"/>
      <c r="D2212" s="44"/>
      <c r="E2212" s="51"/>
      <c r="F2212" s="44" t="s">
        <v>1098</v>
      </c>
      <c r="G2212" s="46"/>
      <c r="H2212" s="53"/>
      <c r="I2212" s="53"/>
      <c r="J2212" s="44"/>
      <c r="K2212" s="48"/>
    </row>
    <row r="2213" ht="22.5" customHeight="1">
      <c r="A2213" s="44"/>
      <c r="B2213" s="44"/>
      <c r="C2213" s="44"/>
      <c r="D2213" s="44"/>
      <c r="E2213" s="51"/>
      <c r="F2213" s="44" t="s">
        <v>1098</v>
      </c>
      <c r="G2213" s="46"/>
      <c r="H2213" s="53"/>
      <c r="I2213" s="53"/>
      <c r="J2213" s="44"/>
      <c r="K2213" s="48"/>
    </row>
    <row r="2214" ht="22.5" customHeight="1">
      <c r="A2214" s="44"/>
      <c r="B2214" s="44"/>
      <c r="C2214" s="44"/>
      <c r="D2214" s="44"/>
      <c r="E2214" s="51"/>
      <c r="F2214" s="44" t="s">
        <v>1098</v>
      </c>
      <c r="G2214" s="46"/>
      <c r="H2214" s="53"/>
      <c r="I2214" s="53"/>
      <c r="J2214" s="44"/>
      <c r="K2214" s="48"/>
    </row>
    <row r="2215" ht="22.5" customHeight="1">
      <c r="A2215" s="44"/>
      <c r="B2215" s="44"/>
      <c r="C2215" s="44"/>
      <c r="D2215" s="44"/>
      <c r="E2215" s="51"/>
      <c r="F2215" s="44" t="s">
        <v>1098</v>
      </c>
      <c r="G2215" s="46"/>
      <c r="H2215" s="53"/>
      <c r="I2215" s="53"/>
      <c r="J2215" s="44"/>
      <c r="K2215" s="48"/>
    </row>
    <row r="2216" ht="22.5" customHeight="1">
      <c r="A2216" s="44"/>
      <c r="B2216" s="44"/>
      <c r="C2216" s="44"/>
      <c r="D2216" s="44"/>
      <c r="E2216" s="51"/>
      <c r="F2216" s="44" t="s">
        <v>1098</v>
      </c>
      <c r="G2216" s="46"/>
      <c r="H2216" s="53"/>
      <c r="I2216" s="53"/>
      <c r="J2216" s="44"/>
      <c r="K2216" s="48"/>
    </row>
    <row r="2217" ht="22.5" customHeight="1">
      <c r="A2217" s="44"/>
      <c r="B2217" s="44"/>
      <c r="C2217" s="44"/>
      <c r="D2217" s="44"/>
      <c r="E2217" s="51"/>
      <c r="F2217" s="44" t="s">
        <v>1098</v>
      </c>
      <c r="G2217" s="46"/>
      <c r="H2217" s="53"/>
      <c r="I2217" s="53"/>
      <c r="J2217" s="44"/>
      <c r="K2217" s="48"/>
    </row>
    <row r="2218" ht="22.5" customHeight="1">
      <c r="A2218" s="44"/>
      <c r="B2218" s="44"/>
      <c r="C2218" s="44"/>
      <c r="D2218" s="44"/>
      <c r="E2218" s="51"/>
      <c r="F2218" s="44" t="s">
        <v>1098</v>
      </c>
      <c r="G2218" s="46"/>
      <c r="H2218" s="53"/>
      <c r="I2218" s="53"/>
      <c r="J2218" s="44"/>
      <c r="K2218" s="48"/>
    </row>
    <row r="2219" ht="22.5" customHeight="1">
      <c r="A2219" s="44"/>
      <c r="B2219" s="44"/>
      <c r="C2219" s="44"/>
      <c r="D2219" s="44"/>
      <c r="E2219" s="51"/>
      <c r="F2219" s="44" t="s">
        <v>1098</v>
      </c>
      <c r="G2219" s="46"/>
      <c r="H2219" s="53"/>
      <c r="I2219" s="53"/>
      <c r="J2219" s="44"/>
      <c r="K2219" s="48"/>
    </row>
    <row r="2220" ht="22.5" customHeight="1">
      <c r="A2220" s="44"/>
      <c r="B2220" s="44"/>
      <c r="C2220" s="44"/>
      <c r="D2220" s="44"/>
      <c r="E2220" s="51"/>
      <c r="F2220" s="44" t="s">
        <v>1098</v>
      </c>
      <c r="G2220" s="46"/>
      <c r="H2220" s="53"/>
      <c r="I2220" s="53"/>
      <c r="J2220" s="44"/>
      <c r="K2220" s="48"/>
    </row>
    <row r="2221" ht="22.5" customHeight="1">
      <c r="A2221" s="44"/>
      <c r="B2221" s="44"/>
      <c r="C2221" s="44"/>
      <c r="D2221" s="44"/>
      <c r="E2221" s="51"/>
      <c r="F2221" s="44" t="s">
        <v>1098</v>
      </c>
      <c r="G2221" s="46"/>
      <c r="H2221" s="53"/>
      <c r="I2221" s="53"/>
      <c r="J2221" s="44"/>
      <c r="K2221" s="48"/>
    </row>
    <row r="2222" ht="22.5" customHeight="1">
      <c r="A2222" s="44"/>
      <c r="B2222" s="44"/>
      <c r="C2222" s="44"/>
      <c r="D2222" s="44"/>
      <c r="E2222" s="51"/>
      <c r="F2222" s="44" t="s">
        <v>1098</v>
      </c>
      <c r="G2222" s="46"/>
      <c r="H2222" s="53"/>
      <c r="I2222" s="53"/>
      <c r="J2222" s="44"/>
      <c r="K2222" s="48"/>
    </row>
    <row r="2223" ht="22.5" customHeight="1">
      <c r="A2223" s="44"/>
      <c r="B2223" s="44"/>
      <c r="C2223" s="44"/>
      <c r="D2223" s="44"/>
      <c r="E2223" s="51"/>
      <c r="F2223" s="44" t="s">
        <v>1098</v>
      </c>
      <c r="G2223" s="46"/>
      <c r="H2223" s="53"/>
      <c r="I2223" s="53"/>
      <c r="J2223" s="44"/>
      <c r="K2223" s="48"/>
    </row>
    <row r="2224" ht="22.5" customHeight="1">
      <c r="A2224" s="44"/>
      <c r="B2224" s="44"/>
      <c r="C2224" s="44"/>
      <c r="D2224" s="44"/>
      <c r="E2224" s="51"/>
      <c r="F2224" s="44" t="s">
        <v>1098</v>
      </c>
      <c r="G2224" s="46"/>
      <c r="H2224" s="53"/>
      <c r="I2224" s="53"/>
      <c r="J2224" s="44"/>
      <c r="K2224" s="48"/>
    </row>
    <row r="2225" ht="22.5" customHeight="1">
      <c r="A2225" s="44"/>
      <c r="B2225" s="44"/>
      <c r="C2225" s="44"/>
      <c r="D2225" s="44"/>
      <c r="E2225" s="51"/>
      <c r="F2225" s="44" t="s">
        <v>1098</v>
      </c>
      <c r="G2225" s="46"/>
      <c r="H2225" s="53"/>
      <c r="I2225" s="53"/>
      <c r="J2225" s="44"/>
      <c r="K2225" s="48"/>
    </row>
    <row r="2226" ht="22.5" customHeight="1">
      <c r="A2226" s="44"/>
      <c r="B2226" s="44"/>
      <c r="C2226" s="44"/>
      <c r="D2226" s="44"/>
      <c r="E2226" s="51"/>
      <c r="F2226" s="44" t="s">
        <v>1098</v>
      </c>
      <c r="G2226" s="46"/>
      <c r="H2226" s="53"/>
      <c r="I2226" s="53"/>
      <c r="J2226" s="44"/>
      <c r="K2226" s="48"/>
    </row>
    <row r="2227" ht="22.5" customHeight="1">
      <c r="A2227" s="44"/>
      <c r="B2227" s="44"/>
      <c r="C2227" s="44"/>
      <c r="D2227" s="44"/>
      <c r="E2227" s="51"/>
      <c r="F2227" s="44" t="s">
        <v>1098</v>
      </c>
      <c r="G2227" s="46"/>
      <c r="H2227" s="53"/>
      <c r="I2227" s="53"/>
      <c r="J2227" s="44"/>
      <c r="K2227" s="48"/>
    </row>
    <row r="2228" ht="22.5" customHeight="1">
      <c r="A2228" s="44"/>
      <c r="B2228" s="44"/>
      <c r="C2228" s="44"/>
      <c r="D2228" s="44"/>
      <c r="E2228" s="51"/>
      <c r="F2228" s="44" t="s">
        <v>1098</v>
      </c>
      <c r="G2228" s="46"/>
      <c r="H2228" s="53"/>
      <c r="I2228" s="53"/>
      <c r="J2228" s="44"/>
      <c r="K2228" s="48"/>
    </row>
    <row r="2229" ht="22.5" customHeight="1">
      <c r="A2229" s="44"/>
      <c r="B2229" s="44"/>
      <c r="C2229" s="44"/>
      <c r="D2229" s="44"/>
      <c r="E2229" s="51"/>
      <c r="F2229" s="44" t="s">
        <v>1098</v>
      </c>
      <c r="G2229" s="46"/>
      <c r="H2229" s="53"/>
      <c r="I2229" s="53"/>
      <c r="J2229" s="44"/>
      <c r="K2229" s="48"/>
    </row>
    <row r="2230" ht="22.5" customHeight="1">
      <c r="A2230" s="44"/>
      <c r="B2230" s="44"/>
      <c r="C2230" s="44"/>
      <c r="D2230" s="44"/>
      <c r="E2230" s="51"/>
      <c r="F2230" s="44" t="s">
        <v>1098</v>
      </c>
      <c r="G2230" s="46"/>
      <c r="H2230" s="53"/>
      <c r="I2230" s="53"/>
      <c r="J2230" s="44"/>
      <c r="K2230" s="48"/>
    </row>
    <row r="2231" ht="22.5" customHeight="1">
      <c r="A2231" s="44"/>
      <c r="B2231" s="44"/>
      <c r="C2231" s="44"/>
      <c r="D2231" s="44"/>
      <c r="E2231" s="51"/>
      <c r="F2231" s="44" t="s">
        <v>1098</v>
      </c>
      <c r="G2231" s="46"/>
      <c r="H2231" s="53"/>
      <c r="I2231" s="53"/>
      <c r="J2231" s="44"/>
      <c r="K2231" s="48"/>
    </row>
    <row r="2232" ht="22.5" customHeight="1">
      <c r="A2232" s="44"/>
      <c r="B2232" s="44"/>
      <c r="C2232" s="44"/>
      <c r="D2232" s="44"/>
      <c r="E2232" s="51"/>
      <c r="F2232" s="44" t="s">
        <v>1098</v>
      </c>
      <c r="G2232" s="46"/>
      <c r="H2232" s="53"/>
      <c r="I2232" s="53"/>
      <c r="J2232" s="44"/>
      <c r="K2232" s="48"/>
    </row>
    <row r="2233" ht="22.5" customHeight="1">
      <c r="A2233" s="44"/>
      <c r="B2233" s="44"/>
      <c r="C2233" s="44"/>
      <c r="D2233" s="44"/>
      <c r="E2233" s="51"/>
      <c r="F2233" s="44" t="s">
        <v>1098</v>
      </c>
      <c r="G2233" s="46"/>
      <c r="H2233" s="53"/>
      <c r="I2233" s="53"/>
      <c r="J2233" s="44"/>
      <c r="K2233" s="48"/>
    </row>
    <row r="2234" ht="22.5" customHeight="1">
      <c r="A2234" s="44"/>
      <c r="B2234" s="44"/>
      <c r="C2234" s="44"/>
      <c r="D2234" s="44"/>
      <c r="E2234" s="51"/>
      <c r="F2234" s="44" t="s">
        <v>1098</v>
      </c>
      <c r="G2234" s="46"/>
      <c r="H2234" s="53"/>
      <c r="I2234" s="53"/>
      <c r="J2234" s="44"/>
      <c r="K2234" s="48"/>
    </row>
    <row r="2235" ht="22.5" customHeight="1">
      <c r="A2235" s="44"/>
      <c r="B2235" s="44"/>
      <c r="C2235" s="44"/>
      <c r="D2235" s="44"/>
      <c r="E2235" s="51"/>
      <c r="F2235" s="44" t="s">
        <v>1098</v>
      </c>
      <c r="G2235" s="46"/>
      <c r="H2235" s="53"/>
      <c r="I2235" s="53"/>
      <c r="J2235" s="44"/>
      <c r="K2235" s="48"/>
    </row>
    <row r="2236" ht="22.5" customHeight="1">
      <c r="A2236" s="44"/>
      <c r="B2236" s="44"/>
      <c r="C2236" s="44"/>
      <c r="D2236" s="44"/>
      <c r="E2236" s="51"/>
      <c r="F2236" s="44" t="s">
        <v>1098</v>
      </c>
      <c r="G2236" s="46"/>
      <c r="H2236" s="53"/>
      <c r="I2236" s="53"/>
      <c r="J2236" s="44"/>
      <c r="K2236" s="48"/>
    </row>
    <row r="2237" ht="22.5" customHeight="1">
      <c r="A2237" s="44"/>
      <c r="B2237" s="44"/>
      <c r="C2237" s="44"/>
      <c r="D2237" s="44"/>
      <c r="E2237" s="51"/>
      <c r="F2237" s="44" t="s">
        <v>1098</v>
      </c>
      <c r="G2237" s="46"/>
      <c r="H2237" s="53"/>
      <c r="I2237" s="53"/>
      <c r="J2237" s="44"/>
      <c r="K2237" s="48"/>
    </row>
    <row r="2238" ht="22.5" customHeight="1">
      <c r="A2238" s="44"/>
      <c r="B2238" s="44"/>
      <c r="C2238" s="44"/>
      <c r="D2238" s="44"/>
      <c r="E2238" s="51"/>
      <c r="F2238" s="44" t="s">
        <v>1098</v>
      </c>
      <c r="G2238" s="46"/>
      <c r="H2238" s="53"/>
      <c r="I2238" s="53"/>
      <c r="J2238" s="44"/>
      <c r="K2238" s="48"/>
    </row>
    <row r="2239" ht="22.5" customHeight="1">
      <c r="A2239" s="44"/>
      <c r="B2239" s="44"/>
      <c r="C2239" s="44"/>
      <c r="D2239" s="44"/>
      <c r="E2239" s="51"/>
      <c r="F2239" s="44" t="s">
        <v>1098</v>
      </c>
      <c r="G2239" s="46"/>
      <c r="H2239" s="53"/>
      <c r="I2239" s="53"/>
      <c r="J2239" s="44"/>
      <c r="K2239" s="48"/>
    </row>
    <row r="2240" ht="22.5" customHeight="1">
      <c r="A2240" s="44"/>
      <c r="B2240" s="44"/>
      <c r="C2240" s="44"/>
      <c r="D2240" s="44"/>
      <c r="E2240" s="51"/>
      <c r="F2240" s="44" t="s">
        <v>1098</v>
      </c>
      <c r="G2240" s="46"/>
      <c r="H2240" s="53"/>
      <c r="I2240" s="53"/>
      <c r="J2240" s="44"/>
      <c r="K2240" s="48"/>
    </row>
    <row r="2241" ht="22.5" customHeight="1">
      <c r="A2241" s="44"/>
      <c r="B2241" s="44"/>
      <c r="C2241" s="44"/>
      <c r="D2241" s="44"/>
      <c r="E2241" s="51"/>
      <c r="F2241" s="44" t="s">
        <v>1098</v>
      </c>
      <c r="G2241" s="46"/>
      <c r="H2241" s="53"/>
      <c r="I2241" s="53"/>
      <c r="J2241" s="44"/>
      <c r="K2241" s="48"/>
    </row>
    <row r="2242" ht="22.5" customHeight="1">
      <c r="A2242" s="44"/>
      <c r="B2242" s="44"/>
      <c r="C2242" s="44"/>
      <c r="D2242" s="44"/>
      <c r="E2242" s="51"/>
      <c r="F2242" s="44" t="s">
        <v>1098</v>
      </c>
      <c r="G2242" s="46"/>
      <c r="H2242" s="53"/>
      <c r="I2242" s="53"/>
      <c r="J2242" s="44"/>
      <c r="K2242" s="48"/>
    </row>
    <row r="2243" ht="22.5" customHeight="1">
      <c r="A2243" s="44"/>
      <c r="B2243" s="44"/>
      <c r="C2243" s="44"/>
      <c r="D2243" s="44"/>
      <c r="E2243" s="51"/>
      <c r="F2243" s="44" t="s">
        <v>1098</v>
      </c>
      <c r="G2243" s="46"/>
      <c r="H2243" s="53"/>
      <c r="I2243" s="53"/>
      <c r="J2243" s="44"/>
      <c r="K2243" s="48"/>
    </row>
    <row r="2244" ht="22.5" customHeight="1">
      <c r="A2244" s="44"/>
      <c r="B2244" s="44"/>
      <c r="C2244" s="44"/>
      <c r="D2244" s="44"/>
      <c r="E2244" s="51"/>
      <c r="F2244" s="44" t="s">
        <v>1098</v>
      </c>
      <c r="G2244" s="46"/>
      <c r="H2244" s="53"/>
      <c r="I2244" s="53"/>
      <c r="J2244" s="44"/>
      <c r="K2244" s="48"/>
    </row>
    <row r="2245" ht="22.5" customHeight="1">
      <c r="A2245" s="44"/>
      <c r="B2245" s="44"/>
      <c r="C2245" s="44"/>
      <c r="D2245" s="44"/>
      <c r="E2245" s="51"/>
      <c r="F2245" s="44" t="s">
        <v>1098</v>
      </c>
      <c r="G2245" s="46"/>
      <c r="H2245" s="53"/>
      <c r="I2245" s="53"/>
      <c r="J2245" s="44"/>
      <c r="K2245" s="48"/>
    </row>
    <row r="2246" ht="22.5" customHeight="1">
      <c r="A2246" s="44"/>
      <c r="B2246" s="44"/>
      <c r="C2246" s="44"/>
      <c r="D2246" s="44"/>
      <c r="E2246" s="51"/>
      <c r="F2246" s="44" t="s">
        <v>1098</v>
      </c>
      <c r="G2246" s="46"/>
      <c r="H2246" s="53"/>
      <c r="I2246" s="53"/>
      <c r="J2246" s="44"/>
      <c r="K2246" s="48"/>
    </row>
    <row r="2247" ht="22.5" customHeight="1">
      <c r="A2247" s="44"/>
      <c r="B2247" s="44"/>
      <c r="C2247" s="44"/>
      <c r="D2247" s="44"/>
      <c r="E2247" s="51"/>
      <c r="F2247" s="44" t="s">
        <v>1098</v>
      </c>
      <c r="G2247" s="46"/>
      <c r="H2247" s="53"/>
      <c r="I2247" s="53"/>
      <c r="J2247" s="44"/>
      <c r="K2247" s="48"/>
    </row>
    <row r="2248" ht="22.5" customHeight="1">
      <c r="A2248" s="44"/>
      <c r="B2248" s="44"/>
      <c r="C2248" s="44"/>
      <c r="D2248" s="44"/>
      <c r="E2248" s="51"/>
      <c r="F2248" s="44" t="s">
        <v>1098</v>
      </c>
      <c r="G2248" s="46"/>
      <c r="H2248" s="53"/>
      <c r="I2248" s="53"/>
      <c r="J2248" s="44"/>
      <c r="K2248" s="48"/>
    </row>
    <row r="2249" ht="22.5" customHeight="1">
      <c r="A2249" s="44"/>
      <c r="B2249" s="44"/>
      <c r="C2249" s="44"/>
      <c r="D2249" s="44"/>
      <c r="E2249" s="51"/>
      <c r="F2249" s="44" t="s">
        <v>1098</v>
      </c>
      <c r="G2249" s="46"/>
      <c r="H2249" s="53"/>
      <c r="I2249" s="53"/>
      <c r="J2249" s="44"/>
      <c r="K2249" s="48"/>
    </row>
    <row r="2250" ht="22.5" customHeight="1">
      <c r="A2250" s="44"/>
      <c r="B2250" s="44"/>
      <c r="C2250" s="44"/>
      <c r="D2250" s="44"/>
      <c r="E2250" s="51"/>
      <c r="F2250" s="44" t="s">
        <v>1098</v>
      </c>
      <c r="G2250" s="46"/>
      <c r="H2250" s="53"/>
      <c r="I2250" s="53"/>
      <c r="J2250" s="44"/>
      <c r="K2250" s="48"/>
    </row>
    <row r="2251" ht="22.5" customHeight="1">
      <c r="A2251" s="44"/>
      <c r="B2251" s="44"/>
      <c r="C2251" s="44"/>
      <c r="D2251" s="44"/>
      <c r="E2251" s="51"/>
      <c r="F2251" s="44" t="s">
        <v>1098</v>
      </c>
      <c r="G2251" s="46"/>
      <c r="H2251" s="53"/>
      <c r="I2251" s="53"/>
      <c r="J2251" s="44"/>
      <c r="K2251" s="48"/>
    </row>
    <row r="2252" ht="22.5" customHeight="1">
      <c r="A2252" s="44"/>
      <c r="B2252" s="44"/>
      <c r="C2252" s="44"/>
      <c r="D2252" s="44"/>
      <c r="E2252" s="51"/>
      <c r="F2252" s="44" t="s">
        <v>1098</v>
      </c>
      <c r="G2252" s="46"/>
      <c r="H2252" s="53"/>
      <c r="I2252" s="53"/>
      <c r="J2252" s="44"/>
      <c r="K2252" s="48"/>
    </row>
    <row r="2253" ht="22.5" customHeight="1">
      <c r="A2253" s="44"/>
      <c r="B2253" s="44"/>
      <c r="C2253" s="44"/>
      <c r="D2253" s="44"/>
      <c r="E2253" s="51"/>
      <c r="F2253" s="44" t="s">
        <v>1098</v>
      </c>
      <c r="G2253" s="46"/>
      <c r="H2253" s="53"/>
      <c r="I2253" s="53"/>
      <c r="J2253" s="44"/>
      <c r="K2253" s="48"/>
    </row>
    <row r="2254" ht="22.5" customHeight="1">
      <c r="A2254" s="44"/>
      <c r="B2254" s="44"/>
      <c r="C2254" s="44"/>
      <c r="D2254" s="44"/>
      <c r="E2254" s="51"/>
      <c r="F2254" s="44" t="s">
        <v>1098</v>
      </c>
      <c r="G2254" s="46"/>
      <c r="H2254" s="53"/>
      <c r="I2254" s="53"/>
      <c r="J2254" s="44"/>
      <c r="K2254" s="48"/>
    </row>
    <row r="2255" ht="22.5" customHeight="1">
      <c r="A2255" s="44"/>
      <c r="B2255" s="44"/>
      <c r="C2255" s="44"/>
      <c r="D2255" s="44"/>
      <c r="E2255" s="51"/>
      <c r="F2255" s="44" t="s">
        <v>1098</v>
      </c>
      <c r="G2255" s="46"/>
      <c r="H2255" s="53"/>
      <c r="I2255" s="53"/>
      <c r="J2255" s="44"/>
      <c r="K2255" s="48"/>
    </row>
    <row r="2256" ht="22.5" customHeight="1">
      <c r="A2256" s="44"/>
      <c r="B2256" s="44"/>
      <c r="C2256" s="44"/>
      <c r="D2256" s="44"/>
      <c r="E2256" s="51"/>
      <c r="F2256" s="44" t="s">
        <v>1098</v>
      </c>
      <c r="G2256" s="46"/>
      <c r="H2256" s="53"/>
      <c r="I2256" s="53"/>
      <c r="J2256" s="44"/>
      <c r="K2256" s="48"/>
    </row>
    <row r="2257" ht="22.5" customHeight="1">
      <c r="A2257" s="44"/>
      <c r="B2257" s="44"/>
      <c r="C2257" s="44"/>
      <c r="D2257" s="44"/>
      <c r="E2257" s="51"/>
      <c r="F2257" s="44" t="s">
        <v>1098</v>
      </c>
      <c r="G2257" s="46"/>
      <c r="H2257" s="53"/>
      <c r="I2257" s="53"/>
      <c r="J2257" s="44"/>
      <c r="K2257" s="48"/>
    </row>
    <row r="2258" ht="22.5" customHeight="1">
      <c r="A2258" s="44"/>
      <c r="B2258" s="44"/>
      <c r="C2258" s="44"/>
      <c r="D2258" s="44"/>
      <c r="E2258" s="51"/>
      <c r="F2258" s="44" t="s">
        <v>1098</v>
      </c>
      <c r="G2258" s="46"/>
      <c r="H2258" s="53"/>
      <c r="I2258" s="53"/>
      <c r="J2258" s="44"/>
      <c r="K2258" s="48"/>
    </row>
    <row r="2259" ht="22.5" customHeight="1">
      <c r="A2259" s="44"/>
      <c r="B2259" s="44"/>
      <c r="C2259" s="44"/>
      <c r="D2259" s="44"/>
      <c r="E2259" s="51"/>
      <c r="F2259" s="44" t="s">
        <v>1098</v>
      </c>
      <c r="G2259" s="46"/>
      <c r="H2259" s="53"/>
      <c r="I2259" s="53"/>
      <c r="J2259" s="44"/>
      <c r="K2259" s="48"/>
    </row>
    <row r="2260" ht="22.5" customHeight="1">
      <c r="A2260" s="44"/>
      <c r="B2260" s="44"/>
      <c r="C2260" s="44"/>
      <c r="D2260" s="44"/>
      <c r="E2260" s="51"/>
      <c r="F2260" s="44" t="s">
        <v>1098</v>
      </c>
      <c r="G2260" s="46"/>
      <c r="H2260" s="53"/>
      <c r="I2260" s="53"/>
      <c r="J2260" s="44"/>
      <c r="K2260" s="48"/>
    </row>
    <row r="2261" ht="22.5" customHeight="1">
      <c r="A2261" s="44"/>
      <c r="B2261" s="44"/>
      <c r="C2261" s="44"/>
      <c r="D2261" s="44"/>
      <c r="E2261" s="51"/>
      <c r="F2261" s="44" t="s">
        <v>1098</v>
      </c>
      <c r="G2261" s="46"/>
      <c r="H2261" s="53"/>
      <c r="I2261" s="53"/>
      <c r="J2261" s="44"/>
      <c r="K2261" s="48"/>
    </row>
    <row r="2262" ht="22.5" customHeight="1">
      <c r="A2262" s="44"/>
      <c r="B2262" s="44"/>
      <c r="C2262" s="44"/>
      <c r="D2262" s="44"/>
      <c r="E2262" s="51"/>
      <c r="F2262" s="44" t="s">
        <v>1098</v>
      </c>
      <c r="G2262" s="46"/>
      <c r="H2262" s="53"/>
      <c r="I2262" s="53"/>
      <c r="J2262" s="44"/>
      <c r="K2262" s="48"/>
    </row>
    <row r="2263" ht="22.5" customHeight="1">
      <c r="A2263" s="44"/>
      <c r="B2263" s="44"/>
      <c r="C2263" s="44"/>
      <c r="D2263" s="44"/>
      <c r="E2263" s="51"/>
      <c r="F2263" s="44" t="s">
        <v>1098</v>
      </c>
      <c r="G2263" s="46"/>
      <c r="H2263" s="53"/>
      <c r="I2263" s="53"/>
      <c r="J2263" s="44"/>
      <c r="K2263" s="48"/>
    </row>
    <row r="2264" ht="22.5" customHeight="1">
      <c r="A2264" s="44"/>
      <c r="B2264" s="44"/>
      <c r="C2264" s="44"/>
      <c r="D2264" s="44"/>
      <c r="E2264" s="51"/>
      <c r="F2264" s="44" t="s">
        <v>1098</v>
      </c>
      <c r="G2264" s="46"/>
      <c r="H2264" s="53"/>
      <c r="I2264" s="53"/>
      <c r="J2264" s="44"/>
      <c r="K2264" s="48"/>
    </row>
    <row r="2265" ht="22.5" customHeight="1">
      <c r="A2265" s="44"/>
      <c r="B2265" s="44"/>
      <c r="C2265" s="44"/>
      <c r="D2265" s="44"/>
      <c r="E2265" s="51"/>
      <c r="F2265" s="44" t="s">
        <v>1098</v>
      </c>
      <c r="G2265" s="46"/>
      <c r="H2265" s="53"/>
      <c r="I2265" s="53"/>
      <c r="J2265" s="44"/>
      <c r="K2265" s="48"/>
    </row>
    <row r="2266" ht="22.5" customHeight="1">
      <c r="A2266" s="44"/>
      <c r="B2266" s="44"/>
      <c r="C2266" s="44"/>
      <c r="D2266" s="44"/>
      <c r="E2266" s="51"/>
      <c r="F2266" s="44" t="s">
        <v>1098</v>
      </c>
      <c r="G2266" s="46"/>
      <c r="H2266" s="53"/>
      <c r="I2266" s="53"/>
      <c r="J2266" s="44"/>
      <c r="K2266" s="48"/>
    </row>
    <row r="2267" ht="22.5" customHeight="1">
      <c r="A2267" s="44"/>
      <c r="B2267" s="44"/>
      <c r="C2267" s="44"/>
      <c r="D2267" s="44"/>
      <c r="E2267" s="51"/>
      <c r="F2267" s="44" t="s">
        <v>1098</v>
      </c>
      <c r="G2267" s="46"/>
      <c r="H2267" s="53"/>
      <c r="I2267" s="53"/>
      <c r="J2267" s="44"/>
      <c r="K2267" s="48"/>
    </row>
    <row r="2268" ht="22.5" customHeight="1">
      <c r="A2268" s="44"/>
      <c r="B2268" s="44"/>
      <c r="C2268" s="44"/>
      <c r="D2268" s="44"/>
      <c r="E2268" s="51"/>
      <c r="F2268" s="44" t="s">
        <v>1098</v>
      </c>
      <c r="G2268" s="46"/>
      <c r="H2268" s="53"/>
      <c r="I2268" s="53"/>
      <c r="J2268" s="44"/>
      <c r="K2268" s="48"/>
    </row>
    <row r="2269" ht="22.5" customHeight="1">
      <c r="A2269" s="44"/>
      <c r="B2269" s="44"/>
      <c r="C2269" s="44"/>
      <c r="D2269" s="44"/>
      <c r="E2269" s="51"/>
      <c r="F2269" s="44" t="s">
        <v>1098</v>
      </c>
      <c r="G2269" s="46"/>
      <c r="H2269" s="53"/>
      <c r="I2269" s="53"/>
      <c r="J2269" s="44"/>
      <c r="K2269" s="48"/>
    </row>
    <row r="2270" ht="22.5" customHeight="1">
      <c r="A2270" s="44"/>
      <c r="B2270" s="44"/>
      <c r="C2270" s="44"/>
      <c r="D2270" s="44"/>
      <c r="E2270" s="51"/>
      <c r="F2270" s="44" t="s">
        <v>1098</v>
      </c>
      <c r="G2270" s="46"/>
      <c r="H2270" s="53"/>
      <c r="I2270" s="53"/>
      <c r="J2270" s="44"/>
      <c r="K2270" s="48"/>
    </row>
    <row r="2271" ht="22.5" customHeight="1">
      <c r="A2271" s="44"/>
      <c r="B2271" s="44"/>
      <c r="C2271" s="44"/>
      <c r="D2271" s="44"/>
      <c r="E2271" s="51"/>
      <c r="F2271" s="44" t="s">
        <v>1098</v>
      </c>
      <c r="G2271" s="46"/>
      <c r="H2271" s="53"/>
      <c r="I2271" s="53"/>
      <c r="J2271" s="44"/>
      <c r="K2271" s="48"/>
    </row>
    <row r="2272" ht="22.5" customHeight="1">
      <c r="A2272" s="44"/>
      <c r="B2272" s="44"/>
      <c r="C2272" s="44"/>
      <c r="D2272" s="44"/>
      <c r="E2272" s="51"/>
      <c r="F2272" s="44" t="s">
        <v>1098</v>
      </c>
      <c r="G2272" s="46"/>
      <c r="H2272" s="53"/>
      <c r="I2272" s="53"/>
      <c r="J2272" s="44"/>
      <c r="K2272" s="48"/>
    </row>
    <row r="2273" ht="22.5" customHeight="1">
      <c r="A2273" s="44"/>
      <c r="B2273" s="44"/>
      <c r="C2273" s="44"/>
      <c r="D2273" s="44"/>
      <c r="E2273" s="51"/>
      <c r="F2273" s="44" t="s">
        <v>1098</v>
      </c>
      <c r="G2273" s="46"/>
      <c r="H2273" s="53"/>
      <c r="I2273" s="53"/>
      <c r="J2273" s="44"/>
      <c r="K2273" s="48"/>
    </row>
    <row r="2274" ht="22.5" customHeight="1">
      <c r="A2274" s="44"/>
      <c r="B2274" s="44"/>
      <c r="C2274" s="44"/>
      <c r="D2274" s="44"/>
      <c r="E2274" s="51"/>
      <c r="F2274" s="44" t="s">
        <v>1098</v>
      </c>
      <c r="G2274" s="46"/>
      <c r="H2274" s="53"/>
      <c r="I2274" s="53"/>
      <c r="J2274" s="44"/>
      <c r="K2274" s="48"/>
    </row>
    <row r="2275" ht="22.5" customHeight="1">
      <c r="A2275" s="44"/>
      <c r="B2275" s="44"/>
      <c r="C2275" s="44"/>
      <c r="D2275" s="44"/>
      <c r="E2275" s="51"/>
      <c r="F2275" s="44" t="s">
        <v>1098</v>
      </c>
      <c r="G2275" s="46"/>
      <c r="H2275" s="53"/>
      <c r="I2275" s="53"/>
      <c r="J2275" s="44"/>
      <c r="K2275" s="48"/>
    </row>
    <row r="2276" ht="22.5" customHeight="1">
      <c r="A2276" s="44"/>
      <c r="B2276" s="44"/>
      <c r="C2276" s="44"/>
      <c r="D2276" s="44"/>
      <c r="E2276" s="51"/>
      <c r="F2276" s="44" t="s">
        <v>1098</v>
      </c>
      <c r="G2276" s="46"/>
      <c r="H2276" s="53"/>
      <c r="I2276" s="53"/>
      <c r="J2276" s="44"/>
      <c r="K2276" s="48"/>
    </row>
    <row r="2277" ht="22.5" customHeight="1">
      <c r="A2277" s="44"/>
      <c r="B2277" s="44"/>
      <c r="C2277" s="44"/>
      <c r="D2277" s="44"/>
      <c r="E2277" s="51"/>
      <c r="F2277" s="44" t="s">
        <v>1098</v>
      </c>
      <c r="G2277" s="46"/>
      <c r="H2277" s="53"/>
      <c r="I2277" s="53"/>
      <c r="J2277" s="44"/>
      <c r="K2277" s="48"/>
    </row>
    <row r="2278" ht="22.5" customHeight="1">
      <c r="A2278" s="44"/>
      <c r="B2278" s="44"/>
      <c r="C2278" s="44"/>
      <c r="D2278" s="44"/>
      <c r="E2278" s="51"/>
      <c r="F2278" s="44" t="s">
        <v>1098</v>
      </c>
      <c r="G2278" s="46"/>
      <c r="H2278" s="53"/>
      <c r="I2278" s="53"/>
      <c r="J2278" s="44"/>
      <c r="K2278" s="48"/>
    </row>
    <row r="2279" ht="22.5" customHeight="1">
      <c r="A2279" s="44"/>
      <c r="B2279" s="44"/>
      <c r="C2279" s="44"/>
      <c r="D2279" s="44"/>
      <c r="E2279" s="51"/>
      <c r="F2279" s="44" t="s">
        <v>1098</v>
      </c>
      <c r="G2279" s="46"/>
      <c r="H2279" s="53"/>
      <c r="I2279" s="53"/>
      <c r="J2279" s="44"/>
      <c r="K2279" s="48"/>
    </row>
    <row r="2280" ht="22.5" customHeight="1">
      <c r="A2280" s="44"/>
      <c r="B2280" s="44"/>
      <c r="C2280" s="44"/>
      <c r="D2280" s="44"/>
      <c r="E2280" s="51"/>
      <c r="F2280" s="44" t="s">
        <v>1098</v>
      </c>
      <c r="G2280" s="46"/>
      <c r="H2280" s="53"/>
      <c r="I2280" s="53"/>
      <c r="J2280" s="44"/>
      <c r="K2280" s="48"/>
    </row>
    <row r="2281" ht="22.5" customHeight="1">
      <c r="A2281" s="44"/>
      <c r="B2281" s="44"/>
      <c r="C2281" s="44"/>
      <c r="D2281" s="44"/>
      <c r="E2281" s="51"/>
      <c r="F2281" s="44" t="s">
        <v>1098</v>
      </c>
      <c r="G2281" s="46"/>
      <c r="H2281" s="53"/>
      <c r="I2281" s="53"/>
      <c r="J2281" s="44"/>
      <c r="K2281" s="48"/>
    </row>
    <row r="2282" ht="22.5" customHeight="1">
      <c r="A2282" s="44"/>
      <c r="B2282" s="44"/>
      <c r="C2282" s="44"/>
      <c r="D2282" s="44"/>
      <c r="E2282" s="51"/>
      <c r="F2282" s="44" t="s">
        <v>1098</v>
      </c>
      <c r="G2282" s="46"/>
      <c r="H2282" s="53"/>
      <c r="I2282" s="53"/>
      <c r="J2282" s="44"/>
      <c r="K2282" s="48"/>
    </row>
    <row r="2283" ht="22.5" customHeight="1">
      <c r="A2283" s="44"/>
      <c r="B2283" s="44"/>
      <c r="C2283" s="44"/>
      <c r="D2283" s="44"/>
      <c r="E2283" s="51"/>
      <c r="F2283" s="44" t="s">
        <v>1098</v>
      </c>
      <c r="G2283" s="46"/>
      <c r="H2283" s="53"/>
      <c r="I2283" s="53"/>
      <c r="J2283" s="44"/>
      <c r="K2283" s="48"/>
    </row>
    <row r="2284" ht="22.5" customHeight="1">
      <c r="A2284" s="44"/>
      <c r="B2284" s="44"/>
      <c r="C2284" s="44"/>
      <c r="D2284" s="44"/>
      <c r="E2284" s="51"/>
      <c r="F2284" s="44" t="s">
        <v>1098</v>
      </c>
      <c r="G2284" s="46"/>
      <c r="H2284" s="53"/>
      <c r="I2284" s="53"/>
      <c r="J2284" s="44"/>
      <c r="K2284" s="48"/>
    </row>
    <row r="2285" ht="22.5" customHeight="1">
      <c r="A2285" s="44"/>
      <c r="B2285" s="44"/>
      <c r="C2285" s="44"/>
      <c r="D2285" s="44"/>
      <c r="E2285" s="51"/>
      <c r="F2285" s="44" t="s">
        <v>1098</v>
      </c>
      <c r="G2285" s="46"/>
      <c r="H2285" s="53"/>
      <c r="I2285" s="53"/>
      <c r="J2285" s="44"/>
      <c r="K2285" s="48"/>
    </row>
    <row r="2286" ht="22.5" customHeight="1">
      <c r="A2286" s="44"/>
      <c r="B2286" s="44"/>
      <c r="C2286" s="44"/>
      <c r="D2286" s="44"/>
      <c r="E2286" s="51"/>
      <c r="F2286" s="44" t="s">
        <v>1098</v>
      </c>
      <c r="G2286" s="46"/>
      <c r="H2286" s="53"/>
      <c r="I2286" s="53"/>
      <c r="J2286" s="44"/>
      <c r="K2286" s="48"/>
    </row>
    <row r="2287" ht="22.5" customHeight="1">
      <c r="A2287" s="44"/>
      <c r="B2287" s="44"/>
      <c r="C2287" s="44"/>
      <c r="D2287" s="44"/>
      <c r="E2287" s="51"/>
      <c r="F2287" s="44" t="s">
        <v>1098</v>
      </c>
      <c r="G2287" s="46"/>
      <c r="H2287" s="53"/>
      <c r="I2287" s="53"/>
      <c r="J2287" s="44"/>
      <c r="K2287" s="48"/>
    </row>
    <row r="2288" ht="22.5" customHeight="1">
      <c r="A2288" s="44"/>
      <c r="B2288" s="44"/>
      <c r="C2288" s="44"/>
      <c r="D2288" s="44"/>
      <c r="E2288" s="51"/>
      <c r="F2288" s="44" t="s">
        <v>1098</v>
      </c>
      <c r="G2288" s="46"/>
      <c r="H2288" s="53"/>
      <c r="I2288" s="53"/>
      <c r="J2288" s="44"/>
      <c r="K2288" s="48"/>
    </row>
    <row r="2289" ht="22.5" customHeight="1">
      <c r="A2289" s="44"/>
      <c r="B2289" s="44"/>
      <c r="C2289" s="44"/>
      <c r="D2289" s="44"/>
      <c r="E2289" s="51"/>
      <c r="F2289" s="44" t="s">
        <v>1098</v>
      </c>
      <c r="G2289" s="46"/>
      <c r="H2289" s="53"/>
      <c r="I2289" s="53"/>
      <c r="J2289" s="44"/>
      <c r="K2289" s="48"/>
    </row>
    <row r="2290" ht="22.5" customHeight="1">
      <c r="A2290" s="44"/>
      <c r="B2290" s="44"/>
      <c r="C2290" s="44"/>
      <c r="D2290" s="44"/>
      <c r="E2290" s="51"/>
      <c r="F2290" s="44" t="s">
        <v>1098</v>
      </c>
      <c r="G2290" s="46"/>
      <c r="H2290" s="53"/>
      <c r="I2290" s="53"/>
      <c r="J2290" s="44"/>
      <c r="K2290" s="48"/>
    </row>
    <row r="2291" ht="22.5" customHeight="1">
      <c r="A2291" s="44"/>
      <c r="B2291" s="44"/>
      <c r="C2291" s="44"/>
      <c r="D2291" s="44"/>
      <c r="E2291" s="51"/>
      <c r="F2291" s="44" t="s">
        <v>1098</v>
      </c>
      <c r="G2291" s="46"/>
      <c r="H2291" s="53"/>
      <c r="I2291" s="53"/>
      <c r="J2291" s="44"/>
      <c r="K2291" s="48"/>
    </row>
    <row r="2292" ht="22.5" customHeight="1">
      <c r="A2292" s="44"/>
      <c r="B2292" s="44"/>
      <c r="C2292" s="44"/>
      <c r="D2292" s="44"/>
      <c r="E2292" s="51"/>
      <c r="F2292" s="44" t="s">
        <v>1098</v>
      </c>
      <c r="G2292" s="46"/>
      <c r="H2292" s="53"/>
      <c r="I2292" s="53"/>
      <c r="J2292" s="44"/>
      <c r="K2292" s="48"/>
    </row>
    <row r="2293" ht="22.5" customHeight="1">
      <c r="A2293" s="44"/>
      <c r="B2293" s="44"/>
      <c r="C2293" s="44"/>
      <c r="D2293" s="44"/>
      <c r="E2293" s="51"/>
      <c r="F2293" s="44" t="s">
        <v>1098</v>
      </c>
      <c r="G2293" s="46"/>
      <c r="H2293" s="53"/>
      <c r="I2293" s="53"/>
      <c r="J2293" s="44"/>
      <c r="K2293" s="48"/>
    </row>
    <row r="2294" ht="22.5" customHeight="1">
      <c r="A2294" s="44"/>
      <c r="B2294" s="44"/>
      <c r="C2294" s="44"/>
      <c r="D2294" s="44"/>
      <c r="E2294" s="51"/>
      <c r="F2294" s="44" t="s">
        <v>1098</v>
      </c>
      <c r="G2294" s="46"/>
      <c r="H2294" s="53"/>
      <c r="I2294" s="53"/>
      <c r="J2294" s="44"/>
      <c r="K2294" s="48"/>
    </row>
    <row r="2295" ht="22.5" customHeight="1">
      <c r="A2295" s="44"/>
      <c r="B2295" s="44"/>
      <c r="C2295" s="44"/>
      <c r="D2295" s="44"/>
      <c r="E2295" s="51"/>
      <c r="F2295" s="44" t="s">
        <v>1098</v>
      </c>
      <c r="G2295" s="46"/>
      <c r="H2295" s="53"/>
      <c r="I2295" s="53"/>
      <c r="J2295" s="44"/>
      <c r="K2295" s="48"/>
    </row>
    <row r="2296" ht="22.5" customHeight="1">
      <c r="A2296" s="44"/>
      <c r="B2296" s="44"/>
      <c r="C2296" s="44"/>
      <c r="D2296" s="44"/>
      <c r="E2296" s="51"/>
      <c r="F2296" s="44" t="s">
        <v>1098</v>
      </c>
      <c r="G2296" s="46"/>
      <c r="H2296" s="53"/>
      <c r="I2296" s="53"/>
      <c r="J2296" s="44"/>
      <c r="K2296" s="48"/>
    </row>
    <row r="2297" ht="22.5" customHeight="1">
      <c r="A2297" s="44"/>
      <c r="B2297" s="44"/>
      <c r="C2297" s="44"/>
      <c r="D2297" s="44"/>
      <c r="E2297" s="51"/>
      <c r="F2297" s="44" t="s">
        <v>1098</v>
      </c>
      <c r="G2297" s="46"/>
      <c r="H2297" s="53"/>
      <c r="I2297" s="53"/>
      <c r="J2297" s="44"/>
      <c r="K2297" s="48"/>
    </row>
    <row r="2298" ht="22.5" customHeight="1">
      <c r="A2298" s="44"/>
      <c r="B2298" s="44"/>
      <c r="C2298" s="44"/>
      <c r="D2298" s="44"/>
      <c r="E2298" s="51"/>
      <c r="F2298" s="44" t="s">
        <v>1098</v>
      </c>
      <c r="G2298" s="46"/>
      <c r="H2298" s="53"/>
      <c r="I2298" s="53"/>
      <c r="J2298" s="44"/>
      <c r="K2298" s="48"/>
    </row>
    <row r="2299" ht="22.5" customHeight="1">
      <c r="A2299" s="44"/>
      <c r="B2299" s="44"/>
      <c r="C2299" s="44"/>
      <c r="D2299" s="44"/>
      <c r="E2299" s="51"/>
      <c r="F2299" s="44" t="s">
        <v>1098</v>
      </c>
      <c r="G2299" s="46"/>
      <c r="H2299" s="53"/>
      <c r="I2299" s="53"/>
      <c r="J2299" s="44"/>
      <c r="K2299" s="48"/>
    </row>
    <row r="2300" ht="22.5" customHeight="1">
      <c r="A2300" s="44"/>
      <c r="B2300" s="44"/>
      <c r="C2300" s="44"/>
      <c r="D2300" s="44"/>
      <c r="E2300" s="51"/>
      <c r="F2300" s="44" t="s">
        <v>1098</v>
      </c>
      <c r="G2300" s="46"/>
      <c r="H2300" s="53"/>
      <c r="I2300" s="53"/>
      <c r="J2300" s="44"/>
      <c r="K2300" s="48"/>
    </row>
    <row r="2301" ht="22.5" customHeight="1">
      <c r="A2301" s="44"/>
      <c r="B2301" s="44"/>
      <c r="C2301" s="44"/>
      <c r="D2301" s="44"/>
      <c r="E2301" s="51"/>
      <c r="F2301" s="44" t="s">
        <v>1098</v>
      </c>
      <c r="G2301" s="46"/>
      <c r="H2301" s="53"/>
      <c r="I2301" s="53"/>
      <c r="J2301" s="44"/>
      <c r="K2301" s="48"/>
    </row>
    <row r="2302" ht="22.5" customHeight="1">
      <c r="A2302" s="44"/>
      <c r="B2302" s="44"/>
      <c r="C2302" s="44"/>
      <c r="D2302" s="44"/>
      <c r="E2302" s="51"/>
      <c r="F2302" s="44" t="s">
        <v>1098</v>
      </c>
      <c r="G2302" s="46"/>
      <c r="H2302" s="53"/>
      <c r="I2302" s="53"/>
      <c r="J2302" s="44"/>
      <c r="K2302" s="48"/>
    </row>
    <row r="2303" ht="22.5" customHeight="1">
      <c r="A2303" s="44"/>
      <c r="B2303" s="44"/>
      <c r="C2303" s="44"/>
      <c r="D2303" s="44"/>
      <c r="E2303" s="51"/>
      <c r="F2303" s="44" t="s">
        <v>1098</v>
      </c>
      <c r="G2303" s="46"/>
      <c r="H2303" s="53"/>
      <c r="I2303" s="53"/>
      <c r="J2303" s="44"/>
      <c r="K2303" s="48"/>
    </row>
    <row r="2304" ht="22.5" customHeight="1">
      <c r="A2304" s="44"/>
      <c r="B2304" s="44"/>
      <c r="C2304" s="44"/>
      <c r="D2304" s="44"/>
      <c r="E2304" s="51"/>
      <c r="F2304" s="44" t="s">
        <v>1098</v>
      </c>
      <c r="G2304" s="46"/>
      <c r="H2304" s="53"/>
      <c r="I2304" s="53"/>
      <c r="J2304" s="44"/>
      <c r="K2304" s="48"/>
    </row>
    <row r="2305" ht="22.5" customHeight="1">
      <c r="A2305" s="44"/>
      <c r="B2305" s="44"/>
      <c r="C2305" s="44"/>
      <c r="D2305" s="44"/>
      <c r="E2305" s="51"/>
      <c r="F2305" s="44" t="s">
        <v>1098</v>
      </c>
      <c r="G2305" s="46"/>
      <c r="H2305" s="53"/>
      <c r="I2305" s="53"/>
      <c r="J2305" s="44"/>
      <c r="K2305" s="48"/>
    </row>
    <row r="2306" ht="22.5" customHeight="1">
      <c r="A2306" s="44"/>
      <c r="B2306" s="44"/>
      <c r="C2306" s="44"/>
      <c r="D2306" s="44"/>
      <c r="E2306" s="51"/>
      <c r="F2306" s="44" t="s">
        <v>1098</v>
      </c>
      <c r="G2306" s="46"/>
      <c r="H2306" s="53"/>
      <c r="I2306" s="53"/>
      <c r="J2306" s="44"/>
      <c r="K2306" s="48"/>
    </row>
    <row r="2307" ht="22.5" customHeight="1">
      <c r="A2307" s="44"/>
      <c r="B2307" s="44"/>
      <c r="C2307" s="44"/>
      <c r="D2307" s="44"/>
      <c r="E2307" s="51"/>
      <c r="F2307" s="44" t="s">
        <v>1098</v>
      </c>
      <c r="G2307" s="46"/>
      <c r="H2307" s="53"/>
      <c r="I2307" s="53"/>
      <c r="J2307" s="44"/>
      <c r="K2307" s="48"/>
    </row>
    <row r="2308" ht="22.5" customHeight="1">
      <c r="A2308" s="44"/>
      <c r="B2308" s="44"/>
      <c r="C2308" s="44"/>
      <c r="D2308" s="44"/>
      <c r="E2308" s="51"/>
      <c r="F2308" s="44" t="s">
        <v>1098</v>
      </c>
      <c r="G2308" s="46"/>
      <c r="H2308" s="53"/>
      <c r="I2308" s="53"/>
      <c r="J2308" s="44"/>
      <c r="K2308" s="48"/>
    </row>
    <row r="2309" ht="22.5" customHeight="1">
      <c r="A2309" s="44"/>
      <c r="B2309" s="44"/>
      <c r="C2309" s="44"/>
      <c r="D2309" s="44"/>
      <c r="E2309" s="51"/>
      <c r="F2309" s="44" t="s">
        <v>1098</v>
      </c>
      <c r="G2309" s="46"/>
      <c r="H2309" s="53"/>
      <c r="I2309" s="53"/>
      <c r="J2309" s="44"/>
      <c r="K2309" s="48"/>
    </row>
    <row r="2310" ht="22.5" customHeight="1">
      <c r="A2310" s="44"/>
      <c r="B2310" s="44"/>
      <c r="C2310" s="44"/>
      <c r="D2310" s="44"/>
      <c r="E2310" s="51"/>
      <c r="F2310" s="44" t="s">
        <v>1098</v>
      </c>
      <c r="G2310" s="46"/>
      <c r="H2310" s="53"/>
      <c r="I2310" s="53"/>
      <c r="J2310" s="44"/>
      <c r="K2310" s="48"/>
    </row>
    <row r="2311" ht="22.5" customHeight="1">
      <c r="A2311" s="44"/>
      <c r="B2311" s="44"/>
      <c r="C2311" s="44"/>
      <c r="D2311" s="44"/>
      <c r="E2311" s="51"/>
      <c r="F2311" s="44" t="s">
        <v>1098</v>
      </c>
      <c r="G2311" s="46"/>
      <c r="H2311" s="53"/>
      <c r="I2311" s="53"/>
      <c r="J2311" s="44"/>
      <c r="K2311" s="48"/>
    </row>
    <row r="2312" ht="22.5" customHeight="1">
      <c r="A2312" s="44"/>
      <c r="B2312" s="44"/>
      <c r="C2312" s="44"/>
      <c r="D2312" s="44"/>
      <c r="E2312" s="51"/>
      <c r="F2312" s="44" t="s">
        <v>1098</v>
      </c>
      <c r="G2312" s="46"/>
      <c r="H2312" s="53"/>
      <c r="I2312" s="53"/>
      <c r="J2312" s="44"/>
      <c r="K2312" s="48"/>
    </row>
    <row r="2313" ht="22.5" customHeight="1">
      <c r="A2313" s="44"/>
      <c r="B2313" s="44"/>
      <c r="C2313" s="44"/>
      <c r="D2313" s="44"/>
      <c r="E2313" s="51"/>
      <c r="F2313" s="44" t="s">
        <v>1098</v>
      </c>
      <c r="G2313" s="46"/>
      <c r="H2313" s="53"/>
      <c r="I2313" s="53"/>
      <c r="J2313" s="44"/>
      <c r="K2313" s="48"/>
    </row>
    <row r="2314" ht="22.5" customHeight="1">
      <c r="A2314" s="44"/>
      <c r="B2314" s="44"/>
      <c r="C2314" s="44"/>
      <c r="D2314" s="44"/>
      <c r="E2314" s="51"/>
      <c r="F2314" s="44" t="s">
        <v>1098</v>
      </c>
      <c r="G2314" s="46"/>
      <c r="H2314" s="53"/>
      <c r="I2314" s="53"/>
      <c r="J2314" s="44"/>
      <c r="K2314" s="48"/>
    </row>
    <row r="2315" ht="22.5" customHeight="1">
      <c r="A2315" s="44"/>
      <c r="B2315" s="44"/>
      <c r="C2315" s="44"/>
      <c r="D2315" s="44"/>
      <c r="E2315" s="51"/>
      <c r="F2315" s="44" t="s">
        <v>1098</v>
      </c>
      <c r="G2315" s="46"/>
      <c r="H2315" s="53"/>
      <c r="I2315" s="53"/>
      <c r="J2315" s="44"/>
      <c r="K2315" s="48"/>
    </row>
    <row r="2316" ht="22.5" customHeight="1">
      <c r="A2316" s="44"/>
      <c r="B2316" s="44"/>
      <c r="C2316" s="44"/>
      <c r="D2316" s="44"/>
      <c r="E2316" s="51"/>
      <c r="F2316" s="44" t="s">
        <v>1098</v>
      </c>
      <c r="G2316" s="46"/>
      <c r="H2316" s="53"/>
      <c r="I2316" s="53"/>
      <c r="J2316" s="44"/>
      <c r="K2316" s="48"/>
    </row>
    <row r="2317" ht="22.5" customHeight="1">
      <c r="A2317" s="44"/>
      <c r="B2317" s="44"/>
      <c r="C2317" s="44"/>
      <c r="D2317" s="44"/>
      <c r="E2317" s="51"/>
      <c r="F2317" s="44" t="s">
        <v>1098</v>
      </c>
      <c r="G2317" s="46"/>
      <c r="H2317" s="53"/>
      <c r="I2317" s="53"/>
      <c r="J2317" s="44"/>
      <c r="K2317" s="48"/>
    </row>
    <row r="2318" ht="22.5" customHeight="1">
      <c r="A2318" s="44"/>
      <c r="B2318" s="44"/>
      <c r="C2318" s="44"/>
      <c r="D2318" s="44"/>
      <c r="E2318" s="51"/>
      <c r="F2318" s="44" t="s">
        <v>1098</v>
      </c>
      <c r="G2318" s="46"/>
      <c r="H2318" s="53"/>
      <c r="I2318" s="53"/>
      <c r="J2318" s="44"/>
      <c r="K2318" s="48"/>
    </row>
    <row r="2319" ht="22.5" customHeight="1">
      <c r="A2319" s="44"/>
      <c r="B2319" s="44"/>
      <c r="C2319" s="44"/>
      <c r="D2319" s="44"/>
      <c r="E2319" s="51"/>
      <c r="F2319" s="44" t="s">
        <v>1098</v>
      </c>
      <c r="G2319" s="46"/>
      <c r="H2319" s="53"/>
      <c r="I2319" s="53"/>
      <c r="J2319" s="44"/>
      <c r="K2319" s="48"/>
    </row>
    <row r="2320" ht="22.5" customHeight="1">
      <c r="A2320" s="44"/>
      <c r="B2320" s="44"/>
      <c r="C2320" s="44"/>
      <c r="D2320" s="44"/>
      <c r="E2320" s="51"/>
      <c r="F2320" s="44" t="s">
        <v>1098</v>
      </c>
      <c r="G2320" s="46"/>
      <c r="H2320" s="53"/>
      <c r="I2320" s="53"/>
      <c r="J2320" s="44"/>
      <c r="K2320" s="48"/>
    </row>
    <row r="2321" ht="22.5" customHeight="1">
      <c r="A2321" s="44"/>
      <c r="B2321" s="44"/>
      <c r="C2321" s="44"/>
      <c r="D2321" s="44"/>
      <c r="E2321" s="51"/>
      <c r="F2321" s="44" t="s">
        <v>1098</v>
      </c>
      <c r="G2321" s="46"/>
      <c r="H2321" s="53"/>
      <c r="I2321" s="53"/>
      <c r="J2321" s="44"/>
      <c r="K2321" s="48"/>
    </row>
    <row r="2322" ht="22.5" customHeight="1">
      <c r="A2322" s="44"/>
      <c r="B2322" s="44"/>
      <c r="C2322" s="44"/>
      <c r="D2322" s="44"/>
      <c r="E2322" s="51"/>
      <c r="F2322" s="44" t="s">
        <v>1098</v>
      </c>
      <c r="G2322" s="46"/>
      <c r="H2322" s="53"/>
      <c r="I2322" s="53"/>
      <c r="J2322" s="44"/>
      <c r="K2322" s="48"/>
    </row>
    <row r="2323" ht="22.5" customHeight="1">
      <c r="A2323" s="44"/>
      <c r="B2323" s="44"/>
      <c r="C2323" s="44"/>
      <c r="D2323" s="44"/>
      <c r="E2323" s="51"/>
      <c r="F2323" s="44" t="s">
        <v>1098</v>
      </c>
      <c r="G2323" s="46"/>
      <c r="H2323" s="53"/>
      <c r="I2323" s="53"/>
      <c r="J2323" s="44"/>
      <c r="K2323" s="48"/>
    </row>
    <row r="2324" ht="22.5" customHeight="1">
      <c r="A2324" s="44"/>
      <c r="B2324" s="44"/>
      <c r="C2324" s="44"/>
      <c r="D2324" s="44"/>
      <c r="E2324" s="51"/>
      <c r="F2324" s="44" t="s">
        <v>1098</v>
      </c>
      <c r="G2324" s="46"/>
      <c r="H2324" s="53"/>
      <c r="I2324" s="53"/>
      <c r="J2324" s="44"/>
      <c r="K2324" s="48"/>
    </row>
    <row r="2325" ht="22.5" customHeight="1">
      <c r="A2325" s="44"/>
      <c r="B2325" s="44"/>
      <c r="C2325" s="44"/>
      <c r="D2325" s="44"/>
      <c r="E2325" s="51"/>
      <c r="F2325" s="44" t="s">
        <v>1098</v>
      </c>
      <c r="G2325" s="46"/>
      <c r="H2325" s="53"/>
      <c r="I2325" s="53"/>
      <c r="J2325" s="44"/>
      <c r="K2325" s="48"/>
    </row>
    <row r="2326" ht="22.5" customHeight="1">
      <c r="A2326" s="44"/>
      <c r="B2326" s="44"/>
      <c r="C2326" s="44"/>
      <c r="D2326" s="44"/>
      <c r="E2326" s="51"/>
      <c r="F2326" s="44" t="s">
        <v>1098</v>
      </c>
      <c r="G2326" s="46"/>
      <c r="H2326" s="53"/>
      <c r="I2326" s="53"/>
      <c r="J2326" s="44"/>
      <c r="K2326" s="48"/>
    </row>
    <row r="2327" ht="22.5" customHeight="1">
      <c r="A2327" s="44"/>
      <c r="B2327" s="44"/>
      <c r="C2327" s="44"/>
      <c r="D2327" s="44"/>
      <c r="E2327" s="51"/>
      <c r="F2327" s="44" t="s">
        <v>1098</v>
      </c>
      <c r="G2327" s="46"/>
      <c r="H2327" s="53"/>
      <c r="I2327" s="53"/>
      <c r="J2327" s="44"/>
      <c r="K2327" s="48"/>
    </row>
    <row r="2328" ht="22.5" customHeight="1">
      <c r="A2328" s="44"/>
      <c r="B2328" s="44"/>
      <c r="C2328" s="44"/>
      <c r="D2328" s="44"/>
      <c r="E2328" s="51"/>
      <c r="F2328" s="44" t="s">
        <v>1098</v>
      </c>
      <c r="G2328" s="46"/>
      <c r="H2328" s="53"/>
      <c r="I2328" s="53"/>
      <c r="J2328" s="44"/>
      <c r="K2328" s="48"/>
    </row>
    <row r="2329" ht="22.5" customHeight="1">
      <c r="A2329" s="44"/>
      <c r="B2329" s="44"/>
      <c r="C2329" s="44"/>
      <c r="D2329" s="44"/>
      <c r="E2329" s="51"/>
      <c r="F2329" s="44" t="s">
        <v>1098</v>
      </c>
      <c r="G2329" s="46"/>
      <c r="H2329" s="53"/>
      <c r="I2329" s="53"/>
      <c r="J2329" s="44"/>
      <c r="K2329" s="48"/>
    </row>
    <row r="2330" ht="22.5" customHeight="1">
      <c r="A2330" s="44"/>
      <c r="B2330" s="44"/>
      <c r="C2330" s="44"/>
      <c r="D2330" s="44"/>
      <c r="E2330" s="51"/>
      <c r="F2330" s="44" t="s">
        <v>1098</v>
      </c>
      <c r="G2330" s="46"/>
      <c r="H2330" s="53"/>
      <c r="I2330" s="53"/>
      <c r="J2330" s="44"/>
      <c r="K2330" s="48"/>
    </row>
    <row r="2331" ht="22.5" customHeight="1">
      <c r="A2331" s="44"/>
      <c r="B2331" s="44"/>
      <c r="C2331" s="44"/>
      <c r="D2331" s="44"/>
      <c r="E2331" s="51"/>
      <c r="F2331" s="44" t="s">
        <v>1098</v>
      </c>
      <c r="G2331" s="46"/>
      <c r="H2331" s="53"/>
      <c r="I2331" s="53"/>
      <c r="J2331" s="44"/>
      <c r="K2331" s="48"/>
    </row>
    <row r="2332" ht="22.5" customHeight="1">
      <c r="A2332" s="44"/>
      <c r="B2332" s="44"/>
      <c r="C2332" s="44"/>
      <c r="D2332" s="44"/>
      <c r="E2332" s="51"/>
      <c r="F2332" s="44" t="s">
        <v>1098</v>
      </c>
      <c r="G2332" s="46"/>
      <c r="H2332" s="53"/>
      <c r="I2332" s="53"/>
      <c r="J2332" s="44"/>
      <c r="K2332" s="48"/>
    </row>
    <row r="2333" ht="22.5" customHeight="1">
      <c r="A2333" s="44"/>
      <c r="B2333" s="44"/>
      <c r="C2333" s="44"/>
      <c r="D2333" s="44"/>
      <c r="E2333" s="51"/>
      <c r="F2333" s="44" t="s">
        <v>1098</v>
      </c>
      <c r="G2333" s="46"/>
      <c r="H2333" s="53"/>
      <c r="I2333" s="53"/>
      <c r="J2333" s="44"/>
      <c r="K2333" s="48"/>
    </row>
    <row r="2334" ht="22.5" customHeight="1">
      <c r="A2334" s="44"/>
      <c r="B2334" s="44"/>
      <c r="C2334" s="44"/>
      <c r="D2334" s="44"/>
      <c r="E2334" s="51"/>
      <c r="F2334" s="44" t="s">
        <v>1098</v>
      </c>
      <c r="G2334" s="46"/>
      <c r="H2334" s="53"/>
      <c r="I2334" s="53"/>
      <c r="J2334" s="44"/>
      <c r="K2334" s="48"/>
    </row>
    <row r="2335" ht="22.5" customHeight="1">
      <c r="A2335" s="44"/>
      <c r="B2335" s="44"/>
      <c r="C2335" s="44"/>
      <c r="D2335" s="44"/>
      <c r="E2335" s="51"/>
      <c r="F2335" s="44" t="s">
        <v>1098</v>
      </c>
      <c r="G2335" s="46"/>
      <c r="H2335" s="53"/>
      <c r="I2335" s="53"/>
      <c r="J2335" s="44"/>
      <c r="K2335" s="48"/>
    </row>
    <row r="2336" ht="22.5" customHeight="1">
      <c r="A2336" s="44"/>
      <c r="B2336" s="44"/>
      <c r="C2336" s="44"/>
      <c r="D2336" s="44"/>
      <c r="E2336" s="51"/>
      <c r="F2336" s="44" t="s">
        <v>1098</v>
      </c>
      <c r="G2336" s="46"/>
      <c r="H2336" s="53"/>
      <c r="I2336" s="53"/>
      <c r="J2336" s="44"/>
      <c r="K2336" s="48"/>
    </row>
    <row r="2337" ht="22.5" customHeight="1">
      <c r="A2337" s="44"/>
      <c r="B2337" s="44"/>
      <c r="C2337" s="44"/>
      <c r="D2337" s="44"/>
      <c r="E2337" s="51"/>
      <c r="F2337" s="44" t="s">
        <v>1098</v>
      </c>
      <c r="G2337" s="46"/>
      <c r="H2337" s="53"/>
      <c r="I2337" s="53"/>
      <c r="J2337" s="44"/>
      <c r="K2337" s="48"/>
    </row>
    <row r="2338" ht="22.5" customHeight="1">
      <c r="A2338" s="44"/>
      <c r="B2338" s="44"/>
      <c r="C2338" s="44"/>
      <c r="D2338" s="44"/>
      <c r="E2338" s="51"/>
      <c r="F2338" s="44" t="s">
        <v>1098</v>
      </c>
      <c r="G2338" s="46"/>
      <c r="H2338" s="53"/>
      <c r="I2338" s="53"/>
      <c r="J2338" s="44"/>
      <c r="K2338" s="48"/>
    </row>
    <row r="2339" ht="22.5" customHeight="1">
      <c r="A2339" s="44"/>
      <c r="B2339" s="44"/>
      <c r="C2339" s="44"/>
      <c r="D2339" s="44"/>
      <c r="E2339" s="51"/>
      <c r="F2339" s="44" t="s">
        <v>1098</v>
      </c>
      <c r="G2339" s="46"/>
      <c r="H2339" s="53"/>
      <c r="I2339" s="53"/>
      <c r="J2339" s="44"/>
      <c r="K2339" s="48"/>
    </row>
    <row r="2340" ht="22.5" customHeight="1">
      <c r="A2340" s="44"/>
      <c r="B2340" s="44"/>
      <c r="C2340" s="44"/>
      <c r="D2340" s="44"/>
      <c r="E2340" s="51"/>
      <c r="F2340" s="44" t="s">
        <v>1098</v>
      </c>
      <c r="G2340" s="46"/>
      <c r="H2340" s="53"/>
      <c r="I2340" s="53"/>
      <c r="J2340" s="44"/>
      <c r="K2340" s="48"/>
    </row>
    <row r="2341" ht="22.5" customHeight="1">
      <c r="A2341" s="44"/>
      <c r="B2341" s="44"/>
      <c r="C2341" s="44"/>
      <c r="D2341" s="44"/>
      <c r="E2341" s="51"/>
      <c r="F2341" s="44" t="s">
        <v>1098</v>
      </c>
      <c r="G2341" s="46"/>
      <c r="H2341" s="53"/>
      <c r="I2341" s="53"/>
      <c r="J2341" s="44"/>
      <c r="K2341" s="48"/>
    </row>
    <row r="2342" ht="22.5" customHeight="1">
      <c r="A2342" s="44"/>
      <c r="B2342" s="44"/>
      <c r="C2342" s="44"/>
      <c r="D2342" s="44"/>
      <c r="E2342" s="51"/>
      <c r="F2342" s="44" t="s">
        <v>1098</v>
      </c>
      <c r="G2342" s="46"/>
      <c r="H2342" s="53"/>
      <c r="I2342" s="53"/>
      <c r="J2342" s="44"/>
      <c r="K2342" s="48"/>
    </row>
    <row r="2343" ht="22.5" customHeight="1">
      <c r="A2343" s="44"/>
      <c r="B2343" s="44"/>
      <c r="C2343" s="44"/>
      <c r="D2343" s="44"/>
      <c r="E2343" s="51"/>
      <c r="F2343" s="44" t="s">
        <v>1098</v>
      </c>
      <c r="G2343" s="46"/>
      <c r="H2343" s="53"/>
      <c r="I2343" s="53"/>
      <c r="J2343" s="44"/>
      <c r="K2343" s="48"/>
    </row>
    <row r="2344" ht="22.5" customHeight="1">
      <c r="A2344" s="44"/>
      <c r="B2344" s="44"/>
      <c r="C2344" s="44"/>
      <c r="D2344" s="44"/>
      <c r="E2344" s="51"/>
      <c r="F2344" s="44" t="s">
        <v>1098</v>
      </c>
      <c r="G2344" s="46"/>
      <c r="H2344" s="53"/>
      <c r="I2344" s="53"/>
      <c r="J2344" s="44"/>
      <c r="K2344" s="48"/>
    </row>
    <row r="2345" ht="22.5" customHeight="1">
      <c r="A2345" s="44"/>
      <c r="B2345" s="44"/>
      <c r="C2345" s="44"/>
      <c r="D2345" s="44"/>
      <c r="E2345" s="51"/>
      <c r="F2345" s="44" t="s">
        <v>1098</v>
      </c>
      <c r="G2345" s="46"/>
      <c r="H2345" s="53"/>
      <c r="I2345" s="53"/>
      <c r="J2345" s="44"/>
      <c r="K2345" s="48"/>
    </row>
    <row r="2346" ht="22.5" customHeight="1">
      <c r="A2346" s="44"/>
      <c r="B2346" s="44"/>
      <c r="C2346" s="44"/>
      <c r="D2346" s="44"/>
      <c r="E2346" s="51"/>
      <c r="F2346" s="44" t="s">
        <v>1098</v>
      </c>
      <c r="G2346" s="46"/>
      <c r="H2346" s="53"/>
      <c r="I2346" s="53"/>
      <c r="J2346" s="44"/>
      <c r="K2346" s="48"/>
    </row>
    <row r="2347" ht="22.5" customHeight="1">
      <c r="A2347" s="44"/>
      <c r="B2347" s="44"/>
      <c r="C2347" s="44"/>
      <c r="D2347" s="44"/>
      <c r="E2347" s="51"/>
      <c r="F2347" s="44" t="s">
        <v>1098</v>
      </c>
      <c r="G2347" s="46"/>
      <c r="H2347" s="53"/>
      <c r="I2347" s="53"/>
      <c r="J2347" s="44"/>
      <c r="K2347" s="48"/>
    </row>
    <row r="2348" ht="22.5" customHeight="1">
      <c r="A2348" s="44"/>
      <c r="B2348" s="44"/>
      <c r="C2348" s="44"/>
      <c r="D2348" s="44"/>
      <c r="E2348" s="51"/>
      <c r="F2348" s="44" t="s">
        <v>1098</v>
      </c>
      <c r="G2348" s="46"/>
      <c r="H2348" s="53"/>
      <c r="I2348" s="53"/>
      <c r="J2348" s="44"/>
      <c r="K2348" s="48"/>
    </row>
    <row r="2349" ht="22.5" customHeight="1">
      <c r="A2349" s="44"/>
      <c r="B2349" s="44"/>
      <c r="C2349" s="44"/>
      <c r="D2349" s="44"/>
      <c r="E2349" s="51"/>
      <c r="F2349" s="44" t="s">
        <v>1098</v>
      </c>
      <c r="G2349" s="46"/>
      <c r="H2349" s="53"/>
      <c r="I2349" s="53"/>
      <c r="J2349" s="44"/>
      <c r="K2349" s="48"/>
    </row>
    <row r="2350" ht="22.5" customHeight="1">
      <c r="A2350" s="44"/>
      <c r="B2350" s="44"/>
      <c r="C2350" s="44"/>
      <c r="D2350" s="44"/>
      <c r="E2350" s="51"/>
      <c r="F2350" s="44" t="s">
        <v>1098</v>
      </c>
      <c r="G2350" s="46"/>
      <c r="H2350" s="53"/>
      <c r="I2350" s="53"/>
      <c r="J2350" s="44"/>
      <c r="K2350" s="48"/>
    </row>
    <row r="2351" ht="22.5" customHeight="1">
      <c r="A2351" s="44"/>
      <c r="B2351" s="44"/>
      <c r="C2351" s="44"/>
      <c r="D2351" s="44"/>
      <c r="E2351" s="51"/>
      <c r="F2351" s="44" t="s">
        <v>1098</v>
      </c>
      <c r="G2351" s="46"/>
      <c r="H2351" s="53"/>
      <c r="I2351" s="53"/>
      <c r="J2351" s="44"/>
      <c r="K2351" s="48"/>
    </row>
    <row r="2352" ht="22.5" customHeight="1">
      <c r="A2352" s="44"/>
      <c r="B2352" s="44"/>
      <c r="C2352" s="44"/>
      <c r="D2352" s="44"/>
      <c r="E2352" s="51"/>
      <c r="F2352" s="44" t="s">
        <v>1098</v>
      </c>
      <c r="G2352" s="46"/>
      <c r="H2352" s="53"/>
      <c r="I2352" s="53"/>
      <c r="J2352" s="44"/>
      <c r="K2352" s="48"/>
    </row>
    <row r="2353" ht="22.5" customHeight="1">
      <c r="A2353" s="44"/>
      <c r="B2353" s="44"/>
      <c r="C2353" s="44"/>
      <c r="D2353" s="44"/>
      <c r="E2353" s="51"/>
      <c r="F2353" s="44" t="s">
        <v>1098</v>
      </c>
      <c r="G2353" s="46"/>
      <c r="H2353" s="53"/>
      <c r="I2353" s="53"/>
      <c r="J2353" s="44"/>
      <c r="K2353" s="48"/>
    </row>
    <row r="2354" ht="22.5" customHeight="1">
      <c r="A2354" s="44"/>
      <c r="B2354" s="44"/>
      <c r="C2354" s="44"/>
      <c r="D2354" s="44"/>
      <c r="E2354" s="51"/>
      <c r="F2354" s="44" t="s">
        <v>1098</v>
      </c>
      <c r="G2354" s="46"/>
      <c r="H2354" s="53"/>
      <c r="I2354" s="53"/>
      <c r="J2354" s="44"/>
      <c r="K2354" s="48"/>
    </row>
    <row r="2355" ht="22.5" customHeight="1">
      <c r="A2355" s="44"/>
      <c r="B2355" s="44"/>
      <c r="C2355" s="44"/>
      <c r="D2355" s="44"/>
      <c r="E2355" s="51"/>
      <c r="F2355" s="44" t="s">
        <v>1098</v>
      </c>
      <c r="G2355" s="46"/>
      <c r="H2355" s="53"/>
      <c r="I2355" s="53"/>
      <c r="J2355" s="44"/>
      <c r="K2355" s="48"/>
    </row>
    <row r="2356" ht="22.5" customHeight="1">
      <c r="A2356" s="44"/>
      <c r="B2356" s="44"/>
      <c r="C2356" s="44"/>
      <c r="D2356" s="44"/>
      <c r="E2356" s="51"/>
      <c r="F2356" s="44" t="s">
        <v>1098</v>
      </c>
      <c r="G2356" s="46"/>
      <c r="H2356" s="53"/>
      <c r="I2356" s="53"/>
      <c r="J2356" s="44"/>
      <c r="K2356" s="48"/>
    </row>
    <row r="2357" ht="22.5" customHeight="1">
      <c r="A2357" s="44"/>
      <c r="B2357" s="44"/>
      <c r="C2357" s="44"/>
      <c r="D2357" s="44"/>
      <c r="E2357" s="51"/>
      <c r="F2357" s="44" t="s">
        <v>1098</v>
      </c>
      <c r="G2357" s="46"/>
      <c r="H2357" s="53"/>
      <c r="I2357" s="53"/>
      <c r="J2357" s="44"/>
      <c r="K2357" s="48"/>
    </row>
    <row r="2358" ht="22.5" customHeight="1">
      <c r="A2358" s="44"/>
      <c r="B2358" s="44"/>
      <c r="C2358" s="44"/>
      <c r="D2358" s="44"/>
      <c r="E2358" s="51"/>
      <c r="F2358" s="44" t="s">
        <v>1098</v>
      </c>
      <c r="G2358" s="46"/>
      <c r="H2358" s="53"/>
      <c r="I2358" s="53"/>
      <c r="J2358" s="44"/>
      <c r="K2358" s="48"/>
    </row>
    <row r="2359" ht="22.5" customHeight="1">
      <c r="A2359" s="44"/>
      <c r="B2359" s="44"/>
      <c r="C2359" s="44"/>
      <c r="D2359" s="44"/>
      <c r="E2359" s="51"/>
      <c r="F2359" s="44" t="s">
        <v>1098</v>
      </c>
      <c r="G2359" s="46"/>
      <c r="H2359" s="53"/>
      <c r="I2359" s="53"/>
      <c r="J2359" s="44"/>
      <c r="K2359" s="48"/>
    </row>
    <row r="2360" ht="22.5" customHeight="1">
      <c r="A2360" s="44"/>
      <c r="B2360" s="44"/>
      <c r="C2360" s="44"/>
      <c r="D2360" s="44"/>
      <c r="E2360" s="51"/>
      <c r="F2360" s="44" t="s">
        <v>1098</v>
      </c>
      <c r="G2360" s="46"/>
      <c r="H2360" s="53"/>
      <c r="I2360" s="53"/>
      <c r="J2360" s="44"/>
      <c r="K2360" s="48"/>
    </row>
    <row r="2361" ht="22.5" customHeight="1">
      <c r="A2361" s="44"/>
      <c r="B2361" s="44"/>
      <c r="C2361" s="44"/>
      <c r="D2361" s="44"/>
      <c r="E2361" s="51"/>
      <c r="F2361" s="44" t="s">
        <v>1098</v>
      </c>
      <c r="G2361" s="46"/>
      <c r="H2361" s="53"/>
      <c r="I2361" s="53"/>
      <c r="J2361" s="44"/>
      <c r="K2361" s="48"/>
    </row>
    <row r="2362" ht="22.5" customHeight="1">
      <c r="A2362" s="44"/>
      <c r="B2362" s="44"/>
      <c r="C2362" s="44"/>
      <c r="D2362" s="44"/>
      <c r="E2362" s="51"/>
      <c r="F2362" s="44" t="s">
        <v>1098</v>
      </c>
      <c r="G2362" s="46"/>
      <c r="H2362" s="53"/>
      <c r="I2362" s="53"/>
      <c r="J2362" s="44"/>
      <c r="K2362" s="48"/>
    </row>
    <row r="2363" ht="22.5" customHeight="1">
      <c r="A2363" s="44"/>
      <c r="B2363" s="44"/>
      <c r="C2363" s="44"/>
      <c r="D2363" s="44"/>
      <c r="E2363" s="51"/>
      <c r="F2363" s="44" t="s">
        <v>1098</v>
      </c>
      <c r="G2363" s="46"/>
      <c r="H2363" s="53"/>
      <c r="I2363" s="53"/>
      <c r="J2363" s="44"/>
      <c r="K2363" s="48"/>
    </row>
    <row r="2364" ht="22.5" customHeight="1">
      <c r="A2364" s="44"/>
      <c r="B2364" s="44"/>
      <c r="C2364" s="44"/>
      <c r="D2364" s="44"/>
      <c r="E2364" s="51"/>
      <c r="F2364" s="44" t="s">
        <v>1098</v>
      </c>
      <c r="G2364" s="46"/>
      <c r="H2364" s="53"/>
      <c r="I2364" s="53"/>
      <c r="J2364" s="44"/>
      <c r="K2364" s="48"/>
    </row>
    <row r="2365" ht="22.5" customHeight="1">
      <c r="A2365" s="44"/>
      <c r="B2365" s="44"/>
      <c r="C2365" s="44"/>
      <c r="D2365" s="44"/>
      <c r="E2365" s="51"/>
      <c r="F2365" s="44" t="s">
        <v>1098</v>
      </c>
      <c r="G2365" s="46"/>
      <c r="H2365" s="53"/>
      <c r="I2365" s="53"/>
      <c r="J2365" s="44"/>
      <c r="K2365" s="48"/>
    </row>
    <row r="2366" ht="22.5" customHeight="1">
      <c r="A2366" s="44"/>
      <c r="B2366" s="44"/>
      <c r="C2366" s="44"/>
      <c r="D2366" s="44"/>
      <c r="E2366" s="51"/>
      <c r="F2366" s="44" t="s">
        <v>1098</v>
      </c>
      <c r="G2366" s="46"/>
      <c r="H2366" s="53"/>
      <c r="I2366" s="53"/>
      <c r="J2366" s="44"/>
      <c r="K2366" s="48"/>
    </row>
    <row r="2367" ht="22.5" customHeight="1">
      <c r="A2367" s="44"/>
      <c r="B2367" s="44"/>
      <c r="C2367" s="44"/>
      <c r="D2367" s="44"/>
      <c r="E2367" s="51"/>
      <c r="F2367" s="44" t="s">
        <v>1098</v>
      </c>
      <c r="G2367" s="46"/>
      <c r="H2367" s="53"/>
      <c r="I2367" s="53"/>
      <c r="J2367" s="44"/>
      <c r="K2367" s="48"/>
    </row>
    <row r="2368" ht="22.5" customHeight="1">
      <c r="A2368" s="44"/>
      <c r="B2368" s="44"/>
      <c r="C2368" s="44"/>
      <c r="D2368" s="44"/>
      <c r="E2368" s="51"/>
      <c r="F2368" s="44" t="s">
        <v>1098</v>
      </c>
      <c r="G2368" s="46"/>
      <c r="H2368" s="53"/>
      <c r="I2368" s="53"/>
      <c r="J2368" s="44"/>
      <c r="K2368" s="48"/>
    </row>
    <row r="2369" ht="22.5" customHeight="1">
      <c r="A2369" s="44"/>
      <c r="B2369" s="44"/>
      <c r="C2369" s="44"/>
      <c r="D2369" s="44"/>
      <c r="E2369" s="51"/>
      <c r="F2369" s="44" t="s">
        <v>1098</v>
      </c>
      <c r="G2369" s="46"/>
      <c r="H2369" s="53"/>
      <c r="I2369" s="53"/>
      <c r="J2369" s="44"/>
      <c r="K2369" s="48"/>
    </row>
    <row r="2370" ht="22.5" customHeight="1">
      <c r="A2370" s="44"/>
      <c r="B2370" s="44"/>
      <c r="C2370" s="44"/>
      <c r="D2370" s="44"/>
      <c r="E2370" s="51"/>
      <c r="F2370" s="44" t="s">
        <v>1098</v>
      </c>
      <c r="G2370" s="46"/>
      <c r="H2370" s="53"/>
      <c r="I2370" s="53"/>
      <c r="J2370" s="44"/>
      <c r="K2370" s="48"/>
    </row>
    <row r="2371" ht="22.5" customHeight="1">
      <c r="A2371" s="44"/>
      <c r="B2371" s="44"/>
      <c r="C2371" s="44"/>
      <c r="D2371" s="44"/>
      <c r="E2371" s="51"/>
      <c r="F2371" s="44" t="s">
        <v>1098</v>
      </c>
      <c r="G2371" s="46"/>
      <c r="H2371" s="53"/>
      <c r="I2371" s="53"/>
      <c r="J2371" s="44"/>
      <c r="K2371" s="48"/>
    </row>
    <row r="2372" ht="22.5" customHeight="1">
      <c r="A2372" s="44"/>
      <c r="B2372" s="44"/>
      <c r="C2372" s="44"/>
      <c r="D2372" s="44"/>
      <c r="E2372" s="51"/>
      <c r="F2372" s="44" t="s">
        <v>1098</v>
      </c>
      <c r="G2372" s="46"/>
      <c r="H2372" s="53"/>
      <c r="I2372" s="53"/>
      <c r="J2372" s="44"/>
      <c r="K2372" s="48"/>
    </row>
    <row r="2373" ht="22.5" customHeight="1">
      <c r="A2373" s="44"/>
      <c r="B2373" s="44"/>
      <c r="C2373" s="44"/>
      <c r="D2373" s="44"/>
      <c r="E2373" s="51"/>
      <c r="F2373" s="44" t="s">
        <v>1098</v>
      </c>
      <c r="G2373" s="46"/>
      <c r="H2373" s="53"/>
      <c r="I2373" s="53"/>
      <c r="J2373" s="44"/>
      <c r="K2373" s="48"/>
    </row>
    <row r="2374" ht="22.5" customHeight="1">
      <c r="A2374" s="44"/>
      <c r="B2374" s="44"/>
      <c r="C2374" s="44"/>
      <c r="D2374" s="44"/>
      <c r="E2374" s="51"/>
      <c r="F2374" s="44" t="s">
        <v>1098</v>
      </c>
      <c r="G2374" s="46"/>
      <c r="H2374" s="53"/>
      <c r="I2374" s="53"/>
      <c r="J2374" s="44"/>
      <c r="K2374" s="48"/>
    </row>
    <row r="2375" ht="22.5" customHeight="1">
      <c r="A2375" s="44"/>
      <c r="B2375" s="44"/>
      <c r="C2375" s="44"/>
      <c r="D2375" s="44"/>
      <c r="E2375" s="51"/>
      <c r="F2375" s="44" t="s">
        <v>1098</v>
      </c>
      <c r="G2375" s="46"/>
      <c r="H2375" s="53"/>
      <c r="I2375" s="53"/>
      <c r="J2375" s="44"/>
      <c r="K2375" s="48"/>
    </row>
    <row r="2376" ht="22.5" customHeight="1">
      <c r="A2376" s="44"/>
      <c r="B2376" s="44"/>
      <c r="C2376" s="44"/>
      <c r="D2376" s="44"/>
      <c r="E2376" s="51"/>
      <c r="F2376" s="44" t="s">
        <v>1098</v>
      </c>
      <c r="G2376" s="46"/>
      <c r="H2376" s="53"/>
      <c r="I2376" s="53"/>
      <c r="J2376" s="44"/>
      <c r="K2376" s="48"/>
    </row>
    <row r="2377" ht="22.5" customHeight="1">
      <c r="A2377" s="44"/>
      <c r="B2377" s="44"/>
      <c r="C2377" s="44"/>
      <c r="D2377" s="44"/>
      <c r="E2377" s="51"/>
      <c r="F2377" s="44" t="s">
        <v>1098</v>
      </c>
      <c r="G2377" s="46"/>
      <c r="H2377" s="53"/>
      <c r="I2377" s="53"/>
      <c r="J2377" s="44"/>
      <c r="K2377" s="48"/>
    </row>
    <row r="2378" ht="22.5" customHeight="1">
      <c r="A2378" s="44"/>
      <c r="B2378" s="44"/>
      <c r="C2378" s="44"/>
      <c r="D2378" s="44"/>
      <c r="E2378" s="51"/>
      <c r="F2378" s="44" t="s">
        <v>1098</v>
      </c>
      <c r="G2378" s="46"/>
      <c r="H2378" s="53"/>
      <c r="I2378" s="53"/>
      <c r="J2378" s="44"/>
      <c r="K2378" s="48"/>
    </row>
    <row r="2379" ht="22.5" customHeight="1">
      <c r="A2379" s="44"/>
      <c r="B2379" s="44"/>
      <c r="C2379" s="44"/>
      <c r="D2379" s="44"/>
      <c r="E2379" s="51"/>
      <c r="F2379" s="44" t="s">
        <v>1098</v>
      </c>
      <c r="G2379" s="46"/>
      <c r="H2379" s="53"/>
      <c r="I2379" s="53"/>
      <c r="J2379" s="44"/>
      <c r="K2379" s="48"/>
    </row>
    <row r="2380" ht="22.5" customHeight="1">
      <c r="A2380" s="44"/>
      <c r="B2380" s="44"/>
      <c r="C2380" s="44"/>
      <c r="D2380" s="44"/>
      <c r="E2380" s="51"/>
      <c r="F2380" s="44" t="s">
        <v>1098</v>
      </c>
      <c r="G2380" s="46"/>
      <c r="H2380" s="53"/>
      <c r="I2380" s="53"/>
      <c r="J2380" s="44"/>
      <c r="K2380" s="48"/>
    </row>
    <row r="2381" ht="22.5" customHeight="1">
      <c r="A2381" s="44"/>
      <c r="B2381" s="44"/>
      <c r="C2381" s="44"/>
      <c r="D2381" s="44"/>
      <c r="E2381" s="51"/>
      <c r="F2381" s="44" t="s">
        <v>1098</v>
      </c>
      <c r="G2381" s="46"/>
      <c r="H2381" s="53"/>
      <c r="I2381" s="53"/>
      <c r="J2381" s="44"/>
      <c r="K2381" s="48"/>
    </row>
    <row r="2382" ht="22.5" customHeight="1">
      <c r="A2382" s="44"/>
      <c r="B2382" s="44"/>
      <c r="C2382" s="44"/>
      <c r="D2382" s="44"/>
      <c r="E2382" s="51"/>
      <c r="F2382" s="44" t="s">
        <v>1098</v>
      </c>
      <c r="G2382" s="46"/>
      <c r="H2382" s="53"/>
      <c r="I2382" s="53"/>
      <c r="J2382" s="44"/>
      <c r="K2382" s="48"/>
    </row>
    <row r="2383" ht="22.5" customHeight="1">
      <c r="A2383" s="44"/>
      <c r="B2383" s="44"/>
      <c r="C2383" s="44"/>
      <c r="D2383" s="44"/>
      <c r="E2383" s="51"/>
      <c r="F2383" s="44" t="s">
        <v>1098</v>
      </c>
      <c r="G2383" s="46"/>
      <c r="H2383" s="53"/>
      <c r="I2383" s="53"/>
      <c r="J2383" s="44"/>
      <c r="K2383" s="48"/>
    </row>
    <row r="2384" ht="22.5" customHeight="1">
      <c r="A2384" s="44"/>
      <c r="B2384" s="44"/>
      <c r="C2384" s="44"/>
      <c r="D2384" s="44"/>
      <c r="E2384" s="51"/>
      <c r="F2384" s="44" t="s">
        <v>1098</v>
      </c>
      <c r="G2384" s="46"/>
      <c r="H2384" s="53"/>
      <c r="I2384" s="53"/>
      <c r="J2384" s="44"/>
      <c r="K2384" s="48"/>
    </row>
    <row r="2385" ht="22.5" customHeight="1">
      <c r="A2385" s="44"/>
      <c r="B2385" s="44"/>
      <c r="C2385" s="44"/>
      <c r="D2385" s="44"/>
      <c r="E2385" s="51"/>
      <c r="F2385" s="44" t="s">
        <v>1098</v>
      </c>
      <c r="G2385" s="46"/>
      <c r="H2385" s="53"/>
      <c r="I2385" s="53"/>
      <c r="J2385" s="44"/>
      <c r="K2385" s="48"/>
    </row>
    <row r="2386" ht="22.5" customHeight="1">
      <c r="A2386" s="44"/>
      <c r="B2386" s="44"/>
      <c r="C2386" s="44"/>
      <c r="D2386" s="44"/>
      <c r="E2386" s="51"/>
      <c r="F2386" s="44" t="s">
        <v>1098</v>
      </c>
      <c r="G2386" s="46"/>
      <c r="H2386" s="53"/>
      <c r="I2386" s="53"/>
      <c r="J2386" s="44"/>
      <c r="K2386" s="48"/>
    </row>
    <row r="2387" ht="22.5" customHeight="1">
      <c r="A2387" s="44"/>
      <c r="B2387" s="44"/>
      <c r="C2387" s="44"/>
      <c r="D2387" s="44"/>
      <c r="E2387" s="51"/>
      <c r="F2387" s="44" t="s">
        <v>1098</v>
      </c>
      <c r="G2387" s="46"/>
      <c r="H2387" s="53"/>
      <c r="I2387" s="53"/>
      <c r="J2387" s="44"/>
      <c r="K2387" s="48"/>
    </row>
    <row r="2388" ht="22.5" customHeight="1">
      <c r="A2388" s="44"/>
      <c r="B2388" s="44"/>
      <c r="C2388" s="44"/>
      <c r="D2388" s="44"/>
      <c r="E2388" s="51"/>
      <c r="F2388" s="44" t="s">
        <v>1098</v>
      </c>
      <c r="G2388" s="46"/>
      <c r="H2388" s="53"/>
      <c r="I2388" s="53"/>
      <c r="J2388" s="44"/>
      <c r="K2388" s="48"/>
    </row>
    <row r="2389" ht="22.5" customHeight="1">
      <c r="A2389" s="44"/>
      <c r="B2389" s="44"/>
      <c r="C2389" s="44"/>
      <c r="D2389" s="44"/>
      <c r="E2389" s="51"/>
      <c r="F2389" s="44" t="s">
        <v>1098</v>
      </c>
      <c r="G2389" s="46"/>
      <c r="H2389" s="53"/>
      <c r="I2389" s="53"/>
      <c r="J2389" s="44"/>
      <c r="K2389" s="48"/>
    </row>
    <row r="2390" ht="22.5" customHeight="1">
      <c r="A2390" s="44"/>
      <c r="B2390" s="44"/>
      <c r="C2390" s="44"/>
      <c r="D2390" s="44"/>
      <c r="E2390" s="51"/>
      <c r="F2390" s="44" t="s">
        <v>1098</v>
      </c>
      <c r="G2390" s="46"/>
      <c r="H2390" s="53"/>
      <c r="I2390" s="53"/>
      <c r="J2390" s="44"/>
      <c r="K2390" s="48"/>
    </row>
    <row r="2391" ht="22.5" customHeight="1">
      <c r="A2391" s="44"/>
      <c r="B2391" s="44"/>
      <c r="C2391" s="44"/>
      <c r="D2391" s="44"/>
      <c r="E2391" s="51"/>
      <c r="F2391" s="44" t="s">
        <v>1098</v>
      </c>
      <c r="G2391" s="46"/>
      <c r="H2391" s="53"/>
      <c r="I2391" s="53"/>
      <c r="J2391" s="44"/>
      <c r="K2391" s="48"/>
    </row>
    <row r="2392" ht="22.5" customHeight="1">
      <c r="A2392" s="44"/>
      <c r="B2392" s="44"/>
      <c r="C2392" s="44"/>
      <c r="D2392" s="44"/>
      <c r="E2392" s="51"/>
      <c r="F2392" s="44" t="s">
        <v>1098</v>
      </c>
      <c r="G2392" s="46"/>
      <c r="H2392" s="53"/>
      <c r="I2392" s="53"/>
      <c r="J2392" s="44"/>
      <c r="K2392" s="48"/>
    </row>
    <row r="2393" ht="22.5" customHeight="1">
      <c r="A2393" s="44"/>
      <c r="B2393" s="44"/>
      <c r="C2393" s="44"/>
      <c r="D2393" s="44"/>
      <c r="E2393" s="51"/>
      <c r="F2393" s="44" t="s">
        <v>1098</v>
      </c>
      <c r="G2393" s="46"/>
      <c r="H2393" s="53"/>
      <c r="I2393" s="53"/>
      <c r="J2393" s="44"/>
      <c r="K2393" s="48"/>
    </row>
    <row r="2394" ht="22.5" customHeight="1">
      <c r="A2394" s="44"/>
      <c r="B2394" s="44"/>
      <c r="C2394" s="44"/>
      <c r="D2394" s="44"/>
      <c r="E2394" s="51"/>
      <c r="F2394" s="44" t="s">
        <v>1098</v>
      </c>
      <c r="G2394" s="46"/>
      <c r="H2394" s="53"/>
      <c r="I2394" s="53"/>
      <c r="J2394" s="44"/>
      <c r="K2394" s="48"/>
    </row>
    <row r="2395" ht="22.5" customHeight="1">
      <c r="A2395" s="44"/>
      <c r="B2395" s="44"/>
      <c r="C2395" s="44"/>
      <c r="D2395" s="44"/>
      <c r="E2395" s="51"/>
      <c r="F2395" s="44" t="s">
        <v>1098</v>
      </c>
      <c r="G2395" s="46"/>
      <c r="H2395" s="53"/>
      <c r="I2395" s="53"/>
      <c r="J2395" s="44"/>
      <c r="K2395" s="48"/>
    </row>
    <row r="2396" ht="22.5" customHeight="1">
      <c r="A2396" s="44"/>
      <c r="B2396" s="44"/>
      <c r="C2396" s="44"/>
      <c r="D2396" s="44"/>
      <c r="E2396" s="51"/>
      <c r="F2396" s="44" t="s">
        <v>1098</v>
      </c>
      <c r="G2396" s="46"/>
      <c r="H2396" s="53"/>
      <c r="I2396" s="53"/>
      <c r="J2396" s="44"/>
      <c r="K2396" s="48"/>
    </row>
    <row r="2397" ht="22.5" customHeight="1">
      <c r="A2397" s="44"/>
      <c r="B2397" s="44"/>
      <c r="C2397" s="44"/>
      <c r="D2397" s="44"/>
      <c r="E2397" s="51"/>
      <c r="F2397" s="44" t="s">
        <v>1098</v>
      </c>
      <c r="G2397" s="46"/>
      <c r="H2397" s="53"/>
      <c r="I2397" s="53"/>
      <c r="J2397" s="44"/>
      <c r="K2397" s="48"/>
    </row>
    <row r="2398" ht="22.5" customHeight="1">
      <c r="A2398" s="44"/>
      <c r="B2398" s="44"/>
      <c r="C2398" s="44"/>
      <c r="D2398" s="44"/>
      <c r="E2398" s="51"/>
      <c r="F2398" s="44" t="s">
        <v>1098</v>
      </c>
      <c r="G2398" s="46"/>
      <c r="H2398" s="53"/>
      <c r="I2398" s="53"/>
      <c r="J2398" s="44"/>
      <c r="K2398" s="48"/>
    </row>
    <row r="2399" ht="22.5" customHeight="1">
      <c r="A2399" s="44"/>
      <c r="B2399" s="44"/>
      <c r="C2399" s="44"/>
      <c r="D2399" s="44"/>
      <c r="E2399" s="51"/>
      <c r="F2399" s="44" t="s">
        <v>1098</v>
      </c>
      <c r="G2399" s="46"/>
      <c r="H2399" s="53"/>
      <c r="I2399" s="53"/>
      <c r="J2399" s="44"/>
      <c r="K2399" s="48"/>
    </row>
    <row r="2400" ht="22.5" customHeight="1">
      <c r="A2400" s="44"/>
      <c r="B2400" s="44"/>
      <c r="C2400" s="44"/>
      <c r="D2400" s="44"/>
      <c r="E2400" s="51"/>
      <c r="F2400" s="44" t="s">
        <v>1098</v>
      </c>
      <c r="G2400" s="46"/>
      <c r="H2400" s="53"/>
      <c r="I2400" s="53"/>
      <c r="J2400" s="44"/>
      <c r="K2400" s="48"/>
    </row>
    <row r="2401" ht="22.5" customHeight="1">
      <c r="A2401" s="44"/>
      <c r="B2401" s="44"/>
      <c r="C2401" s="44"/>
      <c r="D2401" s="44"/>
      <c r="E2401" s="51"/>
      <c r="F2401" s="44" t="s">
        <v>1098</v>
      </c>
      <c r="G2401" s="46"/>
      <c r="H2401" s="53"/>
      <c r="I2401" s="53"/>
      <c r="J2401" s="44"/>
      <c r="K2401" s="48"/>
    </row>
    <row r="2402" ht="22.5" customHeight="1">
      <c r="A2402" s="44"/>
      <c r="B2402" s="44"/>
      <c r="C2402" s="44"/>
      <c r="D2402" s="44"/>
      <c r="E2402" s="51"/>
      <c r="F2402" s="44" t="s">
        <v>1098</v>
      </c>
      <c r="G2402" s="46"/>
      <c r="H2402" s="53"/>
      <c r="I2402" s="53"/>
      <c r="J2402" s="44"/>
      <c r="K2402" s="48"/>
    </row>
    <row r="2403" ht="22.5" customHeight="1">
      <c r="A2403" s="44"/>
      <c r="B2403" s="44"/>
      <c r="C2403" s="44"/>
      <c r="D2403" s="44"/>
      <c r="E2403" s="51"/>
      <c r="F2403" s="44" t="s">
        <v>1098</v>
      </c>
      <c r="G2403" s="46"/>
      <c r="H2403" s="53"/>
      <c r="I2403" s="53"/>
      <c r="J2403" s="44"/>
      <c r="K2403" s="48"/>
    </row>
    <row r="2404" ht="22.5" customHeight="1">
      <c r="A2404" s="44"/>
      <c r="B2404" s="44"/>
      <c r="C2404" s="44"/>
      <c r="D2404" s="44"/>
      <c r="E2404" s="51"/>
      <c r="F2404" s="44" t="s">
        <v>1098</v>
      </c>
      <c r="G2404" s="46"/>
      <c r="H2404" s="53"/>
      <c r="I2404" s="53"/>
      <c r="J2404" s="44"/>
      <c r="K2404" s="48"/>
    </row>
    <row r="2405" ht="22.5" customHeight="1">
      <c r="A2405" s="44"/>
      <c r="B2405" s="44"/>
      <c r="C2405" s="44"/>
      <c r="D2405" s="44"/>
      <c r="E2405" s="51"/>
      <c r="F2405" s="44" t="s">
        <v>1098</v>
      </c>
      <c r="G2405" s="46"/>
      <c r="H2405" s="53"/>
      <c r="I2405" s="53"/>
      <c r="J2405" s="44"/>
      <c r="K2405" s="48"/>
    </row>
    <row r="2406" ht="22.5" customHeight="1">
      <c r="A2406" s="44"/>
      <c r="B2406" s="44"/>
      <c r="C2406" s="44"/>
      <c r="D2406" s="44"/>
      <c r="E2406" s="51"/>
      <c r="F2406" s="44" t="s">
        <v>1098</v>
      </c>
      <c r="G2406" s="46"/>
      <c r="H2406" s="53"/>
      <c r="I2406" s="53"/>
      <c r="J2406" s="44"/>
      <c r="K2406" s="48"/>
    </row>
    <row r="2407" ht="22.5" customHeight="1">
      <c r="A2407" s="44"/>
      <c r="B2407" s="44"/>
      <c r="C2407" s="44"/>
      <c r="D2407" s="44"/>
      <c r="E2407" s="51"/>
      <c r="F2407" s="44" t="s">
        <v>1098</v>
      </c>
      <c r="G2407" s="46"/>
      <c r="H2407" s="53"/>
      <c r="I2407" s="53"/>
      <c r="J2407" s="44"/>
      <c r="K2407" s="48"/>
    </row>
    <row r="2408" ht="22.5" customHeight="1">
      <c r="A2408" s="44"/>
      <c r="B2408" s="44"/>
      <c r="C2408" s="44"/>
      <c r="D2408" s="44"/>
      <c r="E2408" s="51"/>
      <c r="F2408" s="44" t="s">
        <v>1098</v>
      </c>
      <c r="G2408" s="46"/>
      <c r="H2408" s="53"/>
      <c r="I2408" s="53"/>
      <c r="J2408" s="44"/>
      <c r="K2408" s="48"/>
    </row>
    <row r="2409" ht="22.5" customHeight="1">
      <c r="A2409" s="44"/>
      <c r="B2409" s="44"/>
      <c r="C2409" s="44"/>
      <c r="D2409" s="44"/>
      <c r="E2409" s="51"/>
      <c r="F2409" s="44" t="s">
        <v>1098</v>
      </c>
      <c r="G2409" s="46"/>
      <c r="H2409" s="53"/>
      <c r="I2409" s="53"/>
      <c r="J2409" s="44"/>
      <c r="K2409" s="48"/>
    </row>
    <row r="2410" ht="22.5" customHeight="1">
      <c r="A2410" s="44"/>
      <c r="B2410" s="44"/>
      <c r="C2410" s="44"/>
      <c r="D2410" s="44"/>
      <c r="E2410" s="51"/>
      <c r="F2410" s="44" t="s">
        <v>1098</v>
      </c>
      <c r="G2410" s="46"/>
      <c r="H2410" s="53"/>
      <c r="I2410" s="53"/>
      <c r="J2410" s="44"/>
      <c r="K2410" s="48"/>
    </row>
    <row r="2411" ht="22.5" customHeight="1">
      <c r="A2411" s="44"/>
      <c r="B2411" s="44"/>
      <c r="C2411" s="44"/>
      <c r="D2411" s="44"/>
      <c r="E2411" s="51"/>
      <c r="F2411" s="44" t="s">
        <v>1098</v>
      </c>
      <c r="G2411" s="46"/>
      <c r="H2411" s="53"/>
      <c r="I2411" s="53"/>
      <c r="J2411" s="44"/>
      <c r="K2411" s="48"/>
    </row>
    <row r="2412" ht="22.5" customHeight="1">
      <c r="A2412" s="44"/>
      <c r="B2412" s="44"/>
      <c r="C2412" s="44"/>
      <c r="D2412" s="44"/>
      <c r="E2412" s="51"/>
      <c r="F2412" s="44" t="s">
        <v>1098</v>
      </c>
      <c r="G2412" s="46"/>
      <c r="H2412" s="53"/>
      <c r="I2412" s="53"/>
      <c r="J2412" s="44"/>
      <c r="K2412" s="48"/>
    </row>
    <row r="2413" ht="22.5" customHeight="1">
      <c r="A2413" s="44"/>
      <c r="B2413" s="44"/>
      <c r="C2413" s="44"/>
      <c r="D2413" s="44"/>
      <c r="E2413" s="51"/>
      <c r="F2413" s="44" t="s">
        <v>1098</v>
      </c>
      <c r="G2413" s="46"/>
      <c r="H2413" s="53"/>
      <c r="I2413" s="53"/>
      <c r="J2413" s="44"/>
      <c r="K2413" s="48"/>
    </row>
    <row r="2414" ht="22.5" customHeight="1">
      <c r="A2414" s="44"/>
      <c r="B2414" s="44"/>
      <c r="C2414" s="44"/>
      <c r="D2414" s="44"/>
      <c r="E2414" s="51"/>
      <c r="F2414" s="44" t="s">
        <v>1098</v>
      </c>
      <c r="G2414" s="46"/>
      <c r="H2414" s="53"/>
      <c r="I2414" s="53"/>
      <c r="J2414" s="44"/>
      <c r="K2414" s="48"/>
    </row>
    <row r="2415" ht="22.5" customHeight="1">
      <c r="A2415" s="44"/>
      <c r="B2415" s="44"/>
      <c r="C2415" s="44"/>
      <c r="D2415" s="44"/>
      <c r="E2415" s="51"/>
      <c r="F2415" s="44" t="s">
        <v>1098</v>
      </c>
      <c r="G2415" s="46"/>
      <c r="H2415" s="53"/>
      <c r="I2415" s="53"/>
      <c r="J2415" s="44"/>
      <c r="K2415" s="48"/>
    </row>
    <row r="2416" ht="22.5" customHeight="1">
      <c r="A2416" s="44"/>
      <c r="B2416" s="44"/>
      <c r="C2416" s="44"/>
      <c r="D2416" s="44"/>
      <c r="E2416" s="51"/>
      <c r="F2416" s="44" t="s">
        <v>1098</v>
      </c>
      <c r="G2416" s="46"/>
      <c r="H2416" s="53"/>
      <c r="I2416" s="53"/>
      <c r="J2416" s="44"/>
      <c r="K2416" s="48"/>
    </row>
    <row r="2417" ht="22.5" customHeight="1">
      <c r="A2417" s="44"/>
      <c r="B2417" s="44"/>
      <c r="C2417" s="44"/>
      <c r="D2417" s="44"/>
      <c r="E2417" s="51"/>
      <c r="F2417" s="44" t="s">
        <v>1098</v>
      </c>
      <c r="G2417" s="46"/>
      <c r="H2417" s="53"/>
      <c r="I2417" s="53"/>
      <c r="J2417" s="44"/>
      <c r="K2417" s="48"/>
    </row>
    <row r="2418" ht="22.5" customHeight="1">
      <c r="A2418" s="44"/>
      <c r="B2418" s="44"/>
      <c r="C2418" s="44"/>
      <c r="D2418" s="44"/>
      <c r="E2418" s="51"/>
      <c r="F2418" s="44" t="s">
        <v>1098</v>
      </c>
      <c r="G2418" s="46"/>
      <c r="H2418" s="53"/>
      <c r="I2418" s="53"/>
      <c r="J2418" s="44"/>
      <c r="K2418" s="48"/>
    </row>
    <row r="2419" ht="22.5" customHeight="1">
      <c r="A2419" s="44"/>
      <c r="B2419" s="44"/>
      <c r="C2419" s="44"/>
      <c r="D2419" s="44"/>
      <c r="E2419" s="51"/>
      <c r="F2419" s="44" t="s">
        <v>1098</v>
      </c>
      <c r="G2419" s="46"/>
      <c r="H2419" s="53"/>
      <c r="I2419" s="53"/>
      <c r="J2419" s="44"/>
      <c r="K2419" s="48"/>
    </row>
    <row r="2420" ht="22.5" customHeight="1">
      <c r="A2420" s="44"/>
      <c r="B2420" s="44"/>
      <c r="C2420" s="44"/>
      <c r="D2420" s="44"/>
      <c r="E2420" s="51"/>
      <c r="F2420" s="44" t="s">
        <v>1098</v>
      </c>
      <c r="G2420" s="46"/>
      <c r="H2420" s="53"/>
      <c r="I2420" s="53"/>
      <c r="J2420" s="44"/>
      <c r="K2420" s="48"/>
    </row>
    <row r="2421" ht="22.5" customHeight="1">
      <c r="A2421" s="44"/>
      <c r="B2421" s="44"/>
      <c r="C2421" s="44"/>
      <c r="D2421" s="44"/>
      <c r="E2421" s="51"/>
      <c r="F2421" s="44" t="s">
        <v>1098</v>
      </c>
      <c r="G2421" s="46"/>
      <c r="H2421" s="53"/>
      <c r="I2421" s="53"/>
      <c r="J2421" s="44"/>
      <c r="K2421" s="48"/>
    </row>
    <row r="2422" ht="22.5" customHeight="1">
      <c r="A2422" s="44"/>
      <c r="B2422" s="44"/>
      <c r="C2422" s="44"/>
      <c r="D2422" s="44"/>
      <c r="E2422" s="51"/>
      <c r="F2422" s="44" t="s">
        <v>1098</v>
      </c>
      <c r="G2422" s="46"/>
      <c r="H2422" s="53"/>
      <c r="I2422" s="53"/>
      <c r="J2422" s="44"/>
      <c r="K2422" s="48"/>
    </row>
    <row r="2423" ht="22.5" customHeight="1">
      <c r="A2423" s="44"/>
      <c r="B2423" s="44"/>
      <c r="C2423" s="44"/>
      <c r="D2423" s="44"/>
      <c r="E2423" s="51"/>
      <c r="F2423" s="44" t="s">
        <v>1098</v>
      </c>
      <c r="G2423" s="46"/>
      <c r="H2423" s="53"/>
      <c r="I2423" s="53"/>
      <c r="J2423" s="44"/>
      <c r="K2423" s="48"/>
    </row>
    <row r="2424" ht="22.5" customHeight="1">
      <c r="A2424" s="44"/>
      <c r="B2424" s="44"/>
      <c r="C2424" s="44"/>
      <c r="D2424" s="44"/>
      <c r="E2424" s="51"/>
      <c r="F2424" s="44" t="s">
        <v>1098</v>
      </c>
      <c r="G2424" s="46"/>
      <c r="H2424" s="53"/>
      <c r="I2424" s="53"/>
      <c r="J2424" s="44"/>
      <c r="K2424" s="48"/>
    </row>
    <row r="2425" ht="22.5" customHeight="1">
      <c r="A2425" s="44"/>
      <c r="B2425" s="44"/>
      <c r="C2425" s="44"/>
      <c r="D2425" s="44"/>
      <c r="E2425" s="51"/>
      <c r="F2425" s="44" t="s">
        <v>1098</v>
      </c>
      <c r="G2425" s="46"/>
      <c r="H2425" s="53"/>
      <c r="I2425" s="53"/>
      <c r="J2425" s="44"/>
      <c r="K2425" s="48"/>
    </row>
    <row r="2426" ht="22.5" customHeight="1">
      <c r="A2426" s="44"/>
      <c r="B2426" s="44"/>
      <c r="C2426" s="44"/>
      <c r="D2426" s="44"/>
      <c r="E2426" s="51"/>
      <c r="F2426" s="44" t="s">
        <v>1098</v>
      </c>
      <c r="G2426" s="46"/>
      <c r="H2426" s="53"/>
      <c r="I2426" s="53"/>
      <c r="J2426" s="44"/>
      <c r="K2426" s="48"/>
    </row>
    <row r="2427" ht="22.5" customHeight="1">
      <c r="A2427" s="44"/>
      <c r="B2427" s="44"/>
      <c r="C2427" s="44"/>
      <c r="D2427" s="44"/>
      <c r="E2427" s="51"/>
      <c r="F2427" s="44" t="s">
        <v>1098</v>
      </c>
      <c r="G2427" s="46"/>
      <c r="H2427" s="53"/>
      <c r="I2427" s="53"/>
      <c r="J2427" s="44"/>
      <c r="K2427" s="48"/>
    </row>
    <row r="2428" ht="22.5" customHeight="1">
      <c r="A2428" s="44"/>
      <c r="B2428" s="44"/>
      <c r="C2428" s="44"/>
      <c r="D2428" s="44"/>
      <c r="E2428" s="51"/>
      <c r="F2428" s="44" t="s">
        <v>1098</v>
      </c>
      <c r="G2428" s="46"/>
      <c r="H2428" s="53"/>
      <c r="I2428" s="53"/>
      <c r="J2428" s="44"/>
      <c r="K2428" s="48"/>
    </row>
    <row r="2429" ht="22.5" customHeight="1">
      <c r="A2429" s="44"/>
      <c r="B2429" s="44"/>
      <c r="C2429" s="44"/>
      <c r="D2429" s="44"/>
      <c r="E2429" s="51"/>
      <c r="F2429" s="44" t="s">
        <v>1098</v>
      </c>
      <c r="G2429" s="46"/>
      <c r="H2429" s="53"/>
      <c r="I2429" s="53"/>
      <c r="J2429" s="44"/>
      <c r="K2429" s="48"/>
    </row>
    <row r="2430" ht="22.5" customHeight="1">
      <c r="A2430" s="44"/>
      <c r="B2430" s="44"/>
      <c r="C2430" s="44"/>
      <c r="D2430" s="44"/>
      <c r="E2430" s="51"/>
      <c r="F2430" s="44" t="s">
        <v>1098</v>
      </c>
      <c r="G2430" s="46"/>
      <c r="H2430" s="53"/>
      <c r="I2430" s="53"/>
      <c r="J2430" s="44"/>
      <c r="K2430" s="48"/>
    </row>
    <row r="2431" ht="22.5" customHeight="1">
      <c r="A2431" s="44"/>
      <c r="B2431" s="44"/>
      <c r="C2431" s="44"/>
      <c r="D2431" s="44"/>
      <c r="E2431" s="51"/>
      <c r="F2431" s="44" t="s">
        <v>1098</v>
      </c>
      <c r="G2431" s="46"/>
      <c r="H2431" s="53"/>
      <c r="I2431" s="53"/>
      <c r="J2431" s="44"/>
      <c r="K2431" s="48"/>
    </row>
    <row r="2432" ht="22.5" customHeight="1">
      <c r="A2432" s="44"/>
      <c r="B2432" s="44"/>
      <c r="C2432" s="44"/>
      <c r="D2432" s="44"/>
      <c r="E2432" s="51"/>
      <c r="F2432" s="44" t="s">
        <v>1098</v>
      </c>
      <c r="G2432" s="46"/>
      <c r="H2432" s="53"/>
      <c r="I2432" s="53"/>
      <c r="J2432" s="44"/>
      <c r="K2432" s="48"/>
    </row>
    <row r="2433" ht="22.5" customHeight="1">
      <c r="A2433" s="44"/>
      <c r="B2433" s="44"/>
      <c r="C2433" s="44"/>
      <c r="D2433" s="44"/>
      <c r="E2433" s="51"/>
      <c r="F2433" s="44" t="s">
        <v>1098</v>
      </c>
      <c r="G2433" s="46"/>
      <c r="H2433" s="53"/>
      <c r="I2433" s="53"/>
      <c r="J2433" s="44"/>
      <c r="K2433" s="48"/>
    </row>
    <row r="2434" ht="22.5" customHeight="1">
      <c r="A2434" s="44"/>
      <c r="B2434" s="44"/>
      <c r="C2434" s="44"/>
      <c r="D2434" s="44"/>
      <c r="E2434" s="51"/>
      <c r="F2434" s="44" t="s">
        <v>1098</v>
      </c>
      <c r="G2434" s="46"/>
      <c r="H2434" s="53"/>
      <c r="I2434" s="53"/>
      <c r="J2434" s="44"/>
      <c r="K2434" s="48"/>
    </row>
    <row r="2435" ht="22.5" customHeight="1">
      <c r="A2435" s="44"/>
      <c r="B2435" s="44"/>
      <c r="C2435" s="44"/>
      <c r="D2435" s="44"/>
      <c r="E2435" s="51"/>
      <c r="F2435" s="44" t="s">
        <v>1098</v>
      </c>
      <c r="G2435" s="46"/>
      <c r="H2435" s="53"/>
      <c r="I2435" s="53"/>
      <c r="J2435" s="44"/>
      <c r="K2435" s="48"/>
    </row>
    <row r="2436" ht="22.5" customHeight="1">
      <c r="A2436" s="44"/>
      <c r="B2436" s="44"/>
      <c r="C2436" s="44"/>
      <c r="D2436" s="44"/>
      <c r="E2436" s="51"/>
      <c r="F2436" s="44" t="s">
        <v>1098</v>
      </c>
      <c r="G2436" s="46"/>
      <c r="H2436" s="53"/>
      <c r="I2436" s="53"/>
      <c r="J2436" s="44"/>
      <c r="K2436" s="48"/>
    </row>
    <row r="2437" ht="22.5" customHeight="1">
      <c r="A2437" s="44"/>
      <c r="B2437" s="44"/>
      <c r="C2437" s="44"/>
      <c r="D2437" s="44"/>
      <c r="E2437" s="51"/>
      <c r="F2437" s="44" t="s">
        <v>1098</v>
      </c>
      <c r="G2437" s="46"/>
      <c r="H2437" s="53"/>
      <c r="I2437" s="53"/>
      <c r="J2437" s="44"/>
      <c r="K2437" s="48"/>
    </row>
    <row r="2438" ht="22.5" customHeight="1">
      <c r="A2438" s="44"/>
      <c r="B2438" s="44"/>
      <c r="C2438" s="44"/>
      <c r="D2438" s="44"/>
      <c r="E2438" s="51"/>
      <c r="F2438" s="44" t="s">
        <v>1098</v>
      </c>
      <c r="G2438" s="46"/>
      <c r="H2438" s="53"/>
      <c r="I2438" s="53"/>
      <c r="J2438" s="44"/>
      <c r="K2438" s="48"/>
    </row>
    <row r="2439" ht="22.5" customHeight="1">
      <c r="A2439" s="44"/>
      <c r="B2439" s="44"/>
      <c r="C2439" s="44"/>
      <c r="D2439" s="44"/>
      <c r="E2439" s="51"/>
      <c r="F2439" s="44" t="s">
        <v>1098</v>
      </c>
      <c r="G2439" s="46"/>
      <c r="H2439" s="53"/>
      <c r="I2439" s="53"/>
      <c r="J2439" s="44"/>
      <c r="K2439" s="48"/>
    </row>
    <row r="2440" ht="22.5" customHeight="1">
      <c r="A2440" s="44"/>
      <c r="B2440" s="44"/>
      <c r="C2440" s="44"/>
      <c r="D2440" s="44"/>
      <c r="E2440" s="51"/>
      <c r="F2440" s="44" t="s">
        <v>1098</v>
      </c>
      <c r="G2440" s="46"/>
      <c r="H2440" s="53"/>
      <c r="I2440" s="53"/>
      <c r="J2440" s="44"/>
      <c r="K2440" s="48"/>
    </row>
    <row r="2441" ht="22.5" customHeight="1">
      <c r="A2441" s="44"/>
      <c r="B2441" s="44"/>
      <c r="C2441" s="44"/>
      <c r="D2441" s="44"/>
      <c r="E2441" s="51"/>
      <c r="F2441" s="44" t="s">
        <v>1098</v>
      </c>
      <c r="G2441" s="46"/>
      <c r="H2441" s="53"/>
      <c r="I2441" s="53"/>
      <c r="J2441" s="44"/>
      <c r="K2441" s="48"/>
    </row>
    <row r="2442" ht="22.5" customHeight="1">
      <c r="A2442" s="44"/>
      <c r="B2442" s="44"/>
      <c r="C2442" s="44"/>
      <c r="D2442" s="44"/>
      <c r="E2442" s="51"/>
      <c r="F2442" s="44" t="s">
        <v>1098</v>
      </c>
      <c r="G2442" s="46"/>
      <c r="H2442" s="53"/>
      <c r="I2442" s="53"/>
      <c r="J2442" s="44"/>
      <c r="K2442" s="48"/>
    </row>
    <row r="2443" ht="22.5" customHeight="1">
      <c r="A2443" s="44"/>
      <c r="B2443" s="44"/>
      <c r="C2443" s="44"/>
      <c r="D2443" s="44"/>
      <c r="E2443" s="51"/>
      <c r="F2443" s="44" t="s">
        <v>1098</v>
      </c>
      <c r="G2443" s="46"/>
      <c r="H2443" s="53"/>
      <c r="I2443" s="53"/>
      <c r="J2443" s="44"/>
      <c r="K2443" s="48"/>
    </row>
    <row r="2444" ht="22.5" customHeight="1">
      <c r="A2444" s="44"/>
      <c r="B2444" s="44"/>
      <c r="C2444" s="44"/>
      <c r="D2444" s="44"/>
      <c r="E2444" s="51"/>
      <c r="F2444" s="44" t="s">
        <v>1098</v>
      </c>
      <c r="G2444" s="46"/>
      <c r="H2444" s="53"/>
      <c r="I2444" s="53"/>
      <c r="J2444" s="44"/>
      <c r="K2444" s="48"/>
    </row>
    <row r="2445" ht="22.5" customHeight="1">
      <c r="A2445" s="44"/>
      <c r="B2445" s="44"/>
      <c r="C2445" s="44"/>
      <c r="D2445" s="44"/>
      <c r="E2445" s="51"/>
      <c r="F2445" s="44" t="s">
        <v>1098</v>
      </c>
      <c r="G2445" s="46"/>
      <c r="H2445" s="53"/>
      <c r="I2445" s="53"/>
      <c r="J2445" s="44"/>
      <c r="K2445" s="48"/>
    </row>
    <row r="2446" ht="22.5" customHeight="1">
      <c r="A2446" s="44"/>
      <c r="B2446" s="44"/>
      <c r="C2446" s="44"/>
      <c r="D2446" s="44"/>
      <c r="E2446" s="51"/>
      <c r="F2446" s="44" t="s">
        <v>1098</v>
      </c>
      <c r="G2446" s="46"/>
      <c r="H2446" s="53"/>
      <c r="I2446" s="53"/>
      <c r="J2446" s="44"/>
      <c r="K2446" s="48"/>
    </row>
    <row r="2447" ht="22.5" customHeight="1">
      <c r="A2447" s="44"/>
      <c r="B2447" s="44"/>
      <c r="C2447" s="44"/>
      <c r="D2447" s="44"/>
      <c r="E2447" s="51"/>
      <c r="F2447" s="44" t="s">
        <v>1098</v>
      </c>
      <c r="G2447" s="46"/>
      <c r="H2447" s="53"/>
      <c r="I2447" s="53"/>
      <c r="J2447" s="44"/>
      <c r="K2447" s="48"/>
    </row>
    <row r="2448" ht="22.5" customHeight="1">
      <c r="A2448" s="44"/>
      <c r="B2448" s="44"/>
      <c r="C2448" s="44"/>
      <c r="D2448" s="44"/>
      <c r="E2448" s="51"/>
      <c r="F2448" s="44" t="s">
        <v>1098</v>
      </c>
      <c r="G2448" s="46"/>
      <c r="H2448" s="53"/>
      <c r="I2448" s="53"/>
      <c r="J2448" s="44"/>
      <c r="K2448" s="48"/>
    </row>
    <row r="2449" ht="22.5" customHeight="1">
      <c r="A2449" s="44"/>
      <c r="B2449" s="44"/>
      <c r="C2449" s="44"/>
      <c r="D2449" s="44"/>
      <c r="E2449" s="51"/>
      <c r="F2449" s="44" t="s">
        <v>1098</v>
      </c>
      <c r="G2449" s="46"/>
      <c r="H2449" s="53"/>
      <c r="I2449" s="53"/>
      <c r="J2449" s="44"/>
      <c r="K2449" s="48"/>
    </row>
    <row r="2450" ht="22.5" customHeight="1">
      <c r="A2450" s="44"/>
      <c r="B2450" s="44"/>
      <c r="C2450" s="44"/>
      <c r="D2450" s="44"/>
      <c r="E2450" s="51"/>
      <c r="F2450" s="44" t="s">
        <v>1098</v>
      </c>
      <c r="G2450" s="46"/>
      <c r="H2450" s="53"/>
      <c r="I2450" s="53"/>
      <c r="J2450" s="44"/>
      <c r="K2450" s="48"/>
    </row>
    <row r="2451" ht="22.5" customHeight="1">
      <c r="A2451" s="44"/>
      <c r="B2451" s="44"/>
      <c r="C2451" s="44"/>
      <c r="D2451" s="44"/>
      <c r="E2451" s="51"/>
      <c r="F2451" s="44" t="s">
        <v>1098</v>
      </c>
      <c r="G2451" s="46"/>
      <c r="H2451" s="53"/>
      <c r="I2451" s="53"/>
      <c r="J2451" s="44"/>
      <c r="K2451" s="48"/>
    </row>
    <row r="2452" ht="22.5" customHeight="1">
      <c r="A2452" s="44"/>
      <c r="B2452" s="44"/>
      <c r="C2452" s="44"/>
      <c r="D2452" s="44"/>
      <c r="E2452" s="51"/>
      <c r="F2452" s="44" t="s">
        <v>1098</v>
      </c>
      <c r="G2452" s="46"/>
      <c r="H2452" s="53"/>
      <c r="I2452" s="53"/>
      <c r="J2452" s="44"/>
      <c r="K2452" s="48"/>
    </row>
    <row r="2453" ht="22.5" customHeight="1">
      <c r="A2453" s="44"/>
      <c r="B2453" s="44"/>
      <c r="C2453" s="44"/>
      <c r="D2453" s="44"/>
      <c r="E2453" s="51"/>
      <c r="F2453" s="44" t="s">
        <v>1098</v>
      </c>
      <c r="G2453" s="46"/>
      <c r="H2453" s="53"/>
      <c r="I2453" s="53"/>
      <c r="J2453" s="44"/>
      <c r="K2453" s="48"/>
    </row>
    <row r="2454" ht="22.5" customHeight="1">
      <c r="A2454" s="44"/>
      <c r="B2454" s="44"/>
      <c r="C2454" s="44"/>
      <c r="D2454" s="44"/>
      <c r="E2454" s="51"/>
      <c r="F2454" s="44" t="s">
        <v>1098</v>
      </c>
      <c r="G2454" s="46"/>
      <c r="H2454" s="53"/>
      <c r="I2454" s="53"/>
      <c r="J2454" s="44"/>
      <c r="K2454" s="48"/>
    </row>
    <row r="2455" ht="22.5" customHeight="1">
      <c r="A2455" s="44"/>
      <c r="B2455" s="44"/>
      <c r="C2455" s="44"/>
      <c r="D2455" s="44"/>
      <c r="E2455" s="51"/>
      <c r="F2455" s="44" t="s">
        <v>1098</v>
      </c>
      <c r="G2455" s="46"/>
      <c r="H2455" s="53"/>
      <c r="I2455" s="53"/>
      <c r="J2455" s="44"/>
      <c r="K2455" s="48"/>
    </row>
    <row r="2456" ht="22.5" customHeight="1">
      <c r="A2456" s="44"/>
      <c r="B2456" s="44"/>
      <c r="C2456" s="44"/>
      <c r="D2456" s="44"/>
      <c r="E2456" s="51"/>
      <c r="F2456" s="44" t="s">
        <v>1098</v>
      </c>
      <c r="G2456" s="46"/>
      <c r="H2456" s="53"/>
      <c r="I2456" s="53"/>
      <c r="J2456" s="44"/>
      <c r="K2456" s="48"/>
    </row>
    <row r="2457" ht="22.5" customHeight="1">
      <c r="A2457" s="44"/>
      <c r="B2457" s="44"/>
      <c r="C2457" s="44"/>
      <c r="D2457" s="44"/>
      <c r="E2457" s="51"/>
      <c r="F2457" s="44" t="s">
        <v>1098</v>
      </c>
      <c r="G2457" s="46"/>
      <c r="H2457" s="53"/>
      <c r="I2457" s="53"/>
      <c r="J2457" s="44"/>
      <c r="K2457" s="48"/>
    </row>
    <row r="2458" ht="22.5" customHeight="1">
      <c r="A2458" s="44"/>
      <c r="B2458" s="44"/>
      <c r="C2458" s="44"/>
      <c r="D2458" s="44"/>
      <c r="E2458" s="51"/>
      <c r="F2458" s="44" t="s">
        <v>1098</v>
      </c>
      <c r="G2458" s="46"/>
      <c r="H2458" s="53"/>
      <c r="I2458" s="53"/>
      <c r="J2458" s="44"/>
      <c r="K2458" s="48"/>
    </row>
    <row r="2459" ht="22.5" customHeight="1">
      <c r="A2459" s="44"/>
      <c r="B2459" s="44"/>
      <c r="C2459" s="44"/>
      <c r="D2459" s="44"/>
      <c r="E2459" s="51"/>
      <c r="F2459" s="44" t="s">
        <v>1098</v>
      </c>
      <c r="G2459" s="46"/>
      <c r="H2459" s="53"/>
      <c r="I2459" s="53"/>
      <c r="J2459" s="44"/>
      <c r="K2459" s="48"/>
    </row>
    <row r="2460" ht="22.5" customHeight="1">
      <c r="A2460" s="44"/>
      <c r="B2460" s="44"/>
      <c r="C2460" s="44"/>
      <c r="D2460" s="44"/>
      <c r="E2460" s="51"/>
      <c r="F2460" s="44" t="s">
        <v>1098</v>
      </c>
      <c r="G2460" s="46"/>
      <c r="H2460" s="53"/>
      <c r="I2460" s="53"/>
      <c r="J2460" s="44"/>
      <c r="K2460" s="48"/>
    </row>
    <row r="2461" ht="22.5" customHeight="1">
      <c r="A2461" s="44"/>
      <c r="B2461" s="44"/>
      <c r="C2461" s="44"/>
      <c r="D2461" s="44"/>
      <c r="E2461" s="51"/>
      <c r="F2461" s="44" t="s">
        <v>1098</v>
      </c>
      <c r="G2461" s="46"/>
      <c r="H2461" s="53"/>
      <c r="I2461" s="53"/>
      <c r="J2461" s="44"/>
      <c r="K2461" s="48"/>
    </row>
    <row r="2462" ht="22.5" customHeight="1">
      <c r="A2462" s="44"/>
      <c r="B2462" s="44"/>
      <c r="C2462" s="44"/>
      <c r="D2462" s="44"/>
      <c r="E2462" s="51"/>
      <c r="F2462" s="44" t="s">
        <v>1098</v>
      </c>
      <c r="G2462" s="46"/>
      <c r="H2462" s="53"/>
      <c r="I2462" s="53"/>
      <c r="J2462" s="44"/>
      <c r="K2462" s="48"/>
    </row>
    <row r="2463" ht="22.5" customHeight="1">
      <c r="A2463" s="44"/>
      <c r="B2463" s="44"/>
      <c r="C2463" s="44"/>
      <c r="D2463" s="44"/>
      <c r="E2463" s="51"/>
      <c r="F2463" s="44" t="s">
        <v>1098</v>
      </c>
      <c r="G2463" s="46"/>
      <c r="H2463" s="53"/>
      <c r="I2463" s="53"/>
      <c r="J2463" s="44"/>
      <c r="K2463" s="48"/>
    </row>
    <row r="2464" ht="22.5" customHeight="1">
      <c r="A2464" s="44"/>
      <c r="B2464" s="44"/>
      <c r="C2464" s="44"/>
      <c r="D2464" s="44"/>
      <c r="E2464" s="51"/>
      <c r="F2464" s="44" t="s">
        <v>1098</v>
      </c>
      <c r="G2464" s="46"/>
      <c r="H2464" s="53"/>
      <c r="I2464" s="53"/>
      <c r="J2464" s="44"/>
      <c r="K2464" s="48"/>
    </row>
    <row r="2465" ht="22.5" customHeight="1">
      <c r="A2465" s="44"/>
      <c r="B2465" s="44"/>
      <c r="C2465" s="44"/>
      <c r="D2465" s="44"/>
      <c r="E2465" s="51"/>
      <c r="F2465" s="44" t="s">
        <v>1098</v>
      </c>
      <c r="G2465" s="46"/>
      <c r="H2465" s="53"/>
      <c r="I2465" s="53"/>
      <c r="J2465" s="44"/>
      <c r="K2465" s="48"/>
    </row>
    <row r="2466" ht="22.5" customHeight="1">
      <c r="A2466" s="44"/>
      <c r="B2466" s="44"/>
      <c r="C2466" s="44"/>
      <c r="D2466" s="44"/>
      <c r="E2466" s="51"/>
      <c r="F2466" s="44" t="s">
        <v>1098</v>
      </c>
      <c r="G2466" s="46"/>
      <c r="H2466" s="53"/>
      <c r="I2466" s="53"/>
      <c r="J2466" s="44"/>
      <c r="K2466" s="48"/>
    </row>
    <row r="2467" ht="22.5" customHeight="1">
      <c r="A2467" s="44"/>
      <c r="B2467" s="44"/>
      <c r="C2467" s="44"/>
      <c r="D2467" s="44"/>
      <c r="E2467" s="51"/>
      <c r="F2467" s="44" t="s">
        <v>1098</v>
      </c>
      <c r="G2467" s="46"/>
      <c r="H2467" s="53"/>
      <c r="I2467" s="53"/>
      <c r="J2467" s="44"/>
      <c r="K2467" s="48"/>
    </row>
    <row r="2468" ht="22.5" customHeight="1">
      <c r="A2468" s="44"/>
      <c r="B2468" s="44"/>
      <c r="C2468" s="44"/>
      <c r="D2468" s="44"/>
      <c r="E2468" s="51"/>
      <c r="F2468" s="44" t="s">
        <v>1098</v>
      </c>
      <c r="G2468" s="46"/>
      <c r="H2468" s="53"/>
      <c r="I2468" s="53"/>
      <c r="J2468" s="44"/>
      <c r="K2468" s="48"/>
    </row>
    <row r="2469" ht="22.5" customHeight="1">
      <c r="A2469" s="44"/>
      <c r="B2469" s="44"/>
      <c r="C2469" s="44"/>
      <c r="D2469" s="44"/>
      <c r="E2469" s="51"/>
      <c r="F2469" s="44" t="s">
        <v>1098</v>
      </c>
      <c r="G2469" s="46"/>
      <c r="H2469" s="53"/>
      <c r="I2469" s="53"/>
      <c r="J2469" s="44"/>
      <c r="K2469" s="48"/>
    </row>
    <row r="2470" ht="22.5" customHeight="1">
      <c r="A2470" s="44"/>
      <c r="B2470" s="44"/>
      <c r="C2470" s="44"/>
      <c r="D2470" s="44"/>
      <c r="E2470" s="51"/>
      <c r="F2470" s="44" t="s">
        <v>1098</v>
      </c>
      <c r="G2470" s="46"/>
      <c r="H2470" s="53"/>
      <c r="I2470" s="53"/>
      <c r="J2470" s="44"/>
      <c r="K2470" s="48"/>
    </row>
    <row r="2471" ht="22.5" customHeight="1">
      <c r="A2471" s="44"/>
      <c r="B2471" s="44"/>
      <c r="C2471" s="44"/>
      <c r="D2471" s="44"/>
      <c r="E2471" s="51"/>
      <c r="F2471" s="44" t="s">
        <v>1098</v>
      </c>
      <c r="G2471" s="46"/>
      <c r="H2471" s="53"/>
      <c r="I2471" s="53"/>
      <c r="J2471" s="44"/>
      <c r="K2471" s="48"/>
    </row>
    <row r="2472" ht="22.5" customHeight="1">
      <c r="A2472" s="44"/>
      <c r="B2472" s="44"/>
      <c r="C2472" s="44"/>
      <c r="D2472" s="44"/>
      <c r="E2472" s="51"/>
      <c r="F2472" s="44" t="s">
        <v>1098</v>
      </c>
      <c r="G2472" s="46"/>
      <c r="H2472" s="53"/>
      <c r="I2472" s="53"/>
      <c r="J2472" s="44"/>
      <c r="K2472" s="48"/>
    </row>
    <row r="2473" ht="22.5" customHeight="1">
      <c r="A2473" s="44"/>
      <c r="B2473" s="44"/>
      <c r="C2473" s="44"/>
      <c r="D2473" s="44"/>
      <c r="E2473" s="51"/>
      <c r="F2473" s="44" t="s">
        <v>1098</v>
      </c>
      <c r="G2473" s="46"/>
      <c r="H2473" s="53"/>
      <c r="I2473" s="53"/>
      <c r="J2473" s="44"/>
      <c r="K2473" s="48"/>
    </row>
    <row r="2474" ht="22.5" customHeight="1">
      <c r="A2474" s="44"/>
      <c r="B2474" s="44"/>
      <c r="C2474" s="44"/>
      <c r="D2474" s="44"/>
      <c r="E2474" s="51"/>
      <c r="F2474" s="44" t="s">
        <v>1098</v>
      </c>
      <c r="G2474" s="46"/>
      <c r="H2474" s="53"/>
      <c r="I2474" s="53"/>
      <c r="J2474" s="44"/>
      <c r="K2474" s="48"/>
    </row>
    <row r="2475" ht="22.5" customHeight="1">
      <c r="A2475" s="44"/>
      <c r="B2475" s="44"/>
      <c r="C2475" s="44"/>
      <c r="D2475" s="44"/>
      <c r="E2475" s="51"/>
      <c r="F2475" s="44" t="s">
        <v>1098</v>
      </c>
      <c r="G2475" s="46"/>
      <c r="H2475" s="53"/>
      <c r="I2475" s="53"/>
      <c r="J2475" s="44"/>
      <c r="K2475" s="48"/>
    </row>
    <row r="2476" ht="22.5" customHeight="1">
      <c r="A2476" s="44"/>
      <c r="B2476" s="44"/>
      <c r="C2476" s="44"/>
      <c r="D2476" s="44"/>
      <c r="E2476" s="51"/>
      <c r="F2476" s="44" t="s">
        <v>1098</v>
      </c>
      <c r="G2476" s="46"/>
      <c r="H2476" s="53"/>
      <c r="I2476" s="53"/>
      <c r="J2476" s="44"/>
      <c r="K2476" s="48"/>
    </row>
    <row r="2477" ht="22.5" customHeight="1">
      <c r="A2477" s="44"/>
      <c r="B2477" s="44"/>
      <c r="C2477" s="44"/>
      <c r="D2477" s="44"/>
      <c r="E2477" s="51"/>
      <c r="F2477" s="44" t="s">
        <v>1098</v>
      </c>
      <c r="G2477" s="46"/>
      <c r="H2477" s="53"/>
      <c r="I2477" s="53"/>
      <c r="J2477" s="44"/>
      <c r="K2477" s="48"/>
    </row>
    <row r="2478" ht="22.5" customHeight="1">
      <c r="A2478" s="44"/>
      <c r="B2478" s="44"/>
      <c r="C2478" s="44"/>
      <c r="D2478" s="44"/>
      <c r="E2478" s="51"/>
      <c r="F2478" s="44" t="s">
        <v>1098</v>
      </c>
      <c r="G2478" s="46"/>
      <c r="H2478" s="53"/>
      <c r="I2478" s="53"/>
      <c r="J2478" s="44"/>
      <c r="K2478" s="48"/>
    </row>
    <row r="2479" ht="22.5" customHeight="1">
      <c r="A2479" s="44"/>
      <c r="B2479" s="44"/>
      <c r="C2479" s="44"/>
      <c r="D2479" s="44"/>
      <c r="E2479" s="51"/>
      <c r="F2479" s="44" t="s">
        <v>1098</v>
      </c>
      <c r="G2479" s="46"/>
      <c r="H2479" s="53"/>
      <c r="I2479" s="53"/>
      <c r="J2479" s="44"/>
      <c r="K2479" s="48"/>
    </row>
    <row r="2480" ht="22.5" customHeight="1">
      <c r="A2480" s="44"/>
      <c r="B2480" s="44"/>
      <c r="C2480" s="44"/>
      <c r="D2480" s="44"/>
      <c r="E2480" s="51"/>
      <c r="F2480" s="44" t="s">
        <v>1098</v>
      </c>
      <c r="G2480" s="46"/>
      <c r="H2480" s="53"/>
      <c r="I2480" s="53"/>
      <c r="J2480" s="44"/>
      <c r="K2480" s="48"/>
    </row>
    <row r="2481" ht="22.5" customHeight="1">
      <c r="A2481" s="44"/>
      <c r="B2481" s="44"/>
      <c r="C2481" s="44"/>
      <c r="D2481" s="44"/>
      <c r="E2481" s="51"/>
      <c r="F2481" s="44" t="s">
        <v>1098</v>
      </c>
      <c r="G2481" s="46"/>
      <c r="H2481" s="53"/>
      <c r="I2481" s="53"/>
      <c r="J2481" s="44"/>
      <c r="K2481" s="48"/>
    </row>
    <row r="2482" ht="22.5" customHeight="1">
      <c r="A2482" s="44"/>
      <c r="B2482" s="44"/>
      <c r="C2482" s="44"/>
      <c r="D2482" s="44"/>
      <c r="E2482" s="51"/>
      <c r="F2482" s="44" t="s">
        <v>1098</v>
      </c>
      <c r="G2482" s="46"/>
      <c r="H2482" s="53"/>
      <c r="I2482" s="53"/>
      <c r="J2482" s="44"/>
      <c r="K2482" s="48"/>
    </row>
    <row r="2483" ht="22.5" customHeight="1">
      <c r="A2483" s="44"/>
      <c r="B2483" s="44"/>
      <c r="C2483" s="44"/>
      <c r="D2483" s="44"/>
      <c r="E2483" s="51"/>
      <c r="F2483" s="44" t="s">
        <v>1098</v>
      </c>
      <c r="G2483" s="46"/>
      <c r="H2483" s="53"/>
      <c r="I2483" s="53"/>
      <c r="J2483" s="44"/>
      <c r="K2483" s="48"/>
    </row>
    <row r="2484" ht="22.5" customHeight="1">
      <c r="A2484" s="44"/>
      <c r="B2484" s="44"/>
      <c r="C2484" s="44"/>
      <c r="D2484" s="44"/>
      <c r="E2484" s="51"/>
      <c r="F2484" s="44" t="s">
        <v>1098</v>
      </c>
      <c r="G2484" s="46"/>
      <c r="H2484" s="53"/>
      <c r="I2484" s="53"/>
      <c r="J2484" s="44"/>
      <c r="K2484" s="48"/>
    </row>
    <row r="2485" ht="22.5" customHeight="1">
      <c r="A2485" s="44"/>
      <c r="B2485" s="44"/>
      <c r="C2485" s="44"/>
      <c r="D2485" s="44"/>
      <c r="E2485" s="51"/>
      <c r="F2485" s="44" t="s">
        <v>1098</v>
      </c>
      <c r="G2485" s="46"/>
      <c r="H2485" s="53"/>
      <c r="I2485" s="53"/>
      <c r="J2485" s="44"/>
      <c r="K2485" s="48"/>
    </row>
    <row r="2486" ht="22.5" customHeight="1">
      <c r="A2486" s="44"/>
      <c r="B2486" s="44"/>
      <c r="C2486" s="44"/>
      <c r="D2486" s="44"/>
      <c r="E2486" s="51"/>
      <c r="F2486" s="44" t="s">
        <v>1098</v>
      </c>
      <c r="G2486" s="46"/>
      <c r="H2486" s="53"/>
      <c r="I2486" s="53"/>
      <c r="J2486" s="44"/>
      <c r="K2486" s="48"/>
    </row>
    <row r="2487" ht="22.5" customHeight="1">
      <c r="A2487" s="44"/>
      <c r="B2487" s="44"/>
      <c r="C2487" s="44"/>
      <c r="D2487" s="44"/>
      <c r="E2487" s="51"/>
      <c r="F2487" s="44" t="s">
        <v>1098</v>
      </c>
      <c r="G2487" s="46"/>
      <c r="H2487" s="53"/>
      <c r="I2487" s="53"/>
      <c r="J2487" s="44"/>
      <c r="K2487" s="48"/>
    </row>
    <row r="2488" ht="22.5" customHeight="1">
      <c r="A2488" s="44"/>
      <c r="B2488" s="44"/>
      <c r="C2488" s="44"/>
      <c r="D2488" s="44"/>
      <c r="E2488" s="51"/>
      <c r="F2488" s="44" t="s">
        <v>1098</v>
      </c>
      <c r="G2488" s="46"/>
      <c r="H2488" s="53"/>
      <c r="I2488" s="53"/>
      <c r="J2488" s="44"/>
      <c r="K2488" s="48"/>
    </row>
    <row r="2489" ht="22.5" customHeight="1">
      <c r="A2489" s="44"/>
      <c r="B2489" s="44"/>
      <c r="C2489" s="44"/>
      <c r="D2489" s="44"/>
      <c r="E2489" s="51"/>
      <c r="F2489" s="44" t="s">
        <v>1098</v>
      </c>
      <c r="G2489" s="46"/>
      <c r="H2489" s="53"/>
      <c r="I2489" s="53"/>
      <c r="J2489" s="44"/>
      <c r="K2489" s="48"/>
    </row>
    <row r="2490" ht="22.5" customHeight="1">
      <c r="A2490" s="44"/>
      <c r="B2490" s="44"/>
      <c r="C2490" s="44"/>
      <c r="D2490" s="44"/>
      <c r="E2490" s="51"/>
      <c r="F2490" s="44" t="s">
        <v>1098</v>
      </c>
      <c r="G2490" s="46"/>
      <c r="H2490" s="53"/>
      <c r="I2490" s="53"/>
      <c r="J2490" s="44"/>
      <c r="K2490" s="48"/>
    </row>
    <row r="2491" ht="22.5" customHeight="1">
      <c r="A2491" s="44"/>
      <c r="B2491" s="44"/>
      <c r="C2491" s="44"/>
      <c r="D2491" s="44"/>
      <c r="E2491" s="51"/>
      <c r="F2491" s="44" t="s">
        <v>1098</v>
      </c>
      <c r="G2491" s="46"/>
      <c r="H2491" s="53"/>
      <c r="I2491" s="53"/>
      <c r="J2491" s="44"/>
      <c r="K2491" s="48"/>
    </row>
    <row r="2492" ht="22.5" customHeight="1">
      <c r="A2492" s="44"/>
      <c r="B2492" s="44"/>
      <c r="C2492" s="44"/>
      <c r="D2492" s="44"/>
      <c r="E2492" s="51"/>
      <c r="F2492" s="44" t="s">
        <v>1098</v>
      </c>
      <c r="G2492" s="46"/>
      <c r="H2492" s="53"/>
      <c r="I2492" s="53"/>
      <c r="J2492" s="44"/>
      <c r="K2492" s="48"/>
    </row>
    <row r="2493" ht="22.5" customHeight="1">
      <c r="A2493" s="44"/>
      <c r="B2493" s="44"/>
      <c r="C2493" s="44"/>
      <c r="D2493" s="44"/>
      <c r="E2493" s="51"/>
      <c r="F2493" s="44" t="s">
        <v>1098</v>
      </c>
      <c r="G2493" s="46"/>
      <c r="H2493" s="53"/>
      <c r="I2493" s="53"/>
      <c r="J2493" s="44"/>
      <c r="K2493" s="48"/>
    </row>
    <row r="2494" ht="22.5" customHeight="1">
      <c r="A2494" s="44"/>
      <c r="B2494" s="44"/>
      <c r="C2494" s="44"/>
      <c r="D2494" s="44"/>
      <c r="E2494" s="51"/>
      <c r="F2494" s="44" t="s">
        <v>1098</v>
      </c>
      <c r="G2494" s="46"/>
      <c r="H2494" s="53"/>
      <c r="I2494" s="53"/>
      <c r="J2494" s="44"/>
      <c r="K2494" s="48"/>
    </row>
    <row r="2495" ht="22.5" customHeight="1">
      <c r="A2495" s="44"/>
      <c r="B2495" s="44"/>
      <c r="C2495" s="44"/>
      <c r="D2495" s="44"/>
      <c r="E2495" s="51"/>
      <c r="F2495" s="44" t="s">
        <v>1098</v>
      </c>
      <c r="G2495" s="46"/>
      <c r="H2495" s="53"/>
      <c r="I2495" s="53"/>
      <c r="J2495" s="44"/>
      <c r="K2495" s="48"/>
    </row>
    <row r="2496" ht="22.5" customHeight="1">
      <c r="A2496" s="44"/>
      <c r="B2496" s="44"/>
      <c r="C2496" s="44"/>
      <c r="D2496" s="44"/>
      <c r="E2496" s="51"/>
      <c r="F2496" s="44" t="s">
        <v>1098</v>
      </c>
      <c r="G2496" s="46"/>
      <c r="H2496" s="53"/>
      <c r="I2496" s="53"/>
      <c r="J2496" s="44"/>
      <c r="K2496" s="48"/>
    </row>
    <row r="2497" ht="22.5" customHeight="1">
      <c r="A2497" s="44"/>
      <c r="B2497" s="44"/>
      <c r="C2497" s="44"/>
      <c r="D2497" s="44"/>
      <c r="E2497" s="51"/>
      <c r="F2497" s="44" t="s">
        <v>1098</v>
      </c>
      <c r="G2497" s="46"/>
      <c r="H2497" s="53"/>
      <c r="I2497" s="53"/>
      <c r="J2497" s="44"/>
      <c r="K2497" s="48"/>
    </row>
    <row r="2498" ht="22.5" customHeight="1">
      <c r="A2498" s="44"/>
      <c r="B2498" s="44"/>
      <c r="C2498" s="44"/>
      <c r="D2498" s="44"/>
      <c r="E2498" s="51"/>
      <c r="F2498" s="44" t="s">
        <v>1098</v>
      </c>
      <c r="G2498" s="46"/>
      <c r="H2498" s="53"/>
      <c r="I2498" s="53"/>
      <c r="J2498" s="44"/>
      <c r="K2498" s="48"/>
    </row>
    <row r="2499" ht="22.5" customHeight="1">
      <c r="A2499" s="44"/>
      <c r="B2499" s="44"/>
      <c r="C2499" s="44"/>
      <c r="D2499" s="44"/>
      <c r="E2499" s="51"/>
      <c r="F2499" s="44" t="s">
        <v>1098</v>
      </c>
      <c r="G2499" s="46"/>
      <c r="H2499" s="53"/>
      <c r="I2499" s="53"/>
      <c r="J2499" s="44"/>
      <c r="K2499" s="48"/>
    </row>
    <row r="2500" ht="22.5" customHeight="1">
      <c r="A2500" s="44"/>
      <c r="B2500" s="44"/>
      <c r="C2500" s="44"/>
      <c r="D2500" s="44"/>
      <c r="E2500" s="51"/>
      <c r="F2500" s="44" t="s">
        <v>1098</v>
      </c>
      <c r="G2500" s="46"/>
      <c r="H2500" s="53"/>
      <c r="I2500" s="53"/>
      <c r="J2500" s="44"/>
      <c r="K2500" s="48"/>
    </row>
    <row r="2501" ht="22.5" customHeight="1">
      <c r="A2501" s="44"/>
      <c r="B2501" s="44"/>
      <c r="C2501" s="44"/>
      <c r="D2501" s="44"/>
      <c r="E2501" s="51"/>
      <c r="F2501" s="44" t="s">
        <v>1098</v>
      </c>
      <c r="G2501" s="46"/>
      <c r="H2501" s="53"/>
      <c r="I2501" s="53"/>
      <c r="J2501" s="44"/>
      <c r="K2501" s="48"/>
    </row>
    <row r="2502" ht="22.5" customHeight="1">
      <c r="A2502" s="44"/>
      <c r="B2502" s="44"/>
      <c r="C2502" s="44"/>
      <c r="D2502" s="44"/>
      <c r="E2502" s="51"/>
      <c r="F2502" s="44" t="s">
        <v>1098</v>
      </c>
      <c r="G2502" s="46"/>
      <c r="H2502" s="53"/>
      <c r="I2502" s="53"/>
      <c r="J2502" s="44"/>
      <c r="K2502" s="48"/>
    </row>
    <row r="2503" ht="22.5" customHeight="1">
      <c r="A2503" s="44"/>
      <c r="B2503" s="44"/>
      <c r="C2503" s="44"/>
      <c r="D2503" s="44"/>
      <c r="E2503" s="51"/>
      <c r="F2503" s="44" t="s">
        <v>1098</v>
      </c>
      <c r="G2503" s="46"/>
      <c r="H2503" s="53"/>
      <c r="I2503" s="53"/>
      <c r="J2503" s="44"/>
      <c r="K2503" s="48"/>
    </row>
    <row r="2504" ht="22.5" customHeight="1">
      <c r="A2504" s="44"/>
      <c r="B2504" s="44"/>
      <c r="C2504" s="44"/>
      <c r="D2504" s="44"/>
      <c r="E2504" s="51"/>
      <c r="F2504" s="44" t="s">
        <v>1098</v>
      </c>
      <c r="G2504" s="46"/>
      <c r="H2504" s="53"/>
      <c r="I2504" s="53"/>
      <c r="J2504" s="44"/>
      <c r="K2504" s="48"/>
    </row>
    <row r="2505" ht="22.5" customHeight="1">
      <c r="A2505" s="44"/>
      <c r="B2505" s="44"/>
      <c r="C2505" s="44"/>
      <c r="D2505" s="44"/>
      <c r="E2505" s="51"/>
      <c r="F2505" s="44" t="s">
        <v>1098</v>
      </c>
      <c r="G2505" s="46"/>
      <c r="H2505" s="53"/>
      <c r="I2505" s="53"/>
      <c r="J2505" s="44"/>
      <c r="K2505" s="48"/>
    </row>
    <row r="2506" ht="22.5" customHeight="1">
      <c r="A2506" s="44"/>
      <c r="B2506" s="44"/>
      <c r="C2506" s="44"/>
      <c r="D2506" s="44"/>
      <c r="E2506" s="51"/>
      <c r="F2506" s="44" t="s">
        <v>1098</v>
      </c>
      <c r="G2506" s="46"/>
      <c r="H2506" s="53"/>
      <c r="I2506" s="53"/>
      <c r="J2506" s="44"/>
      <c r="K2506" s="48"/>
    </row>
    <row r="2507" ht="22.5" customHeight="1">
      <c r="A2507" s="44"/>
      <c r="B2507" s="44"/>
      <c r="C2507" s="44"/>
      <c r="D2507" s="44"/>
      <c r="E2507" s="51"/>
      <c r="F2507" s="44" t="s">
        <v>1098</v>
      </c>
      <c r="G2507" s="46"/>
      <c r="H2507" s="53"/>
      <c r="I2507" s="53"/>
      <c r="J2507" s="44"/>
      <c r="K2507" s="48"/>
    </row>
    <row r="2508" ht="22.5" customHeight="1">
      <c r="A2508" s="44"/>
      <c r="B2508" s="44"/>
      <c r="C2508" s="44"/>
      <c r="D2508" s="44"/>
      <c r="E2508" s="51"/>
      <c r="F2508" s="44" t="s">
        <v>1098</v>
      </c>
      <c r="G2508" s="46"/>
      <c r="H2508" s="53"/>
      <c r="I2508" s="53"/>
      <c r="J2508" s="44"/>
      <c r="K2508" s="48"/>
    </row>
    <row r="2509" ht="22.5" customHeight="1">
      <c r="A2509" s="44"/>
      <c r="B2509" s="44"/>
      <c r="C2509" s="44"/>
      <c r="D2509" s="44"/>
      <c r="E2509" s="51"/>
      <c r="F2509" s="44" t="s">
        <v>1098</v>
      </c>
      <c r="G2509" s="46"/>
      <c r="H2509" s="53"/>
      <c r="I2509" s="53"/>
      <c r="J2509" s="44"/>
      <c r="K2509" s="48"/>
    </row>
    <row r="2510" ht="22.5" customHeight="1">
      <c r="A2510" s="44"/>
      <c r="B2510" s="44"/>
      <c r="C2510" s="44"/>
      <c r="D2510" s="44"/>
      <c r="E2510" s="51"/>
      <c r="F2510" s="44" t="s">
        <v>1098</v>
      </c>
      <c r="G2510" s="46"/>
      <c r="H2510" s="53"/>
      <c r="I2510" s="53"/>
      <c r="J2510" s="44"/>
      <c r="K2510" s="48"/>
    </row>
    <row r="2511" ht="22.5" customHeight="1">
      <c r="A2511" s="44"/>
      <c r="B2511" s="44"/>
      <c r="C2511" s="44"/>
      <c r="D2511" s="44"/>
      <c r="E2511" s="51"/>
      <c r="F2511" s="44" t="s">
        <v>1098</v>
      </c>
      <c r="G2511" s="46"/>
      <c r="H2511" s="53"/>
      <c r="I2511" s="53"/>
      <c r="J2511" s="44"/>
      <c r="K2511" s="48"/>
    </row>
    <row r="2512" ht="22.5" customHeight="1">
      <c r="A2512" s="44"/>
      <c r="B2512" s="44"/>
      <c r="C2512" s="44"/>
      <c r="D2512" s="44"/>
      <c r="E2512" s="51"/>
      <c r="F2512" s="44" t="s">
        <v>1098</v>
      </c>
      <c r="G2512" s="46"/>
      <c r="H2512" s="53"/>
      <c r="I2512" s="53"/>
      <c r="J2512" s="44"/>
      <c r="K2512" s="48"/>
    </row>
    <row r="2513" ht="22.5" customHeight="1">
      <c r="A2513" s="44"/>
      <c r="B2513" s="44"/>
      <c r="C2513" s="44"/>
      <c r="D2513" s="44"/>
      <c r="E2513" s="51"/>
      <c r="F2513" s="44" t="s">
        <v>1098</v>
      </c>
      <c r="G2513" s="46"/>
      <c r="H2513" s="53"/>
      <c r="I2513" s="53"/>
      <c r="J2513" s="44"/>
      <c r="K2513" s="48"/>
    </row>
    <row r="2514" ht="22.5" customHeight="1">
      <c r="A2514" s="44"/>
      <c r="B2514" s="44"/>
      <c r="C2514" s="44"/>
      <c r="D2514" s="44"/>
      <c r="E2514" s="51"/>
      <c r="F2514" s="44" t="s">
        <v>1098</v>
      </c>
      <c r="G2514" s="46"/>
      <c r="H2514" s="53"/>
      <c r="I2514" s="53"/>
      <c r="J2514" s="44"/>
      <c r="K2514" s="48"/>
    </row>
    <row r="2515" ht="22.5" customHeight="1">
      <c r="A2515" s="44"/>
      <c r="B2515" s="44"/>
      <c r="C2515" s="44"/>
      <c r="D2515" s="44"/>
      <c r="E2515" s="51"/>
      <c r="F2515" s="44" t="s">
        <v>1098</v>
      </c>
      <c r="G2515" s="46"/>
      <c r="H2515" s="53"/>
      <c r="I2515" s="53"/>
      <c r="J2515" s="44"/>
      <c r="K2515" s="48"/>
    </row>
    <row r="2516" ht="22.5" customHeight="1">
      <c r="A2516" s="44"/>
      <c r="B2516" s="44"/>
      <c r="C2516" s="44"/>
      <c r="D2516" s="44"/>
      <c r="E2516" s="51"/>
      <c r="F2516" s="44" t="s">
        <v>1098</v>
      </c>
      <c r="G2516" s="46"/>
      <c r="H2516" s="53"/>
      <c r="I2516" s="53"/>
      <c r="J2516" s="44"/>
      <c r="K2516" s="48"/>
    </row>
    <row r="2517" ht="22.5" customHeight="1">
      <c r="A2517" s="44"/>
      <c r="B2517" s="44"/>
      <c r="C2517" s="44"/>
      <c r="D2517" s="44"/>
      <c r="E2517" s="51"/>
      <c r="F2517" s="44" t="s">
        <v>1098</v>
      </c>
      <c r="G2517" s="46"/>
      <c r="H2517" s="53"/>
      <c r="I2517" s="53"/>
      <c r="J2517" s="44"/>
      <c r="K2517" s="48"/>
    </row>
    <row r="2518" ht="22.5" customHeight="1">
      <c r="A2518" s="44"/>
      <c r="B2518" s="44"/>
      <c r="C2518" s="44"/>
      <c r="D2518" s="44"/>
      <c r="E2518" s="51"/>
      <c r="F2518" s="44" t="s">
        <v>1098</v>
      </c>
      <c r="G2518" s="46"/>
      <c r="H2518" s="53"/>
      <c r="I2518" s="53"/>
      <c r="J2518" s="44"/>
      <c r="K2518" s="48"/>
    </row>
    <row r="2519" ht="22.5" customHeight="1">
      <c r="A2519" s="44"/>
      <c r="B2519" s="44"/>
      <c r="C2519" s="44"/>
      <c r="D2519" s="44"/>
      <c r="E2519" s="51"/>
      <c r="F2519" s="44" t="s">
        <v>1098</v>
      </c>
      <c r="G2519" s="46"/>
      <c r="H2519" s="53"/>
      <c r="I2519" s="53"/>
      <c r="J2519" s="44"/>
      <c r="K2519" s="48"/>
    </row>
    <row r="2520" ht="22.5" customHeight="1">
      <c r="A2520" s="44"/>
      <c r="B2520" s="44"/>
      <c r="C2520" s="44"/>
      <c r="D2520" s="44"/>
      <c r="E2520" s="51"/>
      <c r="F2520" s="44" t="s">
        <v>1098</v>
      </c>
      <c r="G2520" s="46"/>
      <c r="H2520" s="53"/>
      <c r="I2520" s="53"/>
      <c r="J2520" s="44"/>
      <c r="K2520" s="48"/>
    </row>
    <row r="2521" ht="22.5" customHeight="1">
      <c r="A2521" s="44"/>
      <c r="B2521" s="44"/>
      <c r="C2521" s="44"/>
      <c r="D2521" s="44"/>
      <c r="E2521" s="51"/>
      <c r="F2521" s="44" t="s">
        <v>1098</v>
      </c>
      <c r="G2521" s="46"/>
      <c r="H2521" s="53"/>
      <c r="I2521" s="53"/>
      <c r="J2521" s="44"/>
      <c r="K2521" s="48"/>
    </row>
    <row r="2522" ht="22.5" customHeight="1">
      <c r="A2522" s="44"/>
      <c r="B2522" s="44"/>
      <c r="C2522" s="44"/>
      <c r="D2522" s="44"/>
      <c r="E2522" s="51"/>
      <c r="F2522" s="44" t="s">
        <v>1098</v>
      </c>
      <c r="G2522" s="46"/>
      <c r="H2522" s="53"/>
      <c r="I2522" s="53"/>
      <c r="J2522" s="44"/>
      <c r="K2522" s="48"/>
    </row>
    <row r="2523" ht="22.5" customHeight="1">
      <c r="A2523" s="44"/>
      <c r="B2523" s="44"/>
      <c r="C2523" s="44"/>
      <c r="D2523" s="44"/>
      <c r="E2523" s="51"/>
      <c r="F2523" s="44" t="s">
        <v>1098</v>
      </c>
      <c r="G2523" s="46"/>
      <c r="H2523" s="53"/>
      <c r="I2523" s="53"/>
      <c r="J2523" s="44"/>
      <c r="K2523" s="48"/>
    </row>
    <row r="2524" ht="22.5" customHeight="1">
      <c r="A2524" s="44"/>
      <c r="B2524" s="44"/>
      <c r="C2524" s="44"/>
      <c r="D2524" s="44"/>
      <c r="E2524" s="51"/>
      <c r="F2524" s="44" t="s">
        <v>1098</v>
      </c>
      <c r="G2524" s="46"/>
      <c r="H2524" s="53"/>
      <c r="I2524" s="53"/>
      <c r="J2524" s="44"/>
      <c r="K2524" s="48"/>
    </row>
    <row r="2525" ht="22.5" customHeight="1">
      <c r="A2525" s="44"/>
      <c r="B2525" s="44"/>
      <c r="C2525" s="44"/>
      <c r="D2525" s="44"/>
      <c r="E2525" s="51"/>
      <c r="F2525" s="44" t="s">
        <v>1098</v>
      </c>
      <c r="G2525" s="46"/>
      <c r="H2525" s="53"/>
      <c r="I2525" s="53"/>
      <c r="J2525" s="44"/>
      <c r="K2525" s="48"/>
    </row>
    <row r="2526" ht="22.5" customHeight="1">
      <c r="A2526" s="44"/>
      <c r="B2526" s="44"/>
      <c r="C2526" s="44"/>
      <c r="D2526" s="44"/>
      <c r="E2526" s="51"/>
      <c r="F2526" s="44" t="s">
        <v>1098</v>
      </c>
      <c r="G2526" s="46"/>
      <c r="H2526" s="53"/>
      <c r="I2526" s="53"/>
      <c r="J2526" s="44"/>
      <c r="K2526" s="48"/>
    </row>
    <row r="2527" ht="22.5" customHeight="1">
      <c r="A2527" s="44"/>
      <c r="B2527" s="44"/>
      <c r="C2527" s="44"/>
      <c r="D2527" s="44"/>
      <c r="E2527" s="51"/>
      <c r="F2527" s="44" t="s">
        <v>1098</v>
      </c>
      <c r="G2527" s="46"/>
      <c r="H2527" s="53"/>
      <c r="I2527" s="53"/>
      <c r="J2527" s="44"/>
      <c r="K2527" s="48"/>
    </row>
    <row r="2528" ht="22.5" customHeight="1">
      <c r="A2528" s="44"/>
      <c r="B2528" s="44"/>
      <c r="C2528" s="44"/>
      <c r="D2528" s="44"/>
      <c r="E2528" s="51"/>
      <c r="F2528" s="44" t="s">
        <v>1098</v>
      </c>
      <c r="G2528" s="46"/>
      <c r="H2528" s="53"/>
      <c r="I2528" s="53"/>
      <c r="J2528" s="44"/>
      <c r="K2528" s="48"/>
    </row>
    <row r="2529" ht="22.5" customHeight="1">
      <c r="A2529" s="44"/>
      <c r="B2529" s="44"/>
      <c r="C2529" s="44"/>
      <c r="D2529" s="44"/>
      <c r="E2529" s="51"/>
      <c r="F2529" s="44" t="s">
        <v>1098</v>
      </c>
      <c r="G2529" s="46"/>
      <c r="H2529" s="53"/>
      <c r="I2529" s="53"/>
      <c r="J2529" s="44"/>
      <c r="K2529" s="48"/>
    </row>
    <row r="2530" ht="22.5" customHeight="1">
      <c r="A2530" s="44"/>
      <c r="B2530" s="44"/>
      <c r="C2530" s="44"/>
      <c r="D2530" s="44"/>
      <c r="E2530" s="51"/>
      <c r="F2530" s="44" t="s">
        <v>1098</v>
      </c>
      <c r="G2530" s="46"/>
      <c r="H2530" s="53"/>
      <c r="I2530" s="53"/>
      <c r="J2530" s="44"/>
      <c r="K2530" s="48"/>
    </row>
    <row r="2531" ht="22.5" customHeight="1">
      <c r="A2531" s="44"/>
      <c r="B2531" s="44"/>
      <c r="C2531" s="44"/>
      <c r="D2531" s="44"/>
      <c r="E2531" s="51"/>
      <c r="F2531" s="44" t="s">
        <v>1098</v>
      </c>
      <c r="G2531" s="46"/>
      <c r="H2531" s="53"/>
      <c r="I2531" s="53"/>
      <c r="J2531" s="44"/>
      <c r="K2531" s="48"/>
    </row>
    <row r="2532" ht="22.5" customHeight="1">
      <c r="A2532" s="44"/>
      <c r="B2532" s="44"/>
      <c r="C2532" s="44"/>
      <c r="D2532" s="44"/>
      <c r="E2532" s="51"/>
      <c r="F2532" s="44" t="s">
        <v>1098</v>
      </c>
      <c r="G2532" s="46"/>
      <c r="H2532" s="53"/>
      <c r="I2532" s="53"/>
      <c r="J2532" s="44"/>
      <c r="K2532" s="48"/>
    </row>
    <row r="2533" ht="22.5" customHeight="1">
      <c r="A2533" s="44"/>
      <c r="B2533" s="44"/>
      <c r="C2533" s="44"/>
      <c r="D2533" s="44"/>
      <c r="E2533" s="51"/>
      <c r="F2533" s="44" t="s">
        <v>1098</v>
      </c>
      <c r="G2533" s="46"/>
      <c r="H2533" s="53"/>
      <c r="I2533" s="53"/>
      <c r="J2533" s="44"/>
      <c r="K2533" s="48"/>
    </row>
    <row r="2534" ht="22.5" customHeight="1">
      <c r="A2534" s="44"/>
      <c r="B2534" s="44"/>
      <c r="C2534" s="44"/>
      <c r="D2534" s="44"/>
      <c r="E2534" s="51"/>
      <c r="F2534" s="44" t="s">
        <v>1098</v>
      </c>
      <c r="G2534" s="46"/>
      <c r="H2534" s="53"/>
      <c r="I2534" s="53"/>
      <c r="J2534" s="44"/>
      <c r="K2534" s="48"/>
    </row>
    <row r="2535" ht="22.5" customHeight="1">
      <c r="A2535" s="44"/>
      <c r="B2535" s="44"/>
      <c r="C2535" s="44"/>
      <c r="D2535" s="44"/>
      <c r="E2535" s="51"/>
      <c r="F2535" s="44" t="s">
        <v>1098</v>
      </c>
      <c r="G2535" s="46"/>
      <c r="H2535" s="53"/>
      <c r="I2535" s="53"/>
      <c r="J2535" s="44"/>
      <c r="K2535" s="48"/>
    </row>
    <row r="2536" ht="22.5" customHeight="1">
      <c r="A2536" s="44"/>
      <c r="B2536" s="44"/>
      <c r="C2536" s="44"/>
      <c r="D2536" s="44"/>
      <c r="E2536" s="51"/>
      <c r="F2536" s="44" t="s">
        <v>1098</v>
      </c>
      <c r="G2536" s="46"/>
      <c r="H2536" s="53"/>
      <c r="I2536" s="53"/>
      <c r="J2536" s="44"/>
      <c r="K2536" s="48"/>
    </row>
    <row r="2537" ht="22.5" customHeight="1">
      <c r="A2537" s="44"/>
      <c r="B2537" s="44"/>
      <c r="C2537" s="44"/>
      <c r="D2537" s="44"/>
      <c r="E2537" s="51"/>
      <c r="F2537" s="44" t="s">
        <v>1098</v>
      </c>
      <c r="G2537" s="46"/>
      <c r="H2537" s="53"/>
      <c r="I2537" s="53"/>
      <c r="J2537" s="44"/>
      <c r="K2537" s="48"/>
    </row>
    <row r="2538" ht="22.5" customHeight="1">
      <c r="A2538" s="44"/>
      <c r="B2538" s="44"/>
      <c r="C2538" s="44"/>
      <c r="D2538" s="44"/>
      <c r="E2538" s="51"/>
      <c r="F2538" s="44" t="s">
        <v>1098</v>
      </c>
      <c r="G2538" s="46"/>
      <c r="H2538" s="53"/>
      <c r="I2538" s="53"/>
      <c r="J2538" s="44"/>
      <c r="K2538" s="48"/>
    </row>
    <row r="2539" ht="22.5" customHeight="1">
      <c r="A2539" s="44"/>
      <c r="B2539" s="44"/>
      <c r="C2539" s="44"/>
      <c r="D2539" s="44"/>
      <c r="E2539" s="51"/>
      <c r="F2539" s="44" t="s">
        <v>1098</v>
      </c>
      <c r="G2539" s="46"/>
      <c r="H2539" s="53"/>
      <c r="I2539" s="53"/>
      <c r="J2539" s="44"/>
      <c r="K2539" s="48"/>
    </row>
    <row r="2540" ht="22.5" customHeight="1">
      <c r="A2540" s="44"/>
      <c r="B2540" s="44"/>
      <c r="C2540" s="44"/>
      <c r="D2540" s="44"/>
      <c r="E2540" s="51"/>
      <c r="F2540" s="44" t="s">
        <v>1098</v>
      </c>
      <c r="G2540" s="46"/>
      <c r="H2540" s="53"/>
      <c r="I2540" s="53"/>
      <c r="J2540" s="44"/>
      <c r="K2540" s="48"/>
    </row>
    <row r="2541" ht="22.5" customHeight="1">
      <c r="A2541" s="44"/>
      <c r="B2541" s="44"/>
      <c r="C2541" s="44"/>
      <c r="D2541" s="44"/>
      <c r="E2541" s="51"/>
      <c r="F2541" s="44" t="s">
        <v>1098</v>
      </c>
      <c r="G2541" s="46"/>
      <c r="H2541" s="53"/>
      <c r="I2541" s="53"/>
      <c r="J2541" s="44"/>
      <c r="K2541" s="48"/>
    </row>
    <row r="2542" ht="22.5" customHeight="1">
      <c r="A2542" s="44"/>
      <c r="B2542" s="44"/>
      <c r="C2542" s="44"/>
      <c r="D2542" s="44"/>
      <c r="E2542" s="51"/>
      <c r="F2542" s="44" t="s">
        <v>1098</v>
      </c>
      <c r="G2542" s="46"/>
      <c r="H2542" s="53"/>
      <c r="I2542" s="53"/>
      <c r="J2542" s="44"/>
      <c r="K2542" s="48"/>
    </row>
    <row r="2543" ht="22.5" customHeight="1">
      <c r="A2543" s="44"/>
      <c r="B2543" s="44"/>
      <c r="C2543" s="44"/>
      <c r="D2543" s="44"/>
      <c r="E2543" s="51"/>
      <c r="F2543" s="44" t="s">
        <v>1098</v>
      </c>
      <c r="G2543" s="46"/>
      <c r="H2543" s="53"/>
      <c r="I2543" s="53"/>
      <c r="J2543" s="44"/>
      <c r="K2543" s="48"/>
    </row>
    <row r="2544" ht="22.5" customHeight="1">
      <c r="A2544" s="44"/>
      <c r="B2544" s="44"/>
      <c r="C2544" s="44"/>
      <c r="D2544" s="44"/>
      <c r="E2544" s="51"/>
      <c r="F2544" s="44" t="s">
        <v>1098</v>
      </c>
      <c r="G2544" s="46"/>
      <c r="H2544" s="53"/>
      <c r="I2544" s="53"/>
      <c r="J2544" s="44"/>
      <c r="K2544" s="48"/>
    </row>
    <row r="2545" ht="22.5" customHeight="1">
      <c r="A2545" s="44"/>
      <c r="B2545" s="44"/>
      <c r="C2545" s="44"/>
      <c r="D2545" s="44"/>
      <c r="E2545" s="51"/>
      <c r="F2545" s="44" t="s">
        <v>1098</v>
      </c>
      <c r="G2545" s="46"/>
      <c r="H2545" s="53"/>
      <c r="I2545" s="53"/>
      <c r="J2545" s="44"/>
      <c r="K2545" s="48"/>
    </row>
    <row r="2546" ht="22.5" customHeight="1">
      <c r="A2546" s="44"/>
      <c r="B2546" s="44"/>
      <c r="C2546" s="44"/>
      <c r="D2546" s="44"/>
      <c r="E2546" s="51"/>
      <c r="F2546" s="44" t="s">
        <v>1098</v>
      </c>
      <c r="G2546" s="46"/>
      <c r="H2546" s="53"/>
      <c r="I2546" s="53"/>
      <c r="J2546" s="44"/>
      <c r="K2546" s="48"/>
    </row>
    <row r="2547" ht="22.5" customHeight="1">
      <c r="A2547" s="44"/>
      <c r="B2547" s="44"/>
      <c r="C2547" s="44"/>
      <c r="D2547" s="44"/>
      <c r="E2547" s="51"/>
      <c r="F2547" s="44" t="s">
        <v>1098</v>
      </c>
      <c r="G2547" s="46"/>
      <c r="H2547" s="53"/>
      <c r="I2547" s="53"/>
      <c r="J2547" s="44"/>
      <c r="K2547" s="48"/>
    </row>
    <row r="2548" ht="22.5" customHeight="1">
      <c r="A2548" s="44"/>
      <c r="B2548" s="44"/>
      <c r="C2548" s="44"/>
      <c r="D2548" s="44"/>
      <c r="E2548" s="51"/>
      <c r="F2548" s="44" t="s">
        <v>1098</v>
      </c>
      <c r="G2548" s="46"/>
      <c r="H2548" s="53"/>
      <c r="I2548" s="53"/>
      <c r="J2548" s="44"/>
      <c r="K2548" s="48"/>
    </row>
    <row r="2549" ht="22.5" customHeight="1">
      <c r="A2549" s="44"/>
      <c r="B2549" s="44"/>
      <c r="C2549" s="44"/>
      <c r="D2549" s="44"/>
      <c r="E2549" s="51"/>
      <c r="F2549" s="44" t="s">
        <v>1098</v>
      </c>
      <c r="G2549" s="46"/>
      <c r="H2549" s="53"/>
      <c r="I2549" s="53"/>
      <c r="J2549" s="44"/>
      <c r="K2549" s="48"/>
    </row>
    <row r="2550" ht="22.5" customHeight="1">
      <c r="A2550" s="44"/>
      <c r="B2550" s="44"/>
      <c r="C2550" s="44"/>
      <c r="D2550" s="44"/>
      <c r="E2550" s="51"/>
      <c r="F2550" s="44" t="s">
        <v>1098</v>
      </c>
      <c r="G2550" s="46"/>
      <c r="H2550" s="53"/>
      <c r="I2550" s="53"/>
      <c r="J2550" s="44"/>
      <c r="K2550" s="48"/>
    </row>
    <row r="2551" ht="22.5" customHeight="1">
      <c r="A2551" s="44"/>
      <c r="B2551" s="44"/>
      <c r="C2551" s="44"/>
      <c r="D2551" s="44"/>
      <c r="E2551" s="51"/>
      <c r="F2551" s="44" t="s">
        <v>1098</v>
      </c>
      <c r="G2551" s="46"/>
      <c r="H2551" s="53"/>
      <c r="I2551" s="53"/>
      <c r="J2551" s="44"/>
      <c r="K2551" s="48"/>
    </row>
    <row r="2552" ht="22.5" customHeight="1">
      <c r="A2552" s="44"/>
      <c r="B2552" s="44"/>
      <c r="C2552" s="44"/>
      <c r="D2552" s="44"/>
      <c r="E2552" s="51"/>
      <c r="F2552" s="44" t="s">
        <v>1098</v>
      </c>
      <c r="G2552" s="46"/>
      <c r="H2552" s="53"/>
      <c r="I2552" s="53"/>
      <c r="J2552" s="44"/>
      <c r="K2552" s="48"/>
    </row>
    <row r="2553" ht="22.5" customHeight="1">
      <c r="A2553" s="44"/>
      <c r="B2553" s="44"/>
      <c r="C2553" s="44"/>
      <c r="D2553" s="44"/>
      <c r="E2553" s="51"/>
      <c r="F2553" s="44" t="s">
        <v>1098</v>
      </c>
      <c r="G2553" s="46"/>
      <c r="H2553" s="53"/>
      <c r="I2553" s="53"/>
      <c r="J2553" s="44"/>
      <c r="K2553" s="48"/>
    </row>
    <row r="2554" ht="22.5" customHeight="1">
      <c r="A2554" s="44"/>
      <c r="B2554" s="44"/>
      <c r="C2554" s="44"/>
      <c r="D2554" s="44"/>
      <c r="E2554" s="51"/>
      <c r="F2554" s="44" t="s">
        <v>1098</v>
      </c>
      <c r="G2554" s="46"/>
      <c r="H2554" s="53"/>
      <c r="I2554" s="53"/>
      <c r="J2554" s="44"/>
      <c r="K2554" s="48"/>
    </row>
    <row r="2555" ht="22.5" customHeight="1">
      <c r="A2555" s="44"/>
      <c r="B2555" s="44"/>
      <c r="C2555" s="44"/>
      <c r="D2555" s="44"/>
      <c r="E2555" s="51"/>
      <c r="F2555" s="44" t="s">
        <v>1098</v>
      </c>
      <c r="G2555" s="46"/>
      <c r="H2555" s="53"/>
      <c r="I2555" s="53"/>
      <c r="J2555" s="44"/>
      <c r="K2555" s="48"/>
    </row>
    <row r="2556" ht="22.5" customHeight="1">
      <c r="A2556" s="44"/>
      <c r="B2556" s="44"/>
      <c r="C2556" s="44"/>
      <c r="D2556" s="44"/>
      <c r="E2556" s="51"/>
      <c r="F2556" s="44" t="s">
        <v>1098</v>
      </c>
      <c r="G2556" s="46"/>
      <c r="H2556" s="53"/>
      <c r="I2556" s="53"/>
      <c r="J2556" s="44"/>
      <c r="K2556" s="48"/>
    </row>
    <row r="2557" ht="22.5" customHeight="1">
      <c r="A2557" s="44"/>
      <c r="B2557" s="44"/>
      <c r="C2557" s="44"/>
      <c r="D2557" s="44"/>
      <c r="E2557" s="51"/>
      <c r="F2557" s="44" t="s">
        <v>1098</v>
      </c>
      <c r="G2557" s="46"/>
      <c r="H2557" s="53"/>
      <c r="I2557" s="53"/>
      <c r="J2557" s="44"/>
      <c r="K2557" s="48"/>
    </row>
    <row r="2558" ht="22.5" customHeight="1">
      <c r="A2558" s="44"/>
      <c r="B2558" s="44"/>
      <c r="C2558" s="44"/>
      <c r="D2558" s="44"/>
      <c r="E2558" s="51"/>
      <c r="F2558" s="44" t="s">
        <v>1098</v>
      </c>
      <c r="G2558" s="46"/>
      <c r="H2558" s="53"/>
      <c r="I2558" s="53"/>
      <c r="J2558" s="44"/>
      <c r="K2558" s="48"/>
    </row>
    <row r="2559" ht="22.5" customHeight="1">
      <c r="A2559" s="44"/>
      <c r="B2559" s="44"/>
      <c r="C2559" s="44"/>
      <c r="D2559" s="44"/>
      <c r="E2559" s="51"/>
      <c r="F2559" s="44" t="s">
        <v>1098</v>
      </c>
      <c r="G2559" s="46"/>
      <c r="H2559" s="53"/>
      <c r="I2559" s="53"/>
      <c r="J2559" s="44"/>
      <c r="K2559" s="48"/>
    </row>
    <row r="2560" ht="22.5" customHeight="1">
      <c r="A2560" s="44"/>
      <c r="B2560" s="44"/>
      <c r="C2560" s="44"/>
      <c r="D2560" s="44"/>
      <c r="E2560" s="51"/>
      <c r="F2560" s="44" t="s">
        <v>1098</v>
      </c>
      <c r="G2560" s="46"/>
      <c r="H2560" s="53"/>
      <c r="I2560" s="53"/>
      <c r="J2560" s="44"/>
      <c r="K2560" s="48"/>
    </row>
    <row r="2561" ht="22.5" customHeight="1">
      <c r="A2561" s="44"/>
      <c r="B2561" s="44"/>
      <c r="C2561" s="44"/>
      <c r="D2561" s="44"/>
      <c r="E2561" s="51"/>
      <c r="F2561" s="44" t="s">
        <v>1098</v>
      </c>
      <c r="G2561" s="46"/>
      <c r="H2561" s="53"/>
      <c r="I2561" s="53"/>
      <c r="J2561" s="44"/>
      <c r="K2561" s="48"/>
    </row>
    <row r="2562" ht="22.5" customHeight="1">
      <c r="A2562" s="44"/>
      <c r="B2562" s="44"/>
      <c r="C2562" s="44"/>
      <c r="D2562" s="44"/>
      <c r="E2562" s="51"/>
      <c r="F2562" s="44" t="s">
        <v>1098</v>
      </c>
      <c r="G2562" s="46"/>
      <c r="H2562" s="53"/>
      <c r="I2562" s="53"/>
      <c r="J2562" s="44"/>
      <c r="K2562" s="48"/>
    </row>
    <row r="2563" ht="22.5" customHeight="1">
      <c r="A2563" s="44"/>
      <c r="B2563" s="44"/>
      <c r="C2563" s="44"/>
      <c r="D2563" s="44"/>
      <c r="E2563" s="51"/>
      <c r="F2563" s="44" t="s">
        <v>1098</v>
      </c>
      <c r="G2563" s="46"/>
      <c r="H2563" s="53"/>
      <c r="I2563" s="53"/>
      <c r="J2563" s="44"/>
      <c r="K2563" s="48"/>
    </row>
    <row r="2564" ht="22.5" customHeight="1">
      <c r="A2564" s="44"/>
      <c r="B2564" s="44"/>
      <c r="C2564" s="44"/>
      <c r="D2564" s="44"/>
      <c r="E2564" s="51"/>
      <c r="F2564" s="44" t="s">
        <v>1098</v>
      </c>
      <c r="G2564" s="46"/>
      <c r="H2564" s="53"/>
      <c r="I2564" s="53"/>
      <c r="J2564" s="44"/>
      <c r="K2564" s="48"/>
    </row>
    <row r="2565" ht="22.5" customHeight="1">
      <c r="A2565" s="44"/>
      <c r="B2565" s="44"/>
      <c r="C2565" s="44"/>
      <c r="D2565" s="44"/>
      <c r="E2565" s="51"/>
      <c r="F2565" s="44" t="s">
        <v>1098</v>
      </c>
      <c r="G2565" s="46"/>
      <c r="H2565" s="53"/>
      <c r="I2565" s="53"/>
      <c r="J2565" s="44"/>
      <c r="K2565" s="48"/>
    </row>
    <row r="2566" ht="22.5" customHeight="1">
      <c r="A2566" s="44"/>
      <c r="B2566" s="44"/>
      <c r="C2566" s="44"/>
      <c r="D2566" s="44"/>
      <c r="E2566" s="51"/>
      <c r="F2566" s="44" t="s">
        <v>1098</v>
      </c>
      <c r="G2566" s="46"/>
      <c r="H2566" s="53"/>
      <c r="I2566" s="53"/>
      <c r="J2566" s="44"/>
      <c r="K2566" s="48"/>
    </row>
    <row r="2567" ht="22.5" customHeight="1">
      <c r="A2567" s="44"/>
      <c r="B2567" s="44"/>
      <c r="C2567" s="44"/>
      <c r="D2567" s="44"/>
      <c r="E2567" s="51"/>
      <c r="F2567" s="44" t="s">
        <v>1098</v>
      </c>
      <c r="G2567" s="46"/>
      <c r="H2567" s="53"/>
      <c r="I2567" s="53"/>
      <c r="J2567" s="44"/>
      <c r="K2567" s="48"/>
    </row>
    <row r="2568" ht="22.5" customHeight="1">
      <c r="A2568" s="44"/>
      <c r="B2568" s="44"/>
      <c r="C2568" s="44"/>
      <c r="D2568" s="44"/>
      <c r="E2568" s="51"/>
      <c r="F2568" s="44" t="s">
        <v>1098</v>
      </c>
      <c r="G2568" s="46"/>
      <c r="H2568" s="53"/>
      <c r="I2568" s="53"/>
      <c r="J2568" s="44"/>
      <c r="K2568" s="48"/>
    </row>
    <row r="2569" ht="22.5" customHeight="1">
      <c r="A2569" s="44"/>
      <c r="B2569" s="44"/>
      <c r="C2569" s="44"/>
      <c r="D2569" s="44"/>
      <c r="E2569" s="51"/>
      <c r="F2569" s="44" t="s">
        <v>1098</v>
      </c>
      <c r="G2569" s="46"/>
      <c r="H2569" s="53"/>
      <c r="I2569" s="53"/>
      <c r="J2569" s="44"/>
      <c r="K2569" s="48"/>
    </row>
    <row r="2570" ht="22.5" customHeight="1">
      <c r="A2570" s="44"/>
      <c r="B2570" s="44"/>
      <c r="C2570" s="44"/>
      <c r="D2570" s="44"/>
      <c r="E2570" s="51"/>
      <c r="F2570" s="44" t="s">
        <v>1098</v>
      </c>
      <c r="G2570" s="46"/>
      <c r="H2570" s="53"/>
      <c r="I2570" s="53"/>
      <c r="J2570" s="44"/>
      <c r="K2570" s="48"/>
    </row>
    <row r="2571" ht="22.5" customHeight="1">
      <c r="A2571" s="44"/>
      <c r="B2571" s="44"/>
      <c r="C2571" s="44"/>
      <c r="D2571" s="44"/>
      <c r="E2571" s="51"/>
      <c r="F2571" s="44" t="s">
        <v>1098</v>
      </c>
      <c r="G2571" s="46"/>
      <c r="H2571" s="53"/>
      <c r="I2571" s="53"/>
      <c r="J2571" s="44"/>
      <c r="K2571" s="48"/>
    </row>
    <row r="2572" ht="22.5" customHeight="1">
      <c r="A2572" s="44"/>
      <c r="B2572" s="44"/>
      <c r="C2572" s="44"/>
      <c r="D2572" s="44"/>
      <c r="E2572" s="51"/>
      <c r="F2572" s="44" t="s">
        <v>1098</v>
      </c>
      <c r="G2572" s="46"/>
      <c r="H2572" s="53"/>
      <c r="I2572" s="53"/>
      <c r="J2572" s="44"/>
      <c r="K2572" s="48"/>
    </row>
    <row r="2573" ht="22.5" customHeight="1">
      <c r="A2573" s="44"/>
      <c r="B2573" s="44"/>
      <c r="C2573" s="44"/>
      <c r="D2573" s="44"/>
      <c r="E2573" s="51"/>
      <c r="F2573" s="44" t="s">
        <v>1098</v>
      </c>
      <c r="G2573" s="46"/>
      <c r="H2573" s="53"/>
      <c r="I2573" s="53"/>
      <c r="J2573" s="44"/>
      <c r="K2573" s="48"/>
    </row>
    <row r="2574" ht="22.5" customHeight="1">
      <c r="A2574" s="44"/>
      <c r="B2574" s="44"/>
      <c r="C2574" s="44"/>
      <c r="D2574" s="44"/>
      <c r="E2574" s="51"/>
      <c r="F2574" s="44" t="s">
        <v>1098</v>
      </c>
      <c r="G2574" s="46"/>
      <c r="H2574" s="53"/>
      <c r="I2574" s="53"/>
      <c r="J2574" s="44"/>
      <c r="K2574" s="48"/>
    </row>
    <row r="2575" ht="22.5" customHeight="1">
      <c r="A2575" s="44"/>
      <c r="B2575" s="44"/>
      <c r="C2575" s="44"/>
      <c r="D2575" s="44"/>
      <c r="E2575" s="51"/>
      <c r="F2575" s="44" t="s">
        <v>1098</v>
      </c>
      <c r="G2575" s="46"/>
      <c r="H2575" s="53"/>
      <c r="I2575" s="53"/>
      <c r="J2575" s="44"/>
      <c r="K2575" s="48"/>
    </row>
    <row r="2576" ht="22.5" customHeight="1">
      <c r="A2576" s="44"/>
      <c r="B2576" s="44"/>
      <c r="C2576" s="44"/>
      <c r="D2576" s="44"/>
      <c r="E2576" s="51"/>
      <c r="F2576" s="44" t="s">
        <v>1098</v>
      </c>
      <c r="G2576" s="46"/>
      <c r="H2576" s="53"/>
      <c r="I2576" s="53"/>
      <c r="J2576" s="44"/>
      <c r="K2576" s="48"/>
    </row>
    <row r="2577" ht="22.5" customHeight="1">
      <c r="A2577" s="44"/>
      <c r="B2577" s="44"/>
      <c r="C2577" s="44"/>
      <c r="D2577" s="44"/>
      <c r="E2577" s="51"/>
      <c r="F2577" s="44" t="s">
        <v>1098</v>
      </c>
      <c r="G2577" s="46"/>
      <c r="H2577" s="53"/>
      <c r="I2577" s="53"/>
      <c r="J2577" s="44"/>
      <c r="K2577" s="48"/>
    </row>
    <row r="2578" ht="22.5" customHeight="1">
      <c r="A2578" s="44"/>
      <c r="B2578" s="44"/>
      <c r="C2578" s="44"/>
      <c r="D2578" s="44"/>
      <c r="E2578" s="51"/>
      <c r="F2578" s="44" t="s">
        <v>1098</v>
      </c>
      <c r="G2578" s="46"/>
      <c r="H2578" s="53"/>
      <c r="I2578" s="53"/>
      <c r="J2578" s="44"/>
      <c r="K2578" s="48"/>
    </row>
    <row r="2579" ht="22.5" customHeight="1">
      <c r="A2579" s="44"/>
      <c r="B2579" s="44"/>
      <c r="C2579" s="44"/>
      <c r="D2579" s="44"/>
      <c r="E2579" s="51"/>
      <c r="F2579" s="44" t="s">
        <v>1098</v>
      </c>
      <c r="G2579" s="46"/>
      <c r="H2579" s="53"/>
      <c r="I2579" s="53"/>
      <c r="J2579" s="44"/>
      <c r="K2579" s="48"/>
    </row>
    <row r="2580" ht="22.5" customHeight="1">
      <c r="A2580" s="44"/>
      <c r="B2580" s="44"/>
      <c r="C2580" s="44"/>
      <c r="D2580" s="44"/>
      <c r="E2580" s="51"/>
      <c r="F2580" s="44" t="s">
        <v>1098</v>
      </c>
      <c r="G2580" s="46"/>
      <c r="H2580" s="53"/>
      <c r="I2580" s="53"/>
      <c r="J2580" s="44"/>
      <c r="K2580" s="48"/>
    </row>
    <row r="2581" ht="22.5" customHeight="1">
      <c r="A2581" s="44"/>
      <c r="B2581" s="44"/>
      <c r="C2581" s="44"/>
      <c r="D2581" s="44"/>
      <c r="E2581" s="51"/>
      <c r="F2581" s="44" t="s">
        <v>1098</v>
      </c>
      <c r="G2581" s="46"/>
      <c r="H2581" s="53"/>
      <c r="I2581" s="53"/>
      <c r="J2581" s="44"/>
      <c r="K2581" s="48"/>
    </row>
    <row r="2582" ht="22.5" customHeight="1">
      <c r="A2582" s="44"/>
      <c r="B2582" s="44"/>
      <c r="C2582" s="44"/>
      <c r="D2582" s="44"/>
      <c r="E2582" s="51"/>
      <c r="F2582" s="44" t="s">
        <v>1098</v>
      </c>
      <c r="G2582" s="46"/>
      <c r="H2582" s="53"/>
      <c r="I2582" s="53"/>
      <c r="J2582" s="44"/>
      <c r="K2582" s="48"/>
    </row>
    <row r="2583" ht="22.5" customHeight="1">
      <c r="A2583" s="44"/>
      <c r="B2583" s="44"/>
      <c r="C2583" s="44"/>
      <c r="D2583" s="44"/>
      <c r="E2583" s="51"/>
      <c r="F2583" s="44" t="s">
        <v>1098</v>
      </c>
      <c r="G2583" s="46"/>
      <c r="H2583" s="53"/>
      <c r="I2583" s="53"/>
      <c r="J2583" s="44"/>
      <c r="K2583" s="48"/>
    </row>
    <row r="2584" ht="22.5" customHeight="1">
      <c r="A2584" s="44"/>
      <c r="B2584" s="44"/>
      <c r="C2584" s="44"/>
      <c r="D2584" s="44"/>
      <c r="E2584" s="51"/>
      <c r="F2584" s="44" t="s">
        <v>1098</v>
      </c>
      <c r="G2584" s="46"/>
      <c r="H2584" s="53"/>
      <c r="I2584" s="53"/>
      <c r="J2584" s="44"/>
      <c r="K2584" s="48"/>
    </row>
    <row r="2585" ht="22.5" customHeight="1">
      <c r="A2585" s="44"/>
      <c r="B2585" s="44"/>
      <c r="C2585" s="44"/>
      <c r="D2585" s="44"/>
      <c r="E2585" s="51"/>
      <c r="F2585" s="44" t="s">
        <v>1098</v>
      </c>
      <c r="G2585" s="46"/>
      <c r="H2585" s="53"/>
      <c r="I2585" s="53"/>
      <c r="J2585" s="44"/>
      <c r="K2585" s="48"/>
    </row>
    <row r="2586" ht="22.5" customHeight="1">
      <c r="A2586" s="44"/>
      <c r="B2586" s="44"/>
      <c r="C2586" s="44"/>
      <c r="D2586" s="44"/>
      <c r="E2586" s="51"/>
      <c r="F2586" s="44" t="s">
        <v>1098</v>
      </c>
      <c r="G2586" s="46"/>
      <c r="H2586" s="53"/>
      <c r="I2586" s="53"/>
      <c r="J2586" s="44"/>
      <c r="K2586" s="48"/>
    </row>
    <row r="2587" ht="22.5" customHeight="1">
      <c r="A2587" s="44"/>
      <c r="B2587" s="44"/>
      <c r="C2587" s="44"/>
      <c r="D2587" s="44"/>
      <c r="E2587" s="51"/>
      <c r="F2587" s="44" t="s">
        <v>1098</v>
      </c>
      <c r="G2587" s="46"/>
      <c r="H2587" s="53"/>
      <c r="I2587" s="53"/>
      <c r="J2587" s="44"/>
      <c r="K2587" s="48"/>
    </row>
    <row r="2588" ht="22.5" customHeight="1">
      <c r="A2588" s="44"/>
      <c r="B2588" s="44"/>
      <c r="C2588" s="44"/>
      <c r="D2588" s="44"/>
      <c r="E2588" s="51"/>
      <c r="F2588" s="44" t="s">
        <v>1098</v>
      </c>
      <c r="G2588" s="46"/>
      <c r="H2588" s="53"/>
      <c r="I2588" s="53"/>
      <c r="J2588" s="44"/>
      <c r="K2588" s="48"/>
    </row>
    <row r="2589" ht="22.5" customHeight="1">
      <c r="A2589" s="44"/>
      <c r="B2589" s="44"/>
      <c r="C2589" s="44"/>
      <c r="D2589" s="44"/>
      <c r="E2589" s="51"/>
      <c r="F2589" s="44" t="s">
        <v>1098</v>
      </c>
      <c r="G2589" s="46"/>
      <c r="H2589" s="53"/>
      <c r="I2589" s="53"/>
      <c r="J2589" s="44"/>
      <c r="K2589" s="48"/>
    </row>
    <row r="2590" ht="22.5" customHeight="1">
      <c r="A2590" s="44"/>
      <c r="B2590" s="44"/>
      <c r="C2590" s="44"/>
      <c r="D2590" s="44"/>
      <c r="E2590" s="51"/>
      <c r="F2590" s="44" t="s">
        <v>1098</v>
      </c>
      <c r="G2590" s="46"/>
      <c r="H2590" s="53"/>
      <c r="I2590" s="53"/>
      <c r="J2590" s="44"/>
      <c r="K2590" s="48"/>
    </row>
    <row r="2591" ht="22.5" customHeight="1">
      <c r="A2591" s="44"/>
      <c r="B2591" s="44"/>
      <c r="C2591" s="44"/>
      <c r="D2591" s="44"/>
      <c r="E2591" s="51"/>
      <c r="F2591" s="44" t="s">
        <v>1098</v>
      </c>
      <c r="G2591" s="46"/>
      <c r="H2591" s="53"/>
      <c r="I2591" s="53"/>
      <c r="J2591" s="44"/>
      <c r="K2591" s="48"/>
    </row>
    <row r="2592" ht="22.5" customHeight="1">
      <c r="A2592" s="44"/>
      <c r="B2592" s="44"/>
      <c r="C2592" s="44"/>
      <c r="D2592" s="44"/>
      <c r="E2592" s="51"/>
      <c r="F2592" s="44" t="s">
        <v>1098</v>
      </c>
      <c r="G2592" s="46"/>
      <c r="H2592" s="53"/>
      <c r="I2592" s="53"/>
      <c r="J2592" s="44"/>
      <c r="K2592" s="48"/>
    </row>
    <row r="2593" ht="22.5" customHeight="1">
      <c r="A2593" s="44"/>
      <c r="B2593" s="44"/>
      <c r="C2593" s="44"/>
      <c r="D2593" s="44"/>
      <c r="E2593" s="51"/>
      <c r="F2593" s="44" t="s">
        <v>1098</v>
      </c>
      <c r="G2593" s="46"/>
      <c r="H2593" s="53"/>
      <c r="I2593" s="53"/>
      <c r="J2593" s="44"/>
      <c r="K2593" s="48"/>
    </row>
    <row r="2594" ht="22.5" customHeight="1">
      <c r="A2594" s="44"/>
      <c r="B2594" s="44"/>
      <c r="C2594" s="44"/>
      <c r="D2594" s="44"/>
      <c r="E2594" s="51"/>
      <c r="F2594" s="44" t="s">
        <v>1098</v>
      </c>
      <c r="G2594" s="46"/>
      <c r="H2594" s="53"/>
      <c r="I2594" s="53"/>
      <c r="J2594" s="44"/>
      <c r="K2594" s="48"/>
    </row>
    <row r="2595" ht="22.5" customHeight="1">
      <c r="A2595" s="44"/>
      <c r="B2595" s="44"/>
      <c r="C2595" s="44"/>
      <c r="D2595" s="44"/>
      <c r="E2595" s="51"/>
      <c r="F2595" s="44" t="s">
        <v>1098</v>
      </c>
      <c r="G2595" s="46"/>
      <c r="H2595" s="53"/>
      <c r="I2595" s="53"/>
      <c r="J2595" s="44"/>
      <c r="K2595" s="48"/>
    </row>
    <row r="2596" ht="22.5" customHeight="1">
      <c r="A2596" s="44"/>
      <c r="B2596" s="44"/>
      <c r="C2596" s="44"/>
      <c r="D2596" s="44"/>
      <c r="E2596" s="51"/>
      <c r="F2596" s="44" t="s">
        <v>1098</v>
      </c>
      <c r="G2596" s="46"/>
      <c r="H2596" s="53"/>
      <c r="I2596" s="53"/>
      <c r="J2596" s="44"/>
      <c r="K2596" s="48"/>
    </row>
    <row r="2597" ht="22.5" customHeight="1">
      <c r="A2597" s="44"/>
      <c r="B2597" s="44"/>
      <c r="C2597" s="44"/>
      <c r="D2597" s="44"/>
      <c r="E2597" s="51"/>
      <c r="F2597" s="44" t="s">
        <v>1098</v>
      </c>
      <c r="G2597" s="46"/>
      <c r="H2597" s="53"/>
      <c r="I2597" s="53"/>
      <c r="J2597" s="44"/>
      <c r="K2597" s="48"/>
    </row>
    <row r="2598" ht="22.5" customHeight="1">
      <c r="A2598" s="44"/>
      <c r="B2598" s="44"/>
      <c r="C2598" s="44"/>
      <c r="D2598" s="44"/>
      <c r="E2598" s="51"/>
      <c r="F2598" s="44" t="s">
        <v>1098</v>
      </c>
      <c r="G2598" s="46"/>
      <c r="H2598" s="53"/>
      <c r="I2598" s="53"/>
      <c r="J2598" s="44"/>
      <c r="K2598" s="48"/>
    </row>
    <row r="2599" ht="22.5" customHeight="1">
      <c r="A2599" s="44"/>
      <c r="B2599" s="44"/>
      <c r="C2599" s="44"/>
      <c r="D2599" s="44"/>
      <c r="E2599" s="51"/>
      <c r="F2599" s="44" t="s">
        <v>1098</v>
      </c>
      <c r="G2599" s="46"/>
      <c r="H2599" s="53"/>
      <c r="I2599" s="53"/>
      <c r="J2599" s="44"/>
      <c r="K2599" s="48"/>
    </row>
    <row r="2600" ht="22.5" customHeight="1">
      <c r="A2600" s="44"/>
      <c r="B2600" s="44"/>
      <c r="C2600" s="44"/>
      <c r="D2600" s="44"/>
      <c r="E2600" s="51"/>
      <c r="F2600" s="44" t="s">
        <v>1098</v>
      </c>
      <c r="G2600" s="46"/>
      <c r="H2600" s="53"/>
      <c r="I2600" s="53"/>
      <c r="J2600" s="44"/>
      <c r="K2600" s="48"/>
    </row>
    <row r="2601" ht="22.5" customHeight="1">
      <c r="A2601" s="44"/>
      <c r="B2601" s="44"/>
      <c r="C2601" s="44"/>
      <c r="D2601" s="44"/>
      <c r="E2601" s="51"/>
      <c r="F2601" s="44" t="s">
        <v>1098</v>
      </c>
      <c r="G2601" s="46"/>
      <c r="H2601" s="53"/>
      <c r="I2601" s="53"/>
      <c r="J2601" s="44"/>
      <c r="K2601" s="48"/>
    </row>
    <row r="2602" ht="22.5" customHeight="1">
      <c r="A2602" s="44"/>
      <c r="B2602" s="44"/>
      <c r="C2602" s="44"/>
      <c r="D2602" s="44"/>
      <c r="E2602" s="51"/>
      <c r="F2602" s="44" t="s">
        <v>1098</v>
      </c>
      <c r="G2602" s="46"/>
      <c r="H2602" s="53"/>
      <c r="I2602" s="53"/>
      <c r="J2602" s="44"/>
      <c r="K2602" s="48"/>
    </row>
    <row r="2603" ht="22.5" customHeight="1">
      <c r="A2603" s="44"/>
      <c r="B2603" s="44"/>
      <c r="C2603" s="44"/>
      <c r="D2603" s="44"/>
      <c r="E2603" s="51"/>
      <c r="F2603" s="44" t="s">
        <v>1098</v>
      </c>
      <c r="G2603" s="46"/>
      <c r="H2603" s="53"/>
      <c r="I2603" s="53"/>
      <c r="J2603" s="44"/>
      <c r="K2603" s="48"/>
    </row>
    <row r="2604" ht="22.5" customHeight="1">
      <c r="A2604" s="44"/>
      <c r="B2604" s="44"/>
      <c r="C2604" s="44"/>
      <c r="D2604" s="44"/>
      <c r="E2604" s="51"/>
      <c r="F2604" s="44" t="s">
        <v>1098</v>
      </c>
      <c r="G2604" s="46"/>
      <c r="H2604" s="53"/>
      <c r="I2604" s="53"/>
      <c r="J2604" s="44"/>
      <c r="K2604" s="48"/>
    </row>
    <row r="2605" ht="22.5" customHeight="1">
      <c r="A2605" s="44"/>
      <c r="B2605" s="44"/>
      <c r="C2605" s="44"/>
      <c r="D2605" s="44"/>
      <c r="E2605" s="51"/>
      <c r="F2605" s="44" t="s">
        <v>1098</v>
      </c>
      <c r="G2605" s="46"/>
      <c r="H2605" s="53"/>
      <c r="I2605" s="53"/>
      <c r="J2605" s="44"/>
      <c r="K2605" s="48"/>
    </row>
    <row r="2606" ht="22.5" customHeight="1">
      <c r="A2606" s="44"/>
      <c r="B2606" s="44"/>
      <c r="C2606" s="44"/>
      <c r="D2606" s="44"/>
      <c r="E2606" s="51"/>
      <c r="F2606" s="44" t="s">
        <v>1098</v>
      </c>
      <c r="G2606" s="46"/>
      <c r="H2606" s="53"/>
      <c r="I2606" s="53"/>
      <c r="J2606" s="44"/>
      <c r="K2606" s="48"/>
    </row>
    <row r="2607" ht="22.5" customHeight="1">
      <c r="A2607" s="44"/>
      <c r="B2607" s="44"/>
      <c r="C2607" s="44"/>
      <c r="D2607" s="44"/>
      <c r="E2607" s="51"/>
      <c r="F2607" s="44" t="s">
        <v>1098</v>
      </c>
      <c r="G2607" s="46"/>
      <c r="H2607" s="53"/>
      <c r="I2607" s="53"/>
      <c r="J2607" s="44"/>
      <c r="K2607" s="48"/>
    </row>
    <row r="2608" ht="22.5" customHeight="1">
      <c r="A2608" s="44"/>
      <c r="B2608" s="44"/>
      <c r="C2608" s="44"/>
      <c r="D2608" s="44"/>
      <c r="E2608" s="51"/>
      <c r="F2608" s="44" t="s">
        <v>1098</v>
      </c>
      <c r="G2608" s="46"/>
      <c r="H2608" s="53"/>
      <c r="I2608" s="53"/>
      <c r="J2608" s="44"/>
      <c r="K2608" s="48"/>
    </row>
    <row r="2609" ht="22.5" customHeight="1">
      <c r="A2609" s="44"/>
      <c r="B2609" s="44"/>
      <c r="C2609" s="44"/>
      <c r="D2609" s="44"/>
      <c r="E2609" s="51"/>
      <c r="F2609" s="44" t="s">
        <v>1098</v>
      </c>
      <c r="G2609" s="46"/>
      <c r="H2609" s="53"/>
      <c r="I2609" s="53"/>
      <c r="J2609" s="44"/>
      <c r="K2609" s="48"/>
    </row>
    <row r="2610" ht="22.5" customHeight="1">
      <c r="A2610" s="44"/>
      <c r="B2610" s="44"/>
      <c r="C2610" s="44"/>
      <c r="D2610" s="44"/>
      <c r="E2610" s="51"/>
      <c r="F2610" s="44" t="s">
        <v>1098</v>
      </c>
      <c r="G2610" s="46"/>
      <c r="H2610" s="53"/>
      <c r="I2610" s="53"/>
      <c r="J2610" s="44"/>
      <c r="K2610" s="48"/>
    </row>
    <row r="2611" ht="22.5" customHeight="1">
      <c r="A2611" s="44"/>
      <c r="B2611" s="44"/>
      <c r="C2611" s="44"/>
      <c r="D2611" s="44"/>
      <c r="E2611" s="51"/>
      <c r="F2611" s="44" t="s">
        <v>1098</v>
      </c>
      <c r="G2611" s="46"/>
      <c r="H2611" s="53"/>
      <c r="I2611" s="53"/>
      <c r="J2611" s="44"/>
      <c r="K2611" s="48"/>
    </row>
    <row r="2612" ht="22.5" customHeight="1">
      <c r="A2612" s="44"/>
      <c r="B2612" s="44"/>
      <c r="C2612" s="44"/>
      <c r="D2612" s="44"/>
      <c r="E2612" s="51"/>
      <c r="F2612" s="44" t="s">
        <v>1098</v>
      </c>
      <c r="G2612" s="46"/>
      <c r="H2612" s="53"/>
      <c r="I2612" s="53"/>
      <c r="J2612" s="44"/>
      <c r="K2612" s="48"/>
    </row>
    <row r="2613" ht="22.5" customHeight="1">
      <c r="A2613" s="44"/>
      <c r="B2613" s="44"/>
      <c r="C2613" s="44"/>
      <c r="D2613" s="44"/>
      <c r="E2613" s="51"/>
      <c r="F2613" s="44" t="s">
        <v>1098</v>
      </c>
      <c r="G2613" s="46"/>
      <c r="H2613" s="53"/>
      <c r="I2613" s="53"/>
      <c r="J2613" s="44"/>
      <c r="K2613" s="48"/>
    </row>
    <row r="2614" ht="22.5" customHeight="1">
      <c r="A2614" s="44"/>
      <c r="B2614" s="44"/>
      <c r="C2614" s="44"/>
      <c r="D2614" s="44"/>
      <c r="E2614" s="51"/>
      <c r="F2614" s="44" t="s">
        <v>1098</v>
      </c>
      <c r="G2614" s="46"/>
      <c r="H2614" s="53"/>
      <c r="I2614" s="53"/>
      <c r="J2614" s="44"/>
      <c r="K2614" s="48"/>
    </row>
    <row r="2615" ht="22.5" customHeight="1">
      <c r="A2615" s="44"/>
      <c r="B2615" s="44"/>
      <c r="C2615" s="44"/>
      <c r="D2615" s="44"/>
      <c r="E2615" s="51"/>
      <c r="F2615" s="44" t="s">
        <v>1098</v>
      </c>
      <c r="G2615" s="46"/>
      <c r="H2615" s="53"/>
      <c r="I2615" s="53"/>
      <c r="J2615" s="44"/>
      <c r="K2615" s="48"/>
    </row>
    <row r="2616" ht="22.5" customHeight="1">
      <c r="A2616" s="44"/>
      <c r="B2616" s="44"/>
      <c r="C2616" s="44"/>
      <c r="D2616" s="44"/>
      <c r="E2616" s="51"/>
      <c r="F2616" s="44" t="s">
        <v>1098</v>
      </c>
      <c r="G2616" s="46"/>
      <c r="H2616" s="53"/>
      <c r="I2616" s="53"/>
      <c r="J2616" s="44"/>
      <c r="K2616" s="48"/>
    </row>
    <row r="2617" ht="22.5" customHeight="1">
      <c r="A2617" s="44"/>
      <c r="B2617" s="44"/>
      <c r="C2617" s="44"/>
      <c r="D2617" s="44"/>
      <c r="E2617" s="51"/>
      <c r="F2617" s="44" t="s">
        <v>1098</v>
      </c>
      <c r="G2617" s="46"/>
      <c r="H2617" s="53"/>
      <c r="I2617" s="53"/>
      <c r="J2617" s="44"/>
      <c r="K2617" s="48"/>
    </row>
    <row r="2618" ht="22.5" customHeight="1">
      <c r="A2618" s="44"/>
      <c r="B2618" s="44"/>
      <c r="C2618" s="44"/>
      <c r="D2618" s="44"/>
      <c r="E2618" s="51"/>
      <c r="F2618" s="44" t="s">
        <v>1098</v>
      </c>
      <c r="G2618" s="46"/>
      <c r="H2618" s="53"/>
      <c r="I2618" s="53"/>
      <c r="J2618" s="44"/>
      <c r="K2618" s="48"/>
    </row>
    <row r="2619" ht="22.5" customHeight="1">
      <c r="A2619" s="44"/>
      <c r="B2619" s="44"/>
      <c r="C2619" s="44"/>
      <c r="D2619" s="44"/>
      <c r="E2619" s="51"/>
      <c r="F2619" s="44" t="s">
        <v>1098</v>
      </c>
      <c r="G2619" s="46"/>
      <c r="H2619" s="53"/>
      <c r="I2619" s="53"/>
      <c r="J2619" s="44"/>
      <c r="K2619" s="48"/>
    </row>
    <row r="2620" ht="22.5" customHeight="1">
      <c r="A2620" s="44"/>
      <c r="B2620" s="44"/>
      <c r="C2620" s="44"/>
      <c r="D2620" s="44"/>
      <c r="E2620" s="51"/>
      <c r="F2620" s="44" t="s">
        <v>1098</v>
      </c>
      <c r="G2620" s="46"/>
      <c r="H2620" s="53"/>
      <c r="I2620" s="53"/>
      <c r="J2620" s="44"/>
      <c r="K2620" s="48"/>
    </row>
    <row r="2621" ht="22.5" customHeight="1">
      <c r="A2621" s="44"/>
      <c r="B2621" s="44"/>
      <c r="C2621" s="44"/>
      <c r="D2621" s="44"/>
      <c r="E2621" s="51"/>
      <c r="F2621" s="44" t="s">
        <v>1098</v>
      </c>
      <c r="G2621" s="46"/>
      <c r="H2621" s="53"/>
      <c r="I2621" s="53"/>
      <c r="J2621" s="44"/>
      <c r="K2621" s="48"/>
    </row>
    <row r="2622" ht="22.5" customHeight="1">
      <c r="A2622" s="44"/>
      <c r="B2622" s="44"/>
      <c r="C2622" s="44"/>
      <c r="D2622" s="44"/>
      <c r="E2622" s="51"/>
      <c r="F2622" s="44" t="s">
        <v>1098</v>
      </c>
      <c r="G2622" s="46"/>
      <c r="H2622" s="53"/>
      <c r="I2622" s="53"/>
      <c r="J2622" s="44"/>
      <c r="K2622" s="48"/>
    </row>
    <row r="2623" ht="22.5" customHeight="1">
      <c r="A2623" s="44"/>
      <c r="B2623" s="44"/>
      <c r="C2623" s="44"/>
      <c r="D2623" s="44"/>
      <c r="E2623" s="51"/>
      <c r="F2623" s="44" t="s">
        <v>1098</v>
      </c>
      <c r="G2623" s="46"/>
      <c r="H2623" s="53"/>
      <c r="I2623" s="53"/>
      <c r="J2623" s="44"/>
      <c r="K2623" s="48"/>
    </row>
    <row r="2624" ht="22.5" customHeight="1">
      <c r="A2624" s="44"/>
      <c r="B2624" s="44"/>
      <c r="C2624" s="44"/>
      <c r="D2624" s="44"/>
      <c r="E2624" s="51"/>
      <c r="F2624" s="44" t="s">
        <v>1098</v>
      </c>
      <c r="G2624" s="46"/>
      <c r="H2624" s="53"/>
      <c r="I2624" s="53"/>
      <c r="J2624" s="44"/>
      <c r="K2624" s="48"/>
    </row>
    <row r="2625" ht="22.5" customHeight="1">
      <c r="A2625" s="44"/>
      <c r="B2625" s="44"/>
      <c r="C2625" s="44"/>
      <c r="D2625" s="44"/>
      <c r="E2625" s="51"/>
      <c r="F2625" s="44" t="s">
        <v>1098</v>
      </c>
      <c r="G2625" s="46"/>
      <c r="H2625" s="53"/>
      <c r="I2625" s="53"/>
      <c r="J2625" s="44"/>
      <c r="K2625" s="48"/>
    </row>
    <row r="2626" ht="22.5" customHeight="1">
      <c r="A2626" s="44"/>
      <c r="B2626" s="44"/>
      <c r="C2626" s="44"/>
      <c r="D2626" s="44"/>
      <c r="E2626" s="51"/>
      <c r="F2626" s="44" t="s">
        <v>1098</v>
      </c>
      <c r="G2626" s="46"/>
      <c r="H2626" s="53"/>
      <c r="I2626" s="53"/>
      <c r="J2626" s="44"/>
      <c r="K2626" s="48"/>
    </row>
    <row r="2627" ht="22.5" customHeight="1">
      <c r="A2627" s="44"/>
      <c r="B2627" s="44"/>
      <c r="C2627" s="44"/>
      <c r="D2627" s="44"/>
      <c r="E2627" s="51"/>
      <c r="F2627" s="44" t="s">
        <v>1098</v>
      </c>
      <c r="G2627" s="46"/>
      <c r="H2627" s="53"/>
      <c r="I2627" s="53"/>
      <c r="J2627" s="44"/>
      <c r="K2627" s="48"/>
    </row>
    <row r="2628" ht="22.5" customHeight="1">
      <c r="A2628" s="44"/>
      <c r="B2628" s="44"/>
      <c r="C2628" s="44"/>
      <c r="D2628" s="44"/>
      <c r="E2628" s="51"/>
      <c r="F2628" s="44" t="s">
        <v>1098</v>
      </c>
      <c r="G2628" s="46"/>
      <c r="H2628" s="53"/>
      <c r="I2628" s="53"/>
      <c r="J2628" s="44"/>
      <c r="K2628" s="48"/>
    </row>
    <row r="2629" ht="22.5" customHeight="1">
      <c r="A2629" s="44"/>
      <c r="B2629" s="44"/>
      <c r="C2629" s="44"/>
      <c r="D2629" s="44"/>
      <c r="E2629" s="51"/>
      <c r="F2629" s="44" t="s">
        <v>1098</v>
      </c>
      <c r="G2629" s="46"/>
      <c r="H2629" s="53"/>
      <c r="I2629" s="53"/>
      <c r="J2629" s="44"/>
      <c r="K2629" s="48"/>
    </row>
    <row r="2630" ht="22.5" customHeight="1">
      <c r="A2630" s="44"/>
      <c r="B2630" s="44"/>
      <c r="C2630" s="44"/>
      <c r="D2630" s="44"/>
      <c r="E2630" s="51"/>
      <c r="F2630" s="44" t="s">
        <v>1098</v>
      </c>
      <c r="G2630" s="46"/>
      <c r="H2630" s="53"/>
      <c r="I2630" s="53"/>
      <c r="J2630" s="44"/>
      <c r="K2630" s="48"/>
    </row>
    <row r="2631" ht="22.5" customHeight="1">
      <c r="A2631" s="44"/>
      <c r="B2631" s="44"/>
      <c r="C2631" s="44"/>
      <c r="D2631" s="44"/>
      <c r="E2631" s="51"/>
      <c r="F2631" s="44" t="s">
        <v>1098</v>
      </c>
      <c r="G2631" s="46"/>
      <c r="H2631" s="53"/>
      <c r="I2631" s="53"/>
      <c r="J2631" s="44"/>
      <c r="K2631" s="48"/>
    </row>
    <row r="2632" ht="22.5" customHeight="1">
      <c r="A2632" s="44"/>
      <c r="B2632" s="44"/>
      <c r="C2632" s="44"/>
      <c r="D2632" s="44"/>
      <c r="E2632" s="51"/>
      <c r="F2632" s="44" t="s">
        <v>1098</v>
      </c>
      <c r="G2632" s="46"/>
      <c r="H2632" s="53"/>
      <c r="I2632" s="53"/>
      <c r="J2632" s="44"/>
      <c r="K2632" s="48"/>
    </row>
    <row r="2633" ht="22.5" customHeight="1">
      <c r="A2633" s="44"/>
      <c r="B2633" s="44"/>
      <c r="C2633" s="44"/>
      <c r="D2633" s="44"/>
      <c r="E2633" s="51"/>
      <c r="F2633" s="44" t="s">
        <v>1098</v>
      </c>
      <c r="G2633" s="46"/>
      <c r="H2633" s="53"/>
      <c r="I2633" s="53"/>
      <c r="J2633" s="44"/>
      <c r="K2633" s="48"/>
    </row>
    <row r="2634" ht="22.5" customHeight="1">
      <c r="A2634" s="44"/>
      <c r="B2634" s="44"/>
      <c r="C2634" s="44"/>
      <c r="D2634" s="44"/>
      <c r="E2634" s="51"/>
      <c r="F2634" s="44" t="s">
        <v>1098</v>
      </c>
      <c r="G2634" s="46"/>
      <c r="H2634" s="53"/>
      <c r="I2634" s="53"/>
      <c r="J2634" s="44"/>
      <c r="K2634" s="48"/>
    </row>
    <row r="2635" ht="22.5" customHeight="1">
      <c r="A2635" s="44"/>
      <c r="B2635" s="44"/>
      <c r="C2635" s="44"/>
      <c r="D2635" s="44"/>
      <c r="E2635" s="51"/>
      <c r="F2635" s="44" t="s">
        <v>1098</v>
      </c>
      <c r="G2635" s="46"/>
      <c r="H2635" s="53"/>
      <c r="I2635" s="53"/>
      <c r="J2635" s="44"/>
      <c r="K2635" s="48"/>
    </row>
    <row r="2636" ht="22.5" customHeight="1">
      <c r="A2636" s="44"/>
      <c r="B2636" s="44"/>
      <c r="C2636" s="44"/>
      <c r="D2636" s="44"/>
      <c r="E2636" s="51"/>
      <c r="F2636" s="44" t="s">
        <v>1098</v>
      </c>
      <c r="G2636" s="46"/>
      <c r="H2636" s="53"/>
      <c r="I2636" s="53"/>
      <c r="J2636" s="44"/>
      <c r="K2636" s="48"/>
    </row>
    <row r="2637" ht="22.5" customHeight="1">
      <c r="A2637" s="44"/>
      <c r="B2637" s="44"/>
      <c r="C2637" s="44"/>
      <c r="D2637" s="44"/>
      <c r="E2637" s="51"/>
      <c r="F2637" s="44" t="s">
        <v>1098</v>
      </c>
      <c r="G2637" s="46"/>
      <c r="H2637" s="53"/>
      <c r="I2637" s="53"/>
      <c r="J2637" s="44"/>
      <c r="K2637" s="48"/>
    </row>
    <row r="2638" ht="22.5" customHeight="1">
      <c r="A2638" s="44"/>
      <c r="B2638" s="44"/>
      <c r="C2638" s="44"/>
      <c r="D2638" s="44"/>
      <c r="E2638" s="51"/>
      <c r="F2638" s="44" t="s">
        <v>1098</v>
      </c>
      <c r="G2638" s="46"/>
      <c r="H2638" s="53"/>
      <c r="I2638" s="53"/>
      <c r="J2638" s="44"/>
      <c r="K2638" s="48"/>
    </row>
    <row r="2639" ht="22.5" customHeight="1">
      <c r="A2639" s="44"/>
      <c r="B2639" s="44"/>
      <c r="C2639" s="44"/>
      <c r="D2639" s="44"/>
      <c r="E2639" s="51"/>
      <c r="F2639" s="44" t="s">
        <v>1098</v>
      </c>
      <c r="G2639" s="46"/>
      <c r="H2639" s="53"/>
      <c r="I2639" s="53"/>
      <c r="J2639" s="44"/>
      <c r="K2639" s="48"/>
    </row>
    <row r="2640" ht="22.5" customHeight="1">
      <c r="A2640" s="44"/>
      <c r="B2640" s="44"/>
      <c r="C2640" s="44"/>
      <c r="D2640" s="44"/>
      <c r="E2640" s="51"/>
      <c r="F2640" s="44" t="s">
        <v>1098</v>
      </c>
      <c r="G2640" s="46"/>
      <c r="H2640" s="53"/>
      <c r="I2640" s="53"/>
      <c r="J2640" s="44"/>
      <c r="K2640" s="48"/>
    </row>
    <row r="2641" ht="22.5" customHeight="1">
      <c r="A2641" s="44"/>
      <c r="B2641" s="44"/>
      <c r="C2641" s="44"/>
      <c r="D2641" s="44"/>
      <c r="E2641" s="51"/>
      <c r="F2641" s="44" t="s">
        <v>1098</v>
      </c>
      <c r="G2641" s="46"/>
      <c r="H2641" s="53"/>
      <c r="I2641" s="53"/>
      <c r="J2641" s="44"/>
      <c r="K2641" s="48"/>
    </row>
    <row r="2642" ht="22.5" customHeight="1">
      <c r="A2642" s="44"/>
      <c r="B2642" s="44"/>
      <c r="C2642" s="44"/>
      <c r="D2642" s="44"/>
      <c r="E2642" s="51"/>
      <c r="F2642" s="44" t="s">
        <v>1098</v>
      </c>
      <c r="G2642" s="46"/>
      <c r="H2642" s="53"/>
      <c r="I2642" s="53"/>
      <c r="J2642" s="44"/>
      <c r="K2642" s="48"/>
    </row>
    <row r="2643" ht="22.5" customHeight="1">
      <c r="A2643" s="44"/>
      <c r="B2643" s="44"/>
      <c r="C2643" s="44"/>
      <c r="D2643" s="44"/>
      <c r="E2643" s="51"/>
      <c r="F2643" s="44" t="s">
        <v>1098</v>
      </c>
      <c r="G2643" s="46"/>
      <c r="H2643" s="53"/>
      <c r="I2643" s="53"/>
      <c r="J2643" s="44"/>
      <c r="K2643" s="48"/>
    </row>
    <row r="2644" ht="22.5" customHeight="1">
      <c r="A2644" s="44"/>
      <c r="B2644" s="44"/>
      <c r="C2644" s="44"/>
      <c r="D2644" s="44"/>
      <c r="E2644" s="51"/>
      <c r="F2644" s="44" t="s">
        <v>1098</v>
      </c>
      <c r="G2644" s="46"/>
      <c r="H2644" s="53"/>
      <c r="I2644" s="53"/>
      <c r="J2644" s="44"/>
      <c r="K2644" s="48"/>
    </row>
    <row r="2645" ht="22.5" customHeight="1">
      <c r="A2645" s="44"/>
      <c r="B2645" s="44"/>
      <c r="C2645" s="44"/>
      <c r="D2645" s="44"/>
      <c r="E2645" s="51"/>
      <c r="F2645" s="44" t="s">
        <v>1098</v>
      </c>
      <c r="G2645" s="46"/>
      <c r="H2645" s="53"/>
      <c r="I2645" s="53"/>
      <c r="J2645" s="44"/>
      <c r="K2645" s="48"/>
    </row>
    <row r="2646" ht="22.5" customHeight="1">
      <c r="A2646" s="44"/>
      <c r="B2646" s="44"/>
      <c r="C2646" s="44"/>
      <c r="D2646" s="44"/>
      <c r="E2646" s="51"/>
      <c r="F2646" s="44" t="s">
        <v>1098</v>
      </c>
      <c r="G2646" s="46"/>
      <c r="H2646" s="53"/>
      <c r="I2646" s="53"/>
      <c r="J2646" s="44"/>
      <c r="K2646" s="48"/>
    </row>
    <row r="2647" ht="22.5" customHeight="1">
      <c r="A2647" s="44"/>
      <c r="B2647" s="44"/>
      <c r="C2647" s="44"/>
      <c r="D2647" s="44"/>
      <c r="E2647" s="51"/>
      <c r="F2647" s="44" t="s">
        <v>1098</v>
      </c>
      <c r="G2647" s="46"/>
      <c r="H2647" s="53"/>
      <c r="I2647" s="53"/>
      <c r="J2647" s="44"/>
      <c r="K2647" s="48"/>
    </row>
    <row r="2648" ht="22.5" customHeight="1">
      <c r="A2648" s="44"/>
      <c r="B2648" s="44"/>
      <c r="C2648" s="44"/>
      <c r="D2648" s="44"/>
      <c r="E2648" s="51"/>
      <c r="F2648" s="44" t="s">
        <v>1098</v>
      </c>
      <c r="G2648" s="46"/>
      <c r="H2648" s="53"/>
      <c r="I2648" s="53"/>
      <c r="J2648" s="44"/>
      <c r="K2648" s="48"/>
    </row>
    <row r="2649" ht="22.5" customHeight="1">
      <c r="A2649" s="44"/>
      <c r="B2649" s="44"/>
      <c r="C2649" s="44"/>
      <c r="D2649" s="44"/>
      <c r="E2649" s="51"/>
      <c r="F2649" s="44" t="s">
        <v>1098</v>
      </c>
      <c r="G2649" s="46"/>
      <c r="H2649" s="53"/>
      <c r="I2649" s="53"/>
      <c r="J2649" s="44"/>
      <c r="K2649" s="48"/>
    </row>
    <row r="2650" ht="22.5" customHeight="1">
      <c r="A2650" s="44"/>
      <c r="B2650" s="44"/>
      <c r="C2650" s="44"/>
      <c r="D2650" s="44"/>
      <c r="E2650" s="51"/>
      <c r="F2650" s="44" t="s">
        <v>1098</v>
      </c>
      <c r="G2650" s="46"/>
      <c r="H2650" s="53"/>
      <c r="I2650" s="53"/>
      <c r="J2650" s="44"/>
      <c r="K2650" s="48"/>
    </row>
    <row r="2651" ht="22.5" customHeight="1">
      <c r="A2651" s="44"/>
      <c r="B2651" s="44"/>
      <c r="C2651" s="44"/>
      <c r="D2651" s="44"/>
      <c r="E2651" s="51"/>
      <c r="F2651" s="44" t="s">
        <v>1098</v>
      </c>
      <c r="G2651" s="46"/>
      <c r="H2651" s="53"/>
      <c r="I2651" s="53"/>
      <c r="J2651" s="44"/>
      <c r="K2651" s="48"/>
    </row>
    <row r="2652" ht="22.5" customHeight="1">
      <c r="A2652" s="44"/>
      <c r="B2652" s="44"/>
      <c r="C2652" s="44"/>
      <c r="D2652" s="44"/>
      <c r="E2652" s="51"/>
      <c r="F2652" s="44" t="s">
        <v>1098</v>
      </c>
      <c r="G2652" s="46"/>
      <c r="H2652" s="53"/>
      <c r="I2652" s="53"/>
      <c r="J2652" s="44"/>
      <c r="K2652" s="48"/>
    </row>
    <row r="2653" ht="22.5" customHeight="1">
      <c r="A2653" s="44"/>
      <c r="B2653" s="44"/>
      <c r="C2653" s="44"/>
      <c r="D2653" s="44"/>
      <c r="E2653" s="51"/>
      <c r="F2653" s="44" t="s">
        <v>1098</v>
      </c>
      <c r="G2653" s="46"/>
      <c r="H2653" s="53"/>
      <c r="I2653" s="53"/>
      <c r="J2653" s="44"/>
      <c r="K2653" s="48"/>
    </row>
    <row r="2654" ht="22.5" customHeight="1">
      <c r="A2654" s="44"/>
      <c r="B2654" s="44"/>
      <c r="C2654" s="44"/>
      <c r="D2654" s="44"/>
      <c r="E2654" s="51"/>
      <c r="F2654" s="44" t="s">
        <v>1098</v>
      </c>
      <c r="G2654" s="46"/>
      <c r="H2654" s="53"/>
      <c r="I2654" s="53"/>
      <c r="J2654" s="44"/>
      <c r="K2654" s="48"/>
    </row>
    <row r="2655" ht="22.5" customHeight="1">
      <c r="A2655" s="44"/>
      <c r="B2655" s="44"/>
      <c r="C2655" s="44"/>
      <c r="D2655" s="44"/>
      <c r="E2655" s="51"/>
      <c r="F2655" s="44" t="s">
        <v>1098</v>
      </c>
      <c r="G2655" s="46"/>
      <c r="H2655" s="53"/>
      <c r="I2655" s="53"/>
      <c r="J2655" s="44"/>
      <c r="K2655" s="48"/>
    </row>
    <row r="2656" ht="22.5" customHeight="1">
      <c r="A2656" s="44"/>
      <c r="B2656" s="44"/>
      <c r="C2656" s="44"/>
      <c r="D2656" s="44"/>
      <c r="E2656" s="51"/>
      <c r="F2656" s="44" t="s">
        <v>1098</v>
      </c>
      <c r="G2656" s="46"/>
      <c r="H2656" s="53"/>
      <c r="I2656" s="53"/>
      <c r="J2656" s="44"/>
      <c r="K2656" s="48"/>
    </row>
    <row r="2657" ht="22.5" customHeight="1">
      <c r="A2657" s="44"/>
      <c r="B2657" s="44"/>
      <c r="C2657" s="44"/>
      <c r="D2657" s="44"/>
      <c r="E2657" s="51"/>
      <c r="F2657" s="44" t="s">
        <v>1098</v>
      </c>
      <c r="G2657" s="46"/>
      <c r="H2657" s="53"/>
      <c r="I2657" s="53"/>
      <c r="J2657" s="44"/>
      <c r="K2657" s="48"/>
    </row>
    <row r="2658" ht="22.5" customHeight="1">
      <c r="A2658" s="44"/>
      <c r="B2658" s="44"/>
      <c r="C2658" s="44"/>
      <c r="D2658" s="44"/>
      <c r="E2658" s="51"/>
      <c r="F2658" s="44" t="s">
        <v>1098</v>
      </c>
      <c r="G2658" s="46"/>
      <c r="H2658" s="53"/>
      <c r="I2658" s="53"/>
      <c r="J2658" s="44"/>
      <c r="K2658" s="48"/>
    </row>
    <row r="2659" ht="22.5" customHeight="1">
      <c r="A2659" s="44"/>
      <c r="B2659" s="44"/>
      <c r="C2659" s="44"/>
      <c r="D2659" s="44"/>
      <c r="E2659" s="51"/>
      <c r="F2659" s="44" t="s">
        <v>1098</v>
      </c>
      <c r="G2659" s="46"/>
      <c r="H2659" s="53"/>
      <c r="I2659" s="53"/>
      <c r="J2659" s="44"/>
      <c r="K2659" s="48"/>
    </row>
    <row r="2660" ht="22.5" customHeight="1">
      <c r="A2660" s="44"/>
      <c r="B2660" s="44"/>
      <c r="C2660" s="44"/>
      <c r="D2660" s="44"/>
      <c r="E2660" s="51"/>
      <c r="F2660" s="44" t="s">
        <v>1098</v>
      </c>
      <c r="G2660" s="46"/>
      <c r="H2660" s="53"/>
      <c r="I2660" s="53"/>
      <c r="J2660" s="44"/>
      <c r="K2660" s="48"/>
    </row>
    <row r="2661" ht="22.5" customHeight="1">
      <c r="A2661" s="44"/>
      <c r="B2661" s="44"/>
      <c r="C2661" s="44"/>
      <c r="D2661" s="44"/>
      <c r="E2661" s="51"/>
      <c r="F2661" s="44" t="s">
        <v>1098</v>
      </c>
      <c r="G2661" s="46"/>
      <c r="H2661" s="53"/>
      <c r="I2661" s="53"/>
      <c r="J2661" s="44"/>
      <c r="K2661" s="48"/>
    </row>
    <row r="2662" ht="22.5" customHeight="1">
      <c r="A2662" s="44"/>
      <c r="B2662" s="44"/>
      <c r="C2662" s="44"/>
      <c r="D2662" s="44"/>
      <c r="E2662" s="51"/>
      <c r="F2662" s="44" t="s">
        <v>1098</v>
      </c>
      <c r="G2662" s="46"/>
      <c r="H2662" s="53"/>
      <c r="I2662" s="53"/>
      <c r="J2662" s="44"/>
      <c r="K2662" s="48"/>
    </row>
    <row r="2663" ht="22.5" customHeight="1">
      <c r="A2663" s="44"/>
      <c r="B2663" s="44"/>
      <c r="C2663" s="44"/>
      <c r="D2663" s="44"/>
      <c r="E2663" s="51"/>
      <c r="F2663" s="44" t="s">
        <v>1098</v>
      </c>
      <c r="G2663" s="46"/>
      <c r="H2663" s="53"/>
      <c r="I2663" s="53"/>
      <c r="J2663" s="44"/>
      <c r="K2663" s="48"/>
    </row>
    <row r="2664" ht="22.5" customHeight="1">
      <c r="A2664" s="44"/>
      <c r="B2664" s="44"/>
      <c r="C2664" s="44"/>
      <c r="D2664" s="44"/>
      <c r="E2664" s="51"/>
      <c r="F2664" s="44" t="s">
        <v>1098</v>
      </c>
      <c r="G2664" s="46"/>
      <c r="H2664" s="53"/>
      <c r="I2664" s="53"/>
      <c r="J2664" s="44"/>
      <c r="K2664" s="48"/>
    </row>
    <row r="2665" ht="22.5" customHeight="1">
      <c r="A2665" s="44"/>
      <c r="B2665" s="44"/>
      <c r="C2665" s="44"/>
      <c r="D2665" s="44"/>
      <c r="E2665" s="51"/>
      <c r="F2665" s="44" t="s">
        <v>1098</v>
      </c>
      <c r="G2665" s="46"/>
      <c r="H2665" s="53"/>
      <c r="I2665" s="53"/>
      <c r="J2665" s="44"/>
      <c r="K2665" s="48"/>
    </row>
    <row r="2666" ht="22.5" customHeight="1">
      <c r="A2666" s="44"/>
      <c r="B2666" s="44"/>
      <c r="C2666" s="44"/>
      <c r="D2666" s="44"/>
      <c r="E2666" s="51"/>
      <c r="F2666" s="44" t="s">
        <v>1098</v>
      </c>
      <c r="G2666" s="46"/>
      <c r="H2666" s="53"/>
      <c r="I2666" s="53"/>
      <c r="J2666" s="44"/>
      <c r="K2666" s="48"/>
    </row>
    <row r="2667" ht="22.5" customHeight="1">
      <c r="A2667" s="44"/>
      <c r="B2667" s="44"/>
      <c r="C2667" s="44"/>
      <c r="D2667" s="44"/>
      <c r="E2667" s="51"/>
      <c r="F2667" s="44" t="s">
        <v>1098</v>
      </c>
      <c r="G2667" s="46"/>
      <c r="H2667" s="53"/>
      <c r="I2667" s="53"/>
      <c r="J2667" s="44"/>
      <c r="K2667" s="48"/>
    </row>
    <row r="2668" ht="22.5" customHeight="1">
      <c r="A2668" s="44"/>
      <c r="B2668" s="44"/>
      <c r="C2668" s="44"/>
      <c r="D2668" s="44"/>
      <c r="E2668" s="51"/>
      <c r="F2668" s="44" t="s">
        <v>1098</v>
      </c>
      <c r="G2668" s="46"/>
      <c r="H2668" s="53"/>
      <c r="I2668" s="53"/>
      <c r="J2668" s="44"/>
      <c r="K2668" s="48"/>
    </row>
    <row r="2669" ht="22.5" customHeight="1">
      <c r="A2669" s="44"/>
      <c r="B2669" s="44"/>
      <c r="C2669" s="44"/>
      <c r="D2669" s="44"/>
      <c r="E2669" s="51"/>
      <c r="F2669" s="44" t="s">
        <v>1098</v>
      </c>
      <c r="G2669" s="46"/>
      <c r="H2669" s="53"/>
      <c r="I2669" s="53"/>
      <c r="J2669" s="44"/>
      <c r="K2669" s="48"/>
    </row>
    <row r="2670" ht="22.5" customHeight="1">
      <c r="A2670" s="44"/>
      <c r="B2670" s="44"/>
      <c r="C2670" s="44"/>
      <c r="D2670" s="44"/>
      <c r="E2670" s="51"/>
      <c r="F2670" s="44" t="s">
        <v>1098</v>
      </c>
      <c r="G2670" s="46"/>
      <c r="H2670" s="53"/>
      <c r="I2670" s="53"/>
      <c r="J2670" s="44"/>
      <c r="K2670" s="48"/>
    </row>
    <row r="2671" ht="22.5" customHeight="1">
      <c r="A2671" s="44"/>
      <c r="B2671" s="44"/>
      <c r="C2671" s="44"/>
      <c r="D2671" s="44"/>
      <c r="E2671" s="51"/>
      <c r="F2671" s="44" t="s">
        <v>1098</v>
      </c>
      <c r="G2671" s="46"/>
      <c r="H2671" s="53"/>
      <c r="I2671" s="53"/>
      <c r="J2671" s="44"/>
      <c r="K2671" s="48"/>
    </row>
    <row r="2672" ht="22.5" customHeight="1">
      <c r="A2672" s="44"/>
      <c r="B2672" s="44"/>
      <c r="C2672" s="44"/>
      <c r="D2672" s="44"/>
      <c r="E2672" s="51"/>
      <c r="F2672" s="44" t="s">
        <v>1098</v>
      </c>
      <c r="G2672" s="46"/>
      <c r="H2672" s="53"/>
      <c r="I2672" s="53"/>
      <c r="J2672" s="44"/>
      <c r="K2672" s="48"/>
    </row>
    <row r="2673" ht="22.5" customHeight="1">
      <c r="A2673" s="44"/>
      <c r="B2673" s="44"/>
      <c r="C2673" s="44"/>
      <c r="D2673" s="44"/>
      <c r="E2673" s="51"/>
      <c r="F2673" s="44" t="s">
        <v>1098</v>
      </c>
      <c r="G2673" s="46"/>
      <c r="H2673" s="53"/>
      <c r="I2673" s="53"/>
      <c r="J2673" s="44"/>
      <c r="K2673" s="48"/>
    </row>
    <row r="2674" ht="22.5" customHeight="1">
      <c r="A2674" s="44"/>
      <c r="B2674" s="44"/>
      <c r="C2674" s="44"/>
      <c r="D2674" s="44"/>
      <c r="E2674" s="51"/>
      <c r="F2674" s="44" t="s">
        <v>1098</v>
      </c>
      <c r="G2674" s="46"/>
      <c r="H2674" s="53"/>
      <c r="I2674" s="53"/>
      <c r="J2674" s="44"/>
      <c r="K2674" s="48"/>
    </row>
    <row r="2675" ht="22.5" customHeight="1">
      <c r="A2675" s="44"/>
      <c r="B2675" s="44"/>
      <c r="C2675" s="44"/>
      <c r="D2675" s="44"/>
      <c r="E2675" s="51"/>
      <c r="F2675" s="44" t="s">
        <v>1098</v>
      </c>
      <c r="G2675" s="46"/>
      <c r="H2675" s="53"/>
      <c r="I2675" s="53"/>
      <c r="J2675" s="44"/>
      <c r="K2675" s="48"/>
    </row>
    <row r="2676" ht="22.5" customHeight="1">
      <c r="A2676" s="44"/>
      <c r="B2676" s="44"/>
      <c r="C2676" s="44"/>
      <c r="D2676" s="44"/>
      <c r="E2676" s="51"/>
      <c r="F2676" s="44" t="s">
        <v>1098</v>
      </c>
      <c r="G2676" s="46"/>
      <c r="H2676" s="53"/>
      <c r="I2676" s="53"/>
      <c r="J2676" s="44"/>
      <c r="K2676" s="48"/>
    </row>
    <row r="2677" ht="22.5" customHeight="1">
      <c r="A2677" s="44"/>
      <c r="B2677" s="44"/>
      <c r="C2677" s="44"/>
      <c r="D2677" s="44"/>
      <c r="E2677" s="51"/>
      <c r="F2677" s="44" t="s">
        <v>1098</v>
      </c>
      <c r="G2677" s="46"/>
      <c r="H2677" s="53"/>
      <c r="I2677" s="53"/>
      <c r="J2677" s="44"/>
      <c r="K2677" s="48"/>
    </row>
    <row r="2678" ht="22.5" customHeight="1">
      <c r="A2678" s="44"/>
      <c r="B2678" s="44"/>
      <c r="C2678" s="44"/>
      <c r="D2678" s="44"/>
      <c r="E2678" s="51"/>
      <c r="F2678" s="44" t="s">
        <v>1098</v>
      </c>
      <c r="G2678" s="46"/>
      <c r="H2678" s="53"/>
      <c r="I2678" s="53"/>
      <c r="J2678" s="44"/>
      <c r="K2678" s="48"/>
    </row>
    <row r="2679" ht="22.5" customHeight="1">
      <c r="A2679" s="44"/>
      <c r="B2679" s="44"/>
      <c r="C2679" s="44"/>
      <c r="D2679" s="44"/>
      <c r="E2679" s="51"/>
      <c r="F2679" s="44" t="s">
        <v>1098</v>
      </c>
      <c r="G2679" s="46"/>
      <c r="H2679" s="53"/>
      <c r="I2679" s="53"/>
      <c r="J2679" s="44"/>
      <c r="K2679" s="48"/>
    </row>
    <row r="2680" ht="22.5" customHeight="1">
      <c r="A2680" s="44"/>
      <c r="B2680" s="44"/>
      <c r="C2680" s="44"/>
      <c r="D2680" s="44"/>
      <c r="E2680" s="51"/>
      <c r="F2680" s="44" t="s">
        <v>1098</v>
      </c>
      <c r="G2680" s="46"/>
      <c r="H2680" s="53"/>
      <c r="I2680" s="53"/>
      <c r="J2680" s="44"/>
      <c r="K2680" s="48"/>
    </row>
    <row r="2681" ht="22.5" customHeight="1">
      <c r="A2681" s="44"/>
      <c r="B2681" s="44"/>
      <c r="C2681" s="44"/>
      <c r="D2681" s="44"/>
      <c r="E2681" s="51"/>
      <c r="F2681" s="44" t="s">
        <v>1098</v>
      </c>
      <c r="G2681" s="46"/>
      <c r="H2681" s="53"/>
      <c r="I2681" s="53"/>
      <c r="J2681" s="44"/>
      <c r="K2681" s="48"/>
    </row>
    <row r="2682" ht="22.5" customHeight="1">
      <c r="A2682" s="44"/>
      <c r="B2682" s="44"/>
      <c r="C2682" s="44"/>
      <c r="D2682" s="44"/>
      <c r="E2682" s="51"/>
      <c r="F2682" s="44" t="s">
        <v>1098</v>
      </c>
      <c r="G2682" s="46"/>
      <c r="H2682" s="53"/>
      <c r="I2682" s="53"/>
      <c r="J2682" s="44"/>
      <c r="K2682" s="48"/>
    </row>
    <row r="2683" ht="22.5" customHeight="1">
      <c r="A2683" s="44"/>
      <c r="B2683" s="44"/>
      <c r="C2683" s="44"/>
      <c r="D2683" s="44"/>
      <c r="E2683" s="51"/>
      <c r="F2683" s="44" t="s">
        <v>1098</v>
      </c>
      <c r="G2683" s="46"/>
      <c r="H2683" s="53"/>
      <c r="I2683" s="53"/>
      <c r="J2683" s="44"/>
      <c r="K2683" s="48"/>
    </row>
    <row r="2684" ht="22.5" customHeight="1">
      <c r="A2684" s="44"/>
      <c r="B2684" s="44"/>
      <c r="C2684" s="44"/>
      <c r="D2684" s="44"/>
      <c r="E2684" s="51"/>
      <c r="F2684" s="44" t="s">
        <v>1098</v>
      </c>
      <c r="G2684" s="46"/>
      <c r="H2684" s="53"/>
      <c r="I2684" s="53"/>
      <c r="J2684" s="44"/>
      <c r="K2684" s="48"/>
    </row>
    <row r="2685" ht="22.5" customHeight="1">
      <c r="A2685" s="44"/>
      <c r="B2685" s="44"/>
      <c r="C2685" s="44"/>
      <c r="D2685" s="44"/>
      <c r="E2685" s="51"/>
      <c r="F2685" s="44" t="s">
        <v>1098</v>
      </c>
      <c r="G2685" s="46"/>
      <c r="H2685" s="53"/>
      <c r="I2685" s="53"/>
      <c r="J2685" s="44"/>
      <c r="K2685" s="48"/>
    </row>
    <row r="2686" ht="22.5" customHeight="1">
      <c r="A2686" s="44"/>
      <c r="B2686" s="44"/>
      <c r="C2686" s="44"/>
      <c r="D2686" s="44"/>
      <c r="E2686" s="51"/>
      <c r="F2686" s="44" t="s">
        <v>1098</v>
      </c>
      <c r="G2686" s="46"/>
      <c r="H2686" s="53"/>
      <c r="I2686" s="53"/>
      <c r="J2686" s="44"/>
      <c r="K2686" s="48"/>
    </row>
    <row r="2687" ht="22.5" customHeight="1">
      <c r="A2687" s="44"/>
      <c r="B2687" s="44"/>
      <c r="C2687" s="44"/>
      <c r="D2687" s="44"/>
      <c r="E2687" s="51"/>
      <c r="F2687" s="44" t="s">
        <v>1098</v>
      </c>
      <c r="G2687" s="46"/>
      <c r="H2687" s="53"/>
      <c r="I2687" s="53"/>
      <c r="J2687" s="44"/>
      <c r="K2687" s="48"/>
    </row>
    <row r="2688" ht="22.5" customHeight="1">
      <c r="A2688" s="44"/>
      <c r="B2688" s="44"/>
      <c r="C2688" s="44"/>
      <c r="D2688" s="44"/>
      <c r="E2688" s="51"/>
      <c r="F2688" s="44" t="s">
        <v>1098</v>
      </c>
      <c r="G2688" s="46"/>
      <c r="H2688" s="53"/>
      <c r="I2688" s="53"/>
      <c r="J2688" s="44"/>
      <c r="K2688" s="48"/>
    </row>
    <row r="2689" ht="22.5" customHeight="1">
      <c r="A2689" s="44"/>
      <c r="B2689" s="44"/>
      <c r="C2689" s="44"/>
      <c r="D2689" s="44"/>
      <c r="E2689" s="51"/>
      <c r="F2689" s="44" t="s">
        <v>1098</v>
      </c>
      <c r="G2689" s="46"/>
      <c r="H2689" s="53"/>
      <c r="I2689" s="53"/>
      <c r="J2689" s="44"/>
      <c r="K2689" s="48"/>
    </row>
    <row r="2690" ht="22.5" customHeight="1">
      <c r="A2690" s="44"/>
      <c r="B2690" s="44"/>
      <c r="C2690" s="44"/>
      <c r="D2690" s="44"/>
      <c r="E2690" s="51"/>
      <c r="F2690" s="44" t="s">
        <v>1098</v>
      </c>
      <c r="G2690" s="46"/>
      <c r="H2690" s="53"/>
      <c r="I2690" s="53"/>
      <c r="J2690" s="44"/>
      <c r="K2690" s="48"/>
    </row>
    <row r="2691" ht="22.5" customHeight="1">
      <c r="A2691" s="44"/>
      <c r="B2691" s="44"/>
      <c r="C2691" s="44"/>
      <c r="D2691" s="44"/>
      <c r="E2691" s="51"/>
      <c r="F2691" s="44" t="s">
        <v>1098</v>
      </c>
      <c r="G2691" s="46"/>
      <c r="H2691" s="53"/>
      <c r="I2691" s="53"/>
      <c r="J2691" s="44"/>
      <c r="K2691" s="48"/>
    </row>
    <row r="2692" ht="22.5" customHeight="1">
      <c r="A2692" s="44"/>
      <c r="B2692" s="44"/>
      <c r="C2692" s="44"/>
      <c r="D2692" s="44"/>
      <c r="E2692" s="51"/>
      <c r="F2692" s="44" t="s">
        <v>1098</v>
      </c>
      <c r="G2692" s="46"/>
      <c r="H2692" s="53"/>
      <c r="I2692" s="53"/>
      <c r="J2692" s="44"/>
      <c r="K2692" s="48"/>
    </row>
    <row r="2693" ht="22.5" customHeight="1">
      <c r="A2693" s="44"/>
      <c r="B2693" s="44"/>
      <c r="C2693" s="44"/>
      <c r="D2693" s="44"/>
      <c r="E2693" s="51"/>
      <c r="F2693" s="44" t="s">
        <v>1098</v>
      </c>
      <c r="G2693" s="46"/>
      <c r="H2693" s="53"/>
      <c r="I2693" s="53"/>
      <c r="J2693" s="44"/>
      <c r="K2693" s="48"/>
    </row>
    <row r="2694" ht="22.5" customHeight="1">
      <c r="A2694" s="44"/>
      <c r="B2694" s="44"/>
      <c r="C2694" s="44"/>
      <c r="D2694" s="44"/>
      <c r="E2694" s="51"/>
      <c r="F2694" s="44" t="s">
        <v>1098</v>
      </c>
      <c r="G2694" s="46"/>
      <c r="H2694" s="53"/>
      <c r="I2694" s="53"/>
      <c r="J2694" s="44"/>
      <c r="K2694" s="48"/>
    </row>
    <row r="2695" ht="22.5" customHeight="1">
      <c r="A2695" s="44"/>
      <c r="B2695" s="44"/>
      <c r="C2695" s="44"/>
      <c r="D2695" s="44"/>
      <c r="E2695" s="51"/>
      <c r="F2695" s="44" t="s">
        <v>1098</v>
      </c>
      <c r="G2695" s="46"/>
      <c r="H2695" s="53"/>
      <c r="I2695" s="53"/>
      <c r="J2695" s="44"/>
      <c r="K2695" s="48"/>
    </row>
    <row r="2696" ht="22.5" customHeight="1">
      <c r="A2696" s="44"/>
      <c r="B2696" s="44"/>
      <c r="C2696" s="44"/>
      <c r="D2696" s="44"/>
      <c r="E2696" s="51"/>
      <c r="F2696" s="44" t="s">
        <v>1098</v>
      </c>
      <c r="G2696" s="46"/>
      <c r="H2696" s="53"/>
      <c r="I2696" s="53"/>
      <c r="J2696" s="44"/>
      <c r="K2696" s="48"/>
    </row>
    <row r="2697" ht="22.5" customHeight="1">
      <c r="A2697" s="44"/>
      <c r="B2697" s="44"/>
      <c r="C2697" s="44"/>
      <c r="D2697" s="44"/>
      <c r="E2697" s="51"/>
      <c r="F2697" s="44" t="s">
        <v>1098</v>
      </c>
      <c r="G2697" s="46"/>
      <c r="H2697" s="53"/>
      <c r="I2697" s="53"/>
      <c r="J2697" s="44"/>
      <c r="K2697" s="48"/>
    </row>
    <row r="2698" ht="22.5" customHeight="1">
      <c r="A2698" s="44"/>
      <c r="B2698" s="44"/>
      <c r="C2698" s="44"/>
      <c r="D2698" s="44"/>
      <c r="E2698" s="51"/>
      <c r="F2698" s="44" t="s">
        <v>1098</v>
      </c>
      <c r="G2698" s="46"/>
      <c r="H2698" s="53"/>
      <c r="I2698" s="53"/>
      <c r="J2698" s="44"/>
      <c r="K2698" s="48"/>
    </row>
    <row r="2699" ht="22.5" customHeight="1">
      <c r="A2699" s="44"/>
      <c r="B2699" s="44"/>
      <c r="C2699" s="44"/>
      <c r="D2699" s="44"/>
      <c r="E2699" s="51"/>
      <c r="F2699" s="44" t="s">
        <v>1098</v>
      </c>
      <c r="G2699" s="46"/>
      <c r="H2699" s="53"/>
      <c r="I2699" s="53"/>
      <c r="J2699" s="44"/>
      <c r="K2699" s="48"/>
    </row>
    <row r="2700" ht="22.5" customHeight="1">
      <c r="A2700" s="44"/>
      <c r="B2700" s="44"/>
      <c r="C2700" s="44"/>
      <c r="D2700" s="44"/>
      <c r="E2700" s="51"/>
      <c r="F2700" s="44" t="s">
        <v>1098</v>
      </c>
      <c r="G2700" s="46"/>
      <c r="H2700" s="53"/>
      <c r="I2700" s="53"/>
      <c r="J2700" s="44"/>
      <c r="K2700" s="48"/>
    </row>
    <row r="2701" ht="22.5" customHeight="1">
      <c r="A2701" s="44"/>
      <c r="B2701" s="44"/>
      <c r="C2701" s="44"/>
      <c r="D2701" s="44"/>
      <c r="E2701" s="51"/>
      <c r="F2701" s="44" t="s">
        <v>1098</v>
      </c>
      <c r="G2701" s="46"/>
      <c r="H2701" s="53"/>
      <c r="I2701" s="53"/>
      <c r="J2701" s="44"/>
      <c r="K2701" s="48"/>
    </row>
    <row r="2702" ht="22.5" customHeight="1">
      <c r="A2702" s="44"/>
      <c r="B2702" s="44"/>
      <c r="C2702" s="44"/>
      <c r="D2702" s="44"/>
      <c r="E2702" s="51"/>
      <c r="F2702" s="44" t="s">
        <v>1098</v>
      </c>
      <c r="G2702" s="46"/>
      <c r="H2702" s="53"/>
      <c r="I2702" s="53"/>
      <c r="J2702" s="44"/>
      <c r="K2702" s="48"/>
    </row>
    <row r="2703" ht="22.5" customHeight="1">
      <c r="A2703" s="44"/>
      <c r="B2703" s="44"/>
      <c r="C2703" s="44"/>
      <c r="D2703" s="44"/>
      <c r="E2703" s="51"/>
      <c r="F2703" s="44" t="s">
        <v>1098</v>
      </c>
      <c r="G2703" s="46"/>
      <c r="H2703" s="53"/>
      <c r="I2703" s="53"/>
      <c r="J2703" s="44"/>
      <c r="K2703" s="48"/>
    </row>
    <row r="2704" ht="22.5" customHeight="1">
      <c r="A2704" s="44"/>
      <c r="B2704" s="44"/>
      <c r="C2704" s="44"/>
      <c r="D2704" s="44"/>
      <c r="E2704" s="51"/>
      <c r="F2704" s="44" t="s">
        <v>1098</v>
      </c>
      <c r="G2704" s="46"/>
      <c r="H2704" s="53"/>
      <c r="I2704" s="53"/>
      <c r="J2704" s="44"/>
      <c r="K2704" s="48"/>
    </row>
    <row r="2705" ht="22.5" customHeight="1">
      <c r="A2705" s="44"/>
      <c r="B2705" s="44"/>
      <c r="C2705" s="44"/>
      <c r="D2705" s="44"/>
      <c r="E2705" s="51"/>
      <c r="F2705" s="44" t="s">
        <v>1098</v>
      </c>
      <c r="G2705" s="46"/>
      <c r="H2705" s="53"/>
      <c r="I2705" s="53"/>
      <c r="J2705" s="44"/>
      <c r="K2705" s="48"/>
    </row>
    <row r="2706" ht="22.5" customHeight="1">
      <c r="A2706" s="44"/>
      <c r="B2706" s="44"/>
      <c r="C2706" s="44"/>
      <c r="D2706" s="44"/>
      <c r="E2706" s="51"/>
      <c r="F2706" s="44" t="s">
        <v>1098</v>
      </c>
      <c r="G2706" s="46"/>
      <c r="H2706" s="53"/>
      <c r="I2706" s="53"/>
      <c r="J2706" s="44"/>
      <c r="K2706" s="48"/>
    </row>
    <row r="2707" ht="22.5" customHeight="1">
      <c r="A2707" s="44"/>
      <c r="B2707" s="44"/>
      <c r="C2707" s="44"/>
      <c r="D2707" s="44"/>
      <c r="E2707" s="51"/>
      <c r="F2707" s="44" t="s">
        <v>1098</v>
      </c>
      <c r="G2707" s="46"/>
      <c r="H2707" s="53"/>
      <c r="I2707" s="53"/>
      <c r="J2707" s="44"/>
      <c r="K2707" s="48"/>
    </row>
    <row r="2708" ht="22.5" customHeight="1">
      <c r="A2708" s="44"/>
      <c r="B2708" s="44"/>
      <c r="C2708" s="44"/>
      <c r="D2708" s="44"/>
      <c r="E2708" s="51"/>
      <c r="F2708" s="44" t="s">
        <v>1098</v>
      </c>
      <c r="G2708" s="46"/>
      <c r="H2708" s="53"/>
      <c r="I2708" s="53"/>
      <c r="J2708" s="44"/>
      <c r="K2708" s="48"/>
    </row>
    <row r="2709" ht="22.5" customHeight="1">
      <c r="A2709" s="44"/>
      <c r="B2709" s="44"/>
      <c r="C2709" s="44"/>
      <c r="D2709" s="44"/>
      <c r="E2709" s="51"/>
      <c r="F2709" s="44" t="s">
        <v>1098</v>
      </c>
      <c r="G2709" s="46"/>
      <c r="H2709" s="53"/>
      <c r="I2709" s="53"/>
      <c r="J2709" s="44"/>
      <c r="K2709" s="48"/>
    </row>
    <row r="2710" ht="22.5" customHeight="1">
      <c r="A2710" s="44"/>
      <c r="B2710" s="44"/>
      <c r="C2710" s="44"/>
      <c r="D2710" s="44"/>
      <c r="E2710" s="51"/>
      <c r="F2710" s="44" t="s">
        <v>1098</v>
      </c>
      <c r="G2710" s="46"/>
      <c r="H2710" s="53"/>
      <c r="I2710" s="53"/>
      <c r="J2710" s="44"/>
      <c r="K2710" s="48"/>
    </row>
    <row r="2711" ht="22.5" customHeight="1">
      <c r="A2711" s="44"/>
      <c r="B2711" s="44"/>
      <c r="C2711" s="44"/>
      <c r="D2711" s="44"/>
      <c r="E2711" s="51"/>
      <c r="F2711" s="44" t="s">
        <v>1098</v>
      </c>
      <c r="G2711" s="46"/>
      <c r="H2711" s="53"/>
      <c r="I2711" s="53"/>
      <c r="J2711" s="44"/>
      <c r="K2711" s="48"/>
    </row>
    <row r="2712" ht="22.5" customHeight="1">
      <c r="A2712" s="44"/>
      <c r="B2712" s="44"/>
      <c r="C2712" s="44"/>
      <c r="D2712" s="44"/>
      <c r="E2712" s="51"/>
      <c r="F2712" s="44" t="s">
        <v>1098</v>
      </c>
      <c r="G2712" s="46"/>
      <c r="H2712" s="53"/>
      <c r="I2712" s="53"/>
      <c r="J2712" s="44"/>
      <c r="K2712" s="48"/>
    </row>
    <row r="2713" ht="22.5" customHeight="1">
      <c r="A2713" s="44"/>
      <c r="B2713" s="44"/>
      <c r="C2713" s="44"/>
      <c r="D2713" s="44"/>
      <c r="E2713" s="51"/>
      <c r="F2713" s="44" t="s">
        <v>1098</v>
      </c>
      <c r="G2713" s="46"/>
      <c r="H2713" s="53"/>
      <c r="I2713" s="53"/>
      <c r="J2713" s="44"/>
      <c r="K2713" s="48"/>
    </row>
    <row r="2714" ht="22.5" customHeight="1">
      <c r="A2714" s="44"/>
      <c r="B2714" s="44"/>
      <c r="C2714" s="44"/>
      <c r="D2714" s="44"/>
      <c r="E2714" s="51"/>
      <c r="F2714" s="44" t="s">
        <v>1098</v>
      </c>
      <c r="G2714" s="46"/>
      <c r="H2714" s="53"/>
      <c r="I2714" s="53"/>
      <c r="J2714" s="44"/>
      <c r="K2714" s="48"/>
    </row>
    <row r="2715" ht="22.5" customHeight="1">
      <c r="A2715" s="44"/>
      <c r="B2715" s="44"/>
      <c r="C2715" s="44"/>
      <c r="D2715" s="44"/>
      <c r="E2715" s="51"/>
      <c r="F2715" s="44" t="s">
        <v>1098</v>
      </c>
      <c r="G2715" s="46"/>
      <c r="H2715" s="53"/>
      <c r="I2715" s="53"/>
      <c r="J2715" s="44"/>
      <c r="K2715" s="48"/>
    </row>
    <row r="2716" ht="22.5" customHeight="1">
      <c r="A2716" s="44"/>
      <c r="B2716" s="44"/>
      <c r="C2716" s="44"/>
      <c r="D2716" s="44"/>
      <c r="E2716" s="51"/>
      <c r="F2716" s="44" t="s">
        <v>1098</v>
      </c>
      <c r="G2716" s="46"/>
      <c r="H2716" s="53"/>
      <c r="I2716" s="53"/>
      <c r="J2716" s="44"/>
      <c r="K2716" s="48"/>
    </row>
    <row r="2717" ht="22.5" customHeight="1">
      <c r="A2717" s="44"/>
      <c r="B2717" s="44"/>
      <c r="C2717" s="44"/>
      <c r="D2717" s="44"/>
      <c r="E2717" s="51"/>
      <c r="F2717" s="44" t="s">
        <v>1098</v>
      </c>
      <c r="G2717" s="46"/>
      <c r="H2717" s="53"/>
      <c r="I2717" s="53"/>
      <c r="J2717" s="44"/>
      <c r="K2717" s="48"/>
    </row>
    <row r="2718" ht="22.5" customHeight="1">
      <c r="A2718" s="44"/>
      <c r="B2718" s="44"/>
      <c r="C2718" s="44"/>
      <c r="D2718" s="44"/>
      <c r="E2718" s="51"/>
      <c r="F2718" s="44" t="s">
        <v>1098</v>
      </c>
      <c r="G2718" s="46"/>
      <c r="H2718" s="53"/>
      <c r="I2718" s="53"/>
      <c r="J2718" s="44"/>
      <c r="K2718" s="48"/>
    </row>
    <row r="2719" ht="22.5" customHeight="1">
      <c r="A2719" s="44"/>
      <c r="B2719" s="44"/>
      <c r="C2719" s="44"/>
      <c r="D2719" s="44"/>
      <c r="E2719" s="51"/>
      <c r="F2719" s="44" t="s">
        <v>1098</v>
      </c>
      <c r="G2719" s="46"/>
      <c r="H2719" s="53"/>
      <c r="I2719" s="53"/>
      <c r="J2719" s="44"/>
      <c r="K2719" s="48"/>
    </row>
    <row r="2720" ht="22.5" customHeight="1">
      <c r="A2720" s="44"/>
      <c r="B2720" s="44"/>
      <c r="C2720" s="44"/>
      <c r="D2720" s="44"/>
      <c r="E2720" s="51"/>
      <c r="F2720" s="44" t="s">
        <v>1098</v>
      </c>
      <c r="G2720" s="46"/>
      <c r="H2720" s="53"/>
      <c r="I2720" s="53"/>
      <c r="J2720" s="44"/>
      <c r="K2720" s="48"/>
    </row>
    <row r="2721" ht="22.5" customHeight="1">
      <c r="A2721" s="44"/>
      <c r="B2721" s="44"/>
      <c r="C2721" s="44"/>
      <c r="D2721" s="44"/>
      <c r="E2721" s="51"/>
      <c r="F2721" s="44" t="s">
        <v>1098</v>
      </c>
      <c r="G2721" s="46"/>
      <c r="H2721" s="53"/>
      <c r="I2721" s="53"/>
      <c r="J2721" s="44"/>
      <c r="K2721" s="48"/>
    </row>
    <row r="2722" ht="22.5" customHeight="1">
      <c r="A2722" s="44"/>
      <c r="B2722" s="44"/>
      <c r="C2722" s="44"/>
      <c r="D2722" s="44"/>
      <c r="E2722" s="51"/>
      <c r="F2722" s="44" t="s">
        <v>1098</v>
      </c>
      <c r="G2722" s="46"/>
      <c r="H2722" s="53"/>
      <c r="I2722" s="53"/>
      <c r="J2722" s="44"/>
      <c r="K2722" s="48"/>
    </row>
    <row r="2723" ht="22.5" customHeight="1">
      <c r="A2723" s="44"/>
      <c r="B2723" s="44"/>
      <c r="C2723" s="44"/>
      <c r="D2723" s="44"/>
      <c r="E2723" s="51"/>
      <c r="F2723" s="44" t="s">
        <v>1098</v>
      </c>
      <c r="G2723" s="46"/>
      <c r="H2723" s="53"/>
      <c r="I2723" s="53"/>
      <c r="J2723" s="44"/>
      <c r="K2723" s="48"/>
    </row>
    <row r="2724" ht="22.5" customHeight="1">
      <c r="A2724" s="44"/>
      <c r="B2724" s="44"/>
      <c r="C2724" s="44"/>
      <c r="D2724" s="44"/>
      <c r="E2724" s="51"/>
      <c r="F2724" s="44" t="s">
        <v>1098</v>
      </c>
      <c r="G2724" s="46"/>
      <c r="H2724" s="53"/>
      <c r="I2724" s="53"/>
      <c r="J2724" s="44"/>
      <c r="K2724" s="48"/>
    </row>
    <row r="2725" ht="22.5" customHeight="1">
      <c r="A2725" s="44"/>
      <c r="B2725" s="44"/>
      <c r="C2725" s="44"/>
      <c r="D2725" s="44"/>
      <c r="E2725" s="51"/>
      <c r="F2725" s="44" t="s">
        <v>1098</v>
      </c>
      <c r="G2725" s="46"/>
      <c r="H2725" s="53"/>
      <c r="I2725" s="53"/>
      <c r="J2725" s="44"/>
      <c r="K2725" s="48"/>
    </row>
    <row r="2726" ht="22.5" customHeight="1">
      <c r="A2726" s="44"/>
      <c r="B2726" s="44"/>
      <c r="C2726" s="44"/>
      <c r="D2726" s="44"/>
      <c r="E2726" s="51"/>
      <c r="F2726" s="44" t="s">
        <v>1098</v>
      </c>
      <c r="G2726" s="46"/>
      <c r="H2726" s="53"/>
      <c r="I2726" s="53"/>
      <c r="J2726" s="44"/>
      <c r="K2726" s="48"/>
    </row>
    <row r="2727" ht="22.5" customHeight="1">
      <c r="A2727" s="44"/>
      <c r="B2727" s="44"/>
      <c r="C2727" s="44"/>
      <c r="D2727" s="44"/>
      <c r="E2727" s="51"/>
      <c r="F2727" s="44" t="s">
        <v>1098</v>
      </c>
      <c r="G2727" s="46"/>
      <c r="H2727" s="53"/>
      <c r="I2727" s="53"/>
      <c r="J2727" s="44"/>
      <c r="K2727" s="48"/>
    </row>
    <row r="2728" ht="22.5" customHeight="1">
      <c r="A2728" s="44"/>
      <c r="B2728" s="44"/>
      <c r="C2728" s="44"/>
      <c r="D2728" s="44"/>
      <c r="E2728" s="51"/>
      <c r="F2728" s="44" t="s">
        <v>1098</v>
      </c>
      <c r="G2728" s="46"/>
      <c r="H2728" s="53"/>
      <c r="I2728" s="53"/>
      <c r="J2728" s="44"/>
      <c r="K2728" s="48"/>
    </row>
    <row r="2729" ht="22.5" customHeight="1">
      <c r="A2729" s="44"/>
      <c r="B2729" s="44"/>
      <c r="C2729" s="44"/>
      <c r="D2729" s="44"/>
      <c r="E2729" s="51"/>
      <c r="F2729" s="44" t="s">
        <v>1098</v>
      </c>
      <c r="G2729" s="46"/>
      <c r="H2729" s="53"/>
      <c r="I2729" s="53"/>
      <c r="J2729" s="44"/>
      <c r="K2729" s="48"/>
    </row>
    <row r="2730" ht="22.5" customHeight="1">
      <c r="A2730" s="44"/>
      <c r="B2730" s="44"/>
      <c r="C2730" s="44"/>
      <c r="D2730" s="44"/>
      <c r="E2730" s="51"/>
      <c r="F2730" s="44" t="s">
        <v>1098</v>
      </c>
      <c r="G2730" s="46"/>
      <c r="H2730" s="53"/>
      <c r="I2730" s="53"/>
      <c r="J2730" s="44"/>
      <c r="K2730" s="48"/>
    </row>
    <row r="2731" ht="22.5" customHeight="1">
      <c r="A2731" s="44"/>
      <c r="B2731" s="44"/>
      <c r="C2731" s="44"/>
      <c r="D2731" s="44"/>
      <c r="E2731" s="51"/>
      <c r="F2731" s="44" t="s">
        <v>1098</v>
      </c>
      <c r="G2731" s="46"/>
      <c r="H2731" s="53"/>
      <c r="I2731" s="53"/>
      <c r="J2731" s="44"/>
      <c r="K2731" s="48"/>
    </row>
    <row r="2732" ht="22.5" customHeight="1">
      <c r="A2732" s="44"/>
      <c r="B2732" s="44"/>
      <c r="C2732" s="44"/>
      <c r="D2732" s="44"/>
      <c r="E2732" s="51"/>
      <c r="F2732" s="44" t="s">
        <v>1098</v>
      </c>
      <c r="G2732" s="46"/>
      <c r="H2732" s="53"/>
      <c r="I2732" s="53"/>
      <c r="J2732" s="44"/>
      <c r="K2732" s="48"/>
    </row>
    <row r="2733" ht="22.5" customHeight="1">
      <c r="A2733" s="44"/>
      <c r="B2733" s="44"/>
      <c r="C2733" s="44"/>
      <c r="D2733" s="44"/>
      <c r="E2733" s="51"/>
      <c r="F2733" s="44" t="s">
        <v>1098</v>
      </c>
      <c r="G2733" s="46"/>
      <c r="H2733" s="53"/>
      <c r="I2733" s="53"/>
      <c r="J2733" s="44"/>
      <c r="K2733" s="48"/>
    </row>
    <row r="2734" ht="22.5" customHeight="1">
      <c r="A2734" s="44"/>
      <c r="B2734" s="44"/>
      <c r="C2734" s="44"/>
      <c r="D2734" s="44"/>
      <c r="E2734" s="51"/>
      <c r="F2734" s="44" t="s">
        <v>1098</v>
      </c>
      <c r="G2734" s="46"/>
      <c r="H2734" s="53"/>
      <c r="I2734" s="53"/>
      <c r="J2734" s="44"/>
      <c r="K2734" s="48"/>
    </row>
    <row r="2735" ht="22.5" customHeight="1">
      <c r="A2735" s="44"/>
      <c r="B2735" s="44"/>
      <c r="C2735" s="44"/>
      <c r="D2735" s="44"/>
      <c r="E2735" s="51"/>
      <c r="F2735" s="44" t="s">
        <v>1098</v>
      </c>
      <c r="G2735" s="46"/>
      <c r="H2735" s="53"/>
      <c r="I2735" s="53"/>
      <c r="J2735" s="44"/>
      <c r="K2735" s="48"/>
    </row>
    <row r="2736" ht="22.5" customHeight="1">
      <c r="A2736" s="44"/>
      <c r="B2736" s="44"/>
      <c r="C2736" s="44"/>
      <c r="D2736" s="44"/>
      <c r="E2736" s="51"/>
      <c r="F2736" s="44" t="s">
        <v>1098</v>
      </c>
      <c r="G2736" s="46"/>
      <c r="H2736" s="53"/>
      <c r="I2736" s="53"/>
      <c r="J2736" s="44"/>
      <c r="K2736" s="48"/>
    </row>
    <row r="2737" ht="22.5" customHeight="1">
      <c r="A2737" s="44"/>
      <c r="B2737" s="44"/>
      <c r="C2737" s="44"/>
      <c r="D2737" s="44"/>
      <c r="E2737" s="51"/>
      <c r="F2737" s="44" t="s">
        <v>1098</v>
      </c>
      <c r="G2737" s="46"/>
      <c r="H2737" s="53"/>
      <c r="I2737" s="53"/>
      <c r="J2737" s="44"/>
      <c r="K2737" s="48"/>
    </row>
    <row r="2738" ht="22.5" customHeight="1">
      <c r="A2738" s="44"/>
      <c r="B2738" s="44"/>
      <c r="C2738" s="44"/>
      <c r="D2738" s="44"/>
      <c r="E2738" s="51"/>
      <c r="F2738" s="44" t="s">
        <v>1098</v>
      </c>
      <c r="G2738" s="46"/>
      <c r="H2738" s="53"/>
      <c r="I2738" s="53"/>
      <c r="J2738" s="44"/>
      <c r="K2738" s="48"/>
    </row>
    <row r="2739" ht="22.5" customHeight="1">
      <c r="A2739" s="44"/>
      <c r="B2739" s="44"/>
      <c r="C2739" s="44"/>
      <c r="D2739" s="44"/>
      <c r="E2739" s="51"/>
      <c r="F2739" s="44" t="s">
        <v>1098</v>
      </c>
      <c r="G2739" s="46"/>
      <c r="H2739" s="53"/>
      <c r="I2739" s="53"/>
      <c r="J2739" s="44"/>
      <c r="K2739" s="48"/>
    </row>
    <row r="2740" ht="22.5" customHeight="1">
      <c r="A2740" s="44"/>
      <c r="B2740" s="44"/>
      <c r="C2740" s="44"/>
      <c r="D2740" s="44"/>
      <c r="E2740" s="51"/>
      <c r="F2740" s="44" t="s">
        <v>1098</v>
      </c>
      <c r="G2740" s="46"/>
      <c r="H2740" s="53"/>
      <c r="I2740" s="53"/>
      <c r="J2740" s="44"/>
      <c r="K2740" s="48"/>
    </row>
    <row r="2741" ht="22.5" customHeight="1">
      <c r="A2741" s="44"/>
      <c r="B2741" s="44"/>
      <c r="C2741" s="44"/>
      <c r="D2741" s="44"/>
      <c r="E2741" s="51"/>
      <c r="F2741" s="44" t="s">
        <v>1098</v>
      </c>
      <c r="G2741" s="46"/>
      <c r="H2741" s="53"/>
      <c r="I2741" s="53"/>
      <c r="J2741" s="44"/>
      <c r="K2741" s="48"/>
    </row>
    <row r="2742" ht="22.5" customHeight="1">
      <c r="A2742" s="44"/>
      <c r="B2742" s="44"/>
      <c r="C2742" s="44"/>
      <c r="D2742" s="44"/>
      <c r="E2742" s="51"/>
      <c r="F2742" s="44" t="s">
        <v>1098</v>
      </c>
      <c r="G2742" s="46"/>
      <c r="H2742" s="53"/>
      <c r="I2742" s="53"/>
      <c r="J2742" s="44"/>
      <c r="K2742" s="48"/>
    </row>
    <row r="2743" ht="22.5" customHeight="1">
      <c r="A2743" s="44"/>
      <c r="B2743" s="44"/>
      <c r="C2743" s="44"/>
      <c r="D2743" s="44"/>
      <c r="E2743" s="51"/>
      <c r="F2743" s="44" t="s">
        <v>1098</v>
      </c>
      <c r="G2743" s="46"/>
      <c r="H2743" s="53"/>
      <c r="I2743" s="53"/>
      <c r="J2743" s="44"/>
      <c r="K2743" s="48"/>
    </row>
    <row r="2744" ht="22.5" customHeight="1">
      <c r="A2744" s="44"/>
      <c r="B2744" s="44"/>
      <c r="C2744" s="44"/>
      <c r="D2744" s="44"/>
      <c r="E2744" s="51"/>
      <c r="F2744" s="44" t="s">
        <v>1098</v>
      </c>
      <c r="G2744" s="46"/>
      <c r="H2744" s="53"/>
      <c r="I2744" s="53"/>
      <c r="J2744" s="44"/>
      <c r="K2744" s="48"/>
    </row>
    <row r="2745" ht="22.5" customHeight="1">
      <c r="A2745" s="44"/>
      <c r="B2745" s="44"/>
      <c r="C2745" s="44"/>
      <c r="D2745" s="44"/>
      <c r="E2745" s="51"/>
      <c r="F2745" s="44" t="s">
        <v>1098</v>
      </c>
      <c r="G2745" s="46"/>
      <c r="H2745" s="53"/>
      <c r="I2745" s="53"/>
      <c r="J2745" s="44"/>
      <c r="K2745" s="48"/>
    </row>
    <row r="2746" ht="22.5" customHeight="1">
      <c r="A2746" s="44"/>
      <c r="B2746" s="44"/>
      <c r="C2746" s="44"/>
      <c r="D2746" s="44"/>
      <c r="E2746" s="51"/>
      <c r="F2746" s="44" t="s">
        <v>1098</v>
      </c>
      <c r="G2746" s="46"/>
      <c r="H2746" s="53"/>
      <c r="I2746" s="53"/>
      <c r="J2746" s="44"/>
      <c r="K2746" s="48"/>
    </row>
    <row r="2747" ht="22.5" customHeight="1">
      <c r="A2747" s="44"/>
      <c r="B2747" s="44"/>
      <c r="C2747" s="44"/>
      <c r="D2747" s="44"/>
      <c r="E2747" s="51"/>
      <c r="F2747" s="44" t="s">
        <v>1098</v>
      </c>
      <c r="G2747" s="46"/>
      <c r="H2747" s="53"/>
      <c r="I2747" s="53"/>
      <c r="J2747" s="44"/>
      <c r="K2747" s="48"/>
    </row>
    <row r="2748" ht="22.5" customHeight="1">
      <c r="A2748" s="44"/>
      <c r="B2748" s="44"/>
      <c r="C2748" s="44"/>
      <c r="D2748" s="44"/>
      <c r="E2748" s="51"/>
      <c r="F2748" s="44" t="s">
        <v>1098</v>
      </c>
      <c r="G2748" s="46"/>
      <c r="H2748" s="53"/>
      <c r="I2748" s="53"/>
      <c r="J2748" s="44"/>
      <c r="K2748" s="48"/>
    </row>
    <row r="2749" ht="22.5" customHeight="1">
      <c r="A2749" s="44"/>
      <c r="B2749" s="44"/>
      <c r="C2749" s="44"/>
      <c r="D2749" s="44"/>
      <c r="E2749" s="51"/>
      <c r="F2749" s="44" t="s">
        <v>1098</v>
      </c>
      <c r="G2749" s="46"/>
      <c r="H2749" s="53"/>
      <c r="I2749" s="53"/>
      <c r="J2749" s="44"/>
      <c r="K2749" s="48"/>
    </row>
    <row r="2750" ht="22.5" customHeight="1">
      <c r="A2750" s="44"/>
      <c r="B2750" s="44"/>
      <c r="C2750" s="44"/>
      <c r="D2750" s="44"/>
      <c r="E2750" s="51"/>
      <c r="F2750" s="44" t="s">
        <v>1098</v>
      </c>
      <c r="G2750" s="46"/>
      <c r="H2750" s="53"/>
      <c r="I2750" s="53"/>
      <c r="J2750" s="44"/>
      <c r="K2750" s="48"/>
    </row>
    <row r="2751" ht="22.5" customHeight="1">
      <c r="A2751" s="44"/>
      <c r="B2751" s="44"/>
      <c r="C2751" s="44"/>
      <c r="D2751" s="44"/>
      <c r="E2751" s="51"/>
      <c r="F2751" s="44" t="s">
        <v>1098</v>
      </c>
      <c r="G2751" s="46"/>
      <c r="H2751" s="53"/>
      <c r="I2751" s="53"/>
      <c r="J2751" s="44"/>
      <c r="K2751" s="48"/>
    </row>
    <row r="2752" ht="22.5" customHeight="1">
      <c r="A2752" s="44"/>
      <c r="B2752" s="44"/>
      <c r="C2752" s="44"/>
      <c r="D2752" s="44"/>
      <c r="E2752" s="51"/>
      <c r="F2752" s="44" t="s">
        <v>1098</v>
      </c>
      <c r="G2752" s="46"/>
      <c r="H2752" s="53"/>
      <c r="I2752" s="53"/>
      <c r="J2752" s="44"/>
      <c r="K2752" s="48"/>
    </row>
    <row r="2753" ht="22.5" customHeight="1">
      <c r="A2753" s="44"/>
      <c r="B2753" s="44"/>
      <c r="C2753" s="44"/>
      <c r="D2753" s="44"/>
      <c r="E2753" s="51"/>
      <c r="F2753" s="44" t="s">
        <v>1098</v>
      </c>
      <c r="G2753" s="46"/>
      <c r="H2753" s="53"/>
      <c r="I2753" s="53"/>
      <c r="J2753" s="44"/>
      <c r="K2753" s="48"/>
    </row>
    <row r="2754" ht="22.5" customHeight="1">
      <c r="A2754" s="44"/>
      <c r="B2754" s="44"/>
      <c r="C2754" s="44"/>
      <c r="D2754" s="44"/>
      <c r="E2754" s="51"/>
      <c r="F2754" s="44" t="s">
        <v>1098</v>
      </c>
      <c r="G2754" s="46"/>
      <c r="H2754" s="53"/>
      <c r="I2754" s="53"/>
      <c r="J2754" s="44"/>
      <c r="K2754" s="48"/>
    </row>
    <row r="2755" ht="22.5" customHeight="1">
      <c r="A2755" s="44"/>
      <c r="B2755" s="44"/>
      <c r="C2755" s="44"/>
      <c r="D2755" s="44"/>
      <c r="E2755" s="51"/>
      <c r="F2755" s="44" t="s">
        <v>1098</v>
      </c>
      <c r="G2755" s="46"/>
      <c r="H2755" s="53"/>
      <c r="I2755" s="53"/>
      <c r="J2755" s="44"/>
      <c r="K2755" s="48"/>
    </row>
    <row r="2756" ht="22.5" customHeight="1">
      <c r="A2756" s="44"/>
      <c r="B2756" s="44"/>
      <c r="C2756" s="44"/>
      <c r="D2756" s="44"/>
      <c r="E2756" s="51"/>
      <c r="F2756" s="44" t="s">
        <v>1098</v>
      </c>
      <c r="G2756" s="46"/>
      <c r="H2756" s="53"/>
      <c r="I2756" s="53"/>
      <c r="J2756" s="44"/>
      <c r="K2756" s="48"/>
    </row>
    <row r="2757" ht="22.5" customHeight="1">
      <c r="A2757" s="44"/>
      <c r="B2757" s="44"/>
      <c r="C2757" s="44"/>
      <c r="D2757" s="44"/>
      <c r="E2757" s="51"/>
      <c r="F2757" s="44" t="s">
        <v>1098</v>
      </c>
      <c r="G2757" s="46"/>
      <c r="H2757" s="53"/>
      <c r="I2757" s="53"/>
      <c r="J2757" s="44"/>
      <c r="K2757" s="48"/>
    </row>
    <row r="2758" ht="22.5" customHeight="1">
      <c r="A2758" s="44"/>
      <c r="B2758" s="44"/>
      <c r="C2758" s="44"/>
      <c r="D2758" s="44"/>
      <c r="E2758" s="51"/>
      <c r="F2758" s="44" t="s">
        <v>1098</v>
      </c>
      <c r="G2758" s="46"/>
      <c r="H2758" s="53"/>
      <c r="I2758" s="53"/>
      <c r="J2758" s="44"/>
      <c r="K2758" s="48"/>
    </row>
    <row r="2759" ht="22.5" customHeight="1">
      <c r="A2759" s="44"/>
      <c r="B2759" s="44"/>
      <c r="C2759" s="44"/>
      <c r="D2759" s="44"/>
      <c r="E2759" s="51"/>
      <c r="F2759" s="44" t="s">
        <v>1098</v>
      </c>
      <c r="G2759" s="46"/>
      <c r="H2759" s="53"/>
      <c r="I2759" s="53"/>
      <c r="J2759" s="44"/>
      <c r="K2759" s="48"/>
    </row>
    <row r="2760" ht="22.5" customHeight="1">
      <c r="A2760" s="44"/>
      <c r="B2760" s="44"/>
      <c r="C2760" s="44"/>
      <c r="D2760" s="44"/>
      <c r="E2760" s="51"/>
      <c r="F2760" s="44" t="s">
        <v>1098</v>
      </c>
      <c r="G2760" s="46"/>
      <c r="H2760" s="53"/>
      <c r="I2760" s="53"/>
      <c r="J2760" s="44"/>
      <c r="K2760" s="48"/>
    </row>
    <row r="2761" ht="22.5" customHeight="1">
      <c r="A2761" s="44"/>
      <c r="B2761" s="44"/>
      <c r="C2761" s="44"/>
      <c r="D2761" s="44"/>
      <c r="E2761" s="51"/>
      <c r="F2761" s="44" t="s">
        <v>1098</v>
      </c>
      <c r="G2761" s="46"/>
      <c r="H2761" s="53"/>
      <c r="I2761" s="53"/>
      <c r="J2761" s="44"/>
      <c r="K2761" s="48"/>
    </row>
    <row r="2762" ht="22.5" customHeight="1">
      <c r="A2762" s="44"/>
      <c r="B2762" s="44"/>
      <c r="C2762" s="44"/>
      <c r="D2762" s="44"/>
      <c r="E2762" s="51"/>
      <c r="F2762" s="44" t="s">
        <v>1098</v>
      </c>
      <c r="G2762" s="46"/>
      <c r="H2762" s="53"/>
      <c r="I2762" s="53"/>
      <c r="J2762" s="44"/>
      <c r="K2762" s="48"/>
    </row>
    <row r="2763" ht="22.5" customHeight="1">
      <c r="A2763" s="44"/>
      <c r="B2763" s="44"/>
      <c r="C2763" s="44"/>
      <c r="D2763" s="44"/>
      <c r="E2763" s="51"/>
      <c r="F2763" s="44" t="s">
        <v>1098</v>
      </c>
      <c r="G2763" s="46"/>
      <c r="H2763" s="53"/>
      <c r="I2763" s="53"/>
      <c r="J2763" s="44"/>
      <c r="K2763" s="48"/>
    </row>
    <row r="2764" ht="22.5" customHeight="1">
      <c r="A2764" s="44"/>
      <c r="B2764" s="44"/>
      <c r="C2764" s="44"/>
      <c r="D2764" s="44"/>
      <c r="E2764" s="51"/>
      <c r="F2764" s="44" t="s">
        <v>1098</v>
      </c>
      <c r="G2764" s="46"/>
      <c r="H2764" s="53"/>
      <c r="I2764" s="53"/>
      <c r="J2764" s="44"/>
      <c r="K2764" s="48"/>
    </row>
    <row r="2765" ht="22.5" customHeight="1">
      <c r="A2765" s="44"/>
      <c r="B2765" s="44"/>
      <c r="C2765" s="44"/>
      <c r="D2765" s="44"/>
      <c r="E2765" s="51"/>
      <c r="F2765" s="44" t="s">
        <v>1098</v>
      </c>
      <c r="G2765" s="46"/>
      <c r="H2765" s="53"/>
      <c r="I2765" s="53"/>
      <c r="J2765" s="44"/>
      <c r="K2765" s="48"/>
    </row>
    <row r="2766" ht="22.5" customHeight="1">
      <c r="A2766" s="44"/>
      <c r="B2766" s="44"/>
      <c r="C2766" s="44"/>
      <c r="D2766" s="44"/>
      <c r="E2766" s="51"/>
      <c r="F2766" s="44" t="s">
        <v>1098</v>
      </c>
      <c r="G2766" s="46"/>
      <c r="H2766" s="53"/>
      <c r="I2766" s="53"/>
      <c r="J2766" s="44"/>
      <c r="K2766" s="48"/>
    </row>
    <row r="2767" ht="22.5" customHeight="1">
      <c r="A2767" s="44"/>
      <c r="B2767" s="44"/>
      <c r="C2767" s="44"/>
      <c r="D2767" s="44"/>
      <c r="E2767" s="51"/>
      <c r="F2767" s="44" t="s">
        <v>1098</v>
      </c>
      <c r="G2767" s="46"/>
      <c r="H2767" s="53"/>
      <c r="I2767" s="53"/>
      <c r="J2767" s="44"/>
      <c r="K2767" s="48"/>
    </row>
    <row r="2768" ht="22.5" customHeight="1">
      <c r="A2768" s="44"/>
      <c r="B2768" s="44"/>
      <c r="C2768" s="44"/>
      <c r="D2768" s="44"/>
      <c r="E2768" s="51"/>
      <c r="F2768" s="44" t="s">
        <v>1098</v>
      </c>
      <c r="G2768" s="46"/>
      <c r="H2768" s="53"/>
      <c r="I2768" s="53"/>
      <c r="J2768" s="44"/>
      <c r="K2768" s="48"/>
    </row>
    <row r="2769" ht="22.5" customHeight="1">
      <c r="A2769" s="44"/>
      <c r="B2769" s="44"/>
      <c r="C2769" s="44"/>
      <c r="D2769" s="44"/>
      <c r="E2769" s="51"/>
      <c r="F2769" s="44" t="s">
        <v>1098</v>
      </c>
      <c r="G2769" s="46"/>
      <c r="H2769" s="53"/>
      <c r="I2769" s="53"/>
      <c r="J2769" s="44"/>
      <c r="K2769" s="48"/>
    </row>
    <row r="2770" ht="22.5" customHeight="1">
      <c r="A2770" s="44"/>
      <c r="B2770" s="44"/>
      <c r="C2770" s="44"/>
      <c r="D2770" s="44"/>
      <c r="E2770" s="51"/>
      <c r="F2770" s="44" t="s">
        <v>1098</v>
      </c>
      <c r="G2770" s="46"/>
      <c r="H2770" s="53"/>
      <c r="I2770" s="53"/>
      <c r="J2770" s="44"/>
      <c r="K2770" s="48"/>
    </row>
    <row r="2771" ht="22.5" customHeight="1">
      <c r="A2771" s="44"/>
      <c r="B2771" s="44"/>
      <c r="C2771" s="44"/>
      <c r="D2771" s="44"/>
      <c r="E2771" s="51"/>
      <c r="F2771" s="44" t="s">
        <v>1098</v>
      </c>
      <c r="G2771" s="46"/>
      <c r="H2771" s="53"/>
      <c r="I2771" s="53"/>
      <c r="J2771" s="44"/>
      <c r="K2771" s="48"/>
    </row>
    <row r="2772" ht="22.5" customHeight="1">
      <c r="A2772" s="44"/>
      <c r="B2772" s="44"/>
      <c r="C2772" s="44"/>
      <c r="D2772" s="44"/>
      <c r="E2772" s="51"/>
      <c r="F2772" s="44" t="s">
        <v>1098</v>
      </c>
      <c r="G2772" s="46"/>
      <c r="H2772" s="53"/>
      <c r="I2772" s="53"/>
      <c r="J2772" s="44"/>
      <c r="K2772" s="48"/>
    </row>
    <row r="2773" ht="22.5" customHeight="1">
      <c r="A2773" s="44"/>
      <c r="B2773" s="44"/>
      <c r="C2773" s="44"/>
      <c r="D2773" s="44"/>
      <c r="E2773" s="51"/>
      <c r="F2773" s="44" t="s">
        <v>1098</v>
      </c>
      <c r="G2773" s="46"/>
      <c r="H2773" s="53"/>
      <c r="I2773" s="53"/>
      <c r="J2773" s="44"/>
      <c r="K2773" s="48"/>
    </row>
    <row r="2774" ht="22.5" customHeight="1">
      <c r="A2774" s="44"/>
      <c r="B2774" s="44"/>
      <c r="C2774" s="44"/>
      <c r="D2774" s="44"/>
      <c r="E2774" s="51"/>
      <c r="F2774" s="44" t="s">
        <v>1098</v>
      </c>
      <c r="G2774" s="46"/>
      <c r="H2774" s="53"/>
      <c r="I2774" s="53"/>
      <c r="J2774" s="44"/>
      <c r="K2774" s="48"/>
    </row>
    <row r="2775" ht="22.5" customHeight="1">
      <c r="A2775" s="44"/>
      <c r="B2775" s="44"/>
      <c r="C2775" s="44"/>
      <c r="D2775" s="44"/>
      <c r="E2775" s="51"/>
      <c r="F2775" s="44" t="s">
        <v>1098</v>
      </c>
      <c r="G2775" s="46"/>
      <c r="H2775" s="53"/>
      <c r="I2775" s="53"/>
      <c r="J2775" s="44"/>
      <c r="K2775" s="48"/>
    </row>
    <row r="2776" ht="22.5" customHeight="1">
      <c r="A2776" s="44"/>
      <c r="B2776" s="44"/>
      <c r="C2776" s="44"/>
      <c r="D2776" s="44"/>
      <c r="E2776" s="51"/>
      <c r="F2776" s="44" t="s">
        <v>1098</v>
      </c>
      <c r="G2776" s="46"/>
      <c r="H2776" s="53"/>
      <c r="I2776" s="53"/>
      <c r="J2776" s="44"/>
      <c r="K2776" s="48"/>
    </row>
    <row r="2777" ht="22.5" customHeight="1">
      <c r="A2777" s="44"/>
      <c r="B2777" s="44"/>
      <c r="C2777" s="44"/>
      <c r="D2777" s="44"/>
      <c r="E2777" s="51"/>
      <c r="F2777" s="44" t="s">
        <v>1098</v>
      </c>
      <c r="G2777" s="46"/>
      <c r="H2777" s="53"/>
      <c r="I2777" s="53"/>
      <c r="J2777" s="44"/>
      <c r="K2777" s="48"/>
    </row>
    <row r="2778" ht="22.5" customHeight="1">
      <c r="A2778" s="44"/>
      <c r="B2778" s="44"/>
      <c r="C2778" s="44"/>
      <c r="D2778" s="44"/>
      <c r="E2778" s="51"/>
      <c r="F2778" s="44" t="s">
        <v>1098</v>
      </c>
      <c r="G2778" s="46"/>
      <c r="H2778" s="53"/>
      <c r="I2778" s="53"/>
      <c r="J2778" s="44"/>
      <c r="K2778" s="48"/>
    </row>
    <row r="2779" ht="22.5" customHeight="1">
      <c r="A2779" s="44"/>
      <c r="B2779" s="44"/>
      <c r="C2779" s="44"/>
      <c r="D2779" s="44"/>
      <c r="E2779" s="51"/>
      <c r="F2779" s="44" t="s">
        <v>1098</v>
      </c>
      <c r="G2779" s="46"/>
      <c r="H2779" s="53"/>
      <c r="I2779" s="53"/>
      <c r="J2779" s="44"/>
      <c r="K2779" s="48"/>
    </row>
    <row r="2780" ht="22.5" customHeight="1">
      <c r="A2780" s="44"/>
      <c r="B2780" s="44"/>
      <c r="C2780" s="44"/>
      <c r="D2780" s="44"/>
      <c r="E2780" s="51"/>
      <c r="F2780" s="44" t="s">
        <v>1098</v>
      </c>
      <c r="G2780" s="46"/>
      <c r="H2780" s="53"/>
      <c r="I2780" s="53"/>
      <c r="J2780" s="44"/>
      <c r="K2780" s="48"/>
    </row>
    <row r="2781" ht="22.5" customHeight="1">
      <c r="A2781" s="44"/>
      <c r="B2781" s="44"/>
      <c r="C2781" s="44"/>
      <c r="D2781" s="44"/>
      <c r="E2781" s="51"/>
      <c r="F2781" s="44" t="s">
        <v>1098</v>
      </c>
      <c r="G2781" s="46"/>
      <c r="H2781" s="53"/>
      <c r="I2781" s="53"/>
      <c r="J2781" s="44"/>
      <c r="K2781" s="48"/>
    </row>
    <row r="2782" ht="22.5" customHeight="1">
      <c r="A2782" s="44"/>
      <c r="B2782" s="44"/>
      <c r="C2782" s="44"/>
      <c r="D2782" s="44"/>
      <c r="E2782" s="51"/>
      <c r="F2782" s="44" t="s">
        <v>1098</v>
      </c>
      <c r="G2782" s="46"/>
      <c r="H2782" s="53"/>
      <c r="I2782" s="53"/>
      <c r="J2782" s="44"/>
      <c r="K2782" s="48"/>
    </row>
    <row r="2783" ht="22.5" customHeight="1">
      <c r="A2783" s="44"/>
      <c r="B2783" s="44"/>
      <c r="C2783" s="44"/>
      <c r="D2783" s="44"/>
      <c r="E2783" s="51"/>
      <c r="F2783" s="44" t="s">
        <v>1098</v>
      </c>
      <c r="G2783" s="46"/>
      <c r="H2783" s="53"/>
      <c r="I2783" s="53"/>
      <c r="J2783" s="44"/>
      <c r="K2783" s="48"/>
    </row>
    <row r="2784" ht="22.5" customHeight="1">
      <c r="A2784" s="44"/>
      <c r="B2784" s="44"/>
      <c r="C2784" s="44"/>
      <c r="D2784" s="44"/>
      <c r="E2784" s="51"/>
      <c r="F2784" s="44" t="s">
        <v>1098</v>
      </c>
      <c r="G2784" s="46"/>
      <c r="H2784" s="53"/>
      <c r="I2784" s="53"/>
      <c r="J2784" s="44"/>
      <c r="K2784" s="48"/>
    </row>
    <row r="2785" ht="22.5" customHeight="1">
      <c r="A2785" s="44"/>
      <c r="B2785" s="44"/>
      <c r="C2785" s="44"/>
      <c r="D2785" s="44"/>
      <c r="E2785" s="51"/>
      <c r="F2785" s="44" t="s">
        <v>1098</v>
      </c>
      <c r="G2785" s="46"/>
      <c r="H2785" s="53"/>
      <c r="I2785" s="53"/>
      <c r="J2785" s="44"/>
      <c r="K2785" s="48"/>
    </row>
    <row r="2786" ht="22.5" customHeight="1">
      <c r="A2786" s="44"/>
      <c r="B2786" s="44"/>
      <c r="C2786" s="44"/>
      <c r="D2786" s="44"/>
      <c r="E2786" s="51"/>
      <c r="F2786" s="44" t="s">
        <v>1098</v>
      </c>
      <c r="G2786" s="46"/>
      <c r="H2786" s="53"/>
      <c r="I2786" s="53"/>
      <c r="J2786" s="44"/>
      <c r="K2786" s="48"/>
    </row>
    <row r="2787" ht="22.5" customHeight="1">
      <c r="A2787" s="44"/>
      <c r="B2787" s="44"/>
      <c r="C2787" s="44"/>
      <c r="D2787" s="44"/>
      <c r="E2787" s="51"/>
      <c r="F2787" s="44" t="s">
        <v>1098</v>
      </c>
      <c r="G2787" s="46"/>
      <c r="H2787" s="53"/>
      <c r="I2787" s="53"/>
      <c r="J2787" s="44"/>
      <c r="K2787" s="48"/>
    </row>
    <row r="2788" ht="22.5" customHeight="1">
      <c r="A2788" s="44"/>
      <c r="B2788" s="44"/>
      <c r="C2788" s="44"/>
      <c r="D2788" s="44"/>
      <c r="E2788" s="51"/>
      <c r="F2788" s="44" t="s">
        <v>1098</v>
      </c>
      <c r="G2788" s="46"/>
      <c r="H2788" s="53"/>
      <c r="I2788" s="53"/>
      <c r="J2788" s="44"/>
      <c r="K2788" s="48"/>
    </row>
    <row r="2789" ht="22.5" customHeight="1">
      <c r="A2789" s="44"/>
      <c r="B2789" s="44"/>
      <c r="C2789" s="44"/>
      <c r="D2789" s="44"/>
      <c r="E2789" s="51"/>
      <c r="F2789" s="44" t="s">
        <v>1098</v>
      </c>
      <c r="G2789" s="46"/>
      <c r="H2789" s="53"/>
      <c r="I2789" s="53"/>
      <c r="J2789" s="44"/>
      <c r="K2789" s="48"/>
    </row>
    <row r="2790" ht="22.5" customHeight="1">
      <c r="A2790" s="44"/>
      <c r="B2790" s="44"/>
      <c r="C2790" s="44"/>
      <c r="D2790" s="44"/>
      <c r="E2790" s="51"/>
      <c r="F2790" s="44" t="s">
        <v>1098</v>
      </c>
      <c r="G2790" s="46"/>
      <c r="H2790" s="53"/>
      <c r="I2790" s="53"/>
      <c r="J2790" s="44"/>
      <c r="K2790" s="48"/>
    </row>
    <row r="2791" ht="22.5" customHeight="1">
      <c r="A2791" s="44"/>
      <c r="B2791" s="44"/>
      <c r="C2791" s="44"/>
      <c r="D2791" s="44"/>
      <c r="E2791" s="51"/>
      <c r="F2791" s="44" t="s">
        <v>1098</v>
      </c>
      <c r="G2791" s="46"/>
      <c r="H2791" s="53"/>
      <c r="I2791" s="53"/>
      <c r="J2791" s="44"/>
      <c r="K2791" s="48"/>
    </row>
    <row r="2792" ht="22.5" customHeight="1">
      <c r="A2792" s="44"/>
      <c r="B2792" s="44"/>
      <c r="C2792" s="44"/>
      <c r="D2792" s="44"/>
      <c r="E2792" s="51"/>
      <c r="F2792" s="44" t="s">
        <v>1098</v>
      </c>
      <c r="G2792" s="46"/>
      <c r="H2792" s="53"/>
      <c r="I2792" s="53"/>
      <c r="J2792" s="44"/>
      <c r="K2792" s="48"/>
    </row>
    <row r="2793" ht="22.5" customHeight="1">
      <c r="A2793" s="44"/>
      <c r="B2793" s="44"/>
      <c r="C2793" s="44"/>
      <c r="D2793" s="44"/>
      <c r="E2793" s="51"/>
      <c r="F2793" s="44" t="s">
        <v>1098</v>
      </c>
      <c r="G2793" s="46"/>
      <c r="H2793" s="53"/>
      <c r="I2793" s="53"/>
      <c r="J2793" s="44"/>
      <c r="K2793" s="48"/>
    </row>
    <row r="2794" ht="22.5" customHeight="1">
      <c r="A2794" s="44"/>
      <c r="B2794" s="44"/>
      <c r="C2794" s="44"/>
      <c r="D2794" s="44"/>
      <c r="E2794" s="51"/>
      <c r="F2794" s="44" t="s">
        <v>1098</v>
      </c>
      <c r="G2794" s="46"/>
      <c r="H2794" s="53"/>
      <c r="I2794" s="53"/>
      <c r="J2794" s="44"/>
      <c r="K2794" s="48"/>
    </row>
    <row r="2795" ht="22.5" customHeight="1">
      <c r="A2795" s="44"/>
      <c r="B2795" s="44"/>
      <c r="C2795" s="44"/>
      <c r="D2795" s="44"/>
      <c r="E2795" s="51"/>
      <c r="F2795" s="44" t="s">
        <v>1098</v>
      </c>
      <c r="G2795" s="46"/>
      <c r="H2795" s="53"/>
      <c r="I2795" s="53"/>
      <c r="J2795" s="44"/>
      <c r="K2795" s="48"/>
    </row>
    <row r="2796" ht="22.5" customHeight="1">
      <c r="A2796" s="44"/>
      <c r="B2796" s="44"/>
      <c r="C2796" s="44"/>
      <c r="D2796" s="44"/>
      <c r="E2796" s="51"/>
      <c r="F2796" s="44" t="s">
        <v>1098</v>
      </c>
      <c r="G2796" s="46"/>
      <c r="H2796" s="53"/>
      <c r="I2796" s="53"/>
      <c r="J2796" s="44"/>
      <c r="K2796" s="48"/>
    </row>
    <row r="2797" ht="22.5" customHeight="1">
      <c r="A2797" s="44"/>
      <c r="B2797" s="44"/>
      <c r="C2797" s="44"/>
      <c r="D2797" s="44"/>
      <c r="E2797" s="51"/>
      <c r="F2797" s="44" t="s">
        <v>1098</v>
      </c>
      <c r="G2797" s="46"/>
      <c r="H2797" s="53"/>
      <c r="I2797" s="53"/>
      <c r="J2797" s="44"/>
      <c r="K2797" s="48"/>
    </row>
    <row r="2798" ht="22.5" customHeight="1">
      <c r="A2798" s="44"/>
      <c r="B2798" s="44"/>
      <c r="C2798" s="44"/>
      <c r="D2798" s="44"/>
      <c r="E2798" s="51"/>
      <c r="F2798" s="44" t="s">
        <v>1098</v>
      </c>
      <c r="G2798" s="46"/>
      <c r="H2798" s="53"/>
      <c r="I2798" s="53"/>
      <c r="J2798" s="44"/>
      <c r="K2798" s="48"/>
    </row>
    <row r="2799" ht="22.5" customHeight="1">
      <c r="A2799" s="44"/>
      <c r="B2799" s="44"/>
      <c r="C2799" s="44"/>
      <c r="D2799" s="44"/>
      <c r="E2799" s="51"/>
      <c r="F2799" s="44" t="s">
        <v>1098</v>
      </c>
      <c r="G2799" s="46"/>
      <c r="H2799" s="53"/>
      <c r="I2799" s="53"/>
      <c r="J2799" s="44"/>
      <c r="K2799" s="48"/>
    </row>
    <row r="2800" ht="22.5" customHeight="1">
      <c r="A2800" s="44"/>
      <c r="B2800" s="44"/>
      <c r="C2800" s="44"/>
      <c r="D2800" s="44"/>
      <c r="E2800" s="51"/>
      <c r="F2800" s="44" t="s">
        <v>1098</v>
      </c>
      <c r="G2800" s="46"/>
      <c r="H2800" s="53"/>
      <c r="I2800" s="53"/>
      <c r="J2800" s="44"/>
      <c r="K2800" s="48"/>
    </row>
    <row r="2801" ht="22.5" customHeight="1">
      <c r="A2801" s="44"/>
      <c r="B2801" s="44"/>
      <c r="C2801" s="44"/>
      <c r="D2801" s="44"/>
      <c r="E2801" s="51"/>
      <c r="F2801" s="44" t="s">
        <v>1098</v>
      </c>
      <c r="G2801" s="46"/>
      <c r="H2801" s="53"/>
      <c r="I2801" s="53"/>
      <c r="J2801" s="44"/>
      <c r="K2801" s="48"/>
    </row>
    <row r="2802" ht="22.5" customHeight="1">
      <c r="A2802" s="44"/>
      <c r="B2802" s="44"/>
      <c r="C2802" s="44"/>
      <c r="D2802" s="44"/>
      <c r="E2802" s="51"/>
      <c r="F2802" s="44" t="s">
        <v>1098</v>
      </c>
      <c r="G2802" s="46"/>
      <c r="H2802" s="53"/>
      <c r="I2802" s="53"/>
      <c r="J2802" s="44"/>
      <c r="K2802" s="48"/>
    </row>
    <row r="2803" ht="22.5" customHeight="1">
      <c r="A2803" s="44"/>
      <c r="B2803" s="44"/>
      <c r="C2803" s="44"/>
      <c r="D2803" s="44"/>
      <c r="E2803" s="51"/>
      <c r="F2803" s="44" t="s">
        <v>1098</v>
      </c>
      <c r="G2803" s="46"/>
      <c r="H2803" s="53"/>
      <c r="I2803" s="53"/>
      <c r="J2803" s="44"/>
      <c r="K2803" s="48"/>
    </row>
    <row r="2804" ht="22.5" customHeight="1">
      <c r="A2804" s="44"/>
      <c r="B2804" s="44"/>
      <c r="C2804" s="44"/>
      <c r="D2804" s="44"/>
      <c r="E2804" s="51"/>
      <c r="F2804" s="44" t="s">
        <v>1098</v>
      </c>
      <c r="G2804" s="46"/>
      <c r="H2804" s="53"/>
      <c r="I2804" s="53"/>
      <c r="J2804" s="44"/>
      <c r="K2804" s="48"/>
    </row>
    <row r="2805" ht="22.5" customHeight="1">
      <c r="A2805" s="44"/>
      <c r="B2805" s="44"/>
      <c r="C2805" s="44"/>
      <c r="D2805" s="44"/>
      <c r="E2805" s="51"/>
      <c r="F2805" s="44" t="s">
        <v>1098</v>
      </c>
      <c r="G2805" s="46"/>
      <c r="H2805" s="53"/>
      <c r="I2805" s="53"/>
      <c r="J2805" s="44"/>
      <c r="K2805" s="48"/>
    </row>
    <row r="2806" ht="22.5" customHeight="1">
      <c r="A2806" s="44"/>
      <c r="B2806" s="44"/>
      <c r="C2806" s="44"/>
      <c r="D2806" s="44"/>
      <c r="E2806" s="51"/>
      <c r="F2806" s="44" t="s">
        <v>1098</v>
      </c>
      <c r="G2806" s="46"/>
      <c r="H2806" s="53"/>
      <c r="I2806" s="53"/>
      <c r="J2806" s="44"/>
      <c r="K2806" s="48"/>
    </row>
    <row r="2807" ht="22.5" customHeight="1">
      <c r="A2807" s="44"/>
      <c r="B2807" s="44"/>
      <c r="C2807" s="44"/>
      <c r="D2807" s="44"/>
      <c r="E2807" s="51"/>
      <c r="F2807" s="44" t="s">
        <v>1098</v>
      </c>
      <c r="G2807" s="46"/>
      <c r="H2807" s="53"/>
      <c r="I2807" s="53"/>
      <c r="J2807" s="44"/>
      <c r="K2807" s="48"/>
    </row>
    <row r="2808" ht="22.5" customHeight="1">
      <c r="A2808" s="44"/>
      <c r="B2808" s="44"/>
      <c r="C2808" s="44"/>
      <c r="D2808" s="44"/>
      <c r="E2808" s="51"/>
      <c r="F2808" s="44" t="s">
        <v>1098</v>
      </c>
      <c r="G2808" s="46"/>
      <c r="H2808" s="53"/>
      <c r="I2808" s="53"/>
      <c r="J2808" s="44"/>
      <c r="K2808" s="48"/>
    </row>
    <row r="2809" ht="22.5" customHeight="1">
      <c r="A2809" s="44"/>
      <c r="B2809" s="44"/>
      <c r="C2809" s="44"/>
      <c r="D2809" s="44"/>
      <c r="E2809" s="51"/>
      <c r="F2809" s="44" t="s">
        <v>1098</v>
      </c>
      <c r="G2809" s="46"/>
      <c r="H2809" s="53"/>
      <c r="I2809" s="53"/>
      <c r="J2809" s="44"/>
      <c r="K2809" s="48"/>
    </row>
    <row r="2810" ht="22.5" customHeight="1">
      <c r="A2810" s="44"/>
      <c r="B2810" s="44"/>
      <c r="C2810" s="44"/>
      <c r="D2810" s="44"/>
      <c r="E2810" s="51"/>
      <c r="F2810" s="44" t="s">
        <v>1098</v>
      </c>
      <c r="G2810" s="46"/>
      <c r="H2810" s="53"/>
      <c r="I2810" s="53"/>
      <c r="J2810" s="44"/>
      <c r="K2810" s="48"/>
    </row>
    <row r="2811" ht="22.5" customHeight="1">
      <c r="A2811" s="44"/>
      <c r="B2811" s="44"/>
      <c r="C2811" s="44"/>
      <c r="D2811" s="44"/>
      <c r="E2811" s="51"/>
      <c r="F2811" s="44" t="s">
        <v>1098</v>
      </c>
      <c r="G2811" s="46"/>
      <c r="H2811" s="53"/>
      <c r="I2811" s="53"/>
      <c r="J2811" s="44"/>
      <c r="K2811" s="48"/>
    </row>
    <row r="2812" ht="22.5" customHeight="1">
      <c r="A2812" s="44"/>
      <c r="B2812" s="44"/>
      <c r="C2812" s="44"/>
      <c r="D2812" s="44"/>
      <c r="E2812" s="51"/>
      <c r="F2812" s="44" t="s">
        <v>1098</v>
      </c>
      <c r="G2812" s="46"/>
      <c r="H2812" s="53"/>
      <c r="I2812" s="53"/>
      <c r="J2812" s="44"/>
      <c r="K2812" s="48"/>
    </row>
    <row r="2813" ht="22.5" customHeight="1">
      <c r="A2813" s="44"/>
      <c r="B2813" s="44"/>
      <c r="C2813" s="44"/>
      <c r="D2813" s="44"/>
      <c r="E2813" s="51"/>
      <c r="F2813" s="44" t="s">
        <v>1098</v>
      </c>
      <c r="G2813" s="46"/>
      <c r="H2813" s="53"/>
      <c r="I2813" s="53"/>
      <c r="J2813" s="44"/>
      <c r="K2813" s="48"/>
    </row>
    <row r="2814" ht="22.5" customHeight="1">
      <c r="A2814" s="44"/>
      <c r="B2814" s="44"/>
      <c r="C2814" s="44"/>
      <c r="D2814" s="44"/>
      <c r="E2814" s="51"/>
      <c r="F2814" s="44" t="s">
        <v>1098</v>
      </c>
      <c r="G2814" s="46"/>
      <c r="H2814" s="53"/>
      <c r="I2814" s="53"/>
      <c r="J2814" s="44"/>
      <c r="K2814" s="48"/>
    </row>
    <row r="2815" ht="22.5" customHeight="1">
      <c r="A2815" s="44"/>
      <c r="B2815" s="44"/>
      <c r="C2815" s="44"/>
      <c r="D2815" s="44"/>
      <c r="E2815" s="51"/>
      <c r="F2815" s="44" t="s">
        <v>1098</v>
      </c>
      <c r="G2815" s="46"/>
      <c r="H2815" s="53"/>
      <c r="I2815" s="53"/>
      <c r="J2815" s="44"/>
      <c r="K2815" s="48"/>
    </row>
    <row r="2816" ht="22.5" customHeight="1">
      <c r="A2816" s="44"/>
      <c r="B2816" s="44"/>
      <c r="C2816" s="44"/>
      <c r="D2816" s="44"/>
      <c r="E2816" s="51"/>
      <c r="F2816" s="44" t="s">
        <v>1098</v>
      </c>
      <c r="G2816" s="46"/>
      <c r="H2816" s="53"/>
      <c r="I2816" s="53"/>
      <c r="J2816" s="44"/>
      <c r="K2816" s="48"/>
    </row>
    <row r="2817" ht="22.5" customHeight="1">
      <c r="A2817" s="44"/>
      <c r="B2817" s="44"/>
      <c r="C2817" s="44"/>
      <c r="D2817" s="44"/>
      <c r="E2817" s="51"/>
      <c r="F2817" s="44" t="s">
        <v>1098</v>
      </c>
      <c r="G2817" s="46"/>
      <c r="H2817" s="53"/>
      <c r="I2817" s="53"/>
      <c r="J2817" s="44"/>
      <c r="K2817" s="48"/>
    </row>
    <row r="2818" ht="22.5" customHeight="1">
      <c r="A2818" s="44"/>
      <c r="B2818" s="44"/>
      <c r="C2818" s="44"/>
      <c r="D2818" s="44"/>
      <c r="E2818" s="51"/>
      <c r="F2818" s="44" t="s">
        <v>1098</v>
      </c>
      <c r="G2818" s="46"/>
      <c r="H2818" s="53"/>
      <c r="I2818" s="53"/>
      <c r="J2818" s="44"/>
      <c r="K2818" s="48"/>
    </row>
    <row r="2819" ht="22.5" customHeight="1">
      <c r="A2819" s="44"/>
      <c r="B2819" s="44"/>
      <c r="C2819" s="44"/>
      <c r="D2819" s="44"/>
      <c r="E2819" s="51"/>
      <c r="F2819" s="44" t="s">
        <v>1098</v>
      </c>
      <c r="G2819" s="46"/>
      <c r="H2819" s="53"/>
      <c r="I2819" s="53"/>
      <c r="J2819" s="44"/>
      <c r="K2819" s="48"/>
    </row>
    <row r="2820" ht="22.5" customHeight="1">
      <c r="A2820" s="44"/>
      <c r="B2820" s="44"/>
      <c r="C2820" s="44"/>
      <c r="D2820" s="44"/>
      <c r="E2820" s="51"/>
      <c r="F2820" s="44" t="s">
        <v>1098</v>
      </c>
      <c r="G2820" s="46"/>
      <c r="H2820" s="53"/>
      <c r="I2820" s="53"/>
      <c r="J2820" s="44"/>
      <c r="K2820" s="48"/>
    </row>
    <row r="2821" ht="22.5" customHeight="1">
      <c r="A2821" s="44"/>
      <c r="B2821" s="44"/>
      <c r="C2821" s="44"/>
      <c r="D2821" s="44"/>
      <c r="E2821" s="51"/>
      <c r="F2821" s="44" t="s">
        <v>1098</v>
      </c>
      <c r="G2821" s="46"/>
      <c r="H2821" s="53"/>
      <c r="I2821" s="53"/>
      <c r="J2821" s="44"/>
      <c r="K2821" s="48"/>
    </row>
    <row r="2822" ht="22.5" customHeight="1">
      <c r="A2822" s="44"/>
      <c r="B2822" s="44"/>
      <c r="C2822" s="44"/>
      <c r="D2822" s="44"/>
      <c r="E2822" s="51"/>
      <c r="F2822" s="44" t="s">
        <v>1098</v>
      </c>
      <c r="G2822" s="46"/>
      <c r="H2822" s="53"/>
      <c r="I2822" s="53"/>
      <c r="J2822" s="44"/>
      <c r="K2822" s="48"/>
    </row>
    <row r="2823" ht="22.5" customHeight="1">
      <c r="A2823" s="44"/>
      <c r="B2823" s="44"/>
      <c r="C2823" s="44"/>
      <c r="D2823" s="44"/>
      <c r="E2823" s="51"/>
      <c r="F2823" s="44" t="s">
        <v>1098</v>
      </c>
      <c r="G2823" s="46"/>
      <c r="H2823" s="53"/>
      <c r="I2823" s="53"/>
      <c r="J2823" s="44"/>
      <c r="K2823" s="48"/>
    </row>
    <row r="2824" ht="22.5" customHeight="1">
      <c r="A2824" s="44"/>
      <c r="B2824" s="44"/>
      <c r="C2824" s="44"/>
      <c r="D2824" s="44"/>
      <c r="E2824" s="51"/>
      <c r="F2824" s="44" t="s">
        <v>1098</v>
      </c>
      <c r="G2824" s="46"/>
      <c r="H2824" s="53"/>
      <c r="I2824" s="53"/>
      <c r="J2824" s="44"/>
      <c r="K2824" s="48"/>
    </row>
    <row r="2825" ht="22.5" customHeight="1">
      <c r="A2825" s="44"/>
      <c r="B2825" s="44"/>
      <c r="C2825" s="44"/>
      <c r="D2825" s="44"/>
      <c r="E2825" s="51"/>
      <c r="F2825" s="44" t="s">
        <v>1098</v>
      </c>
      <c r="G2825" s="46"/>
      <c r="H2825" s="53"/>
      <c r="I2825" s="53"/>
      <c r="J2825" s="44"/>
      <c r="K2825" s="48"/>
    </row>
    <row r="2826" ht="22.5" customHeight="1">
      <c r="A2826" s="44"/>
      <c r="B2826" s="44"/>
      <c r="C2826" s="44"/>
      <c r="D2826" s="44"/>
      <c r="E2826" s="51"/>
      <c r="F2826" s="44" t="s">
        <v>1098</v>
      </c>
      <c r="G2826" s="46"/>
      <c r="H2826" s="53"/>
      <c r="I2826" s="53"/>
      <c r="J2826" s="44"/>
      <c r="K2826" s="48"/>
    </row>
    <row r="2827" ht="22.5" customHeight="1">
      <c r="A2827" s="44"/>
      <c r="B2827" s="44"/>
      <c r="C2827" s="44"/>
      <c r="D2827" s="44"/>
      <c r="E2827" s="51"/>
      <c r="F2827" s="44" t="s">
        <v>1098</v>
      </c>
      <c r="G2827" s="46"/>
      <c r="H2827" s="53"/>
      <c r="I2827" s="53"/>
      <c r="J2827" s="44"/>
      <c r="K2827" s="48"/>
    </row>
    <row r="2828" ht="22.5" customHeight="1">
      <c r="A2828" s="44"/>
      <c r="B2828" s="44"/>
      <c r="C2828" s="44"/>
      <c r="D2828" s="44"/>
      <c r="E2828" s="51"/>
      <c r="F2828" s="44" t="s">
        <v>1098</v>
      </c>
      <c r="G2828" s="46"/>
      <c r="H2828" s="53"/>
      <c r="I2828" s="53"/>
      <c r="J2828" s="44"/>
      <c r="K2828" s="48"/>
    </row>
    <row r="2829" ht="22.5" customHeight="1">
      <c r="A2829" s="44"/>
      <c r="B2829" s="44"/>
      <c r="C2829" s="44"/>
      <c r="D2829" s="44"/>
      <c r="E2829" s="51"/>
      <c r="F2829" s="44" t="s">
        <v>1098</v>
      </c>
      <c r="G2829" s="46"/>
      <c r="H2829" s="53"/>
      <c r="I2829" s="53"/>
      <c r="J2829" s="44"/>
      <c r="K2829" s="48"/>
    </row>
    <row r="2830" ht="22.5" customHeight="1">
      <c r="A2830" s="44"/>
      <c r="B2830" s="44"/>
      <c r="C2830" s="44"/>
      <c r="D2830" s="44"/>
      <c r="E2830" s="51"/>
      <c r="F2830" s="44" t="s">
        <v>1098</v>
      </c>
      <c r="G2830" s="46"/>
      <c r="H2830" s="53"/>
      <c r="I2830" s="53"/>
      <c r="J2830" s="44"/>
      <c r="K2830" s="48"/>
    </row>
    <row r="2831" ht="22.5" customHeight="1">
      <c r="A2831" s="44"/>
      <c r="B2831" s="44"/>
      <c r="C2831" s="44"/>
      <c r="D2831" s="44"/>
      <c r="E2831" s="51"/>
      <c r="F2831" s="44" t="s">
        <v>1098</v>
      </c>
      <c r="G2831" s="46"/>
      <c r="H2831" s="53"/>
      <c r="I2831" s="53"/>
      <c r="J2831" s="44"/>
      <c r="K2831" s="48"/>
    </row>
    <row r="2832" ht="22.5" customHeight="1">
      <c r="A2832" s="44"/>
      <c r="B2832" s="44"/>
      <c r="C2832" s="44"/>
      <c r="D2832" s="44"/>
      <c r="E2832" s="51"/>
      <c r="F2832" s="44" t="s">
        <v>1098</v>
      </c>
      <c r="G2832" s="46"/>
      <c r="H2832" s="53"/>
      <c r="I2832" s="53"/>
      <c r="J2832" s="44"/>
      <c r="K2832" s="48"/>
    </row>
    <row r="2833" ht="22.5" customHeight="1">
      <c r="A2833" s="44"/>
      <c r="B2833" s="44"/>
      <c r="C2833" s="44"/>
      <c r="D2833" s="44"/>
      <c r="E2833" s="51"/>
      <c r="F2833" s="44" t="s">
        <v>1098</v>
      </c>
      <c r="G2833" s="46"/>
      <c r="H2833" s="53"/>
      <c r="I2833" s="53"/>
      <c r="J2833" s="44"/>
      <c r="K2833" s="48"/>
    </row>
    <row r="2834" ht="22.5" customHeight="1">
      <c r="A2834" s="44"/>
      <c r="B2834" s="44"/>
      <c r="C2834" s="44"/>
      <c r="D2834" s="44"/>
      <c r="E2834" s="51"/>
      <c r="F2834" s="44" t="s">
        <v>1098</v>
      </c>
      <c r="G2834" s="46"/>
      <c r="H2834" s="53"/>
      <c r="I2834" s="53"/>
      <c r="J2834" s="44"/>
      <c r="K2834" s="48"/>
    </row>
    <row r="2835" ht="22.5" customHeight="1">
      <c r="A2835" s="44"/>
      <c r="B2835" s="44"/>
      <c r="C2835" s="44"/>
      <c r="D2835" s="44"/>
      <c r="E2835" s="51"/>
      <c r="F2835" s="44" t="s">
        <v>1098</v>
      </c>
      <c r="G2835" s="46"/>
      <c r="H2835" s="53"/>
      <c r="I2835" s="53"/>
      <c r="J2835" s="44"/>
      <c r="K2835" s="48"/>
    </row>
    <row r="2836" ht="22.5" customHeight="1">
      <c r="A2836" s="44"/>
      <c r="B2836" s="44"/>
      <c r="C2836" s="44"/>
      <c r="D2836" s="44"/>
      <c r="E2836" s="51"/>
      <c r="F2836" s="44" t="s">
        <v>1098</v>
      </c>
      <c r="G2836" s="46"/>
      <c r="H2836" s="53"/>
      <c r="I2836" s="53"/>
      <c r="J2836" s="44"/>
      <c r="K2836" s="48"/>
    </row>
    <row r="2837" ht="22.5" customHeight="1">
      <c r="A2837" s="44"/>
      <c r="B2837" s="44"/>
      <c r="C2837" s="44"/>
      <c r="D2837" s="44"/>
      <c r="E2837" s="51"/>
      <c r="F2837" s="44" t="s">
        <v>1098</v>
      </c>
      <c r="G2837" s="46"/>
      <c r="H2837" s="53"/>
      <c r="I2837" s="53"/>
      <c r="J2837" s="44"/>
      <c r="K2837" s="48"/>
    </row>
    <row r="2838" ht="22.5" customHeight="1">
      <c r="A2838" s="44"/>
      <c r="B2838" s="44"/>
      <c r="C2838" s="44"/>
      <c r="D2838" s="44"/>
      <c r="E2838" s="51"/>
      <c r="F2838" s="44" t="s">
        <v>1098</v>
      </c>
      <c r="G2838" s="46"/>
      <c r="H2838" s="53"/>
      <c r="I2838" s="53"/>
      <c r="J2838" s="44"/>
      <c r="K2838" s="48"/>
    </row>
    <row r="2839" ht="22.5" customHeight="1">
      <c r="A2839" s="44"/>
      <c r="B2839" s="44"/>
      <c r="C2839" s="44"/>
      <c r="D2839" s="44"/>
      <c r="E2839" s="51"/>
      <c r="F2839" s="44" t="s">
        <v>1098</v>
      </c>
      <c r="G2839" s="46"/>
      <c r="H2839" s="53"/>
      <c r="I2839" s="53"/>
      <c r="J2839" s="44"/>
      <c r="K2839" s="48"/>
    </row>
    <row r="2840" ht="22.5" customHeight="1">
      <c r="A2840" s="44"/>
      <c r="B2840" s="44"/>
      <c r="C2840" s="44"/>
      <c r="D2840" s="44"/>
      <c r="E2840" s="51"/>
      <c r="F2840" s="44" t="s">
        <v>1098</v>
      </c>
      <c r="G2840" s="46"/>
      <c r="H2840" s="53"/>
      <c r="I2840" s="53"/>
      <c r="J2840" s="44"/>
      <c r="K2840" s="48"/>
    </row>
    <row r="2841" ht="22.5" customHeight="1">
      <c r="A2841" s="44"/>
      <c r="B2841" s="44"/>
      <c r="C2841" s="44"/>
      <c r="D2841" s="44"/>
      <c r="E2841" s="51"/>
      <c r="F2841" s="44" t="s">
        <v>1098</v>
      </c>
      <c r="G2841" s="46"/>
      <c r="H2841" s="53"/>
      <c r="I2841" s="53"/>
      <c r="J2841" s="44"/>
      <c r="K2841" s="48"/>
    </row>
    <row r="2842" ht="22.5" customHeight="1">
      <c r="A2842" s="44"/>
      <c r="B2842" s="44"/>
      <c r="C2842" s="44"/>
      <c r="D2842" s="44"/>
      <c r="E2842" s="51"/>
      <c r="F2842" s="44" t="s">
        <v>1098</v>
      </c>
      <c r="G2842" s="46"/>
      <c r="H2842" s="53"/>
      <c r="I2842" s="53"/>
      <c r="J2842" s="44"/>
      <c r="K2842" s="48"/>
    </row>
    <row r="2843" ht="22.5" customHeight="1">
      <c r="A2843" s="44"/>
      <c r="B2843" s="44"/>
      <c r="C2843" s="44"/>
      <c r="D2843" s="44"/>
      <c r="E2843" s="51"/>
      <c r="F2843" s="44" t="s">
        <v>1098</v>
      </c>
      <c r="G2843" s="46"/>
      <c r="H2843" s="53"/>
      <c r="I2843" s="53"/>
      <c r="J2843" s="44"/>
      <c r="K2843" s="48"/>
    </row>
    <row r="2844" ht="22.5" customHeight="1">
      <c r="A2844" s="44"/>
      <c r="B2844" s="44"/>
      <c r="C2844" s="44"/>
      <c r="D2844" s="44"/>
      <c r="E2844" s="51"/>
      <c r="F2844" s="44" t="s">
        <v>1098</v>
      </c>
      <c r="G2844" s="46"/>
      <c r="H2844" s="53"/>
      <c r="I2844" s="53"/>
      <c r="J2844" s="44"/>
      <c r="K2844" s="48"/>
    </row>
    <row r="2845" ht="22.5" customHeight="1">
      <c r="A2845" s="44"/>
      <c r="B2845" s="44"/>
      <c r="C2845" s="44"/>
      <c r="D2845" s="44"/>
      <c r="E2845" s="51"/>
      <c r="F2845" s="44" t="s">
        <v>1098</v>
      </c>
      <c r="G2845" s="46"/>
      <c r="H2845" s="53"/>
      <c r="I2845" s="53"/>
      <c r="J2845" s="44"/>
      <c r="K2845" s="48"/>
    </row>
    <row r="2846" ht="22.5" customHeight="1">
      <c r="A2846" s="44"/>
      <c r="B2846" s="44"/>
      <c r="C2846" s="44"/>
      <c r="D2846" s="44"/>
      <c r="E2846" s="51"/>
      <c r="F2846" s="44" t="s">
        <v>1098</v>
      </c>
      <c r="G2846" s="46"/>
      <c r="H2846" s="53"/>
      <c r="I2846" s="53"/>
      <c r="J2846" s="44"/>
      <c r="K2846" s="48"/>
    </row>
    <row r="2847" ht="22.5" customHeight="1">
      <c r="A2847" s="44"/>
      <c r="B2847" s="44"/>
      <c r="C2847" s="44"/>
      <c r="D2847" s="44"/>
      <c r="E2847" s="51"/>
      <c r="F2847" s="44" t="s">
        <v>1098</v>
      </c>
      <c r="G2847" s="46"/>
      <c r="H2847" s="53"/>
      <c r="I2847" s="53"/>
      <c r="J2847" s="44"/>
      <c r="K2847" s="48"/>
    </row>
    <row r="2848" ht="22.5" customHeight="1">
      <c r="A2848" s="44"/>
      <c r="B2848" s="44"/>
      <c r="C2848" s="44"/>
      <c r="D2848" s="44"/>
      <c r="E2848" s="51"/>
      <c r="F2848" s="44" t="s">
        <v>1098</v>
      </c>
      <c r="G2848" s="46"/>
      <c r="H2848" s="53"/>
      <c r="I2848" s="53"/>
      <c r="J2848" s="44"/>
      <c r="K2848" s="48"/>
    </row>
    <row r="2849" ht="22.5" customHeight="1">
      <c r="A2849" s="44"/>
      <c r="B2849" s="44"/>
      <c r="C2849" s="44"/>
      <c r="D2849" s="44"/>
      <c r="E2849" s="51"/>
      <c r="F2849" s="44" t="s">
        <v>1098</v>
      </c>
      <c r="G2849" s="46"/>
      <c r="H2849" s="53"/>
      <c r="I2849" s="53"/>
      <c r="J2849" s="44"/>
      <c r="K2849" s="48"/>
    </row>
    <row r="2850" ht="22.5" customHeight="1">
      <c r="A2850" s="44"/>
      <c r="B2850" s="44"/>
      <c r="C2850" s="44"/>
      <c r="D2850" s="44"/>
      <c r="E2850" s="51"/>
      <c r="F2850" s="44" t="s">
        <v>1098</v>
      </c>
      <c r="G2850" s="46"/>
      <c r="H2850" s="53"/>
      <c r="I2850" s="53"/>
      <c r="J2850" s="44"/>
      <c r="K2850" s="48"/>
    </row>
    <row r="2851" ht="22.5" customHeight="1">
      <c r="A2851" s="44"/>
      <c r="B2851" s="44"/>
      <c r="C2851" s="44"/>
      <c r="D2851" s="44"/>
      <c r="E2851" s="51"/>
      <c r="F2851" s="44" t="s">
        <v>1098</v>
      </c>
      <c r="G2851" s="46"/>
      <c r="H2851" s="53"/>
      <c r="I2851" s="53"/>
      <c r="J2851" s="44"/>
      <c r="K2851" s="48"/>
    </row>
    <row r="2852" ht="22.5" customHeight="1">
      <c r="A2852" s="44"/>
      <c r="B2852" s="44"/>
      <c r="C2852" s="44"/>
      <c r="D2852" s="44"/>
      <c r="E2852" s="51"/>
      <c r="F2852" s="44" t="s">
        <v>1098</v>
      </c>
      <c r="G2852" s="46"/>
      <c r="H2852" s="53"/>
      <c r="I2852" s="53"/>
      <c r="J2852" s="44"/>
      <c r="K2852" s="48"/>
    </row>
    <row r="2853" ht="22.5" customHeight="1">
      <c r="A2853" s="44"/>
      <c r="B2853" s="44"/>
      <c r="C2853" s="44"/>
      <c r="D2853" s="44"/>
      <c r="E2853" s="51"/>
      <c r="F2853" s="44" t="s">
        <v>1098</v>
      </c>
      <c r="G2853" s="46"/>
      <c r="H2853" s="53"/>
      <c r="I2853" s="53"/>
      <c r="J2853" s="44"/>
      <c r="K2853" s="48"/>
    </row>
    <row r="2854" ht="22.5" customHeight="1">
      <c r="A2854" s="44"/>
      <c r="B2854" s="44"/>
      <c r="C2854" s="44"/>
      <c r="D2854" s="44"/>
      <c r="E2854" s="51"/>
      <c r="F2854" s="44" t="s">
        <v>1098</v>
      </c>
      <c r="G2854" s="46"/>
      <c r="H2854" s="53"/>
      <c r="I2854" s="53"/>
      <c r="J2854" s="44"/>
      <c r="K2854" s="48"/>
    </row>
    <row r="2855" ht="22.5" customHeight="1">
      <c r="A2855" s="44"/>
      <c r="B2855" s="44"/>
      <c r="C2855" s="44"/>
      <c r="D2855" s="44"/>
      <c r="E2855" s="51"/>
      <c r="F2855" s="44" t="s">
        <v>1098</v>
      </c>
      <c r="G2855" s="46"/>
      <c r="H2855" s="53"/>
      <c r="I2855" s="53"/>
      <c r="J2855" s="44"/>
      <c r="K2855" s="48"/>
    </row>
    <row r="2856" ht="22.5" customHeight="1">
      <c r="A2856" s="44"/>
      <c r="B2856" s="44"/>
      <c r="C2856" s="44"/>
      <c r="D2856" s="44"/>
      <c r="E2856" s="51"/>
      <c r="F2856" s="44" t="s">
        <v>1098</v>
      </c>
      <c r="G2856" s="46"/>
      <c r="H2856" s="53"/>
      <c r="I2856" s="53"/>
      <c r="J2856" s="44"/>
      <c r="K2856" s="48"/>
    </row>
    <row r="2857" ht="22.5" customHeight="1">
      <c r="A2857" s="44"/>
      <c r="B2857" s="44"/>
      <c r="C2857" s="44"/>
      <c r="D2857" s="44"/>
      <c r="E2857" s="51"/>
      <c r="F2857" s="44" t="s">
        <v>1098</v>
      </c>
      <c r="G2857" s="46"/>
      <c r="H2857" s="53"/>
      <c r="I2857" s="53"/>
      <c r="J2857" s="44"/>
      <c r="K2857" s="48"/>
    </row>
    <row r="2858" ht="22.5" customHeight="1">
      <c r="A2858" s="44"/>
      <c r="B2858" s="44"/>
      <c r="C2858" s="44"/>
      <c r="D2858" s="44"/>
      <c r="E2858" s="51"/>
      <c r="F2858" s="44" t="s">
        <v>1098</v>
      </c>
      <c r="G2858" s="46"/>
      <c r="H2858" s="53"/>
      <c r="I2858" s="53"/>
      <c r="J2858" s="44"/>
      <c r="K2858" s="48"/>
    </row>
    <row r="2859" ht="22.5" customHeight="1">
      <c r="A2859" s="44"/>
      <c r="B2859" s="44"/>
      <c r="C2859" s="44"/>
      <c r="D2859" s="44"/>
      <c r="E2859" s="51"/>
      <c r="F2859" s="44" t="s">
        <v>1098</v>
      </c>
      <c r="G2859" s="46"/>
      <c r="H2859" s="53"/>
      <c r="I2859" s="53"/>
      <c r="J2859" s="44"/>
      <c r="K2859" s="48"/>
    </row>
    <row r="2860" ht="22.5" customHeight="1">
      <c r="A2860" s="44"/>
      <c r="B2860" s="44"/>
      <c r="C2860" s="44"/>
      <c r="D2860" s="44"/>
      <c r="E2860" s="51"/>
      <c r="F2860" s="44" t="s">
        <v>1098</v>
      </c>
      <c r="G2860" s="46"/>
      <c r="H2860" s="53"/>
      <c r="I2860" s="53"/>
      <c r="J2860" s="44"/>
      <c r="K2860" s="48"/>
    </row>
    <row r="2861" ht="22.5" customHeight="1">
      <c r="A2861" s="44"/>
      <c r="B2861" s="44"/>
      <c r="C2861" s="44"/>
      <c r="D2861" s="44"/>
      <c r="E2861" s="51"/>
      <c r="F2861" s="44" t="s">
        <v>1098</v>
      </c>
      <c r="G2861" s="46"/>
      <c r="H2861" s="53"/>
      <c r="I2861" s="53"/>
      <c r="J2861" s="44"/>
      <c r="K2861" s="48"/>
    </row>
    <row r="2862" ht="22.5" customHeight="1">
      <c r="A2862" s="44"/>
      <c r="B2862" s="44"/>
      <c r="C2862" s="44"/>
      <c r="D2862" s="44"/>
      <c r="E2862" s="51"/>
      <c r="F2862" s="44" t="s">
        <v>1098</v>
      </c>
      <c r="G2862" s="46"/>
      <c r="H2862" s="53"/>
      <c r="I2862" s="53"/>
      <c r="J2862" s="44"/>
      <c r="K2862" s="48"/>
    </row>
    <row r="2863" ht="22.5" customHeight="1">
      <c r="A2863" s="44"/>
      <c r="B2863" s="44"/>
      <c r="C2863" s="44"/>
      <c r="D2863" s="44"/>
      <c r="E2863" s="51"/>
      <c r="F2863" s="44" t="s">
        <v>1098</v>
      </c>
      <c r="G2863" s="46"/>
      <c r="H2863" s="53"/>
      <c r="I2863" s="53"/>
      <c r="J2863" s="44"/>
      <c r="K2863" s="48"/>
    </row>
    <row r="2864" ht="22.5" customHeight="1">
      <c r="A2864" s="44"/>
      <c r="B2864" s="44"/>
      <c r="C2864" s="44"/>
      <c r="D2864" s="44"/>
      <c r="E2864" s="51"/>
      <c r="F2864" s="44" t="s">
        <v>1098</v>
      </c>
      <c r="G2864" s="46"/>
      <c r="H2864" s="53"/>
      <c r="I2864" s="53"/>
      <c r="J2864" s="44"/>
      <c r="K2864" s="48"/>
    </row>
    <row r="2865" ht="22.5" customHeight="1">
      <c r="A2865" s="44"/>
      <c r="B2865" s="44"/>
      <c r="C2865" s="44"/>
      <c r="D2865" s="44"/>
      <c r="E2865" s="51"/>
      <c r="F2865" s="44" t="s">
        <v>1098</v>
      </c>
      <c r="G2865" s="46"/>
      <c r="H2865" s="53"/>
      <c r="I2865" s="53"/>
      <c r="J2865" s="44"/>
      <c r="K2865" s="48"/>
    </row>
    <row r="2866" ht="22.5" customHeight="1">
      <c r="A2866" s="44"/>
      <c r="B2866" s="44"/>
      <c r="C2866" s="44"/>
      <c r="D2866" s="44"/>
      <c r="E2866" s="51"/>
      <c r="F2866" s="44" t="s">
        <v>1098</v>
      </c>
      <c r="G2866" s="46"/>
      <c r="H2866" s="53"/>
      <c r="I2866" s="53"/>
      <c r="J2866" s="44"/>
      <c r="K2866" s="48"/>
    </row>
    <row r="2867" ht="22.5" customHeight="1">
      <c r="A2867" s="44"/>
      <c r="B2867" s="44"/>
      <c r="C2867" s="44"/>
      <c r="D2867" s="44"/>
      <c r="E2867" s="51"/>
      <c r="F2867" s="44" t="s">
        <v>1098</v>
      </c>
      <c r="G2867" s="46"/>
      <c r="H2867" s="53"/>
      <c r="I2867" s="53"/>
      <c r="J2867" s="44"/>
      <c r="K2867" s="48"/>
    </row>
    <row r="2868" ht="22.5" customHeight="1">
      <c r="A2868" s="44"/>
      <c r="B2868" s="44"/>
      <c r="C2868" s="44"/>
      <c r="D2868" s="44"/>
      <c r="E2868" s="51"/>
      <c r="F2868" s="44" t="s">
        <v>1098</v>
      </c>
      <c r="G2868" s="46"/>
      <c r="H2868" s="53"/>
      <c r="I2868" s="53"/>
      <c r="J2868" s="44"/>
      <c r="K2868" s="48"/>
    </row>
    <row r="2869" ht="22.5" customHeight="1">
      <c r="A2869" s="44"/>
      <c r="B2869" s="44"/>
      <c r="C2869" s="44"/>
      <c r="D2869" s="44"/>
      <c r="E2869" s="51"/>
      <c r="F2869" s="44" t="s">
        <v>1098</v>
      </c>
      <c r="G2869" s="46"/>
      <c r="H2869" s="53"/>
      <c r="I2869" s="53"/>
      <c r="J2869" s="44"/>
      <c r="K2869" s="48"/>
    </row>
    <row r="2870" ht="22.5" customHeight="1">
      <c r="A2870" s="44"/>
      <c r="B2870" s="44"/>
      <c r="C2870" s="44"/>
      <c r="D2870" s="44"/>
      <c r="E2870" s="51"/>
      <c r="F2870" s="44" t="s">
        <v>1098</v>
      </c>
      <c r="G2870" s="46"/>
      <c r="H2870" s="53"/>
      <c r="I2870" s="53"/>
      <c r="J2870" s="44"/>
      <c r="K2870" s="48"/>
    </row>
    <row r="2871" ht="22.5" customHeight="1">
      <c r="A2871" s="44"/>
      <c r="B2871" s="44"/>
      <c r="C2871" s="44"/>
      <c r="D2871" s="44"/>
      <c r="E2871" s="51"/>
      <c r="F2871" s="44" t="s">
        <v>1098</v>
      </c>
      <c r="G2871" s="46"/>
      <c r="H2871" s="53"/>
      <c r="I2871" s="53"/>
      <c r="J2871" s="44"/>
      <c r="K2871" s="48"/>
    </row>
    <row r="2872" ht="22.5" customHeight="1">
      <c r="A2872" s="44"/>
      <c r="B2872" s="44"/>
      <c r="C2872" s="44"/>
      <c r="D2872" s="44"/>
      <c r="E2872" s="51"/>
      <c r="F2872" s="44" t="s">
        <v>1098</v>
      </c>
      <c r="G2872" s="46"/>
      <c r="H2872" s="53"/>
      <c r="I2872" s="53"/>
      <c r="J2872" s="44"/>
      <c r="K2872" s="48"/>
    </row>
    <row r="2873" ht="22.5" customHeight="1">
      <c r="A2873" s="44"/>
      <c r="B2873" s="44"/>
      <c r="C2873" s="44"/>
      <c r="D2873" s="44"/>
      <c r="E2873" s="51"/>
      <c r="F2873" s="44" t="s">
        <v>1098</v>
      </c>
      <c r="G2873" s="46"/>
      <c r="H2873" s="53"/>
      <c r="I2873" s="53"/>
      <c r="J2873" s="44"/>
      <c r="K2873" s="48"/>
    </row>
    <row r="2874" ht="22.5" customHeight="1">
      <c r="A2874" s="44"/>
      <c r="B2874" s="44"/>
      <c r="C2874" s="44"/>
      <c r="D2874" s="44"/>
      <c r="E2874" s="51"/>
      <c r="F2874" s="44" t="s">
        <v>1098</v>
      </c>
      <c r="G2874" s="46"/>
      <c r="H2874" s="53"/>
      <c r="I2874" s="53"/>
      <c r="J2874" s="44"/>
      <c r="K2874" s="48"/>
    </row>
    <row r="2875" ht="22.5" customHeight="1">
      <c r="A2875" s="44"/>
      <c r="B2875" s="44"/>
      <c r="C2875" s="44"/>
      <c r="D2875" s="44"/>
      <c r="E2875" s="51"/>
      <c r="F2875" s="44" t="s">
        <v>1098</v>
      </c>
      <c r="G2875" s="46"/>
      <c r="H2875" s="53"/>
      <c r="I2875" s="53"/>
      <c r="J2875" s="44"/>
      <c r="K2875" s="48"/>
    </row>
    <row r="2876" ht="22.5" customHeight="1">
      <c r="A2876" s="44"/>
      <c r="B2876" s="44"/>
      <c r="C2876" s="44"/>
      <c r="D2876" s="44"/>
      <c r="E2876" s="51"/>
      <c r="F2876" s="44" t="s">
        <v>1098</v>
      </c>
      <c r="G2876" s="46"/>
      <c r="H2876" s="53"/>
      <c r="I2876" s="53"/>
      <c r="J2876" s="44"/>
      <c r="K2876" s="48"/>
    </row>
    <row r="2877" ht="22.5" customHeight="1">
      <c r="A2877" s="44"/>
      <c r="B2877" s="44"/>
      <c r="C2877" s="44"/>
      <c r="D2877" s="44"/>
      <c r="E2877" s="51"/>
      <c r="F2877" s="44" t="s">
        <v>1098</v>
      </c>
      <c r="G2877" s="46"/>
      <c r="H2877" s="53"/>
      <c r="I2877" s="53"/>
      <c r="J2877" s="44"/>
      <c r="K2877" s="48"/>
    </row>
    <row r="2878" ht="22.5" customHeight="1">
      <c r="A2878" s="44"/>
      <c r="B2878" s="44"/>
      <c r="C2878" s="44"/>
      <c r="D2878" s="44"/>
      <c r="E2878" s="51"/>
      <c r="F2878" s="44" t="s">
        <v>1098</v>
      </c>
      <c r="G2878" s="46"/>
      <c r="H2878" s="53"/>
      <c r="I2878" s="53"/>
      <c r="J2878" s="44"/>
      <c r="K2878" s="48"/>
    </row>
    <row r="2879" ht="22.5" customHeight="1">
      <c r="A2879" s="44"/>
      <c r="B2879" s="44"/>
      <c r="C2879" s="44"/>
      <c r="D2879" s="44"/>
      <c r="E2879" s="51"/>
      <c r="F2879" s="44" t="s">
        <v>1098</v>
      </c>
      <c r="G2879" s="46"/>
      <c r="H2879" s="53"/>
      <c r="I2879" s="53"/>
      <c r="J2879" s="44"/>
      <c r="K2879" s="48"/>
    </row>
    <row r="2880" ht="22.5" customHeight="1">
      <c r="A2880" s="44"/>
      <c r="B2880" s="44"/>
      <c r="C2880" s="44"/>
      <c r="D2880" s="44"/>
      <c r="E2880" s="51"/>
      <c r="F2880" s="44" t="s">
        <v>1098</v>
      </c>
      <c r="G2880" s="46"/>
      <c r="H2880" s="53"/>
      <c r="I2880" s="53"/>
      <c r="J2880" s="44"/>
      <c r="K2880" s="48"/>
    </row>
    <row r="2881" ht="22.5" customHeight="1">
      <c r="A2881" s="44"/>
      <c r="B2881" s="44"/>
      <c r="C2881" s="44"/>
      <c r="D2881" s="44"/>
      <c r="E2881" s="51"/>
      <c r="F2881" s="44" t="s">
        <v>1098</v>
      </c>
      <c r="G2881" s="46"/>
      <c r="H2881" s="53"/>
      <c r="I2881" s="53"/>
      <c r="J2881" s="44"/>
      <c r="K2881" s="48"/>
    </row>
    <row r="2882" ht="22.5" customHeight="1">
      <c r="A2882" s="44"/>
      <c r="B2882" s="44"/>
      <c r="C2882" s="44"/>
      <c r="D2882" s="44"/>
      <c r="E2882" s="51"/>
      <c r="F2882" s="44" t="s">
        <v>1098</v>
      </c>
      <c r="G2882" s="46"/>
      <c r="H2882" s="53"/>
      <c r="I2882" s="53"/>
      <c r="J2882" s="44"/>
      <c r="K2882" s="48"/>
    </row>
    <row r="2883" ht="22.5" customHeight="1">
      <c r="A2883" s="44"/>
      <c r="B2883" s="44"/>
      <c r="C2883" s="44"/>
      <c r="D2883" s="44"/>
      <c r="E2883" s="51"/>
      <c r="F2883" s="44" t="s">
        <v>1098</v>
      </c>
      <c r="G2883" s="46"/>
      <c r="H2883" s="53"/>
      <c r="I2883" s="53"/>
      <c r="J2883" s="44"/>
      <c r="K2883" s="48"/>
    </row>
    <row r="2884" ht="22.5" customHeight="1">
      <c r="A2884" s="44"/>
      <c r="B2884" s="44"/>
      <c r="C2884" s="44"/>
      <c r="D2884" s="44"/>
      <c r="E2884" s="51"/>
      <c r="F2884" s="44" t="s">
        <v>1098</v>
      </c>
      <c r="G2884" s="46"/>
      <c r="H2884" s="53"/>
      <c r="I2884" s="53"/>
      <c r="J2884" s="44"/>
      <c r="K2884" s="48"/>
    </row>
    <row r="2885" ht="22.5" customHeight="1">
      <c r="A2885" s="44"/>
      <c r="B2885" s="44"/>
      <c r="C2885" s="44"/>
      <c r="D2885" s="44"/>
      <c r="E2885" s="51"/>
      <c r="F2885" s="44" t="s">
        <v>1098</v>
      </c>
      <c r="G2885" s="46"/>
      <c r="H2885" s="53"/>
      <c r="I2885" s="53"/>
      <c r="J2885" s="44"/>
      <c r="K2885" s="48"/>
    </row>
    <row r="2886" ht="22.5" customHeight="1">
      <c r="A2886" s="44"/>
      <c r="B2886" s="44"/>
      <c r="C2886" s="44"/>
      <c r="D2886" s="44"/>
      <c r="E2886" s="51"/>
      <c r="F2886" s="44" t="s">
        <v>1098</v>
      </c>
      <c r="G2886" s="46"/>
      <c r="H2886" s="53"/>
      <c r="I2886" s="53"/>
      <c r="J2886" s="44"/>
      <c r="K2886" s="48"/>
    </row>
    <row r="2887" ht="22.5" customHeight="1">
      <c r="A2887" s="44"/>
      <c r="B2887" s="44"/>
      <c r="C2887" s="44"/>
      <c r="D2887" s="44"/>
      <c r="E2887" s="51"/>
      <c r="F2887" s="44" t="s">
        <v>1098</v>
      </c>
      <c r="G2887" s="46"/>
      <c r="H2887" s="53"/>
      <c r="I2887" s="53"/>
      <c r="J2887" s="44"/>
      <c r="K2887" s="48"/>
    </row>
    <row r="2888" ht="22.5" customHeight="1">
      <c r="A2888" s="44"/>
      <c r="B2888" s="44"/>
      <c r="C2888" s="44"/>
      <c r="D2888" s="44"/>
      <c r="E2888" s="51"/>
      <c r="F2888" s="44" t="s">
        <v>1098</v>
      </c>
      <c r="G2888" s="46"/>
      <c r="H2888" s="53"/>
      <c r="I2888" s="53"/>
      <c r="J2888" s="44"/>
      <c r="K2888" s="48"/>
    </row>
    <row r="2889" ht="22.5" customHeight="1">
      <c r="A2889" s="44"/>
      <c r="B2889" s="44"/>
      <c r="C2889" s="44"/>
      <c r="D2889" s="44"/>
      <c r="E2889" s="51"/>
      <c r="F2889" s="44" t="s">
        <v>1098</v>
      </c>
      <c r="G2889" s="46"/>
      <c r="H2889" s="53"/>
      <c r="I2889" s="53"/>
      <c r="J2889" s="44"/>
      <c r="K2889" s="48"/>
    </row>
    <row r="2890" ht="22.5" customHeight="1">
      <c r="A2890" s="44"/>
      <c r="B2890" s="44"/>
      <c r="C2890" s="44"/>
      <c r="D2890" s="44"/>
      <c r="E2890" s="51"/>
      <c r="F2890" s="44" t="s">
        <v>1098</v>
      </c>
      <c r="G2890" s="46"/>
      <c r="H2890" s="53"/>
      <c r="I2890" s="53"/>
      <c r="J2890" s="44"/>
      <c r="K2890" s="48"/>
    </row>
    <row r="2891" ht="22.5" customHeight="1">
      <c r="A2891" s="44"/>
      <c r="B2891" s="44"/>
      <c r="C2891" s="44"/>
      <c r="D2891" s="44"/>
      <c r="E2891" s="51"/>
      <c r="F2891" s="44" t="s">
        <v>1098</v>
      </c>
      <c r="G2891" s="46"/>
      <c r="H2891" s="53"/>
      <c r="I2891" s="53"/>
      <c r="J2891" s="44"/>
      <c r="K2891" s="48"/>
    </row>
    <row r="2892" ht="22.5" customHeight="1">
      <c r="A2892" s="44"/>
      <c r="B2892" s="44"/>
      <c r="C2892" s="44"/>
      <c r="D2892" s="44"/>
      <c r="E2892" s="51"/>
      <c r="F2892" s="44" t="s">
        <v>1098</v>
      </c>
      <c r="G2892" s="46"/>
      <c r="H2892" s="53"/>
      <c r="I2892" s="53"/>
      <c r="J2892" s="44"/>
      <c r="K2892" s="48"/>
    </row>
    <row r="2893" ht="22.5" customHeight="1">
      <c r="A2893" s="44"/>
      <c r="B2893" s="44"/>
      <c r="C2893" s="44"/>
      <c r="D2893" s="44"/>
      <c r="E2893" s="51"/>
      <c r="F2893" s="44" t="s">
        <v>1098</v>
      </c>
      <c r="G2893" s="46"/>
      <c r="H2893" s="53"/>
      <c r="I2893" s="53"/>
      <c r="J2893" s="44"/>
      <c r="K2893" s="48"/>
    </row>
    <row r="2894" ht="22.5" customHeight="1">
      <c r="A2894" s="44"/>
      <c r="B2894" s="44"/>
      <c r="C2894" s="44"/>
      <c r="D2894" s="44"/>
      <c r="E2894" s="51"/>
      <c r="F2894" s="44" t="s">
        <v>1098</v>
      </c>
      <c r="G2894" s="46"/>
      <c r="H2894" s="53"/>
      <c r="I2894" s="53"/>
      <c r="J2894" s="44"/>
      <c r="K2894" s="48"/>
    </row>
    <row r="2895" ht="22.5" customHeight="1">
      <c r="A2895" s="44"/>
      <c r="B2895" s="44"/>
      <c r="C2895" s="44"/>
      <c r="D2895" s="44"/>
      <c r="E2895" s="51"/>
      <c r="F2895" s="44" t="s">
        <v>1098</v>
      </c>
      <c r="G2895" s="46"/>
      <c r="H2895" s="53"/>
      <c r="I2895" s="53"/>
      <c r="J2895" s="44"/>
      <c r="K2895" s="48"/>
    </row>
    <row r="2896" ht="22.5" customHeight="1">
      <c r="A2896" s="44"/>
      <c r="B2896" s="44"/>
      <c r="C2896" s="44"/>
      <c r="D2896" s="44"/>
      <c r="E2896" s="51"/>
      <c r="F2896" s="44" t="s">
        <v>1098</v>
      </c>
      <c r="G2896" s="46"/>
      <c r="H2896" s="53"/>
      <c r="I2896" s="53"/>
      <c r="J2896" s="44"/>
      <c r="K2896" s="48"/>
    </row>
    <row r="2897" ht="22.5" customHeight="1">
      <c r="A2897" s="44"/>
      <c r="B2897" s="44"/>
      <c r="C2897" s="44"/>
      <c r="D2897" s="44"/>
      <c r="E2897" s="51"/>
      <c r="F2897" s="44" t="s">
        <v>1098</v>
      </c>
      <c r="G2897" s="46"/>
      <c r="H2897" s="53"/>
      <c r="I2897" s="53"/>
      <c r="J2897" s="44"/>
      <c r="K2897" s="48"/>
    </row>
    <row r="2898" ht="22.5" customHeight="1">
      <c r="A2898" s="44"/>
      <c r="B2898" s="44"/>
      <c r="C2898" s="44"/>
      <c r="D2898" s="44"/>
      <c r="E2898" s="51"/>
      <c r="F2898" s="44" t="s">
        <v>1098</v>
      </c>
      <c r="G2898" s="46"/>
      <c r="H2898" s="53"/>
      <c r="I2898" s="53"/>
      <c r="J2898" s="44"/>
      <c r="K2898" s="48"/>
    </row>
    <row r="2899" ht="22.5" customHeight="1">
      <c r="A2899" s="44"/>
      <c r="B2899" s="44"/>
      <c r="C2899" s="44"/>
      <c r="D2899" s="44"/>
      <c r="E2899" s="51"/>
      <c r="F2899" s="44" t="s">
        <v>1098</v>
      </c>
      <c r="G2899" s="46"/>
      <c r="H2899" s="53"/>
      <c r="I2899" s="53"/>
      <c r="J2899" s="44"/>
      <c r="K2899" s="48"/>
    </row>
    <row r="2900" ht="22.5" customHeight="1">
      <c r="A2900" s="44"/>
      <c r="B2900" s="44"/>
      <c r="C2900" s="44"/>
      <c r="D2900" s="44"/>
      <c r="E2900" s="51"/>
      <c r="F2900" s="44" t="s">
        <v>1098</v>
      </c>
      <c r="G2900" s="46"/>
      <c r="H2900" s="53"/>
      <c r="I2900" s="53"/>
      <c r="J2900" s="44"/>
      <c r="K2900" s="48"/>
    </row>
    <row r="2901" ht="22.5" customHeight="1">
      <c r="A2901" s="44"/>
      <c r="B2901" s="44"/>
      <c r="C2901" s="44"/>
      <c r="D2901" s="44"/>
      <c r="E2901" s="51"/>
      <c r="F2901" s="44" t="s">
        <v>1098</v>
      </c>
      <c r="G2901" s="46"/>
      <c r="H2901" s="53"/>
      <c r="I2901" s="53"/>
      <c r="J2901" s="44"/>
      <c r="K2901" s="48"/>
    </row>
    <row r="2902" ht="22.5" customHeight="1">
      <c r="A2902" s="44"/>
      <c r="B2902" s="44"/>
      <c r="C2902" s="44"/>
      <c r="D2902" s="44"/>
      <c r="E2902" s="51"/>
      <c r="F2902" s="44" t="s">
        <v>1098</v>
      </c>
      <c r="G2902" s="46"/>
      <c r="H2902" s="53"/>
      <c r="I2902" s="53"/>
      <c r="J2902" s="44"/>
      <c r="K2902" s="48"/>
    </row>
    <row r="2903" ht="22.5" customHeight="1">
      <c r="A2903" s="44"/>
      <c r="B2903" s="44"/>
      <c r="C2903" s="44"/>
      <c r="D2903" s="44"/>
      <c r="E2903" s="51"/>
      <c r="F2903" s="44" t="s">
        <v>1098</v>
      </c>
      <c r="G2903" s="46"/>
      <c r="H2903" s="53"/>
      <c r="I2903" s="53"/>
      <c r="J2903" s="44"/>
      <c r="K2903" s="48"/>
    </row>
    <row r="2904" ht="22.5" customHeight="1">
      <c r="A2904" s="44"/>
      <c r="B2904" s="44"/>
      <c r="C2904" s="44"/>
      <c r="D2904" s="44"/>
      <c r="E2904" s="51"/>
      <c r="F2904" s="44" t="s">
        <v>1098</v>
      </c>
      <c r="G2904" s="46"/>
      <c r="H2904" s="53"/>
      <c r="I2904" s="53"/>
      <c r="J2904" s="44"/>
      <c r="K2904" s="48"/>
    </row>
    <row r="2905" ht="22.5" customHeight="1">
      <c r="A2905" s="44"/>
      <c r="B2905" s="44"/>
      <c r="C2905" s="44"/>
      <c r="D2905" s="44"/>
      <c r="E2905" s="51"/>
      <c r="F2905" s="44" t="s">
        <v>1098</v>
      </c>
      <c r="G2905" s="46"/>
      <c r="H2905" s="53"/>
      <c r="I2905" s="53"/>
      <c r="J2905" s="44"/>
      <c r="K2905" s="48"/>
    </row>
    <row r="2906" ht="22.5" customHeight="1">
      <c r="A2906" s="44"/>
      <c r="B2906" s="44"/>
      <c r="C2906" s="44"/>
      <c r="D2906" s="44"/>
      <c r="E2906" s="51"/>
      <c r="F2906" s="44" t="s">
        <v>1098</v>
      </c>
      <c r="G2906" s="46"/>
      <c r="H2906" s="53"/>
      <c r="I2906" s="53"/>
      <c r="J2906" s="44"/>
      <c r="K2906" s="48"/>
    </row>
    <row r="2907" ht="22.5" customHeight="1">
      <c r="A2907" s="44"/>
      <c r="B2907" s="44"/>
      <c r="C2907" s="44"/>
      <c r="D2907" s="44"/>
      <c r="E2907" s="51"/>
      <c r="F2907" s="44" t="s">
        <v>1098</v>
      </c>
      <c r="G2907" s="46"/>
      <c r="H2907" s="53"/>
      <c r="I2907" s="53"/>
      <c r="J2907" s="44"/>
      <c r="K2907" s="48"/>
    </row>
    <row r="2908" ht="22.5" customHeight="1">
      <c r="A2908" s="44"/>
      <c r="B2908" s="44"/>
      <c r="C2908" s="44"/>
      <c r="D2908" s="44"/>
      <c r="E2908" s="51"/>
      <c r="F2908" s="44" t="s">
        <v>1098</v>
      </c>
      <c r="G2908" s="46"/>
      <c r="H2908" s="53"/>
      <c r="I2908" s="53"/>
      <c r="J2908" s="44"/>
      <c r="K2908" s="48"/>
    </row>
    <row r="2909" ht="22.5" customHeight="1">
      <c r="A2909" s="44"/>
      <c r="B2909" s="44"/>
      <c r="C2909" s="44"/>
      <c r="D2909" s="44"/>
      <c r="E2909" s="51"/>
      <c r="F2909" s="44" t="s">
        <v>1098</v>
      </c>
      <c r="G2909" s="46"/>
      <c r="H2909" s="53"/>
      <c r="I2909" s="53"/>
      <c r="J2909" s="44"/>
      <c r="K2909" s="48"/>
    </row>
    <row r="2910" ht="22.5" customHeight="1">
      <c r="A2910" s="44"/>
      <c r="B2910" s="44"/>
      <c r="C2910" s="44"/>
      <c r="D2910" s="44"/>
      <c r="E2910" s="51"/>
      <c r="F2910" s="44" t="s">
        <v>1098</v>
      </c>
      <c r="G2910" s="46"/>
      <c r="H2910" s="53"/>
      <c r="I2910" s="53"/>
      <c r="J2910" s="44"/>
      <c r="K2910" s="48"/>
    </row>
    <row r="2911" ht="22.5" customHeight="1">
      <c r="A2911" s="44"/>
      <c r="B2911" s="44"/>
      <c r="C2911" s="44"/>
      <c r="D2911" s="44"/>
      <c r="E2911" s="51"/>
      <c r="F2911" s="44" t="s">
        <v>1098</v>
      </c>
      <c r="G2911" s="46"/>
      <c r="H2911" s="53"/>
      <c r="I2911" s="53"/>
      <c r="J2911" s="44"/>
      <c r="K2911" s="48"/>
    </row>
    <row r="2912" ht="22.5" customHeight="1">
      <c r="A2912" s="44"/>
      <c r="B2912" s="44"/>
      <c r="C2912" s="44"/>
      <c r="D2912" s="44"/>
      <c r="E2912" s="51"/>
      <c r="F2912" s="44" t="s">
        <v>1098</v>
      </c>
      <c r="G2912" s="46"/>
      <c r="H2912" s="53"/>
      <c r="I2912" s="53"/>
      <c r="J2912" s="44"/>
      <c r="K2912" s="48"/>
    </row>
    <row r="2913" ht="22.5" customHeight="1">
      <c r="A2913" s="44"/>
      <c r="B2913" s="44"/>
      <c r="C2913" s="44"/>
      <c r="D2913" s="44"/>
      <c r="E2913" s="51"/>
      <c r="F2913" s="44" t="s">
        <v>1098</v>
      </c>
      <c r="G2913" s="46"/>
      <c r="H2913" s="53"/>
      <c r="I2913" s="53"/>
      <c r="J2913" s="44"/>
      <c r="K2913" s="48"/>
    </row>
    <row r="2914" ht="22.5" customHeight="1">
      <c r="A2914" s="44"/>
      <c r="B2914" s="44"/>
      <c r="C2914" s="44"/>
      <c r="D2914" s="44"/>
      <c r="E2914" s="51"/>
      <c r="F2914" s="44" t="s">
        <v>1098</v>
      </c>
      <c r="G2914" s="46"/>
      <c r="H2914" s="53"/>
      <c r="I2914" s="53"/>
      <c r="J2914" s="44"/>
      <c r="K2914" s="48"/>
    </row>
    <row r="2915" ht="22.5" customHeight="1">
      <c r="A2915" s="44"/>
      <c r="B2915" s="44"/>
      <c r="C2915" s="44"/>
      <c r="D2915" s="44"/>
      <c r="E2915" s="51"/>
      <c r="F2915" s="44" t="s">
        <v>1098</v>
      </c>
      <c r="G2915" s="46"/>
      <c r="H2915" s="53"/>
      <c r="I2915" s="53"/>
      <c r="J2915" s="44"/>
      <c r="K2915" s="48"/>
    </row>
    <row r="2916" ht="22.5" customHeight="1">
      <c r="A2916" s="44"/>
      <c r="B2916" s="44"/>
      <c r="C2916" s="44"/>
      <c r="D2916" s="44"/>
      <c r="E2916" s="51"/>
      <c r="F2916" s="44" t="s">
        <v>1098</v>
      </c>
      <c r="G2916" s="46"/>
      <c r="H2916" s="53"/>
      <c r="I2916" s="53"/>
      <c r="J2916" s="44"/>
      <c r="K2916" s="48"/>
    </row>
    <row r="2917" ht="22.5" customHeight="1">
      <c r="A2917" s="44"/>
      <c r="B2917" s="44"/>
      <c r="C2917" s="44"/>
      <c r="D2917" s="44"/>
      <c r="E2917" s="51"/>
      <c r="F2917" s="44" t="s">
        <v>1098</v>
      </c>
      <c r="G2917" s="46"/>
      <c r="H2917" s="53"/>
      <c r="I2917" s="53"/>
      <c r="J2917" s="44"/>
      <c r="K2917" s="48"/>
    </row>
    <row r="2918" ht="22.5" customHeight="1">
      <c r="A2918" s="44"/>
      <c r="B2918" s="44"/>
      <c r="C2918" s="44"/>
      <c r="D2918" s="44"/>
      <c r="E2918" s="51"/>
      <c r="F2918" s="44" t="s">
        <v>1098</v>
      </c>
      <c r="G2918" s="46"/>
      <c r="H2918" s="53"/>
      <c r="I2918" s="53"/>
      <c r="J2918" s="44"/>
      <c r="K2918" s="48"/>
    </row>
    <row r="2919" ht="22.5" customHeight="1">
      <c r="A2919" s="44"/>
      <c r="B2919" s="44"/>
      <c r="C2919" s="44"/>
      <c r="D2919" s="44"/>
      <c r="E2919" s="51"/>
      <c r="F2919" s="44" t="s">
        <v>1098</v>
      </c>
      <c r="G2919" s="46"/>
      <c r="H2919" s="53"/>
      <c r="I2919" s="53"/>
      <c r="J2919" s="44"/>
      <c r="K2919" s="48"/>
    </row>
    <row r="2920" ht="22.5" customHeight="1">
      <c r="A2920" s="44"/>
      <c r="B2920" s="44"/>
      <c r="C2920" s="44"/>
      <c r="D2920" s="44"/>
      <c r="E2920" s="51"/>
      <c r="F2920" s="44" t="s">
        <v>1098</v>
      </c>
      <c r="G2920" s="46"/>
      <c r="H2920" s="53"/>
      <c r="I2920" s="53"/>
      <c r="J2920" s="44"/>
      <c r="K2920" s="48"/>
    </row>
    <row r="2921" ht="22.5" customHeight="1">
      <c r="A2921" s="44"/>
      <c r="B2921" s="44"/>
      <c r="C2921" s="44"/>
      <c r="D2921" s="44"/>
      <c r="E2921" s="51"/>
      <c r="F2921" s="44" t="s">
        <v>1098</v>
      </c>
      <c r="G2921" s="46"/>
      <c r="H2921" s="53"/>
      <c r="I2921" s="53"/>
      <c r="J2921" s="44"/>
      <c r="K2921" s="48"/>
    </row>
    <row r="2922" ht="22.5" customHeight="1">
      <c r="A2922" s="44"/>
      <c r="B2922" s="44"/>
      <c r="C2922" s="44"/>
      <c r="D2922" s="44"/>
      <c r="E2922" s="51"/>
      <c r="F2922" s="44" t="s">
        <v>1098</v>
      </c>
      <c r="G2922" s="46"/>
      <c r="H2922" s="53"/>
      <c r="I2922" s="53"/>
      <c r="J2922" s="44"/>
      <c r="K2922" s="48"/>
    </row>
    <row r="2923" ht="22.5" customHeight="1">
      <c r="A2923" s="44"/>
      <c r="B2923" s="44"/>
      <c r="C2923" s="44"/>
      <c r="D2923" s="44"/>
      <c r="E2923" s="51"/>
      <c r="F2923" s="44" t="s">
        <v>1098</v>
      </c>
      <c r="G2923" s="46"/>
      <c r="H2923" s="53"/>
      <c r="I2923" s="53"/>
      <c r="J2923" s="44"/>
      <c r="K2923" s="48"/>
    </row>
    <row r="2924" ht="22.5" customHeight="1">
      <c r="A2924" s="44"/>
      <c r="B2924" s="44"/>
      <c r="C2924" s="44"/>
      <c r="D2924" s="44"/>
      <c r="E2924" s="51"/>
      <c r="F2924" s="44" t="s">
        <v>1098</v>
      </c>
      <c r="G2924" s="46"/>
      <c r="H2924" s="53"/>
      <c r="I2924" s="53"/>
      <c r="J2924" s="44"/>
      <c r="K2924" s="48"/>
    </row>
    <row r="2925" ht="22.5" customHeight="1">
      <c r="A2925" s="44"/>
      <c r="B2925" s="44"/>
      <c r="C2925" s="44"/>
      <c r="D2925" s="44"/>
      <c r="E2925" s="51"/>
      <c r="F2925" s="44" t="s">
        <v>1098</v>
      </c>
      <c r="G2925" s="46"/>
      <c r="H2925" s="53"/>
      <c r="I2925" s="53"/>
      <c r="J2925" s="44"/>
      <c r="K2925" s="48"/>
    </row>
    <row r="2926" ht="22.5" customHeight="1">
      <c r="A2926" s="44"/>
      <c r="B2926" s="44"/>
      <c r="C2926" s="44"/>
      <c r="D2926" s="44"/>
      <c r="E2926" s="51"/>
      <c r="F2926" s="44" t="s">
        <v>1098</v>
      </c>
      <c r="G2926" s="46"/>
      <c r="H2926" s="53"/>
      <c r="I2926" s="53"/>
      <c r="J2926" s="44"/>
      <c r="K2926" s="48"/>
    </row>
    <row r="2927" ht="22.5" customHeight="1">
      <c r="A2927" s="44"/>
      <c r="B2927" s="44"/>
      <c r="C2927" s="44"/>
      <c r="D2927" s="44"/>
      <c r="E2927" s="51"/>
      <c r="F2927" s="44" t="s">
        <v>1098</v>
      </c>
      <c r="G2927" s="46"/>
      <c r="H2927" s="53"/>
      <c r="I2927" s="53"/>
      <c r="J2927" s="44"/>
      <c r="K2927" s="48"/>
    </row>
    <row r="2928" ht="22.5" customHeight="1">
      <c r="A2928" s="44"/>
      <c r="B2928" s="44"/>
      <c r="C2928" s="44"/>
      <c r="D2928" s="44"/>
      <c r="E2928" s="51"/>
      <c r="F2928" s="44" t="s">
        <v>1098</v>
      </c>
      <c r="G2928" s="46"/>
      <c r="H2928" s="53"/>
      <c r="I2928" s="53"/>
      <c r="J2928" s="44"/>
      <c r="K2928" s="48"/>
    </row>
    <row r="2929" ht="22.5" customHeight="1">
      <c r="A2929" s="44"/>
      <c r="B2929" s="44"/>
      <c r="C2929" s="44"/>
      <c r="D2929" s="44"/>
      <c r="E2929" s="51"/>
      <c r="F2929" s="44" t="s">
        <v>1098</v>
      </c>
      <c r="G2929" s="46"/>
      <c r="H2929" s="53"/>
      <c r="I2929" s="53"/>
      <c r="J2929" s="44"/>
      <c r="K2929" s="48"/>
    </row>
    <row r="2930" ht="22.5" customHeight="1">
      <c r="A2930" s="44"/>
      <c r="B2930" s="44"/>
      <c r="C2930" s="44"/>
      <c r="D2930" s="44"/>
      <c r="E2930" s="51"/>
      <c r="F2930" s="44" t="s">
        <v>1098</v>
      </c>
      <c r="G2930" s="46"/>
      <c r="H2930" s="53"/>
      <c r="I2930" s="53"/>
      <c r="J2930" s="44"/>
      <c r="K2930" s="48"/>
    </row>
    <row r="2931" ht="22.5" customHeight="1">
      <c r="A2931" s="44"/>
      <c r="B2931" s="44"/>
      <c r="C2931" s="44"/>
      <c r="D2931" s="44"/>
      <c r="E2931" s="51"/>
      <c r="F2931" s="44" t="s">
        <v>1098</v>
      </c>
      <c r="G2931" s="46"/>
      <c r="H2931" s="53"/>
      <c r="I2931" s="53"/>
      <c r="J2931" s="44"/>
      <c r="K2931" s="48"/>
    </row>
    <row r="2932" ht="22.5" customHeight="1">
      <c r="A2932" s="44"/>
      <c r="B2932" s="44"/>
      <c r="C2932" s="44"/>
      <c r="D2932" s="44"/>
      <c r="E2932" s="51"/>
      <c r="F2932" s="44" t="s">
        <v>1098</v>
      </c>
      <c r="G2932" s="46"/>
      <c r="H2932" s="53"/>
      <c r="I2932" s="53"/>
      <c r="J2932" s="44"/>
      <c r="K2932" s="48"/>
    </row>
    <row r="2933" ht="22.5" customHeight="1">
      <c r="A2933" s="44"/>
      <c r="B2933" s="44"/>
      <c r="C2933" s="44"/>
      <c r="D2933" s="44"/>
      <c r="E2933" s="51"/>
      <c r="F2933" s="44" t="s">
        <v>1098</v>
      </c>
      <c r="G2933" s="46"/>
      <c r="H2933" s="53"/>
      <c r="I2933" s="53"/>
      <c r="J2933" s="44"/>
      <c r="K2933" s="48"/>
    </row>
    <row r="2934" ht="22.5" customHeight="1">
      <c r="A2934" s="44"/>
      <c r="B2934" s="44"/>
      <c r="C2934" s="44"/>
      <c r="D2934" s="44"/>
      <c r="E2934" s="51"/>
      <c r="F2934" s="44" t="s">
        <v>1098</v>
      </c>
      <c r="G2934" s="46"/>
      <c r="H2934" s="53"/>
      <c r="I2934" s="53"/>
      <c r="J2934" s="44"/>
      <c r="K2934" s="48"/>
    </row>
    <row r="2935" ht="22.5" customHeight="1">
      <c r="A2935" s="44"/>
      <c r="B2935" s="44"/>
      <c r="C2935" s="44"/>
      <c r="D2935" s="44"/>
      <c r="E2935" s="51"/>
      <c r="F2935" s="44" t="s">
        <v>1098</v>
      </c>
      <c r="G2935" s="46"/>
      <c r="H2935" s="53"/>
      <c r="I2935" s="53"/>
      <c r="J2935" s="44"/>
      <c r="K2935" s="48"/>
    </row>
    <row r="2936" ht="22.5" customHeight="1">
      <c r="A2936" s="44"/>
      <c r="B2936" s="44"/>
      <c r="C2936" s="44"/>
      <c r="D2936" s="44"/>
      <c r="E2936" s="51"/>
      <c r="F2936" s="44" t="s">
        <v>1098</v>
      </c>
      <c r="G2936" s="46"/>
      <c r="H2936" s="53"/>
      <c r="I2936" s="53"/>
      <c r="J2936" s="44"/>
      <c r="K2936" s="48"/>
    </row>
    <row r="2937" ht="22.5" customHeight="1">
      <c r="A2937" s="44"/>
      <c r="B2937" s="44"/>
      <c r="C2937" s="44"/>
      <c r="D2937" s="44"/>
      <c r="E2937" s="51"/>
      <c r="F2937" s="44" t="s">
        <v>1098</v>
      </c>
      <c r="G2937" s="46"/>
      <c r="H2937" s="53"/>
      <c r="I2937" s="53"/>
      <c r="J2937" s="44"/>
      <c r="K2937" s="48"/>
    </row>
    <row r="2938" ht="22.5" customHeight="1">
      <c r="A2938" s="44"/>
      <c r="B2938" s="44"/>
      <c r="C2938" s="44"/>
      <c r="D2938" s="44"/>
      <c r="E2938" s="51"/>
      <c r="F2938" s="44" t="s">
        <v>1098</v>
      </c>
      <c r="G2938" s="46"/>
      <c r="H2938" s="53"/>
      <c r="I2938" s="53"/>
      <c r="J2938" s="44"/>
      <c r="K2938" s="48"/>
    </row>
    <row r="2939" ht="22.5" customHeight="1">
      <c r="A2939" s="44"/>
      <c r="B2939" s="44"/>
      <c r="C2939" s="44"/>
      <c r="D2939" s="44"/>
      <c r="E2939" s="51"/>
      <c r="F2939" s="44" t="s">
        <v>1098</v>
      </c>
      <c r="G2939" s="46"/>
      <c r="H2939" s="53"/>
      <c r="I2939" s="53"/>
      <c r="J2939" s="44"/>
      <c r="K2939" s="48"/>
    </row>
    <row r="2940" ht="22.5" customHeight="1">
      <c r="A2940" s="44"/>
      <c r="B2940" s="44"/>
      <c r="C2940" s="44"/>
      <c r="D2940" s="44"/>
      <c r="E2940" s="51"/>
      <c r="F2940" s="44" t="s">
        <v>1098</v>
      </c>
      <c r="G2940" s="46"/>
      <c r="H2940" s="53"/>
      <c r="I2940" s="53"/>
      <c r="J2940" s="44"/>
      <c r="K2940" s="48"/>
    </row>
    <row r="2941" ht="22.5" customHeight="1">
      <c r="A2941" s="44"/>
      <c r="B2941" s="44"/>
      <c r="C2941" s="44"/>
      <c r="D2941" s="44"/>
      <c r="E2941" s="51"/>
      <c r="F2941" s="44" t="s">
        <v>1098</v>
      </c>
      <c r="G2941" s="46"/>
      <c r="H2941" s="53"/>
      <c r="I2941" s="53"/>
      <c r="J2941" s="44"/>
      <c r="K2941" s="48"/>
    </row>
    <row r="2942" ht="22.5" customHeight="1">
      <c r="A2942" s="44"/>
      <c r="B2942" s="44"/>
      <c r="C2942" s="44"/>
      <c r="D2942" s="44"/>
      <c r="E2942" s="51"/>
      <c r="F2942" s="44" t="s">
        <v>1098</v>
      </c>
      <c r="G2942" s="46"/>
      <c r="H2942" s="53"/>
      <c r="I2942" s="53"/>
      <c r="J2942" s="44"/>
      <c r="K2942" s="48"/>
    </row>
    <row r="2943" ht="22.5" customHeight="1">
      <c r="A2943" s="44"/>
      <c r="B2943" s="44"/>
      <c r="C2943" s="44"/>
      <c r="D2943" s="44"/>
      <c r="E2943" s="51"/>
      <c r="F2943" s="44" t="s">
        <v>1098</v>
      </c>
      <c r="G2943" s="46"/>
      <c r="H2943" s="53"/>
      <c r="I2943" s="53"/>
      <c r="J2943" s="44"/>
      <c r="K2943" s="48"/>
    </row>
    <row r="2944" ht="22.5" customHeight="1">
      <c r="A2944" s="44"/>
      <c r="B2944" s="44"/>
      <c r="C2944" s="44"/>
      <c r="D2944" s="44"/>
      <c r="E2944" s="51"/>
      <c r="F2944" s="44" t="s">
        <v>1098</v>
      </c>
      <c r="G2944" s="46"/>
      <c r="H2944" s="53"/>
      <c r="I2944" s="53"/>
      <c r="J2944" s="44"/>
      <c r="K2944" s="48"/>
    </row>
    <row r="2945" ht="22.5" customHeight="1">
      <c r="A2945" s="44"/>
      <c r="B2945" s="44"/>
      <c r="C2945" s="44"/>
      <c r="D2945" s="44"/>
      <c r="E2945" s="51"/>
      <c r="F2945" s="44" t="s">
        <v>1098</v>
      </c>
      <c r="G2945" s="46"/>
      <c r="H2945" s="53"/>
      <c r="I2945" s="53"/>
      <c r="J2945" s="44"/>
      <c r="K2945" s="48"/>
    </row>
    <row r="2946" ht="22.5" customHeight="1">
      <c r="A2946" s="44"/>
      <c r="B2946" s="44"/>
      <c r="C2946" s="44"/>
      <c r="D2946" s="44"/>
      <c r="E2946" s="51"/>
      <c r="F2946" s="44" t="s">
        <v>1098</v>
      </c>
      <c r="G2946" s="46"/>
      <c r="H2946" s="53"/>
      <c r="I2946" s="53"/>
      <c r="J2946" s="44"/>
      <c r="K2946" s="48"/>
    </row>
    <row r="2947" ht="22.5" customHeight="1">
      <c r="A2947" s="44"/>
      <c r="B2947" s="44"/>
      <c r="C2947" s="44"/>
      <c r="D2947" s="44"/>
      <c r="E2947" s="51"/>
      <c r="F2947" s="44" t="s">
        <v>1098</v>
      </c>
      <c r="G2947" s="46"/>
      <c r="H2947" s="53"/>
      <c r="I2947" s="53"/>
      <c r="J2947" s="44"/>
      <c r="K2947" s="48"/>
    </row>
    <row r="2948" ht="22.5" customHeight="1">
      <c r="A2948" s="44"/>
      <c r="B2948" s="44"/>
      <c r="C2948" s="44"/>
      <c r="D2948" s="44"/>
      <c r="E2948" s="51"/>
      <c r="F2948" s="44" t="s">
        <v>1098</v>
      </c>
      <c r="G2948" s="46"/>
      <c r="H2948" s="53"/>
      <c r="I2948" s="53"/>
      <c r="J2948" s="44"/>
      <c r="K2948" s="48"/>
    </row>
    <row r="2949" ht="22.5" customHeight="1">
      <c r="A2949" s="44"/>
      <c r="B2949" s="44"/>
      <c r="C2949" s="44"/>
      <c r="D2949" s="44"/>
      <c r="E2949" s="51"/>
      <c r="F2949" s="44" t="s">
        <v>1098</v>
      </c>
      <c r="G2949" s="46"/>
      <c r="H2949" s="53"/>
      <c r="I2949" s="53"/>
      <c r="J2949" s="44"/>
      <c r="K2949" s="48"/>
    </row>
    <row r="2950" ht="22.5" customHeight="1">
      <c r="A2950" s="44"/>
      <c r="B2950" s="44"/>
      <c r="C2950" s="44"/>
      <c r="D2950" s="44"/>
      <c r="E2950" s="51"/>
      <c r="F2950" s="44" t="s">
        <v>1098</v>
      </c>
      <c r="G2950" s="46"/>
      <c r="H2950" s="53"/>
      <c r="I2950" s="53"/>
      <c r="J2950" s="44"/>
      <c r="K2950" s="48"/>
    </row>
    <row r="2951" ht="22.5" customHeight="1">
      <c r="A2951" s="44"/>
      <c r="B2951" s="44"/>
      <c r="C2951" s="44"/>
      <c r="D2951" s="44"/>
      <c r="E2951" s="51"/>
      <c r="F2951" s="44" t="s">
        <v>1098</v>
      </c>
      <c r="G2951" s="46"/>
      <c r="H2951" s="53"/>
      <c r="I2951" s="53"/>
      <c r="J2951" s="44"/>
      <c r="K2951" s="48"/>
    </row>
    <row r="2952" ht="22.5" customHeight="1">
      <c r="A2952" s="44"/>
      <c r="B2952" s="44"/>
      <c r="C2952" s="44"/>
      <c r="D2952" s="44"/>
      <c r="E2952" s="51"/>
      <c r="F2952" s="44" t="s">
        <v>1098</v>
      </c>
      <c r="G2952" s="46"/>
      <c r="H2952" s="53"/>
      <c r="I2952" s="53"/>
      <c r="J2952" s="44"/>
      <c r="K2952" s="48"/>
    </row>
    <row r="2953" ht="22.5" customHeight="1">
      <c r="A2953" s="44"/>
      <c r="B2953" s="44"/>
      <c r="C2953" s="44"/>
      <c r="D2953" s="44"/>
      <c r="E2953" s="51"/>
      <c r="F2953" s="44" t="s">
        <v>1098</v>
      </c>
      <c r="G2953" s="46"/>
      <c r="H2953" s="53"/>
      <c r="I2953" s="53"/>
      <c r="J2953" s="44"/>
      <c r="K2953" s="48"/>
    </row>
    <row r="2954" ht="22.5" customHeight="1">
      <c r="A2954" s="44"/>
      <c r="B2954" s="44"/>
      <c r="C2954" s="44"/>
      <c r="D2954" s="44"/>
      <c r="E2954" s="51"/>
      <c r="F2954" s="44" t="s">
        <v>1098</v>
      </c>
      <c r="G2954" s="46"/>
      <c r="H2954" s="53"/>
      <c r="I2954" s="53"/>
      <c r="J2954" s="44"/>
      <c r="K2954" s="48"/>
    </row>
    <row r="2955" ht="22.5" customHeight="1">
      <c r="A2955" s="44"/>
      <c r="B2955" s="44"/>
      <c r="C2955" s="44"/>
      <c r="D2955" s="44"/>
      <c r="E2955" s="51"/>
      <c r="F2955" s="44" t="s">
        <v>1098</v>
      </c>
      <c r="G2955" s="46"/>
      <c r="H2955" s="53"/>
      <c r="I2955" s="53"/>
      <c r="J2955" s="44"/>
      <c r="K2955" s="48"/>
    </row>
    <row r="2956" ht="22.5" customHeight="1">
      <c r="A2956" s="44"/>
      <c r="B2956" s="44"/>
      <c r="C2956" s="44"/>
      <c r="D2956" s="44"/>
      <c r="E2956" s="51"/>
      <c r="F2956" s="44" t="s">
        <v>1098</v>
      </c>
      <c r="G2956" s="46"/>
      <c r="H2956" s="53"/>
      <c r="I2956" s="53"/>
      <c r="J2956" s="44"/>
      <c r="K2956" s="48"/>
    </row>
    <row r="2957" ht="22.5" customHeight="1">
      <c r="A2957" s="44"/>
      <c r="B2957" s="44"/>
      <c r="C2957" s="44"/>
      <c r="D2957" s="44"/>
      <c r="E2957" s="51"/>
      <c r="F2957" s="44" t="s">
        <v>1098</v>
      </c>
      <c r="G2957" s="46"/>
      <c r="H2957" s="53"/>
      <c r="I2957" s="53"/>
      <c r="J2957" s="44"/>
      <c r="K2957" s="48"/>
    </row>
    <row r="2958" ht="22.5" customHeight="1">
      <c r="A2958" s="44"/>
      <c r="B2958" s="44"/>
      <c r="C2958" s="44"/>
      <c r="D2958" s="44"/>
      <c r="E2958" s="51"/>
      <c r="F2958" s="44" t="s">
        <v>1098</v>
      </c>
      <c r="G2958" s="46"/>
      <c r="H2958" s="53"/>
      <c r="I2958" s="53"/>
      <c r="J2958" s="44"/>
      <c r="K2958" s="48"/>
    </row>
    <row r="2959" ht="22.5" customHeight="1">
      <c r="A2959" s="44"/>
      <c r="B2959" s="44"/>
      <c r="C2959" s="44"/>
      <c r="D2959" s="44"/>
      <c r="E2959" s="51"/>
      <c r="F2959" s="44" t="s">
        <v>1098</v>
      </c>
      <c r="G2959" s="46"/>
      <c r="H2959" s="53"/>
      <c r="I2959" s="53"/>
      <c r="J2959" s="44"/>
      <c r="K2959" s="48"/>
    </row>
    <row r="2960" ht="22.5" customHeight="1">
      <c r="A2960" s="44"/>
      <c r="B2960" s="44"/>
      <c r="C2960" s="44"/>
      <c r="D2960" s="44"/>
      <c r="E2960" s="51"/>
      <c r="F2960" s="44" t="s">
        <v>1098</v>
      </c>
      <c r="G2960" s="46"/>
      <c r="H2960" s="53"/>
      <c r="I2960" s="53"/>
      <c r="J2960" s="44"/>
      <c r="K2960" s="48"/>
    </row>
    <row r="2961" ht="22.5" customHeight="1">
      <c r="A2961" s="44"/>
      <c r="B2961" s="44"/>
      <c r="C2961" s="44"/>
      <c r="D2961" s="44"/>
      <c r="E2961" s="51"/>
      <c r="F2961" s="44" t="s">
        <v>1098</v>
      </c>
      <c r="G2961" s="46"/>
      <c r="H2961" s="53"/>
      <c r="I2961" s="53"/>
      <c r="J2961" s="44"/>
      <c r="K2961" s="48"/>
    </row>
    <row r="2962" ht="22.5" customHeight="1">
      <c r="A2962" s="44"/>
      <c r="B2962" s="44"/>
      <c r="C2962" s="44"/>
      <c r="D2962" s="44"/>
      <c r="E2962" s="51"/>
      <c r="F2962" s="44" t="s">
        <v>1098</v>
      </c>
      <c r="G2962" s="46"/>
      <c r="H2962" s="53"/>
      <c r="I2962" s="53"/>
      <c r="J2962" s="44"/>
      <c r="K2962" s="48"/>
    </row>
    <row r="2963" ht="22.5" customHeight="1">
      <c r="A2963" s="44"/>
      <c r="B2963" s="44"/>
      <c r="C2963" s="44"/>
      <c r="D2963" s="44"/>
      <c r="E2963" s="51"/>
      <c r="F2963" s="44" t="s">
        <v>1098</v>
      </c>
      <c r="G2963" s="46"/>
      <c r="H2963" s="53"/>
      <c r="I2963" s="53"/>
      <c r="J2963" s="44"/>
      <c r="K2963" s="48"/>
    </row>
    <row r="2964" ht="22.5" customHeight="1">
      <c r="A2964" s="44"/>
      <c r="B2964" s="44"/>
      <c r="C2964" s="44"/>
      <c r="D2964" s="44"/>
      <c r="E2964" s="51"/>
      <c r="F2964" s="44" t="s">
        <v>1098</v>
      </c>
      <c r="G2964" s="46"/>
      <c r="H2964" s="53"/>
      <c r="I2964" s="53"/>
      <c r="J2964" s="44"/>
      <c r="K2964" s="48"/>
    </row>
    <row r="2965" ht="22.5" customHeight="1">
      <c r="A2965" s="44"/>
      <c r="B2965" s="44"/>
      <c r="C2965" s="44"/>
      <c r="D2965" s="44"/>
      <c r="E2965" s="51"/>
      <c r="F2965" s="44" t="s">
        <v>1098</v>
      </c>
      <c r="G2965" s="46"/>
      <c r="H2965" s="53"/>
      <c r="I2965" s="53"/>
      <c r="J2965" s="44"/>
      <c r="K2965" s="48"/>
    </row>
    <row r="2966" ht="22.5" customHeight="1">
      <c r="A2966" s="44"/>
      <c r="B2966" s="44"/>
      <c r="C2966" s="44"/>
      <c r="D2966" s="44"/>
      <c r="E2966" s="51"/>
      <c r="F2966" s="44" t="s">
        <v>1098</v>
      </c>
      <c r="G2966" s="46"/>
      <c r="H2966" s="53"/>
      <c r="I2966" s="53"/>
      <c r="J2966" s="44"/>
      <c r="K2966" s="48"/>
    </row>
    <row r="2967" ht="22.5" customHeight="1">
      <c r="A2967" s="44"/>
      <c r="B2967" s="44"/>
      <c r="C2967" s="44"/>
      <c r="D2967" s="44"/>
      <c r="E2967" s="51"/>
      <c r="F2967" s="44" t="s">
        <v>1098</v>
      </c>
      <c r="G2967" s="46"/>
      <c r="H2967" s="53"/>
      <c r="I2967" s="53"/>
      <c r="J2967" s="44"/>
      <c r="K2967" s="48"/>
    </row>
    <row r="2968" ht="22.5" customHeight="1">
      <c r="A2968" s="44"/>
      <c r="B2968" s="44"/>
      <c r="C2968" s="44"/>
      <c r="D2968" s="44"/>
      <c r="E2968" s="51"/>
      <c r="F2968" s="44" t="s">
        <v>1098</v>
      </c>
      <c r="G2968" s="46"/>
      <c r="H2968" s="53"/>
      <c r="I2968" s="53"/>
      <c r="J2968" s="44"/>
      <c r="K2968" s="48"/>
    </row>
    <row r="2969" ht="22.5" customHeight="1">
      <c r="A2969" s="44"/>
      <c r="B2969" s="44"/>
      <c r="C2969" s="44"/>
      <c r="D2969" s="44"/>
      <c r="E2969" s="51"/>
      <c r="F2969" s="44" t="s">
        <v>1098</v>
      </c>
      <c r="G2969" s="46"/>
      <c r="H2969" s="53"/>
      <c r="I2969" s="53"/>
      <c r="J2969" s="44"/>
      <c r="K2969" s="48"/>
    </row>
    <row r="2970" ht="22.5" customHeight="1">
      <c r="A2970" s="44"/>
      <c r="B2970" s="44"/>
      <c r="C2970" s="44"/>
      <c r="D2970" s="44"/>
      <c r="E2970" s="51"/>
      <c r="F2970" s="44" t="s">
        <v>1098</v>
      </c>
      <c r="G2970" s="46"/>
      <c r="H2970" s="53"/>
      <c r="I2970" s="53"/>
      <c r="J2970" s="44"/>
      <c r="K2970" s="48"/>
    </row>
    <row r="2971" ht="22.5" customHeight="1">
      <c r="A2971" s="44"/>
      <c r="B2971" s="44"/>
      <c r="C2971" s="44"/>
      <c r="D2971" s="44"/>
      <c r="E2971" s="51"/>
      <c r="F2971" s="44" t="s">
        <v>1098</v>
      </c>
      <c r="G2971" s="46"/>
      <c r="H2971" s="53"/>
      <c r="I2971" s="53"/>
      <c r="J2971" s="44"/>
      <c r="K2971" s="48"/>
    </row>
    <row r="2972" ht="22.5" customHeight="1">
      <c r="A2972" s="44"/>
      <c r="B2972" s="44"/>
      <c r="C2972" s="44"/>
      <c r="D2972" s="44"/>
      <c r="E2972" s="51"/>
      <c r="F2972" s="44" t="s">
        <v>1098</v>
      </c>
      <c r="G2972" s="46"/>
      <c r="H2972" s="53"/>
      <c r="I2972" s="53"/>
      <c r="J2972" s="44"/>
      <c r="K2972" s="48"/>
    </row>
    <row r="2973" ht="22.5" customHeight="1">
      <c r="A2973" s="44"/>
      <c r="B2973" s="44"/>
      <c r="C2973" s="44"/>
      <c r="D2973" s="44"/>
      <c r="E2973" s="51"/>
      <c r="F2973" s="44" t="s">
        <v>1098</v>
      </c>
      <c r="G2973" s="46"/>
      <c r="H2973" s="53"/>
      <c r="I2973" s="53"/>
      <c r="J2973" s="44"/>
      <c r="K2973" s="48"/>
    </row>
    <row r="2974" ht="22.5" customHeight="1">
      <c r="A2974" s="44"/>
      <c r="B2974" s="44"/>
      <c r="C2974" s="44"/>
      <c r="D2974" s="44"/>
      <c r="E2974" s="51"/>
      <c r="F2974" s="44" t="s">
        <v>1098</v>
      </c>
      <c r="G2974" s="46"/>
      <c r="H2974" s="53"/>
      <c r="I2974" s="53"/>
      <c r="J2974" s="44"/>
      <c r="K2974" s="48"/>
    </row>
    <row r="2975" ht="22.5" customHeight="1">
      <c r="A2975" s="44"/>
      <c r="B2975" s="44"/>
      <c r="C2975" s="44"/>
      <c r="D2975" s="44"/>
      <c r="E2975" s="51"/>
      <c r="F2975" s="44" t="s">
        <v>1098</v>
      </c>
      <c r="G2975" s="46"/>
      <c r="H2975" s="53"/>
      <c r="I2975" s="53"/>
      <c r="J2975" s="44"/>
      <c r="K2975" s="48"/>
    </row>
    <row r="2976" ht="22.5" customHeight="1">
      <c r="A2976" s="44"/>
      <c r="B2976" s="44"/>
      <c r="C2976" s="44"/>
      <c r="D2976" s="44"/>
      <c r="E2976" s="51"/>
      <c r="F2976" s="44" t="s">
        <v>1098</v>
      </c>
      <c r="G2976" s="46"/>
      <c r="H2976" s="53"/>
      <c r="I2976" s="53"/>
      <c r="J2976" s="44"/>
      <c r="K2976" s="48"/>
    </row>
    <row r="2977" ht="22.5" customHeight="1">
      <c r="A2977" s="44"/>
      <c r="B2977" s="44"/>
      <c r="C2977" s="44"/>
      <c r="D2977" s="44"/>
      <c r="E2977" s="51"/>
      <c r="F2977" s="44" t="s">
        <v>1098</v>
      </c>
      <c r="G2977" s="46"/>
      <c r="H2977" s="53"/>
      <c r="I2977" s="53"/>
      <c r="J2977" s="44"/>
      <c r="K2977" s="48"/>
    </row>
    <row r="2978" ht="22.5" customHeight="1">
      <c r="A2978" s="44"/>
      <c r="B2978" s="44"/>
      <c r="C2978" s="44"/>
      <c r="D2978" s="44"/>
      <c r="E2978" s="51"/>
      <c r="F2978" s="44" t="s">
        <v>1098</v>
      </c>
      <c r="G2978" s="46"/>
      <c r="H2978" s="53"/>
      <c r="I2978" s="53"/>
      <c r="J2978" s="44"/>
      <c r="K2978" s="48"/>
    </row>
    <row r="2979" ht="22.5" customHeight="1">
      <c r="A2979" s="44"/>
      <c r="B2979" s="44"/>
      <c r="C2979" s="44"/>
      <c r="D2979" s="44"/>
      <c r="E2979" s="51"/>
      <c r="F2979" s="44" t="s">
        <v>1098</v>
      </c>
      <c r="G2979" s="46"/>
      <c r="H2979" s="53"/>
      <c r="I2979" s="53"/>
      <c r="J2979" s="44"/>
      <c r="K2979" s="48"/>
    </row>
    <row r="2980" ht="22.5" customHeight="1">
      <c r="A2980" s="44"/>
      <c r="B2980" s="44"/>
      <c r="C2980" s="44"/>
      <c r="D2980" s="44"/>
      <c r="E2980" s="51"/>
      <c r="F2980" s="44" t="s">
        <v>1098</v>
      </c>
      <c r="G2980" s="46"/>
      <c r="H2980" s="53"/>
      <c r="I2980" s="53"/>
      <c r="J2980" s="44"/>
      <c r="K2980" s="48"/>
    </row>
    <row r="2981" ht="22.5" customHeight="1">
      <c r="A2981" s="44"/>
      <c r="B2981" s="44"/>
      <c r="C2981" s="44"/>
      <c r="D2981" s="44"/>
      <c r="E2981" s="51"/>
      <c r="F2981" s="44" t="s">
        <v>1098</v>
      </c>
      <c r="G2981" s="46"/>
      <c r="H2981" s="53"/>
      <c r="I2981" s="53"/>
      <c r="J2981" s="44"/>
      <c r="K2981" s="48"/>
    </row>
    <row r="2982" ht="22.5" customHeight="1">
      <c r="A2982" s="44"/>
      <c r="B2982" s="44"/>
      <c r="C2982" s="44"/>
      <c r="D2982" s="44"/>
      <c r="E2982" s="51"/>
      <c r="F2982" s="44" t="s">
        <v>1098</v>
      </c>
      <c r="G2982" s="46"/>
      <c r="H2982" s="53"/>
      <c r="I2982" s="53"/>
      <c r="J2982" s="44"/>
      <c r="K2982" s="48"/>
    </row>
    <row r="2983" ht="22.5" customHeight="1">
      <c r="A2983" s="44"/>
      <c r="B2983" s="44"/>
      <c r="C2983" s="44"/>
      <c r="D2983" s="44"/>
      <c r="E2983" s="51"/>
      <c r="F2983" s="44" t="s">
        <v>1098</v>
      </c>
      <c r="G2983" s="46"/>
      <c r="H2983" s="53"/>
      <c r="I2983" s="53"/>
      <c r="J2983" s="44"/>
      <c r="K2983" s="48"/>
    </row>
    <row r="2984" ht="22.5" customHeight="1">
      <c r="A2984" s="44"/>
      <c r="B2984" s="44"/>
      <c r="C2984" s="44"/>
      <c r="D2984" s="44"/>
      <c r="E2984" s="51"/>
      <c r="F2984" s="44" t="s">
        <v>1098</v>
      </c>
      <c r="G2984" s="46"/>
      <c r="H2984" s="53"/>
      <c r="I2984" s="53"/>
      <c r="J2984" s="44"/>
      <c r="K2984" s="48"/>
    </row>
    <row r="2985" ht="22.5" customHeight="1">
      <c r="A2985" s="44"/>
      <c r="B2985" s="44"/>
      <c r="C2985" s="44"/>
      <c r="D2985" s="44"/>
      <c r="E2985" s="51"/>
      <c r="F2985" s="44" t="s">
        <v>1098</v>
      </c>
      <c r="G2985" s="46"/>
      <c r="H2985" s="53"/>
      <c r="I2985" s="53"/>
      <c r="J2985" s="44"/>
      <c r="K2985" s="48"/>
    </row>
    <row r="2986" ht="22.5" customHeight="1">
      <c r="A2986" s="44"/>
      <c r="B2986" s="44"/>
      <c r="C2986" s="44"/>
      <c r="D2986" s="44"/>
      <c r="E2986" s="51"/>
      <c r="F2986" s="44" t="s">
        <v>1098</v>
      </c>
      <c r="G2986" s="46"/>
      <c r="H2986" s="53"/>
      <c r="I2986" s="53"/>
      <c r="J2986" s="44"/>
      <c r="K2986" s="48"/>
    </row>
    <row r="2987" ht="22.5" customHeight="1">
      <c r="A2987" s="44"/>
      <c r="B2987" s="44"/>
      <c r="C2987" s="44"/>
      <c r="D2987" s="44"/>
      <c r="E2987" s="51"/>
      <c r="F2987" s="44" t="s">
        <v>1098</v>
      </c>
      <c r="G2987" s="46"/>
      <c r="H2987" s="53"/>
      <c r="I2987" s="53"/>
      <c r="J2987" s="44"/>
      <c r="K2987" s="48"/>
    </row>
    <row r="2988" ht="22.5" customHeight="1">
      <c r="A2988" s="44"/>
      <c r="B2988" s="44"/>
      <c r="C2988" s="44"/>
      <c r="D2988" s="44"/>
      <c r="E2988" s="51"/>
      <c r="F2988" s="44" t="s">
        <v>1098</v>
      </c>
      <c r="G2988" s="46"/>
      <c r="H2988" s="53"/>
      <c r="I2988" s="53"/>
      <c r="J2988" s="44"/>
      <c r="K2988" s="48"/>
    </row>
    <row r="2989" ht="22.5" customHeight="1">
      <c r="A2989" s="44"/>
      <c r="B2989" s="44"/>
      <c r="C2989" s="44"/>
      <c r="D2989" s="44"/>
      <c r="E2989" s="51"/>
      <c r="F2989" s="44" t="s">
        <v>1098</v>
      </c>
      <c r="G2989" s="46"/>
      <c r="H2989" s="53"/>
      <c r="I2989" s="53"/>
      <c r="J2989" s="44"/>
      <c r="K2989" s="48"/>
    </row>
    <row r="2990" ht="22.5" customHeight="1">
      <c r="A2990" s="44"/>
      <c r="B2990" s="44"/>
      <c r="C2990" s="44"/>
      <c r="D2990" s="44"/>
      <c r="E2990" s="51"/>
      <c r="F2990" s="44" t="s">
        <v>1098</v>
      </c>
      <c r="G2990" s="46"/>
      <c r="H2990" s="53"/>
      <c r="I2990" s="53"/>
      <c r="J2990" s="44"/>
      <c r="K2990" s="48"/>
    </row>
    <row r="2991" ht="22.5" customHeight="1">
      <c r="A2991" s="44"/>
      <c r="B2991" s="44"/>
      <c r="C2991" s="44"/>
      <c r="D2991" s="44"/>
      <c r="E2991" s="51"/>
      <c r="F2991" s="44" t="s">
        <v>1098</v>
      </c>
      <c r="G2991" s="46"/>
      <c r="H2991" s="53"/>
      <c r="I2991" s="53"/>
      <c r="J2991" s="44"/>
      <c r="K2991" s="48"/>
    </row>
    <row r="2992" ht="22.5" customHeight="1">
      <c r="A2992" s="44"/>
      <c r="B2992" s="44"/>
      <c r="C2992" s="44"/>
      <c r="D2992" s="44"/>
      <c r="E2992" s="51"/>
      <c r="F2992" s="44" t="s">
        <v>1098</v>
      </c>
      <c r="G2992" s="46"/>
      <c r="H2992" s="53"/>
      <c r="I2992" s="53"/>
      <c r="J2992" s="44"/>
      <c r="K2992" s="48"/>
    </row>
    <row r="2993" ht="22.5" customHeight="1">
      <c r="A2993" s="44"/>
      <c r="B2993" s="44"/>
      <c r="C2993" s="44"/>
      <c r="D2993" s="44"/>
      <c r="E2993" s="51"/>
      <c r="F2993" s="44" t="s">
        <v>1098</v>
      </c>
      <c r="G2993" s="46"/>
      <c r="H2993" s="53"/>
      <c r="I2993" s="53"/>
      <c r="J2993" s="44"/>
      <c r="K2993" s="48"/>
    </row>
    <row r="2994" ht="22.5" customHeight="1">
      <c r="A2994" s="44"/>
      <c r="B2994" s="44"/>
      <c r="C2994" s="44"/>
      <c r="D2994" s="44"/>
      <c r="E2994" s="51"/>
      <c r="F2994" s="44" t="s">
        <v>1098</v>
      </c>
      <c r="G2994" s="46"/>
      <c r="H2994" s="53"/>
      <c r="I2994" s="53"/>
      <c r="J2994" s="44"/>
      <c r="K2994" s="48"/>
    </row>
    <row r="2995" ht="22.5" customHeight="1">
      <c r="A2995" s="44"/>
      <c r="B2995" s="44"/>
      <c r="C2995" s="44"/>
      <c r="D2995" s="44"/>
      <c r="E2995" s="51"/>
      <c r="F2995" s="44" t="s">
        <v>1098</v>
      </c>
      <c r="G2995" s="46"/>
      <c r="H2995" s="53"/>
      <c r="I2995" s="53"/>
      <c r="J2995" s="44"/>
      <c r="K2995" s="48"/>
    </row>
    <row r="2996" ht="22.5" customHeight="1">
      <c r="A2996" s="44"/>
      <c r="B2996" s="44"/>
      <c r="C2996" s="44"/>
      <c r="D2996" s="44"/>
      <c r="E2996" s="51"/>
      <c r="F2996" s="44" t="s">
        <v>1098</v>
      </c>
      <c r="G2996" s="46"/>
      <c r="H2996" s="53"/>
      <c r="I2996" s="53"/>
      <c r="J2996" s="44"/>
      <c r="K2996" s="48"/>
    </row>
    <row r="2997" ht="22.5" customHeight="1">
      <c r="A2997" s="44"/>
      <c r="B2997" s="44"/>
      <c r="C2997" s="44"/>
      <c r="D2997" s="44"/>
      <c r="E2997" s="51"/>
      <c r="F2997" s="44" t="s">
        <v>1098</v>
      </c>
      <c r="G2997" s="46"/>
      <c r="H2997" s="53"/>
      <c r="I2997" s="53"/>
      <c r="J2997" s="44"/>
      <c r="K2997" s="48"/>
    </row>
    <row r="2998" ht="22.5" customHeight="1">
      <c r="A2998" s="44"/>
      <c r="B2998" s="44"/>
      <c r="C2998" s="44"/>
      <c r="D2998" s="44"/>
      <c r="E2998" s="51"/>
      <c r="F2998" s="44" t="s">
        <v>1098</v>
      </c>
      <c r="G2998" s="46"/>
      <c r="H2998" s="53"/>
      <c r="I2998" s="53"/>
      <c r="J2998" s="44"/>
      <c r="K2998" s="48"/>
    </row>
    <row r="2999" ht="22.5" customHeight="1">
      <c r="A2999" s="44"/>
      <c r="B2999" s="44"/>
      <c r="C2999" s="44"/>
      <c r="D2999" s="44"/>
      <c r="E2999" s="51"/>
      <c r="F2999" s="44" t="s">
        <v>1098</v>
      </c>
      <c r="G2999" s="46"/>
      <c r="H2999" s="53"/>
      <c r="I2999" s="53"/>
      <c r="J2999" s="44"/>
      <c r="K2999" s="48"/>
    </row>
    <row r="3000" ht="22.5" customHeight="1">
      <c r="A3000" s="44"/>
      <c r="B3000" s="44"/>
      <c r="C3000" s="44"/>
      <c r="D3000" s="44"/>
      <c r="E3000" s="51"/>
      <c r="F3000" s="44" t="s">
        <v>1098</v>
      </c>
      <c r="G3000" s="46"/>
      <c r="H3000" s="53"/>
      <c r="I3000" s="53"/>
      <c r="J3000" s="44"/>
      <c r="K3000" s="48"/>
    </row>
    <row r="3001" ht="22.5" customHeight="1">
      <c r="A3001" s="44"/>
      <c r="B3001" s="44"/>
      <c r="C3001" s="44"/>
      <c r="D3001" s="44"/>
      <c r="E3001" s="51"/>
      <c r="F3001" s="44" t="s">
        <v>1098</v>
      </c>
      <c r="G3001" s="46"/>
      <c r="H3001" s="53"/>
      <c r="I3001" s="53"/>
      <c r="J3001" s="44"/>
      <c r="K3001" s="48"/>
    </row>
    <row r="3002" ht="22.5" customHeight="1">
      <c r="A3002" s="44"/>
      <c r="B3002" s="44"/>
      <c r="C3002" s="44"/>
      <c r="D3002" s="44"/>
      <c r="E3002" s="51"/>
      <c r="F3002" s="44" t="s">
        <v>1098</v>
      </c>
      <c r="G3002" s="46"/>
      <c r="H3002" s="53"/>
      <c r="I3002" s="53"/>
      <c r="J3002" s="44"/>
      <c r="K3002" s="48"/>
    </row>
  </sheetData>
  <dataValidations>
    <dataValidation type="list" allowBlank="1" sqref="E2:E3002">
      <formula1>"BRA - D006,BRA - D001,BRA - D007,BRA - D035,BRA - D039,BRA - D036,BRA - D005,BRA - D002,BRA - D040,BRA - D022,BRA - D019,BRA - D037,BRA - D017,BRA - D023,BRA - D028,BRA - D011,BRA - D014,BRA - D043,BRA - D027,BRA - D004,BRA - D015,BRA - D018,BRA - D010,BR"&amp;"A - D020,BRA - D021,BRA - D016,BRA - D047,BRA - D003,BRA - D009,BRA - D033,BRA - D032,BRA - D042,BRA - D026,BRA - D046,BRA - D038,3PL - D030 - THB,BRA - D029,BRA - D048,BRA - D045,BRA - D044,BRA - D041"</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88"/>
    <col customWidth="1" min="2" max="2" width="39.13"/>
    <col customWidth="1" min="3" max="3" width="24.0"/>
    <col customWidth="1" min="4" max="4" width="91.5"/>
  </cols>
  <sheetData>
    <row r="1" ht="22.5" customHeight="1">
      <c r="A1" s="54" t="s">
        <v>5</v>
      </c>
      <c r="B1" s="54" t="s">
        <v>6291</v>
      </c>
      <c r="C1" s="55" t="s">
        <v>6292</v>
      </c>
      <c r="D1" s="54" t="s">
        <v>6</v>
      </c>
      <c r="E1" s="56"/>
      <c r="F1" s="56"/>
      <c r="G1" s="56"/>
    </row>
    <row r="2" ht="22.5" customHeight="1">
      <c r="A2" s="57" t="s">
        <v>6293</v>
      </c>
      <c r="B2" s="57" t="s">
        <v>6294</v>
      </c>
      <c r="C2" s="57"/>
      <c r="D2" s="58"/>
      <c r="E2" s="56"/>
      <c r="F2" s="56"/>
      <c r="G2" s="56"/>
    </row>
    <row r="3" ht="22.5" customHeight="1">
      <c r="A3" s="57" t="s">
        <v>6295</v>
      </c>
      <c r="B3" s="57" t="s">
        <v>6296</v>
      </c>
      <c r="C3" s="57"/>
      <c r="D3" s="58"/>
      <c r="E3" s="56"/>
      <c r="F3" s="56"/>
      <c r="G3" s="56"/>
    </row>
    <row r="4" ht="22.5" customHeight="1">
      <c r="A4" s="57" t="s">
        <v>6297</v>
      </c>
      <c r="B4" s="57" t="s">
        <v>6298</v>
      </c>
      <c r="C4" s="57"/>
      <c r="D4" s="59"/>
      <c r="E4" s="56"/>
      <c r="F4" s="56"/>
      <c r="G4" s="56"/>
    </row>
    <row r="5" ht="22.5" customHeight="1">
      <c r="A5" s="57" t="s">
        <v>6299</v>
      </c>
      <c r="B5" s="57" t="s">
        <v>6300</v>
      </c>
      <c r="C5" s="57"/>
      <c r="D5" s="59"/>
      <c r="E5" s="56"/>
      <c r="F5" s="56"/>
      <c r="G5" s="56"/>
    </row>
    <row r="6" ht="22.5" customHeight="1">
      <c r="A6" s="57" t="s">
        <v>6301</v>
      </c>
      <c r="B6" s="57" t="s">
        <v>6302</v>
      </c>
      <c r="C6" s="57" t="s">
        <v>6303</v>
      </c>
      <c r="D6" s="58" t="s">
        <v>873</v>
      </c>
      <c r="E6" s="56"/>
      <c r="F6" s="56"/>
      <c r="G6" s="56"/>
    </row>
    <row r="7" ht="22.5" customHeight="1">
      <c r="A7" s="57" t="s">
        <v>348</v>
      </c>
      <c r="B7" s="57" t="s">
        <v>6304</v>
      </c>
      <c r="C7" s="57" t="s">
        <v>6305</v>
      </c>
      <c r="D7" s="58" t="s">
        <v>6306</v>
      </c>
      <c r="E7" s="56"/>
      <c r="F7" s="56"/>
      <c r="G7" s="56"/>
    </row>
    <row r="8" ht="22.5" customHeight="1">
      <c r="A8" s="57" t="s">
        <v>6307</v>
      </c>
      <c r="B8" s="57" t="s">
        <v>6308</v>
      </c>
      <c r="C8" s="57"/>
      <c r="D8" s="59"/>
      <c r="E8" s="56"/>
      <c r="F8" s="56"/>
      <c r="G8" s="56"/>
    </row>
    <row r="9" ht="22.5" customHeight="1">
      <c r="A9" s="57" t="s">
        <v>6309</v>
      </c>
      <c r="B9" s="57" t="s">
        <v>6310</v>
      </c>
      <c r="C9" s="57"/>
      <c r="D9" s="58"/>
      <c r="E9" s="56"/>
      <c r="F9" s="56"/>
      <c r="G9" s="56"/>
    </row>
    <row r="10" ht="22.5" customHeight="1">
      <c r="A10" s="57" t="s">
        <v>132</v>
      </c>
      <c r="B10" s="57" t="s">
        <v>6311</v>
      </c>
      <c r="C10" s="57" t="s">
        <v>6303</v>
      </c>
      <c r="D10" s="58" t="s">
        <v>873</v>
      </c>
      <c r="E10" s="56"/>
      <c r="F10" s="56"/>
      <c r="G10" s="56"/>
    </row>
    <row r="11" ht="22.5" customHeight="1">
      <c r="A11" s="57" t="s">
        <v>446</v>
      </c>
      <c r="B11" s="57" t="s">
        <v>6312</v>
      </c>
      <c r="C11" s="57" t="s">
        <v>6313</v>
      </c>
      <c r="D11" s="59" t="s">
        <v>873</v>
      </c>
      <c r="E11" s="56"/>
      <c r="F11" s="56"/>
      <c r="G11" s="56"/>
    </row>
    <row r="12" ht="22.5" customHeight="1">
      <c r="A12" s="57" t="s">
        <v>6314</v>
      </c>
      <c r="B12" s="57" t="s">
        <v>6315</v>
      </c>
      <c r="C12" s="57"/>
      <c r="D12" s="59"/>
      <c r="E12" s="56"/>
      <c r="F12" s="56"/>
      <c r="G12" s="56"/>
    </row>
    <row r="13" ht="22.5" customHeight="1">
      <c r="A13" s="57" t="s">
        <v>6316</v>
      </c>
      <c r="B13" s="57" t="s">
        <v>6317</v>
      </c>
      <c r="C13" s="57"/>
      <c r="D13" s="58"/>
      <c r="E13" s="56"/>
      <c r="F13" s="56"/>
      <c r="G13" s="56"/>
    </row>
    <row r="14" ht="22.5" customHeight="1">
      <c r="A14" s="57" t="s">
        <v>512</v>
      </c>
      <c r="B14" s="57" t="s">
        <v>6318</v>
      </c>
      <c r="C14" s="57" t="s">
        <v>6319</v>
      </c>
      <c r="D14" s="58" t="s">
        <v>6306</v>
      </c>
      <c r="E14" s="56"/>
      <c r="F14" s="56"/>
      <c r="G14" s="56"/>
    </row>
    <row r="15" ht="22.5" customHeight="1">
      <c r="A15" s="57" t="s">
        <v>516</v>
      </c>
      <c r="B15" s="57" t="s">
        <v>6320</v>
      </c>
      <c r="C15" s="57" t="s">
        <v>6321</v>
      </c>
      <c r="D15" s="59" t="s">
        <v>6306</v>
      </c>
      <c r="E15" s="56"/>
      <c r="F15" s="56"/>
      <c r="G15" s="56"/>
    </row>
    <row r="16" ht="22.5" customHeight="1">
      <c r="A16" s="57" t="s">
        <v>6322</v>
      </c>
      <c r="B16" s="57" t="s">
        <v>6323</v>
      </c>
      <c r="C16" s="57"/>
      <c r="D16" s="59"/>
      <c r="E16" s="56"/>
      <c r="F16" s="56"/>
      <c r="G16" s="56"/>
    </row>
    <row r="17" ht="22.5" customHeight="1">
      <c r="A17" s="57" t="s">
        <v>6324</v>
      </c>
      <c r="B17" s="57" t="s">
        <v>6325</v>
      </c>
      <c r="C17" s="57" t="s">
        <v>6326</v>
      </c>
      <c r="D17" s="58" t="s">
        <v>873</v>
      </c>
      <c r="E17" s="56"/>
      <c r="F17" s="56"/>
      <c r="G17" s="56"/>
    </row>
    <row r="18" ht="22.5" customHeight="1">
      <c r="A18" s="57" t="s">
        <v>6327</v>
      </c>
      <c r="B18" s="57" t="s">
        <v>6328</v>
      </c>
      <c r="C18" s="57"/>
      <c r="D18" s="58"/>
      <c r="E18" s="56"/>
      <c r="F18" s="56"/>
      <c r="G18" s="56"/>
    </row>
    <row r="19" ht="22.5" customHeight="1">
      <c r="A19" s="57" t="s">
        <v>6329</v>
      </c>
      <c r="B19" s="57" t="s">
        <v>6330</v>
      </c>
      <c r="C19" s="57"/>
      <c r="D19" s="59"/>
      <c r="E19" s="56"/>
      <c r="F19" s="56"/>
      <c r="G19" s="56"/>
    </row>
    <row r="20" ht="22.5" customHeight="1">
      <c r="A20" s="57" t="s">
        <v>6331</v>
      </c>
      <c r="B20" s="57" t="s">
        <v>6332</v>
      </c>
      <c r="C20" s="57"/>
      <c r="D20" s="58"/>
      <c r="E20" s="56"/>
      <c r="F20" s="56"/>
      <c r="G20" s="56"/>
    </row>
    <row r="21" ht="22.5" customHeight="1">
      <c r="A21" s="57" t="s">
        <v>6333</v>
      </c>
      <c r="B21" s="57" t="s">
        <v>6334</v>
      </c>
      <c r="C21" s="57"/>
      <c r="D21" s="58"/>
      <c r="E21" s="56"/>
      <c r="F21" s="56"/>
      <c r="G21" s="56"/>
    </row>
    <row r="22" ht="22.5" customHeight="1">
      <c r="A22" s="57" t="s">
        <v>6335</v>
      </c>
      <c r="B22" s="57" t="s">
        <v>6336</v>
      </c>
      <c r="C22" s="57"/>
      <c r="D22" s="59"/>
      <c r="E22" s="56"/>
      <c r="F22" s="56"/>
      <c r="G22" s="56"/>
    </row>
    <row r="23" ht="22.5" customHeight="1">
      <c r="A23" s="57" t="s">
        <v>6337</v>
      </c>
      <c r="B23" s="57" t="s">
        <v>6338</v>
      </c>
      <c r="C23" s="57"/>
      <c r="D23" s="58"/>
      <c r="E23" s="56"/>
      <c r="F23" s="56"/>
      <c r="G23" s="56"/>
    </row>
    <row r="24" ht="22.5" customHeight="1">
      <c r="A24" s="57" t="s">
        <v>355</v>
      </c>
      <c r="B24" s="57" t="s">
        <v>6339</v>
      </c>
      <c r="C24" s="57" t="s">
        <v>6340</v>
      </c>
      <c r="D24" s="58" t="s">
        <v>6306</v>
      </c>
      <c r="E24" s="56"/>
      <c r="F24" s="56"/>
      <c r="G24" s="56"/>
    </row>
    <row r="25" ht="22.5" customHeight="1">
      <c r="A25" s="57" t="s">
        <v>6341</v>
      </c>
      <c r="B25" s="57" t="s">
        <v>6342</v>
      </c>
      <c r="C25" s="57" t="s">
        <v>6343</v>
      </c>
      <c r="D25" s="58" t="s">
        <v>873</v>
      </c>
      <c r="E25" s="56"/>
      <c r="F25" s="56"/>
      <c r="G25" s="56"/>
    </row>
    <row r="26" ht="22.5" customHeight="1">
      <c r="A26" s="57" t="s">
        <v>183</v>
      </c>
      <c r="B26" s="57" t="s">
        <v>6344</v>
      </c>
      <c r="C26" s="57" t="s">
        <v>6345</v>
      </c>
      <c r="D26" s="59" t="s">
        <v>6306</v>
      </c>
      <c r="E26" s="56"/>
      <c r="F26" s="56"/>
      <c r="G26" s="56"/>
    </row>
    <row r="27" ht="22.5" customHeight="1">
      <c r="A27" s="57" t="s">
        <v>6346</v>
      </c>
      <c r="B27" s="57" t="s">
        <v>6347</v>
      </c>
      <c r="C27" s="57"/>
      <c r="D27" s="58"/>
      <c r="E27" s="56"/>
      <c r="F27" s="56"/>
      <c r="G27" s="56"/>
    </row>
    <row r="28" ht="22.5" customHeight="1">
      <c r="A28" s="57" t="s">
        <v>6348</v>
      </c>
      <c r="B28" s="57" t="s">
        <v>6349</v>
      </c>
      <c r="C28" s="57" t="s">
        <v>6350</v>
      </c>
      <c r="D28" s="58" t="s">
        <v>873</v>
      </c>
      <c r="E28" s="56"/>
      <c r="F28" s="56"/>
      <c r="G28" s="56"/>
    </row>
    <row r="29" ht="22.5" customHeight="1">
      <c r="A29" s="57" t="s">
        <v>112</v>
      </c>
      <c r="B29" s="57" t="s">
        <v>6351</v>
      </c>
      <c r="C29" s="57"/>
      <c r="D29" s="59"/>
      <c r="E29" s="56"/>
      <c r="F29" s="56"/>
      <c r="G29" s="56"/>
    </row>
    <row r="30" ht="22.5" customHeight="1">
      <c r="A30" s="57" t="s">
        <v>96</v>
      </c>
      <c r="B30" s="57" t="s">
        <v>6352</v>
      </c>
      <c r="C30" s="57" t="s">
        <v>6353</v>
      </c>
      <c r="D30" s="58" t="s">
        <v>6306</v>
      </c>
      <c r="E30" s="56"/>
      <c r="F30" s="56"/>
      <c r="G30" s="56"/>
    </row>
    <row r="31" ht="22.5" customHeight="1">
      <c r="A31" s="57" t="s">
        <v>807</v>
      </c>
      <c r="B31" s="57" t="s">
        <v>6354</v>
      </c>
      <c r="C31" s="57"/>
      <c r="D31" s="58"/>
      <c r="E31" s="56"/>
      <c r="F31" s="56"/>
      <c r="G31" s="56"/>
    </row>
    <row r="32" ht="22.5" customHeight="1">
      <c r="A32" s="57" t="s">
        <v>319</v>
      </c>
      <c r="B32" s="57" t="s">
        <v>6355</v>
      </c>
      <c r="C32" s="57" t="s">
        <v>6356</v>
      </c>
      <c r="D32" s="59" t="s">
        <v>873</v>
      </c>
      <c r="E32" s="56"/>
      <c r="F32" s="56"/>
      <c r="G32" s="56"/>
    </row>
    <row r="33" ht="22.5" customHeight="1">
      <c r="A33" s="57" t="s">
        <v>6357</v>
      </c>
      <c r="B33" s="57" t="s">
        <v>6358</v>
      </c>
      <c r="C33" s="57"/>
      <c r="D33" s="59"/>
      <c r="E33" s="56"/>
      <c r="F33" s="56"/>
      <c r="G33" s="56"/>
    </row>
    <row r="34" ht="22.5" customHeight="1">
      <c r="A34" s="57" t="s">
        <v>6359</v>
      </c>
      <c r="B34" s="57" t="s">
        <v>6360</v>
      </c>
      <c r="C34" s="57"/>
      <c r="D34" s="58"/>
      <c r="E34" s="56"/>
      <c r="F34" s="56"/>
      <c r="G34" s="56"/>
    </row>
    <row r="35" ht="22.5" customHeight="1">
      <c r="A35" s="57" t="s">
        <v>6361</v>
      </c>
      <c r="B35" s="57" t="s">
        <v>6362</v>
      </c>
      <c r="C35" s="57"/>
      <c r="D35" s="58"/>
      <c r="E35" s="56"/>
      <c r="F35" s="56"/>
      <c r="G35" s="56"/>
    </row>
    <row r="36" ht="22.5" customHeight="1">
      <c r="A36" s="57" t="s">
        <v>452</v>
      </c>
      <c r="B36" s="57" t="s">
        <v>6363</v>
      </c>
      <c r="C36" s="57" t="s">
        <v>6364</v>
      </c>
      <c r="D36" s="58" t="s">
        <v>873</v>
      </c>
      <c r="E36" s="56"/>
      <c r="F36" s="56"/>
      <c r="G36" s="56"/>
    </row>
    <row r="37" ht="22.5" customHeight="1">
      <c r="A37" s="57" t="s">
        <v>6365</v>
      </c>
      <c r="B37" s="57" t="s">
        <v>6366</v>
      </c>
      <c r="C37" s="57" t="s">
        <v>6367</v>
      </c>
      <c r="D37" s="58" t="s">
        <v>873</v>
      </c>
      <c r="E37" s="56"/>
      <c r="F37" s="56"/>
      <c r="G37" s="56"/>
    </row>
    <row r="38" ht="22.5" customHeight="1">
      <c r="A38" s="57" t="s">
        <v>6368</v>
      </c>
      <c r="B38" s="57" t="s">
        <v>6369</v>
      </c>
      <c r="C38" s="57" t="s">
        <v>6370</v>
      </c>
      <c r="D38" s="58" t="s">
        <v>873</v>
      </c>
      <c r="E38" s="56"/>
      <c r="F38" s="56"/>
      <c r="G38" s="56"/>
    </row>
    <row r="39" ht="22.5" customHeight="1">
      <c r="A39" s="57" t="s">
        <v>552</v>
      </c>
      <c r="B39" s="57" t="s">
        <v>6371</v>
      </c>
      <c r="C39" s="57" t="s">
        <v>6372</v>
      </c>
      <c r="D39" s="59" t="s">
        <v>873</v>
      </c>
      <c r="E39" s="56"/>
      <c r="F39" s="56"/>
      <c r="G39" s="56"/>
    </row>
    <row r="40" ht="22.5" customHeight="1">
      <c r="A40" s="57" t="s">
        <v>6373</v>
      </c>
      <c r="B40" s="57" t="s">
        <v>6374</v>
      </c>
      <c r="C40" s="57" t="s">
        <v>6319</v>
      </c>
      <c r="D40" s="58" t="s">
        <v>6306</v>
      </c>
      <c r="E40" s="56"/>
      <c r="F40" s="56"/>
      <c r="G40" s="56"/>
    </row>
    <row r="41" ht="22.5" customHeight="1">
      <c r="A41" s="57" t="s">
        <v>6375</v>
      </c>
      <c r="B41" s="57" t="s">
        <v>6376</v>
      </c>
      <c r="C41" s="57" t="s">
        <v>6377</v>
      </c>
      <c r="D41" s="58" t="s">
        <v>873</v>
      </c>
      <c r="E41" s="56"/>
      <c r="F41" s="56"/>
      <c r="G41" s="56"/>
    </row>
    <row r="42" ht="22.5" customHeight="1">
      <c r="A42" s="57" t="s">
        <v>6378</v>
      </c>
      <c r="B42" s="57" t="s">
        <v>6379</v>
      </c>
      <c r="C42" s="57"/>
      <c r="D42" s="59"/>
      <c r="E42" s="56"/>
      <c r="F42" s="56"/>
      <c r="G42" s="56"/>
    </row>
    <row r="43" ht="22.5" customHeight="1">
      <c r="A43" s="57" t="s">
        <v>346</v>
      </c>
      <c r="B43" s="57" t="s">
        <v>6380</v>
      </c>
      <c r="C43" s="57" t="s">
        <v>6381</v>
      </c>
      <c r="D43" s="59" t="s">
        <v>6306</v>
      </c>
      <c r="E43" s="56"/>
      <c r="F43" s="56"/>
      <c r="G43" s="56"/>
    </row>
    <row r="44" ht="22.5" customHeight="1">
      <c r="A44" s="57" t="s">
        <v>6382</v>
      </c>
      <c r="B44" s="57" t="s">
        <v>6383</v>
      </c>
      <c r="C44" s="57"/>
      <c r="D44" s="58"/>
      <c r="E44" s="56"/>
      <c r="F44" s="56"/>
      <c r="G44" s="56"/>
    </row>
    <row r="45" ht="22.5" customHeight="1">
      <c r="A45" s="57" t="s">
        <v>6384</v>
      </c>
      <c r="B45" s="57" t="s">
        <v>6385</v>
      </c>
      <c r="C45" s="57"/>
      <c r="D45" s="58"/>
      <c r="E45" s="56"/>
      <c r="F45" s="56"/>
      <c r="G45" s="56"/>
    </row>
    <row r="46" ht="22.5" customHeight="1">
      <c r="A46" s="57" t="s">
        <v>6386</v>
      </c>
      <c r="B46" s="57" t="s">
        <v>6387</v>
      </c>
      <c r="C46" s="57"/>
      <c r="D46" s="59"/>
      <c r="E46" s="56"/>
      <c r="F46" s="56"/>
      <c r="G46" s="56"/>
    </row>
    <row r="47" ht="22.5" customHeight="1">
      <c r="A47" s="57"/>
      <c r="B47" s="57" t="s">
        <v>6388</v>
      </c>
      <c r="C47" s="57"/>
      <c r="D47" s="58"/>
      <c r="E47" s="56"/>
      <c r="F47" s="56"/>
      <c r="G47" s="56"/>
    </row>
    <row r="48" ht="22.5" customHeight="1">
      <c r="A48" s="57"/>
      <c r="B48" s="57" t="s">
        <v>6389</v>
      </c>
      <c r="C48" s="57"/>
      <c r="D48" s="59"/>
      <c r="E48" s="56"/>
      <c r="F48" s="56"/>
      <c r="G48" s="56"/>
    </row>
    <row r="49" ht="22.5" customHeight="1">
      <c r="A49" s="57" t="s">
        <v>6390</v>
      </c>
      <c r="B49" s="57" t="s">
        <v>6391</v>
      </c>
      <c r="C49" s="57"/>
      <c r="D49" s="59"/>
      <c r="E49" s="56"/>
      <c r="F49" s="56"/>
      <c r="G49" s="56"/>
    </row>
    <row r="50" ht="22.5" customHeight="1">
      <c r="A50" s="57" t="s">
        <v>6392</v>
      </c>
      <c r="B50" s="57" t="s">
        <v>6393</v>
      </c>
      <c r="C50" s="57" t="s">
        <v>6394</v>
      </c>
      <c r="D50" s="59" t="s">
        <v>6306</v>
      </c>
      <c r="E50" s="56"/>
      <c r="F50" s="56"/>
      <c r="G50" s="56"/>
    </row>
    <row r="51" ht="22.5" customHeight="1">
      <c r="A51" s="57" t="s">
        <v>6395</v>
      </c>
      <c r="B51" s="57" t="s">
        <v>6396</v>
      </c>
      <c r="C51" s="57"/>
      <c r="D51" s="59"/>
      <c r="E51" s="56"/>
      <c r="F51" s="56"/>
      <c r="G51" s="56"/>
    </row>
    <row r="52" ht="22.5" customHeight="1">
      <c r="A52" s="57" t="s">
        <v>6397</v>
      </c>
      <c r="B52" s="57" t="s">
        <v>6398</v>
      </c>
      <c r="C52" s="57" t="s">
        <v>6372</v>
      </c>
      <c r="D52" s="59" t="s">
        <v>873</v>
      </c>
      <c r="E52" s="56"/>
      <c r="F52" s="56"/>
      <c r="G52" s="56"/>
    </row>
    <row r="53" ht="22.5" customHeight="1">
      <c r="A53" s="57" t="s">
        <v>6399</v>
      </c>
      <c r="B53" s="57" t="s">
        <v>6400</v>
      </c>
      <c r="C53" s="57"/>
      <c r="D53" s="59"/>
      <c r="E53" s="56"/>
      <c r="F53" s="56"/>
      <c r="G53" s="56"/>
    </row>
    <row r="54" ht="22.5" customHeight="1">
      <c r="A54" s="57" t="s">
        <v>6401</v>
      </c>
      <c r="B54" s="57" t="s">
        <v>6402</v>
      </c>
      <c r="C54" s="57" t="s">
        <v>6403</v>
      </c>
      <c r="D54" s="59" t="s">
        <v>873</v>
      </c>
      <c r="E54" s="56"/>
      <c r="F54" s="56"/>
      <c r="G54" s="56"/>
    </row>
    <row r="55" ht="22.5" customHeight="1">
      <c r="A55" s="57" t="s">
        <v>6404</v>
      </c>
      <c r="B55" s="57" t="s">
        <v>6405</v>
      </c>
      <c r="C55" s="57"/>
      <c r="D55" s="58"/>
      <c r="E55" s="56"/>
      <c r="F55" s="56"/>
      <c r="G55" s="56"/>
    </row>
    <row r="56" ht="22.5" customHeight="1">
      <c r="A56" s="57" t="s">
        <v>6406</v>
      </c>
      <c r="B56" s="57" t="s">
        <v>6407</v>
      </c>
      <c r="C56" s="57"/>
      <c r="D56" s="59"/>
      <c r="E56" s="56"/>
      <c r="F56" s="56"/>
      <c r="G56" s="56"/>
    </row>
    <row r="57" ht="22.5" customHeight="1">
      <c r="A57" s="57" t="s">
        <v>6408</v>
      </c>
      <c r="B57" s="57" t="s">
        <v>6409</v>
      </c>
      <c r="C57" s="57"/>
      <c r="D57" s="59"/>
      <c r="E57" s="56"/>
      <c r="F57" s="56"/>
      <c r="G57" s="56"/>
    </row>
    <row r="58" ht="22.5" customHeight="1">
      <c r="A58" s="57" t="s">
        <v>6410</v>
      </c>
      <c r="B58" s="57" t="s">
        <v>6411</v>
      </c>
      <c r="C58" s="57"/>
      <c r="D58" s="58"/>
      <c r="E58" s="56"/>
      <c r="F58" s="56"/>
      <c r="G58" s="56"/>
    </row>
    <row r="59" ht="22.5" customHeight="1">
      <c r="A59" s="57" t="s">
        <v>6412</v>
      </c>
      <c r="B59" s="57" t="s">
        <v>6413</v>
      </c>
      <c r="C59" s="57" t="s">
        <v>6367</v>
      </c>
      <c r="D59" s="59" t="s">
        <v>873</v>
      </c>
      <c r="E59" s="56"/>
      <c r="F59" s="56"/>
      <c r="G59" s="56"/>
    </row>
    <row r="60" ht="22.5" customHeight="1">
      <c r="A60" s="57" t="s">
        <v>6414</v>
      </c>
      <c r="B60" s="57" t="s">
        <v>6415</v>
      </c>
      <c r="C60" s="57"/>
      <c r="D60" s="59"/>
      <c r="E60" s="56"/>
      <c r="F60" s="56"/>
      <c r="G60" s="56"/>
    </row>
    <row r="61" ht="22.5" customHeight="1">
      <c r="A61" s="57" t="s">
        <v>6416</v>
      </c>
      <c r="B61" s="57" t="s">
        <v>6417</v>
      </c>
      <c r="C61" s="57"/>
      <c r="D61" s="58"/>
      <c r="E61" s="56"/>
      <c r="F61" s="56"/>
      <c r="G61" s="56"/>
    </row>
    <row r="62" ht="22.5" customHeight="1">
      <c r="A62" s="57"/>
      <c r="B62" s="57" t="s">
        <v>6418</v>
      </c>
      <c r="C62" s="57"/>
      <c r="D62" s="58"/>
      <c r="E62" s="56"/>
      <c r="F62" s="56"/>
      <c r="G62" s="56"/>
    </row>
    <row r="63" ht="22.5" customHeight="1">
      <c r="A63" s="57" t="s">
        <v>6419</v>
      </c>
      <c r="B63" s="57" t="s">
        <v>6420</v>
      </c>
      <c r="C63" s="57"/>
      <c r="D63" s="59"/>
      <c r="E63" s="56"/>
      <c r="F63" s="56"/>
      <c r="G63" s="56"/>
    </row>
    <row r="64" ht="22.5" customHeight="1">
      <c r="A64" s="57" t="s">
        <v>6421</v>
      </c>
      <c r="B64" s="57" t="s">
        <v>6422</v>
      </c>
      <c r="C64" s="57" t="s">
        <v>6423</v>
      </c>
      <c r="D64" s="59" t="s">
        <v>873</v>
      </c>
      <c r="E64" s="56"/>
      <c r="F64" s="56"/>
      <c r="G64" s="56"/>
    </row>
    <row r="65" ht="22.5" customHeight="1">
      <c r="A65" s="57" t="s">
        <v>361</v>
      </c>
      <c r="B65" s="57" t="s">
        <v>6424</v>
      </c>
      <c r="C65" s="57" t="s">
        <v>6425</v>
      </c>
      <c r="D65" s="58" t="s">
        <v>873</v>
      </c>
      <c r="E65" s="56"/>
      <c r="F65" s="56"/>
      <c r="G65" s="56"/>
    </row>
    <row r="66" ht="22.5" customHeight="1">
      <c r="A66" s="57" t="s">
        <v>879</v>
      </c>
      <c r="B66" s="57" t="s">
        <v>6426</v>
      </c>
      <c r="C66" s="57"/>
      <c r="D66" s="58"/>
      <c r="E66" s="56"/>
      <c r="F66" s="56"/>
      <c r="G66" s="56"/>
    </row>
    <row r="67" ht="22.5" customHeight="1">
      <c r="A67" s="57" t="s">
        <v>6427</v>
      </c>
      <c r="B67" s="57" t="s">
        <v>6428</v>
      </c>
      <c r="C67" s="57" t="s">
        <v>6429</v>
      </c>
      <c r="D67" s="59" t="s">
        <v>873</v>
      </c>
      <c r="E67" s="56"/>
      <c r="F67" s="56"/>
      <c r="G67" s="56"/>
    </row>
    <row r="68" ht="22.5" customHeight="1">
      <c r="A68" s="57" t="s">
        <v>874</v>
      </c>
      <c r="B68" s="57" t="s">
        <v>6430</v>
      </c>
      <c r="C68" s="57" t="s">
        <v>6431</v>
      </c>
      <c r="D68" s="58" t="s">
        <v>873</v>
      </c>
      <c r="E68" s="56"/>
      <c r="F68" s="56"/>
      <c r="G68" s="56"/>
    </row>
    <row r="69" ht="22.5" customHeight="1">
      <c r="A69" s="57" t="s">
        <v>468</v>
      </c>
      <c r="B69" s="57" t="s">
        <v>6432</v>
      </c>
      <c r="C69" s="57" t="s">
        <v>6433</v>
      </c>
      <c r="D69" s="59" t="s">
        <v>873</v>
      </c>
      <c r="E69" s="56"/>
      <c r="F69" s="56"/>
      <c r="G69" s="56"/>
    </row>
    <row r="70" ht="22.5" customHeight="1">
      <c r="A70" s="57" t="s">
        <v>6434</v>
      </c>
      <c r="B70" s="57" t="s">
        <v>6435</v>
      </c>
      <c r="C70" s="57" t="s">
        <v>6436</v>
      </c>
      <c r="D70" s="58" t="s">
        <v>873</v>
      </c>
      <c r="E70" s="56"/>
      <c r="F70" s="56"/>
      <c r="G70" s="56"/>
    </row>
    <row r="71" ht="22.5" customHeight="1">
      <c r="A71" s="57" t="s">
        <v>6437</v>
      </c>
      <c r="B71" s="57" t="s">
        <v>6438</v>
      </c>
      <c r="C71" s="57" t="s">
        <v>6439</v>
      </c>
      <c r="D71" s="59" t="s">
        <v>873</v>
      </c>
      <c r="E71" s="56"/>
      <c r="F71" s="56"/>
      <c r="G71" s="56"/>
    </row>
    <row r="72" ht="22.5" customHeight="1">
      <c r="A72" s="57" t="s">
        <v>6440</v>
      </c>
      <c r="B72" s="57" t="s">
        <v>6441</v>
      </c>
      <c r="C72" s="57" t="s">
        <v>6442</v>
      </c>
      <c r="D72" s="58" t="s">
        <v>6306</v>
      </c>
      <c r="E72" s="56"/>
      <c r="F72" s="56"/>
      <c r="G72" s="56"/>
    </row>
    <row r="73" ht="22.5" customHeight="1">
      <c r="A73" s="57" t="s">
        <v>6443</v>
      </c>
      <c r="B73" s="57" t="s">
        <v>6444</v>
      </c>
      <c r="C73" s="57" t="s">
        <v>6445</v>
      </c>
      <c r="D73" s="59" t="s">
        <v>873</v>
      </c>
      <c r="E73" s="56"/>
      <c r="F73" s="56"/>
      <c r="G73" s="56"/>
    </row>
    <row r="74" ht="22.5" customHeight="1">
      <c r="A74" s="57" t="s">
        <v>6446</v>
      </c>
      <c r="B74" s="57" t="s">
        <v>6447</v>
      </c>
      <c r="C74" s="57"/>
      <c r="D74" s="59"/>
      <c r="E74" s="56"/>
      <c r="F74" s="56"/>
      <c r="G74" s="56"/>
    </row>
    <row r="75" ht="22.5" customHeight="1">
      <c r="A75" s="57" t="s">
        <v>6448</v>
      </c>
      <c r="B75" s="57" t="s">
        <v>6449</v>
      </c>
      <c r="C75" s="57" t="s">
        <v>6450</v>
      </c>
      <c r="D75" s="59" t="s">
        <v>873</v>
      </c>
      <c r="E75" s="56"/>
      <c r="F75" s="56"/>
      <c r="G75" s="56"/>
    </row>
    <row r="76" ht="22.5" customHeight="1">
      <c r="A76" s="57" t="s">
        <v>6451</v>
      </c>
      <c r="B76" s="57" t="s">
        <v>6452</v>
      </c>
      <c r="C76" s="57"/>
      <c r="D76" s="58"/>
      <c r="E76" s="56"/>
      <c r="F76" s="56"/>
      <c r="G76" s="56"/>
    </row>
    <row r="77" ht="22.5" customHeight="1">
      <c r="A77" s="57" t="s">
        <v>6453</v>
      </c>
      <c r="B77" s="57" t="s">
        <v>6454</v>
      </c>
      <c r="C77" s="57"/>
      <c r="D77" s="59"/>
      <c r="E77" s="56"/>
      <c r="F77" s="56"/>
      <c r="G77" s="56"/>
    </row>
    <row r="78" ht="22.5" customHeight="1">
      <c r="A78" s="57" t="s">
        <v>823</v>
      </c>
      <c r="B78" s="57" t="s">
        <v>6455</v>
      </c>
      <c r="C78" s="57" t="s">
        <v>6353</v>
      </c>
      <c r="D78" s="59" t="s">
        <v>6306</v>
      </c>
      <c r="E78" s="56"/>
      <c r="F78" s="56"/>
      <c r="G78" s="56"/>
    </row>
    <row r="79" ht="22.5" customHeight="1">
      <c r="A79" s="57" t="s">
        <v>6456</v>
      </c>
      <c r="B79" s="57" t="s">
        <v>6457</v>
      </c>
      <c r="C79" s="57" t="s">
        <v>6458</v>
      </c>
      <c r="D79" s="59" t="s">
        <v>873</v>
      </c>
      <c r="E79" s="56"/>
      <c r="F79" s="56"/>
      <c r="G79" s="56"/>
    </row>
    <row r="80" ht="22.5" customHeight="1">
      <c r="A80" s="57" t="s">
        <v>6459</v>
      </c>
      <c r="B80" s="57" t="s">
        <v>6460</v>
      </c>
      <c r="C80" s="57"/>
      <c r="D80" s="59"/>
      <c r="E80" s="56"/>
      <c r="F80" s="56"/>
      <c r="G80" s="56"/>
    </row>
    <row r="81" ht="22.5" customHeight="1">
      <c r="A81" s="57" t="s">
        <v>6461</v>
      </c>
      <c r="B81" s="57" t="s">
        <v>6462</v>
      </c>
      <c r="C81" s="57" t="s">
        <v>6463</v>
      </c>
      <c r="D81" s="59" t="s">
        <v>6306</v>
      </c>
      <c r="E81" s="56"/>
      <c r="F81" s="56"/>
      <c r="G81" s="56"/>
    </row>
    <row r="82" ht="22.5" customHeight="1">
      <c r="A82" s="57" t="s">
        <v>35</v>
      </c>
      <c r="B82" s="57" t="s">
        <v>6464</v>
      </c>
      <c r="C82" s="57"/>
      <c r="D82" s="59"/>
      <c r="E82" s="56"/>
      <c r="F82" s="56"/>
      <c r="G82" s="56"/>
    </row>
    <row r="83" ht="22.5" customHeight="1">
      <c r="A83" s="57" t="s">
        <v>849</v>
      </c>
      <c r="B83" s="57" t="s">
        <v>6465</v>
      </c>
      <c r="C83" s="57" t="s">
        <v>6466</v>
      </c>
      <c r="D83" s="59" t="s">
        <v>6306</v>
      </c>
      <c r="E83" s="56"/>
      <c r="F83" s="56"/>
      <c r="G83" s="56"/>
    </row>
    <row r="84" ht="22.5" customHeight="1">
      <c r="A84" s="57" t="s">
        <v>6467</v>
      </c>
      <c r="B84" s="57" t="s">
        <v>6468</v>
      </c>
      <c r="C84" s="57"/>
      <c r="D84" s="59"/>
      <c r="E84" s="56"/>
      <c r="F84" s="56"/>
      <c r="G84" s="56"/>
    </row>
    <row r="85" ht="22.5" customHeight="1">
      <c r="A85" s="57" t="s">
        <v>6469</v>
      </c>
      <c r="B85" s="57" t="s">
        <v>6470</v>
      </c>
      <c r="C85" s="57"/>
      <c r="D85" s="59"/>
      <c r="E85" s="56"/>
      <c r="F85" s="56"/>
      <c r="G85" s="56"/>
    </row>
    <row r="86" ht="22.5" customHeight="1">
      <c r="A86" s="57" t="s">
        <v>6471</v>
      </c>
      <c r="B86" s="57" t="s">
        <v>6472</v>
      </c>
      <c r="C86" s="57"/>
      <c r="D86" s="59"/>
      <c r="E86" s="56"/>
      <c r="F86" s="56"/>
      <c r="G86" s="56"/>
    </row>
    <row r="87" ht="22.5" customHeight="1">
      <c r="A87" s="57" t="s">
        <v>228</v>
      </c>
      <c r="B87" s="57" t="s">
        <v>6473</v>
      </c>
      <c r="C87" s="57" t="s">
        <v>6474</v>
      </c>
      <c r="D87" s="59" t="s">
        <v>873</v>
      </c>
      <c r="E87" s="56"/>
      <c r="F87" s="56"/>
      <c r="G87" s="56"/>
    </row>
    <row r="88" ht="22.5" customHeight="1">
      <c r="A88" s="57"/>
      <c r="B88" s="57" t="s">
        <v>6475</v>
      </c>
      <c r="C88" s="57"/>
      <c r="D88" s="59"/>
      <c r="E88" s="56"/>
      <c r="F88" s="56"/>
      <c r="G88" s="56"/>
    </row>
    <row r="89" ht="22.5" customHeight="1">
      <c r="A89" s="57" t="s">
        <v>6476</v>
      </c>
      <c r="B89" s="57" t="s">
        <v>6477</v>
      </c>
      <c r="C89" s="57"/>
      <c r="D89" s="59"/>
      <c r="E89" s="56"/>
      <c r="F89" s="56"/>
      <c r="G89" s="56"/>
    </row>
    <row r="90" ht="22.5" customHeight="1">
      <c r="A90" s="57" t="s">
        <v>328</v>
      </c>
      <c r="B90" s="57" t="s">
        <v>6478</v>
      </c>
      <c r="C90" s="57"/>
      <c r="D90" s="59"/>
      <c r="E90" s="56"/>
      <c r="F90" s="56"/>
      <c r="G90" s="56"/>
    </row>
    <row r="91" ht="22.5" customHeight="1">
      <c r="A91" s="57" t="s">
        <v>6479</v>
      </c>
      <c r="B91" s="57" t="s">
        <v>6480</v>
      </c>
      <c r="C91" s="57"/>
      <c r="D91" s="59"/>
      <c r="E91" s="56"/>
      <c r="F91" s="56"/>
      <c r="G91" s="56"/>
    </row>
    <row r="92" ht="22.5" customHeight="1">
      <c r="A92" s="57" t="s">
        <v>6481</v>
      </c>
      <c r="B92" s="57" t="s">
        <v>6482</v>
      </c>
      <c r="C92" s="57"/>
      <c r="D92" s="59"/>
      <c r="E92" s="56"/>
      <c r="F92" s="56"/>
      <c r="G92" s="56"/>
    </row>
    <row r="93" ht="22.5" customHeight="1">
      <c r="A93" s="57" t="s">
        <v>517</v>
      </c>
      <c r="B93" s="57" t="s">
        <v>6483</v>
      </c>
      <c r="C93" s="57" t="s">
        <v>6484</v>
      </c>
      <c r="D93" s="59" t="s">
        <v>873</v>
      </c>
      <c r="E93" s="56"/>
      <c r="F93" s="56"/>
      <c r="G93" s="56"/>
    </row>
    <row r="94" ht="22.5" customHeight="1">
      <c r="A94" s="57" t="s">
        <v>6485</v>
      </c>
      <c r="B94" s="57" t="s">
        <v>6486</v>
      </c>
      <c r="C94" s="57"/>
      <c r="D94" s="59"/>
      <c r="E94" s="56"/>
      <c r="F94" s="56"/>
      <c r="G94" s="56"/>
    </row>
    <row r="95" ht="22.5" customHeight="1">
      <c r="A95" s="57" t="s">
        <v>314</v>
      </c>
      <c r="B95" s="57" t="s">
        <v>6487</v>
      </c>
      <c r="C95" s="57"/>
      <c r="D95" s="59"/>
      <c r="E95" s="56"/>
      <c r="F95" s="56"/>
      <c r="G95" s="56"/>
    </row>
    <row r="96" ht="22.5" customHeight="1">
      <c r="A96" s="57"/>
      <c r="B96" s="57" t="s">
        <v>6488</v>
      </c>
      <c r="C96" s="57"/>
      <c r="D96" s="59"/>
      <c r="E96" s="56"/>
      <c r="F96" s="56"/>
      <c r="G96" s="56"/>
    </row>
    <row r="97" ht="22.5" customHeight="1">
      <c r="A97" s="57" t="s">
        <v>519</v>
      </c>
      <c r="B97" s="57" t="s">
        <v>6489</v>
      </c>
      <c r="C97" s="57" t="s">
        <v>6429</v>
      </c>
      <c r="D97" s="59" t="s">
        <v>873</v>
      </c>
      <c r="E97" s="56"/>
      <c r="F97" s="56"/>
      <c r="G97" s="56"/>
    </row>
    <row r="98" ht="22.5" customHeight="1">
      <c r="A98" s="57" t="s">
        <v>812</v>
      </c>
      <c r="B98" s="57" t="s">
        <v>6490</v>
      </c>
      <c r="C98" s="57" t="s">
        <v>6491</v>
      </c>
      <c r="D98" s="59" t="s">
        <v>6306</v>
      </c>
      <c r="E98" s="56"/>
      <c r="F98" s="56"/>
      <c r="G98" s="56"/>
    </row>
    <row r="99" ht="22.5" customHeight="1">
      <c r="A99" s="57" t="s">
        <v>326</v>
      </c>
      <c r="B99" s="57" t="s">
        <v>6492</v>
      </c>
      <c r="C99" s="57" t="s">
        <v>6493</v>
      </c>
      <c r="D99" s="59" t="s">
        <v>6306</v>
      </c>
      <c r="E99" s="56"/>
      <c r="F99" s="56"/>
      <c r="G99" s="56"/>
    </row>
    <row r="100" ht="22.5" customHeight="1">
      <c r="A100" s="57" t="s">
        <v>6494</v>
      </c>
      <c r="B100" s="57" t="s">
        <v>6495</v>
      </c>
      <c r="C100" s="57" t="s">
        <v>6305</v>
      </c>
      <c r="D100" s="59" t="s">
        <v>6306</v>
      </c>
      <c r="E100" s="56"/>
      <c r="F100" s="56"/>
      <c r="G100" s="56"/>
    </row>
    <row r="101" ht="22.5" customHeight="1">
      <c r="A101" s="57" t="s">
        <v>6496</v>
      </c>
      <c r="B101" s="57" t="s">
        <v>6497</v>
      </c>
      <c r="C101" s="57"/>
      <c r="D101" s="59"/>
      <c r="E101" s="56"/>
      <c r="F101" s="56"/>
      <c r="G101" s="56"/>
    </row>
    <row r="102" ht="22.5" customHeight="1">
      <c r="A102" s="57" t="s">
        <v>128</v>
      </c>
      <c r="B102" s="57" t="s">
        <v>6498</v>
      </c>
      <c r="C102" s="57"/>
      <c r="D102" s="59"/>
      <c r="E102" s="56"/>
      <c r="F102" s="56"/>
      <c r="G102" s="56"/>
    </row>
    <row r="103" ht="22.5" customHeight="1">
      <c r="A103" s="57" t="s">
        <v>470</v>
      </c>
      <c r="B103" s="57" t="s">
        <v>6499</v>
      </c>
      <c r="C103" s="57" t="s">
        <v>6500</v>
      </c>
      <c r="D103" s="59" t="s">
        <v>6306</v>
      </c>
      <c r="E103" s="56"/>
      <c r="F103" s="56"/>
      <c r="G103" s="56"/>
    </row>
    <row r="104" ht="22.5" customHeight="1">
      <c r="A104" s="57" t="s">
        <v>6501</v>
      </c>
      <c r="B104" s="57" t="s">
        <v>6502</v>
      </c>
      <c r="C104" s="57"/>
      <c r="D104" s="59"/>
      <c r="E104" s="56"/>
      <c r="F104" s="56"/>
      <c r="G104" s="56"/>
    </row>
    <row r="105" ht="22.5" customHeight="1">
      <c r="A105" s="57" t="s">
        <v>6329</v>
      </c>
      <c r="B105" s="57" t="s">
        <v>6503</v>
      </c>
      <c r="C105" s="57"/>
      <c r="D105" s="59"/>
      <c r="E105" s="56"/>
      <c r="F105" s="56"/>
      <c r="G105" s="56"/>
    </row>
    <row r="106" ht="22.5" customHeight="1">
      <c r="A106" s="57" t="s">
        <v>6504</v>
      </c>
      <c r="B106" s="57" t="s">
        <v>6505</v>
      </c>
      <c r="C106" s="57" t="s">
        <v>6493</v>
      </c>
      <c r="D106" s="59" t="s">
        <v>6306</v>
      </c>
      <c r="E106" s="56"/>
      <c r="F106" s="56"/>
      <c r="G106" s="56"/>
    </row>
    <row r="107" ht="22.5" customHeight="1">
      <c r="A107" s="57"/>
      <c r="B107" s="57" t="s">
        <v>6506</v>
      </c>
      <c r="C107" s="57"/>
      <c r="D107" s="59"/>
      <c r="E107" s="56"/>
      <c r="F107" s="56"/>
      <c r="G107" s="56"/>
    </row>
    <row r="108" ht="22.5" customHeight="1">
      <c r="A108" s="57" t="s">
        <v>6507</v>
      </c>
      <c r="B108" s="57" t="s">
        <v>6508</v>
      </c>
      <c r="C108" s="57"/>
      <c r="D108" s="59"/>
      <c r="E108" s="56"/>
      <c r="F108" s="56"/>
      <c r="G108" s="56"/>
    </row>
    <row r="109" ht="22.5" customHeight="1">
      <c r="A109" s="57" t="s">
        <v>6509</v>
      </c>
      <c r="B109" s="57" t="s">
        <v>6510</v>
      </c>
      <c r="C109" s="57"/>
      <c r="D109" s="59"/>
      <c r="E109" s="56"/>
      <c r="F109" s="56"/>
      <c r="G109" s="56"/>
    </row>
    <row r="110" ht="22.5" customHeight="1">
      <c r="A110" s="57" t="s">
        <v>6511</v>
      </c>
      <c r="B110" s="57" t="s">
        <v>6512</v>
      </c>
      <c r="C110" s="57"/>
      <c r="D110" s="59"/>
      <c r="E110" s="56"/>
      <c r="F110" s="56"/>
      <c r="G110" s="56"/>
    </row>
    <row r="111" ht="22.5" customHeight="1">
      <c r="A111" s="57" t="s">
        <v>810</v>
      </c>
      <c r="B111" s="57" t="s">
        <v>6513</v>
      </c>
      <c r="C111" s="57" t="s">
        <v>6340</v>
      </c>
      <c r="D111" s="59" t="s">
        <v>6306</v>
      </c>
      <c r="E111" s="56"/>
      <c r="F111" s="56"/>
      <c r="G111" s="56"/>
    </row>
    <row r="112" ht="22.5" customHeight="1">
      <c r="A112" s="57" t="s">
        <v>6514</v>
      </c>
      <c r="B112" s="57" t="s">
        <v>6515</v>
      </c>
      <c r="C112" s="57"/>
      <c r="D112" s="59"/>
      <c r="E112" s="56"/>
      <c r="F112" s="56"/>
      <c r="G112" s="56"/>
    </row>
    <row r="113" ht="22.5" customHeight="1">
      <c r="A113" s="57" t="s">
        <v>6516</v>
      </c>
      <c r="B113" s="57" t="s">
        <v>6517</v>
      </c>
      <c r="C113" s="57" t="s">
        <v>6518</v>
      </c>
      <c r="D113" s="59" t="s">
        <v>873</v>
      </c>
      <c r="E113" s="56"/>
      <c r="F113" s="56"/>
      <c r="G113" s="56"/>
    </row>
    <row r="114" ht="22.5" customHeight="1">
      <c r="A114" s="57" t="s">
        <v>6519</v>
      </c>
      <c r="B114" s="57" t="s">
        <v>6520</v>
      </c>
      <c r="C114" s="57" t="s">
        <v>6521</v>
      </c>
      <c r="D114" s="59" t="s">
        <v>873</v>
      </c>
      <c r="E114" s="56"/>
      <c r="F114" s="56"/>
      <c r="G114" s="56"/>
    </row>
    <row r="115" ht="22.5" customHeight="1">
      <c r="A115" s="57" t="s">
        <v>661</v>
      </c>
      <c r="B115" s="57" t="s">
        <v>6522</v>
      </c>
      <c r="C115" s="57"/>
      <c r="D115" s="59"/>
      <c r="E115" s="56"/>
      <c r="F115" s="56"/>
      <c r="G115" s="56"/>
    </row>
    <row r="116" ht="22.5" customHeight="1">
      <c r="A116" s="57" t="s">
        <v>6523</v>
      </c>
      <c r="B116" s="57" t="s">
        <v>6524</v>
      </c>
      <c r="C116" s="57" t="s">
        <v>6403</v>
      </c>
      <c r="D116" s="59" t="s">
        <v>873</v>
      </c>
      <c r="E116" s="56"/>
      <c r="F116" s="56"/>
      <c r="G116" s="56"/>
    </row>
    <row r="117" ht="22.5" customHeight="1">
      <c r="A117" s="57" t="s">
        <v>110</v>
      </c>
      <c r="B117" s="57" t="s">
        <v>6525</v>
      </c>
      <c r="C117" s="57" t="s">
        <v>6526</v>
      </c>
      <c r="D117" s="59" t="s">
        <v>6306</v>
      </c>
      <c r="E117" s="56"/>
      <c r="F117" s="56"/>
      <c r="G117" s="56"/>
    </row>
    <row r="118" ht="22.5" customHeight="1">
      <c r="A118" s="57" t="s">
        <v>6527</v>
      </c>
      <c r="B118" s="57" t="s">
        <v>6528</v>
      </c>
      <c r="C118" s="57"/>
      <c r="D118" s="59"/>
      <c r="E118" s="56"/>
      <c r="F118" s="56"/>
      <c r="G118" s="56"/>
    </row>
    <row r="119" ht="22.5" customHeight="1">
      <c r="A119" s="57" t="s">
        <v>6529</v>
      </c>
      <c r="B119" s="57" t="s">
        <v>6530</v>
      </c>
      <c r="C119" s="57" t="s">
        <v>6343</v>
      </c>
      <c r="D119" s="59" t="s">
        <v>873</v>
      </c>
      <c r="E119" s="56"/>
      <c r="F119" s="56"/>
      <c r="G119" s="56"/>
    </row>
    <row r="120" ht="22.5" customHeight="1">
      <c r="A120" s="57" t="s">
        <v>6531</v>
      </c>
      <c r="B120" s="57" t="s">
        <v>6532</v>
      </c>
      <c r="C120" s="57" t="s">
        <v>6533</v>
      </c>
      <c r="D120" s="59" t="s">
        <v>873</v>
      </c>
      <c r="E120" s="56"/>
      <c r="F120" s="56"/>
      <c r="G120" s="56"/>
    </row>
    <row r="121" ht="22.5" customHeight="1">
      <c r="A121" s="57" t="s">
        <v>6534</v>
      </c>
      <c r="B121" s="57" t="s">
        <v>6535</v>
      </c>
      <c r="C121" s="57" t="s">
        <v>6536</v>
      </c>
      <c r="D121" s="59" t="s">
        <v>873</v>
      </c>
      <c r="E121" s="56"/>
      <c r="F121" s="56"/>
      <c r="G121" s="56"/>
    </row>
    <row r="122" ht="22.5" customHeight="1">
      <c r="A122" s="57" t="s">
        <v>503</v>
      </c>
      <c r="B122" s="57" t="s">
        <v>6537</v>
      </c>
      <c r="C122" s="57"/>
      <c r="D122" s="59"/>
      <c r="E122" s="56"/>
      <c r="F122" s="56"/>
      <c r="G122" s="56"/>
    </row>
    <row r="123" ht="22.5" customHeight="1">
      <c r="A123" s="57" t="s">
        <v>343</v>
      </c>
      <c r="B123" s="57" t="s">
        <v>6538</v>
      </c>
      <c r="C123" s="57" t="s">
        <v>6539</v>
      </c>
      <c r="D123" s="59" t="s">
        <v>873</v>
      </c>
      <c r="E123" s="56"/>
      <c r="F123" s="56"/>
      <c r="G123" s="56"/>
    </row>
    <row r="124" ht="22.5" customHeight="1">
      <c r="A124" s="57" t="s">
        <v>511</v>
      </c>
      <c r="B124" s="57" t="s">
        <v>6540</v>
      </c>
      <c r="C124" s="57"/>
      <c r="D124" s="59"/>
      <c r="E124" s="56"/>
      <c r="F124" s="56"/>
      <c r="G124" s="56"/>
    </row>
    <row r="125" ht="22.5" customHeight="1">
      <c r="A125" s="57" t="s">
        <v>6541</v>
      </c>
      <c r="B125" s="57" t="s">
        <v>6542</v>
      </c>
      <c r="C125" s="57"/>
      <c r="D125" s="59"/>
      <c r="E125" s="56"/>
      <c r="F125" s="56"/>
      <c r="G125" s="56"/>
    </row>
    <row r="126" ht="22.5" customHeight="1">
      <c r="A126" s="57" t="s">
        <v>6543</v>
      </c>
      <c r="B126" s="57" t="s">
        <v>6544</v>
      </c>
      <c r="C126" s="57"/>
      <c r="D126" s="59"/>
      <c r="E126" s="56"/>
      <c r="F126" s="56"/>
      <c r="G126" s="56"/>
    </row>
    <row r="127" ht="22.5" customHeight="1">
      <c r="A127" s="57" t="s">
        <v>6545</v>
      </c>
      <c r="B127" s="57" t="s">
        <v>6546</v>
      </c>
      <c r="C127" s="57"/>
      <c r="D127" s="59"/>
      <c r="E127" s="56"/>
      <c r="F127" s="56"/>
      <c r="G127" s="56"/>
    </row>
    <row r="128" ht="22.5" customHeight="1">
      <c r="A128" s="57" t="s">
        <v>514</v>
      </c>
      <c r="B128" s="57" t="s">
        <v>6547</v>
      </c>
      <c r="C128" s="57" t="s">
        <v>6548</v>
      </c>
      <c r="D128" s="59" t="s">
        <v>873</v>
      </c>
      <c r="E128" s="56"/>
      <c r="F128" s="56"/>
      <c r="G128" s="56"/>
    </row>
    <row r="129" ht="22.5" customHeight="1">
      <c r="A129" s="57" t="s">
        <v>6549</v>
      </c>
      <c r="B129" s="57" t="s">
        <v>6550</v>
      </c>
      <c r="C129" s="57"/>
      <c r="D129" s="59"/>
      <c r="E129" s="56"/>
      <c r="F129" s="56"/>
      <c r="G129" s="56"/>
    </row>
    <row r="130" ht="22.5" customHeight="1">
      <c r="A130" s="57" t="s">
        <v>6551</v>
      </c>
      <c r="B130" s="57" t="s">
        <v>6552</v>
      </c>
      <c r="C130" s="57"/>
      <c r="D130" s="59"/>
      <c r="E130" s="56"/>
      <c r="F130" s="56"/>
      <c r="G130" s="56"/>
    </row>
    <row r="131" ht="22.5" customHeight="1">
      <c r="A131" s="57" t="s">
        <v>335</v>
      </c>
      <c r="B131" s="57" t="s">
        <v>6553</v>
      </c>
      <c r="C131" s="57" t="s">
        <v>6554</v>
      </c>
      <c r="D131" s="59" t="s">
        <v>873</v>
      </c>
      <c r="E131" s="56"/>
      <c r="F131" s="56"/>
      <c r="G131" s="56"/>
    </row>
    <row r="132" ht="22.5" customHeight="1">
      <c r="A132" s="57" t="s">
        <v>494</v>
      </c>
      <c r="B132" s="57" t="s">
        <v>6555</v>
      </c>
      <c r="C132" s="57" t="s">
        <v>6556</v>
      </c>
      <c r="D132" s="59" t="s">
        <v>6306</v>
      </c>
      <c r="E132" s="56"/>
      <c r="F132" s="56"/>
      <c r="G132" s="56"/>
    </row>
    <row r="133" ht="22.5" customHeight="1">
      <c r="A133" s="57" t="s">
        <v>13</v>
      </c>
      <c r="B133" s="57" t="s">
        <v>6557</v>
      </c>
      <c r="C133" s="57"/>
      <c r="D133" s="59"/>
      <c r="E133" s="56"/>
      <c r="F133" s="56"/>
      <c r="G133" s="56"/>
    </row>
    <row r="134" ht="22.5" customHeight="1">
      <c r="A134" s="57" t="s">
        <v>6558</v>
      </c>
      <c r="B134" s="57" t="s">
        <v>6559</v>
      </c>
      <c r="C134" s="57"/>
      <c r="D134" s="59"/>
      <c r="E134" s="56"/>
      <c r="F134" s="56"/>
      <c r="G134" s="56"/>
    </row>
    <row r="135" ht="22.5" customHeight="1">
      <c r="A135" s="57" t="s">
        <v>509</v>
      </c>
      <c r="B135" s="57" t="s">
        <v>6560</v>
      </c>
      <c r="C135" s="57"/>
      <c r="D135" s="59"/>
      <c r="E135" s="56"/>
      <c r="F135" s="56"/>
      <c r="G135" s="56"/>
    </row>
    <row r="136" ht="22.5" customHeight="1">
      <c r="A136" s="57" t="s">
        <v>6561</v>
      </c>
      <c r="B136" s="57" t="s">
        <v>6562</v>
      </c>
      <c r="C136" s="57" t="s">
        <v>6533</v>
      </c>
      <c r="D136" s="59" t="s">
        <v>873</v>
      </c>
      <c r="E136" s="56"/>
      <c r="F136" s="56"/>
      <c r="G136" s="56"/>
    </row>
    <row r="137" ht="22.5" customHeight="1">
      <c r="A137" s="57" t="s">
        <v>6563</v>
      </c>
      <c r="B137" s="57" t="s">
        <v>6564</v>
      </c>
      <c r="C137" s="57" t="s">
        <v>6565</v>
      </c>
      <c r="D137" s="59" t="s">
        <v>873</v>
      </c>
      <c r="E137" s="56"/>
      <c r="F137" s="56"/>
      <c r="G137" s="56"/>
    </row>
    <row r="138" ht="22.5" customHeight="1">
      <c r="A138" s="57" t="s">
        <v>6566</v>
      </c>
      <c r="B138" s="57" t="s">
        <v>6567</v>
      </c>
      <c r="C138" s="57"/>
      <c r="D138" s="59"/>
      <c r="E138" s="56"/>
      <c r="F138" s="56"/>
      <c r="G138" s="56"/>
    </row>
    <row r="139" ht="22.5" customHeight="1">
      <c r="A139" s="57" t="s">
        <v>6568</v>
      </c>
      <c r="B139" s="57" t="s">
        <v>6569</v>
      </c>
      <c r="C139" s="57"/>
      <c r="D139" s="59"/>
      <c r="E139" s="56"/>
      <c r="F139" s="56"/>
      <c r="G139" s="56"/>
    </row>
    <row r="140" ht="22.5" customHeight="1">
      <c r="A140" s="57" t="s">
        <v>6570</v>
      </c>
      <c r="B140" s="57" t="s">
        <v>6571</v>
      </c>
      <c r="C140" s="57"/>
      <c r="D140" s="59"/>
      <c r="E140" s="56"/>
      <c r="F140" s="56"/>
      <c r="G140" s="56"/>
    </row>
    <row r="141" ht="22.5" customHeight="1">
      <c r="A141" s="57" t="s">
        <v>104</v>
      </c>
      <c r="B141" s="57" t="s">
        <v>6572</v>
      </c>
      <c r="C141" s="57" t="s">
        <v>6521</v>
      </c>
      <c r="D141" s="59" t="s">
        <v>873</v>
      </c>
      <c r="E141" s="56"/>
      <c r="F141" s="56"/>
      <c r="G141" s="56"/>
    </row>
    <row r="142" ht="22.5" customHeight="1">
      <c r="A142" s="57" t="s">
        <v>6573</v>
      </c>
      <c r="B142" s="57" t="s">
        <v>6574</v>
      </c>
      <c r="C142" s="57"/>
      <c r="D142" s="59"/>
      <c r="E142" s="56"/>
      <c r="F142" s="56"/>
      <c r="G142" s="56"/>
    </row>
    <row r="143" ht="22.5" customHeight="1">
      <c r="A143" s="57" t="s">
        <v>815</v>
      </c>
      <c r="B143" s="57" t="s">
        <v>6575</v>
      </c>
      <c r="C143" s="57"/>
      <c r="D143" s="59"/>
      <c r="E143" s="56"/>
      <c r="F143" s="56"/>
      <c r="G143" s="56"/>
    </row>
    <row r="144" ht="22.5" customHeight="1">
      <c r="A144" s="57" t="s">
        <v>6576</v>
      </c>
      <c r="B144" s="57" t="s">
        <v>6577</v>
      </c>
      <c r="C144" s="57"/>
      <c r="D144" s="59"/>
      <c r="E144" s="56"/>
      <c r="F144" s="56"/>
      <c r="G144" s="56"/>
    </row>
    <row r="145" ht="22.5" customHeight="1">
      <c r="A145" s="57" t="s">
        <v>6578</v>
      </c>
      <c r="B145" s="57" t="s">
        <v>6579</v>
      </c>
      <c r="C145" s="57" t="s">
        <v>6580</v>
      </c>
      <c r="D145" s="59" t="s">
        <v>873</v>
      </c>
      <c r="E145" s="56"/>
      <c r="F145" s="56"/>
      <c r="G145" s="56"/>
    </row>
    <row r="146" ht="22.5" customHeight="1">
      <c r="A146" s="57" t="s">
        <v>6581</v>
      </c>
      <c r="B146" s="57" t="s">
        <v>6582</v>
      </c>
      <c r="C146" s="57"/>
      <c r="D146" s="59"/>
      <c r="E146" s="56"/>
      <c r="F146" s="56"/>
      <c r="G146" s="56"/>
    </row>
    <row r="147" ht="22.5" customHeight="1">
      <c r="A147" s="57" t="s">
        <v>513</v>
      </c>
      <c r="B147" s="57" t="s">
        <v>6583</v>
      </c>
      <c r="C147" s="57" t="s">
        <v>6350</v>
      </c>
      <c r="D147" s="59" t="s">
        <v>873</v>
      </c>
      <c r="E147" s="56"/>
      <c r="F147" s="56"/>
      <c r="G147" s="56"/>
    </row>
    <row r="148" ht="22.5" customHeight="1">
      <c r="A148" s="57" t="s">
        <v>816</v>
      </c>
      <c r="B148" s="57" t="s">
        <v>6584</v>
      </c>
      <c r="C148" s="57" t="s">
        <v>6554</v>
      </c>
      <c r="D148" s="59" t="s">
        <v>873</v>
      </c>
      <c r="E148" s="56"/>
      <c r="F148" s="56"/>
      <c r="G148" s="56"/>
    </row>
    <row r="149" ht="22.5" customHeight="1">
      <c r="A149" s="57" t="s">
        <v>338</v>
      </c>
      <c r="B149" s="57" t="s">
        <v>6585</v>
      </c>
      <c r="C149" s="57" t="s">
        <v>6586</v>
      </c>
      <c r="D149" s="59" t="s">
        <v>6306</v>
      </c>
      <c r="E149" s="56"/>
      <c r="F149" s="56"/>
      <c r="G149" s="56"/>
    </row>
    <row r="150" ht="22.5" customHeight="1">
      <c r="A150" s="57" t="s">
        <v>94</v>
      </c>
      <c r="B150" s="57" t="s">
        <v>6587</v>
      </c>
      <c r="C150" s="57" t="s">
        <v>6588</v>
      </c>
      <c r="D150" s="59" t="s">
        <v>873</v>
      </c>
      <c r="E150" s="56"/>
      <c r="F150" s="56"/>
      <c r="G150" s="56"/>
    </row>
    <row r="151" ht="22.5" customHeight="1">
      <c r="A151" s="57" t="s">
        <v>15</v>
      </c>
      <c r="B151" s="57" t="s">
        <v>6589</v>
      </c>
      <c r="C151" s="57" t="s">
        <v>6518</v>
      </c>
      <c r="D151" s="59" t="s">
        <v>873</v>
      </c>
      <c r="E151" s="56"/>
      <c r="F151" s="56"/>
      <c r="G151" s="56"/>
    </row>
    <row r="152" ht="22.5" customHeight="1">
      <c r="A152" s="57" t="s">
        <v>130</v>
      </c>
      <c r="B152" s="57" t="s">
        <v>6590</v>
      </c>
      <c r="C152" s="57" t="s">
        <v>6591</v>
      </c>
      <c r="D152" s="59" t="s">
        <v>6306</v>
      </c>
      <c r="E152" s="56"/>
      <c r="F152" s="56"/>
      <c r="G152" s="56"/>
    </row>
    <row r="153" ht="22.5" customHeight="1">
      <c r="A153" s="57" t="s">
        <v>142</v>
      </c>
      <c r="B153" s="57" t="s">
        <v>6592</v>
      </c>
      <c r="C153" s="57"/>
      <c r="D153" s="59"/>
      <c r="E153" s="56"/>
      <c r="F153" s="56"/>
      <c r="G153" s="56"/>
    </row>
    <row r="154" ht="22.5" customHeight="1">
      <c r="A154" s="57" t="s">
        <v>6593</v>
      </c>
      <c r="B154" s="57" t="s">
        <v>6594</v>
      </c>
      <c r="C154" s="57" t="s">
        <v>6595</v>
      </c>
      <c r="D154" s="59" t="s">
        <v>873</v>
      </c>
      <c r="E154" s="56"/>
      <c r="F154" s="56"/>
      <c r="G154" s="56"/>
    </row>
    <row r="155" ht="22.5" customHeight="1">
      <c r="A155" s="57" t="s">
        <v>6596</v>
      </c>
      <c r="B155" s="57" t="s">
        <v>6597</v>
      </c>
      <c r="C155" s="57" t="s">
        <v>6598</v>
      </c>
      <c r="D155" s="59" t="s">
        <v>873</v>
      </c>
      <c r="E155" s="56"/>
      <c r="F155" s="56"/>
      <c r="G155" s="56"/>
    </row>
    <row r="156" ht="22.5" customHeight="1">
      <c r="A156" s="57" t="s">
        <v>6599</v>
      </c>
      <c r="B156" s="57" t="s">
        <v>6600</v>
      </c>
      <c r="C156" s="57" t="s">
        <v>6423</v>
      </c>
      <c r="D156" s="59" t="s">
        <v>873</v>
      </c>
      <c r="E156" s="56"/>
      <c r="F156" s="56"/>
      <c r="G156" s="56"/>
    </row>
    <row r="157" ht="22.5" customHeight="1">
      <c r="A157" s="57" t="s">
        <v>6601</v>
      </c>
      <c r="B157" s="57" t="s">
        <v>6602</v>
      </c>
      <c r="C157" s="57"/>
      <c r="D157" s="59"/>
      <c r="E157" s="56"/>
      <c r="F157" s="56"/>
      <c r="G157" s="56"/>
    </row>
    <row r="158" ht="22.5" customHeight="1">
      <c r="A158" s="57" t="s">
        <v>6603</v>
      </c>
      <c r="B158" s="57" t="s">
        <v>6604</v>
      </c>
      <c r="C158" s="57"/>
      <c r="D158" s="59"/>
      <c r="E158" s="56"/>
      <c r="F158" s="56"/>
      <c r="G158" s="56"/>
    </row>
    <row r="159" ht="22.5" customHeight="1">
      <c r="A159" s="57" t="s">
        <v>365</v>
      </c>
      <c r="B159" s="57" t="s">
        <v>6605</v>
      </c>
      <c r="C159" s="57" t="s">
        <v>6606</v>
      </c>
      <c r="D159" s="59" t="s">
        <v>6306</v>
      </c>
      <c r="E159" s="56"/>
      <c r="F159" s="56"/>
      <c r="G159" s="56"/>
    </row>
    <row r="160" ht="22.5" customHeight="1">
      <c r="A160" s="57" t="s">
        <v>6607</v>
      </c>
      <c r="B160" s="57" t="s">
        <v>6608</v>
      </c>
      <c r="C160" s="57"/>
      <c r="D160" s="59"/>
      <c r="E160" s="56"/>
      <c r="F160" s="56"/>
      <c r="G160" s="56"/>
    </row>
    <row r="161" ht="22.5" customHeight="1">
      <c r="A161" s="57" t="s">
        <v>6609</v>
      </c>
      <c r="B161" s="57" t="s">
        <v>6610</v>
      </c>
      <c r="C161" s="57"/>
      <c r="D161" s="59"/>
      <c r="E161" s="56"/>
      <c r="F161" s="56"/>
      <c r="G161" s="56"/>
    </row>
    <row r="162" ht="22.5" customHeight="1">
      <c r="A162" s="57" t="s">
        <v>6611</v>
      </c>
      <c r="B162" s="57" t="s">
        <v>6612</v>
      </c>
      <c r="C162" s="57"/>
      <c r="D162" s="59"/>
      <c r="E162" s="56"/>
      <c r="F162" s="56"/>
      <c r="G162" s="56"/>
    </row>
    <row r="163" ht="22.5" customHeight="1">
      <c r="A163" s="57" t="s">
        <v>881</v>
      </c>
      <c r="B163" s="57" t="s">
        <v>6613</v>
      </c>
      <c r="C163" s="57" t="s">
        <v>6591</v>
      </c>
      <c r="D163" s="59" t="s">
        <v>6306</v>
      </c>
      <c r="E163" s="56"/>
      <c r="F163" s="56"/>
      <c r="G163" s="56"/>
    </row>
    <row r="164" ht="22.5" customHeight="1">
      <c r="A164" s="57" t="s">
        <v>330</v>
      </c>
      <c r="B164" s="57" t="s">
        <v>6614</v>
      </c>
      <c r="C164" s="57" t="s">
        <v>6615</v>
      </c>
      <c r="D164" s="59" t="s">
        <v>873</v>
      </c>
      <c r="E164" s="56"/>
      <c r="F164" s="56"/>
      <c r="G164" s="56"/>
    </row>
    <row r="165" ht="22.5" customHeight="1">
      <c r="A165" s="57" t="s">
        <v>6616</v>
      </c>
      <c r="B165" s="57" t="s">
        <v>6617</v>
      </c>
      <c r="C165" s="57"/>
      <c r="D165" s="59"/>
      <c r="E165" s="56"/>
      <c r="F165" s="56"/>
      <c r="G165" s="56"/>
    </row>
    <row r="166" ht="22.5" customHeight="1">
      <c r="A166" s="57" t="s">
        <v>6618</v>
      </c>
      <c r="B166" s="57" t="s">
        <v>6619</v>
      </c>
      <c r="C166" s="57"/>
      <c r="D166" s="59"/>
      <c r="E166" s="56"/>
      <c r="F166" s="56"/>
      <c r="G166" s="56"/>
    </row>
    <row r="167" ht="22.5" customHeight="1">
      <c r="A167" s="57" t="s">
        <v>6620</v>
      </c>
      <c r="B167" s="57" t="s">
        <v>6621</v>
      </c>
      <c r="C167" s="57"/>
      <c r="D167" s="59"/>
      <c r="E167" s="56"/>
      <c r="F167" s="56"/>
      <c r="G167" s="56"/>
    </row>
    <row r="168" ht="22.5" customHeight="1">
      <c r="A168" s="57" t="s">
        <v>6622</v>
      </c>
      <c r="B168" s="57" t="s">
        <v>6623</v>
      </c>
      <c r="C168" s="57"/>
      <c r="D168" s="59"/>
      <c r="E168" s="56"/>
      <c r="F168" s="56"/>
      <c r="G168" s="56"/>
    </row>
    <row r="169" ht="22.5" customHeight="1">
      <c r="A169" s="57" t="s">
        <v>821</v>
      </c>
      <c r="B169" s="57" t="s">
        <v>6624</v>
      </c>
      <c r="C169" s="57" t="s">
        <v>6356</v>
      </c>
      <c r="D169" s="59" t="s">
        <v>873</v>
      </c>
      <c r="E169" s="56"/>
      <c r="F169" s="56"/>
      <c r="G169" s="56"/>
    </row>
    <row r="170" ht="22.5" customHeight="1">
      <c r="A170" s="57" t="s">
        <v>6625</v>
      </c>
      <c r="B170" s="57" t="s">
        <v>6626</v>
      </c>
      <c r="C170" s="57" t="s">
        <v>6431</v>
      </c>
      <c r="D170" s="59" t="s">
        <v>873</v>
      </c>
      <c r="E170" s="56"/>
      <c r="F170" s="56"/>
      <c r="G170" s="56"/>
    </row>
    <row r="171" ht="22.5" customHeight="1">
      <c r="A171" s="57" t="s">
        <v>6627</v>
      </c>
      <c r="B171" s="57" t="s">
        <v>6628</v>
      </c>
      <c r="C171" s="57" t="s">
        <v>6466</v>
      </c>
      <c r="D171" s="59" t="s">
        <v>6306</v>
      </c>
      <c r="E171" s="56"/>
      <c r="F171" s="56"/>
      <c r="G171" s="56"/>
    </row>
    <row r="172" ht="22.5" customHeight="1">
      <c r="A172" s="57" t="s">
        <v>878</v>
      </c>
      <c r="B172" s="57" t="s">
        <v>6629</v>
      </c>
      <c r="C172" s="57" t="s">
        <v>6394</v>
      </c>
      <c r="D172" s="59" t="s">
        <v>6306</v>
      </c>
      <c r="E172" s="56"/>
      <c r="F172" s="56"/>
      <c r="G172" s="56"/>
    </row>
    <row r="173" ht="22.5" customHeight="1">
      <c r="A173" s="57" t="s">
        <v>6630</v>
      </c>
      <c r="B173" s="57" t="s">
        <v>6631</v>
      </c>
      <c r="C173" s="57"/>
      <c r="D173" s="59"/>
      <c r="E173" s="56"/>
      <c r="F173" s="56"/>
      <c r="G173" s="56"/>
    </row>
    <row r="174" ht="22.5" customHeight="1">
      <c r="A174" s="57" t="s">
        <v>321</v>
      </c>
      <c r="B174" s="57" t="s">
        <v>6632</v>
      </c>
      <c r="C174" s="57" t="s">
        <v>6633</v>
      </c>
      <c r="D174" s="59" t="s">
        <v>6306</v>
      </c>
      <c r="E174" s="56"/>
      <c r="F174" s="56"/>
      <c r="G174" s="56"/>
    </row>
    <row r="175" ht="22.5" customHeight="1">
      <c r="A175" s="57" t="s">
        <v>6634</v>
      </c>
      <c r="B175" s="57" t="s">
        <v>6635</v>
      </c>
      <c r="C175" s="57"/>
      <c r="D175" s="59"/>
      <c r="E175" s="56"/>
      <c r="F175" s="56"/>
      <c r="G175" s="56"/>
    </row>
    <row r="176" ht="22.5" customHeight="1">
      <c r="A176" s="57" t="s">
        <v>6636</v>
      </c>
      <c r="B176" s="57" t="s">
        <v>6637</v>
      </c>
      <c r="C176" s="57" t="s">
        <v>6377</v>
      </c>
      <c r="D176" s="59" t="s">
        <v>873</v>
      </c>
      <c r="E176" s="56"/>
      <c r="F176" s="56"/>
      <c r="G176" s="56"/>
    </row>
    <row r="177" ht="22.5" customHeight="1">
      <c r="A177" s="57" t="s">
        <v>6638</v>
      </c>
      <c r="B177" s="57" t="s">
        <v>6639</v>
      </c>
      <c r="C177" s="57"/>
      <c r="D177" s="59"/>
      <c r="E177" s="56"/>
      <c r="F177" s="56"/>
      <c r="G177" s="56"/>
    </row>
    <row r="178" ht="22.5" customHeight="1">
      <c r="A178" s="57" t="s">
        <v>6640</v>
      </c>
      <c r="B178" s="57" t="s">
        <v>6641</v>
      </c>
      <c r="C178" s="57" t="s">
        <v>6642</v>
      </c>
      <c r="D178" s="59" t="s">
        <v>873</v>
      </c>
      <c r="E178" s="56"/>
      <c r="F178" s="56"/>
      <c r="G178" s="56"/>
    </row>
    <row r="179" ht="22.5" customHeight="1">
      <c r="A179" s="57" t="s">
        <v>6643</v>
      </c>
      <c r="B179" s="57" t="s">
        <v>6644</v>
      </c>
      <c r="C179" s="57"/>
      <c r="D179" s="59"/>
      <c r="E179" s="56"/>
      <c r="F179" s="56"/>
      <c r="G179" s="56"/>
    </row>
    <row r="180" ht="22.5" customHeight="1">
      <c r="A180" s="57" t="s">
        <v>805</v>
      </c>
      <c r="B180" s="57" t="s">
        <v>6645</v>
      </c>
      <c r="C180" s="57" t="s">
        <v>6539</v>
      </c>
      <c r="D180" s="59" t="s">
        <v>873</v>
      </c>
      <c r="E180" s="56"/>
      <c r="F180" s="56"/>
      <c r="G180" s="56"/>
    </row>
    <row r="181" ht="22.5" customHeight="1">
      <c r="A181" s="57" t="s">
        <v>6646</v>
      </c>
      <c r="B181" s="57" t="s">
        <v>6647</v>
      </c>
      <c r="C181" s="57"/>
      <c r="D181" s="59"/>
      <c r="E181" s="56"/>
      <c r="F181" s="56"/>
      <c r="G181" s="56"/>
    </row>
    <row r="182" ht="22.5" customHeight="1">
      <c r="A182" s="57" t="s">
        <v>6648</v>
      </c>
      <c r="B182" s="57" t="s">
        <v>6649</v>
      </c>
      <c r="C182" s="57"/>
      <c r="D182" s="59"/>
      <c r="E182" s="56"/>
      <c r="F182" s="56"/>
      <c r="G182" s="56"/>
    </row>
    <row r="183" ht="22.5" customHeight="1">
      <c r="A183" s="57" t="s">
        <v>6650</v>
      </c>
      <c r="B183" s="57" t="s">
        <v>6651</v>
      </c>
      <c r="C183" s="57"/>
      <c r="D183" s="59"/>
      <c r="E183" s="56"/>
      <c r="F183" s="56"/>
      <c r="G183" s="56"/>
    </row>
    <row r="184" ht="22.5" customHeight="1">
      <c r="A184" s="57" t="s">
        <v>6652</v>
      </c>
      <c r="B184" s="57" t="s">
        <v>6653</v>
      </c>
      <c r="C184" s="57"/>
      <c r="D184" s="59"/>
      <c r="E184" s="56"/>
      <c r="F184" s="56"/>
      <c r="G184" s="56"/>
    </row>
    <row r="185" ht="22.5" customHeight="1">
      <c r="A185" s="57" t="s">
        <v>6654</v>
      </c>
      <c r="B185" s="57" t="s">
        <v>6655</v>
      </c>
      <c r="C185" s="57" t="s">
        <v>6656</v>
      </c>
      <c r="D185" s="59" t="s">
        <v>873</v>
      </c>
      <c r="E185" s="56"/>
      <c r="F185" s="56"/>
      <c r="G185" s="56"/>
    </row>
    <row r="186" ht="22.5" customHeight="1">
      <c r="A186" s="57" t="s">
        <v>350</v>
      </c>
      <c r="B186" s="57" t="s">
        <v>6657</v>
      </c>
      <c r="C186" s="57" t="s">
        <v>6491</v>
      </c>
      <c r="D186" s="59" t="s">
        <v>6306</v>
      </c>
      <c r="E186" s="56"/>
      <c r="F186" s="56"/>
      <c r="G186" s="56"/>
    </row>
    <row r="187" ht="22.5" customHeight="1">
      <c r="A187" s="57" t="s">
        <v>6658</v>
      </c>
      <c r="B187" s="57" t="s">
        <v>6659</v>
      </c>
      <c r="C187" s="57"/>
      <c r="D187" s="59"/>
      <c r="E187" s="56"/>
      <c r="F187" s="56"/>
      <c r="G187" s="56"/>
    </row>
    <row r="188" ht="22.5" customHeight="1">
      <c r="A188" s="57" t="s">
        <v>6660</v>
      </c>
      <c r="B188" s="57" t="s">
        <v>6661</v>
      </c>
      <c r="C188" s="57"/>
      <c r="D188" s="59"/>
      <c r="E188" s="56"/>
      <c r="F188" s="56"/>
      <c r="G188" s="56"/>
    </row>
    <row r="189" ht="22.5" customHeight="1">
      <c r="A189" s="57" t="s">
        <v>6662</v>
      </c>
      <c r="B189" s="57" t="s">
        <v>6663</v>
      </c>
      <c r="C189" s="57"/>
      <c r="D189" s="59"/>
      <c r="E189" s="56"/>
      <c r="F189" s="56"/>
      <c r="G189" s="56"/>
    </row>
    <row r="190" ht="22.5" customHeight="1">
      <c r="A190" s="57" t="s">
        <v>6664</v>
      </c>
      <c r="B190" s="57" t="s">
        <v>6665</v>
      </c>
      <c r="C190" s="57"/>
      <c r="D190" s="59"/>
      <c r="E190" s="56"/>
      <c r="F190" s="56"/>
      <c r="G190" s="56"/>
    </row>
    <row r="191" ht="22.5" customHeight="1">
      <c r="A191" s="57" t="s">
        <v>6666</v>
      </c>
      <c r="B191" s="57" t="s">
        <v>6667</v>
      </c>
      <c r="C191" s="57"/>
      <c r="D191" s="59"/>
      <c r="E191" s="56"/>
      <c r="F191" s="56"/>
      <c r="G191" s="56"/>
    </row>
    <row r="192" ht="22.5" customHeight="1">
      <c r="A192" s="57" t="s">
        <v>6668</v>
      </c>
      <c r="B192" s="57" t="s">
        <v>6669</v>
      </c>
      <c r="C192" s="57"/>
      <c r="D192" s="59"/>
      <c r="E192" s="56"/>
      <c r="F192" s="56"/>
      <c r="G192" s="56"/>
    </row>
    <row r="193" ht="22.5" customHeight="1">
      <c r="A193" s="57" t="s">
        <v>6670</v>
      </c>
      <c r="B193" s="57" t="s">
        <v>6671</v>
      </c>
      <c r="C193" s="57"/>
      <c r="D193" s="59"/>
      <c r="E193" s="56"/>
      <c r="F193" s="56"/>
      <c r="G193" s="56"/>
    </row>
    <row r="194" ht="22.5" customHeight="1">
      <c r="A194" s="57" t="s">
        <v>6672</v>
      </c>
      <c r="B194" s="57" t="s">
        <v>6673</v>
      </c>
      <c r="C194" s="57" t="s">
        <v>6356</v>
      </c>
      <c r="D194" s="59" t="s">
        <v>873</v>
      </c>
      <c r="E194" s="56"/>
      <c r="F194" s="56"/>
      <c r="G194" s="56"/>
    </row>
    <row r="195" ht="22.5" customHeight="1">
      <c r="A195" s="57" t="s">
        <v>454</v>
      </c>
      <c r="B195" s="57" t="s">
        <v>6674</v>
      </c>
      <c r="C195" s="57" t="s">
        <v>6580</v>
      </c>
      <c r="D195" s="59" t="s">
        <v>873</v>
      </c>
      <c r="E195" s="56"/>
      <c r="F195" s="56"/>
      <c r="G195" s="56"/>
    </row>
    <row r="196" ht="22.5" customHeight="1">
      <c r="A196" s="57" t="s">
        <v>833</v>
      </c>
      <c r="B196" s="57" t="s">
        <v>6675</v>
      </c>
      <c r="C196" s="57"/>
      <c r="D196" s="59"/>
      <c r="E196" s="56"/>
      <c r="F196" s="56"/>
      <c r="G196" s="56"/>
    </row>
    <row r="197" ht="22.5" customHeight="1">
      <c r="A197" s="57" t="s">
        <v>6676</v>
      </c>
      <c r="B197" s="57" t="s">
        <v>6677</v>
      </c>
      <c r="C197" s="57"/>
      <c r="D197" s="59"/>
      <c r="E197" s="56"/>
      <c r="F197" s="56"/>
      <c r="G197" s="56"/>
    </row>
    <row r="198" ht="22.5" customHeight="1">
      <c r="A198" s="57" t="s">
        <v>6678</v>
      </c>
      <c r="B198" s="57" t="s">
        <v>6679</v>
      </c>
      <c r="C198" s="57"/>
      <c r="D198" s="59"/>
      <c r="E198" s="56"/>
      <c r="F198" s="56"/>
      <c r="G198" s="56"/>
    </row>
    <row r="199" ht="22.5" customHeight="1">
      <c r="A199" s="57" t="s">
        <v>6680</v>
      </c>
      <c r="B199" s="57" t="s">
        <v>6681</v>
      </c>
      <c r="C199" s="57"/>
      <c r="D199" s="59"/>
      <c r="E199" s="56"/>
      <c r="F199" s="56"/>
      <c r="G199" s="56"/>
    </row>
    <row r="200" ht="22.5" customHeight="1">
      <c r="A200" s="57" t="s">
        <v>6682</v>
      </c>
      <c r="B200" s="57" t="s">
        <v>6683</v>
      </c>
      <c r="C200" s="57"/>
      <c r="D200" s="59"/>
      <c r="E200" s="56"/>
      <c r="F200" s="56"/>
      <c r="G200" s="56"/>
    </row>
    <row r="201" ht="22.5" customHeight="1">
      <c r="A201" s="57" t="s">
        <v>6684</v>
      </c>
      <c r="B201" s="57" t="s">
        <v>6685</v>
      </c>
      <c r="C201" s="57"/>
      <c r="D201" s="59"/>
      <c r="E201" s="56"/>
      <c r="F201" s="56"/>
      <c r="G201" s="56"/>
    </row>
    <row r="202" ht="22.5" customHeight="1">
      <c r="A202" s="57" t="s">
        <v>88</v>
      </c>
      <c r="B202" s="57" t="s">
        <v>6686</v>
      </c>
      <c r="C202" s="57" t="s">
        <v>6687</v>
      </c>
      <c r="D202" s="59" t="s">
        <v>873</v>
      </c>
      <c r="E202" s="56"/>
      <c r="F202" s="56"/>
      <c r="G202" s="56"/>
    </row>
    <row r="203" ht="22.5" customHeight="1">
      <c r="A203" s="57" t="s">
        <v>6688</v>
      </c>
      <c r="B203" s="57" t="s">
        <v>6689</v>
      </c>
      <c r="C203" s="57"/>
      <c r="D203" s="59"/>
      <c r="E203" s="56"/>
      <c r="F203" s="56"/>
      <c r="G203" s="56"/>
    </row>
    <row r="204" ht="22.5" customHeight="1">
      <c r="A204" s="57" t="s">
        <v>6443</v>
      </c>
      <c r="B204" s="57" t="s">
        <v>6690</v>
      </c>
      <c r="C204" s="57" t="s">
        <v>6445</v>
      </c>
      <c r="D204" s="59" t="s">
        <v>873</v>
      </c>
      <c r="E204" s="56"/>
      <c r="F204" s="56"/>
      <c r="G204" s="56"/>
    </row>
    <row r="205" ht="22.5" customHeight="1">
      <c r="A205" s="57" t="s">
        <v>6691</v>
      </c>
      <c r="B205" s="57" t="s">
        <v>6692</v>
      </c>
      <c r="C205" s="57"/>
      <c r="D205" s="59"/>
      <c r="E205" s="56"/>
      <c r="F205" s="56"/>
      <c r="G205" s="56"/>
    </row>
    <row r="206" ht="22.5" customHeight="1">
      <c r="A206" s="57" t="s">
        <v>858</v>
      </c>
      <c r="B206" s="57" t="s">
        <v>6693</v>
      </c>
      <c r="C206" s="57"/>
      <c r="D206" s="59"/>
      <c r="E206" s="56"/>
      <c r="F206" s="56"/>
      <c r="G206" s="56"/>
    </row>
    <row r="207" ht="22.5" customHeight="1">
      <c r="A207" s="57" t="s">
        <v>6694</v>
      </c>
      <c r="B207" s="57" t="s">
        <v>6695</v>
      </c>
      <c r="C207" s="57"/>
      <c r="D207" s="59"/>
      <c r="E207" s="56"/>
      <c r="F207" s="56"/>
      <c r="G207" s="56"/>
    </row>
    <row r="208" ht="22.5" customHeight="1">
      <c r="A208" s="57" t="s">
        <v>582</v>
      </c>
      <c r="B208" s="57" t="s">
        <v>6696</v>
      </c>
      <c r="C208" s="57"/>
      <c r="D208" s="59"/>
      <c r="E208" s="56"/>
      <c r="F208" s="56"/>
      <c r="G208" s="56"/>
    </row>
    <row r="209" ht="22.5" customHeight="1">
      <c r="A209" s="57" t="s">
        <v>694</v>
      </c>
      <c r="B209" s="57" t="s">
        <v>6697</v>
      </c>
      <c r="C209" s="57"/>
      <c r="D209" s="59"/>
      <c r="E209" s="56"/>
      <c r="F209" s="56"/>
      <c r="G209" s="56"/>
    </row>
    <row r="210" ht="22.5" customHeight="1">
      <c r="A210" s="57" t="s">
        <v>6672</v>
      </c>
      <c r="B210" s="57" t="s">
        <v>6698</v>
      </c>
      <c r="C210" s="57" t="s">
        <v>6356</v>
      </c>
      <c r="D210" s="59" t="s">
        <v>873</v>
      </c>
      <c r="E210" s="56"/>
      <c r="F210" s="56"/>
      <c r="G210" s="56"/>
    </row>
    <row r="211" ht="22.5" customHeight="1">
      <c r="A211" s="57" t="s">
        <v>6699</v>
      </c>
      <c r="B211" s="57" t="s">
        <v>6700</v>
      </c>
      <c r="C211" s="57"/>
      <c r="D211" s="59"/>
      <c r="E211" s="56"/>
      <c r="F211" s="56"/>
      <c r="G211" s="56"/>
    </row>
    <row r="212" ht="22.5" customHeight="1">
      <c r="A212" s="57" t="s">
        <v>6701</v>
      </c>
      <c r="B212" s="57" t="s">
        <v>6702</v>
      </c>
      <c r="C212" s="57"/>
      <c r="D212" s="59"/>
      <c r="E212" s="56"/>
      <c r="F212" s="56"/>
      <c r="G212" s="56"/>
    </row>
    <row r="213" ht="22.5" customHeight="1">
      <c r="A213" s="57" t="s">
        <v>6703</v>
      </c>
      <c r="B213" s="57" t="s">
        <v>6704</v>
      </c>
      <c r="C213" s="57"/>
      <c r="D213" s="59"/>
      <c r="E213" s="56"/>
      <c r="F213" s="56"/>
      <c r="G213" s="56"/>
    </row>
    <row r="214" ht="22.5" customHeight="1">
      <c r="A214" s="57" t="s">
        <v>2921</v>
      </c>
      <c r="B214" s="57" t="s">
        <v>6705</v>
      </c>
      <c r="C214" s="57"/>
      <c r="D214" s="59"/>
      <c r="E214" s="56"/>
      <c r="F214" s="56"/>
      <c r="G214" s="56"/>
    </row>
    <row r="215" ht="22.5" customHeight="1">
      <c r="A215" s="57" t="s">
        <v>6706</v>
      </c>
      <c r="B215" s="57" t="s">
        <v>6707</v>
      </c>
      <c r="C215" s="57"/>
      <c r="D215" s="59"/>
      <c r="E215" s="56"/>
      <c r="F215" s="56"/>
      <c r="G215" s="56"/>
    </row>
    <row r="216" ht="22.5" customHeight="1">
      <c r="A216" s="57" t="s">
        <v>6708</v>
      </c>
      <c r="B216" s="57" t="s">
        <v>6709</v>
      </c>
      <c r="C216" s="57"/>
      <c r="D216" s="59"/>
      <c r="E216" s="56"/>
      <c r="F216" s="56"/>
      <c r="G216" s="56"/>
    </row>
    <row r="217" ht="22.5" customHeight="1">
      <c r="A217" s="57" t="s">
        <v>246</v>
      </c>
      <c r="B217" s="57" t="s">
        <v>6710</v>
      </c>
      <c r="C217" s="57" t="s">
        <v>6711</v>
      </c>
      <c r="D217" s="59" t="s">
        <v>873</v>
      </c>
      <c r="E217" s="56"/>
      <c r="F217" s="56"/>
      <c r="G217" s="56"/>
    </row>
    <row r="218" ht="22.5" customHeight="1">
      <c r="A218" s="57"/>
      <c r="B218" s="57" t="s">
        <v>6712</v>
      </c>
      <c r="C218" s="57"/>
      <c r="D218" s="59"/>
      <c r="E218" s="56"/>
      <c r="F218" s="56"/>
      <c r="G218" s="56"/>
    </row>
    <row r="219" ht="22.5" customHeight="1">
      <c r="A219" s="57" t="s">
        <v>6713</v>
      </c>
      <c r="B219" s="57" t="s">
        <v>6714</v>
      </c>
      <c r="C219" s="57"/>
      <c r="D219" s="59"/>
      <c r="E219" s="56"/>
      <c r="F219" s="56"/>
      <c r="G219" s="56"/>
    </row>
    <row r="220" ht="22.5" customHeight="1">
      <c r="A220" s="57" t="s">
        <v>6715</v>
      </c>
      <c r="B220" s="57" t="s">
        <v>6716</v>
      </c>
      <c r="C220" s="57" t="s">
        <v>6439</v>
      </c>
      <c r="D220" s="59" t="s">
        <v>873</v>
      </c>
      <c r="E220" s="56"/>
      <c r="F220" s="56"/>
      <c r="G220" s="56"/>
    </row>
    <row r="221" ht="22.5" customHeight="1">
      <c r="A221" s="57" t="s">
        <v>6717</v>
      </c>
      <c r="B221" s="57" t="s">
        <v>6718</v>
      </c>
      <c r="C221" s="57"/>
      <c r="D221" s="59"/>
      <c r="E221" s="56"/>
      <c r="F221" s="56"/>
      <c r="G221" s="56"/>
    </row>
    <row r="222" ht="22.5" customHeight="1">
      <c r="A222" s="57" t="s">
        <v>6719</v>
      </c>
      <c r="B222" s="57" t="s">
        <v>6720</v>
      </c>
      <c r="C222" s="57"/>
      <c r="D222" s="59"/>
      <c r="E222" s="56"/>
      <c r="F222" s="56"/>
      <c r="G222" s="56"/>
    </row>
    <row r="223" ht="22.5" customHeight="1">
      <c r="A223" s="57" t="s">
        <v>6721</v>
      </c>
      <c r="B223" s="57" t="s">
        <v>6722</v>
      </c>
      <c r="C223" s="57"/>
      <c r="D223" s="59"/>
      <c r="E223" s="56"/>
      <c r="F223" s="56"/>
      <c r="G223" s="56"/>
    </row>
    <row r="224" ht="22.5" customHeight="1">
      <c r="A224" s="57" t="s">
        <v>6723</v>
      </c>
      <c r="B224" s="57" t="s">
        <v>6724</v>
      </c>
      <c r="C224" s="57"/>
      <c r="D224" s="59"/>
      <c r="E224" s="56"/>
      <c r="F224" s="56"/>
      <c r="G224" s="56"/>
    </row>
    <row r="225" ht="22.5" customHeight="1">
      <c r="A225" s="57" t="s">
        <v>6725</v>
      </c>
      <c r="B225" s="57" t="s">
        <v>6726</v>
      </c>
      <c r="C225" s="57"/>
      <c r="D225" s="59"/>
      <c r="E225" s="56"/>
      <c r="F225" s="56"/>
      <c r="G225" s="56"/>
    </row>
    <row r="226" ht="22.5" customHeight="1">
      <c r="A226" s="57" t="s">
        <v>6727</v>
      </c>
      <c r="B226" s="57" t="s">
        <v>6728</v>
      </c>
      <c r="C226" s="57"/>
      <c r="D226" s="59"/>
      <c r="E226" s="56"/>
      <c r="F226" s="56"/>
      <c r="G226" s="56"/>
    </row>
    <row r="227" ht="22.5" customHeight="1">
      <c r="A227" s="57" t="s">
        <v>6729</v>
      </c>
      <c r="B227" s="57" t="s">
        <v>6730</v>
      </c>
      <c r="C227" s="57"/>
      <c r="D227" s="59"/>
      <c r="E227" s="56"/>
      <c r="F227" s="56"/>
      <c r="G227" s="56"/>
    </row>
    <row r="228" ht="22.5" customHeight="1">
      <c r="A228" s="57" t="s">
        <v>6731</v>
      </c>
      <c r="B228" s="57" t="s">
        <v>6732</v>
      </c>
      <c r="C228" s="57"/>
      <c r="D228" s="59"/>
      <c r="E228" s="56"/>
      <c r="F228" s="56"/>
      <c r="G228" s="56"/>
    </row>
    <row r="229" ht="22.5" customHeight="1">
      <c r="A229" s="57" t="s">
        <v>6733</v>
      </c>
      <c r="B229" s="57" t="s">
        <v>6734</v>
      </c>
      <c r="C229" s="57"/>
      <c r="D229" s="59"/>
      <c r="E229" s="56"/>
      <c r="F229" s="56"/>
      <c r="G229" s="56"/>
    </row>
    <row r="230" ht="22.5" customHeight="1">
      <c r="A230" s="57" t="s">
        <v>6735</v>
      </c>
      <c r="B230" s="57" t="s">
        <v>6736</v>
      </c>
      <c r="C230" s="57"/>
      <c r="D230" s="59"/>
      <c r="E230" s="56"/>
      <c r="F230" s="56"/>
      <c r="G230" s="56"/>
    </row>
    <row r="231" ht="22.5" customHeight="1">
      <c r="A231" s="57" t="s">
        <v>818</v>
      </c>
      <c r="B231" s="57" t="s">
        <v>6737</v>
      </c>
      <c r="C231" s="57" t="s">
        <v>6381</v>
      </c>
      <c r="D231" s="59" t="s">
        <v>6306</v>
      </c>
      <c r="E231" s="56"/>
      <c r="F231" s="56"/>
      <c r="G231" s="56"/>
    </row>
    <row r="232" ht="22.5" customHeight="1">
      <c r="A232" s="57" t="s">
        <v>6738</v>
      </c>
      <c r="B232" s="57" t="s">
        <v>6739</v>
      </c>
      <c r="C232" s="57"/>
      <c r="D232" s="59"/>
      <c r="E232" s="56"/>
      <c r="F232" s="56"/>
      <c r="G232" s="56"/>
    </row>
    <row r="233" ht="22.5" customHeight="1">
      <c r="A233" s="57" t="s">
        <v>6740</v>
      </c>
      <c r="B233" s="57" t="s">
        <v>6741</v>
      </c>
      <c r="C233" s="57" t="s">
        <v>6606</v>
      </c>
      <c r="D233" s="59" t="s">
        <v>6306</v>
      </c>
      <c r="E233" s="56"/>
      <c r="F233" s="56"/>
      <c r="G233" s="56"/>
    </row>
    <row r="234" ht="22.5" customHeight="1">
      <c r="A234" s="57" t="s">
        <v>6742</v>
      </c>
      <c r="B234" s="57" t="s">
        <v>6743</v>
      </c>
      <c r="C234" s="57"/>
      <c r="D234" s="59"/>
      <c r="E234" s="56"/>
      <c r="F234" s="56"/>
      <c r="G234" s="56"/>
    </row>
    <row r="235" ht="22.5" customHeight="1">
      <c r="A235" s="57" t="s">
        <v>6744</v>
      </c>
      <c r="B235" s="57" t="s">
        <v>6745</v>
      </c>
      <c r="C235" s="57"/>
      <c r="D235" s="59"/>
      <c r="E235" s="56"/>
      <c r="F235" s="56"/>
      <c r="G235" s="56"/>
    </row>
    <row r="236" ht="22.5" customHeight="1">
      <c r="A236" s="57" t="s">
        <v>6746</v>
      </c>
      <c r="B236" s="57" t="s">
        <v>6747</v>
      </c>
      <c r="C236" s="57"/>
      <c r="D236" s="59"/>
      <c r="E236" s="56"/>
      <c r="F236" s="56"/>
      <c r="G236" s="56"/>
    </row>
    <row r="237" ht="22.5" customHeight="1">
      <c r="A237" s="57" t="s">
        <v>6748</v>
      </c>
      <c r="B237" s="57" t="s">
        <v>6749</v>
      </c>
      <c r="C237" s="57" t="s">
        <v>6313</v>
      </c>
      <c r="D237" s="59" t="s">
        <v>873</v>
      </c>
      <c r="E237" s="56"/>
      <c r="F237" s="56"/>
      <c r="G237" s="56"/>
    </row>
    <row r="238" ht="22.5" customHeight="1">
      <c r="A238" s="57" t="s">
        <v>6750</v>
      </c>
      <c r="B238" s="57" t="s">
        <v>6751</v>
      </c>
      <c r="C238" s="57" t="s">
        <v>6598</v>
      </c>
      <c r="D238" s="59" t="s">
        <v>873</v>
      </c>
      <c r="E238" s="56"/>
      <c r="F238" s="56"/>
      <c r="G238" s="56"/>
    </row>
    <row r="239" ht="22.5" customHeight="1">
      <c r="A239" s="57" t="s">
        <v>6752</v>
      </c>
      <c r="B239" s="57" t="s">
        <v>6753</v>
      </c>
      <c r="C239" s="57"/>
      <c r="D239" s="59"/>
      <c r="E239" s="56"/>
      <c r="F239" s="56"/>
      <c r="G239" s="56"/>
    </row>
    <row r="240" ht="22.5" customHeight="1">
      <c r="A240" s="57" t="s">
        <v>6754</v>
      </c>
      <c r="B240" s="57" t="s">
        <v>6755</v>
      </c>
      <c r="C240" s="57"/>
      <c r="D240" s="59"/>
      <c r="E240" s="56"/>
      <c r="F240" s="56"/>
      <c r="G240" s="56"/>
    </row>
    <row r="241" ht="22.5" customHeight="1">
      <c r="A241" s="57" t="s">
        <v>6756</v>
      </c>
      <c r="B241" s="57" t="s">
        <v>6757</v>
      </c>
      <c r="C241" s="57"/>
      <c r="D241" s="59"/>
      <c r="E241" s="56"/>
      <c r="F241" s="56"/>
      <c r="G241" s="56"/>
    </row>
    <row r="242" ht="22.5" customHeight="1">
      <c r="A242" s="57" t="s">
        <v>498</v>
      </c>
      <c r="B242" s="57" t="s">
        <v>6758</v>
      </c>
      <c r="C242" s="57" t="s">
        <v>6463</v>
      </c>
      <c r="D242" s="59" t="s">
        <v>6306</v>
      </c>
      <c r="E242" s="56"/>
      <c r="F242" s="56"/>
      <c r="G242" s="56"/>
    </row>
    <row r="243" ht="22.5" customHeight="1">
      <c r="A243" s="57" t="s">
        <v>6759</v>
      </c>
      <c r="B243" s="57" t="s">
        <v>6760</v>
      </c>
      <c r="C243" s="57"/>
      <c r="D243" s="59"/>
      <c r="E243" s="56"/>
      <c r="F243" s="56"/>
      <c r="G243" s="56"/>
    </row>
    <row r="244" ht="22.5" customHeight="1">
      <c r="A244" s="57" t="s">
        <v>6761</v>
      </c>
      <c r="B244" s="57" t="s">
        <v>6762</v>
      </c>
      <c r="C244" s="57"/>
      <c r="D244" s="59"/>
      <c r="E244" s="56"/>
      <c r="F244" s="56"/>
      <c r="G244" s="56"/>
    </row>
    <row r="245" ht="22.5" customHeight="1">
      <c r="A245" s="57" t="s">
        <v>817</v>
      </c>
      <c r="B245" s="57" t="s">
        <v>6763</v>
      </c>
      <c r="C245" s="57"/>
      <c r="D245" s="59"/>
      <c r="E245" s="56"/>
      <c r="F245" s="56"/>
      <c r="G245" s="56"/>
    </row>
    <row r="246" ht="22.5" customHeight="1">
      <c r="A246" s="57" t="s">
        <v>515</v>
      </c>
      <c r="B246" s="57" t="s">
        <v>6764</v>
      </c>
      <c r="C246" s="57" t="s">
        <v>6526</v>
      </c>
      <c r="D246" s="59" t="s">
        <v>6306</v>
      </c>
      <c r="E246" s="56"/>
      <c r="F246" s="56"/>
      <c r="G246" s="56"/>
    </row>
    <row r="247" ht="22.5" customHeight="1">
      <c r="A247" s="57" t="s">
        <v>6765</v>
      </c>
      <c r="B247" s="57" t="s">
        <v>6766</v>
      </c>
      <c r="C247" s="57"/>
      <c r="D247" s="59"/>
      <c r="E247" s="56"/>
      <c r="F247" s="56"/>
      <c r="G247" s="56"/>
    </row>
    <row r="248" ht="22.5" customHeight="1">
      <c r="A248" s="57" t="s">
        <v>6767</v>
      </c>
      <c r="B248" s="57" t="s">
        <v>6768</v>
      </c>
      <c r="C248" s="57"/>
      <c r="D248" s="59"/>
      <c r="E248" s="56"/>
      <c r="F248" s="56"/>
      <c r="G248" s="56"/>
    </row>
    <row r="249" ht="22.5" customHeight="1">
      <c r="A249" s="57" t="s">
        <v>6769</v>
      </c>
      <c r="B249" s="57" t="s">
        <v>6770</v>
      </c>
      <c r="C249" s="57"/>
      <c r="D249" s="59"/>
      <c r="E249" s="56"/>
      <c r="F249" s="56"/>
      <c r="G249" s="56"/>
    </row>
    <row r="250" ht="22.5" customHeight="1">
      <c r="A250" s="57" t="s">
        <v>6771</v>
      </c>
      <c r="B250" s="57" t="s">
        <v>6772</v>
      </c>
      <c r="C250" s="57"/>
      <c r="D250" s="59"/>
      <c r="E250" s="56"/>
      <c r="F250" s="56"/>
      <c r="G250" s="56"/>
    </row>
    <row r="251" ht="22.5" customHeight="1">
      <c r="A251" s="57" t="s">
        <v>6773</v>
      </c>
      <c r="B251" s="57" t="s">
        <v>6774</v>
      </c>
      <c r="C251" s="57"/>
      <c r="D251" s="59"/>
      <c r="E251" s="56"/>
      <c r="F251" s="56"/>
      <c r="G251" s="56"/>
    </row>
    <row r="252" ht="22.5" customHeight="1">
      <c r="A252" s="57"/>
      <c r="B252" s="57" t="s">
        <v>6775</v>
      </c>
      <c r="C252" s="57"/>
      <c r="D252" s="59"/>
      <c r="E252" s="56"/>
      <c r="F252" s="56"/>
      <c r="G252" s="56"/>
    </row>
    <row r="253" ht="22.5" customHeight="1">
      <c r="A253" s="57"/>
      <c r="B253" s="57" t="s">
        <v>6776</v>
      </c>
      <c r="C253" s="57"/>
      <c r="D253" s="59"/>
      <c r="E253" s="56"/>
      <c r="F253" s="56"/>
      <c r="G253" s="56"/>
    </row>
    <row r="254" ht="22.5" customHeight="1">
      <c r="A254" s="57"/>
      <c r="B254" s="57" t="s">
        <v>6777</v>
      </c>
      <c r="C254" s="57"/>
      <c r="D254" s="59"/>
      <c r="E254" s="56"/>
      <c r="F254" s="56"/>
      <c r="G254" s="56"/>
    </row>
    <row r="255" ht="22.5" customHeight="1">
      <c r="A255" s="57"/>
      <c r="B255" s="57" t="s">
        <v>6778</v>
      </c>
      <c r="C255" s="57"/>
      <c r="D255" s="59"/>
      <c r="E255" s="56"/>
      <c r="F255" s="56"/>
      <c r="G255" s="56"/>
    </row>
    <row r="256" ht="22.5" customHeight="1">
      <c r="A256" s="57"/>
      <c r="B256" s="57" t="s">
        <v>6779</v>
      </c>
      <c r="C256" s="57"/>
      <c r="D256" s="59"/>
      <c r="E256" s="56"/>
      <c r="F256" s="56"/>
      <c r="G256" s="56"/>
    </row>
    <row r="257" ht="22.5" customHeight="1">
      <c r="A257" s="57"/>
      <c r="B257" s="57"/>
      <c r="C257" s="57"/>
      <c r="D257" s="59"/>
      <c r="E257" s="56"/>
      <c r="F257" s="56"/>
      <c r="G257" s="56"/>
    </row>
    <row r="258" ht="22.5" customHeight="1">
      <c r="A258" s="57"/>
      <c r="B258" s="57"/>
      <c r="C258" s="57"/>
      <c r="D258" s="59"/>
      <c r="E258" s="56"/>
      <c r="F258" s="56"/>
      <c r="G258" s="56"/>
    </row>
    <row r="259" ht="22.5" customHeight="1">
      <c r="A259" s="57"/>
      <c r="B259" s="57"/>
      <c r="C259" s="57"/>
      <c r="D259" s="59"/>
      <c r="E259" s="56"/>
      <c r="F259" s="56"/>
      <c r="G259" s="56"/>
    </row>
    <row r="260" ht="22.5" customHeight="1">
      <c r="A260" s="57"/>
      <c r="B260" s="57"/>
      <c r="C260" s="57"/>
      <c r="D260" s="59"/>
      <c r="E260" s="56"/>
      <c r="F260" s="56"/>
      <c r="G260" s="56"/>
    </row>
    <row r="261" ht="22.5" customHeight="1">
      <c r="A261" s="57"/>
      <c r="B261" s="57"/>
      <c r="C261" s="57"/>
      <c r="D261" s="59"/>
      <c r="E261" s="56"/>
      <c r="F261" s="56"/>
      <c r="G261" s="56"/>
    </row>
    <row r="262" ht="22.5" customHeight="1">
      <c r="A262" s="57"/>
      <c r="B262" s="57"/>
      <c r="C262" s="57"/>
      <c r="D262" s="59"/>
      <c r="E262" s="56"/>
      <c r="F262" s="56"/>
      <c r="G262" s="56"/>
    </row>
    <row r="263" ht="22.5" customHeight="1">
      <c r="A263" s="57"/>
      <c r="B263" s="57"/>
      <c r="C263" s="57"/>
      <c r="D263" s="59"/>
      <c r="E263" s="56"/>
      <c r="F263" s="56"/>
      <c r="G263" s="56"/>
    </row>
    <row r="264" ht="22.5" customHeight="1">
      <c r="A264" s="57"/>
      <c r="B264" s="57"/>
      <c r="C264" s="57"/>
      <c r="D264" s="59"/>
      <c r="E264" s="56"/>
      <c r="F264" s="56"/>
      <c r="G264" s="56"/>
    </row>
    <row r="265" ht="22.5" customHeight="1">
      <c r="A265" s="57"/>
      <c r="B265" s="57"/>
      <c r="C265" s="57"/>
      <c r="D265" s="59"/>
      <c r="E265" s="56"/>
      <c r="F265" s="56"/>
      <c r="G265" s="56"/>
    </row>
    <row r="266" ht="22.5" customHeight="1">
      <c r="A266" s="57"/>
      <c r="B266" s="57"/>
      <c r="C266" s="57"/>
      <c r="D266" s="59"/>
      <c r="E266" s="56"/>
      <c r="F266" s="56"/>
      <c r="G266" s="56"/>
    </row>
    <row r="267">
      <c r="A267" s="56"/>
      <c r="B267" s="56"/>
      <c r="C267" s="56"/>
      <c r="D267" s="56"/>
      <c r="E267" s="56"/>
      <c r="F267" s="56"/>
      <c r="G267" s="56"/>
    </row>
    <row r="268">
      <c r="A268" s="56"/>
      <c r="B268" s="56"/>
      <c r="C268" s="56"/>
      <c r="D268" s="56"/>
      <c r="E268" s="56"/>
      <c r="F268" s="56"/>
      <c r="G268" s="56"/>
    </row>
    <row r="269">
      <c r="A269" s="56"/>
      <c r="B269" s="56"/>
      <c r="C269" s="56"/>
      <c r="D269" s="56"/>
      <c r="E269" s="56"/>
      <c r="F269" s="56"/>
      <c r="G269" s="56"/>
    </row>
    <row r="270">
      <c r="A270" s="56"/>
      <c r="B270" s="56"/>
      <c r="C270" s="56"/>
      <c r="D270" s="56"/>
      <c r="E270" s="56"/>
      <c r="F270" s="56"/>
      <c r="G270" s="56"/>
    </row>
    <row r="271">
      <c r="A271" s="56"/>
      <c r="B271" s="56"/>
      <c r="C271" s="56"/>
      <c r="D271" s="56"/>
      <c r="E271" s="56"/>
      <c r="F271" s="56"/>
      <c r="G271" s="56"/>
    </row>
    <row r="272">
      <c r="A272" s="56"/>
      <c r="B272" s="56"/>
      <c r="C272" s="56"/>
      <c r="D272" s="56"/>
      <c r="E272" s="56"/>
      <c r="F272" s="56"/>
      <c r="G272" s="56"/>
    </row>
    <row r="273">
      <c r="A273" s="56"/>
      <c r="B273" s="56"/>
      <c r="C273" s="56"/>
      <c r="D273" s="56"/>
      <c r="E273" s="56"/>
      <c r="F273" s="56"/>
      <c r="G273" s="56"/>
    </row>
    <row r="274">
      <c r="A274" s="56"/>
      <c r="B274" s="56"/>
      <c r="C274" s="56"/>
      <c r="D274" s="56"/>
      <c r="E274" s="56"/>
      <c r="F274" s="56"/>
      <c r="G274" s="56"/>
    </row>
    <row r="275">
      <c r="A275" s="56"/>
      <c r="B275" s="56"/>
      <c r="C275" s="56"/>
      <c r="D275" s="56"/>
      <c r="E275" s="56"/>
      <c r="F275" s="56"/>
      <c r="G275" s="56"/>
    </row>
    <row r="276">
      <c r="A276" s="56"/>
      <c r="B276" s="56"/>
      <c r="C276" s="56"/>
      <c r="D276" s="56"/>
      <c r="E276" s="56"/>
      <c r="F276" s="56"/>
      <c r="G276" s="56"/>
    </row>
    <row r="277">
      <c r="A277" s="56"/>
      <c r="B277" s="56"/>
      <c r="C277" s="56"/>
      <c r="D277" s="56"/>
      <c r="E277" s="56"/>
      <c r="F277" s="56"/>
      <c r="G277" s="56"/>
    </row>
    <row r="278">
      <c r="A278" s="56"/>
      <c r="B278" s="56"/>
      <c r="C278" s="56"/>
      <c r="D278" s="56"/>
      <c r="E278" s="56"/>
      <c r="F278" s="56"/>
      <c r="G278" s="56"/>
    </row>
    <row r="279">
      <c r="A279" s="56"/>
      <c r="B279" s="56"/>
      <c r="C279" s="56"/>
      <c r="D279" s="56"/>
      <c r="E279" s="56"/>
      <c r="F279" s="56"/>
      <c r="G279" s="56"/>
    </row>
    <row r="280">
      <c r="A280" s="56"/>
      <c r="B280" s="56"/>
      <c r="C280" s="56"/>
      <c r="D280" s="56"/>
      <c r="E280" s="56"/>
      <c r="F280" s="56"/>
      <c r="G280" s="56"/>
    </row>
    <row r="281">
      <c r="A281" s="56"/>
      <c r="B281" s="56"/>
      <c r="C281" s="56"/>
      <c r="D281" s="56"/>
      <c r="E281" s="56"/>
      <c r="F281" s="56"/>
      <c r="G281" s="56"/>
    </row>
    <row r="282">
      <c r="A282" s="56"/>
      <c r="B282" s="56"/>
      <c r="C282" s="56"/>
      <c r="D282" s="56"/>
      <c r="E282" s="56"/>
      <c r="F282" s="56"/>
      <c r="G282" s="56"/>
    </row>
    <row r="283">
      <c r="A283" s="56"/>
      <c r="B283" s="56"/>
      <c r="C283" s="56"/>
      <c r="D283" s="56"/>
      <c r="E283" s="56"/>
      <c r="F283" s="56"/>
      <c r="G283" s="56"/>
    </row>
    <row r="284">
      <c r="A284" s="56"/>
      <c r="B284" s="56"/>
      <c r="C284" s="56"/>
      <c r="D284" s="56"/>
      <c r="E284" s="56"/>
      <c r="F284" s="56"/>
      <c r="G284" s="56"/>
    </row>
    <row r="285">
      <c r="A285" s="56"/>
      <c r="B285" s="56"/>
      <c r="C285" s="56"/>
      <c r="D285" s="56"/>
      <c r="E285" s="56"/>
      <c r="F285" s="56"/>
      <c r="G285" s="56"/>
    </row>
    <row r="286">
      <c r="A286" s="56"/>
      <c r="B286" s="56"/>
      <c r="C286" s="56"/>
      <c r="D286" s="56"/>
      <c r="E286" s="56"/>
      <c r="F286" s="56"/>
      <c r="G286" s="56"/>
    </row>
    <row r="287">
      <c r="A287" s="56"/>
      <c r="B287" s="56"/>
      <c r="C287" s="56"/>
      <c r="D287" s="56"/>
      <c r="E287" s="56"/>
      <c r="F287" s="56"/>
      <c r="G287" s="56"/>
    </row>
    <row r="288">
      <c r="A288" s="56"/>
      <c r="B288" s="56"/>
      <c r="C288" s="56"/>
      <c r="D288" s="56"/>
      <c r="E288" s="56"/>
      <c r="F288" s="56"/>
      <c r="G288" s="56"/>
    </row>
    <row r="289">
      <c r="A289" s="56"/>
      <c r="B289" s="56"/>
      <c r="C289" s="56"/>
      <c r="D289" s="56"/>
      <c r="E289" s="56"/>
      <c r="F289" s="56"/>
      <c r="G289" s="56"/>
    </row>
    <row r="290">
      <c r="A290" s="56"/>
      <c r="B290" s="56"/>
      <c r="C290" s="56"/>
      <c r="D290" s="56"/>
      <c r="E290" s="56"/>
      <c r="F290" s="56"/>
      <c r="G290" s="56"/>
    </row>
    <row r="291">
      <c r="A291" s="56"/>
      <c r="B291" s="56"/>
      <c r="C291" s="56"/>
      <c r="D291" s="56"/>
      <c r="E291" s="56"/>
      <c r="F291" s="56"/>
      <c r="G291" s="56"/>
    </row>
    <row r="292">
      <c r="A292" s="56"/>
      <c r="B292" s="56"/>
      <c r="C292" s="56"/>
      <c r="D292" s="56"/>
      <c r="E292" s="56"/>
      <c r="F292" s="56"/>
      <c r="G292" s="56"/>
    </row>
    <row r="293">
      <c r="A293" s="56"/>
      <c r="B293" s="56"/>
      <c r="C293" s="56"/>
      <c r="D293" s="56"/>
      <c r="E293" s="56"/>
      <c r="F293" s="56"/>
      <c r="G293" s="56"/>
    </row>
    <row r="294">
      <c r="A294" s="56"/>
      <c r="B294" s="56"/>
      <c r="C294" s="56"/>
      <c r="D294" s="56"/>
      <c r="E294" s="56"/>
      <c r="F294" s="56"/>
      <c r="G294" s="56"/>
    </row>
    <row r="295">
      <c r="A295" s="56"/>
      <c r="B295" s="56"/>
      <c r="C295" s="56"/>
      <c r="D295" s="56"/>
      <c r="E295" s="56"/>
      <c r="F295" s="56"/>
      <c r="G295" s="56"/>
    </row>
    <row r="296">
      <c r="A296" s="56"/>
      <c r="B296" s="56"/>
      <c r="C296" s="56"/>
      <c r="D296" s="56"/>
      <c r="E296" s="56"/>
      <c r="F296" s="56"/>
      <c r="G296" s="56"/>
    </row>
    <row r="297">
      <c r="A297" s="56"/>
      <c r="B297" s="56"/>
      <c r="C297" s="56"/>
      <c r="D297" s="56"/>
      <c r="E297" s="56"/>
      <c r="F297" s="56"/>
      <c r="G297" s="56"/>
    </row>
    <row r="298">
      <c r="A298" s="56"/>
      <c r="B298" s="56"/>
      <c r="C298" s="56"/>
      <c r="D298" s="56"/>
      <c r="E298" s="56"/>
      <c r="F298" s="56"/>
      <c r="G298" s="56"/>
    </row>
    <row r="299">
      <c r="A299" s="56"/>
      <c r="B299" s="56"/>
      <c r="C299" s="56"/>
      <c r="D299" s="56"/>
      <c r="E299" s="56"/>
      <c r="F299" s="56"/>
      <c r="G299" s="56"/>
    </row>
    <row r="300">
      <c r="A300" s="56"/>
      <c r="B300" s="56"/>
      <c r="C300" s="56"/>
      <c r="D300" s="56"/>
      <c r="E300" s="56"/>
      <c r="F300" s="56"/>
      <c r="G300" s="56"/>
    </row>
    <row r="301">
      <c r="A301" s="56"/>
      <c r="B301" s="56"/>
      <c r="C301" s="56"/>
      <c r="D301" s="56"/>
      <c r="E301" s="56"/>
      <c r="F301" s="56"/>
      <c r="G301" s="56"/>
    </row>
    <row r="302">
      <c r="A302" s="56"/>
      <c r="B302" s="56"/>
      <c r="C302" s="56"/>
      <c r="D302" s="56"/>
      <c r="E302" s="56"/>
      <c r="F302" s="56"/>
      <c r="G302" s="56"/>
    </row>
    <row r="303">
      <c r="A303" s="56"/>
      <c r="B303" s="56"/>
      <c r="C303" s="56"/>
      <c r="D303" s="56"/>
      <c r="E303" s="56"/>
      <c r="F303" s="56"/>
      <c r="G303" s="56"/>
    </row>
    <row r="304">
      <c r="A304" s="56"/>
      <c r="B304" s="56"/>
      <c r="C304" s="56"/>
      <c r="D304" s="56"/>
      <c r="E304" s="56"/>
      <c r="F304" s="56"/>
      <c r="G304" s="56"/>
    </row>
    <row r="305">
      <c r="A305" s="56"/>
      <c r="B305" s="56"/>
      <c r="C305" s="56"/>
      <c r="D305" s="56"/>
      <c r="E305" s="56"/>
      <c r="F305" s="56"/>
      <c r="G305" s="56"/>
    </row>
    <row r="306">
      <c r="A306" s="56"/>
      <c r="B306" s="56"/>
      <c r="C306" s="56"/>
      <c r="D306" s="56"/>
      <c r="E306" s="56"/>
      <c r="F306" s="56"/>
      <c r="G306" s="56"/>
    </row>
    <row r="307">
      <c r="A307" s="56"/>
      <c r="B307" s="56"/>
      <c r="C307" s="56"/>
      <c r="D307" s="56"/>
      <c r="E307" s="56"/>
      <c r="F307" s="56"/>
      <c r="G307" s="56"/>
    </row>
    <row r="308">
      <c r="A308" s="56"/>
      <c r="B308" s="56"/>
      <c r="C308" s="56"/>
      <c r="D308" s="56"/>
      <c r="E308" s="56"/>
      <c r="F308" s="56"/>
      <c r="G308" s="56"/>
    </row>
    <row r="309">
      <c r="A309" s="56"/>
      <c r="B309" s="56"/>
      <c r="C309" s="56"/>
      <c r="D309" s="56"/>
      <c r="E309" s="56"/>
      <c r="F309" s="56"/>
      <c r="G309" s="56"/>
    </row>
    <row r="310">
      <c r="A310" s="56"/>
      <c r="B310" s="56"/>
      <c r="C310" s="56"/>
      <c r="D310" s="56"/>
      <c r="E310" s="56"/>
      <c r="F310" s="56"/>
      <c r="G310" s="56"/>
    </row>
    <row r="311">
      <c r="A311" s="56"/>
      <c r="B311" s="56"/>
      <c r="C311" s="56"/>
      <c r="D311" s="56"/>
      <c r="E311" s="56"/>
      <c r="F311" s="56"/>
      <c r="G311" s="56"/>
    </row>
    <row r="312">
      <c r="A312" s="56"/>
      <c r="B312" s="56"/>
      <c r="C312" s="56"/>
      <c r="D312" s="56"/>
      <c r="E312" s="56"/>
      <c r="F312" s="56"/>
      <c r="G312" s="56"/>
    </row>
    <row r="313">
      <c r="A313" s="56"/>
      <c r="B313" s="56"/>
      <c r="C313" s="56"/>
      <c r="D313" s="56"/>
      <c r="E313" s="56"/>
      <c r="F313" s="56"/>
      <c r="G313" s="56"/>
    </row>
    <row r="314">
      <c r="A314" s="56"/>
      <c r="B314" s="56"/>
      <c r="C314" s="56"/>
      <c r="D314" s="56"/>
      <c r="E314" s="56"/>
      <c r="F314" s="56"/>
      <c r="G314" s="56"/>
    </row>
    <row r="315">
      <c r="A315" s="56"/>
      <c r="B315" s="56"/>
      <c r="C315" s="56"/>
      <c r="D315" s="56"/>
      <c r="E315" s="56"/>
      <c r="F315" s="56"/>
      <c r="G315" s="56"/>
    </row>
    <row r="316">
      <c r="A316" s="56"/>
      <c r="B316" s="56"/>
      <c r="C316" s="56"/>
      <c r="D316" s="56"/>
      <c r="E316" s="56"/>
      <c r="F316" s="56"/>
      <c r="G316" s="56"/>
    </row>
    <row r="317">
      <c r="A317" s="56"/>
      <c r="B317" s="56"/>
      <c r="C317" s="56"/>
      <c r="D317" s="56"/>
      <c r="E317" s="56"/>
      <c r="F317" s="56"/>
      <c r="G317" s="56"/>
    </row>
    <row r="318">
      <c r="A318" s="56"/>
      <c r="B318" s="56"/>
      <c r="C318" s="56"/>
      <c r="D318" s="56"/>
      <c r="E318" s="56"/>
      <c r="F318" s="56"/>
      <c r="G318" s="56"/>
    </row>
    <row r="319">
      <c r="A319" s="56"/>
      <c r="B319" s="56"/>
      <c r="C319" s="56"/>
      <c r="D319" s="56"/>
      <c r="E319" s="56"/>
      <c r="F319" s="56"/>
      <c r="G319" s="56"/>
    </row>
    <row r="320">
      <c r="A320" s="56"/>
      <c r="B320" s="56"/>
      <c r="C320" s="56"/>
      <c r="D320" s="56"/>
      <c r="E320" s="56"/>
      <c r="F320" s="56"/>
      <c r="G320" s="56"/>
    </row>
    <row r="321">
      <c r="A321" s="56"/>
      <c r="B321" s="56"/>
      <c r="C321" s="56"/>
      <c r="D321" s="56"/>
      <c r="E321" s="56"/>
      <c r="F321" s="56"/>
      <c r="G321" s="56"/>
    </row>
    <row r="322">
      <c r="A322" s="56"/>
      <c r="B322" s="56"/>
      <c r="C322" s="56"/>
      <c r="D322" s="56"/>
      <c r="E322" s="56"/>
      <c r="F322" s="56"/>
      <c r="G322" s="56"/>
    </row>
    <row r="323">
      <c r="A323" s="56"/>
      <c r="B323" s="56"/>
      <c r="C323" s="56"/>
      <c r="D323" s="56"/>
      <c r="E323" s="56"/>
      <c r="F323" s="56"/>
      <c r="G323" s="56"/>
    </row>
    <row r="324">
      <c r="A324" s="56"/>
      <c r="B324" s="56"/>
      <c r="C324" s="56"/>
      <c r="D324" s="56"/>
      <c r="E324" s="56"/>
      <c r="F324" s="56"/>
      <c r="G324" s="56"/>
    </row>
    <row r="325">
      <c r="A325" s="56"/>
      <c r="B325" s="56"/>
      <c r="C325" s="56"/>
      <c r="D325" s="56"/>
      <c r="E325" s="56"/>
      <c r="F325" s="56"/>
      <c r="G325" s="56"/>
    </row>
    <row r="326">
      <c r="A326" s="56"/>
      <c r="B326" s="56"/>
      <c r="C326" s="56"/>
      <c r="D326" s="56"/>
      <c r="E326" s="56"/>
      <c r="F326" s="56"/>
      <c r="G326" s="56"/>
    </row>
    <row r="327">
      <c r="A327" s="56"/>
      <c r="B327" s="56"/>
      <c r="C327" s="56"/>
      <c r="D327" s="56"/>
      <c r="E327" s="56"/>
      <c r="F327" s="56"/>
      <c r="G327" s="56"/>
    </row>
    <row r="328">
      <c r="A328" s="56"/>
      <c r="B328" s="56"/>
      <c r="C328" s="56"/>
      <c r="D328" s="56"/>
      <c r="E328" s="56"/>
      <c r="F328" s="56"/>
      <c r="G328" s="56"/>
    </row>
    <row r="329">
      <c r="A329" s="56"/>
      <c r="B329" s="56"/>
      <c r="C329" s="56"/>
      <c r="D329" s="56"/>
      <c r="E329" s="56"/>
      <c r="F329" s="56"/>
      <c r="G329" s="56"/>
    </row>
    <row r="330">
      <c r="A330" s="56"/>
      <c r="B330" s="56"/>
      <c r="C330" s="56"/>
      <c r="D330" s="56"/>
      <c r="E330" s="56"/>
      <c r="F330" s="56"/>
      <c r="G330" s="56"/>
    </row>
    <row r="331">
      <c r="A331" s="56"/>
      <c r="B331" s="56"/>
      <c r="C331" s="56"/>
      <c r="D331" s="56"/>
      <c r="E331" s="56"/>
      <c r="F331" s="56"/>
      <c r="G331" s="56"/>
    </row>
    <row r="332">
      <c r="A332" s="56"/>
      <c r="B332" s="56"/>
      <c r="C332" s="56"/>
      <c r="D332" s="56"/>
      <c r="E332" s="56"/>
      <c r="F332" s="56"/>
      <c r="G332" s="56"/>
    </row>
    <row r="333">
      <c r="A333" s="56"/>
      <c r="B333" s="56"/>
      <c r="C333" s="56"/>
      <c r="D333" s="56"/>
      <c r="E333" s="56"/>
      <c r="F333" s="56"/>
      <c r="G333" s="56"/>
    </row>
    <row r="334">
      <c r="A334" s="56"/>
      <c r="B334" s="56"/>
      <c r="C334" s="56"/>
      <c r="D334" s="56"/>
      <c r="E334" s="56"/>
      <c r="F334" s="56"/>
      <c r="G334" s="56"/>
    </row>
    <row r="335">
      <c r="A335" s="56"/>
      <c r="B335" s="56"/>
      <c r="C335" s="56"/>
      <c r="D335" s="56"/>
      <c r="E335" s="56"/>
      <c r="F335" s="56"/>
      <c r="G335" s="56"/>
    </row>
    <row r="336">
      <c r="A336" s="56"/>
      <c r="B336" s="56"/>
      <c r="C336" s="56"/>
      <c r="D336" s="56"/>
      <c r="E336" s="56"/>
      <c r="F336" s="56"/>
      <c r="G336" s="56"/>
    </row>
    <row r="337">
      <c r="A337" s="56"/>
      <c r="B337" s="56"/>
      <c r="C337" s="56"/>
      <c r="D337" s="56"/>
      <c r="E337" s="56"/>
      <c r="F337" s="56"/>
      <c r="G337" s="56"/>
    </row>
    <row r="338">
      <c r="A338" s="56"/>
      <c r="B338" s="56"/>
      <c r="C338" s="56"/>
      <c r="D338" s="56"/>
      <c r="E338" s="56"/>
      <c r="F338" s="56"/>
      <c r="G338" s="56"/>
    </row>
    <row r="339">
      <c r="A339" s="56"/>
      <c r="B339" s="56"/>
      <c r="C339" s="56"/>
      <c r="D339" s="56"/>
      <c r="E339" s="56"/>
      <c r="F339" s="56"/>
      <c r="G339" s="56"/>
    </row>
    <row r="340">
      <c r="A340" s="56"/>
      <c r="B340" s="56"/>
      <c r="C340" s="56"/>
      <c r="D340" s="56"/>
      <c r="E340" s="56"/>
      <c r="F340" s="56"/>
      <c r="G340" s="56"/>
    </row>
    <row r="341">
      <c r="A341" s="56"/>
      <c r="B341" s="56"/>
      <c r="C341" s="56"/>
      <c r="D341" s="56"/>
      <c r="E341" s="56"/>
      <c r="F341" s="56"/>
      <c r="G341" s="56"/>
    </row>
    <row r="342">
      <c r="A342" s="56"/>
      <c r="B342" s="56"/>
      <c r="C342" s="56"/>
      <c r="D342" s="56"/>
      <c r="E342" s="56"/>
      <c r="F342" s="56"/>
      <c r="G342" s="56"/>
    </row>
    <row r="343">
      <c r="A343" s="56"/>
      <c r="B343" s="56"/>
      <c r="C343" s="56"/>
      <c r="D343" s="56"/>
      <c r="E343" s="56"/>
      <c r="F343" s="56"/>
      <c r="G343" s="56"/>
    </row>
    <row r="344">
      <c r="A344" s="56"/>
      <c r="B344" s="56"/>
      <c r="C344" s="56"/>
      <c r="D344" s="56"/>
      <c r="E344" s="56"/>
      <c r="F344" s="56"/>
      <c r="G344" s="56"/>
    </row>
    <row r="345">
      <c r="A345" s="56"/>
      <c r="B345" s="56"/>
      <c r="C345" s="56"/>
      <c r="D345" s="56"/>
      <c r="E345" s="56"/>
      <c r="F345" s="56"/>
      <c r="G345" s="56"/>
    </row>
    <row r="346">
      <c r="A346" s="56"/>
      <c r="B346" s="56"/>
      <c r="C346" s="56"/>
      <c r="D346" s="56"/>
      <c r="E346" s="56"/>
      <c r="F346" s="56"/>
      <c r="G346" s="56"/>
    </row>
    <row r="347">
      <c r="A347" s="56"/>
      <c r="B347" s="56"/>
      <c r="C347" s="56"/>
      <c r="D347" s="56"/>
      <c r="E347" s="56"/>
      <c r="F347" s="56"/>
      <c r="G347" s="56"/>
    </row>
    <row r="348">
      <c r="A348" s="56"/>
      <c r="B348" s="56"/>
      <c r="C348" s="56"/>
      <c r="D348" s="56"/>
      <c r="E348" s="56"/>
      <c r="F348" s="56"/>
      <c r="G348" s="56"/>
    </row>
    <row r="349">
      <c r="A349" s="56"/>
      <c r="B349" s="56"/>
      <c r="C349" s="56"/>
      <c r="D349" s="56"/>
      <c r="E349" s="56"/>
      <c r="F349" s="56"/>
      <c r="G349" s="56"/>
    </row>
    <row r="350">
      <c r="A350" s="56"/>
      <c r="B350" s="56"/>
      <c r="C350" s="56"/>
      <c r="D350" s="56"/>
      <c r="E350" s="56"/>
      <c r="F350" s="56"/>
      <c r="G350" s="56"/>
    </row>
    <row r="351">
      <c r="A351" s="56"/>
      <c r="B351" s="56"/>
      <c r="C351" s="56"/>
      <c r="D351" s="56"/>
      <c r="E351" s="56"/>
      <c r="F351" s="56"/>
      <c r="G351" s="56"/>
    </row>
    <row r="352">
      <c r="A352" s="56"/>
      <c r="B352" s="56"/>
      <c r="C352" s="56"/>
      <c r="D352" s="56"/>
      <c r="E352" s="56"/>
      <c r="F352" s="56"/>
      <c r="G352" s="56"/>
    </row>
    <row r="353">
      <c r="A353" s="56"/>
      <c r="B353" s="56"/>
      <c r="C353" s="56"/>
      <c r="D353" s="56"/>
      <c r="E353" s="56"/>
      <c r="F353" s="56"/>
      <c r="G353" s="56"/>
    </row>
    <row r="354">
      <c r="A354" s="56"/>
      <c r="B354" s="56"/>
      <c r="C354" s="56"/>
      <c r="D354" s="56"/>
      <c r="E354" s="56"/>
      <c r="F354" s="56"/>
      <c r="G354" s="56"/>
    </row>
    <row r="355">
      <c r="A355" s="56"/>
      <c r="B355" s="56"/>
      <c r="C355" s="56"/>
      <c r="D355" s="56"/>
      <c r="E355" s="56"/>
      <c r="F355" s="56"/>
      <c r="G355" s="56"/>
    </row>
    <row r="356">
      <c r="A356" s="56"/>
      <c r="B356" s="56"/>
      <c r="C356" s="56"/>
      <c r="D356" s="56"/>
      <c r="E356" s="56"/>
      <c r="F356" s="56"/>
      <c r="G356" s="56"/>
    </row>
    <row r="357">
      <c r="A357" s="56"/>
      <c r="B357" s="56"/>
      <c r="C357" s="56"/>
      <c r="D357" s="56"/>
      <c r="E357" s="56"/>
      <c r="F357" s="56"/>
      <c r="G357" s="56"/>
    </row>
    <row r="358">
      <c r="A358" s="56"/>
      <c r="B358" s="56"/>
      <c r="C358" s="56"/>
      <c r="D358" s="56"/>
      <c r="E358" s="56"/>
      <c r="F358" s="56"/>
      <c r="G358" s="56"/>
    </row>
    <row r="359">
      <c r="A359" s="56"/>
      <c r="B359" s="56"/>
      <c r="C359" s="56"/>
      <c r="D359" s="56"/>
      <c r="E359" s="56"/>
      <c r="F359" s="56"/>
      <c r="G359" s="56"/>
    </row>
    <row r="360">
      <c r="A360" s="56"/>
      <c r="B360" s="56"/>
      <c r="C360" s="56"/>
      <c r="D360" s="56"/>
      <c r="E360" s="56"/>
      <c r="F360" s="56"/>
      <c r="G360" s="56"/>
    </row>
    <row r="361">
      <c r="A361" s="56"/>
      <c r="B361" s="56"/>
      <c r="C361" s="56"/>
      <c r="D361" s="56"/>
      <c r="E361" s="56"/>
      <c r="F361" s="56"/>
      <c r="G361" s="56"/>
    </row>
    <row r="362">
      <c r="A362" s="56"/>
      <c r="B362" s="56"/>
      <c r="C362" s="56"/>
      <c r="D362" s="56"/>
      <c r="E362" s="56"/>
      <c r="F362" s="56"/>
      <c r="G362" s="56"/>
    </row>
    <row r="363">
      <c r="A363" s="56"/>
      <c r="B363" s="56"/>
      <c r="C363" s="56"/>
      <c r="D363" s="56"/>
      <c r="E363" s="56"/>
      <c r="F363" s="56"/>
      <c r="G363" s="56"/>
    </row>
    <row r="364">
      <c r="A364" s="56"/>
      <c r="B364" s="56"/>
      <c r="C364" s="56"/>
      <c r="D364" s="56"/>
      <c r="E364" s="56"/>
      <c r="F364" s="56"/>
      <c r="G364" s="56"/>
    </row>
    <row r="365">
      <c r="A365" s="56"/>
      <c r="B365" s="56"/>
      <c r="C365" s="56"/>
      <c r="D365" s="56"/>
      <c r="E365" s="56"/>
      <c r="F365" s="56"/>
      <c r="G365" s="56"/>
    </row>
    <row r="366">
      <c r="A366" s="56"/>
      <c r="B366" s="56"/>
      <c r="C366" s="56"/>
      <c r="D366" s="56"/>
      <c r="E366" s="56"/>
      <c r="F366" s="56"/>
      <c r="G366" s="56"/>
    </row>
    <row r="367">
      <c r="A367" s="56"/>
      <c r="B367" s="56"/>
      <c r="C367" s="56"/>
      <c r="D367" s="56"/>
      <c r="E367" s="56"/>
      <c r="F367" s="56"/>
      <c r="G367" s="56"/>
    </row>
    <row r="368">
      <c r="A368" s="56"/>
      <c r="B368" s="56"/>
      <c r="C368" s="56"/>
      <c r="D368" s="56"/>
      <c r="E368" s="56"/>
      <c r="F368" s="56"/>
      <c r="G368" s="56"/>
    </row>
    <row r="369">
      <c r="A369" s="56"/>
      <c r="B369" s="56"/>
      <c r="C369" s="56"/>
      <c r="D369" s="56"/>
      <c r="E369" s="56"/>
      <c r="F369" s="56"/>
      <c r="G369" s="56"/>
    </row>
    <row r="370">
      <c r="A370" s="56"/>
      <c r="B370" s="56"/>
      <c r="C370" s="56"/>
      <c r="D370" s="56"/>
      <c r="E370" s="56"/>
      <c r="F370" s="56"/>
      <c r="G370" s="56"/>
    </row>
    <row r="371">
      <c r="A371" s="56"/>
      <c r="B371" s="56"/>
      <c r="C371" s="56"/>
      <c r="D371" s="56"/>
      <c r="E371" s="56"/>
      <c r="F371" s="56"/>
      <c r="G371" s="56"/>
    </row>
    <row r="372">
      <c r="A372" s="56"/>
      <c r="B372" s="56"/>
      <c r="C372" s="56"/>
      <c r="D372" s="56"/>
      <c r="E372" s="56"/>
      <c r="F372" s="56"/>
      <c r="G372" s="56"/>
    </row>
    <row r="373">
      <c r="A373" s="56"/>
      <c r="B373" s="56"/>
      <c r="C373" s="56"/>
      <c r="D373" s="56"/>
      <c r="E373" s="56"/>
      <c r="F373" s="56"/>
      <c r="G373" s="56"/>
    </row>
    <row r="374">
      <c r="A374" s="56"/>
      <c r="B374" s="56"/>
      <c r="C374" s="56"/>
      <c r="D374" s="56"/>
      <c r="E374" s="56"/>
      <c r="F374" s="56"/>
      <c r="G374" s="56"/>
    </row>
    <row r="375">
      <c r="A375" s="56"/>
      <c r="B375" s="56"/>
      <c r="C375" s="56"/>
      <c r="D375" s="56"/>
      <c r="E375" s="56"/>
      <c r="F375" s="56"/>
      <c r="G375" s="56"/>
    </row>
    <row r="376">
      <c r="A376" s="56"/>
      <c r="B376" s="56"/>
      <c r="C376" s="56"/>
      <c r="D376" s="56"/>
      <c r="E376" s="56"/>
      <c r="F376" s="56"/>
      <c r="G376" s="56"/>
    </row>
    <row r="377">
      <c r="A377" s="56"/>
      <c r="B377" s="56"/>
      <c r="C377" s="56"/>
      <c r="D377" s="56"/>
      <c r="E377" s="56"/>
      <c r="F377" s="56"/>
      <c r="G377" s="56"/>
    </row>
    <row r="378">
      <c r="A378" s="56"/>
      <c r="B378" s="56"/>
      <c r="C378" s="56"/>
      <c r="D378" s="56"/>
      <c r="E378" s="56"/>
      <c r="F378" s="56"/>
      <c r="G378" s="56"/>
    </row>
    <row r="379">
      <c r="A379" s="56"/>
      <c r="B379" s="56"/>
      <c r="C379" s="56"/>
      <c r="D379" s="56"/>
      <c r="E379" s="56"/>
      <c r="F379" s="56"/>
      <c r="G379" s="56"/>
    </row>
    <row r="380">
      <c r="A380" s="56"/>
      <c r="B380" s="56"/>
      <c r="C380" s="56"/>
      <c r="D380" s="56"/>
      <c r="E380" s="56"/>
      <c r="F380" s="56"/>
      <c r="G380" s="56"/>
    </row>
    <row r="381">
      <c r="A381" s="56"/>
      <c r="B381" s="56"/>
      <c r="C381" s="56"/>
      <c r="D381" s="56"/>
      <c r="E381" s="56"/>
      <c r="F381" s="56"/>
      <c r="G381" s="56"/>
    </row>
    <row r="382">
      <c r="A382" s="56"/>
      <c r="B382" s="56"/>
      <c r="C382" s="56"/>
      <c r="D382" s="56"/>
      <c r="E382" s="56"/>
      <c r="F382" s="56"/>
      <c r="G382" s="56"/>
    </row>
    <row r="383">
      <c r="A383" s="56"/>
      <c r="B383" s="56"/>
      <c r="C383" s="56"/>
      <c r="D383" s="56"/>
      <c r="E383" s="56"/>
      <c r="F383" s="56"/>
      <c r="G383" s="56"/>
    </row>
    <row r="384">
      <c r="A384" s="56"/>
      <c r="B384" s="56"/>
      <c r="C384" s="56"/>
      <c r="D384" s="56"/>
      <c r="E384" s="56"/>
      <c r="F384" s="56"/>
      <c r="G384" s="56"/>
    </row>
    <row r="385">
      <c r="A385" s="56"/>
      <c r="B385" s="56"/>
      <c r="C385" s="56"/>
      <c r="D385" s="56"/>
      <c r="E385" s="56"/>
      <c r="F385" s="56"/>
      <c r="G385" s="56"/>
    </row>
    <row r="386">
      <c r="A386" s="56"/>
      <c r="B386" s="56"/>
      <c r="C386" s="56"/>
      <c r="D386" s="56"/>
      <c r="E386" s="56"/>
      <c r="F386" s="56"/>
      <c r="G386" s="56"/>
    </row>
    <row r="387">
      <c r="A387" s="56"/>
      <c r="B387" s="56"/>
      <c r="C387" s="56"/>
      <c r="D387" s="56"/>
      <c r="E387" s="56"/>
      <c r="F387" s="56"/>
      <c r="G387" s="56"/>
    </row>
    <row r="388">
      <c r="A388" s="56"/>
      <c r="B388" s="56"/>
      <c r="C388" s="56"/>
      <c r="D388" s="56"/>
      <c r="E388" s="56"/>
      <c r="F388" s="56"/>
      <c r="G388" s="56"/>
    </row>
    <row r="389">
      <c r="A389" s="56"/>
      <c r="B389" s="56"/>
      <c r="C389" s="56"/>
      <c r="D389" s="56"/>
      <c r="E389" s="56"/>
      <c r="F389" s="56"/>
      <c r="G389" s="56"/>
    </row>
    <row r="390">
      <c r="A390" s="56"/>
      <c r="B390" s="56"/>
      <c r="C390" s="56"/>
      <c r="D390" s="56"/>
      <c r="E390" s="56"/>
      <c r="F390" s="56"/>
      <c r="G390" s="56"/>
    </row>
    <row r="391">
      <c r="A391" s="56"/>
      <c r="B391" s="56"/>
      <c r="C391" s="56"/>
      <c r="D391" s="56"/>
      <c r="E391" s="56"/>
      <c r="F391" s="56"/>
      <c r="G391" s="56"/>
    </row>
    <row r="392">
      <c r="A392" s="56"/>
      <c r="B392" s="56"/>
      <c r="C392" s="56"/>
      <c r="D392" s="56"/>
      <c r="E392" s="56"/>
      <c r="F392" s="56"/>
      <c r="G392" s="56"/>
    </row>
    <row r="393">
      <c r="A393" s="56"/>
      <c r="B393" s="56"/>
      <c r="C393" s="56"/>
      <c r="D393" s="56"/>
      <c r="E393" s="56"/>
      <c r="F393" s="56"/>
      <c r="G393" s="56"/>
    </row>
    <row r="394">
      <c r="A394" s="56"/>
      <c r="B394" s="56"/>
      <c r="C394" s="56"/>
      <c r="D394" s="56"/>
      <c r="E394" s="56"/>
      <c r="F394" s="56"/>
      <c r="G394" s="56"/>
    </row>
    <row r="395">
      <c r="A395" s="56"/>
      <c r="B395" s="56"/>
      <c r="C395" s="56"/>
      <c r="D395" s="56"/>
      <c r="E395" s="56"/>
      <c r="F395" s="56"/>
      <c r="G395" s="56"/>
    </row>
    <row r="396">
      <c r="A396" s="56"/>
      <c r="B396" s="56"/>
      <c r="C396" s="56"/>
      <c r="D396" s="56"/>
      <c r="E396" s="56"/>
      <c r="F396" s="56"/>
      <c r="G396" s="56"/>
    </row>
    <row r="397">
      <c r="A397" s="56"/>
      <c r="B397" s="56"/>
      <c r="C397" s="56"/>
      <c r="D397" s="56"/>
      <c r="E397" s="56"/>
      <c r="F397" s="56"/>
      <c r="G397" s="56"/>
    </row>
    <row r="398">
      <c r="A398" s="56"/>
      <c r="B398" s="56"/>
      <c r="C398" s="56"/>
      <c r="D398" s="56"/>
      <c r="E398" s="56"/>
      <c r="F398" s="56"/>
      <c r="G398" s="56"/>
    </row>
    <row r="399">
      <c r="A399" s="56"/>
      <c r="B399" s="56"/>
      <c r="C399" s="56"/>
      <c r="D399" s="56"/>
      <c r="E399" s="56"/>
      <c r="F399" s="56"/>
      <c r="G399" s="56"/>
    </row>
    <row r="400">
      <c r="A400" s="56"/>
      <c r="B400" s="56"/>
      <c r="C400" s="56"/>
      <c r="D400" s="56"/>
      <c r="E400" s="56"/>
      <c r="F400" s="56"/>
      <c r="G400" s="56"/>
    </row>
    <row r="401">
      <c r="A401" s="56"/>
      <c r="B401" s="56"/>
      <c r="C401" s="56"/>
      <c r="D401" s="56"/>
      <c r="E401" s="56"/>
      <c r="F401" s="56"/>
      <c r="G401" s="56"/>
    </row>
    <row r="402">
      <c r="A402" s="56"/>
      <c r="B402" s="56"/>
      <c r="C402" s="56"/>
      <c r="D402" s="56"/>
      <c r="E402" s="56"/>
      <c r="F402" s="56"/>
      <c r="G402" s="56"/>
    </row>
    <row r="403">
      <c r="A403" s="56"/>
      <c r="B403" s="56"/>
      <c r="C403" s="56"/>
      <c r="D403" s="56"/>
      <c r="E403" s="56"/>
      <c r="F403" s="56"/>
      <c r="G403" s="56"/>
    </row>
    <row r="404">
      <c r="A404" s="56"/>
      <c r="B404" s="56"/>
      <c r="C404" s="56"/>
      <c r="D404" s="56"/>
      <c r="E404" s="56"/>
      <c r="F404" s="56"/>
      <c r="G404" s="56"/>
    </row>
    <row r="405">
      <c r="A405" s="56"/>
      <c r="B405" s="56"/>
      <c r="C405" s="56"/>
      <c r="D405" s="56"/>
      <c r="E405" s="56"/>
      <c r="F405" s="56"/>
      <c r="G405" s="56"/>
    </row>
    <row r="406">
      <c r="A406" s="56"/>
      <c r="B406" s="56"/>
      <c r="C406" s="56"/>
      <c r="D406" s="56"/>
      <c r="E406" s="56"/>
      <c r="F406" s="56"/>
      <c r="G406" s="56"/>
    </row>
    <row r="407">
      <c r="A407" s="56"/>
      <c r="B407" s="56"/>
      <c r="C407" s="56"/>
      <c r="D407" s="56"/>
      <c r="E407" s="56"/>
      <c r="F407" s="56"/>
      <c r="G407" s="56"/>
    </row>
    <row r="408">
      <c r="A408" s="56"/>
      <c r="B408" s="56"/>
      <c r="C408" s="56"/>
      <c r="D408" s="56"/>
      <c r="E408" s="56"/>
      <c r="F408" s="56"/>
      <c r="G408" s="56"/>
    </row>
    <row r="409">
      <c r="A409" s="56"/>
      <c r="B409" s="56"/>
      <c r="C409" s="56"/>
      <c r="D409" s="56"/>
      <c r="E409" s="56"/>
      <c r="F409" s="56"/>
      <c r="G409" s="56"/>
    </row>
    <row r="410">
      <c r="A410" s="56"/>
      <c r="B410" s="56"/>
      <c r="C410" s="56"/>
      <c r="D410" s="56"/>
      <c r="E410" s="56"/>
      <c r="F410" s="56"/>
      <c r="G410" s="56"/>
    </row>
    <row r="411">
      <c r="A411" s="56"/>
      <c r="B411" s="56"/>
      <c r="C411" s="56"/>
      <c r="D411" s="56"/>
      <c r="E411" s="56"/>
      <c r="F411" s="56"/>
      <c r="G411" s="56"/>
    </row>
    <row r="412">
      <c r="A412" s="56"/>
      <c r="B412" s="56"/>
      <c r="C412" s="56"/>
      <c r="D412" s="56"/>
      <c r="E412" s="56"/>
      <c r="F412" s="56"/>
      <c r="G412" s="56"/>
    </row>
    <row r="413">
      <c r="A413" s="56"/>
      <c r="B413" s="56"/>
      <c r="C413" s="56"/>
      <c r="D413" s="56"/>
      <c r="E413" s="56"/>
      <c r="F413" s="56"/>
      <c r="G413" s="56"/>
    </row>
    <row r="414">
      <c r="A414" s="56"/>
      <c r="B414" s="56"/>
      <c r="C414" s="56"/>
      <c r="D414" s="56"/>
      <c r="E414" s="56"/>
      <c r="F414" s="56"/>
      <c r="G414" s="56"/>
    </row>
    <row r="415">
      <c r="A415" s="56"/>
      <c r="B415" s="56"/>
      <c r="C415" s="56"/>
      <c r="D415" s="56"/>
      <c r="E415" s="56"/>
      <c r="F415" s="56"/>
      <c r="G415" s="56"/>
    </row>
    <row r="416">
      <c r="A416" s="56"/>
      <c r="B416" s="56"/>
      <c r="C416" s="56"/>
      <c r="D416" s="56"/>
      <c r="E416" s="56"/>
      <c r="F416" s="56"/>
      <c r="G416" s="56"/>
    </row>
    <row r="417">
      <c r="A417" s="56"/>
      <c r="B417" s="56"/>
      <c r="C417" s="56"/>
      <c r="D417" s="56"/>
      <c r="E417" s="56"/>
      <c r="F417" s="56"/>
      <c r="G417" s="56"/>
    </row>
    <row r="418">
      <c r="A418" s="56"/>
      <c r="B418" s="56"/>
      <c r="C418" s="56"/>
      <c r="D418" s="56"/>
      <c r="E418" s="56"/>
      <c r="F418" s="56"/>
      <c r="G418" s="56"/>
    </row>
    <row r="419">
      <c r="A419" s="56"/>
      <c r="B419" s="56"/>
      <c r="C419" s="56"/>
      <c r="D419" s="56"/>
      <c r="E419" s="56"/>
      <c r="F419" s="56"/>
      <c r="G419" s="56"/>
    </row>
    <row r="420">
      <c r="A420" s="56"/>
      <c r="B420" s="56"/>
      <c r="C420" s="56"/>
      <c r="D420" s="56"/>
      <c r="E420" s="56"/>
      <c r="F420" s="56"/>
      <c r="G420" s="56"/>
    </row>
    <row r="421">
      <c r="A421" s="56"/>
      <c r="B421" s="56"/>
      <c r="C421" s="56"/>
      <c r="D421" s="56"/>
      <c r="E421" s="56"/>
      <c r="F421" s="56"/>
      <c r="G421" s="56"/>
    </row>
    <row r="422">
      <c r="A422" s="56"/>
      <c r="B422" s="56"/>
      <c r="C422" s="56"/>
      <c r="D422" s="56"/>
      <c r="E422" s="56"/>
      <c r="F422" s="56"/>
      <c r="G422" s="56"/>
    </row>
    <row r="423">
      <c r="A423" s="56"/>
      <c r="B423" s="56"/>
      <c r="C423" s="56"/>
      <c r="D423" s="56"/>
      <c r="E423" s="56"/>
      <c r="F423" s="56"/>
      <c r="G423" s="56"/>
    </row>
    <row r="424">
      <c r="A424" s="56"/>
      <c r="B424" s="56"/>
      <c r="C424" s="56"/>
      <c r="D424" s="56"/>
      <c r="E424" s="56"/>
      <c r="F424" s="56"/>
      <c r="G424" s="56"/>
    </row>
    <row r="425">
      <c r="A425" s="56"/>
      <c r="B425" s="56"/>
      <c r="C425" s="56"/>
      <c r="D425" s="56"/>
      <c r="E425" s="56"/>
      <c r="F425" s="56"/>
      <c r="G425" s="56"/>
    </row>
    <row r="426">
      <c r="A426" s="56"/>
      <c r="B426" s="56"/>
      <c r="C426" s="56"/>
      <c r="D426" s="56"/>
      <c r="E426" s="56"/>
      <c r="F426" s="56"/>
      <c r="G426" s="56"/>
    </row>
    <row r="427">
      <c r="A427" s="56"/>
      <c r="B427" s="56"/>
      <c r="C427" s="56"/>
      <c r="D427" s="56"/>
      <c r="E427" s="56"/>
      <c r="F427" s="56"/>
      <c r="G427" s="56"/>
    </row>
    <row r="428">
      <c r="A428" s="56"/>
      <c r="B428" s="56"/>
      <c r="C428" s="56"/>
      <c r="D428" s="56"/>
      <c r="E428" s="56"/>
      <c r="F428" s="56"/>
      <c r="G428" s="56"/>
    </row>
    <row r="429">
      <c r="A429" s="56"/>
      <c r="B429" s="56"/>
      <c r="C429" s="56"/>
      <c r="D429" s="56"/>
      <c r="E429" s="56"/>
      <c r="F429" s="56"/>
      <c r="G429" s="56"/>
    </row>
    <row r="430">
      <c r="A430" s="56"/>
      <c r="B430" s="56"/>
      <c r="C430" s="56"/>
      <c r="D430" s="56"/>
      <c r="E430" s="56"/>
      <c r="F430" s="56"/>
      <c r="G430" s="56"/>
    </row>
    <row r="431">
      <c r="A431" s="56"/>
      <c r="B431" s="56"/>
      <c r="C431" s="56"/>
      <c r="D431" s="56"/>
      <c r="E431" s="56"/>
      <c r="F431" s="56"/>
      <c r="G431" s="56"/>
    </row>
    <row r="432">
      <c r="A432" s="56"/>
      <c r="B432" s="56"/>
      <c r="C432" s="56"/>
      <c r="D432" s="56"/>
      <c r="E432" s="56"/>
      <c r="F432" s="56"/>
      <c r="G432" s="56"/>
    </row>
    <row r="433">
      <c r="A433" s="56"/>
      <c r="B433" s="56"/>
      <c r="C433" s="56"/>
      <c r="D433" s="56"/>
      <c r="E433" s="56"/>
      <c r="F433" s="56"/>
      <c r="G433" s="56"/>
    </row>
    <row r="434">
      <c r="A434" s="56"/>
      <c r="B434" s="56"/>
      <c r="C434" s="56"/>
      <c r="D434" s="56"/>
      <c r="E434" s="56"/>
      <c r="F434" s="56"/>
      <c r="G434" s="56"/>
    </row>
    <row r="435">
      <c r="A435" s="56"/>
      <c r="B435" s="56"/>
      <c r="C435" s="56"/>
      <c r="D435" s="56"/>
      <c r="E435" s="56"/>
      <c r="F435" s="56"/>
      <c r="G435" s="56"/>
    </row>
    <row r="436">
      <c r="A436" s="56"/>
      <c r="B436" s="56"/>
      <c r="C436" s="56"/>
      <c r="D436" s="56"/>
      <c r="E436" s="56"/>
      <c r="F436" s="56"/>
      <c r="G436" s="56"/>
    </row>
    <row r="437">
      <c r="A437" s="56"/>
      <c r="B437" s="56"/>
      <c r="C437" s="56"/>
      <c r="D437" s="56"/>
      <c r="E437" s="56"/>
      <c r="F437" s="56"/>
      <c r="G437" s="56"/>
    </row>
    <row r="438">
      <c r="A438" s="56"/>
      <c r="B438" s="56"/>
      <c r="C438" s="56"/>
      <c r="D438" s="56"/>
      <c r="E438" s="56"/>
      <c r="F438" s="56"/>
      <c r="G438" s="56"/>
    </row>
    <row r="439">
      <c r="A439" s="56"/>
      <c r="B439" s="56"/>
      <c r="C439" s="56"/>
      <c r="D439" s="56"/>
      <c r="E439" s="56"/>
      <c r="F439" s="56"/>
      <c r="G439" s="56"/>
    </row>
    <row r="440">
      <c r="A440" s="56"/>
      <c r="B440" s="56"/>
      <c r="C440" s="56"/>
      <c r="D440" s="56"/>
      <c r="E440" s="56"/>
      <c r="F440" s="56"/>
      <c r="G440" s="56"/>
    </row>
    <row r="441">
      <c r="A441" s="56"/>
      <c r="B441" s="56"/>
      <c r="C441" s="56"/>
      <c r="D441" s="56"/>
      <c r="E441" s="56"/>
      <c r="F441" s="56"/>
      <c r="G441" s="56"/>
    </row>
    <row r="442">
      <c r="A442" s="56"/>
      <c r="B442" s="56"/>
      <c r="C442" s="56"/>
      <c r="D442" s="56"/>
      <c r="E442" s="56"/>
      <c r="F442" s="56"/>
      <c r="G442" s="56"/>
    </row>
    <row r="443">
      <c r="A443" s="56"/>
      <c r="B443" s="56"/>
      <c r="C443" s="56"/>
      <c r="D443" s="56"/>
      <c r="E443" s="56"/>
      <c r="F443" s="56"/>
      <c r="G443" s="56"/>
    </row>
    <row r="444">
      <c r="A444" s="56"/>
      <c r="B444" s="56"/>
      <c r="C444" s="56"/>
      <c r="D444" s="56"/>
      <c r="E444" s="56"/>
      <c r="F444" s="56"/>
      <c r="G444" s="56"/>
    </row>
    <row r="445">
      <c r="A445" s="56"/>
      <c r="B445" s="56"/>
      <c r="C445" s="56"/>
      <c r="D445" s="56"/>
      <c r="E445" s="56"/>
      <c r="F445" s="56"/>
      <c r="G445" s="56"/>
    </row>
    <row r="446">
      <c r="A446" s="56"/>
      <c r="B446" s="56"/>
      <c r="C446" s="56"/>
      <c r="D446" s="56"/>
      <c r="E446" s="56"/>
      <c r="F446" s="56"/>
      <c r="G446" s="56"/>
    </row>
    <row r="447">
      <c r="A447" s="56"/>
      <c r="B447" s="56"/>
      <c r="C447" s="56"/>
      <c r="D447" s="56"/>
      <c r="E447" s="56"/>
      <c r="F447" s="56"/>
      <c r="G447" s="56"/>
    </row>
    <row r="448">
      <c r="A448" s="56"/>
      <c r="B448" s="56"/>
      <c r="C448" s="56"/>
      <c r="D448" s="56"/>
      <c r="E448" s="56"/>
      <c r="F448" s="56"/>
      <c r="G448" s="56"/>
    </row>
    <row r="449">
      <c r="A449" s="56"/>
      <c r="B449" s="56"/>
      <c r="C449" s="56"/>
      <c r="D449" s="56"/>
      <c r="E449" s="56"/>
      <c r="F449" s="56"/>
      <c r="G449" s="56"/>
    </row>
    <row r="450">
      <c r="A450" s="56"/>
      <c r="B450" s="56"/>
      <c r="C450" s="56"/>
      <c r="D450" s="56"/>
      <c r="E450" s="56"/>
      <c r="F450" s="56"/>
      <c r="G450" s="56"/>
    </row>
    <row r="451">
      <c r="A451" s="56"/>
      <c r="B451" s="56"/>
      <c r="C451" s="56"/>
      <c r="D451" s="56"/>
      <c r="E451" s="56"/>
      <c r="F451" s="56"/>
      <c r="G451" s="56"/>
    </row>
    <row r="452">
      <c r="A452" s="56"/>
      <c r="B452" s="56"/>
      <c r="C452" s="56"/>
      <c r="D452" s="56"/>
      <c r="E452" s="56"/>
      <c r="F452" s="56"/>
      <c r="G452" s="56"/>
    </row>
    <row r="453">
      <c r="A453" s="56"/>
      <c r="B453" s="56"/>
      <c r="C453" s="56"/>
      <c r="D453" s="56"/>
      <c r="E453" s="56"/>
      <c r="F453" s="56"/>
      <c r="G453" s="56"/>
    </row>
    <row r="454">
      <c r="A454" s="56"/>
      <c r="B454" s="56"/>
      <c r="C454" s="56"/>
      <c r="D454" s="56"/>
      <c r="E454" s="56"/>
      <c r="F454" s="56"/>
      <c r="G454" s="56"/>
    </row>
    <row r="455">
      <c r="A455" s="56"/>
      <c r="B455" s="56"/>
      <c r="C455" s="56"/>
      <c r="D455" s="56"/>
      <c r="E455" s="56"/>
      <c r="F455" s="56"/>
      <c r="G455" s="56"/>
    </row>
    <row r="456">
      <c r="A456" s="56"/>
      <c r="B456" s="56"/>
      <c r="C456" s="56"/>
      <c r="D456" s="56"/>
      <c r="E456" s="56"/>
      <c r="F456" s="56"/>
      <c r="G456" s="56"/>
    </row>
    <row r="457">
      <c r="A457" s="56"/>
      <c r="B457" s="56"/>
      <c r="C457" s="56"/>
      <c r="D457" s="56"/>
      <c r="E457" s="56"/>
      <c r="F457" s="56"/>
      <c r="G457" s="56"/>
    </row>
    <row r="458">
      <c r="A458" s="56"/>
      <c r="B458" s="56"/>
      <c r="C458" s="56"/>
      <c r="D458" s="56"/>
      <c r="E458" s="56"/>
      <c r="F458" s="56"/>
      <c r="G458" s="56"/>
    </row>
    <row r="459">
      <c r="A459" s="56"/>
      <c r="B459" s="56"/>
      <c r="C459" s="56"/>
      <c r="D459" s="56"/>
      <c r="E459" s="56"/>
      <c r="F459" s="56"/>
      <c r="G459" s="56"/>
    </row>
    <row r="460">
      <c r="A460" s="56"/>
      <c r="B460" s="56"/>
      <c r="C460" s="56"/>
      <c r="D460" s="56"/>
      <c r="E460" s="56"/>
      <c r="F460" s="56"/>
      <c r="G460" s="56"/>
    </row>
    <row r="461">
      <c r="A461" s="56"/>
      <c r="B461" s="56"/>
      <c r="C461" s="56"/>
      <c r="D461" s="56"/>
      <c r="E461" s="56"/>
      <c r="F461" s="56"/>
      <c r="G461" s="56"/>
    </row>
    <row r="462">
      <c r="A462" s="56"/>
      <c r="B462" s="56"/>
      <c r="C462" s="56"/>
      <c r="D462" s="56"/>
      <c r="E462" s="56"/>
      <c r="F462" s="56"/>
      <c r="G462" s="56"/>
    </row>
    <row r="463">
      <c r="A463" s="56"/>
      <c r="B463" s="56"/>
      <c r="C463" s="56"/>
      <c r="D463" s="56"/>
      <c r="E463" s="56"/>
      <c r="F463" s="56"/>
      <c r="G463" s="56"/>
    </row>
    <row r="464">
      <c r="A464" s="56"/>
      <c r="B464" s="56"/>
      <c r="C464" s="56"/>
      <c r="D464" s="56"/>
      <c r="E464" s="56"/>
      <c r="F464" s="56"/>
      <c r="G464" s="56"/>
    </row>
    <row r="465">
      <c r="A465" s="56"/>
      <c r="B465" s="56"/>
      <c r="C465" s="56"/>
      <c r="D465" s="56"/>
      <c r="E465" s="56"/>
      <c r="F465" s="56"/>
      <c r="G465" s="56"/>
    </row>
    <row r="466">
      <c r="A466" s="56"/>
      <c r="B466" s="56"/>
      <c r="C466" s="56"/>
      <c r="D466" s="56"/>
      <c r="E466" s="56"/>
      <c r="F466" s="56"/>
      <c r="G466" s="56"/>
    </row>
    <row r="467">
      <c r="A467" s="56"/>
      <c r="B467" s="56"/>
      <c r="C467" s="56"/>
      <c r="D467" s="56"/>
      <c r="E467" s="56"/>
      <c r="F467" s="56"/>
      <c r="G467" s="56"/>
    </row>
    <row r="468">
      <c r="A468" s="56"/>
      <c r="B468" s="56"/>
      <c r="C468" s="56"/>
      <c r="D468" s="56"/>
      <c r="E468" s="56"/>
      <c r="F468" s="56"/>
      <c r="G468" s="56"/>
    </row>
    <row r="469">
      <c r="A469" s="56"/>
      <c r="B469" s="56"/>
      <c r="C469" s="56"/>
      <c r="D469" s="56"/>
      <c r="E469" s="56"/>
      <c r="F469" s="56"/>
      <c r="G469" s="56"/>
    </row>
    <row r="470">
      <c r="A470" s="56"/>
      <c r="B470" s="56"/>
      <c r="C470" s="56"/>
      <c r="D470" s="56"/>
      <c r="E470" s="56"/>
      <c r="F470" s="56"/>
      <c r="G470" s="56"/>
    </row>
    <row r="471">
      <c r="A471" s="56"/>
      <c r="B471" s="56"/>
      <c r="C471" s="56"/>
      <c r="D471" s="56"/>
      <c r="E471" s="56"/>
      <c r="F471" s="56"/>
      <c r="G471" s="56"/>
    </row>
    <row r="472">
      <c r="A472" s="56"/>
      <c r="B472" s="56"/>
      <c r="C472" s="56"/>
      <c r="D472" s="56"/>
      <c r="E472" s="56"/>
      <c r="F472" s="56"/>
      <c r="G472" s="56"/>
    </row>
    <row r="473">
      <c r="A473" s="56"/>
      <c r="B473" s="56"/>
      <c r="C473" s="56"/>
      <c r="D473" s="56"/>
      <c r="E473" s="56"/>
      <c r="F473" s="56"/>
      <c r="G473" s="56"/>
    </row>
    <row r="474">
      <c r="A474" s="56"/>
      <c r="B474" s="56"/>
      <c r="C474" s="56"/>
      <c r="D474" s="56"/>
      <c r="E474" s="56"/>
      <c r="F474" s="56"/>
      <c r="G474" s="56"/>
    </row>
    <row r="475">
      <c r="A475" s="56"/>
      <c r="B475" s="56"/>
      <c r="C475" s="56"/>
      <c r="D475" s="56"/>
      <c r="E475" s="56"/>
      <c r="F475" s="56"/>
      <c r="G475" s="56"/>
    </row>
    <row r="476">
      <c r="A476" s="56"/>
      <c r="B476" s="56"/>
      <c r="C476" s="56"/>
      <c r="D476" s="56"/>
      <c r="E476" s="56"/>
      <c r="F476" s="56"/>
      <c r="G476" s="56"/>
    </row>
    <row r="477">
      <c r="A477" s="56"/>
      <c r="B477" s="56"/>
      <c r="C477" s="56"/>
      <c r="D477" s="56"/>
      <c r="E477" s="56"/>
      <c r="F477" s="56"/>
      <c r="G477" s="56"/>
    </row>
    <row r="478">
      <c r="A478" s="56"/>
      <c r="B478" s="56"/>
      <c r="C478" s="56"/>
      <c r="D478" s="56"/>
      <c r="E478" s="56"/>
      <c r="F478" s="56"/>
      <c r="G478" s="56"/>
    </row>
    <row r="479">
      <c r="A479" s="56"/>
      <c r="B479" s="56"/>
      <c r="C479" s="56"/>
      <c r="D479" s="56"/>
      <c r="E479" s="56"/>
      <c r="F479" s="56"/>
      <c r="G479" s="56"/>
    </row>
    <row r="480">
      <c r="A480" s="56"/>
      <c r="B480" s="56"/>
      <c r="C480" s="56"/>
      <c r="D480" s="56"/>
      <c r="E480" s="56"/>
      <c r="F480" s="56"/>
      <c r="G480" s="56"/>
    </row>
    <row r="481">
      <c r="A481" s="56"/>
      <c r="B481" s="56"/>
      <c r="C481" s="56"/>
      <c r="D481" s="56"/>
      <c r="E481" s="56"/>
      <c r="F481" s="56"/>
      <c r="G481" s="56"/>
    </row>
    <row r="482">
      <c r="A482" s="56"/>
      <c r="B482" s="56"/>
      <c r="C482" s="56"/>
      <c r="D482" s="56"/>
      <c r="E482" s="56"/>
      <c r="F482" s="56"/>
      <c r="G482" s="56"/>
    </row>
    <row r="483">
      <c r="A483" s="56"/>
      <c r="B483" s="56"/>
      <c r="C483" s="56"/>
      <c r="D483" s="56"/>
      <c r="E483" s="56"/>
      <c r="F483" s="56"/>
      <c r="G483" s="56"/>
    </row>
    <row r="484">
      <c r="A484" s="56"/>
      <c r="B484" s="56"/>
      <c r="C484" s="56"/>
      <c r="D484" s="56"/>
      <c r="E484" s="56"/>
      <c r="F484" s="56"/>
      <c r="G484" s="56"/>
    </row>
    <row r="485">
      <c r="A485" s="56"/>
      <c r="B485" s="56"/>
      <c r="C485" s="56"/>
      <c r="D485" s="56"/>
      <c r="E485" s="56"/>
      <c r="F485" s="56"/>
      <c r="G485" s="56"/>
    </row>
    <row r="486">
      <c r="A486" s="56"/>
      <c r="B486" s="56"/>
      <c r="C486" s="56"/>
      <c r="D486" s="56"/>
      <c r="E486" s="56"/>
      <c r="F486" s="56"/>
      <c r="G486" s="56"/>
    </row>
    <row r="487">
      <c r="A487" s="56"/>
      <c r="B487" s="56"/>
      <c r="C487" s="56"/>
      <c r="D487" s="56"/>
      <c r="E487" s="56"/>
      <c r="F487" s="56"/>
      <c r="G487" s="56"/>
    </row>
    <row r="488">
      <c r="A488" s="56"/>
      <c r="B488" s="56"/>
      <c r="C488" s="56"/>
      <c r="D488" s="56"/>
      <c r="E488" s="56"/>
      <c r="F488" s="56"/>
      <c r="G488" s="56"/>
    </row>
    <row r="489">
      <c r="A489" s="56"/>
      <c r="B489" s="56"/>
      <c r="C489" s="56"/>
      <c r="D489" s="56"/>
      <c r="E489" s="56"/>
      <c r="F489" s="56"/>
      <c r="G489" s="56"/>
    </row>
    <row r="490">
      <c r="A490" s="56"/>
      <c r="B490" s="56"/>
      <c r="C490" s="56"/>
      <c r="D490" s="56"/>
      <c r="E490" s="56"/>
      <c r="F490" s="56"/>
      <c r="G490" s="56"/>
    </row>
    <row r="491">
      <c r="A491" s="56"/>
      <c r="B491" s="56"/>
      <c r="C491" s="56"/>
      <c r="D491" s="56"/>
      <c r="E491" s="56"/>
      <c r="F491" s="56"/>
      <c r="G491" s="56"/>
    </row>
    <row r="492">
      <c r="A492" s="56"/>
      <c r="B492" s="56"/>
      <c r="C492" s="56"/>
      <c r="D492" s="56"/>
      <c r="E492" s="56"/>
      <c r="F492" s="56"/>
      <c r="G492" s="56"/>
    </row>
    <row r="493">
      <c r="A493" s="56"/>
      <c r="B493" s="56"/>
      <c r="C493" s="56"/>
      <c r="D493" s="56"/>
      <c r="E493" s="56"/>
      <c r="F493" s="56"/>
      <c r="G493" s="56"/>
    </row>
    <row r="494">
      <c r="A494" s="56"/>
      <c r="B494" s="56"/>
      <c r="C494" s="56"/>
      <c r="D494" s="56"/>
      <c r="E494" s="56"/>
      <c r="F494" s="56"/>
      <c r="G494" s="56"/>
    </row>
    <row r="495">
      <c r="A495" s="56"/>
      <c r="B495" s="56"/>
      <c r="C495" s="56"/>
      <c r="D495" s="56"/>
      <c r="E495" s="56"/>
      <c r="F495" s="56"/>
      <c r="G495" s="56"/>
    </row>
    <row r="496">
      <c r="A496" s="56"/>
      <c r="B496" s="56"/>
      <c r="C496" s="56"/>
      <c r="D496" s="56"/>
      <c r="E496" s="56"/>
      <c r="F496" s="56"/>
      <c r="G496" s="56"/>
    </row>
    <row r="497">
      <c r="A497" s="56"/>
      <c r="B497" s="56"/>
      <c r="C497" s="56"/>
      <c r="D497" s="56"/>
      <c r="E497" s="56"/>
      <c r="F497" s="56"/>
      <c r="G497" s="56"/>
    </row>
    <row r="498">
      <c r="A498" s="56"/>
      <c r="B498" s="56"/>
      <c r="C498" s="56"/>
      <c r="D498" s="56"/>
      <c r="E498" s="56"/>
      <c r="F498" s="56"/>
      <c r="G498" s="56"/>
    </row>
    <row r="499">
      <c r="A499" s="56"/>
      <c r="B499" s="56"/>
      <c r="C499" s="56"/>
      <c r="D499" s="56"/>
      <c r="E499" s="56"/>
      <c r="F499" s="56"/>
      <c r="G499" s="56"/>
    </row>
    <row r="500">
      <c r="A500" s="56"/>
      <c r="B500" s="56"/>
      <c r="C500" s="56"/>
      <c r="D500" s="56"/>
      <c r="E500" s="56"/>
      <c r="F500" s="56"/>
      <c r="G500" s="56"/>
    </row>
    <row r="501">
      <c r="A501" s="56"/>
      <c r="B501" s="56"/>
      <c r="C501" s="56"/>
      <c r="D501" s="56"/>
      <c r="E501" s="56"/>
      <c r="F501" s="56"/>
      <c r="G501" s="56"/>
    </row>
    <row r="502">
      <c r="A502" s="56"/>
      <c r="B502" s="56"/>
      <c r="C502" s="56"/>
      <c r="D502" s="56"/>
      <c r="E502" s="56"/>
      <c r="F502" s="56"/>
      <c r="G502" s="56"/>
    </row>
    <row r="503">
      <c r="A503" s="56"/>
      <c r="B503" s="56"/>
      <c r="C503" s="56"/>
      <c r="D503" s="56"/>
      <c r="E503" s="56"/>
      <c r="F503" s="56"/>
      <c r="G503" s="56"/>
    </row>
    <row r="504">
      <c r="A504" s="56"/>
      <c r="B504" s="56"/>
      <c r="C504" s="56"/>
      <c r="D504" s="56"/>
      <c r="E504" s="56"/>
      <c r="F504" s="56"/>
      <c r="G504" s="56"/>
    </row>
    <row r="505">
      <c r="A505" s="56"/>
      <c r="B505" s="56"/>
      <c r="C505" s="56"/>
      <c r="D505" s="56"/>
      <c r="E505" s="56"/>
      <c r="F505" s="56"/>
      <c r="G505" s="56"/>
    </row>
    <row r="506">
      <c r="A506" s="56"/>
      <c r="B506" s="56"/>
      <c r="C506" s="56"/>
      <c r="D506" s="56"/>
      <c r="E506" s="56"/>
      <c r="F506" s="56"/>
      <c r="G506" s="56"/>
    </row>
    <row r="507">
      <c r="A507" s="56"/>
      <c r="B507" s="56"/>
      <c r="C507" s="56"/>
      <c r="D507" s="56"/>
      <c r="E507" s="56"/>
      <c r="F507" s="56"/>
      <c r="G507" s="56"/>
    </row>
    <row r="508">
      <c r="A508" s="56"/>
      <c r="B508" s="56"/>
      <c r="C508" s="56"/>
      <c r="D508" s="56"/>
      <c r="E508" s="56"/>
      <c r="F508" s="56"/>
      <c r="G508" s="56"/>
    </row>
    <row r="509">
      <c r="A509" s="56"/>
      <c r="B509" s="56"/>
      <c r="C509" s="56"/>
      <c r="D509" s="56"/>
      <c r="E509" s="56"/>
      <c r="F509" s="56"/>
      <c r="G509" s="56"/>
    </row>
    <row r="510">
      <c r="A510" s="56"/>
      <c r="B510" s="56"/>
      <c r="C510" s="56"/>
      <c r="D510" s="56"/>
      <c r="E510" s="56"/>
      <c r="F510" s="56"/>
      <c r="G510" s="56"/>
    </row>
    <row r="511">
      <c r="A511" s="56"/>
      <c r="B511" s="56"/>
      <c r="C511" s="56"/>
      <c r="D511" s="56"/>
      <c r="E511" s="56"/>
      <c r="F511" s="56"/>
      <c r="G511" s="56"/>
    </row>
    <row r="512">
      <c r="A512" s="56"/>
      <c r="B512" s="56"/>
      <c r="C512" s="56"/>
      <c r="D512" s="56"/>
      <c r="E512" s="56"/>
      <c r="F512" s="56"/>
      <c r="G512" s="56"/>
    </row>
    <row r="513">
      <c r="A513" s="56"/>
      <c r="B513" s="56"/>
      <c r="C513" s="56"/>
      <c r="D513" s="56"/>
      <c r="E513" s="56"/>
      <c r="F513" s="56"/>
      <c r="G513" s="56"/>
    </row>
    <row r="514">
      <c r="A514" s="56"/>
      <c r="B514" s="56"/>
      <c r="C514" s="56"/>
      <c r="D514" s="56"/>
      <c r="E514" s="56"/>
      <c r="F514" s="56"/>
      <c r="G514" s="56"/>
    </row>
    <row r="515">
      <c r="A515" s="56"/>
      <c r="B515" s="56"/>
      <c r="C515" s="56"/>
      <c r="D515" s="56"/>
      <c r="E515" s="56"/>
      <c r="F515" s="56"/>
      <c r="G515" s="56"/>
    </row>
    <row r="516">
      <c r="A516" s="56"/>
      <c r="B516" s="56"/>
      <c r="C516" s="56"/>
      <c r="D516" s="56"/>
      <c r="E516" s="56"/>
      <c r="F516" s="56"/>
      <c r="G516" s="56"/>
    </row>
    <row r="517">
      <c r="A517" s="56"/>
      <c r="B517" s="56"/>
      <c r="C517" s="56"/>
      <c r="D517" s="56"/>
      <c r="E517" s="56"/>
      <c r="F517" s="56"/>
      <c r="G517" s="56"/>
    </row>
    <row r="518">
      <c r="A518" s="56"/>
      <c r="B518" s="56"/>
      <c r="C518" s="56"/>
      <c r="D518" s="56"/>
      <c r="E518" s="56"/>
      <c r="F518" s="56"/>
      <c r="G518" s="56"/>
    </row>
    <row r="519">
      <c r="A519" s="56"/>
      <c r="B519" s="56"/>
      <c r="C519" s="56"/>
      <c r="D519" s="56"/>
      <c r="E519" s="56"/>
      <c r="F519" s="56"/>
      <c r="G519" s="56"/>
    </row>
    <row r="520">
      <c r="A520" s="56"/>
      <c r="B520" s="56"/>
      <c r="C520" s="56"/>
      <c r="D520" s="56"/>
      <c r="E520" s="56"/>
      <c r="F520" s="56"/>
      <c r="G520" s="56"/>
    </row>
    <row r="521">
      <c r="A521" s="56"/>
      <c r="B521" s="56"/>
      <c r="C521" s="56"/>
      <c r="D521" s="56"/>
      <c r="E521" s="56"/>
      <c r="F521" s="56"/>
      <c r="G521" s="56"/>
    </row>
    <row r="522">
      <c r="A522" s="56"/>
      <c r="B522" s="56"/>
      <c r="C522" s="56"/>
      <c r="D522" s="56"/>
      <c r="E522" s="56"/>
      <c r="F522" s="56"/>
      <c r="G522" s="56"/>
    </row>
    <row r="523">
      <c r="A523" s="56"/>
      <c r="B523" s="56"/>
      <c r="C523" s="56"/>
      <c r="D523" s="56"/>
      <c r="E523" s="56"/>
      <c r="F523" s="56"/>
      <c r="G523" s="56"/>
    </row>
    <row r="524">
      <c r="A524" s="56"/>
      <c r="B524" s="56"/>
      <c r="C524" s="56"/>
      <c r="D524" s="56"/>
      <c r="E524" s="56"/>
      <c r="F524" s="56"/>
      <c r="G524" s="56"/>
    </row>
    <row r="525">
      <c r="A525" s="56"/>
      <c r="B525" s="56"/>
      <c r="C525" s="56"/>
      <c r="D525" s="56"/>
      <c r="E525" s="56"/>
      <c r="F525" s="56"/>
      <c r="G525" s="56"/>
    </row>
    <row r="526">
      <c r="A526" s="56"/>
      <c r="B526" s="56"/>
      <c r="C526" s="56"/>
      <c r="D526" s="56"/>
      <c r="E526" s="56"/>
      <c r="F526" s="56"/>
      <c r="G526" s="56"/>
    </row>
    <row r="527">
      <c r="A527" s="56"/>
      <c r="B527" s="56"/>
      <c r="C527" s="56"/>
      <c r="D527" s="56"/>
      <c r="E527" s="56"/>
      <c r="F527" s="56"/>
      <c r="G527" s="56"/>
    </row>
    <row r="528">
      <c r="A528" s="56"/>
      <c r="B528" s="56"/>
      <c r="C528" s="56"/>
      <c r="D528" s="56"/>
      <c r="E528" s="56"/>
      <c r="F528" s="56"/>
      <c r="G528" s="56"/>
    </row>
    <row r="529">
      <c r="A529" s="56"/>
      <c r="B529" s="56"/>
      <c r="C529" s="56"/>
      <c r="D529" s="56"/>
      <c r="E529" s="56"/>
      <c r="F529" s="56"/>
      <c r="G529" s="56"/>
    </row>
    <row r="530">
      <c r="A530" s="56"/>
      <c r="B530" s="56"/>
      <c r="C530" s="56"/>
      <c r="D530" s="56"/>
      <c r="E530" s="56"/>
      <c r="F530" s="56"/>
      <c r="G530" s="56"/>
    </row>
    <row r="531">
      <c r="A531" s="56"/>
      <c r="B531" s="56"/>
      <c r="C531" s="56"/>
      <c r="D531" s="56"/>
      <c r="E531" s="56"/>
      <c r="F531" s="56"/>
      <c r="G531" s="56"/>
    </row>
    <row r="532">
      <c r="A532" s="56"/>
      <c r="B532" s="56"/>
      <c r="C532" s="56"/>
      <c r="D532" s="56"/>
      <c r="E532" s="56"/>
      <c r="F532" s="56"/>
      <c r="G532" s="56"/>
    </row>
    <row r="533">
      <c r="A533" s="56"/>
      <c r="B533" s="56"/>
      <c r="C533" s="56"/>
      <c r="D533" s="56"/>
      <c r="E533" s="56"/>
      <c r="F533" s="56"/>
      <c r="G533" s="56"/>
    </row>
    <row r="534">
      <c r="A534" s="56"/>
      <c r="B534" s="56"/>
      <c r="C534" s="56"/>
      <c r="D534" s="56"/>
      <c r="E534" s="56"/>
      <c r="F534" s="56"/>
      <c r="G534" s="56"/>
    </row>
    <row r="535">
      <c r="A535" s="56"/>
      <c r="B535" s="56"/>
      <c r="C535" s="56"/>
      <c r="D535" s="56"/>
      <c r="E535" s="56"/>
      <c r="F535" s="56"/>
      <c r="G535" s="56"/>
    </row>
    <row r="536">
      <c r="A536" s="56"/>
      <c r="B536" s="56"/>
      <c r="C536" s="56"/>
      <c r="D536" s="56"/>
      <c r="E536" s="56"/>
      <c r="F536" s="56"/>
      <c r="G536" s="56"/>
    </row>
    <row r="537">
      <c r="A537" s="56"/>
      <c r="B537" s="56"/>
      <c r="C537" s="56"/>
      <c r="D537" s="56"/>
      <c r="E537" s="56"/>
      <c r="F537" s="56"/>
      <c r="G537" s="56"/>
    </row>
    <row r="538">
      <c r="A538" s="56"/>
      <c r="B538" s="56"/>
      <c r="C538" s="56"/>
      <c r="D538" s="56"/>
      <c r="E538" s="56"/>
      <c r="F538" s="56"/>
      <c r="G538" s="56"/>
    </row>
    <row r="539">
      <c r="A539" s="56"/>
      <c r="B539" s="56"/>
      <c r="C539" s="56"/>
      <c r="D539" s="56"/>
      <c r="E539" s="56"/>
      <c r="F539" s="56"/>
      <c r="G539" s="56"/>
    </row>
    <row r="540">
      <c r="A540" s="56"/>
      <c r="B540" s="56"/>
      <c r="C540" s="56"/>
      <c r="D540" s="56"/>
      <c r="E540" s="56"/>
      <c r="F540" s="56"/>
      <c r="G540" s="56"/>
    </row>
    <row r="541">
      <c r="A541" s="56"/>
      <c r="B541" s="56"/>
      <c r="C541" s="56"/>
      <c r="D541" s="56"/>
      <c r="E541" s="56"/>
      <c r="F541" s="56"/>
      <c r="G541" s="56"/>
    </row>
    <row r="542">
      <c r="A542" s="56"/>
      <c r="B542" s="56"/>
      <c r="C542" s="56"/>
      <c r="D542" s="56"/>
      <c r="E542" s="56"/>
      <c r="F542" s="56"/>
      <c r="G542" s="56"/>
    </row>
    <row r="543">
      <c r="A543" s="56"/>
      <c r="B543" s="56"/>
      <c r="C543" s="56"/>
      <c r="D543" s="56"/>
      <c r="E543" s="56"/>
      <c r="F543" s="56"/>
      <c r="G543" s="56"/>
    </row>
    <row r="544">
      <c r="A544" s="56"/>
      <c r="B544" s="56"/>
      <c r="C544" s="56"/>
      <c r="D544" s="56"/>
      <c r="E544" s="56"/>
      <c r="F544" s="56"/>
      <c r="G544" s="56"/>
    </row>
    <row r="545">
      <c r="A545" s="56"/>
      <c r="B545" s="56"/>
      <c r="C545" s="56"/>
      <c r="D545" s="56"/>
      <c r="E545" s="56"/>
      <c r="F545" s="56"/>
      <c r="G545" s="56"/>
    </row>
    <row r="546">
      <c r="A546" s="56"/>
      <c r="B546" s="56"/>
      <c r="C546" s="56"/>
      <c r="D546" s="56"/>
      <c r="E546" s="56"/>
      <c r="F546" s="56"/>
      <c r="G546" s="56"/>
    </row>
    <row r="547">
      <c r="A547" s="56"/>
      <c r="B547" s="56"/>
      <c r="C547" s="56"/>
      <c r="D547" s="56"/>
      <c r="E547" s="56"/>
      <c r="F547" s="56"/>
      <c r="G547" s="56"/>
    </row>
    <row r="548">
      <c r="A548" s="56"/>
      <c r="B548" s="56"/>
      <c r="C548" s="56"/>
      <c r="D548" s="56"/>
      <c r="E548" s="56"/>
      <c r="F548" s="56"/>
      <c r="G548" s="56"/>
    </row>
    <row r="549">
      <c r="A549" s="56"/>
      <c r="B549" s="56"/>
      <c r="C549" s="56"/>
      <c r="D549" s="56"/>
      <c r="E549" s="56"/>
      <c r="F549" s="56"/>
      <c r="G549" s="56"/>
    </row>
    <row r="550">
      <c r="A550" s="56"/>
      <c r="B550" s="56"/>
      <c r="C550" s="56"/>
      <c r="D550" s="56"/>
      <c r="E550" s="56"/>
      <c r="F550" s="56"/>
      <c r="G550" s="56"/>
    </row>
    <row r="551">
      <c r="A551" s="56"/>
      <c r="B551" s="56"/>
      <c r="C551" s="56"/>
      <c r="D551" s="56"/>
      <c r="E551" s="56"/>
      <c r="F551" s="56"/>
      <c r="G551" s="56"/>
    </row>
    <row r="552">
      <c r="A552" s="56"/>
      <c r="B552" s="56"/>
      <c r="C552" s="56"/>
      <c r="D552" s="56"/>
      <c r="E552" s="56"/>
      <c r="F552" s="56"/>
      <c r="G552" s="56"/>
    </row>
    <row r="553">
      <c r="A553" s="56"/>
      <c r="B553" s="56"/>
      <c r="C553" s="56"/>
      <c r="D553" s="56"/>
      <c r="E553" s="56"/>
      <c r="F553" s="56"/>
      <c r="G553" s="56"/>
    </row>
    <row r="554">
      <c r="A554" s="56"/>
      <c r="B554" s="56"/>
      <c r="C554" s="56"/>
      <c r="D554" s="56"/>
      <c r="E554" s="56"/>
      <c r="F554" s="56"/>
      <c r="G554" s="56"/>
    </row>
    <row r="555">
      <c r="A555" s="56"/>
      <c r="B555" s="56"/>
      <c r="C555" s="56"/>
      <c r="D555" s="56"/>
      <c r="E555" s="56"/>
      <c r="F555" s="56"/>
      <c r="G555" s="56"/>
    </row>
    <row r="556">
      <c r="A556" s="56"/>
      <c r="B556" s="56"/>
      <c r="C556" s="56"/>
      <c r="D556" s="56"/>
      <c r="E556" s="56"/>
      <c r="F556" s="56"/>
      <c r="G556" s="56"/>
    </row>
    <row r="557">
      <c r="A557" s="56"/>
      <c r="B557" s="56"/>
      <c r="C557" s="56"/>
      <c r="D557" s="56"/>
      <c r="E557" s="56"/>
      <c r="F557" s="56"/>
      <c r="G557" s="56"/>
    </row>
    <row r="558">
      <c r="A558" s="56"/>
      <c r="B558" s="56"/>
      <c r="C558" s="56"/>
      <c r="D558" s="56"/>
      <c r="E558" s="56"/>
      <c r="F558" s="56"/>
      <c r="G558" s="56"/>
    </row>
    <row r="559">
      <c r="A559" s="56"/>
      <c r="B559" s="56"/>
      <c r="C559" s="56"/>
      <c r="D559" s="56"/>
      <c r="E559" s="56"/>
      <c r="F559" s="56"/>
      <c r="G559" s="56"/>
    </row>
    <row r="560">
      <c r="A560" s="56"/>
      <c r="B560" s="56"/>
      <c r="C560" s="56"/>
      <c r="D560" s="56"/>
      <c r="E560" s="56"/>
      <c r="F560" s="56"/>
      <c r="G560" s="56"/>
    </row>
    <row r="561">
      <c r="A561" s="56"/>
      <c r="B561" s="56"/>
      <c r="C561" s="56"/>
      <c r="D561" s="56"/>
      <c r="E561" s="56"/>
      <c r="F561" s="56"/>
      <c r="G561" s="56"/>
    </row>
    <row r="562">
      <c r="A562" s="56"/>
      <c r="B562" s="56"/>
      <c r="C562" s="56"/>
      <c r="D562" s="56"/>
      <c r="E562" s="56"/>
      <c r="F562" s="56"/>
      <c r="G562" s="56"/>
    </row>
    <row r="563">
      <c r="A563" s="56"/>
      <c r="B563" s="56"/>
      <c r="C563" s="56"/>
      <c r="D563" s="56"/>
      <c r="E563" s="56"/>
      <c r="F563" s="56"/>
      <c r="G563" s="56"/>
    </row>
    <row r="564">
      <c r="A564" s="56"/>
      <c r="B564" s="56"/>
      <c r="C564" s="56"/>
      <c r="D564" s="56"/>
      <c r="E564" s="56"/>
      <c r="F564" s="56"/>
      <c r="G564" s="56"/>
    </row>
    <row r="565">
      <c r="A565" s="56"/>
      <c r="B565" s="56"/>
      <c r="C565" s="56"/>
      <c r="D565" s="56"/>
      <c r="E565" s="56"/>
      <c r="F565" s="56"/>
      <c r="G565" s="56"/>
    </row>
    <row r="566">
      <c r="A566" s="56"/>
      <c r="B566" s="56"/>
      <c r="C566" s="56"/>
      <c r="D566" s="56"/>
      <c r="E566" s="56"/>
      <c r="F566" s="56"/>
      <c r="G566" s="56"/>
    </row>
    <row r="567">
      <c r="A567" s="56"/>
      <c r="B567" s="56"/>
      <c r="C567" s="56"/>
      <c r="D567" s="56"/>
      <c r="E567" s="56"/>
      <c r="F567" s="56"/>
      <c r="G567" s="56"/>
    </row>
    <row r="568">
      <c r="A568" s="56"/>
      <c r="B568" s="56"/>
      <c r="C568" s="56"/>
      <c r="D568" s="56"/>
      <c r="E568" s="56"/>
      <c r="F568" s="56"/>
      <c r="G568" s="56"/>
    </row>
    <row r="569">
      <c r="A569" s="56"/>
      <c r="B569" s="56"/>
      <c r="C569" s="56"/>
      <c r="D569" s="56"/>
      <c r="E569" s="56"/>
      <c r="F569" s="56"/>
      <c r="G569" s="56"/>
    </row>
    <row r="570">
      <c r="A570" s="56"/>
      <c r="B570" s="56"/>
      <c r="C570" s="56"/>
      <c r="D570" s="56"/>
      <c r="E570" s="56"/>
      <c r="F570" s="56"/>
      <c r="G570" s="56"/>
    </row>
    <row r="571">
      <c r="A571" s="56"/>
      <c r="B571" s="56"/>
      <c r="C571" s="56"/>
      <c r="D571" s="56"/>
      <c r="E571" s="56"/>
      <c r="F571" s="56"/>
      <c r="G571" s="56"/>
    </row>
    <row r="572">
      <c r="A572" s="56"/>
      <c r="B572" s="56"/>
      <c r="C572" s="56"/>
      <c r="D572" s="56"/>
      <c r="E572" s="56"/>
      <c r="F572" s="56"/>
      <c r="G572" s="56"/>
    </row>
    <row r="573">
      <c r="A573" s="56"/>
      <c r="B573" s="56"/>
      <c r="C573" s="56"/>
      <c r="D573" s="56"/>
      <c r="E573" s="56"/>
      <c r="F573" s="56"/>
      <c r="G573" s="56"/>
    </row>
    <row r="574">
      <c r="A574" s="56"/>
      <c r="B574" s="56"/>
      <c r="C574" s="56"/>
      <c r="D574" s="56"/>
      <c r="E574" s="56"/>
      <c r="F574" s="56"/>
      <c r="G574" s="56"/>
    </row>
    <row r="575">
      <c r="A575" s="56"/>
      <c r="B575" s="56"/>
      <c r="C575" s="56"/>
      <c r="D575" s="56"/>
      <c r="E575" s="56"/>
      <c r="F575" s="56"/>
      <c r="G575" s="56"/>
    </row>
    <row r="576">
      <c r="A576" s="56"/>
      <c r="B576" s="56"/>
      <c r="C576" s="56"/>
      <c r="D576" s="56"/>
      <c r="E576" s="56"/>
      <c r="F576" s="56"/>
      <c r="G576" s="56"/>
    </row>
    <row r="577">
      <c r="A577" s="56"/>
      <c r="B577" s="56"/>
      <c r="C577" s="56"/>
      <c r="D577" s="56"/>
      <c r="E577" s="56"/>
      <c r="F577" s="56"/>
      <c r="G577" s="56"/>
    </row>
    <row r="578">
      <c r="A578" s="56"/>
      <c r="B578" s="56"/>
      <c r="C578" s="56"/>
      <c r="D578" s="56"/>
      <c r="E578" s="56"/>
      <c r="F578" s="56"/>
      <c r="G578" s="56"/>
    </row>
    <row r="579">
      <c r="A579" s="56"/>
      <c r="B579" s="56"/>
      <c r="C579" s="56"/>
      <c r="D579" s="56"/>
      <c r="E579" s="56"/>
      <c r="F579" s="56"/>
      <c r="G579" s="56"/>
    </row>
    <row r="580">
      <c r="A580" s="56"/>
      <c r="B580" s="56"/>
      <c r="C580" s="56"/>
      <c r="D580" s="56"/>
      <c r="E580" s="56"/>
      <c r="F580" s="56"/>
      <c r="G580" s="56"/>
    </row>
    <row r="581">
      <c r="A581" s="56"/>
      <c r="B581" s="56"/>
      <c r="C581" s="56"/>
      <c r="D581" s="56"/>
      <c r="E581" s="56"/>
      <c r="F581" s="56"/>
      <c r="G581" s="56"/>
    </row>
    <row r="582">
      <c r="A582" s="56"/>
      <c r="B582" s="56"/>
      <c r="C582" s="56"/>
      <c r="D582" s="56"/>
      <c r="E582" s="56"/>
      <c r="F582" s="56"/>
      <c r="G582" s="56"/>
    </row>
    <row r="583">
      <c r="A583" s="56"/>
      <c r="B583" s="56"/>
      <c r="C583" s="56"/>
      <c r="D583" s="56"/>
      <c r="E583" s="56"/>
      <c r="F583" s="56"/>
      <c r="G583" s="56"/>
    </row>
    <row r="584">
      <c r="A584" s="56"/>
      <c r="B584" s="56"/>
      <c r="C584" s="56"/>
      <c r="D584" s="56"/>
      <c r="E584" s="56"/>
      <c r="F584" s="56"/>
      <c r="G584" s="56"/>
    </row>
    <row r="585">
      <c r="A585" s="56"/>
      <c r="B585" s="56"/>
      <c r="C585" s="56"/>
      <c r="D585" s="56"/>
      <c r="E585" s="56"/>
      <c r="F585" s="56"/>
      <c r="G585" s="56"/>
    </row>
    <row r="586">
      <c r="A586" s="56"/>
      <c r="B586" s="56"/>
      <c r="C586" s="56"/>
      <c r="D586" s="56"/>
      <c r="E586" s="56"/>
      <c r="F586" s="56"/>
      <c r="G586" s="56"/>
    </row>
    <row r="587">
      <c r="A587" s="56"/>
      <c r="B587" s="56"/>
      <c r="C587" s="56"/>
      <c r="D587" s="56"/>
      <c r="E587" s="56"/>
      <c r="F587" s="56"/>
      <c r="G587" s="56"/>
    </row>
    <row r="588">
      <c r="A588" s="56"/>
      <c r="B588" s="56"/>
      <c r="C588" s="56"/>
      <c r="D588" s="56"/>
      <c r="E588" s="56"/>
      <c r="F588" s="56"/>
      <c r="G588" s="56"/>
    </row>
    <row r="589">
      <c r="A589" s="56"/>
      <c r="B589" s="56"/>
      <c r="C589" s="56"/>
      <c r="D589" s="56"/>
      <c r="E589" s="56"/>
      <c r="F589" s="56"/>
      <c r="G589" s="56"/>
    </row>
    <row r="590">
      <c r="A590" s="56"/>
      <c r="B590" s="56"/>
      <c r="C590" s="56"/>
      <c r="D590" s="56"/>
      <c r="E590" s="56"/>
      <c r="F590" s="56"/>
      <c r="G590" s="56"/>
    </row>
    <row r="591">
      <c r="A591" s="56"/>
      <c r="B591" s="56"/>
      <c r="C591" s="56"/>
      <c r="D591" s="56"/>
      <c r="E591" s="56"/>
      <c r="F591" s="56"/>
      <c r="G591" s="56"/>
    </row>
    <row r="592">
      <c r="A592" s="56"/>
      <c r="B592" s="56"/>
      <c r="C592" s="56"/>
      <c r="D592" s="56"/>
      <c r="E592" s="56"/>
      <c r="F592" s="56"/>
      <c r="G592" s="56"/>
    </row>
    <row r="593">
      <c r="A593" s="56"/>
      <c r="B593" s="56"/>
      <c r="C593" s="56"/>
      <c r="D593" s="56"/>
      <c r="E593" s="56"/>
      <c r="F593" s="56"/>
      <c r="G593" s="56"/>
    </row>
    <row r="594">
      <c r="A594" s="56"/>
      <c r="B594" s="56"/>
      <c r="C594" s="56"/>
      <c r="D594" s="56"/>
      <c r="E594" s="56"/>
      <c r="F594" s="56"/>
      <c r="G594" s="56"/>
    </row>
    <row r="595">
      <c r="A595" s="56"/>
      <c r="B595" s="56"/>
      <c r="C595" s="56"/>
      <c r="D595" s="56"/>
      <c r="E595" s="56"/>
      <c r="F595" s="56"/>
      <c r="G595" s="56"/>
    </row>
    <row r="596">
      <c r="A596" s="56"/>
      <c r="B596" s="56"/>
      <c r="C596" s="56"/>
      <c r="D596" s="56"/>
      <c r="E596" s="56"/>
      <c r="F596" s="56"/>
      <c r="G596" s="56"/>
    </row>
    <row r="597">
      <c r="A597" s="56"/>
      <c r="B597" s="56"/>
      <c r="C597" s="56"/>
      <c r="D597" s="56"/>
      <c r="E597" s="56"/>
      <c r="F597" s="56"/>
      <c r="G597" s="56"/>
    </row>
    <row r="598">
      <c r="A598" s="56"/>
      <c r="B598" s="56"/>
      <c r="C598" s="56"/>
      <c r="D598" s="56"/>
      <c r="E598" s="56"/>
      <c r="F598" s="56"/>
      <c r="G598" s="56"/>
    </row>
    <row r="599">
      <c r="A599" s="56"/>
      <c r="B599" s="56"/>
      <c r="C599" s="56"/>
      <c r="D599" s="56"/>
      <c r="E599" s="56"/>
      <c r="F599" s="56"/>
      <c r="G599" s="56"/>
    </row>
    <row r="600">
      <c r="A600" s="56"/>
      <c r="B600" s="56"/>
      <c r="C600" s="56"/>
      <c r="D600" s="56"/>
      <c r="E600" s="56"/>
      <c r="F600" s="56"/>
      <c r="G600" s="56"/>
    </row>
    <row r="601">
      <c r="A601" s="56"/>
      <c r="B601" s="56"/>
      <c r="C601" s="56"/>
      <c r="D601" s="56"/>
      <c r="E601" s="56"/>
      <c r="F601" s="56"/>
      <c r="G601" s="56"/>
    </row>
    <row r="602">
      <c r="A602" s="56"/>
      <c r="B602" s="56"/>
      <c r="C602" s="56"/>
      <c r="D602" s="56"/>
      <c r="E602" s="56"/>
      <c r="F602" s="56"/>
      <c r="G602" s="56"/>
    </row>
    <row r="603">
      <c r="A603" s="56"/>
      <c r="B603" s="56"/>
      <c r="C603" s="56"/>
      <c r="D603" s="56"/>
      <c r="E603" s="56"/>
      <c r="F603" s="56"/>
      <c r="G603" s="56"/>
    </row>
    <row r="604">
      <c r="A604" s="56"/>
      <c r="B604" s="56"/>
      <c r="C604" s="56"/>
      <c r="D604" s="56"/>
      <c r="E604" s="56"/>
      <c r="F604" s="56"/>
      <c r="G604" s="56"/>
    </row>
    <row r="605">
      <c r="A605" s="56"/>
      <c r="B605" s="56"/>
      <c r="C605" s="56"/>
      <c r="D605" s="56"/>
      <c r="E605" s="56"/>
      <c r="F605" s="56"/>
      <c r="G605" s="56"/>
    </row>
    <row r="606">
      <c r="A606" s="56"/>
      <c r="B606" s="56"/>
      <c r="C606" s="56"/>
      <c r="D606" s="56"/>
      <c r="E606" s="56"/>
      <c r="F606" s="56"/>
      <c r="G606" s="56"/>
    </row>
    <row r="607">
      <c r="A607" s="56"/>
      <c r="B607" s="56"/>
      <c r="C607" s="56"/>
      <c r="D607" s="56"/>
      <c r="E607" s="56"/>
      <c r="F607" s="56"/>
      <c r="G607" s="56"/>
    </row>
    <row r="608">
      <c r="A608" s="56"/>
      <c r="B608" s="56"/>
      <c r="C608" s="56"/>
      <c r="D608" s="56"/>
      <c r="E608" s="56"/>
      <c r="F608" s="56"/>
      <c r="G608" s="56"/>
    </row>
    <row r="609">
      <c r="A609" s="56"/>
      <c r="B609" s="56"/>
      <c r="C609" s="56"/>
      <c r="D609" s="56"/>
      <c r="E609" s="56"/>
      <c r="F609" s="56"/>
      <c r="G609" s="56"/>
    </row>
    <row r="610">
      <c r="A610" s="56"/>
      <c r="B610" s="56"/>
      <c r="C610" s="56"/>
      <c r="D610" s="56"/>
      <c r="E610" s="56"/>
      <c r="F610" s="56"/>
      <c r="G610" s="56"/>
    </row>
    <row r="611">
      <c r="A611" s="56"/>
      <c r="B611" s="56"/>
      <c r="C611" s="56"/>
      <c r="D611" s="56"/>
      <c r="E611" s="56"/>
      <c r="F611" s="56"/>
      <c r="G611" s="56"/>
    </row>
    <row r="612">
      <c r="A612" s="56"/>
      <c r="B612" s="56"/>
      <c r="C612" s="56"/>
      <c r="D612" s="56"/>
      <c r="E612" s="56"/>
      <c r="F612" s="56"/>
      <c r="G612" s="56"/>
    </row>
    <row r="613">
      <c r="A613" s="56"/>
      <c r="B613" s="56"/>
      <c r="C613" s="56"/>
      <c r="D613" s="56"/>
      <c r="E613" s="56"/>
      <c r="F613" s="56"/>
      <c r="G613" s="56"/>
    </row>
    <row r="614">
      <c r="A614" s="56"/>
      <c r="B614" s="56"/>
      <c r="C614" s="56"/>
      <c r="D614" s="56"/>
      <c r="E614" s="56"/>
      <c r="F614" s="56"/>
      <c r="G614" s="56"/>
    </row>
    <row r="615">
      <c r="A615" s="56"/>
      <c r="B615" s="56"/>
      <c r="C615" s="56"/>
      <c r="D615" s="56"/>
      <c r="E615" s="56"/>
      <c r="F615" s="56"/>
      <c r="G615" s="56"/>
    </row>
    <row r="616">
      <c r="A616" s="56"/>
      <c r="B616" s="56"/>
      <c r="C616" s="56"/>
      <c r="D616" s="56"/>
      <c r="E616" s="56"/>
      <c r="F616" s="56"/>
      <c r="G616" s="56"/>
    </row>
    <row r="617">
      <c r="A617" s="56"/>
      <c r="B617" s="56"/>
      <c r="C617" s="56"/>
      <c r="D617" s="56"/>
      <c r="E617" s="56"/>
      <c r="F617" s="56"/>
      <c r="G617" s="56"/>
    </row>
    <row r="618">
      <c r="A618" s="56"/>
      <c r="B618" s="56"/>
      <c r="C618" s="56"/>
      <c r="D618" s="56"/>
      <c r="E618" s="56"/>
      <c r="F618" s="56"/>
      <c r="G618" s="56"/>
    </row>
    <row r="619">
      <c r="A619" s="56"/>
      <c r="B619" s="56"/>
      <c r="C619" s="56"/>
      <c r="D619" s="56"/>
      <c r="E619" s="56"/>
      <c r="F619" s="56"/>
      <c r="G619" s="56"/>
    </row>
    <row r="620">
      <c r="A620" s="56"/>
      <c r="B620" s="56"/>
      <c r="C620" s="56"/>
      <c r="D620" s="56"/>
      <c r="E620" s="56"/>
      <c r="F620" s="56"/>
      <c r="G620" s="56"/>
    </row>
    <row r="621">
      <c r="A621" s="56"/>
      <c r="B621" s="56"/>
      <c r="C621" s="56"/>
      <c r="D621" s="56"/>
      <c r="E621" s="56"/>
      <c r="F621" s="56"/>
      <c r="G621" s="56"/>
    </row>
    <row r="622">
      <c r="A622" s="56"/>
      <c r="B622" s="56"/>
      <c r="C622" s="56"/>
      <c r="D622" s="56"/>
      <c r="E622" s="56"/>
      <c r="F622" s="56"/>
      <c r="G622" s="56"/>
    </row>
    <row r="623">
      <c r="A623" s="56"/>
      <c r="B623" s="56"/>
      <c r="C623" s="56"/>
      <c r="D623" s="56"/>
      <c r="E623" s="56"/>
      <c r="F623" s="56"/>
      <c r="G623" s="56"/>
    </row>
    <row r="624">
      <c r="A624" s="56"/>
      <c r="B624" s="56"/>
      <c r="C624" s="56"/>
      <c r="D624" s="56"/>
      <c r="E624" s="56"/>
      <c r="F624" s="56"/>
      <c r="G624" s="56"/>
    </row>
    <row r="625">
      <c r="A625" s="56"/>
      <c r="B625" s="56"/>
      <c r="C625" s="56"/>
      <c r="D625" s="56"/>
      <c r="E625" s="56"/>
      <c r="F625" s="56"/>
      <c r="G625" s="56"/>
    </row>
    <row r="626">
      <c r="A626" s="56"/>
      <c r="B626" s="56"/>
      <c r="C626" s="56"/>
      <c r="D626" s="56"/>
      <c r="E626" s="56"/>
      <c r="F626" s="56"/>
      <c r="G626" s="56"/>
    </row>
    <row r="627">
      <c r="A627" s="56"/>
      <c r="B627" s="56"/>
      <c r="C627" s="56"/>
      <c r="D627" s="56"/>
      <c r="E627" s="56"/>
      <c r="F627" s="56"/>
      <c r="G627" s="56"/>
    </row>
    <row r="628">
      <c r="A628" s="56"/>
      <c r="B628" s="56"/>
      <c r="C628" s="56"/>
      <c r="D628" s="56"/>
      <c r="E628" s="56"/>
      <c r="F628" s="56"/>
      <c r="G628" s="56"/>
    </row>
    <row r="629">
      <c r="A629" s="56"/>
      <c r="B629" s="56"/>
      <c r="C629" s="56"/>
      <c r="D629" s="56"/>
      <c r="E629" s="56"/>
      <c r="F629" s="56"/>
      <c r="G629" s="56"/>
    </row>
    <row r="630">
      <c r="A630" s="56"/>
      <c r="B630" s="56"/>
      <c r="C630" s="56"/>
      <c r="D630" s="56"/>
      <c r="E630" s="56"/>
      <c r="F630" s="56"/>
      <c r="G630" s="56"/>
    </row>
    <row r="631">
      <c r="A631" s="56"/>
      <c r="B631" s="56"/>
      <c r="C631" s="56"/>
      <c r="D631" s="56"/>
      <c r="E631" s="56"/>
      <c r="F631" s="56"/>
      <c r="G631" s="56"/>
    </row>
    <row r="632">
      <c r="A632" s="56"/>
      <c r="B632" s="56"/>
      <c r="C632" s="56"/>
      <c r="D632" s="56"/>
      <c r="E632" s="56"/>
      <c r="F632" s="56"/>
      <c r="G632" s="56"/>
    </row>
    <row r="633">
      <c r="A633" s="56"/>
      <c r="B633" s="56"/>
      <c r="C633" s="56"/>
      <c r="D633" s="56"/>
      <c r="E633" s="56"/>
      <c r="F633" s="56"/>
      <c r="G633" s="56"/>
    </row>
    <row r="634">
      <c r="A634" s="56"/>
      <c r="B634" s="56"/>
      <c r="C634" s="56"/>
      <c r="D634" s="56"/>
      <c r="E634" s="56"/>
      <c r="F634" s="56"/>
      <c r="G634" s="56"/>
    </row>
    <row r="635">
      <c r="A635" s="56"/>
      <c r="B635" s="56"/>
      <c r="C635" s="56"/>
      <c r="D635" s="56"/>
      <c r="E635" s="56"/>
      <c r="F635" s="56"/>
      <c r="G635" s="56"/>
    </row>
    <row r="636">
      <c r="A636" s="56"/>
      <c r="B636" s="56"/>
      <c r="C636" s="56"/>
      <c r="D636" s="56"/>
      <c r="E636" s="56"/>
      <c r="F636" s="56"/>
      <c r="G636" s="56"/>
    </row>
    <row r="637">
      <c r="A637" s="56"/>
      <c r="B637" s="56"/>
      <c r="C637" s="56"/>
      <c r="D637" s="56"/>
      <c r="E637" s="56"/>
      <c r="F637" s="56"/>
      <c r="G637" s="56"/>
    </row>
    <row r="638">
      <c r="A638" s="56"/>
      <c r="B638" s="56"/>
      <c r="C638" s="56"/>
      <c r="D638" s="56"/>
      <c r="E638" s="56"/>
      <c r="F638" s="56"/>
      <c r="G638" s="56"/>
    </row>
    <row r="639">
      <c r="A639" s="56"/>
      <c r="B639" s="56"/>
      <c r="C639" s="56"/>
      <c r="D639" s="56"/>
      <c r="E639" s="56"/>
      <c r="F639" s="56"/>
      <c r="G639" s="56"/>
    </row>
    <row r="640">
      <c r="A640" s="56"/>
      <c r="B640" s="56"/>
      <c r="C640" s="56"/>
      <c r="D640" s="56"/>
      <c r="E640" s="56"/>
      <c r="F640" s="56"/>
      <c r="G640" s="56"/>
    </row>
    <row r="641">
      <c r="A641" s="56"/>
      <c r="B641" s="56"/>
      <c r="C641" s="56"/>
      <c r="D641" s="56"/>
      <c r="E641" s="56"/>
      <c r="F641" s="56"/>
      <c r="G641" s="56"/>
    </row>
    <row r="642">
      <c r="A642" s="56"/>
      <c r="B642" s="56"/>
      <c r="C642" s="56"/>
      <c r="D642" s="56"/>
      <c r="E642" s="56"/>
      <c r="F642" s="56"/>
      <c r="G642" s="56"/>
    </row>
    <row r="643">
      <c r="A643" s="56"/>
      <c r="B643" s="56"/>
      <c r="C643" s="56"/>
      <c r="D643" s="56"/>
      <c r="E643" s="56"/>
      <c r="F643" s="56"/>
      <c r="G643" s="56"/>
    </row>
    <row r="644">
      <c r="A644" s="56"/>
      <c r="B644" s="56"/>
      <c r="C644" s="56"/>
      <c r="D644" s="56"/>
      <c r="E644" s="56"/>
      <c r="F644" s="56"/>
      <c r="G644" s="56"/>
    </row>
    <row r="645">
      <c r="A645" s="56"/>
      <c r="B645" s="56"/>
      <c r="C645" s="56"/>
      <c r="D645" s="56"/>
      <c r="E645" s="56"/>
      <c r="F645" s="56"/>
      <c r="G645" s="56"/>
    </row>
    <row r="646">
      <c r="A646" s="56"/>
      <c r="B646" s="56"/>
      <c r="C646" s="56"/>
      <c r="D646" s="56"/>
      <c r="E646" s="56"/>
      <c r="F646" s="56"/>
      <c r="G646" s="56"/>
    </row>
    <row r="647">
      <c r="A647" s="56"/>
      <c r="B647" s="56"/>
      <c r="C647" s="56"/>
      <c r="D647" s="56"/>
      <c r="E647" s="56"/>
      <c r="F647" s="56"/>
      <c r="G647" s="56"/>
    </row>
    <row r="648">
      <c r="A648" s="56"/>
      <c r="B648" s="56"/>
      <c r="C648" s="56"/>
      <c r="D648" s="56"/>
      <c r="E648" s="56"/>
      <c r="F648" s="56"/>
      <c r="G648" s="56"/>
    </row>
    <row r="649">
      <c r="A649" s="56"/>
      <c r="B649" s="56"/>
      <c r="C649" s="56"/>
      <c r="D649" s="56"/>
      <c r="E649" s="56"/>
      <c r="F649" s="56"/>
      <c r="G649" s="56"/>
    </row>
    <row r="650">
      <c r="A650" s="56"/>
      <c r="B650" s="56"/>
      <c r="C650" s="56"/>
      <c r="D650" s="56"/>
      <c r="E650" s="56"/>
      <c r="F650" s="56"/>
      <c r="G650" s="56"/>
    </row>
    <row r="651">
      <c r="A651" s="56"/>
      <c r="B651" s="56"/>
      <c r="C651" s="56"/>
      <c r="D651" s="56"/>
      <c r="E651" s="56"/>
      <c r="F651" s="56"/>
      <c r="G651" s="56"/>
    </row>
    <row r="652">
      <c r="A652" s="56"/>
      <c r="B652" s="56"/>
      <c r="C652" s="56"/>
      <c r="D652" s="56"/>
      <c r="E652" s="56"/>
      <c r="F652" s="56"/>
      <c r="G652" s="56"/>
    </row>
    <row r="653">
      <c r="A653" s="56"/>
      <c r="B653" s="56"/>
      <c r="C653" s="56"/>
      <c r="D653" s="56"/>
      <c r="E653" s="56"/>
      <c r="F653" s="56"/>
      <c r="G653" s="56"/>
    </row>
    <row r="654">
      <c r="A654" s="56"/>
      <c r="B654" s="56"/>
      <c r="C654" s="56"/>
      <c r="D654" s="56"/>
      <c r="E654" s="56"/>
      <c r="F654" s="56"/>
      <c r="G654" s="56"/>
    </row>
    <row r="655">
      <c r="A655" s="56"/>
      <c r="B655" s="56"/>
      <c r="C655" s="56"/>
      <c r="D655" s="56"/>
      <c r="E655" s="56"/>
      <c r="F655" s="56"/>
      <c r="G655" s="56"/>
    </row>
    <row r="656">
      <c r="A656" s="56"/>
      <c r="B656" s="56"/>
      <c r="C656" s="56"/>
      <c r="D656" s="56"/>
      <c r="E656" s="56"/>
      <c r="F656" s="56"/>
      <c r="G656" s="56"/>
    </row>
    <row r="657">
      <c r="A657" s="56"/>
      <c r="B657" s="56"/>
      <c r="C657" s="56"/>
      <c r="D657" s="56"/>
      <c r="E657" s="56"/>
      <c r="F657" s="56"/>
      <c r="G657" s="56"/>
    </row>
    <row r="658">
      <c r="A658" s="56"/>
      <c r="B658" s="56"/>
      <c r="C658" s="56"/>
      <c r="D658" s="56"/>
      <c r="E658" s="56"/>
      <c r="F658" s="56"/>
      <c r="G658" s="56"/>
    </row>
    <row r="659">
      <c r="A659" s="56"/>
      <c r="B659" s="56"/>
      <c r="C659" s="56"/>
      <c r="D659" s="56"/>
      <c r="E659" s="56"/>
      <c r="F659" s="56"/>
      <c r="G659" s="56"/>
    </row>
    <row r="660">
      <c r="A660" s="56"/>
      <c r="B660" s="56"/>
      <c r="C660" s="56"/>
      <c r="D660" s="56"/>
      <c r="E660" s="56"/>
      <c r="F660" s="56"/>
      <c r="G660" s="56"/>
    </row>
    <row r="661">
      <c r="A661" s="56"/>
      <c r="B661" s="56"/>
      <c r="C661" s="56"/>
      <c r="D661" s="56"/>
      <c r="E661" s="56"/>
      <c r="F661" s="56"/>
      <c r="G661" s="56"/>
    </row>
    <row r="662">
      <c r="A662" s="56"/>
      <c r="B662" s="56"/>
      <c r="C662" s="56"/>
      <c r="D662" s="56"/>
      <c r="E662" s="56"/>
      <c r="F662" s="56"/>
      <c r="G662" s="56"/>
    </row>
    <row r="663">
      <c r="A663" s="56"/>
      <c r="B663" s="56"/>
      <c r="C663" s="56"/>
      <c r="D663" s="56"/>
      <c r="E663" s="56"/>
      <c r="F663" s="56"/>
      <c r="G663" s="56"/>
    </row>
    <row r="664">
      <c r="A664" s="56"/>
      <c r="B664" s="56"/>
      <c r="C664" s="56"/>
      <c r="D664" s="56"/>
      <c r="E664" s="56"/>
      <c r="F664" s="56"/>
      <c r="G664" s="56"/>
    </row>
    <row r="665">
      <c r="A665" s="56"/>
      <c r="B665" s="56"/>
      <c r="C665" s="56"/>
      <c r="D665" s="56"/>
      <c r="E665" s="56"/>
      <c r="F665" s="56"/>
      <c r="G665" s="56"/>
    </row>
    <row r="666">
      <c r="A666" s="56"/>
      <c r="B666" s="56"/>
      <c r="C666" s="56"/>
      <c r="D666" s="56"/>
      <c r="E666" s="56"/>
      <c r="F666" s="56"/>
      <c r="G666" s="56"/>
    </row>
    <row r="667">
      <c r="A667" s="56"/>
      <c r="B667" s="56"/>
      <c r="C667" s="56"/>
      <c r="D667" s="56"/>
      <c r="E667" s="56"/>
      <c r="F667" s="56"/>
      <c r="G667" s="56"/>
    </row>
    <row r="668">
      <c r="A668" s="56"/>
      <c r="B668" s="56"/>
      <c r="C668" s="56"/>
      <c r="D668" s="56"/>
      <c r="E668" s="56"/>
      <c r="F668" s="56"/>
      <c r="G668" s="56"/>
    </row>
    <row r="669">
      <c r="A669" s="56"/>
      <c r="B669" s="56"/>
      <c r="C669" s="56"/>
      <c r="D669" s="56"/>
      <c r="E669" s="56"/>
      <c r="F669" s="56"/>
      <c r="G669" s="56"/>
    </row>
    <row r="670">
      <c r="A670" s="56"/>
      <c r="B670" s="56"/>
      <c r="C670" s="56"/>
      <c r="D670" s="56"/>
      <c r="E670" s="56"/>
      <c r="F670" s="56"/>
      <c r="G670" s="56"/>
    </row>
    <row r="671">
      <c r="A671" s="56"/>
      <c r="B671" s="56"/>
      <c r="C671" s="56"/>
      <c r="D671" s="56"/>
      <c r="E671" s="56"/>
      <c r="F671" s="56"/>
      <c r="G671" s="56"/>
    </row>
    <row r="672">
      <c r="A672" s="56"/>
      <c r="B672" s="56"/>
      <c r="C672" s="56"/>
      <c r="D672" s="56"/>
      <c r="E672" s="56"/>
      <c r="F672" s="56"/>
      <c r="G672" s="56"/>
    </row>
    <row r="673">
      <c r="A673" s="56"/>
      <c r="B673" s="56"/>
      <c r="C673" s="56"/>
      <c r="D673" s="56"/>
      <c r="E673" s="56"/>
      <c r="F673" s="56"/>
      <c r="G673" s="56"/>
    </row>
    <row r="674">
      <c r="A674" s="56"/>
      <c r="B674" s="56"/>
      <c r="C674" s="56"/>
      <c r="D674" s="56"/>
      <c r="E674" s="56"/>
      <c r="F674" s="56"/>
      <c r="G674" s="56"/>
    </row>
    <row r="675">
      <c r="A675" s="56"/>
      <c r="B675" s="56"/>
      <c r="C675" s="56"/>
      <c r="D675" s="56"/>
      <c r="E675" s="56"/>
      <c r="F675" s="56"/>
      <c r="G675" s="56"/>
    </row>
    <row r="676">
      <c r="A676" s="56"/>
      <c r="B676" s="56"/>
      <c r="C676" s="56"/>
      <c r="D676" s="56"/>
      <c r="E676" s="56"/>
      <c r="F676" s="56"/>
      <c r="G676" s="56"/>
    </row>
    <row r="677">
      <c r="A677" s="56"/>
      <c r="B677" s="56"/>
      <c r="C677" s="56"/>
      <c r="D677" s="56"/>
      <c r="E677" s="56"/>
      <c r="F677" s="56"/>
      <c r="G677" s="56"/>
    </row>
    <row r="678">
      <c r="A678" s="56"/>
      <c r="B678" s="56"/>
      <c r="C678" s="56"/>
      <c r="D678" s="56"/>
      <c r="E678" s="56"/>
      <c r="F678" s="56"/>
      <c r="G678" s="56"/>
    </row>
    <row r="679">
      <c r="A679" s="56"/>
      <c r="B679" s="56"/>
      <c r="C679" s="56"/>
      <c r="D679" s="56"/>
      <c r="E679" s="56"/>
      <c r="F679" s="56"/>
      <c r="G679" s="56"/>
    </row>
    <row r="680">
      <c r="A680" s="56"/>
      <c r="B680" s="56"/>
      <c r="C680" s="56"/>
      <c r="D680" s="56"/>
      <c r="E680" s="56"/>
      <c r="F680" s="56"/>
      <c r="G680" s="56"/>
    </row>
    <row r="681">
      <c r="A681" s="56"/>
      <c r="B681" s="56"/>
      <c r="C681" s="56"/>
      <c r="D681" s="56"/>
      <c r="E681" s="56"/>
      <c r="F681" s="56"/>
      <c r="G681" s="56"/>
    </row>
    <row r="682">
      <c r="A682" s="56"/>
      <c r="B682" s="56"/>
      <c r="C682" s="56"/>
      <c r="D682" s="56"/>
      <c r="E682" s="56"/>
      <c r="F682" s="56"/>
      <c r="G682" s="56"/>
    </row>
    <row r="683">
      <c r="A683" s="56"/>
      <c r="B683" s="56"/>
      <c r="C683" s="56"/>
      <c r="D683" s="56"/>
      <c r="E683" s="56"/>
      <c r="F683" s="56"/>
      <c r="G683" s="56"/>
    </row>
    <row r="684">
      <c r="A684" s="56"/>
      <c r="B684" s="56"/>
      <c r="C684" s="56"/>
      <c r="D684" s="56"/>
      <c r="E684" s="56"/>
      <c r="F684" s="56"/>
      <c r="G684" s="56"/>
    </row>
    <row r="685">
      <c r="A685" s="56"/>
      <c r="B685" s="56"/>
      <c r="C685" s="56"/>
      <c r="D685" s="56"/>
      <c r="E685" s="56"/>
      <c r="F685" s="56"/>
      <c r="G685" s="56"/>
    </row>
    <row r="686">
      <c r="A686" s="56"/>
      <c r="B686" s="56"/>
      <c r="C686" s="56"/>
      <c r="D686" s="56"/>
      <c r="E686" s="56"/>
      <c r="F686" s="56"/>
      <c r="G686" s="56"/>
    </row>
    <row r="687">
      <c r="A687" s="56"/>
      <c r="B687" s="56"/>
      <c r="C687" s="56"/>
      <c r="D687" s="56"/>
      <c r="E687" s="56"/>
      <c r="F687" s="56"/>
      <c r="G687" s="56"/>
    </row>
    <row r="688">
      <c r="A688" s="56"/>
      <c r="B688" s="56"/>
      <c r="C688" s="56"/>
      <c r="D688" s="56"/>
      <c r="E688" s="56"/>
      <c r="F688" s="56"/>
      <c r="G688" s="56"/>
    </row>
    <row r="689">
      <c r="A689" s="56"/>
      <c r="B689" s="56"/>
      <c r="C689" s="56"/>
      <c r="D689" s="56"/>
      <c r="E689" s="56"/>
      <c r="F689" s="56"/>
      <c r="G689" s="56"/>
    </row>
    <row r="690">
      <c r="A690" s="56"/>
      <c r="B690" s="56"/>
      <c r="C690" s="56"/>
      <c r="D690" s="56"/>
      <c r="E690" s="56"/>
      <c r="F690" s="56"/>
      <c r="G690" s="56"/>
    </row>
    <row r="691">
      <c r="A691" s="56"/>
      <c r="B691" s="56"/>
      <c r="C691" s="56"/>
      <c r="D691" s="56"/>
      <c r="E691" s="56"/>
      <c r="F691" s="56"/>
      <c r="G691" s="56"/>
    </row>
    <row r="692">
      <c r="A692" s="56"/>
      <c r="B692" s="56"/>
      <c r="C692" s="56"/>
      <c r="D692" s="56"/>
      <c r="E692" s="56"/>
      <c r="F692" s="56"/>
      <c r="G692" s="56"/>
    </row>
    <row r="693">
      <c r="A693" s="56"/>
      <c r="B693" s="56"/>
      <c r="C693" s="56"/>
      <c r="D693" s="56"/>
      <c r="E693" s="56"/>
      <c r="F693" s="56"/>
      <c r="G693" s="56"/>
    </row>
    <row r="694">
      <c r="A694" s="56"/>
      <c r="B694" s="56"/>
      <c r="C694" s="56"/>
      <c r="D694" s="56"/>
      <c r="E694" s="56"/>
      <c r="F694" s="56"/>
      <c r="G694" s="56"/>
    </row>
    <row r="695">
      <c r="A695" s="56"/>
      <c r="B695" s="56"/>
      <c r="C695" s="56"/>
      <c r="D695" s="56"/>
      <c r="E695" s="56"/>
      <c r="F695" s="56"/>
      <c r="G695" s="56"/>
    </row>
    <row r="696">
      <c r="A696" s="56"/>
      <c r="B696" s="56"/>
      <c r="C696" s="56"/>
      <c r="D696" s="56"/>
      <c r="E696" s="56"/>
      <c r="F696" s="56"/>
      <c r="G696" s="56"/>
    </row>
    <row r="697">
      <c r="A697" s="56"/>
      <c r="B697" s="56"/>
      <c r="C697" s="56"/>
      <c r="D697" s="56"/>
      <c r="E697" s="56"/>
      <c r="F697" s="56"/>
      <c r="G697" s="56"/>
    </row>
    <row r="698">
      <c r="A698" s="56"/>
      <c r="B698" s="56"/>
      <c r="C698" s="56"/>
      <c r="D698" s="56"/>
      <c r="E698" s="56"/>
      <c r="F698" s="56"/>
      <c r="G698" s="56"/>
    </row>
    <row r="699">
      <c r="A699" s="56"/>
      <c r="B699" s="56"/>
      <c r="C699" s="56"/>
      <c r="D699" s="56"/>
      <c r="E699" s="56"/>
      <c r="F699" s="56"/>
      <c r="G699" s="56"/>
    </row>
    <row r="700">
      <c r="A700" s="56"/>
      <c r="B700" s="56"/>
      <c r="C700" s="56"/>
      <c r="D700" s="56"/>
      <c r="E700" s="56"/>
      <c r="F700" s="56"/>
      <c r="G700" s="56"/>
    </row>
    <row r="701">
      <c r="A701" s="56"/>
      <c r="B701" s="56"/>
      <c r="C701" s="56"/>
      <c r="D701" s="56"/>
      <c r="E701" s="56"/>
      <c r="F701" s="56"/>
      <c r="G701" s="56"/>
    </row>
    <row r="702">
      <c r="A702" s="56"/>
      <c r="B702" s="56"/>
      <c r="C702" s="56"/>
      <c r="D702" s="56"/>
      <c r="E702" s="56"/>
      <c r="F702" s="56"/>
      <c r="G702" s="56"/>
    </row>
    <row r="703">
      <c r="A703" s="56"/>
      <c r="B703" s="56"/>
      <c r="C703" s="56"/>
      <c r="D703" s="56"/>
      <c r="E703" s="56"/>
      <c r="F703" s="56"/>
      <c r="G703" s="56"/>
    </row>
    <row r="704">
      <c r="A704" s="56"/>
      <c r="B704" s="56"/>
      <c r="C704" s="56"/>
      <c r="D704" s="56"/>
      <c r="E704" s="56"/>
      <c r="F704" s="56"/>
      <c r="G704" s="56"/>
    </row>
    <row r="705">
      <c r="A705" s="56"/>
      <c r="B705" s="56"/>
      <c r="C705" s="56"/>
      <c r="D705" s="56"/>
      <c r="E705" s="56"/>
      <c r="F705" s="56"/>
      <c r="G705" s="56"/>
    </row>
    <row r="706">
      <c r="A706" s="56"/>
      <c r="B706" s="56"/>
      <c r="C706" s="56"/>
      <c r="D706" s="56"/>
      <c r="E706" s="56"/>
      <c r="F706" s="56"/>
      <c r="G706" s="56"/>
    </row>
    <row r="707">
      <c r="A707" s="56"/>
      <c r="B707" s="56"/>
      <c r="C707" s="56"/>
      <c r="D707" s="56"/>
      <c r="E707" s="56"/>
      <c r="F707" s="56"/>
      <c r="G707" s="56"/>
    </row>
    <row r="708">
      <c r="A708" s="56"/>
      <c r="B708" s="56"/>
      <c r="C708" s="56"/>
      <c r="D708" s="56"/>
      <c r="E708" s="56"/>
      <c r="F708" s="56"/>
      <c r="G708" s="56"/>
    </row>
    <row r="709">
      <c r="A709" s="56"/>
      <c r="B709" s="56"/>
      <c r="C709" s="56"/>
      <c r="D709" s="56"/>
      <c r="E709" s="56"/>
      <c r="F709" s="56"/>
      <c r="G709" s="56"/>
    </row>
    <row r="710">
      <c r="A710" s="56"/>
      <c r="B710" s="56"/>
      <c r="C710" s="56"/>
      <c r="D710" s="56"/>
      <c r="E710" s="56"/>
      <c r="F710" s="56"/>
      <c r="G710" s="56"/>
    </row>
    <row r="711">
      <c r="A711" s="56"/>
      <c r="B711" s="56"/>
      <c r="C711" s="56"/>
      <c r="D711" s="56"/>
      <c r="E711" s="56"/>
      <c r="F711" s="56"/>
      <c r="G711" s="56"/>
    </row>
    <row r="712">
      <c r="A712" s="56"/>
      <c r="B712" s="56"/>
      <c r="C712" s="56"/>
      <c r="D712" s="56"/>
      <c r="E712" s="56"/>
      <c r="F712" s="56"/>
      <c r="G712" s="56"/>
    </row>
    <row r="713">
      <c r="A713" s="56"/>
      <c r="B713" s="56"/>
      <c r="C713" s="56"/>
      <c r="D713" s="56"/>
      <c r="E713" s="56"/>
      <c r="F713" s="56"/>
      <c r="G713" s="56"/>
    </row>
    <row r="714">
      <c r="A714" s="56"/>
      <c r="B714" s="56"/>
      <c r="C714" s="56"/>
      <c r="D714" s="56"/>
      <c r="E714" s="56"/>
      <c r="F714" s="56"/>
      <c r="G714" s="56"/>
    </row>
    <row r="715">
      <c r="A715" s="56"/>
      <c r="B715" s="56"/>
      <c r="C715" s="56"/>
      <c r="D715" s="56"/>
      <c r="E715" s="56"/>
      <c r="F715" s="56"/>
      <c r="G715" s="56"/>
    </row>
    <row r="716">
      <c r="A716" s="56"/>
      <c r="B716" s="56"/>
      <c r="C716" s="56"/>
      <c r="D716" s="56"/>
      <c r="E716" s="56"/>
      <c r="F716" s="56"/>
      <c r="G716" s="56"/>
    </row>
    <row r="717">
      <c r="A717" s="56"/>
      <c r="B717" s="56"/>
      <c r="C717" s="56"/>
      <c r="D717" s="56"/>
      <c r="E717" s="56"/>
      <c r="F717" s="56"/>
      <c r="G717" s="56"/>
    </row>
    <row r="718">
      <c r="A718" s="56"/>
      <c r="B718" s="56"/>
      <c r="C718" s="56"/>
      <c r="D718" s="56"/>
      <c r="E718" s="56"/>
      <c r="F718" s="56"/>
      <c r="G718" s="56"/>
    </row>
    <row r="719">
      <c r="A719" s="56"/>
      <c r="B719" s="56"/>
      <c r="C719" s="56"/>
      <c r="D719" s="56"/>
      <c r="E719" s="56"/>
      <c r="F719" s="56"/>
      <c r="G719" s="56"/>
    </row>
    <row r="720">
      <c r="A720" s="56"/>
      <c r="B720" s="56"/>
      <c r="C720" s="56"/>
      <c r="D720" s="56"/>
      <c r="E720" s="56"/>
      <c r="F720" s="56"/>
      <c r="G720" s="56"/>
    </row>
    <row r="721">
      <c r="A721" s="56"/>
      <c r="B721" s="56"/>
      <c r="C721" s="56"/>
      <c r="D721" s="56"/>
      <c r="E721" s="56"/>
      <c r="F721" s="56"/>
      <c r="G721" s="56"/>
    </row>
    <row r="722">
      <c r="A722" s="56"/>
      <c r="B722" s="56"/>
      <c r="C722" s="56"/>
      <c r="D722" s="56"/>
      <c r="E722" s="56"/>
      <c r="F722" s="56"/>
      <c r="G722" s="56"/>
    </row>
    <row r="723">
      <c r="A723" s="56"/>
      <c r="B723" s="56"/>
      <c r="C723" s="56"/>
      <c r="D723" s="56"/>
      <c r="E723" s="56"/>
      <c r="F723" s="56"/>
      <c r="G723" s="56"/>
    </row>
    <row r="724">
      <c r="A724" s="56"/>
      <c r="B724" s="56"/>
      <c r="C724" s="56"/>
      <c r="D724" s="56"/>
      <c r="E724" s="56"/>
      <c r="F724" s="56"/>
      <c r="G724" s="56"/>
    </row>
    <row r="725">
      <c r="A725" s="56"/>
      <c r="B725" s="56"/>
      <c r="C725" s="56"/>
      <c r="D725" s="56"/>
      <c r="E725" s="56"/>
      <c r="F725" s="56"/>
      <c r="G725" s="56"/>
    </row>
    <row r="726">
      <c r="A726" s="56"/>
      <c r="B726" s="56"/>
      <c r="C726" s="56"/>
      <c r="D726" s="56"/>
      <c r="E726" s="56"/>
      <c r="F726" s="56"/>
      <c r="G726" s="56"/>
    </row>
    <row r="727">
      <c r="A727" s="56"/>
      <c r="B727" s="56"/>
      <c r="C727" s="56"/>
      <c r="D727" s="56"/>
      <c r="E727" s="56"/>
      <c r="F727" s="56"/>
      <c r="G727" s="56"/>
    </row>
    <row r="728">
      <c r="A728" s="56"/>
      <c r="B728" s="56"/>
      <c r="C728" s="56"/>
      <c r="D728" s="56"/>
      <c r="E728" s="56"/>
      <c r="F728" s="56"/>
      <c r="G728" s="56"/>
    </row>
    <row r="729">
      <c r="A729" s="56"/>
      <c r="B729" s="56"/>
      <c r="C729" s="56"/>
      <c r="D729" s="56"/>
      <c r="E729" s="56"/>
      <c r="F729" s="56"/>
      <c r="G729" s="56"/>
    </row>
    <row r="730">
      <c r="A730" s="56"/>
      <c r="B730" s="56"/>
      <c r="C730" s="56"/>
      <c r="D730" s="56"/>
      <c r="E730" s="56"/>
      <c r="F730" s="56"/>
      <c r="G730" s="56"/>
    </row>
    <row r="731">
      <c r="A731" s="56"/>
      <c r="B731" s="56"/>
      <c r="C731" s="56"/>
      <c r="D731" s="56"/>
      <c r="E731" s="56"/>
      <c r="F731" s="56"/>
      <c r="G731" s="56"/>
    </row>
    <row r="732">
      <c r="A732" s="56"/>
      <c r="B732" s="56"/>
      <c r="C732" s="56"/>
      <c r="D732" s="56"/>
      <c r="E732" s="56"/>
      <c r="F732" s="56"/>
      <c r="G732" s="56"/>
    </row>
    <row r="733">
      <c r="A733" s="56"/>
      <c r="B733" s="56"/>
      <c r="C733" s="56"/>
      <c r="D733" s="56"/>
      <c r="E733" s="56"/>
      <c r="F733" s="56"/>
      <c r="G733" s="56"/>
    </row>
    <row r="734">
      <c r="A734" s="56"/>
      <c r="B734" s="56"/>
      <c r="C734" s="56"/>
      <c r="D734" s="56"/>
      <c r="E734" s="56"/>
      <c r="F734" s="56"/>
      <c r="G734" s="56"/>
    </row>
    <row r="735">
      <c r="A735" s="56"/>
      <c r="B735" s="56"/>
      <c r="C735" s="56"/>
      <c r="D735" s="56"/>
      <c r="E735" s="56"/>
      <c r="F735" s="56"/>
      <c r="G735" s="56"/>
    </row>
    <row r="736">
      <c r="A736" s="56"/>
      <c r="B736" s="56"/>
      <c r="C736" s="56"/>
      <c r="D736" s="56"/>
      <c r="E736" s="56"/>
      <c r="F736" s="56"/>
      <c r="G736" s="56"/>
    </row>
    <row r="737">
      <c r="A737" s="56"/>
      <c r="B737" s="56"/>
      <c r="C737" s="56"/>
      <c r="D737" s="56"/>
      <c r="E737" s="56"/>
      <c r="F737" s="56"/>
      <c r="G737" s="56"/>
    </row>
    <row r="738">
      <c r="A738" s="56"/>
      <c r="B738" s="56"/>
      <c r="C738" s="56"/>
      <c r="D738" s="56"/>
      <c r="E738" s="56"/>
      <c r="F738" s="56"/>
      <c r="G738" s="56"/>
    </row>
    <row r="739">
      <c r="A739" s="56"/>
      <c r="B739" s="56"/>
      <c r="C739" s="56"/>
      <c r="D739" s="56"/>
      <c r="E739" s="56"/>
      <c r="F739" s="56"/>
      <c r="G739" s="56"/>
    </row>
    <row r="740">
      <c r="A740" s="56"/>
      <c r="B740" s="56"/>
      <c r="C740" s="56"/>
      <c r="D740" s="56"/>
      <c r="E740" s="56"/>
      <c r="F740" s="56"/>
      <c r="G740" s="56"/>
    </row>
    <row r="741">
      <c r="A741" s="56"/>
      <c r="B741" s="56"/>
      <c r="C741" s="56"/>
      <c r="D741" s="56"/>
      <c r="E741" s="56"/>
      <c r="F741" s="56"/>
      <c r="G741" s="56"/>
    </row>
    <row r="742">
      <c r="A742" s="56"/>
      <c r="B742" s="56"/>
      <c r="C742" s="56"/>
      <c r="D742" s="56"/>
      <c r="E742" s="56"/>
      <c r="F742" s="56"/>
      <c r="G742" s="56"/>
    </row>
    <row r="743">
      <c r="A743" s="56"/>
      <c r="B743" s="56"/>
      <c r="C743" s="56"/>
      <c r="D743" s="56"/>
      <c r="E743" s="56"/>
      <c r="F743" s="56"/>
      <c r="G743" s="56"/>
    </row>
    <row r="744">
      <c r="A744" s="56"/>
      <c r="B744" s="56"/>
      <c r="C744" s="56"/>
      <c r="D744" s="56"/>
      <c r="E744" s="56"/>
      <c r="F744" s="56"/>
      <c r="G744" s="56"/>
    </row>
    <row r="745">
      <c r="A745" s="56"/>
      <c r="B745" s="56"/>
      <c r="C745" s="56"/>
      <c r="D745" s="56"/>
      <c r="E745" s="56"/>
      <c r="F745" s="56"/>
      <c r="G745" s="56"/>
    </row>
    <row r="746">
      <c r="A746" s="56"/>
      <c r="B746" s="56"/>
      <c r="C746" s="56"/>
      <c r="D746" s="56"/>
      <c r="E746" s="56"/>
      <c r="F746" s="56"/>
      <c r="G746" s="56"/>
    </row>
    <row r="747">
      <c r="A747" s="56"/>
      <c r="B747" s="56"/>
      <c r="C747" s="56"/>
      <c r="D747" s="56"/>
      <c r="E747" s="56"/>
      <c r="F747" s="56"/>
      <c r="G747" s="56"/>
    </row>
    <row r="748">
      <c r="A748" s="56"/>
      <c r="B748" s="56"/>
      <c r="C748" s="56"/>
      <c r="D748" s="56"/>
      <c r="E748" s="56"/>
      <c r="F748" s="56"/>
      <c r="G748" s="56"/>
    </row>
    <row r="749">
      <c r="A749" s="56"/>
      <c r="B749" s="56"/>
      <c r="C749" s="56"/>
      <c r="D749" s="56"/>
      <c r="E749" s="56"/>
      <c r="F749" s="56"/>
      <c r="G749" s="56"/>
    </row>
    <row r="750">
      <c r="A750" s="56"/>
      <c r="B750" s="56"/>
      <c r="C750" s="56"/>
      <c r="D750" s="56"/>
      <c r="E750" s="56"/>
      <c r="F750" s="56"/>
      <c r="G750" s="56"/>
    </row>
    <row r="751">
      <c r="A751" s="56"/>
      <c r="B751" s="56"/>
      <c r="C751" s="56"/>
      <c r="D751" s="56"/>
      <c r="E751" s="56"/>
      <c r="F751" s="56"/>
      <c r="G751" s="56"/>
    </row>
    <row r="752">
      <c r="A752" s="56"/>
      <c r="B752" s="56"/>
      <c r="C752" s="56"/>
      <c r="D752" s="56"/>
      <c r="E752" s="56"/>
      <c r="F752" s="56"/>
      <c r="G752" s="56"/>
    </row>
    <row r="753">
      <c r="A753" s="56"/>
      <c r="B753" s="56"/>
      <c r="C753" s="56"/>
      <c r="D753" s="56"/>
      <c r="E753" s="56"/>
      <c r="F753" s="56"/>
      <c r="G753" s="56"/>
    </row>
    <row r="754">
      <c r="A754" s="56"/>
      <c r="B754" s="56"/>
      <c r="C754" s="56"/>
      <c r="D754" s="56"/>
      <c r="E754" s="56"/>
      <c r="F754" s="56"/>
      <c r="G754" s="56"/>
    </row>
    <row r="755">
      <c r="A755" s="56"/>
      <c r="B755" s="56"/>
      <c r="C755" s="56"/>
      <c r="D755" s="56"/>
      <c r="E755" s="56"/>
      <c r="F755" s="56"/>
      <c r="G755" s="56"/>
    </row>
    <row r="756">
      <c r="A756" s="56"/>
      <c r="B756" s="56"/>
      <c r="C756" s="56"/>
      <c r="D756" s="56"/>
      <c r="E756" s="56"/>
      <c r="F756" s="56"/>
      <c r="G756" s="56"/>
    </row>
    <row r="757">
      <c r="A757" s="56"/>
      <c r="B757" s="56"/>
      <c r="C757" s="56"/>
      <c r="D757" s="56"/>
      <c r="E757" s="56"/>
      <c r="F757" s="56"/>
      <c r="G757" s="56"/>
    </row>
    <row r="758">
      <c r="A758" s="56"/>
      <c r="B758" s="56"/>
      <c r="C758" s="56"/>
      <c r="D758" s="56"/>
      <c r="E758" s="56"/>
      <c r="F758" s="56"/>
      <c r="G758" s="56"/>
    </row>
    <row r="759">
      <c r="A759" s="56"/>
      <c r="B759" s="56"/>
      <c r="C759" s="56"/>
      <c r="D759" s="56"/>
      <c r="E759" s="56"/>
      <c r="F759" s="56"/>
      <c r="G759" s="56"/>
    </row>
    <row r="760">
      <c r="A760" s="56"/>
      <c r="B760" s="56"/>
      <c r="C760" s="56"/>
      <c r="D760" s="56"/>
      <c r="E760" s="56"/>
      <c r="F760" s="56"/>
      <c r="G760" s="56"/>
    </row>
    <row r="761">
      <c r="A761" s="56"/>
      <c r="B761" s="56"/>
      <c r="C761" s="56"/>
      <c r="D761" s="56"/>
      <c r="E761" s="56"/>
      <c r="F761" s="56"/>
      <c r="G761" s="56"/>
    </row>
    <row r="762">
      <c r="A762" s="56"/>
      <c r="B762" s="56"/>
      <c r="C762" s="56"/>
      <c r="D762" s="56"/>
      <c r="E762" s="56"/>
      <c r="F762" s="56"/>
      <c r="G762" s="56"/>
    </row>
    <row r="763">
      <c r="A763" s="56"/>
      <c r="B763" s="56"/>
      <c r="C763" s="56"/>
      <c r="D763" s="56"/>
      <c r="E763" s="56"/>
      <c r="F763" s="56"/>
      <c r="G763" s="56"/>
    </row>
    <row r="764">
      <c r="A764" s="56"/>
      <c r="B764" s="56"/>
      <c r="C764" s="56"/>
      <c r="D764" s="56"/>
      <c r="E764" s="56"/>
      <c r="F764" s="56"/>
      <c r="G764" s="56"/>
    </row>
    <row r="765">
      <c r="A765" s="56"/>
      <c r="B765" s="56"/>
      <c r="C765" s="56"/>
      <c r="D765" s="56"/>
      <c r="E765" s="56"/>
      <c r="F765" s="56"/>
      <c r="G765" s="56"/>
    </row>
    <row r="766">
      <c r="A766" s="56"/>
      <c r="B766" s="56"/>
      <c r="C766" s="56"/>
      <c r="D766" s="56"/>
      <c r="E766" s="56"/>
      <c r="F766" s="56"/>
      <c r="G766" s="56"/>
    </row>
    <row r="767">
      <c r="A767" s="56"/>
      <c r="B767" s="56"/>
      <c r="C767" s="56"/>
      <c r="D767" s="56"/>
      <c r="E767" s="56"/>
      <c r="F767" s="56"/>
      <c r="G767" s="56"/>
    </row>
    <row r="768">
      <c r="A768" s="56"/>
      <c r="B768" s="56"/>
      <c r="C768" s="56"/>
      <c r="D768" s="56"/>
      <c r="E768" s="56"/>
      <c r="F768" s="56"/>
      <c r="G768" s="56"/>
    </row>
    <row r="769">
      <c r="A769" s="56"/>
      <c r="B769" s="56"/>
      <c r="C769" s="56"/>
      <c r="D769" s="56"/>
      <c r="E769" s="56"/>
      <c r="F769" s="56"/>
      <c r="G769" s="56"/>
    </row>
    <row r="770">
      <c r="A770" s="56"/>
      <c r="B770" s="56"/>
      <c r="C770" s="56"/>
      <c r="D770" s="56"/>
      <c r="E770" s="56"/>
      <c r="F770" s="56"/>
      <c r="G770" s="56"/>
    </row>
    <row r="771">
      <c r="A771" s="56"/>
      <c r="B771" s="56"/>
      <c r="C771" s="56"/>
      <c r="D771" s="56"/>
      <c r="E771" s="56"/>
      <c r="F771" s="56"/>
      <c r="G771" s="56"/>
    </row>
    <row r="772">
      <c r="A772" s="56"/>
      <c r="B772" s="56"/>
      <c r="C772" s="56"/>
      <c r="D772" s="56"/>
      <c r="E772" s="56"/>
      <c r="F772" s="56"/>
      <c r="G772" s="56"/>
    </row>
    <row r="773">
      <c r="A773" s="56"/>
      <c r="B773" s="56"/>
      <c r="C773" s="56"/>
      <c r="D773" s="56"/>
      <c r="E773" s="56"/>
      <c r="F773" s="56"/>
      <c r="G773" s="56"/>
    </row>
    <row r="774">
      <c r="A774" s="56"/>
      <c r="B774" s="56"/>
      <c r="C774" s="56"/>
      <c r="D774" s="56"/>
      <c r="E774" s="56"/>
      <c r="F774" s="56"/>
      <c r="G774" s="56"/>
    </row>
    <row r="775">
      <c r="A775" s="56"/>
      <c r="B775" s="56"/>
      <c r="C775" s="56"/>
      <c r="D775" s="56"/>
      <c r="E775" s="56"/>
      <c r="F775" s="56"/>
      <c r="G775" s="56"/>
    </row>
    <row r="776">
      <c r="A776" s="56"/>
      <c r="B776" s="56"/>
      <c r="C776" s="56"/>
      <c r="D776" s="56"/>
      <c r="E776" s="56"/>
      <c r="F776" s="56"/>
      <c r="G776" s="56"/>
    </row>
    <row r="777">
      <c r="A777" s="56"/>
      <c r="B777" s="56"/>
      <c r="C777" s="56"/>
      <c r="D777" s="56"/>
      <c r="E777" s="56"/>
      <c r="F777" s="56"/>
      <c r="G777" s="56"/>
    </row>
    <row r="778">
      <c r="A778" s="56"/>
      <c r="B778" s="56"/>
      <c r="C778" s="56"/>
      <c r="D778" s="56"/>
      <c r="E778" s="56"/>
      <c r="F778" s="56"/>
      <c r="G778" s="56"/>
    </row>
    <row r="779">
      <c r="A779" s="56"/>
      <c r="B779" s="56"/>
      <c r="C779" s="56"/>
      <c r="D779" s="56"/>
      <c r="E779" s="56"/>
      <c r="F779" s="56"/>
      <c r="G779" s="56"/>
    </row>
    <row r="780">
      <c r="A780" s="56"/>
      <c r="B780" s="56"/>
      <c r="C780" s="56"/>
      <c r="D780" s="56"/>
      <c r="E780" s="56"/>
      <c r="F780" s="56"/>
      <c r="G780" s="56"/>
    </row>
    <row r="781">
      <c r="A781" s="56"/>
      <c r="B781" s="56"/>
      <c r="C781" s="56"/>
      <c r="D781" s="56"/>
      <c r="E781" s="56"/>
      <c r="F781" s="56"/>
      <c r="G781" s="56"/>
    </row>
    <row r="782">
      <c r="A782" s="56"/>
      <c r="B782" s="56"/>
      <c r="C782" s="56"/>
      <c r="D782" s="56"/>
      <c r="E782" s="56"/>
      <c r="F782" s="56"/>
      <c r="G782" s="56"/>
    </row>
    <row r="783">
      <c r="A783" s="56"/>
      <c r="B783" s="56"/>
      <c r="C783" s="56"/>
      <c r="D783" s="56"/>
      <c r="E783" s="56"/>
      <c r="F783" s="56"/>
      <c r="G783" s="56"/>
    </row>
    <row r="784">
      <c r="A784" s="56"/>
      <c r="B784" s="56"/>
      <c r="C784" s="56"/>
      <c r="D784" s="56"/>
      <c r="E784" s="56"/>
      <c r="F784" s="56"/>
      <c r="G784" s="56"/>
    </row>
    <row r="785">
      <c r="A785" s="56"/>
      <c r="B785" s="56"/>
      <c r="C785" s="56"/>
      <c r="D785" s="56"/>
      <c r="E785" s="56"/>
      <c r="F785" s="56"/>
      <c r="G785" s="56"/>
    </row>
    <row r="786">
      <c r="A786" s="56"/>
      <c r="B786" s="56"/>
      <c r="C786" s="56"/>
      <c r="D786" s="56"/>
      <c r="E786" s="56"/>
      <c r="F786" s="56"/>
      <c r="G786" s="56"/>
    </row>
    <row r="787">
      <c r="A787" s="56"/>
      <c r="B787" s="56"/>
      <c r="C787" s="56"/>
      <c r="D787" s="56"/>
      <c r="E787" s="56"/>
      <c r="F787" s="56"/>
      <c r="G787" s="56"/>
    </row>
    <row r="788">
      <c r="A788" s="56"/>
      <c r="B788" s="56"/>
      <c r="C788" s="56"/>
      <c r="D788" s="56"/>
      <c r="E788" s="56"/>
      <c r="F788" s="56"/>
      <c r="G788" s="56"/>
    </row>
    <row r="789">
      <c r="A789" s="56"/>
      <c r="B789" s="56"/>
      <c r="C789" s="56"/>
      <c r="D789" s="56"/>
      <c r="E789" s="56"/>
      <c r="F789" s="56"/>
      <c r="G789" s="56"/>
    </row>
    <row r="790">
      <c r="A790" s="56"/>
      <c r="B790" s="56"/>
      <c r="C790" s="56"/>
      <c r="D790" s="56"/>
      <c r="E790" s="56"/>
      <c r="F790" s="56"/>
      <c r="G790" s="56"/>
    </row>
    <row r="791">
      <c r="A791" s="56"/>
      <c r="B791" s="56"/>
      <c r="C791" s="56"/>
      <c r="D791" s="56"/>
      <c r="E791" s="56"/>
      <c r="F791" s="56"/>
      <c r="G791" s="56"/>
    </row>
    <row r="792">
      <c r="A792" s="56"/>
      <c r="B792" s="56"/>
      <c r="C792" s="56"/>
      <c r="D792" s="56"/>
      <c r="E792" s="56"/>
      <c r="F792" s="56"/>
      <c r="G792" s="56"/>
    </row>
    <row r="793">
      <c r="A793" s="56"/>
      <c r="B793" s="56"/>
      <c r="C793" s="56"/>
      <c r="D793" s="56"/>
      <c r="E793" s="56"/>
      <c r="F793" s="56"/>
      <c r="G793" s="56"/>
    </row>
    <row r="794">
      <c r="A794" s="56"/>
      <c r="B794" s="56"/>
      <c r="C794" s="56"/>
      <c r="D794" s="56"/>
      <c r="E794" s="56"/>
      <c r="F794" s="56"/>
      <c r="G794" s="56"/>
    </row>
    <row r="795">
      <c r="A795" s="56"/>
      <c r="B795" s="56"/>
      <c r="C795" s="56"/>
      <c r="D795" s="56"/>
      <c r="E795" s="56"/>
      <c r="F795" s="56"/>
      <c r="G795" s="56"/>
    </row>
    <row r="796">
      <c r="A796" s="56"/>
      <c r="B796" s="56"/>
      <c r="C796" s="56"/>
      <c r="D796" s="56"/>
      <c r="E796" s="56"/>
      <c r="F796" s="56"/>
      <c r="G796" s="56"/>
    </row>
    <row r="797">
      <c r="A797" s="56"/>
      <c r="B797" s="56"/>
      <c r="C797" s="56"/>
      <c r="D797" s="56"/>
      <c r="E797" s="56"/>
      <c r="F797" s="56"/>
      <c r="G797" s="56"/>
    </row>
    <row r="798">
      <c r="A798" s="56"/>
      <c r="B798" s="56"/>
      <c r="C798" s="56"/>
      <c r="D798" s="56"/>
      <c r="E798" s="56"/>
      <c r="F798" s="56"/>
      <c r="G798" s="56"/>
    </row>
    <row r="799">
      <c r="A799" s="56"/>
      <c r="B799" s="56"/>
      <c r="C799" s="56"/>
      <c r="D799" s="56"/>
      <c r="E799" s="56"/>
      <c r="F799" s="56"/>
      <c r="G799" s="56"/>
    </row>
    <row r="800">
      <c r="A800" s="56"/>
      <c r="B800" s="56"/>
      <c r="C800" s="56"/>
      <c r="D800" s="56"/>
      <c r="E800" s="56"/>
      <c r="F800" s="56"/>
      <c r="G800" s="56"/>
    </row>
    <row r="801">
      <c r="A801" s="56"/>
      <c r="B801" s="56"/>
      <c r="C801" s="56"/>
      <c r="D801" s="56"/>
      <c r="E801" s="56"/>
      <c r="F801" s="56"/>
      <c r="G801" s="56"/>
    </row>
    <row r="802">
      <c r="A802" s="56"/>
      <c r="B802" s="56"/>
      <c r="C802" s="56"/>
      <c r="D802" s="56"/>
      <c r="E802" s="56"/>
      <c r="F802" s="56"/>
      <c r="G802" s="56"/>
    </row>
    <row r="803">
      <c r="A803" s="56"/>
      <c r="B803" s="56"/>
      <c r="C803" s="56"/>
      <c r="D803" s="56"/>
      <c r="E803" s="56"/>
      <c r="F803" s="56"/>
      <c r="G803" s="56"/>
    </row>
    <row r="804">
      <c r="A804" s="56"/>
      <c r="B804" s="56"/>
      <c r="C804" s="56"/>
      <c r="D804" s="56"/>
      <c r="E804" s="56"/>
      <c r="F804" s="56"/>
      <c r="G804" s="56"/>
    </row>
    <row r="805">
      <c r="A805" s="56"/>
      <c r="B805" s="56"/>
      <c r="C805" s="56"/>
      <c r="D805" s="56"/>
      <c r="E805" s="56"/>
      <c r="F805" s="56"/>
      <c r="G805" s="56"/>
    </row>
    <row r="806">
      <c r="A806" s="56"/>
      <c r="B806" s="56"/>
      <c r="C806" s="56"/>
      <c r="D806" s="56"/>
      <c r="E806" s="56"/>
      <c r="F806" s="56"/>
      <c r="G806" s="56"/>
    </row>
    <row r="807">
      <c r="A807" s="56"/>
      <c r="B807" s="56"/>
      <c r="C807" s="56"/>
      <c r="D807" s="56"/>
      <c r="E807" s="56"/>
      <c r="F807" s="56"/>
      <c r="G807" s="56"/>
    </row>
    <row r="808">
      <c r="A808" s="56"/>
      <c r="B808" s="56"/>
      <c r="C808" s="56"/>
      <c r="D808" s="56"/>
      <c r="E808" s="56"/>
      <c r="F808" s="56"/>
      <c r="G808" s="56"/>
    </row>
    <row r="809">
      <c r="A809" s="56"/>
      <c r="B809" s="56"/>
      <c r="C809" s="56"/>
      <c r="D809" s="56"/>
      <c r="E809" s="56"/>
      <c r="F809" s="56"/>
      <c r="G809" s="56"/>
    </row>
    <row r="810">
      <c r="A810" s="56"/>
      <c r="B810" s="56"/>
      <c r="C810" s="56"/>
      <c r="D810" s="56"/>
      <c r="E810" s="56"/>
      <c r="F810" s="56"/>
      <c r="G810" s="56"/>
    </row>
    <row r="811">
      <c r="A811" s="56"/>
      <c r="B811" s="56"/>
      <c r="C811" s="56"/>
      <c r="D811" s="56"/>
      <c r="E811" s="56"/>
      <c r="F811" s="56"/>
      <c r="G811" s="56"/>
    </row>
    <row r="812">
      <c r="A812" s="56"/>
      <c r="B812" s="56"/>
      <c r="C812" s="56"/>
      <c r="D812" s="56"/>
      <c r="E812" s="56"/>
      <c r="F812" s="56"/>
      <c r="G812" s="56"/>
    </row>
    <row r="813">
      <c r="A813" s="56"/>
      <c r="B813" s="56"/>
      <c r="C813" s="56"/>
      <c r="D813" s="56"/>
      <c r="E813" s="56"/>
      <c r="F813" s="56"/>
      <c r="G813" s="56"/>
    </row>
    <row r="814">
      <c r="A814" s="56"/>
      <c r="B814" s="56"/>
      <c r="C814" s="56"/>
      <c r="D814" s="56"/>
      <c r="E814" s="56"/>
      <c r="F814" s="56"/>
      <c r="G814" s="56"/>
    </row>
    <row r="815">
      <c r="A815" s="56"/>
      <c r="B815" s="56"/>
      <c r="C815" s="56"/>
      <c r="D815" s="56"/>
      <c r="E815" s="56"/>
      <c r="F815" s="56"/>
      <c r="G815" s="56"/>
    </row>
    <row r="816">
      <c r="A816" s="56"/>
      <c r="B816" s="56"/>
      <c r="C816" s="56"/>
      <c r="D816" s="56"/>
      <c r="E816" s="56"/>
      <c r="F816" s="56"/>
      <c r="G816" s="56"/>
    </row>
    <row r="817">
      <c r="A817" s="56"/>
      <c r="B817" s="56"/>
      <c r="C817" s="56"/>
      <c r="D817" s="56"/>
      <c r="E817" s="56"/>
      <c r="F817" s="56"/>
      <c r="G817" s="56"/>
    </row>
    <row r="818">
      <c r="A818" s="56"/>
      <c r="B818" s="56"/>
      <c r="C818" s="56"/>
      <c r="D818" s="56"/>
      <c r="E818" s="56"/>
      <c r="F818" s="56"/>
      <c r="G818" s="56"/>
    </row>
    <row r="819">
      <c r="A819" s="56"/>
      <c r="B819" s="56"/>
      <c r="C819" s="56"/>
      <c r="D819" s="56"/>
      <c r="E819" s="56"/>
      <c r="F819" s="56"/>
      <c r="G819" s="56"/>
    </row>
    <row r="820">
      <c r="A820" s="56"/>
      <c r="B820" s="56"/>
      <c r="C820" s="56"/>
      <c r="D820" s="56"/>
      <c r="E820" s="56"/>
      <c r="F820" s="56"/>
      <c r="G820" s="56"/>
    </row>
    <row r="821">
      <c r="A821" s="56"/>
      <c r="B821" s="56"/>
      <c r="C821" s="56"/>
      <c r="D821" s="56"/>
      <c r="E821" s="56"/>
      <c r="F821" s="56"/>
      <c r="G821" s="56"/>
    </row>
    <row r="822">
      <c r="A822" s="56"/>
      <c r="B822" s="56"/>
      <c r="C822" s="56"/>
      <c r="D822" s="56"/>
      <c r="E822" s="56"/>
      <c r="F822" s="56"/>
      <c r="G822" s="56"/>
    </row>
    <row r="823">
      <c r="A823" s="56"/>
      <c r="B823" s="56"/>
      <c r="C823" s="56"/>
      <c r="D823" s="56"/>
      <c r="E823" s="56"/>
      <c r="F823" s="56"/>
      <c r="G823" s="56"/>
    </row>
    <row r="824">
      <c r="A824" s="56"/>
      <c r="B824" s="56"/>
      <c r="C824" s="56"/>
      <c r="D824" s="56"/>
      <c r="E824" s="56"/>
      <c r="F824" s="56"/>
      <c r="G824" s="56"/>
    </row>
    <row r="825">
      <c r="A825" s="56"/>
      <c r="B825" s="56"/>
      <c r="C825" s="56"/>
      <c r="D825" s="56"/>
      <c r="E825" s="56"/>
      <c r="F825" s="56"/>
      <c r="G825" s="56"/>
    </row>
    <row r="826">
      <c r="A826" s="56"/>
      <c r="B826" s="56"/>
      <c r="C826" s="56"/>
      <c r="D826" s="56"/>
      <c r="E826" s="56"/>
      <c r="F826" s="56"/>
      <c r="G826" s="56"/>
    </row>
    <row r="827">
      <c r="A827" s="56"/>
      <c r="B827" s="56"/>
      <c r="C827" s="56"/>
      <c r="D827" s="56"/>
      <c r="E827" s="56"/>
      <c r="F827" s="56"/>
      <c r="G827" s="56"/>
    </row>
    <row r="828">
      <c r="A828" s="56"/>
      <c r="B828" s="56"/>
      <c r="C828" s="56"/>
      <c r="D828" s="56"/>
      <c r="E828" s="56"/>
      <c r="F828" s="56"/>
      <c r="G828" s="56"/>
    </row>
    <row r="829">
      <c r="A829" s="56"/>
      <c r="B829" s="56"/>
      <c r="C829" s="56"/>
      <c r="D829" s="56"/>
      <c r="E829" s="56"/>
      <c r="F829" s="56"/>
      <c r="G829" s="56"/>
    </row>
    <row r="830">
      <c r="A830" s="56"/>
      <c r="B830" s="56"/>
      <c r="C830" s="56"/>
      <c r="D830" s="56"/>
      <c r="E830" s="56"/>
      <c r="F830" s="56"/>
      <c r="G830" s="56"/>
    </row>
    <row r="831">
      <c r="A831" s="56"/>
      <c r="B831" s="56"/>
      <c r="C831" s="56"/>
      <c r="D831" s="56"/>
      <c r="E831" s="56"/>
      <c r="F831" s="56"/>
      <c r="G831" s="56"/>
    </row>
    <row r="832">
      <c r="A832" s="56"/>
      <c r="B832" s="56"/>
      <c r="C832" s="56"/>
      <c r="D832" s="56"/>
      <c r="E832" s="56"/>
      <c r="F832" s="56"/>
      <c r="G832" s="56"/>
    </row>
    <row r="833">
      <c r="A833" s="56"/>
      <c r="B833" s="56"/>
      <c r="C833" s="56"/>
      <c r="D833" s="56"/>
      <c r="E833" s="56"/>
      <c r="F833" s="56"/>
      <c r="G833" s="56"/>
    </row>
    <row r="834">
      <c r="A834" s="56"/>
      <c r="B834" s="56"/>
      <c r="C834" s="56"/>
      <c r="D834" s="56"/>
      <c r="E834" s="56"/>
      <c r="F834" s="56"/>
      <c r="G834" s="56"/>
    </row>
    <row r="835">
      <c r="A835" s="56"/>
      <c r="B835" s="56"/>
      <c r="C835" s="56"/>
      <c r="D835" s="56"/>
      <c r="E835" s="56"/>
      <c r="F835" s="56"/>
      <c r="G835" s="56"/>
    </row>
    <row r="836">
      <c r="A836" s="56"/>
      <c r="B836" s="56"/>
      <c r="C836" s="56"/>
      <c r="D836" s="56"/>
      <c r="E836" s="56"/>
      <c r="F836" s="56"/>
      <c r="G836" s="56"/>
    </row>
    <row r="837">
      <c r="A837" s="56"/>
      <c r="B837" s="56"/>
      <c r="C837" s="56"/>
      <c r="D837" s="56"/>
      <c r="E837" s="56"/>
      <c r="F837" s="56"/>
      <c r="G837" s="56"/>
    </row>
    <row r="838">
      <c r="A838" s="56"/>
      <c r="B838" s="56"/>
      <c r="C838" s="56"/>
      <c r="D838" s="56"/>
      <c r="E838" s="56"/>
      <c r="F838" s="56"/>
      <c r="G838" s="56"/>
    </row>
    <row r="839">
      <c r="A839" s="56"/>
      <c r="B839" s="56"/>
      <c r="C839" s="56"/>
      <c r="D839" s="56"/>
      <c r="E839" s="56"/>
      <c r="F839" s="56"/>
      <c r="G839" s="56"/>
    </row>
    <row r="840">
      <c r="A840" s="56"/>
      <c r="B840" s="56"/>
      <c r="C840" s="56"/>
      <c r="D840" s="56"/>
      <c r="E840" s="56"/>
      <c r="F840" s="56"/>
      <c r="G840" s="56"/>
    </row>
    <row r="841">
      <c r="A841" s="56"/>
      <c r="B841" s="56"/>
      <c r="C841" s="56"/>
      <c r="D841" s="56"/>
      <c r="E841" s="56"/>
      <c r="F841" s="56"/>
      <c r="G841" s="56"/>
    </row>
    <row r="842">
      <c r="A842" s="56"/>
      <c r="B842" s="56"/>
      <c r="C842" s="56"/>
      <c r="D842" s="56"/>
      <c r="E842" s="56"/>
      <c r="F842" s="56"/>
      <c r="G842" s="56"/>
    </row>
    <row r="843">
      <c r="A843" s="56"/>
      <c r="B843" s="56"/>
      <c r="C843" s="56"/>
      <c r="D843" s="56"/>
      <c r="E843" s="56"/>
      <c r="F843" s="56"/>
      <c r="G843" s="56"/>
    </row>
    <row r="844">
      <c r="A844" s="56"/>
      <c r="B844" s="56"/>
      <c r="C844" s="56"/>
      <c r="D844" s="56"/>
      <c r="E844" s="56"/>
      <c r="F844" s="56"/>
      <c r="G844" s="56"/>
    </row>
    <row r="845">
      <c r="A845" s="56"/>
      <c r="B845" s="56"/>
      <c r="C845" s="56"/>
      <c r="D845" s="56"/>
      <c r="E845" s="56"/>
      <c r="F845" s="56"/>
      <c r="G845" s="56"/>
    </row>
    <row r="846">
      <c r="A846" s="56"/>
      <c r="B846" s="56"/>
      <c r="C846" s="56"/>
      <c r="D846" s="56"/>
      <c r="E846" s="56"/>
      <c r="F846" s="56"/>
      <c r="G846" s="56"/>
    </row>
    <row r="847">
      <c r="A847" s="56"/>
      <c r="B847" s="56"/>
      <c r="C847" s="56"/>
      <c r="D847" s="56"/>
      <c r="E847" s="56"/>
      <c r="F847" s="56"/>
      <c r="G847" s="56"/>
    </row>
    <row r="848">
      <c r="A848" s="56"/>
      <c r="B848" s="56"/>
      <c r="C848" s="56"/>
      <c r="D848" s="56"/>
      <c r="E848" s="56"/>
      <c r="F848" s="56"/>
      <c r="G848" s="56"/>
    </row>
    <row r="849">
      <c r="A849" s="56"/>
      <c r="B849" s="56"/>
      <c r="C849" s="56"/>
      <c r="D849" s="56"/>
      <c r="E849" s="56"/>
      <c r="F849" s="56"/>
      <c r="G849" s="56"/>
    </row>
    <row r="850">
      <c r="A850" s="56"/>
      <c r="B850" s="56"/>
      <c r="C850" s="56"/>
      <c r="D850" s="56"/>
      <c r="E850" s="56"/>
      <c r="F850" s="56"/>
      <c r="G850" s="56"/>
    </row>
    <row r="851">
      <c r="A851" s="56"/>
      <c r="B851" s="56"/>
      <c r="C851" s="56"/>
      <c r="D851" s="56"/>
      <c r="E851" s="56"/>
      <c r="F851" s="56"/>
      <c r="G851" s="56"/>
    </row>
    <row r="852">
      <c r="A852" s="56"/>
      <c r="B852" s="56"/>
      <c r="C852" s="56"/>
      <c r="D852" s="56"/>
      <c r="E852" s="56"/>
      <c r="F852" s="56"/>
      <c r="G852" s="56"/>
    </row>
    <row r="853">
      <c r="A853" s="56"/>
      <c r="B853" s="56"/>
      <c r="C853" s="56"/>
      <c r="D853" s="56"/>
      <c r="E853" s="56"/>
      <c r="F853" s="56"/>
      <c r="G853" s="56"/>
    </row>
    <row r="854">
      <c r="A854" s="56"/>
      <c r="B854" s="56"/>
      <c r="C854" s="56"/>
      <c r="D854" s="56"/>
      <c r="E854" s="56"/>
      <c r="F854" s="56"/>
      <c r="G854" s="56"/>
    </row>
    <row r="855">
      <c r="A855" s="56"/>
      <c r="B855" s="56"/>
      <c r="C855" s="56"/>
      <c r="D855" s="56"/>
      <c r="E855" s="56"/>
      <c r="F855" s="56"/>
      <c r="G855" s="56"/>
    </row>
    <row r="856">
      <c r="A856" s="56"/>
      <c r="B856" s="56"/>
      <c r="C856" s="56"/>
      <c r="D856" s="56"/>
      <c r="E856" s="56"/>
      <c r="F856" s="56"/>
      <c r="G856" s="56"/>
    </row>
    <row r="857">
      <c r="A857" s="56"/>
      <c r="B857" s="56"/>
      <c r="C857" s="56"/>
      <c r="D857" s="56"/>
      <c r="E857" s="56"/>
      <c r="F857" s="56"/>
      <c r="G857" s="56"/>
    </row>
    <row r="858">
      <c r="A858" s="56"/>
      <c r="B858" s="56"/>
      <c r="C858" s="56"/>
      <c r="D858" s="56"/>
      <c r="E858" s="56"/>
      <c r="F858" s="56"/>
      <c r="G858" s="56"/>
    </row>
    <row r="859">
      <c r="A859" s="56"/>
      <c r="B859" s="56"/>
      <c r="C859" s="56"/>
      <c r="D859" s="56"/>
      <c r="E859" s="56"/>
      <c r="F859" s="56"/>
      <c r="G859" s="56"/>
    </row>
    <row r="860">
      <c r="A860" s="56"/>
      <c r="B860" s="56"/>
      <c r="C860" s="56"/>
      <c r="D860" s="56"/>
      <c r="E860" s="56"/>
      <c r="F860" s="56"/>
      <c r="G860" s="56"/>
    </row>
    <row r="861">
      <c r="A861" s="56"/>
      <c r="B861" s="56"/>
      <c r="C861" s="56"/>
      <c r="D861" s="56"/>
      <c r="E861" s="56"/>
      <c r="F861" s="56"/>
      <c r="G861" s="56"/>
    </row>
    <row r="862">
      <c r="A862" s="56"/>
      <c r="B862" s="56"/>
      <c r="C862" s="56"/>
      <c r="D862" s="56"/>
      <c r="E862" s="56"/>
      <c r="F862" s="56"/>
      <c r="G862" s="56"/>
    </row>
    <row r="863">
      <c r="A863" s="56"/>
      <c r="B863" s="56"/>
      <c r="C863" s="56"/>
      <c r="D863" s="56"/>
      <c r="E863" s="56"/>
      <c r="F863" s="56"/>
      <c r="G863" s="56"/>
    </row>
    <row r="864">
      <c r="A864" s="56"/>
      <c r="B864" s="56"/>
      <c r="C864" s="56"/>
      <c r="D864" s="56"/>
      <c r="E864" s="56"/>
      <c r="F864" s="56"/>
      <c r="G864" s="56"/>
    </row>
    <row r="865">
      <c r="A865" s="56"/>
      <c r="B865" s="56"/>
      <c r="C865" s="56"/>
      <c r="D865" s="56"/>
      <c r="E865" s="56"/>
      <c r="F865" s="56"/>
      <c r="G865" s="56"/>
    </row>
    <row r="866">
      <c r="A866" s="56"/>
      <c r="B866" s="56"/>
      <c r="C866" s="56"/>
      <c r="D866" s="56"/>
      <c r="E866" s="56"/>
      <c r="F866" s="56"/>
      <c r="G866" s="56"/>
    </row>
    <row r="867">
      <c r="A867" s="56"/>
      <c r="B867" s="56"/>
      <c r="C867" s="56"/>
      <c r="D867" s="56"/>
      <c r="E867" s="56"/>
      <c r="F867" s="56"/>
      <c r="G867" s="56"/>
    </row>
    <row r="868">
      <c r="A868" s="56"/>
      <c r="B868" s="56"/>
      <c r="C868" s="56"/>
      <c r="D868" s="56"/>
      <c r="E868" s="56"/>
      <c r="F868" s="56"/>
      <c r="G868" s="56"/>
    </row>
    <row r="869">
      <c r="A869" s="56"/>
      <c r="B869" s="56"/>
      <c r="C869" s="56"/>
      <c r="D869" s="56"/>
      <c r="E869" s="56"/>
      <c r="F869" s="56"/>
      <c r="G869" s="56"/>
    </row>
    <row r="870">
      <c r="A870" s="56"/>
      <c r="B870" s="56"/>
      <c r="C870" s="56"/>
      <c r="D870" s="56"/>
      <c r="E870" s="56"/>
      <c r="F870" s="56"/>
      <c r="G870" s="56"/>
    </row>
    <row r="871">
      <c r="A871" s="56"/>
      <c r="B871" s="56"/>
      <c r="C871" s="56"/>
      <c r="D871" s="56"/>
      <c r="E871" s="56"/>
      <c r="F871" s="56"/>
      <c r="G871" s="56"/>
    </row>
    <row r="872">
      <c r="A872" s="56"/>
      <c r="B872" s="56"/>
      <c r="C872" s="56"/>
      <c r="D872" s="56"/>
      <c r="E872" s="56"/>
      <c r="F872" s="56"/>
      <c r="G872" s="56"/>
    </row>
    <row r="873">
      <c r="A873" s="56"/>
      <c r="B873" s="56"/>
      <c r="C873" s="56"/>
      <c r="D873" s="56"/>
      <c r="E873" s="56"/>
      <c r="F873" s="56"/>
      <c r="G873" s="56"/>
    </row>
    <row r="874">
      <c r="A874" s="56"/>
      <c r="B874" s="56"/>
      <c r="C874" s="56"/>
      <c r="D874" s="56"/>
      <c r="E874" s="56"/>
      <c r="F874" s="56"/>
      <c r="G874" s="56"/>
    </row>
    <row r="875">
      <c r="A875" s="56"/>
      <c r="B875" s="56"/>
      <c r="C875" s="56"/>
      <c r="D875" s="56"/>
      <c r="E875" s="56"/>
      <c r="F875" s="56"/>
      <c r="G875" s="56"/>
    </row>
    <row r="876">
      <c r="A876" s="56"/>
      <c r="B876" s="56"/>
      <c r="C876" s="56"/>
      <c r="D876" s="56"/>
      <c r="E876" s="56"/>
      <c r="F876" s="56"/>
      <c r="G876" s="56"/>
    </row>
    <row r="877">
      <c r="A877" s="56"/>
      <c r="B877" s="56"/>
      <c r="C877" s="56"/>
      <c r="D877" s="56"/>
      <c r="E877" s="56"/>
      <c r="F877" s="56"/>
      <c r="G877" s="56"/>
    </row>
    <row r="878">
      <c r="A878" s="56"/>
      <c r="B878" s="56"/>
      <c r="C878" s="56"/>
      <c r="D878" s="56"/>
      <c r="E878" s="56"/>
      <c r="F878" s="56"/>
      <c r="G878" s="56"/>
    </row>
    <row r="879">
      <c r="A879" s="56"/>
      <c r="B879" s="56"/>
      <c r="C879" s="56"/>
      <c r="D879" s="56"/>
      <c r="E879" s="56"/>
      <c r="F879" s="56"/>
      <c r="G879" s="56"/>
    </row>
    <row r="880">
      <c r="A880" s="56"/>
      <c r="B880" s="56"/>
      <c r="C880" s="56"/>
      <c r="D880" s="56"/>
      <c r="E880" s="56"/>
      <c r="F880" s="56"/>
      <c r="G880" s="56"/>
    </row>
    <row r="881">
      <c r="A881" s="56"/>
      <c r="B881" s="56"/>
      <c r="C881" s="56"/>
      <c r="D881" s="56"/>
      <c r="E881" s="56"/>
      <c r="F881" s="56"/>
      <c r="G881" s="56"/>
    </row>
    <row r="882">
      <c r="A882" s="56"/>
      <c r="B882" s="56"/>
      <c r="C882" s="56"/>
      <c r="D882" s="56"/>
      <c r="E882" s="56"/>
      <c r="F882" s="56"/>
      <c r="G882" s="56"/>
    </row>
    <row r="883">
      <c r="A883" s="56"/>
      <c r="B883" s="56"/>
      <c r="C883" s="56"/>
      <c r="D883" s="56"/>
      <c r="E883" s="56"/>
      <c r="F883" s="56"/>
      <c r="G883" s="56"/>
    </row>
    <row r="884">
      <c r="A884" s="56"/>
      <c r="B884" s="56"/>
      <c r="C884" s="56"/>
      <c r="D884" s="56"/>
      <c r="E884" s="56"/>
      <c r="F884" s="56"/>
      <c r="G884" s="56"/>
    </row>
    <row r="885">
      <c r="A885" s="56"/>
      <c r="B885" s="56"/>
      <c r="C885" s="56"/>
      <c r="D885" s="56"/>
      <c r="E885" s="56"/>
      <c r="F885" s="56"/>
      <c r="G885" s="56"/>
    </row>
    <row r="886">
      <c r="A886" s="56"/>
      <c r="B886" s="56"/>
      <c r="C886" s="56"/>
      <c r="D886" s="56"/>
      <c r="E886" s="56"/>
      <c r="F886" s="56"/>
      <c r="G886" s="56"/>
    </row>
    <row r="887">
      <c r="A887" s="56"/>
      <c r="B887" s="56"/>
      <c r="C887" s="56"/>
      <c r="D887" s="56"/>
      <c r="E887" s="56"/>
      <c r="F887" s="56"/>
      <c r="G887" s="56"/>
    </row>
    <row r="888">
      <c r="A888" s="56"/>
      <c r="B888" s="56"/>
      <c r="C888" s="56"/>
      <c r="D888" s="56"/>
      <c r="E888" s="56"/>
      <c r="F888" s="56"/>
      <c r="G888" s="56"/>
    </row>
    <row r="889">
      <c r="A889" s="56"/>
      <c r="B889" s="56"/>
      <c r="C889" s="56"/>
      <c r="D889" s="56"/>
      <c r="E889" s="56"/>
      <c r="F889" s="56"/>
      <c r="G889" s="56"/>
    </row>
    <row r="890">
      <c r="A890" s="56"/>
      <c r="B890" s="56"/>
      <c r="C890" s="56"/>
      <c r="D890" s="56"/>
      <c r="E890" s="56"/>
      <c r="F890" s="56"/>
      <c r="G890" s="56"/>
    </row>
    <row r="891">
      <c r="A891" s="56"/>
      <c r="B891" s="56"/>
      <c r="C891" s="56"/>
      <c r="D891" s="56"/>
      <c r="E891" s="56"/>
      <c r="F891" s="56"/>
      <c r="G891" s="56"/>
    </row>
    <row r="892">
      <c r="A892" s="56"/>
      <c r="B892" s="56"/>
      <c r="C892" s="56"/>
      <c r="D892" s="56"/>
      <c r="E892" s="56"/>
      <c r="F892" s="56"/>
      <c r="G892" s="56"/>
    </row>
    <row r="893">
      <c r="A893" s="56"/>
      <c r="B893" s="56"/>
      <c r="C893" s="56"/>
      <c r="D893" s="56"/>
      <c r="E893" s="56"/>
      <c r="F893" s="56"/>
      <c r="G893" s="56"/>
    </row>
    <row r="894">
      <c r="A894" s="56"/>
      <c r="B894" s="56"/>
      <c r="C894" s="56"/>
      <c r="D894" s="56"/>
      <c r="E894" s="56"/>
      <c r="F894" s="56"/>
      <c r="G894" s="56"/>
    </row>
    <row r="895">
      <c r="A895" s="56"/>
      <c r="B895" s="56"/>
      <c r="C895" s="56"/>
      <c r="D895" s="56"/>
      <c r="E895" s="56"/>
      <c r="F895" s="56"/>
      <c r="G895" s="56"/>
    </row>
    <row r="896">
      <c r="A896" s="56"/>
      <c r="B896" s="56"/>
      <c r="C896" s="56"/>
      <c r="D896" s="56"/>
      <c r="E896" s="56"/>
      <c r="F896" s="56"/>
      <c r="G896" s="56"/>
    </row>
    <row r="897">
      <c r="A897" s="56"/>
      <c r="B897" s="56"/>
      <c r="C897" s="56"/>
      <c r="D897" s="56"/>
      <c r="E897" s="56"/>
      <c r="F897" s="56"/>
      <c r="G897" s="56"/>
    </row>
    <row r="898">
      <c r="A898" s="56"/>
      <c r="B898" s="56"/>
      <c r="C898" s="56"/>
      <c r="D898" s="56"/>
      <c r="E898" s="56"/>
      <c r="F898" s="56"/>
      <c r="G898" s="56"/>
    </row>
    <row r="899">
      <c r="A899" s="56"/>
      <c r="B899" s="56"/>
      <c r="C899" s="56"/>
      <c r="D899" s="56"/>
      <c r="E899" s="56"/>
      <c r="F899" s="56"/>
      <c r="G899" s="56"/>
    </row>
    <row r="900">
      <c r="A900" s="56"/>
      <c r="B900" s="56"/>
      <c r="C900" s="56"/>
      <c r="D900" s="56"/>
      <c r="E900" s="56"/>
      <c r="F900" s="56"/>
      <c r="G900" s="56"/>
    </row>
    <row r="901">
      <c r="A901" s="56"/>
      <c r="B901" s="56"/>
      <c r="C901" s="56"/>
      <c r="D901" s="56"/>
      <c r="E901" s="56"/>
      <c r="F901" s="56"/>
      <c r="G901" s="56"/>
    </row>
    <row r="902">
      <c r="A902" s="56"/>
      <c r="B902" s="56"/>
      <c r="C902" s="56"/>
      <c r="D902" s="56"/>
      <c r="E902" s="56"/>
      <c r="F902" s="56"/>
      <c r="G902" s="56"/>
    </row>
    <row r="903">
      <c r="A903" s="56"/>
      <c r="B903" s="56"/>
      <c r="C903" s="56"/>
      <c r="D903" s="56"/>
      <c r="E903" s="56"/>
      <c r="F903" s="56"/>
      <c r="G903" s="56"/>
    </row>
    <row r="904">
      <c r="A904" s="56"/>
      <c r="B904" s="56"/>
      <c r="C904" s="56"/>
      <c r="D904" s="56"/>
      <c r="E904" s="56"/>
      <c r="F904" s="56"/>
      <c r="G904" s="56"/>
    </row>
    <row r="905">
      <c r="A905" s="56"/>
      <c r="B905" s="56"/>
      <c r="C905" s="56"/>
      <c r="D905" s="56"/>
      <c r="E905" s="56"/>
      <c r="F905" s="56"/>
      <c r="G905" s="56"/>
    </row>
    <row r="906">
      <c r="A906" s="56"/>
      <c r="B906" s="56"/>
      <c r="C906" s="56"/>
      <c r="D906" s="56"/>
      <c r="E906" s="56"/>
      <c r="F906" s="56"/>
      <c r="G906" s="56"/>
    </row>
    <row r="907">
      <c r="A907" s="56"/>
      <c r="B907" s="56"/>
      <c r="C907" s="56"/>
      <c r="D907" s="56"/>
      <c r="E907" s="56"/>
      <c r="F907" s="56"/>
      <c r="G907" s="56"/>
    </row>
    <row r="908">
      <c r="A908" s="56"/>
      <c r="B908" s="56"/>
      <c r="C908" s="56"/>
      <c r="D908" s="56"/>
      <c r="E908" s="56"/>
      <c r="F908" s="56"/>
      <c r="G908" s="56"/>
    </row>
    <row r="909">
      <c r="A909" s="56"/>
      <c r="B909" s="56"/>
      <c r="C909" s="56"/>
      <c r="D909" s="56"/>
      <c r="E909" s="56"/>
      <c r="F909" s="56"/>
      <c r="G909" s="56"/>
    </row>
    <row r="910">
      <c r="A910" s="56"/>
      <c r="B910" s="56"/>
      <c r="C910" s="56"/>
      <c r="D910" s="56"/>
      <c r="E910" s="56"/>
      <c r="F910" s="56"/>
      <c r="G910" s="56"/>
    </row>
    <row r="911">
      <c r="A911" s="56"/>
      <c r="B911" s="56"/>
      <c r="C911" s="56"/>
      <c r="D911" s="56"/>
      <c r="E911" s="56"/>
      <c r="F911" s="56"/>
      <c r="G911" s="56"/>
    </row>
    <row r="912">
      <c r="A912" s="56"/>
      <c r="B912" s="56"/>
      <c r="C912" s="56"/>
      <c r="D912" s="56"/>
      <c r="E912" s="56"/>
      <c r="F912" s="56"/>
      <c r="G912" s="56"/>
    </row>
    <row r="913">
      <c r="A913" s="56"/>
      <c r="B913" s="56"/>
      <c r="C913" s="56"/>
      <c r="D913" s="56"/>
      <c r="E913" s="56"/>
      <c r="F913" s="56"/>
      <c r="G913" s="56"/>
    </row>
    <row r="914">
      <c r="A914" s="56"/>
      <c r="B914" s="56"/>
      <c r="C914" s="56"/>
      <c r="D914" s="56"/>
      <c r="E914" s="56"/>
      <c r="F914" s="56"/>
      <c r="G914" s="56"/>
    </row>
    <row r="915">
      <c r="A915" s="56"/>
      <c r="B915" s="56"/>
      <c r="C915" s="56"/>
      <c r="D915" s="56"/>
      <c r="E915" s="56"/>
      <c r="F915" s="56"/>
      <c r="G915" s="56"/>
    </row>
    <row r="916">
      <c r="A916" s="56"/>
      <c r="B916" s="56"/>
      <c r="C916" s="56"/>
      <c r="D916" s="56"/>
      <c r="E916" s="56"/>
      <c r="F916" s="56"/>
      <c r="G916" s="56"/>
    </row>
    <row r="917">
      <c r="A917" s="56"/>
      <c r="B917" s="56"/>
      <c r="C917" s="56"/>
      <c r="D917" s="56"/>
      <c r="E917" s="56"/>
      <c r="F917" s="56"/>
      <c r="G917" s="56"/>
    </row>
    <row r="918">
      <c r="A918" s="56"/>
      <c r="B918" s="56"/>
      <c r="C918" s="56"/>
      <c r="D918" s="56"/>
      <c r="E918" s="56"/>
      <c r="F918" s="56"/>
      <c r="G918" s="56"/>
    </row>
    <row r="919">
      <c r="A919" s="56"/>
      <c r="B919" s="56"/>
      <c r="C919" s="56"/>
      <c r="D919" s="56"/>
      <c r="E919" s="56"/>
      <c r="F919" s="56"/>
      <c r="G919" s="56"/>
    </row>
    <row r="920">
      <c r="A920" s="56"/>
      <c r="B920" s="56"/>
      <c r="C920" s="56"/>
      <c r="D920" s="56"/>
      <c r="E920" s="56"/>
      <c r="F920" s="56"/>
      <c r="G920" s="56"/>
    </row>
    <row r="921">
      <c r="A921" s="56"/>
      <c r="B921" s="56"/>
      <c r="C921" s="56"/>
      <c r="D921" s="56"/>
      <c r="E921" s="56"/>
      <c r="F921" s="56"/>
      <c r="G921" s="56"/>
    </row>
    <row r="922">
      <c r="A922" s="56"/>
      <c r="B922" s="56"/>
      <c r="C922" s="56"/>
      <c r="D922" s="56"/>
      <c r="E922" s="56"/>
      <c r="F922" s="56"/>
      <c r="G922" s="56"/>
    </row>
    <row r="923">
      <c r="A923" s="56"/>
      <c r="B923" s="56"/>
      <c r="C923" s="56"/>
      <c r="D923" s="56"/>
      <c r="E923" s="56"/>
      <c r="F923" s="56"/>
      <c r="G923" s="56"/>
    </row>
    <row r="924">
      <c r="A924" s="56"/>
      <c r="B924" s="56"/>
      <c r="C924" s="56"/>
      <c r="D924" s="56"/>
      <c r="E924" s="56"/>
      <c r="F924" s="56"/>
      <c r="G924" s="56"/>
    </row>
    <row r="925">
      <c r="A925" s="56"/>
      <c r="B925" s="56"/>
      <c r="C925" s="56"/>
      <c r="D925" s="56"/>
      <c r="E925" s="56"/>
      <c r="F925" s="56"/>
      <c r="G925" s="56"/>
    </row>
    <row r="926">
      <c r="A926" s="56"/>
      <c r="B926" s="56"/>
      <c r="C926" s="56"/>
      <c r="D926" s="56"/>
      <c r="E926" s="56"/>
      <c r="F926" s="56"/>
      <c r="G926" s="56"/>
    </row>
    <row r="927">
      <c r="A927" s="56"/>
      <c r="B927" s="56"/>
      <c r="C927" s="56"/>
      <c r="D927" s="56"/>
      <c r="E927" s="56"/>
      <c r="F927" s="56"/>
      <c r="G927" s="56"/>
    </row>
    <row r="928">
      <c r="A928" s="56"/>
      <c r="B928" s="56"/>
      <c r="C928" s="56"/>
      <c r="D928" s="56"/>
      <c r="E928" s="56"/>
      <c r="F928" s="56"/>
      <c r="G928" s="56"/>
    </row>
    <row r="929">
      <c r="A929" s="56"/>
      <c r="B929" s="56"/>
      <c r="C929" s="56"/>
      <c r="D929" s="56"/>
      <c r="E929" s="56"/>
      <c r="F929" s="56"/>
      <c r="G929" s="56"/>
    </row>
    <row r="930">
      <c r="A930" s="56"/>
      <c r="B930" s="56"/>
      <c r="C930" s="56"/>
      <c r="D930" s="56"/>
      <c r="E930" s="56"/>
      <c r="F930" s="56"/>
      <c r="G930" s="56"/>
    </row>
    <row r="931">
      <c r="A931" s="56"/>
      <c r="B931" s="56"/>
      <c r="C931" s="56"/>
      <c r="D931" s="56"/>
      <c r="E931" s="56"/>
      <c r="F931" s="56"/>
      <c r="G931" s="56"/>
    </row>
    <row r="932">
      <c r="A932" s="56"/>
      <c r="B932" s="56"/>
      <c r="C932" s="56"/>
      <c r="D932" s="56"/>
      <c r="E932" s="56"/>
      <c r="F932" s="56"/>
      <c r="G932" s="56"/>
    </row>
    <row r="933">
      <c r="A933" s="56"/>
      <c r="B933" s="56"/>
      <c r="C933" s="56"/>
      <c r="D933" s="56"/>
      <c r="E933" s="56"/>
      <c r="F933" s="56"/>
      <c r="G933" s="56"/>
    </row>
    <row r="934">
      <c r="A934" s="56"/>
      <c r="B934" s="56"/>
      <c r="C934" s="56"/>
      <c r="D934" s="56"/>
      <c r="E934" s="56"/>
      <c r="F934" s="56"/>
      <c r="G934" s="56"/>
    </row>
    <row r="935">
      <c r="A935" s="56"/>
      <c r="B935" s="56"/>
      <c r="C935" s="56"/>
      <c r="D935" s="56"/>
      <c r="E935" s="56"/>
      <c r="F935" s="56"/>
      <c r="G935" s="56"/>
    </row>
    <row r="936">
      <c r="A936" s="56"/>
      <c r="B936" s="56"/>
      <c r="C936" s="56"/>
      <c r="D936" s="56"/>
      <c r="E936" s="56"/>
      <c r="F936" s="56"/>
      <c r="G936" s="56"/>
    </row>
    <row r="937">
      <c r="A937" s="56"/>
      <c r="B937" s="56"/>
      <c r="C937" s="56"/>
      <c r="D937" s="56"/>
      <c r="E937" s="56"/>
      <c r="F937" s="56"/>
      <c r="G937" s="56"/>
    </row>
    <row r="938">
      <c r="A938" s="56"/>
      <c r="B938" s="56"/>
      <c r="C938" s="56"/>
      <c r="D938" s="56"/>
      <c r="E938" s="56"/>
      <c r="F938" s="56"/>
      <c r="G938" s="56"/>
    </row>
    <row r="939">
      <c r="A939" s="56"/>
      <c r="B939" s="56"/>
      <c r="C939" s="56"/>
      <c r="D939" s="56"/>
      <c r="E939" s="56"/>
      <c r="F939" s="56"/>
      <c r="G939" s="56"/>
    </row>
    <row r="940">
      <c r="A940" s="56"/>
      <c r="B940" s="56"/>
      <c r="C940" s="56"/>
      <c r="D940" s="56"/>
      <c r="E940" s="56"/>
      <c r="F940" s="56"/>
      <c r="G940" s="56"/>
    </row>
    <row r="941">
      <c r="A941" s="56"/>
      <c r="B941" s="56"/>
      <c r="C941" s="56"/>
      <c r="D941" s="56"/>
      <c r="E941" s="56"/>
      <c r="F941" s="56"/>
      <c r="G941" s="56"/>
    </row>
    <row r="942">
      <c r="A942" s="56"/>
      <c r="B942" s="56"/>
      <c r="C942" s="56"/>
      <c r="D942" s="56"/>
      <c r="E942" s="56"/>
      <c r="F942" s="56"/>
      <c r="G942" s="56"/>
    </row>
    <row r="943">
      <c r="A943" s="56"/>
      <c r="B943" s="56"/>
      <c r="C943" s="56"/>
      <c r="D943" s="56"/>
      <c r="E943" s="56"/>
      <c r="F943" s="56"/>
      <c r="G943" s="56"/>
    </row>
    <row r="944">
      <c r="A944" s="56"/>
      <c r="B944" s="56"/>
      <c r="C944" s="56"/>
      <c r="D944" s="56"/>
      <c r="E944" s="56"/>
      <c r="F944" s="56"/>
      <c r="G944" s="56"/>
    </row>
    <row r="945">
      <c r="A945" s="56"/>
      <c r="B945" s="56"/>
      <c r="C945" s="56"/>
      <c r="D945" s="56"/>
      <c r="E945" s="56"/>
      <c r="F945" s="56"/>
      <c r="G945" s="56"/>
    </row>
    <row r="946">
      <c r="A946" s="56"/>
      <c r="B946" s="56"/>
      <c r="C946" s="56"/>
      <c r="D946" s="56"/>
      <c r="E946" s="56"/>
      <c r="F946" s="56"/>
      <c r="G946" s="56"/>
    </row>
    <row r="947">
      <c r="A947" s="56"/>
      <c r="B947" s="56"/>
      <c r="C947" s="56"/>
      <c r="D947" s="56"/>
      <c r="E947" s="56"/>
      <c r="F947" s="56"/>
      <c r="G947" s="56"/>
    </row>
    <row r="948">
      <c r="A948" s="56"/>
      <c r="B948" s="56"/>
      <c r="C948" s="56"/>
      <c r="D948" s="56"/>
      <c r="E948" s="56"/>
      <c r="F948" s="56"/>
      <c r="G948" s="56"/>
    </row>
    <row r="949">
      <c r="A949" s="56"/>
      <c r="B949" s="56"/>
      <c r="C949" s="56"/>
      <c r="D949" s="56"/>
      <c r="E949" s="56"/>
      <c r="F949" s="56"/>
      <c r="G949" s="56"/>
    </row>
    <row r="950">
      <c r="A950" s="56"/>
      <c r="B950" s="56"/>
      <c r="C950" s="56"/>
      <c r="D950" s="56"/>
      <c r="E950" s="56"/>
      <c r="F950" s="56"/>
      <c r="G950" s="56"/>
    </row>
    <row r="951">
      <c r="A951" s="56"/>
      <c r="B951" s="56"/>
      <c r="C951" s="56"/>
      <c r="D951" s="56"/>
      <c r="E951" s="56"/>
      <c r="F951" s="56"/>
      <c r="G951" s="56"/>
    </row>
    <row r="952">
      <c r="A952" s="56"/>
      <c r="B952" s="56"/>
      <c r="C952" s="56"/>
      <c r="D952" s="56"/>
      <c r="E952" s="56"/>
      <c r="F952" s="56"/>
      <c r="G952" s="56"/>
    </row>
    <row r="953">
      <c r="A953" s="56"/>
      <c r="B953" s="56"/>
      <c r="C953" s="56"/>
      <c r="D953" s="56"/>
      <c r="E953" s="56"/>
      <c r="F953" s="56"/>
      <c r="G953" s="56"/>
    </row>
    <row r="954">
      <c r="A954" s="56"/>
      <c r="B954" s="56"/>
      <c r="C954" s="56"/>
      <c r="D954" s="56"/>
      <c r="E954" s="56"/>
      <c r="F954" s="56"/>
      <c r="G954" s="56"/>
    </row>
    <row r="955">
      <c r="A955" s="56"/>
      <c r="B955" s="56"/>
      <c r="C955" s="56"/>
      <c r="D955" s="56"/>
      <c r="E955" s="56"/>
      <c r="F955" s="56"/>
      <c r="G955" s="56"/>
    </row>
    <row r="956">
      <c r="A956" s="56"/>
      <c r="B956" s="56"/>
      <c r="C956" s="56"/>
      <c r="D956" s="56"/>
      <c r="E956" s="56"/>
      <c r="F956" s="56"/>
      <c r="G956" s="56"/>
    </row>
    <row r="957">
      <c r="A957" s="56"/>
      <c r="B957" s="56"/>
      <c r="C957" s="56"/>
      <c r="D957" s="56"/>
      <c r="E957" s="56"/>
      <c r="F957" s="56"/>
      <c r="G957" s="56"/>
    </row>
    <row r="958">
      <c r="A958" s="56"/>
      <c r="B958" s="56"/>
      <c r="C958" s="56"/>
      <c r="D958" s="56"/>
      <c r="E958" s="56"/>
      <c r="F958" s="56"/>
      <c r="G958" s="56"/>
    </row>
    <row r="959">
      <c r="A959" s="56"/>
      <c r="B959" s="56"/>
      <c r="C959" s="56"/>
      <c r="D959" s="56"/>
      <c r="E959" s="56"/>
      <c r="F959" s="56"/>
      <c r="G959" s="56"/>
    </row>
    <row r="960">
      <c r="A960" s="56"/>
      <c r="B960" s="56"/>
      <c r="C960" s="56"/>
      <c r="D960" s="56"/>
      <c r="E960" s="56"/>
      <c r="F960" s="56"/>
      <c r="G960" s="56"/>
    </row>
    <row r="961">
      <c r="A961" s="56"/>
      <c r="B961" s="56"/>
      <c r="C961" s="56"/>
      <c r="D961" s="56"/>
      <c r="E961" s="56"/>
      <c r="F961" s="56"/>
      <c r="G961" s="56"/>
    </row>
    <row r="962">
      <c r="A962" s="56"/>
      <c r="B962" s="56"/>
      <c r="C962" s="56"/>
      <c r="D962" s="56"/>
      <c r="E962" s="56"/>
      <c r="F962" s="56"/>
      <c r="G962" s="56"/>
    </row>
    <row r="963">
      <c r="A963" s="56"/>
      <c r="B963" s="56"/>
      <c r="C963" s="56"/>
      <c r="D963" s="56"/>
      <c r="E963" s="56"/>
      <c r="F963" s="56"/>
      <c r="G963" s="56"/>
    </row>
    <row r="964">
      <c r="A964" s="56"/>
      <c r="B964" s="56"/>
      <c r="C964" s="56"/>
      <c r="D964" s="56"/>
      <c r="E964" s="56"/>
      <c r="F964" s="56"/>
      <c r="G964" s="56"/>
    </row>
    <row r="965">
      <c r="A965" s="56"/>
      <c r="B965" s="56"/>
      <c r="C965" s="56"/>
      <c r="D965" s="56"/>
      <c r="E965" s="56"/>
      <c r="F965" s="56"/>
      <c r="G965" s="56"/>
    </row>
    <row r="966">
      <c r="A966" s="56"/>
      <c r="B966" s="56"/>
      <c r="C966" s="56"/>
      <c r="D966" s="56"/>
      <c r="E966" s="56"/>
      <c r="F966" s="56"/>
      <c r="G966" s="56"/>
    </row>
    <row r="967">
      <c r="A967" s="56"/>
      <c r="B967" s="56"/>
      <c r="C967" s="56"/>
      <c r="D967" s="56"/>
      <c r="E967" s="56"/>
      <c r="F967" s="56"/>
      <c r="G967" s="56"/>
    </row>
    <row r="968">
      <c r="A968" s="56"/>
      <c r="B968" s="56"/>
      <c r="C968" s="56"/>
      <c r="D968" s="56"/>
      <c r="E968" s="56"/>
      <c r="F968" s="56"/>
      <c r="G968" s="56"/>
    </row>
    <row r="969">
      <c r="A969" s="56"/>
      <c r="B969" s="56"/>
      <c r="C969" s="56"/>
      <c r="D969" s="56"/>
      <c r="E969" s="56"/>
      <c r="F969" s="56"/>
      <c r="G969" s="56"/>
    </row>
    <row r="970">
      <c r="A970" s="56"/>
      <c r="B970" s="56"/>
      <c r="C970" s="56"/>
      <c r="D970" s="56"/>
      <c r="E970" s="56"/>
      <c r="F970" s="56"/>
      <c r="G970" s="56"/>
    </row>
    <row r="971">
      <c r="A971" s="56"/>
      <c r="B971" s="56"/>
      <c r="C971" s="56"/>
      <c r="D971" s="56"/>
      <c r="E971" s="56"/>
      <c r="F971" s="56"/>
      <c r="G971" s="56"/>
    </row>
    <row r="972">
      <c r="A972" s="56"/>
      <c r="B972" s="56"/>
      <c r="C972" s="56"/>
      <c r="D972" s="56"/>
      <c r="E972" s="56"/>
      <c r="F972" s="56"/>
      <c r="G972" s="56"/>
    </row>
    <row r="973">
      <c r="A973" s="56"/>
      <c r="B973" s="56"/>
      <c r="C973" s="56"/>
      <c r="D973" s="56"/>
      <c r="E973" s="56"/>
      <c r="F973" s="56"/>
      <c r="G973" s="56"/>
    </row>
    <row r="974">
      <c r="A974" s="56"/>
      <c r="B974" s="56"/>
      <c r="C974" s="56"/>
      <c r="D974" s="56"/>
      <c r="E974" s="56"/>
      <c r="F974" s="56"/>
      <c r="G974" s="56"/>
    </row>
    <row r="975">
      <c r="A975" s="56"/>
      <c r="B975" s="56"/>
      <c r="C975" s="56"/>
      <c r="D975" s="56"/>
      <c r="E975" s="56"/>
      <c r="F975" s="56"/>
      <c r="G975" s="56"/>
    </row>
    <row r="976">
      <c r="A976" s="56"/>
      <c r="B976" s="56"/>
      <c r="C976" s="56"/>
      <c r="D976" s="56"/>
      <c r="E976" s="56"/>
      <c r="F976" s="56"/>
      <c r="G976" s="56"/>
    </row>
    <row r="977">
      <c r="A977" s="56"/>
      <c r="B977" s="56"/>
      <c r="C977" s="56"/>
      <c r="D977" s="56"/>
      <c r="E977" s="56"/>
      <c r="F977" s="56"/>
      <c r="G977" s="56"/>
    </row>
    <row r="978">
      <c r="A978" s="56"/>
      <c r="B978" s="56"/>
      <c r="C978" s="56"/>
      <c r="D978" s="56"/>
      <c r="E978" s="56"/>
      <c r="F978" s="56"/>
      <c r="G978" s="56"/>
    </row>
    <row r="979">
      <c r="A979" s="56"/>
      <c r="B979" s="56"/>
      <c r="C979" s="56"/>
      <c r="D979" s="56"/>
      <c r="E979" s="56"/>
      <c r="F979" s="56"/>
      <c r="G979" s="56"/>
    </row>
    <row r="980">
      <c r="A980" s="56"/>
      <c r="B980" s="56"/>
      <c r="C980" s="56"/>
      <c r="D980" s="56"/>
      <c r="E980" s="56"/>
      <c r="F980" s="56"/>
      <c r="G980" s="56"/>
    </row>
    <row r="981">
      <c r="A981" s="56"/>
      <c r="B981" s="56"/>
      <c r="C981" s="56"/>
      <c r="D981" s="56"/>
      <c r="E981" s="56"/>
      <c r="F981" s="56"/>
      <c r="G981" s="56"/>
    </row>
    <row r="982">
      <c r="A982" s="56"/>
      <c r="B982" s="56"/>
      <c r="C982" s="56"/>
      <c r="D982" s="56"/>
      <c r="E982" s="56"/>
      <c r="F982" s="56"/>
      <c r="G982" s="56"/>
    </row>
    <row r="983">
      <c r="A983" s="56"/>
      <c r="B983" s="56"/>
      <c r="C983" s="56"/>
      <c r="D983" s="56"/>
      <c r="E983" s="56"/>
      <c r="F983" s="56"/>
      <c r="G983" s="56"/>
    </row>
    <row r="984">
      <c r="A984" s="56"/>
      <c r="B984" s="56"/>
      <c r="C984" s="56"/>
      <c r="D984" s="56"/>
      <c r="E984" s="56"/>
      <c r="F984" s="56"/>
      <c r="G984" s="56"/>
    </row>
    <row r="985">
      <c r="A985" s="56"/>
      <c r="B985" s="56"/>
      <c r="C985" s="56"/>
      <c r="D985" s="56"/>
      <c r="E985" s="56"/>
      <c r="F985" s="56"/>
      <c r="G985" s="56"/>
    </row>
    <row r="986">
      <c r="A986" s="56"/>
      <c r="B986" s="56"/>
      <c r="C986" s="56"/>
      <c r="D986" s="56"/>
      <c r="E986" s="56"/>
      <c r="F986" s="56"/>
      <c r="G986" s="56"/>
    </row>
    <row r="987">
      <c r="A987" s="56"/>
      <c r="B987" s="56"/>
      <c r="C987" s="56"/>
      <c r="D987" s="56"/>
      <c r="E987" s="56"/>
      <c r="F987" s="56"/>
      <c r="G987" s="56"/>
    </row>
    <row r="988">
      <c r="A988" s="56"/>
      <c r="B988" s="56"/>
      <c r="C988" s="56"/>
      <c r="D988" s="56"/>
      <c r="E988" s="56"/>
      <c r="F988" s="56"/>
      <c r="G988" s="56"/>
    </row>
    <row r="989">
      <c r="A989" s="56"/>
      <c r="B989" s="56"/>
      <c r="C989" s="56"/>
      <c r="D989" s="56"/>
      <c r="E989" s="56"/>
      <c r="F989" s="56"/>
      <c r="G989" s="56"/>
    </row>
    <row r="990">
      <c r="A990" s="56"/>
      <c r="B990" s="56"/>
      <c r="C990" s="56"/>
      <c r="D990" s="56"/>
      <c r="E990" s="56"/>
      <c r="F990" s="56"/>
      <c r="G990" s="56"/>
    </row>
    <row r="991">
      <c r="A991" s="56"/>
      <c r="B991" s="56"/>
      <c r="C991" s="56"/>
      <c r="D991" s="56"/>
      <c r="E991" s="56"/>
      <c r="F991" s="56"/>
      <c r="G991" s="56"/>
    </row>
    <row r="992">
      <c r="A992" s="56"/>
      <c r="B992" s="56"/>
      <c r="C992" s="56"/>
      <c r="D992" s="56"/>
      <c r="E992" s="56"/>
      <c r="F992" s="56"/>
      <c r="G992" s="56"/>
    </row>
    <row r="993">
      <c r="A993" s="56"/>
      <c r="B993" s="56"/>
      <c r="C993" s="56"/>
      <c r="D993" s="56"/>
      <c r="E993" s="56"/>
      <c r="F993" s="56"/>
      <c r="G993" s="56"/>
    </row>
    <row r="994">
      <c r="A994" s="56"/>
      <c r="B994" s="56"/>
      <c r="C994" s="56"/>
      <c r="D994" s="56"/>
      <c r="E994" s="56"/>
      <c r="F994" s="56"/>
      <c r="G994" s="56"/>
    </row>
    <row r="995">
      <c r="A995" s="56"/>
      <c r="B995" s="56"/>
      <c r="C995" s="56"/>
      <c r="D995" s="56"/>
      <c r="E995" s="56"/>
      <c r="F995" s="56"/>
      <c r="G995" s="56"/>
    </row>
    <row r="996">
      <c r="A996" s="56"/>
      <c r="B996" s="56"/>
      <c r="C996" s="56"/>
      <c r="D996" s="56"/>
      <c r="E996" s="56"/>
      <c r="F996" s="56"/>
      <c r="G996" s="56"/>
    </row>
    <row r="997">
      <c r="A997" s="56"/>
      <c r="B997" s="56"/>
      <c r="C997" s="56"/>
      <c r="D997" s="56"/>
      <c r="E997" s="56"/>
      <c r="F997" s="56"/>
      <c r="G997" s="56"/>
    </row>
    <row r="998">
      <c r="A998" s="56"/>
      <c r="B998" s="56"/>
      <c r="C998" s="56"/>
      <c r="D998" s="56"/>
      <c r="E998" s="56"/>
      <c r="F998" s="56"/>
      <c r="G998" s="56"/>
    </row>
    <row r="999">
      <c r="A999" s="56"/>
      <c r="B999" s="56"/>
      <c r="C999" s="56"/>
      <c r="D999" s="56"/>
      <c r="E999" s="56"/>
      <c r="F999" s="56"/>
      <c r="G999" s="56"/>
    </row>
    <row r="1000">
      <c r="A1000" s="56"/>
      <c r="B1000" s="56"/>
      <c r="C1000" s="56"/>
      <c r="D1000" s="56"/>
      <c r="E1000" s="56"/>
      <c r="F1000" s="56"/>
      <c r="G1000" s="56"/>
    </row>
  </sheetData>
  <dataValidations>
    <dataValidation type="list" allowBlank="1" showErrorMessage="1" sqref="D2:D1000">
      <formula1>"1980698793628880414:XXMGIAegigeHesHcPUQpIcnMCwhigvPUATFrPyRHiqIZqTwmvWiXbUzfDhivxPcl,2160130926882687325:VSRHFZoYrhhtnecmAaOfmgvaKlfxBZEgxFxSbLPTAhfVwurTuJfQgOTrwyseeqJQ"</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88"/>
  </cols>
  <sheetData>
    <row r="1" ht="22.5" customHeight="1">
      <c r="A1" s="60" t="s">
        <v>6780</v>
      </c>
      <c r="B1" s="60" t="s">
        <v>6781</v>
      </c>
      <c r="C1" s="60" t="s">
        <v>6782</v>
      </c>
      <c r="D1" s="60" t="s">
        <v>6783</v>
      </c>
      <c r="E1" s="60" t="s">
        <v>6784</v>
      </c>
    </row>
    <row r="2" ht="22.5" customHeight="1">
      <c r="A2" s="61">
        <v>10.00144</v>
      </c>
      <c r="B2" s="62">
        <v>105.7683</v>
      </c>
      <c r="C2" s="63">
        <v>10.00144</v>
      </c>
      <c r="D2" s="63">
        <v>105.7683</v>
      </c>
      <c r="E2" s="64">
        <v>0.0</v>
      </c>
      <c r="G2" s="65"/>
      <c r="H2" s="65"/>
      <c r="I2" s="65"/>
      <c r="J2" s="65"/>
      <c r="K2" s="40" t="s">
        <v>6785</v>
      </c>
    </row>
    <row r="3" ht="22.5" customHeight="1">
      <c r="A3" s="66">
        <v>10.00144</v>
      </c>
      <c r="B3" s="67">
        <v>105.7683</v>
      </c>
      <c r="C3" s="67">
        <v>10.00583</v>
      </c>
      <c r="D3" s="67">
        <v>105.7717</v>
      </c>
      <c r="E3" s="68">
        <v>2.629</v>
      </c>
      <c r="G3" s="69"/>
      <c r="H3" s="69"/>
      <c r="I3" s="69"/>
      <c r="J3" s="69"/>
    </row>
    <row r="4" ht="22.5" customHeight="1">
      <c r="A4" s="61">
        <v>10.00144</v>
      </c>
      <c r="B4" s="63">
        <v>105.7683</v>
      </c>
      <c r="C4" s="63">
        <v>10.00943</v>
      </c>
      <c r="D4" s="63">
        <v>105.7921</v>
      </c>
      <c r="E4" s="64">
        <v>3.369</v>
      </c>
      <c r="G4" s="65"/>
      <c r="H4" s="65"/>
      <c r="I4" s="65"/>
      <c r="J4" s="65"/>
    </row>
    <row r="5" ht="22.5" customHeight="1">
      <c r="A5" s="66">
        <v>10.00144</v>
      </c>
      <c r="B5" s="67">
        <v>105.7683</v>
      </c>
      <c r="C5" s="67">
        <v>10.03381</v>
      </c>
      <c r="D5" s="67">
        <v>105.7637</v>
      </c>
      <c r="E5" s="68">
        <v>5.765</v>
      </c>
      <c r="G5" s="65"/>
      <c r="H5" s="65"/>
      <c r="I5" s="65"/>
      <c r="J5" s="65"/>
    </row>
    <row r="6" ht="22.5" customHeight="1">
      <c r="A6" s="61">
        <v>10.00144</v>
      </c>
      <c r="B6" s="63">
        <v>105.7683</v>
      </c>
      <c r="C6" s="63">
        <v>10.03708</v>
      </c>
      <c r="D6" s="63">
        <v>105.7543</v>
      </c>
      <c r="E6" s="64">
        <v>5.744</v>
      </c>
      <c r="G6" s="65"/>
      <c r="H6" s="65"/>
      <c r="I6" s="65"/>
      <c r="J6" s="65"/>
    </row>
    <row r="7" ht="22.5" customHeight="1">
      <c r="A7" s="66">
        <v>10.00144</v>
      </c>
      <c r="B7" s="67">
        <v>105.7683</v>
      </c>
      <c r="C7" s="67">
        <v>10.77509</v>
      </c>
      <c r="D7" s="67">
        <v>106.6727</v>
      </c>
      <c r="E7" s="68">
        <v>150.743</v>
      </c>
      <c r="G7" s="65"/>
      <c r="H7" s="65"/>
      <c r="I7" s="65"/>
      <c r="J7" s="65"/>
    </row>
    <row r="8" ht="22.5" customHeight="1">
      <c r="A8" s="61">
        <v>10.00583</v>
      </c>
      <c r="B8" s="63">
        <v>105.7717</v>
      </c>
      <c r="C8" s="63">
        <v>10.00943</v>
      </c>
      <c r="D8" s="63">
        <v>105.7921</v>
      </c>
      <c r="E8" s="64">
        <v>3.1</v>
      </c>
      <c r="G8" s="69"/>
      <c r="H8" s="69"/>
      <c r="I8" s="69"/>
      <c r="J8" s="69"/>
    </row>
    <row r="9" ht="22.5" customHeight="1">
      <c r="A9" s="66">
        <v>10.00583</v>
      </c>
      <c r="B9" s="67">
        <v>105.7717</v>
      </c>
      <c r="C9" s="67">
        <v>10.01713</v>
      </c>
      <c r="D9" s="67">
        <v>105.7392</v>
      </c>
      <c r="E9" s="68">
        <v>5.3</v>
      </c>
      <c r="G9" s="69"/>
      <c r="H9" s="69"/>
      <c r="I9" s="69"/>
      <c r="J9" s="69"/>
    </row>
    <row r="10" ht="22.5" customHeight="1">
      <c r="A10" s="61">
        <v>10.00583</v>
      </c>
      <c r="B10" s="63">
        <v>105.7717</v>
      </c>
      <c r="C10" s="63">
        <v>10.03381</v>
      </c>
      <c r="D10" s="63">
        <v>105.7637</v>
      </c>
      <c r="E10" s="64">
        <v>4.7</v>
      </c>
      <c r="G10" s="69"/>
      <c r="H10" s="69"/>
      <c r="I10" s="69"/>
      <c r="J10" s="69"/>
    </row>
    <row r="11" ht="22.5" customHeight="1">
      <c r="A11" s="66">
        <v>10.00583</v>
      </c>
      <c r="B11" s="67">
        <v>105.7717</v>
      </c>
      <c r="C11" s="67">
        <v>10.03708</v>
      </c>
      <c r="D11" s="67">
        <v>105.7543</v>
      </c>
      <c r="E11" s="68">
        <v>5.4</v>
      </c>
      <c r="G11" s="69"/>
      <c r="H11" s="69"/>
      <c r="I11" s="69"/>
      <c r="J11" s="69"/>
    </row>
    <row r="12" ht="22.5" customHeight="1">
      <c r="A12" s="61">
        <v>10.00583</v>
      </c>
      <c r="B12" s="63">
        <v>105.7717</v>
      </c>
      <c r="C12" s="63">
        <v>10.0519</v>
      </c>
      <c r="D12" s="63">
        <v>105.7741</v>
      </c>
      <c r="E12" s="64">
        <v>6.9</v>
      </c>
      <c r="G12" s="69"/>
      <c r="H12" s="69"/>
      <c r="I12" s="69"/>
      <c r="J12" s="69"/>
    </row>
    <row r="13" ht="22.5" customHeight="1">
      <c r="A13" s="66">
        <v>10.00583</v>
      </c>
      <c r="B13" s="67">
        <v>105.7717</v>
      </c>
      <c r="C13" s="67">
        <v>10.05905</v>
      </c>
      <c r="D13" s="67">
        <v>105.7595</v>
      </c>
      <c r="E13" s="68">
        <v>8.7</v>
      </c>
      <c r="G13" s="65"/>
      <c r="H13" s="65"/>
      <c r="I13" s="65"/>
      <c r="J13" s="65"/>
    </row>
    <row r="14" ht="22.5" customHeight="1">
      <c r="A14" s="61">
        <v>10.00943</v>
      </c>
      <c r="B14" s="63">
        <v>105.7921</v>
      </c>
      <c r="C14" s="63">
        <v>10.00144</v>
      </c>
      <c r="D14" s="63">
        <v>105.7683</v>
      </c>
      <c r="E14" s="64">
        <v>3.349</v>
      </c>
      <c r="G14" s="69"/>
      <c r="H14" s="69"/>
      <c r="I14" s="69"/>
      <c r="J14" s="69"/>
    </row>
    <row r="15" ht="22.5" customHeight="1">
      <c r="A15" s="66">
        <v>10.00943</v>
      </c>
      <c r="B15" s="67">
        <v>105.7921</v>
      </c>
      <c r="C15" s="67">
        <v>10.00583</v>
      </c>
      <c r="D15" s="67">
        <v>105.7717</v>
      </c>
      <c r="E15" s="68">
        <v>2.65</v>
      </c>
      <c r="G15" s="65"/>
      <c r="H15" s="65"/>
      <c r="I15" s="65"/>
      <c r="J15" s="65"/>
    </row>
    <row r="16" ht="22.5" customHeight="1">
      <c r="A16" s="61">
        <v>10.00943</v>
      </c>
      <c r="B16" s="63">
        <v>105.7921</v>
      </c>
      <c r="C16" s="63">
        <v>10.03708</v>
      </c>
      <c r="D16" s="63">
        <v>105.7543</v>
      </c>
      <c r="E16" s="64">
        <v>6.06</v>
      </c>
      <c r="G16" s="69"/>
      <c r="H16" s="69"/>
      <c r="I16" s="69"/>
      <c r="J16" s="69"/>
    </row>
    <row r="17" ht="22.5" customHeight="1">
      <c r="A17" s="66">
        <v>10.00943</v>
      </c>
      <c r="B17" s="67">
        <v>105.7921</v>
      </c>
      <c r="C17" s="67">
        <v>10.77509</v>
      </c>
      <c r="D17" s="67">
        <v>106.6727</v>
      </c>
      <c r="E17" s="68">
        <v>148.955</v>
      </c>
      <c r="G17" s="69"/>
      <c r="H17" s="69"/>
      <c r="I17" s="69"/>
      <c r="J17" s="69"/>
    </row>
    <row r="18" ht="22.5" customHeight="1">
      <c r="A18" s="61">
        <v>10.01713</v>
      </c>
      <c r="B18" s="63">
        <v>105.7392</v>
      </c>
      <c r="C18" s="63">
        <v>10.00144</v>
      </c>
      <c r="D18" s="63">
        <v>105.7683</v>
      </c>
      <c r="E18" s="64">
        <v>6.143</v>
      </c>
      <c r="G18" s="69"/>
      <c r="H18" s="69"/>
      <c r="I18" s="69"/>
      <c r="J18" s="69"/>
    </row>
    <row r="19" ht="22.5" customHeight="1">
      <c r="A19" s="66">
        <v>10.01713</v>
      </c>
      <c r="B19" s="67">
        <v>105.7392</v>
      </c>
      <c r="C19" s="67">
        <v>10.00583</v>
      </c>
      <c r="D19" s="67">
        <v>105.7717</v>
      </c>
      <c r="E19" s="68">
        <v>6.502</v>
      </c>
      <c r="G19" s="65"/>
      <c r="H19" s="65"/>
      <c r="I19" s="65"/>
      <c r="J19" s="65"/>
    </row>
    <row r="20" ht="22.5" customHeight="1">
      <c r="A20" s="61">
        <v>10.01713</v>
      </c>
      <c r="B20" s="63">
        <v>105.7392</v>
      </c>
      <c r="C20" s="63">
        <v>10.00943</v>
      </c>
      <c r="D20" s="63">
        <v>105.7921</v>
      </c>
      <c r="E20" s="64">
        <v>8.14</v>
      </c>
      <c r="G20" s="69"/>
      <c r="H20" s="69"/>
      <c r="I20" s="69"/>
      <c r="J20" s="69"/>
    </row>
    <row r="21" ht="22.5" customHeight="1">
      <c r="A21" s="66">
        <v>10.01713</v>
      </c>
      <c r="B21" s="67">
        <v>105.7392</v>
      </c>
      <c r="C21" s="67">
        <v>10.03381</v>
      </c>
      <c r="D21" s="67">
        <v>105.7637</v>
      </c>
      <c r="E21" s="68">
        <v>3.948</v>
      </c>
      <c r="G21" s="65"/>
      <c r="H21" s="65"/>
      <c r="I21" s="65"/>
      <c r="J21" s="65"/>
    </row>
    <row r="22" ht="22.5" customHeight="1">
      <c r="A22" s="61">
        <v>10.01713</v>
      </c>
      <c r="B22" s="63">
        <v>105.7392</v>
      </c>
      <c r="C22" s="63">
        <v>10.03708</v>
      </c>
      <c r="D22" s="63">
        <v>105.7543</v>
      </c>
      <c r="E22" s="64">
        <v>3.1</v>
      </c>
      <c r="G22" s="65"/>
      <c r="H22" s="65"/>
      <c r="I22" s="65"/>
      <c r="J22" s="65"/>
    </row>
    <row r="23" ht="22.5" customHeight="1">
      <c r="A23" s="66">
        <v>10.01713</v>
      </c>
      <c r="B23" s="67">
        <v>105.7392</v>
      </c>
      <c r="C23" s="67">
        <v>10.77509</v>
      </c>
      <c r="D23" s="67">
        <v>106.6727</v>
      </c>
      <c r="E23" s="68">
        <v>155.981</v>
      </c>
      <c r="G23" s="69"/>
      <c r="H23" s="69"/>
      <c r="I23" s="69"/>
      <c r="J23" s="69"/>
    </row>
    <row r="24" ht="22.5" customHeight="1">
      <c r="A24" s="61">
        <v>10.02994</v>
      </c>
      <c r="B24" s="63">
        <v>105.751</v>
      </c>
      <c r="C24" s="63">
        <v>10.00583</v>
      </c>
      <c r="D24" s="63">
        <v>105.7717</v>
      </c>
      <c r="E24" s="64">
        <v>4.947</v>
      </c>
      <c r="G24" s="65"/>
      <c r="H24" s="65"/>
      <c r="I24" s="65"/>
      <c r="J24" s="65"/>
    </row>
    <row r="25" ht="22.5" customHeight="1">
      <c r="A25" s="66">
        <v>10.02994</v>
      </c>
      <c r="B25" s="67">
        <v>105.751</v>
      </c>
      <c r="C25" s="67">
        <v>10.00943</v>
      </c>
      <c r="D25" s="67">
        <v>105.7921</v>
      </c>
      <c r="E25" s="68">
        <v>5.651</v>
      </c>
      <c r="G25" s="65"/>
      <c r="H25" s="65"/>
      <c r="I25" s="65"/>
      <c r="J25" s="65"/>
    </row>
    <row r="26" ht="22.5" customHeight="1">
      <c r="A26" s="61">
        <v>10.02994</v>
      </c>
      <c r="B26" s="63">
        <v>105.751</v>
      </c>
      <c r="C26" s="63">
        <v>10.01713</v>
      </c>
      <c r="D26" s="63">
        <v>105.7392</v>
      </c>
      <c r="E26" s="64">
        <v>2.2</v>
      </c>
      <c r="G26" s="69"/>
      <c r="H26" s="69"/>
      <c r="I26" s="69"/>
      <c r="J26" s="69"/>
    </row>
    <row r="27" ht="22.5" customHeight="1">
      <c r="A27" s="66">
        <v>10.02994</v>
      </c>
      <c r="B27" s="67">
        <v>105.751</v>
      </c>
      <c r="C27" s="67">
        <v>10.03708</v>
      </c>
      <c r="D27" s="67">
        <v>105.7543</v>
      </c>
      <c r="E27" s="68">
        <v>1.448</v>
      </c>
      <c r="G27" s="69"/>
      <c r="H27" s="69"/>
      <c r="I27" s="69"/>
      <c r="J27" s="69"/>
    </row>
    <row r="28" ht="22.5" customHeight="1">
      <c r="A28" s="61">
        <v>10.03381</v>
      </c>
      <c r="B28" s="63">
        <v>105.7637</v>
      </c>
      <c r="C28" s="63">
        <v>10.00144</v>
      </c>
      <c r="D28" s="63">
        <v>105.7683</v>
      </c>
      <c r="E28" s="64">
        <v>5.1</v>
      </c>
      <c r="G28" s="65"/>
      <c r="H28" s="65"/>
      <c r="I28" s="65"/>
      <c r="J28" s="65"/>
    </row>
    <row r="29" ht="22.5" customHeight="1">
      <c r="A29" s="66">
        <v>10.03381</v>
      </c>
      <c r="B29" s="67">
        <v>105.7637</v>
      </c>
      <c r="C29" s="67">
        <v>10.00583</v>
      </c>
      <c r="D29" s="67">
        <v>105.7717</v>
      </c>
      <c r="E29" s="68">
        <v>7.4</v>
      </c>
      <c r="G29" s="65"/>
      <c r="H29" s="65"/>
      <c r="I29" s="65"/>
      <c r="J29" s="65"/>
    </row>
    <row r="30" ht="22.5" customHeight="1">
      <c r="A30" s="61">
        <v>10.03381</v>
      </c>
      <c r="B30" s="63">
        <v>105.7637</v>
      </c>
      <c r="C30" s="63">
        <v>10.01713</v>
      </c>
      <c r="D30" s="63">
        <v>105.7392</v>
      </c>
      <c r="E30" s="64">
        <v>4.4</v>
      </c>
      <c r="G30" s="65"/>
      <c r="H30" s="65"/>
      <c r="I30" s="65"/>
      <c r="J30" s="65"/>
    </row>
    <row r="31" ht="22.5" customHeight="1">
      <c r="A31" s="66">
        <v>10.03381</v>
      </c>
      <c r="B31" s="67">
        <v>105.7637</v>
      </c>
      <c r="C31" s="67">
        <v>10.03708</v>
      </c>
      <c r="D31" s="67">
        <v>105.7543</v>
      </c>
      <c r="E31" s="68">
        <v>2.119</v>
      </c>
      <c r="G31" s="69"/>
      <c r="H31" s="69"/>
      <c r="I31" s="69"/>
      <c r="J31" s="69"/>
    </row>
    <row r="32" ht="22.5" customHeight="1">
      <c r="A32" s="61">
        <v>10.03381</v>
      </c>
      <c r="B32" s="63">
        <v>105.7637</v>
      </c>
      <c r="C32" s="63">
        <v>10.05905</v>
      </c>
      <c r="D32" s="63">
        <v>105.7595</v>
      </c>
      <c r="E32" s="64">
        <v>4.0</v>
      </c>
      <c r="G32" s="69"/>
      <c r="H32" s="69"/>
      <c r="I32" s="69"/>
      <c r="J32" s="69"/>
    </row>
    <row r="33" ht="22.5" customHeight="1">
      <c r="A33" s="66">
        <v>10.03708</v>
      </c>
      <c r="B33" s="67">
        <v>105.7543</v>
      </c>
      <c r="C33" s="67">
        <v>10.00144</v>
      </c>
      <c r="D33" s="67">
        <v>105.7683</v>
      </c>
      <c r="E33" s="68">
        <v>5.569</v>
      </c>
      <c r="G33" s="65"/>
      <c r="H33" s="65"/>
      <c r="I33" s="65"/>
      <c r="J33" s="65"/>
    </row>
    <row r="34" ht="22.5" customHeight="1">
      <c r="A34" s="61">
        <v>10.03708</v>
      </c>
      <c r="B34" s="63">
        <v>105.7543</v>
      </c>
      <c r="C34" s="63">
        <v>10.00583</v>
      </c>
      <c r="D34" s="63">
        <v>105.7717</v>
      </c>
      <c r="E34" s="64">
        <v>6.014</v>
      </c>
      <c r="G34" s="69"/>
      <c r="H34" s="69"/>
      <c r="I34" s="69"/>
      <c r="J34" s="69"/>
    </row>
    <row r="35" ht="22.5" customHeight="1">
      <c r="A35" s="66">
        <v>10.03708</v>
      </c>
      <c r="B35" s="67">
        <v>105.7543</v>
      </c>
      <c r="C35" s="67">
        <v>10.00943</v>
      </c>
      <c r="D35" s="67">
        <v>105.7921</v>
      </c>
      <c r="E35" s="68">
        <v>6.23</v>
      </c>
      <c r="G35" s="69"/>
      <c r="H35" s="69"/>
      <c r="I35" s="69"/>
      <c r="J35" s="69"/>
    </row>
    <row r="36" ht="22.5" customHeight="1">
      <c r="A36" s="61">
        <v>10.03708</v>
      </c>
      <c r="B36" s="63">
        <v>105.7543</v>
      </c>
      <c r="C36" s="63">
        <v>10.01713</v>
      </c>
      <c r="D36" s="63">
        <v>105.7392</v>
      </c>
      <c r="E36" s="64">
        <v>3.297</v>
      </c>
      <c r="G36" s="69"/>
      <c r="H36" s="69"/>
      <c r="I36" s="69"/>
      <c r="J36" s="69"/>
    </row>
    <row r="37" ht="22.5" customHeight="1">
      <c r="A37" s="66">
        <v>10.03708</v>
      </c>
      <c r="B37" s="67">
        <v>105.7543</v>
      </c>
      <c r="C37" s="67">
        <v>10.02994</v>
      </c>
      <c r="D37" s="67">
        <v>105.751</v>
      </c>
      <c r="E37" s="68">
        <v>1.322</v>
      </c>
      <c r="G37" s="69"/>
      <c r="H37" s="69"/>
      <c r="I37" s="69"/>
      <c r="J37" s="69"/>
    </row>
    <row r="38" ht="22.5" customHeight="1">
      <c r="A38" s="61">
        <v>10.03708</v>
      </c>
      <c r="B38" s="63">
        <v>105.7543</v>
      </c>
      <c r="C38" s="63">
        <v>10.03381</v>
      </c>
      <c r="D38" s="63">
        <v>105.7637</v>
      </c>
      <c r="E38" s="64">
        <v>1.318</v>
      </c>
      <c r="G38" s="69"/>
      <c r="H38" s="69"/>
      <c r="I38" s="69"/>
      <c r="J38" s="69"/>
    </row>
    <row r="39" ht="22.5" customHeight="1">
      <c r="A39" s="66">
        <v>10.03708</v>
      </c>
      <c r="B39" s="67">
        <v>105.7543</v>
      </c>
      <c r="C39" s="67">
        <v>10.03708</v>
      </c>
      <c r="D39" s="67">
        <v>105.7543</v>
      </c>
      <c r="E39" s="68">
        <v>0.031</v>
      </c>
      <c r="G39" s="65"/>
      <c r="H39" s="65"/>
      <c r="I39" s="65"/>
      <c r="J39" s="65"/>
    </row>
    <row r="40" ht="22.5" customHeight="1">
      <c r="A40" s="61">
        <v>10.03708</v>
      </c>
      <c r="B40" s="63">
        <v>105.7543</v>
      </c>
      <c r="C40" s="63">
        <v>10.0519</v>
      </c>
      <c r="D40" s="63">
        <v>105.7741</v>
      </c>
      <c r="E40" s="64">
        <v>3.063</v>
      </c>
      <c r="G40" s="65"/>
      <c r="H40" s="65"/>
      <c r="I40" s="65"/>
      <c r="J40" s="65"/>
    </row>
    <row r="41" ht="22.5" customHeight="1">
      <c r="A41" s="66">
        <v>10.03708</v>
      </c>
      <c r="B41" s="67">
        <v>105.7543</v>
      </c>
      <c r="C41" s="67">
        <v>10.05905</v>
      </c>
      <c r="D41" s="67">
        <v>105.7595</v>
      </c>
      <c r="E41" s="68">
        <v>4.666</v>
      </c>
      <c r="G41" s="65"/>
      <c r="H41" s="65"/>
      <c r="I41" s="65"/>
      <c r="J41" s="65"/>
    </row>
    <row r="42" ht="22.5" customHeight="1">
      <c r="A42" s="61">
        <v>10.03708</v>
      </c>
      <c r="B42" s="63">
        <v>105.7543</v>
      </c>
      <c r="C42" s="63">
        <v>10.77509</v>
      </c>
      <c r="D42" s="63">
        <v>106.6727</v>
      </c>
      <c r="E42" s="64">
        <v>1.913</v>
      </c>
      <c r="G42" s="65"/>
      <c r="H42" s="65"/>
      <c r="I42" s="65"/>
      <c r="J42" s="65"/>
    </row>
    <row r="43" ht="22.5" customHeight="1">
      <c r="A43" s="66">
        <v>10.0519</v>
      </c>
      <c r="B43" s="67">
        <v>105.7741</v>
      </c>
      <c r="C43" s="67">
        <v>10.00144</v>
      </c>
      <c r="D43" s="67">
        <v>105.7683</v>
      </c>
      <c r="E43" s="68">
        <v>7.26</v>
      </c>
      <c r="G43" s="69"/>
      <c r="H43" s="69"/>
      <c r="I43" s="69"/>
      <c r="J43" s="69"/>
    </row>
    <row r="44" ht="22.5" customHeight="1">
      <c r="A44" s="61">
        <v>10.0519</v>
      </c>
      <c r="B44" s="63">
        <v>105.7741</v>
      </c>
      <c r="C44" s="63">
        <v>10.00583</v>
      </c>
      <c r="D44" s="63">
        <v>105.7717</v>
      </c>
      <c r="E44" s="64">
        <v>6.663</v>
      </c>
      <c r="G44" s="69"/>
      <c r="H44" s="69"/>
      <c r="I44" s="69"/>
      <c r="J44" s="69"/>
    </row>
    <row r="45" ht="22.5" customHeight="1">
      <c r="A45" s="66">
        <v>10.0519</v>
      </c>
      <c r="B45" s="67">
        <v>105.7741</v>
      </c>
      <c r="C45" s="67">
        <v>10.00943</v>
      </c>
      <c r="D45" s="67">
        <v>105.7921</v>
      </c>
      <c r="E45" s="68">
        <v>7.163</v>
      </c>
      <c r="G45" s="69"/>
      <c r="H45" s="69"/>
      <c r="I45" s="69"/>
      <c r="J45" s="69"/>
    </row>
    <row r="46" ht="22.5" customHeight="1">
      <c r="A46" s="61">
        <v>10.0519</v>
      </c>
      <c r="B46" s="63">
        <v>105.7741</v>
      </c>
      <c r="C46" s="63">
        <v>10.01713</v>
      </c>
      <c r="D46" s="63">
        <v>105.7392</v>
      </c>
      <c r="E46" s="64">
        <v>5.872</v>
      </c>
      <c r="G46" s="69"/>
      <c r="H46" s="69"/>
      <c r="I46" s="69"/>
      <c r="J46" s="69"/>
    </row>
    <row r="47" ht="22.5" customHeight="1">
      <c r="A47" s="66">
        <v>10.0519</v>
      </c>
      <c r="B47" s="67">
        <v>105.7741</v>
      </c>
      <c r="C47" s="67">
        <v>10.02994</v>
      </c>
      <c r="D47" s="67">
        <v>105.751</v>
      </c>
      <c r="E47" s="68">
        <v>4.343</v>
      </c>
      <c r="G47" s="65"/>
      <c r="H47" s="65"/>
      <c r="I47" s="65"/>
      <c r="J47" s="65"/>
    </row>
    <row r="48" ht="22.5" customHeight="1">
      <c r="A48" s="61">
        <v>10.0519</v>
      </c>
      <c r="B48" s="63">
        <v>105.7741</v>
      </c>
      <c r="C48" s="63">
        <v>10.03381</v>
      </c>
      <c r="D48" s="63">
        <v>105.7637</v>
      </c>
      <c r="E48" s="64">
        <v>3.114</v>
      </c>
      <c r="G48" s="65"/>
      <c r="H48" s="65"/>
      <c r="I48" s="65"/>
      <c r="J48" s="65"/>
    </row>
    <row r="49" ht="22.5" customHeight="1">
      <c r="A49" s="66">
        <v>10.0519</v>
      </c>
      <c r="B49" s="67">
        <v>105.7741</v>
      </c>
      <c r="C49" s="67">
        <v>10.03708</v>
      </c>
      <c r="D49" s="67">
        <v>105.7543</v>
      </c>
      <c r="E49" s="68">
        <v>3.045</v>
      </c>
      <c r="G49" s="65"/>
      <c r="H49" s="65"/>
      <c r="I49" s="65"/>
      <c r="J49" s="65"/>
    </row>
    <row r="50" ht="22.5" customHeight="1">
      <c r="A50" s="61">
        <v>10.0519</v>
      </c>
      <c r="B50" s="63">
        <v>105.7741</v>
      </c>
      <c r="C50" s="63">
        <v>10.0519</v>
      </c>
      <c r="D50" s="63">
        <v>105.7741</v>
      </c>
      <c r="E50" s="64">
        <v>0.635</v>
      </c>
      <c r="G50" s="65"/>
      <c r="H50" s="65"/>
      <c r="I50" s="65"/>
      <c r="J50" s="65"/>
    </row>
    <row r="51" ht="22.5" customHeight="1">
      <c r="A51" s="66">
        <v>10.0519</v>
      </c>
      <c r="B51" s="67">
        <v>105.7741</v>
      </c>
      <c r="C51" s="67">
        <v>10.05905</v>
      </c>
      <c r="D51" s="67">
        <v>105.7595</v>
      </c>
      <c r="E51" s="68">
        <v>2.543</v>
      </c>
      <c r="G51" s="65"/>
      <c r="H51" s="65"/>
      <c r="I51" s="65"/>
      <c r="J51" s="65"/>
    </row>
    <row r="52" ht="22.5" customHeight="1">
      <c r="A52" s="61">
        <v>10.05905</v>
      </c>
      <c r="B52" s="63">
        <v>105.7595</v>
      </c>
      <c r="C52" s="63">
        <v>10.00144</v>
      </c>
      <c r="D52" s="63">
        <v>105.7683</v>
      </c>
      <c r="E52" s="64">
        <v>9.232</v>
      </c>
      <c r="G52" s="69"/>
      <c r="H52" s="69"/>
      <c r="I52" s="69"/>
      <c r="J52" s="69"/>
    </row>
    <row r="53" ht="22.5" customHeight="1">
      <c r="A53" s="66">
        <v>10.05905</v>
      </c>
      <c r="B53" s="67">
        <v>105.7595</v>
      </c>
      <c r="C53" s="67">
        <v>10.00583</v>
      </c>
      <c r="D53" s="67">
        <v>105.7717</v>
      </c>
      <c r="E53" s="68">
        <v>8.53</v>
      </c>
      <c r="G53" s="65"/>
      <c r="H53" s="65"/>
      <c r="I53" s="65"/>
      <c r="J53" s="65"/>
    </row>
    <row r="54" ht="22.5" customHeight="1">
      <c r="A54" s="61">
        <v>10.05905</v>
      </c>
      <c r="B54" s="63">
        <v>105.7595</v>
      </c>
      <c r="C54" s="63">
        <v>10.00943</v>
      </c>
      <c r="D54" s="63">
        <v>105.7921</v>
      </c>
      <c r="E54" s="64">
        <v>8.374</v>
      </c>
      <c r="G54" s="69"/>
      <c r="H54" s="69"/>
      <c r="I54" s="69"/>
      <c r="J54" s="69"/>
    </row>
    <row r="55" ht="22.5" customHeight="1">
      <c r="A55" s="66">
        <v>10.05905</v>
      </c>
      <c r="B55" s="67">
        <v>105.7595</v>
      </c>
      <c r="C55" s="67">
        <v>10.01713</v>
      </c>
      <c r="D55" s="67">
        <v>105.7392</v>
      </c>
      <c r="E55" s="68">
        <v>7.063</v>
      </c>
      <c r="G55" s="65"/>
      <c r="H55" s="65"/>
      <c r="I55" s="65"/>
      <c r="J55" s="65"/>
    </row>
    <row r="56" ht="22.5" customHeight="1">
      <c r="A56" s="61">
        <v>10.05905</v>
      </c>
      <c r="B56" s="63">
        <v>105.7595</v>
      </c>
      <c r="C56" s="63">
        <v>10.03381</v>
      </c>
      <c r="D56" s="63">
        <v>105.7637</v>
      </c>
      <c r="E56" s="64">
        <v>4.155</v>
      </c>
      <c r="G56" s="69"/>
      <c r="H56" s="69"/>
      <c r="I56" s="69"/>
      <c r="J56" s="69"/>
    </row>
    <row r="57" ht="22.5" customHeight="1">
      <c r="A57" s="66">
        <v>10.05905</v>
      </c>
      <c r="B57" s="67">
        <v>105.7595</v>
      </c>
      <c r="C57" s="67">
        <v>10.03708</v>
      </c>
      <c r="D57" s="67">
        <v>105.7543</v>
      </c>
      <c r="E57" s="68">
        <v>4.596</v>
      </c>
      <c r="G57" s="69"/>
      <c r="H57" s="69"/>
      <c r="I57" s="69"/>
      <c r="J57" s="69"/>
    </row>
    <row r="58" ht="22.5" customHeight="1">
      <c r="A58" s="61">
        <v>10.05905</v>
      </c>
      <c r="B58" s="63">
        <v>105.7595</v>
      </c>
      <c r="C58" s="63">
        <v>10.0519</v>
      </c>
      <c r="D58" s="63">
        <v>105.7741</v>
      </c>
      <c r="E58" s="64">
        <v>1.961</v>
      </c>
      <c r="G58" s="65"/>
      <c r="H58" s="65"/>
      <c r="I58" s="65"/>
      <c r="J58" s="65"/>
    </row>
    <row r="59" ht="22.5" customHeight="1">
      <c r="A59" s="66">
        <v>10.34815</v>
      </c>
      <c r="B59" s="67">
        <v>107.0758</v>
      </c>
      <c r="C59" s="67">
        <v>10.35166</v>
      </c>
      <c r="D59" s="67">
        <v>107.0831</v>
      </c>
      <c r="E59" s="68">
        <v>1.1</v>
      </c>
      <c r="G59" s="69"/>
      <c r="H59" s="69"/>
      <c r="I59" s="69"/>
      <c r="J59" s="69"/>
    </row>
    <row r="60" ht="22.5" customHeight="1">
      <c r="A60" s="61">
        <v>10.34815</v>
      </c>
      <c r="B60" s="63">
        <v>107.0758</v>
      </c>
      <c r="C60" s="63">
        <v>10.36121</v>
      </c>
      <c r="D60" s="63">
        <v>107.0756</v>
      </c>
      <c r="E60" s="64">
        <v>1.8</v>
      </c>
      <c r="G60" s="69"/>
      <c r="H60" s="69"/>
      <c r="I60" s="69"/>
      <c r="J60" s="69"/>
    </row>
    <row r="61" ht="22.5" customHeight="1">
      <c r="A61" s="66">
        <v>10.34815</v>
      </c>
      <c r="B61" s="67">
        <v>107.0758</v>
      </c>
      <c r="C61" s="67">
        <v>10.39232</v>
      </c>
      <c r="D61" s="67">
        <v>107.1304</v>
      </c>
      <c r="E61" s="68">
        <v>8.3</v>
      </c>
      <c r="G61" s="65"/>
      <c r="H61" s="65"/>
      <c r="I61" s="65"/>
      <c r="J61" s="65"/>
    </row>
    <row r="62" ht="22.5" customHeight="1">
      <c r="A62" s="61">
        <v>10.34815</v>
      </c>
      <c r="B62" s="63">
        <v>107.0758</v>
      </c>
      <c r="C62" s="63">
        <v>10.50018</v>
      </c>
      <c r="D62" s="63">
        <v>107.1734</v>
      </c>
      <c r="E62" s="64">
        <v>23.9</v>
      </c>
      <c r="G62" s="65"/>
      <c r="H62" s="65"/>
      <c r="I62" s="65"/>
      <c r="J62" s="65"/>
    </row>
    <row r="63" ht="22.5" customHeight="1">
      <c r="A63" s="66">
        <v>10.34839</v>
      </c>
      <c r="B63" s="67">
        <v>106.3415</v>
      </c>
      <c r="C63" s="67">
        <v>10.35665</v>
      </c>
      <c r="D63" s="67">
        <v>106.3617</v>
      </c>
      <c r="E63" s="68">
        <v>3.589</v>
      </c>
      <c r="G63" s="69"/>
      <c r="H63" s="69"/>
      <c r="I63" s="69"/>
      <c r="J63" s="69"/>
    </row>
    <row r="64" ht="22.5" customHeight="1">
      <c r="A64" s="61">
        <v>10.35166</v>
      </c>
      <c r="B64" s="63">
        <v>107.0831</v>
      </c>
      <c r="C64" s="63">
        <v>10.35166</v>
      </c>
      <c r="D64" s="63">
        <v>107.0831</v>
      </c>
      <c r="E64" s="64">
        <v>0.009</v>
      </c>
      <c r="G64" s="69"/>
      <c r="H64" s="69"/>
      <c r="I64" s="69"/>
      <c r="J64" s="69"/>
    </row>
    <row r="65" ht="22.5" customHeight="1">
      <c r="A65" s="66">
        <v>10.35166</v>
      </c>
      <c r="B65" s="67">
        <v>107.0831</v>
      </c>
      <c r="C65" s="67">
        <v>10.36121</v>
      </c>
      <c r="D65" s="67">
        <v>107.0756</v>
      </c>
      <c r="E65" s="68">
        <v>1.802</v>
      </c>
      <c r="G65" s="69"/>
      <c r="H65" s="69"/>
      <c r="I65" s="69"/>
      <c r="J65" s="69"/>
    </row>
    <row r="66" ht="22.5" customHeight="1">
      <c r="A66" s="61">
        <v>10.35174</v>
      </c>
      <c r="B66" s="63">
        <v>106.3491</v>
      </c>
      <c r="C66" s="63">
        <v>10.35665</v>
      </c>
      <c r="D66" s="63">
        <v>106.3617</v>
      </c>
      <c r="E66" s="64">
        <v>1.737</v>
      </c>
      <c r="G66" s="65"/>
      <c r="H66" s="65"/>
      <c r="I66" s="65"/>
      <c r="J66" s="65"/>
    </row>
    <row r="67" ht="22.5" customHeight="1">
      <c r="A67" s="66">
        <v>10.35179</v>
      </c>
      <c r="B67" s="67">
        <v>106.3489</v>
      </c>
      <c r="C67" s="67">
        <v>10.35441</v>
      </c>
      <c r="D67" s="67">
        <v>106.3405</v>
      </c>
      <c r="E67" s="68">
        <v>1.353</v>
      </c>
      <c r="G67" s="65"/>
      <c r="H67" s="65"/>
      <c r="I67" s="65"/>
      <c r="J67" s="65"/>
    </row>
    <row r="68" ht="22.5" customHeight="1">
      <c r="A68" s="61">
        <v>10.35179</v>
      </c>
      <c r="B68" s="63">
        <v>106.3489</v>
      </c>
      <c r="C68" s="63">
        <v>10.35665</v>
      </c>
      <c r="D68" s="63">
        <v>106.3617</v>
      </c>
      <c r="E68" s="64">
        <v>1.817</v>
      </c>
      <c r="G68" s="65"/>
      <c r="H68" s="65"/>
      <c r="I68" s="65"/>
      <c r="J68" s="65"/>
    </row>
    <row r="69" ht="22.5" customHeight="1">
      <c r="A69" s="66">
        <v>10.35179</v>
      </c>
      <c r="B69" s="67">
        <v>106.3489</v>
      </c>
      <c r="C69" s="67">
        <v>10.35694</v>
      </c>
      <c r="D69" s="67">
        <v>106.3646</v>
      </c>
      <c r="E69" s="68">
        <v>2.164</v>
      </c>
      <c r="G69" s="65"/>
      <c r="H69" s="65"/>
      <c r="I69" s="65"/>
      <c r="J69" s="65"/>
    </row>
    <row r="70" ht="22.5" customHeight="1">
      <c r="A70" s="61">
        <v>10.35441</v>
      </c>
      <c r="B70" s="63">
        <v>106.3405</v>
      </c>
      <c r="C70" s="63">
        <v>10.35441</v>
      </c>
      <c r="D70" s="63">
        <v>106.3405</v>
      </c>
      <c r="E70" s="64">
        <v>0.0</v>
      </c>
      <c r="G70" s="69"/>
      <c r="H70" s="69"/>
      <c r="I70" s="69"/>
      <c r="J70" s="69"/>
    </row>
    <row r="71" ht="22.5" customHeight="1">
      <c r="A71" s="66">
        <v>10.35441</v>
      </c>
      <c r="B71" s="67">
        <v>106.3405</v>
      </c>
      <c r="C71" s="67">
        <v>10.35565</v>
      </c>
      <c r="D71" s="67">
        <v>106.3661</v>
      </c>
      <c r="E71" s="68">
        <v>3.659</v>
      </c>
      <c r="G71" s="65"/>
      <c r="H71" s="65"/>
      <c r="I71" s="65"/>
      <c r="J71" s="65"/>
    </row>
    <row r="72" ht="22.5" customHeight="1">
      <c r="A72" s="61">
        <v>10.35441</v>
      </c>
      <c r="B72" s="63">
        <v>106.3405</v>
      </c>
      <c r="C72" s="63">
        <v>10.35665</v>
      </c>
      <c r="D72" s="63">
        <v>106.3617</v>
      </c>
      <c r="E72" s="64">
        <v>3.265</v>
      </c>
      <c r="G72" s="65"/>
      <c r="H72" s="65"/>
      <c r="I72" s="65"/>
      <c r="J72" s="65"/>
    </row>
    <row r="73" ht="22.5" customHeight="1">
      <c r="A73" s="66">
        <v>10.35441</v>
      </c>
      <c r="B73" s="67">
        <v>106.3405</v>
      </c>
      <c r="C73" s="67">
        <v>10.35694</v>
      </c>
      <c r="D73" s="67">
        <v>106.3646</v>
      </c>
      <c r="E73" s="68">
        <v>3.591</v>
      </c>
      <c r="G73" s="65"/>
      <c r="H73" s="65"/>
      <c r="I73" s="65"/>
      <c r="J73" s="65"/>
    </row>
    <row r="74" ht="22.5" customHeight="1">
      <c r="A74" s="61">
        <v>10.35441</v>
      </c>
      <c r="B74" s="63">
        <v>106.3405</v>
      </c>
      <c r="C74" s="63">
        <v>10.36474</v>
      </c>
      <c r="D74" s="63">
        <v>106.3649</v>
      </c>
      <c r="E74" s="64">
        <v>4.452</v>
      </c>
      <c r="G74" s="69"/>
      <c r="H74" s="69"/>
      <c r="I74" s="69"/>
      <c r="J74" s="69"/>
    </row>
    <row r="75" ht="22.5" customHeight="1">
      <c r="A75" s="66">
        <v>10.35441</v>
      </c>
      <c r="B75" s="67">
        <v>106.3405</v>
      </c>
      <c r="C75" s="67">
        <v>10.37085</v>
      </c>
      <c r="D75" s="67">
        <v>106.3642</v>
      </c>
      <c r="E75" s="68">
        <v>5.219</v>
      </c>
      <c r="G75" s="65"/>
      <c r="H75" s="65"/>
      <c r="I75" s="65"/>
      <c r="J75" s="65"/>
    </row>
    <row r="76" ht="22.5" customHeight="1">
      <c r="A76" s="61">
        <v>10.35441</v>
      </c>
      <c r="B76" s="63">
        <v>106.3405</v>
      </c>
      <c r="C76" s="63">
        <v>10.37122</v>
      </c>
      <c r="D76" s="63">
        <v>106.342</v>
      </c>
      <c r="E76" s="64">
        <v>1.857</v>
      </c>
      <c r="G76" s="65"/>
      <c r="H76" s="65"/>
      <c r="I76" s="65"/>
      <c r="J76" s="65"/>
    </row>
    <row r="77" ht="22.5" customHeight="1">
      <c r="A77" s="66">
        <v>10.35479</v>
      </c>
      <c r="B77" s="67">
        <v>107.0745</v>
      </c>
      <c r="C77" s="67">
        <v>10.36121</v>
      </c>
      <c r="D77" s="67">
        <v>107.0756</v>
      </c>
      <c r="E77" s="68">
        <v>0.726</v>
      </c>
      <c r="G77" s="70"/>
      <c r="H77" s="70"/>
      <c r="I77" s="70"/>
      <c r="J77" s="70"/>
    </row>
    <row r="78" ht="22.5" customHeight="1">
      <c r="A78" s="61">
        <v>10.35515</v>
      </c>
      <c r="B78" s="63">
        <v>106.3382</v>
      </c>
      <c r="C78" s="63">
        <v>10.35565</v>
      </c>
      <c r="D78" s="63">
        <v>106.3661</v>
      </c>
      <c r="E78" s="64">
        <v>3.729</v>
      </c>
      <c r="G78" s="70"/>
      <c r="H78" s="70"/>
      <c r="I78" s="70"/>
      <c r="J78" s="70"/>
    </row>
    <row r="79" ht="22.5" customHeight="1">
      <c r="A79" s="66">
        <v>10.35515</v>
      </c>
      <c r="B79" s="67">
        <v>106.3382</v>
      </c>
      <c r="C79" s="67">
        <v>10.35665</v>
      </c>
      <c r="D79" s="67">
        <v>106.3617</v>
      </c>
      <c r="E79" s="68">
        <v>3.316</v>
      </c>
      <c r="G79" s="70"/>
      <c r="H79" s="70"/>
      <c r="I79" s="70"/>
      <c r="J79" s="70"/>
    </row>
    <row r="80" ht="22.5" customHeight="1">
      <c r="A80" s="61">
        <v>10.35515</v>
      </c>
      <c r="B80" s="63">
        <v>106.3382</v>
      </c>
      <c r="C80" s="63">
        <v>10.36467</v>
      </c>
      <c r="D80" s="63">
        <v>106.365</v>
      </c>
      <c r="E80" s="64">
        <v>4.272</v>
      </c>
      <c r="G80" s="70"/>
      <c r="H80" s="70"/>
      <c r="I80" s="70"/>
      <c r="J80" s="70"/>
    </row>
    <row r="81" ht="22.5" customHeight="1">
      <c r="A81" s="66">
        <v>10.35515</v>
      </c>
      <c r="B81" s="67">
        <v>106.3382</v>
      </c>
      <c r="C81" s="67">
        <v>10.36474</v>
      </c>
      <c r="D81" s="67">
        <v>106.3649</v>
      </c>
      <c r="E81" s="68">
        <v>4.546</v>
      </c>
      <c r="G81" s="70"/>
      <c r="H81" s="70"/>
      <c r="I81" s="70"/>
      <c r="J81" s="70"/>
    </row>
    <row r="82" ht="22.5" customHeight="1">
      <c r="A82" s="61">
        <v>10.35515</v>
      </c>
      <c r="B82" s="63">
        <v>106.3382</v>
      </c>
      <c r="C82" s="63">
        <v>10.37149</v>
      </c>
      <c r="D82" s="63">
        <v>106.3416</v>
      </c>
      <c r="E82" s="64">
        <v>3.411</v>
      </c>
      <c r="G82" s="70"/>
      <c r="H82" s="70"/>
      <c r="I82" s="70"/>
      <c r="J82" s="70"/>
    </row>
    <row r="83" ht="22.5" customHeight="1">
      <c r="A83" s="66">
        <v>10.35565</v>
      </c>
      <c r="B83" s="67">
        <v>106.3661</v>
      </c>
      <c r="C83" s="67">
        <v>10.35665</v>
      </c>
      <c r="D83" s="67">
        <v>106.3617</v>
      </c>
      <c r="E83" s="68">
        <v>0.551</v>
      </c>
      <c r="G83" s="70"/>
      <c r="H83" s="70"/>
      <c r="I83" s="70"/>
      <c r="J83" s="70"/>
    </row>
    <row r="84" ht="22.5" customHeight="1">
      <c r="A84" s="61">
        <v>10.35565</v>
      </c>
      <c r="B84" s="63">
        <v>106.3661</v>
      </c>
      <c r="C84" s="63">
        <v>10.36467</v>
      </c>
      <c r="D84" s="63">
        <v>106.365</v>
      </c>
      <c r="E84" s="64">
        <v>2.01</v>
      </c>
      <c r="G84" s="70"/>
      <c r="H84" s="70"/>
      <c r="I84" s="70"/>
      <c r="J84" s="70"/>
    </row>
    <row r="85" ht="22.5" customHeight="1">
      <c r="A85" s="66">
        <v>10.35665</v>
      </c>
      <c r="B85" s="67">
        <v>106.3617</v>
      </c>
      <c r="C85" s="67">
        <v>10.35441</v>
      </c>
      <c r="D85" s="67">
        <v>106.3405</v>
      </c>
      <c r="E85" s="68">
        <v>3.1</v>
      </c>
      <c r="G85" s="70"/>
      <c r="H85" s="70"/>
      <c r="I85" s="70"/>
      <c r="J85" s="70"/>
    </row>
    <row r="86" ht="22.5" customHeight="1">
      <c r="A86" s="61">
        <v>10.35665</v>
      </c>
      <c r="B86" s="63">
        <v>106.3617</v>
      </c>
      <c r="C86" s="63">
        <v>10.35515</v>
      </c>
      <c r="D86" s="63">
        <v>106.3382</v>
      </c>
      <c r="E86" s="64">
        <v>3.6</v>
      </c>
      <c r="G86" s="70"/>
      <c r="H86" s="70"/>
      <c r="I86" s="70"/>
      <c r="J86" s="70"/>
    </row>
    <row r="87" ht="22.5" customHeight="1">
      <c r="A87" s="66">
        <v>10.35665</v>
      </c>
      <c r="B87" s="67">
        <v>106.3617</v>
      </c>
      <c r="C87" s="67">
        <v>10.35565</v>
      </c>
      <c r="D87" s="67">
        <v>106.3661</v>
      </c>
      <c r="E87" s="68">
        <v>0.6</v>
      </c>
      <c r="G87" s="70"/>
      <c r="H87" s="70"/>
      <c r="I87" s="70"/>
      <c r="J87" s="70"/>
    </row>
    <row r="88" ht="22.5" customHeight="1">
      <c r="A88" s="61">
        <v>10.35665</v>
      </c>
      <c r="B88" s="63">
        <v>106.3617</v>
      </c>
      <c r="C88" s="63">
        <v>10.35694</v>
      </c>
      <c r="D88" s="63">
        <v>106.3646</v>
      </c>
      <c r="E88" s="64">
        <v>0.4</v>
      </c>
      <c r="G88" s="70"/>
      <c r="H88" s="70"/>
      <c r="I88" s="70"/>
      <c r="J88" s="70"/>
    </row>
    <row r="89" ht="22.5" customHeight="1">
      <c r="A89" s="66">
        <v>10.35665</v>
      </c>
      <c r="B89" s="67">
        <v>106.3617</v>
      </c>
      <c r="C89" s="67">
        <v>10.36467</v>
      </c>
      <c r="D89" s="67">
        <v>106.365</v>
      </c>
      <c r="E89" s="68">
        <v>1.2</v>
      </c>
      <c r="G89" s="70"/>
      <c r="H89" s="70"/>
      <c r="I89" s="70"/>
      <c r="J89" s="70"/>
    </row>
    <row r="90" ht="22.5" customHeight="1">
      <c r="A90" s="61">
        <v>10.35665</v>
      </c>
      <c r="B90" s="63">
        <v>106.3617</v>
      </c>
      <c r="C90" s="63">
        <v>10.36474</v>
      </c>
      <c r="D90" s="63">
        <v>106.3649</v>
      </c>
      <c r="E90" s="64">
        <v>1.2</v>
      </c>
      <c r="G90" s="70"/>
      <c r="H90" s="70"/>
      <c r="I90" s="70"/>
      <c r="J90" s="70"/>
    </row>
    <row r="91" ht="22.5" customHeight="1">
      <c r="A91" s="66">
        <v>10.35665</v>
      </c>
      <c r="B91" s="67">
        <v>106.3617</v>
      </c>
      <c r="C91" s="67">
        <v>10.37122</v>
      </c>
      <c r="D91" s="67">
        <v>106.342</v>
      </c>
      <c r="E91" s="68">
        <v>3.4</v>
      </c>
      <c r="G91" s="70"/>
      <c r="H91" s="70"/>
      <c r="I91" s="70"/>
      <c r="J91" s="70"/>
    </row>
    <row r="92" ht="22.5" customHeight="1">
      <c r="A92" s="61">
        <v>10.35665</v>
      </c>
      <c r="B92" s="63">
        <v>106.3617</v>
      </c>
      <c r="C92" s="63">
        <v>10.37149</v>
      </c>
      <c r="D92" s="63">
        <v>106.3416</v>
      </c>
      <c r="E92" s="64">
        <v>3.8</v>
      </c>
      <c r="G92" s="70"/>
      <c r="H92" s="70"/>
      <c r="I92" s="70"/>
      <c r="J92" s="70"/>
    </row>
    <row r="93" ht="22.5" customHeight="1">
      <c r="A93" s="66">
        <v>10.35665</v>
      </c>
      <c r="B93" s="67">
        <v>106.3617</v>
      </c>
      <c r="C93" s="67">
        <v>10.37375</v>
      </c>
      <c r="D93" s="67">
        <v>106.3467</v>
      </c>
      <c r="E93" s="68">
        <v>2.0</v>
      </c>
      <c r="G93" s="70"/>
      <c r="H93" s="70"/>
      <c r="I93" s="70"/>
      <c r="J93" s="70"/>
    </row>
    <row r="94" ht="22.5" customHeight="1">
      <c r="A94" s="61">
        <v>10.35694</v>
      </c>
      <c r="B94" s="63">
        <v>106.3646</v>
      </c>
      <c r="C94" s="63">
        <v>10.35665</v>
      </c>
      <c r="D94" s="63">
        <v>106.3617</v>
      </c>
      <c r="E94" s="64">
        <v>0.683</v>
      </c>
      <c r="G94" s="70"/>
      <c r="H94" s="70"/>
      <c r="I94" s="70"/>
      <c r="J94" s="70"/>
    </row>
    <row r="95" ht="22.5" customHeight="1">
      <c r="A95" s="66">
        <v>10.35694</v>
      </c>
      <c r="B95" s="67">
        <v>106.3646</v>
      </c>
      <c r="C95" s="67">
        <v>10.35694</v>
      </c>
      <c r="D95" s="67">
        <v>106.3646</v>
      </c>
      <c r="E95" s="68">
        <v>0.182</v>
      </c>
      <c r="G95" s="70"/>
      <c r="H95" s="70"/>
      <c r="I95" s="70"/>
      <c r="J95" s="70"/>
    </row>
    <row r="96" ht="22.5" customHeight="1">
      <c r="A96" s="61">
        <v>10.35694</v>
      </c>
      <c r="B96" s="63">
        <v>106.3646</v>
      </c>
      <c r="C96" s="63">
        <v>10.37085</v>
      </c>
      <c r="D96" s="63">
        <v>106.3642</v>
      </c>
      <c r="E96" s="64">
        <v>1.632</v>
      </c>
      <c r="G96" s="70"/>
      <c r="H96" s="70"/>
      <c r="I96" s="70"/>
      <c r="J96" s="70"/>
    </row>
    <row r="97" ht="22.5" customHeight="1">
      <c r="A97" s="66">
        <v>10.36121</v>
      </c>
      <c r="B97" s="67">
        <v>107.0756</v>
      </c>
      <c r="C97" s="67">
        <v>10.34815</v>
      </c>
      <c r="D97" s="67">
        <v>107.0758</v>
      </c>
      <c r="E97" s="68">
        <v>1.5</v>
      </c>
      <c r="G97" s="70"/>
      <c r="H97" s="70"/>
      <c r="I97" s="70"/>
      <c r="J97" s="70"/>
    </row>
    <row r="98" ht="22.5" customHeight="1">
      <c r="A98" s="61">
        <v>10.36467</v>
      </c>
      <c r="B98" s="63">
        <v>106.365</v>
      </c>
      <c r="C98" s="63">
        <v>10.35441</v>
      </c>
      <c r="D98" s="63">
        <v>106.3405</v>
      </c>
      <c r="E98" s="64">
        <v>4.484</v>
      </c>
      <c r="G98" s="70"/>
      <c r="H98" s="70"/>
      <c r="I98" s="70"/>
      <c r="J98" s="70"/>
    </row>
    <row r="99" ht="22.5" customHeight="1">
      <c r="A99" s="66">
        <v>10.36467</v>
      </c>
      <c r="B99" s="67">
        <v>106.365</v>
      </c>
      <c r="C99" s="67">
        <v>10.35665</v>
      </c>
      <c r="D99" s="67">
        <v>106.3617</v>
      </c>
      <c r="E99" s="68">
        <v>1.197</v>
      </c>
      <c r="G99" s="70"/>
      <c r="H99" s="70"/>
      <c r="I99" s="70"/>
      <c r="J99" s="70"/>
    </row>
    <row r="100" ht="22.5" customHeight="1">
      <c r="A100" s="61">
        <v>10.36467</v>
      </c>
      <c r="B100" s="63">
        <v>106.365</v>
      </c>
      <c r="C100" s="63">
        <v>10.35694</v>
      </c>
      <c r="D100" s="63">
        <v>106.3646</v>
      </c>
      <c r="E100" s="64">
        <v>1.042</v>
      </c>
      <c r="G100" s="70"/>
      <c r="H100" s="70"/>
      <c r="I100" s="70"/>
      <c r="J100" s="70"/>
    </row>
    <row r="101" ht="22.5" customHeight="1">
      <c r="A101" s="66">
        <v>10.36467</v>
      </c>
      <c r="B101" s="67">
        <v>106.365</v>
      </c>
      <c r="C101" s="67">
        <v>10.36467</v>
      </c>
      <c r="D101" s="67">
        <v>106.365</v>
      </c>
      <c r="E101" s="68">
        <v>0.0</v>
      </c>
      <c r="G101" s="70"/>
      <c r="H101" s="70"/>
      <c r="I101" s="70"/>
      <c r="J101" s="70"/>
    </row>
    <row r="102" ht="22.5" customHeight="1">
      <c r="A102" s="61">
        <v>10.36474</v>
      </c>
      <c r="B102" s="63">
        <v>106.3649</v>
      </c>
      <c r="C102" s="63">
        <v>10.35665</v>
      </c>
      <c r="D102" s="63">
        <v>106.3617</v>
      </c>
      <c r="E102" s="64">
        <v>2.0</v>
      </c>
      <c r="G102" s="70"/>
      <c r="H102" s="70"/>
      <c r="I102" s="70"/>
      <c r="J102" s="70"/>
    </row>
    <row r="103" ht="22.5" customHeight="1">
      <c r="A103" s="66">
        <v>10.36474</v>
      </c>
      <c r="B103" s="67">
        <v>106.3649</v>
      </c>
      <c r="C103" s="67">
        <v>10.35694</v>
      </c>
      <c r="D103" s="67">
        <v>106.3646</v>
      </c>
      <c r="E103" s="68">
        <v>1.856</v>
      </c>
      <c r="G103" s="70"/>
      <c r="H103" s="70"/>
      <c r="I103" s="70"/>
      <c r="J103" s="70"/>
    </row>
    <row r="104" ht="22.5" customHeight="1">
      <c r="A104" s="61">
        <v>10.36474</v>
      </c>
      <c r="B104" s="63">
        <v>106.3649</v>
      </c>
      <c r="C104" s="63">
        <v>10.37085</v>
      </c>
      <c r="D104" s="63">
        <v>106.3642</v>
      </c>
      <c r="E104" s="64">
        <v>0.752</v>
      </c>
      <c r="G104" s="70"/>
      <c r="H104" s="70"/>
      <c r="I104" s="70"/>
      <c r="J104" s="70"/>
    </row>
    <row r="105" ht="22.5" customHeight="1">
      <c r="A105" s="66">
        <v>10.36474</v>
      </c>
      <c r="B105" s="67">
        <v>106.3649</v>
      </c>
      <c r="C105" s="67">
        <v>10.37122</v>
      </c>
      <c r="D105" s="67">
        <v>106.342</v>
      </c>
      <c r="E105" s="68">
        <v>5.005</v>
      </c>
      <c r="G105" s="70"/>
      <c r="H105" s="70"/>
      <c r="I105" s="70"/>
      <c r="J105" s="70"/>
    </row>
    <row r="106" ht="22.5" customHeight="1">
      <c r="A106" s="61">
        <v>10.36474</v>
      </c>
      <c r="B106" s="63">
        <v>106.3649</v>
      </c>
      <c r="C106" s="63">
        <v>10.37149</v>
      </c>
      <c r="D106" s="63">
        <v>106.3416</v>
      </c>
      <c r="E106" s="64">
        <v>4.728</v>
      </c>
      <c r="G106" s="70"/>
      <c r="H106" s="70"/>
      <c r="I106" s="70"/>
      <c r="J106" s="70"/>
    </row>
    <row r="107" ht="22.5" customHeight="1">
      <c r="A107" s="66">
        <v>10.36476</v>
      </c>
      <c r="B107" s="67">
        <v>107.0933</v>
      </c>
      <c r="C107" s="67">
        <v>10.36121</v>
      </c>
      <c r="D107" s="67">
        <v>107.0756</v>
      </c>
      <c r="E107" s="68">
        <v>2.586</v>
      </c>
      <c r="G107" s="70"/>
      <c r="H107" s="70"/>
      <c r="I107" s="70"/>
      <c r="J107" s="70"/>
    </row>
    <row r="108" ht="22.5" customHeight="1">
      <c r="A108" s="61">
        <v>10.36757</v>
      </c>
      <c r="B108" s="63">
        <v>107.0764</v>
      </c>
      <c r="C108" s="63">
        <v>10.36121</v>
      </c>
      <c r="D108" s="63">
        <v>107.0756</v>
      </c>
      <c r="E108" s="64">
        <v>0.74</v>
      </c>
      <c r="G108" s="70"/>
      <c r="H108" s="70"/>
      <c r="I108" s="70"/>
      <c r="J108" s="70"/>
    </row>
    <row r="109" ht="22.5" customHeight="1">
      <c r="A109" s="66">
        <v>10.37085</v>
      </c>
      <c r="B109" s="67">
        <v>106.3642</v>
      </c>
      <c r="C109" s="67">
        <v>10.35441</v>
      </c>
      <c r="D109" s="67">
        <v>106.3405</v>
      </c>
      <c r="E109" s="68">
        <v>5.224</v>
      </c>
      <c r="G109" s="70"/>
      <c r="H109" s="70"/>
      <c r="I109" s="70"/>
      <c r="J109" s="70"/>
    </row>
    <row r="110" ht="22.5" customHeight="1">
      <c r="A110" s="61">
        <v>10.37085</v>
      </c>
      <c r="B110" s="63">
        <v>106.3642</v>
      </c>
      <c r="C110" s="63">
        <v>10.35565</v>
      </c>
      <c r="D110" s="63">
        <v>106.3661</v>
      </c>
      <c r="E110" s="64">
        <v>1.944</v>
      </c>
      <c r="G110" s="70"/>
      <c r="H110" s="70"/>
      <c r="I110" s="70"/>
      <c r="J110" s="70"/>
    </row>
    <row r="111" ht="22.5" customHeight="1">
      <c r="A111" s="66">
        <v>10.37085</v>
      </c>
      <c r="B111" s="67">
        <v>106.3642</v>
      </c>
      <c r="C111" s="67">
        <v>10.35665</v>
      </c>
      <c r="D111" s="67">
        <v>106.3617</v>
      </c>
      <c r="E111" s="68">
        <v>1.976</v>
      </c>
      <c r="G111" s="70"/>
      <c r="H111" s="70"/>
      <c r="I111" s="70"/>
      <c r="J111" s="70"/>
    </row>
    <row r="112" ht="22.5" customHeight="1">
      <c r="A112" s="61">
        <v>10.37085</v>
      </c>
      <c r="B112" s="63">
        <v>106.3642</v>
      </c>
      <c r="C112" s="63">
        <v>10.35694</v>
      </c>
      <c r="D112" s="63">
        <v>106.3646</v>
      </c>
      <c r="E112" s="64">
        <v>1.812</v>
      </c>
      <c r="G112" s="70"/>
      <c r="H112" s="70"/>
      <c r="I112" s="70"/>
      <c r="J112" s="70"/>
    </row>
    <row r="113" ht="22.5" customHeight="1">
      <c r="A113" s="66">
        <v>10.37085</v>
      </c>
      <c r="B113" s="67">
        <v>106.3642</v>
      </c>
      <c r="C113" s="67">
        <v>10.37085</v>
      </c>
      <c r="D113" s="67">
        <v>106.3642</v>
      </c>
      <c r="E113" s="68">
        <v>0.0</v>
      </c>
      <c r="G113" s="70"/>
      <c r="H113" s="70"/>
      <c r="I113" s="70"/>
      <c r="J113" s="70"/>
    </row>
    <row r="114" ht="22.5" customHeight="1">
      <c r="A114" s="61">
        <v>10.37122</v>
      </c>
      <c r="B114" s="63">
        <v>106.342</v>
      </c>
      <c r="C114" s="63">
        <v>10.35441</v>
      </c>
      <c r="D114" s="63">
        <v>106.3405</v>
      </c>
      <c r="E114" s="64">
        <v>1.531</v>
      </c>
      <c r="G114" s="70"/>
      <c r="H114" s="70"/>
      <c r="I114" s="70"/>
      <c r="J114" s="70"/>
    </row>
    <row r="115" ht="22.5" customHeight="1">
      <c r="A115" s="66">
        <v>10.37122</v>
      </c>
      <c r="B115" s="67">
        <v>106.342</v>
      </c>
      <c r="C115" s="67">
        <v>10.35515</v>
      </c>
      <c r="D115" s="67">
        <v>106.3382</v>
      </c>
      <c r="E115" s="68">
        <v>1.617</v>
      </c>
      <c r="G115" s="70"/>
      <c r="H115" s="70"/>
      <c r="I115" s="70"/>
      <c r="J115" s="70"/>
    </row>
    <row r="116" ht="22.5" customHeight="1">
      <c r="A116" s="61">
        <v>10.37122</v>
      </c>
      <c r="B116" s="63">
        <v>106.342</v>
      </c>
      <c r="C116" s="63">
        <v>10.35665</v>
      </c>
      <c r="D116" s="63">
        <v>106.3617</v>
      </c>
      <c r="E116" s="64">
        <v>3.514</v>
      </c>
      <c r="G116" s="70"/>
      <c r="H116" s="70"/>
      <c r="I116" s="70"/>
      <c r="J116" s="70"/>
    </row>
    <row r="117" ht="22.5" customHeight="1">
      <c r="A117" s="66">
        <v>10.37122</v>
      </c>
      <c r="B117" s="67">
        <v>106.342</v>
      </c>
      <c r="C117" s="67">
        <v>10.35694</v>
      </c>
      <c r="D117" s="67">
        <v>106.3646</v>
      </c>
      <c r="E117" s="68">
        <v>4.415</v>
      </c>
      <c r="G117" s="70"/>
      <c r="H117" s="70"/>
      <c r="I117" s="70"/>
      <c r="J117" s="70"/>
    </row>
    <row r="118" ht="22.5" customHeight="1">
      <c r="A118" s="61">
        <v>10.37122</v>
      </c>
      <c r="B118" s="63">
        <v>106.342</v>
      </c>
      <c r="C118" s="63">
        <v>10.37149</v>
      </c>
      <c r="D118" s="63">
        <v>106.3416</v>
      </c>
      <c r="E118" s="64">
        <v>2.055</v>
      </c>
      <c r="G118" s="70"/>
      <c r="H118" s="70"/>
      <c r="I118" s="70"/>
      <c r="J118" s="70"/>
    </row>
    <row r="119" ht="22.5" customHeight="1">
      <c r="A119" s="66">
        <v>10.37149</v>
      </c>
      <c r="B119" s="67">
        <v>106.3416</v>
      </c>
      <c r="C119" s="67">
        <v>10.35515</v>
      </c>
      <c r="D119" s="67">
        <v>106.3382</v>
      </c>
      <c r="E119" s="68">
        <v>2.055</v>
      </c>
      <c r="G119" s="70"/>
      <c r="H119" s="70"/>
      <c r="I119" s="70"/>
      <c r="J119" s="70"/>
    </row>
    <row r="120" ht="22.5" customHeight="1">
      <c r="A120" s="61">
        <v>10.37149</v>
      </c>
      <c r="B120" s="63">
        <v>106.3416</v>
      </c>
      <c r="C120" s="63">
        <v>10.35665</v>
      </c>
      <c r="D120" s="63">
        <v>106.3617</v>
      </c>
      <c r="E120" s="64">
        <v>3.853</v>
      </c>
      <c r="G120" s="70"/>
      <c r="H120" s="70"/>
      <c r="I120" s="70"/>
      <c r="J120" s="70"/>
    </row>
    <row r="121" ht="22.5" customHeight="1">
      <c r="A121" s="66">
        <v>10.37149</v>
      </c>
      <c r="B121" s="67">
        <v>106.3416</v>
      </c>
      <c r="C121" s="67">
        <v>10.37122</v>
      </c>
      <c r="D121" s="67">
        <v>106.342</v>
      </c>
      <c r="E121" s="68">
        <v>0.397</v>
      </c>
      <c r="G121" s="70"/>
      <c r="H121" s="70"/>
      <c r="I121" s="70"/>
      <c r="J121" s="70"/>
    </row>
    <row r="122" ht="22.5" customHeight="1">
      <c r="A122" s="61">
        <v>10.37375</v>
      </c>
      <c r="B122" s="63">
        <v>106.3467</v>
      </c>
      <c r="C122" s="63">
        <v>10.35441</v>
      </c>
      <c r="D122" s="63">
        <v>106.3405</v>
      </c>
      <c r="E122" s="64">
        <v>4.2</v>
      </c>
    </row>
    <row r="123" ht="22.5" customHeight="1">
      <c r="A123" s="66">
        <v>10.37375</v>
      </c>
      <c r="B123" s="67">
        <v>106.3467</v>
      </c>
      <c r="C123" s="67">
        <v>10.35515</v>
      </c>
      <c r="D123" s="67">
        <v>106.3382</v>
      </c>
      <c r="E123" s="68">
        <v>3.2</v>
      </c>
    </row>
    <row r="124" ht="22.5" customHeight="1">
      <c r="A124" s="61">
        <v>10.37375</v>
      </c>
      <c r="B124" s="63">
        <v>106.3467</v>
      </c>
      <c r="C124" s="63">
        <v>10.35565</v>
      </c>
      <c r="D124" s="63">
        <v>106.3661</v>
      </c>
      <c r="E124" s="64">
        <v>3.2</v>
      </c>
    </row>
    <row r="125" ht="22.5" customHeight="1">
      <c r="A125" s="66">
        <v>10.37375</v>
      </c>
      <c r="B125" s="67">
        <v>106.3467</v>
      </c>
      <c r="C125" s="67">
        <v>10.35665</v>
      </c>
      <c r="D125" s="67">
        <v>106.3617</v>
      </c>
      <c r="E125" s="68">
        <v>2.7</v>
      </c>
    </row>
    <row r="126" ht="22.5" customHeight="1">
      <c r="A126" s="61">
        <v>10.37375</v>
      </c>
      <c r="B126" s="63">
        <v>106.3467</v>
      </c>
      <c r="C126" s="63">
        <v>10.35694</v>
      </c>
      <c r="D126" s="63">
        <v>106.3646</v>
      </c>
      <c r="E126" s="64">
        <v>3.1</v>
      </c>
    </row>
    <row r="127" ht="22.5" customHeight="1">
      <c r="A127" s="66">
        <v>10.37375</v>
      </c>
      <c r="B127" s="67">
        <v>106.3467</v>
      </c>
      <c r="C127" s="67">
        <v>10.36474</v>
      </c>
      <c r="D127" s="67">
        <v>106.3649</v>
      </c>
      <c r="E127" s="68">
        <v>2.8</v>
      </c>
    </row>
    <row r="128" ht="22.5" customHeight="1">
      <c r="A128" s="61">
        <v>10.37375</v>
      </c>
      <c r="B128" s="63">
        <v>106.3467</v>
      </c>
      <c r="C128" s="63">
        <v>10.37085</v>
      </c>
      <c r="D128" s="63">
        <v>106.3642</v>
      </c>
      <c r="E128" s="64">
        <v>2.8</v>
      </c>
    </row>
    <row r="129" ht="22.5" customHeight="1">
      <c r="A129" s="66">
        <v>10.37375</v>
      </c>
      <c r="B129" s="67">
        <v>106.3467</v>
      </c>
      <c r="C129" s="67">
        <v>10.37122</v>
      </c>
      <c r="D129" s="67">
        <v>106.342</v>
      </c>
      <c r="E129" s="68">
        <v>1.6</v>
      </c>
    </row>
    <row r="130" ht="22.5" customHeight="1">
      <c r="A130" s="61">
        <v>10.37375</v>
      </c>
      <c r="B130" s="63">
        <v>106.3467</v>
      </c>
      <c r="C130" s="63">
        <v>10.37149</v>
      </c>
      <c r="D130" s="63">
        <v>106.3416</v>
      </c>
      <c r="E130" s="64">
        <v>1.2</v>
      </c>
    </row>
    <row r="131" ht="22.5" customHeight="1">
      <c r="A131" s="66">
        <v>10.39214</v>
      </c>
      <c r="B131" s="67">
        <v>107.1299</v>
      </c>
      <c r="C131" s="67">
        <v>10.36121</v>
      </c>
      <c r="D131" s="67">
        <v>107.0756</v>
      </c>
      <c r="E131" s="68">
        <v>9.067</v>
      </c>
    </row>
    <row r="132" ht="22.5" customHeight="1">
      <c r="A132" s="61">
        <v>10.39232</v>
      </c>
      <c r="B132" s="63">
        <v>107.1304</v>
      </c>
      <c r="C132" s="63">
        <v>10.35166</v>
      </c>
      <c r="D132" s="63">
        <v>107.0831</v>
      </c>
      <c r="E132" s="64">
        <v>8.152</v>
      </c>
    </row>
    <row r="133" ht="22.5" customHeight="1">
      <c r="A133" s="66">
        <v>10.42613</v>
      </c>
      <c r="B133" s="67">
        <v>106.32</v>
      </c>
      <c r="C133" s="67">
        <v>10.53548</v>
      </c>
      <c r="D133" s="67">
        <v>106.417</v>
      </c>
      <c r="E133" s="68">
        <v>19.5</v>
      </c>
    </row>
    <row r="134" ht="22.5" customHeight="1">
      <c r="A134" s="61">
        <v>10.43895</v>
      </c>
      <c r="B134" s="63">
        <v>106.471</v>
      </c>
      <c r="C134" s="63">
        <v>10.53548</v>
      </c>
      <c r="D134" s="63">
        <v>106.417</v>
      </c>
      <c r="E134" s="64">
        <v>13.125</v>
      </c>
    </row>
    <row r="135" ht="22.5" customHeight="1">
      <c r="A135" s="66">
        <v>10.43902</v>
      </c>
      <c r="B135" s="67">
        <v>106.4713</v>
      </c>
      <c r="C135" s="67">
        <v>10.4525</v>
      </c>
      <c r="D135" s="67">
        <v>106.4576</v>
      </c>
      <c r="E135" s="68">
        <v>2.454</v>
      </c>
    </row>
    <row r="136" ht="22.5" customHeight="1">
      <c r="A136" s="61">
        <v>10.43902</v>
      </c>
      <c r="B136" s="63">
        <v>106.4713</v>
      </c>
      <c r="C136" s="63">
        <v>10.49079</v>
      </c>
      <c r="D136" s="63">
        <v>106.3728</v>
      </c>
      <c r="E136" s="64">
        <v>16.6</v>
      </c>
    </row>
    <row r="137" ht="22.5" customHeight="1">
      <c r="A137" s="66">
        <v>10.43902</v>
      </c>
      <c r="B137" s="67">
        <v>106.4713</v>
      </c>
      <c r="C137" s="67">
        <v>10.52095</v>
      </c>
      <c r="D137" s="67">
        <v>106.4214</v>
      </c>
      <c r="E137" s="68">
        <v>11.611</v>
      </c>
    </row>
    <row r="138" ht="22.5" customHeight="1">
      <c r="A138" s="61">
        <v>10.43902</v>
      </c>
      <c r="B138" s="63">
        <v>106.4713</v>
      </c>
      <c r="C138" s="63">
        <v>10.53548</v>
      </c>
      <c r="D138" s="63">
        <v>106.417</v>
      </c>
      <c r="E138" s="64">
        <v>13.141</v>
      </c>
    </row>
    <row r="139" ht="22.5" customHeight="1">
      <c r="A139" s="66">
        <v>10.43902</v>
      </c>
      <c r="B139" s="67">
        <v>106.4713</v>
      </c>
      <c r="C139" s="67">
        <v>10.63433</v>
      </c>
      <c r="D139" s="67">
        <v>106.491</v>
      </c>
      <c r="E139" s="68">
        <v>30.224</v>
      </c>
    </row>
    <row r="140" ht="22.5" customHeight="1">
      <c r="A140" s="61">
        <v>10.43904</v>
      </c>
      <c r="B140" s="63">
        <v>106.474</v>
      </c>
      <c r="C140" s="63">
        <v>10.49079</v>
      </c>
      <c r="D140" s="63">
        <v>106.3728</v>
      </c>
      <c r="E140" s="64">
        <v>17.148</v>
      </c>
    </row>
    <row r="141" ht="22.5" customHeight="1">
      <c r="A141" s="66">
        <v>10.43904</v>
      </c>
      <c r="B141" s="67">
        <v>106.474</v>
      </c>
      <c r="C141" s="67">
        <v>10.50794</v>
      </c>
      <c r="D141" s="67">
        <v>106.4664</v>
      </c>
      <c r="E141" s="68">
        <v>8.916</v>
      </c>
    </row>
    <row r="142" ht="22.5" customHeight="1">
      <c r="A142" s="61">
        <v>10.43904</v>
      </c>
      <c r="B142" s="63">
        <v>106.474</v>
      </c>
      <c r="C142" s="63">
        <v>10.51414</v>
      </c>
      <c r="D142" s="63">
        <v>106.5113</v>
      </c>
      <c r="E142" s="64">
        <v>11.245</v>
      </c>
    </row>
    <row r="143" ht="22.5" customHeight="1">
      <c r="A143" s="66">
        <v>10.43904</v>
      </c>
      <c r="B143" s="67">
        <v>106.474</v>
      </c>
      <c r="C143" s="67">
        <v>10.52095</v>
      </c>
      <c r="D143" s="67">
        <v>106.4214</v>
      </c>
      <c r="E143" s="68">
        <v>12.012</v>
      </c>
    </row>
    <row r="144" ht="22.5" customHeight="1">
      <c r="A144" s="61">
        <v>10.43904</v>
      </c>
      <c r="B144" s="63">
        <v>106.474</v>
      </c>
      <c r="C144" s="63">
        <v>10.53548</v>
      </c>
      <c r="D144" s="63">
        <v>106.417</v>
      </c>
      <c r="E144" s="64">
        <v>13.557</v>
      </c>
    </row>
    <row r="145" ht="22.5" customHeight="1">
      <c r="A145" s="66">
        <v>10.4525</v>
      </c>
      <c r="B145" s="67">
        <v>106.4576</v>
      </c>
      <c r="C145" s="67">
        <v>10.50794</v>
      </c>
      <c r="D145" s="67">
        <v>106.4664</v>
      </c>
      <c r="E145" s="68">
        <v>7.845</v>
      </c>
    </row>
    <row r="146" ht="22.5" customHeight="1">
      <c r="A146" s="61">
        <v>10.4525</v>
      </c>
      <c r="B146" s="63">
        <v>106.4576</v>
      </c>
      <c r="C146" s="63">
        <v>10.52001</v>
      </c>
      <c r="D146" s="63">
        <v>106.4121</v>
      </c>
      <c r="E146" s="64">
        <v>10.923</v>
      </c>
    </row>
    <row r="147" ht="22.5" customHeight="1">
      <c r="A147" s="66">
        <v>10.4525</v>
      </c>
      <c r="B147" s="67">
        <v>106.4576</v>
      </c>
      <c r="C147" s="67">
        <v>10.52095</v>
      </c>
      <c r="D147" s="67">
        <v>106.4214</v>
      </c>
      <c r="E147" s="68">
        <v>9.123</v>
      </c>
    </row>
    <row r="148" ht="22.5" customHeight="1">
      <c r="A148" s="61">
        <v>10.4525</v>
      </c>
      <c r="B148" s="63">
        <v>106.4576</v>
      </c>
      <c r="C148" s="63">
        <v>10.53548</v>
      </c>
      <c r="D148" s="63">
        <v>106.417</v>
      </c>
      <c r="E148" s="64">
        <v>10.636</v>
      </c>
    </row>
    <row r="149" ht="22.5" customHeight="1">
      <c r="A149" s="66">
        <v>10.49079</v>
      </c>
      <c r="B149" s="67">
        <v>106.3728</v>
      </c>
      <c r="C149" s="67">
        <v>10.43902</v>
      </c>
      <c r="D149" s="67">
        <v>106.4713</v>
      </c>
      <c r="E149" s="68">
        <v>15.249</v>
      </c>
    </row>
    <row r="150" ht="22.5" customHeight="1">
      <c r="A150" s="61">
        <v>10.49079</v>
      </c>
      <c r="B150" s="63">
        <v>106.3728</v>
      </c>
      <c r="C150" s="63">
        <v>10.43904</v>
      </c>
      <c r="D150" s="63">
        <v>106.474</v>
      </c>
      <c r="E150" s="64">
        <v>13.673</v>
      </c>
    </row>
    <row r="151" ht="22.5" customHeight="1">
      <c r="A151" s="66">
        <v>10.49079</v>
      </c>
      <c r="B151" s="67">
        <v>106.3728</v>
      </c>
      <c r="C151" s="67">
        <v>10.4525</v>
      </c>
      <c r="D151" s="67">
        <v>106.4576</v>
      </c>
      <c r="E151" s="68">
        <v>12.763</v>
      </c>
    </row>
    <row r="152" ht="22.5" customHeight="1">
      <c r="A152" s="61">
        <v>10.49079</v>
      </c>
      <c r="B152" s="63">
        <v>106.3728</v>
      </c>
      <c r="C152" s="63">
        <v>10.50794</v>
      </c>
      <c r="D152" s="63">
        <v>106.4664</v>
      </c>
      <c r="E152" s="64">
        <v>14.237</v>
      </c>
    </row>
    <row r="153" ht="22.5" customHeight="1">
      <c r="A153" s="66">
        <v>10.49079</v>
      </c>
      <c r="B153" s="67">
        <v>106.3728</v>
      </c>
      <c r="C153" s="67">
        <v>10.51414</v>
      </c>
      <c r="D153" s="67">
        <v>106.5113</v>
      </c>
      <c r="E153" s="68">
        <v>21.17</v>
      </c>
    </row>
    <row r="154" ht="22.5" customHeight="1">
      <c r="A154" s="61">
        <v>10.49079</v>
      </c>
      <c r="B154" s="63">
        <v>106.3728</v>
      </c>
      <c r="C154" s="63">
        <v>10.52001</v>
      </c>
      <c r="D154" s="63">
        <v>106.4121</v>
      </c>
      <c r="E154" s="64">
        <v>6.73</v>
      </c>
    </row>
    <row r="155" ht="22.5" customHeight="1">
      <c r="A155" s="66">
        <v>10.49079</v>
      </c>
      <c r="B155" s="67">
        <v>106.3728</v>
      </c>
      <c r="C155" s="67">
        <v>10.52095</v>
      </c>
      <c r="D155" s="67">
        <v>106.4214</v>
      </c>
      <c r="E155" s="68">
        <v>8.12</v>
      </c>
    </row>
    <row r="156" ht="22.5" customHeight="1">
      <c r="A156" s="61">
        <v>10.49079</v>
      </c>
      <c r="B156" s="63">
        <v>106.3728</v>
      </c>
      <c r="C156" s="63">
        <v>10.53548</v>
      </c>
      <c r="D156" s="63">
        <v>106.417</v>
      </c>
      <c r="E156" s="64">
        <v>8.178</v>
      </c>
    </row>
    <row r="157" ht="22.5" customHeight="1">
      <c r="A157" s="66">
        <v>10.49079</v>
      </c>
      <c r="B157" s="67">
        <v>106.3728</v>
      </c>
      <c r="C157" s="67">
        <v>10.77509</v>
      </c>
      <c r="D157" s="67">
        <v>106.6727</v>
      </c>
      <c r="E157" s="68">
        <v>53.575</v>
      </c>
    </row>
    <row r="158" ht="22.5" customHeight="1">
      <c r="A158" s="61">
        <v>10.49441</v>
      </c>
      <c r="B158" s="63">
        <v>106.4236</v>
      </c>
      <c r="C158" s="63">
        <v>10.53548</v>
      </c>
      <c r="D158" s="63">
        <v>106.417</v>
      </c>
      <c r="E158" s="64">
        <v>6.832</v>
      </c>
    </row>
    <row r="159" ht="22.5" customHeight="1">
      <c r="A159" s="66">
        <v>10.50018</v>
      </c>
      <c r="B159" s="67">
        <v>107.1734</v>
      </c>
      <c r="C159" s="67">
        <v>10.35166</v>
      </c>
      <c r="D159" s="67">
        <v>107.0831</v>
      </c>
      <c r="E159" s="68">
        <v>22.196</v>
      </c>
    </row>
    <row r="160" ht="22.5" customHeight="1">
      <c r="A160" s="61">
        <v>10.50018</v>
      </c>
      <c r="B160" s="63">
        <v>107.1734</v>
      </c>
      <c r="C160" s="63">
        <v>10.36121</v>
      </c>
      <c r="D160" s="63">
        <v>107.0756</v>
      </c>
      <c r="E160" s="64">
        <v>3.438</v>
      </c>
    </row>
    <row r="161" ht="22.5" customHeight="1">
      <c r="A161" s="66">
        <v>10.50018</v>
      </c>
      <c r="B161" s="67">
        <v>107.1734</v>
      </c>
      <c r="C161" s="67">
        <v>10.49088</v>
      </c>
      <c r="D161" s="67">
        <v>107.1683</v>
      </c>
      <c r="E161" s="68">
        <v>2.207</v>
      </c>
    </row>
    <row r="162" ht="22.5" customHeight="1">
      <c r="A162" s="61">
        <v>10.50018</v>
      </c>
      <c r="B162" s="63">
        <v>107.1734</v>
      </c>
      <c r="C162" s="63">
        <v>10.49097</v>
      </c>
      <c r="D162" s="63">
        <v>107.1682</v>
      </c>
      <c r="E162" s="64">
        <v>2.191</v>
      </c>
    </row>
    <row r="163" ht="22.5" customHeight="1">
      <c r="A163" s="66">
        <v>10.50018</v>
      </c>
      <c r="B163" s="67">
        <v>107.1734</v>
      </c>
      <c r="C163" s="67">
        <v>10.50274</v>
      </c>
      <c r="D163" s="67">
        <v>107.1485</v>
      </c>
      <c r="E163" s="68">
        <v>3.564</v>
      </c>
    </row>
    <row r="164" ht="22.5" customHeight="1">
      <c r="A164" s="61">
        <v>10.50018</v>
      </c>
      <c r="B164" s="63">
        <v>107.1734</v>
      </c>
      <c r="C164" s="63">
        <v>10.506</v>
      </c>
      <c r="D164" s="63">
        <v>107.0912</v>
      </c>
      <c r="E164" s="64">
        <v>3.489</v>
      </c>
    </row>
    <row r="165" ht="22.5" customHeight="1">
      <c r="A165" s="66">
        <v>10.50018</v>
      </c>
      <c r="B165" s="67">
        <v>107.1734</v>
      </c>
      <c r="C165" s="67">
        <v>10.50617</v>
      </c>
      <c r="D165" s="67">
        <v>107.0913</v>
      </c>
      <c r="E165" s="68">
        <v>11.576</v>
      </c>
    </row>
    <row r="166" ht="22.5" customHeight="1">
      <c r="A166" s="61">
        <v>10.50794</v>
      </c>
      <c r="B166" s="63">
        <v>106.4664</v>
      </c>
      <c r="C166" s="63">
        <v>10.43904</v>
      </c>
      <c r="D166" s="63">
        <v>106.474</v>
      </c>
      <c r="E166" s="64">
        <v>8.93</v>
      </c>
    </row>
    <row r="167" ht="22.5" customHeight="1">
      <c r="A167" s="66">
        <v>10.50794</v>
      </c>
      <c r="B167" s="67">
        <v>106.4664</v>
      </c>
      <c r="C167" s="67">
        <v>10.52095</v>
      </c>
      <c r="D167" s="67">
        <v>106.4214</v>
      </c>
      <c r="E167" s="68">
        <v>7.37</v>
      </c>
    </row>
    <row r="168" ht="22.5" customHeight="1">
      <c r="A168" s="61">
        <v>10.50794</v>
      </c>
      <c r="B168" s="63">
        <v>106.4664</v>
      </c>
      <c r="C168" s="63">
        <v>10.53548</v>
      </c>
      <c r="D168" s="63">
        <v>106.417</v>
      </c>
      <c r="E168" s="64">
        <v>6.702</v>
      </c>
    </row>
    <row r="169" ht="22.5" customHeight="1">
      <c r="A169" s="66">
        <v>10.50794</v>
      </c>
      <c r="B169" s="67">
        <v>106.4664</v>
      </c>
      <c r="C169" s="67">
        <v>10.77509</v>
      </c>
      <c r="D169" s="67">
        <v>106.6727</v>
      </c>
      <c r="E169" s="68">
        <v>50.547</v>
      </c>
    </row>
    <row r="170" ht="22.5" customHeight="1">
      <c r="A170" s="61">
        <v>10.51414</v>
      </c>
      <c r="B170" s="63">
        <v>106.5113</v>
      </c>
      <c r="C170" s="63">
        <v>10.53548</v>
      </c>
      <c r="D170" s="63">
        <v>106.417</v>
      </c>
      <c r="E170" s="64">
        <v>15.7</v>
      </c>
    </row>
    <row r="171" ht="22.5" customHeight="1">
      <c r="A171" s="66">
        <v>10.51414</v>
      </c>
      <c r="B171" s="67">
        <v>106.5113</v>
      </c>
      <c r="C171" s="67">
        <v>10.59922</v>
      </c>
      <c r="D171" s="67">
        <v>106.4063</v>
      </c>
      <c r="E171" s="68">
        <v>17.351</v>
      </c>
    </row>
    <row r="172" ht="22.5" customHeight="1">
      <c r="A172" s="61">
        <v>10.51414</v>
      </c>
      <c r="B172" s="63">
        <v>106.5113</v>
      </c>
      <c r="C172" s="63">
        <v>10.63433</v>
      </c>
      <c r="D172" s="63">
        <v>106.491</v>
      </c>
      <c r="E172" s="64">
        <v>19.542</v>
      </c>
    </row>
    <row r="173" ht="22.5" customHeight="1">
      <c r="A173" s="66">
        <v>10.52001</v>
      </c>
      <c r="B173" s="67">
        <v>106.4121</v>
      </c>
      <c r="C173" s="67">
        <v>10.49079</v>
      </c>
      <c r="D173" s="67">
        <v>106.3728</v>
      </c>
      <c r="E173" s="68">
        <v>8.337</v>
      </c>
    </row>
    <row r="174" ht="22.5" customHeight="1">
      <c r="A174" s="61">
        <v>10.52001</v>
      </c>
      <c r="B174" s="63">
        <v>106.4121</v>
      </c>
      <c r="C174" s="63">
        <v>10.53548</v>
      </c>
      <c r="D174" s="63">
        <v>106.417</v>
      </c>
      <c r="E174" s="64">
        <v>1.9</v>
      </c>
    </row>
    <row r="175" ht="22.5" customHeight="1">
      <c r="A175" s="66">
        <v>10.52095</v>
      </c>
      <c r="B175" s="67">
        <v>106.4214</v>
      </c>
      <c r="C175" s="67">
        <v>10.53548</v>
      </c>
      <c r="D175" s="67">
        <v>106.417</v>
      </c>
      <c r="E175" s="68">
        <v>2.0</v>
      </c>
    </row>
    <row r="176" ht="22.5" customHeight="1">
      <c r="A176" s="61">
        <v>10.53192</v>
      </c>
      <c r="B176" s="63">
        <v>106.4261</v>
      </c>
      <c r="C176" s="63">
        <v>10.53548</v>
      </c>
      <c r="D176" s="63">
        <v>106.417</v>
      </c>
      <c r="E176" s="64">
        <v>1.227</v>
      </c>
    </row>
    <row r="177" ht="22.5" customHeight="1">
      <c r="A177" s="66">
        <v>10.53246</v>
      </c>
      <c r="B177" s="67">
        <v>106.4183</v>
      </c>
      <c r="C177" s="67">
        <v>10.53548</v>
      </c>
      <c r="D177" s="67">
        <v>106.417</v>
      </c>
      <c r="E177" s="68">
        <v>0.35</v>
      </c>
    </row>
    <row r="178" ht="22.5" customHeight="1">
      <c r="A178" s="61">
        <v>10.53246</v>
      </c>
      <c r="B178" s="63">
        <v>106.4183</v>
      </c>
      <c r="C178" s="63">
        <v>10.5363</v>
      </c>
      <c r="D178" s="63">
        <v>106.4162</v>
      </c>
      <c r="E178" s="64">
        <v>0.504</v>
      </c>
    </row>
    <row r="179" ht="22.5" customHeight="1">
      <c r="A179" s="66">
        <v>10.5351</v>
      </c>
      <c r="B179" s="67">
        <v>106.4133</v>
      </c>
      <c r="C179" s="67">
        <v>10.49079</v>
      </c>
      <c r="D179" s="67">
        <v>106.3728</v>
      </c>
      <c r="E179" s="68">
        <v>9.271</v>
      </c>
    </row>
    <row r="180" ht="22.5" customHeight="1">
      <c r="A180" s="61">
        <v>10.5351</v>
      </c>
      <c r="B180" s="63">
        <v>106.4133</v>
      </c>
      <c r="C180" s="63">
        <v>10.53548</v>
      </c>
      <c r="D180" s="63">
        <v>106.417</v>
      </c>
      <c r="E180" s="64">
        <v>0.64</v>
      </c>
    </row>
    <row r="181" ht="22.5" customHeight="1">
      <c r="A181" s="66">
        <v>10.53548</v>
      </c>
      <c r="B181" s="67">
        <v>106.417</v>
      </c>
      <c r="C181" s="67">
        <v>10.42613</v>
      </c>
      <c r="D181" s="67">
        <v>106.32</v>
      </c>
      <c r="E181" s="68">
        <v>17.5</v>
      </c>
    </row>
    <row r="182" ht="22.5" customHeight="1">
      <c r="A182" s="61">
        <v>10.53548</v>
      </c>
      <c r="B182" s="63">
        <v>106.417</v>
      </c>
      <c r="C182" s="63">
        <v>10.51414</v>
      </c>
      <c r="D182" s="63">
        <v>106.5113</v>
      </c>
      <c r="E182" s="64">
        <v>13.6</v>
      </c>
    </row>
    <row r="183" ht="22.5" customHeight="1">
      <c r="A183" s="66">
        <v>10.53548</v>
      </c>
      <c r="B183" s="67">
        <v>106.417</v>
      </c>
      <c r="C183" s="67">
        <v>10.52001</v>
      </c>
      <c r="D183" s="67">
        <v>106.4121</v>
      </c>
      <c r="E183" s="68">
        <v>1.9</v>
      </c>
    </row>
    <row r="184" ht="22.5" customHeight="1">
      <c r="A184" s="61">
        <v>10.53548</v>
      </c>
      <c r="B184" s="63">
        <v>106.417</v>
      </c>
      <c r="C184" s="63">
        <v>10.63433</v>
      </c>
      <c r="D184" s="63">
        <v>106.491</v>
      </c>
      <c r="E184" s="64">
        <v>16.4</v>
      </c>
    </row>
    <row r="185" ht="22.5" customHeight="1">
      <c r="A185" s="66">
        <v>10.53548</v>
      </c>
      <c r="B185" s="67">
        <v>106.417</v>
      </c>
      <c r="C185" s="67">
        <v>10.77509</v>
      </c>
      <c r="D185" s="67">
        <v>106.6727</v>
      </c>
      <c r="E185" s="68">
        <v>44.8</v>
      </c>
    </row>
    <row r="186" ht="22.5" customHeight="1">
      <c r="A186" s="61">
        <v>10.5363</v>
      </c>
      <c r="B186" s="63">
        <v>106.4162</v>
      </c>
      <c r="C186" s="63">
        <v>10.53548</v>
      </c>
      <c r="D186" s="63">
        <v>106.417</v>
      </c>
      <c r="E186" s="64">
        <v>0.123</v>
      </c>
    </row>
    <row r="187" ht="22.5" customHeight="1">
      <c r="A187" s="66">
        <v>10.5363</v>
      </c>
      <c r="B187" s="67">
        <v>106.4162</v>
      </c>
      <c r="C187" s="67">
        <v>10.54818</v>
      </c>
      <c r="D187" s="67">
        <v>106.3883</v>
      </c>
      <c r="E187" s="68">
        <v>3.833</v>
      </c>
    </row>
    <row r="188" ht="22.5" customHeight="1">
      <c r="A188" s="61">
        <v>10.53794</v>
      </c>
      <c r="B188" s="63">
        <v>106.4149</v>
      </c>
      <c r="C188" s="63">
        <v>10.53548</v>
      </c>
      <c r="D188" s="63">
        <v>106.417</v>
      </c>
      <c r="E188" s="64">
        <v>0.418</v>
      </c>
    </row>
    <row r="189" ht="22.5" customHeight="1">
      <c r="A189" s="66">
        <v>10.54087</v>
      </c>
      <c r="B189" s="67">
        <v>106.4118</v>
      </c>
      <c r="C189" s="67">
        <v>10.53548</v>
      </c>
      <c r="D189" s="67">
        <v>106.417</v>
      </c>
      <c r="E189" s="68">
        <v>1.077</v>
      </c>
    </row>
    <row r="190" ht="22.5" customHeight="1">
      <c r="A190" s="61">
        <v>10.54493</v>
      </c>
      <c r="B190" s="63">
        <v>106.4053</v>
      </c>
      <c r="C190" s="63">
        <v>10.53548</v>
      </c>
      <c r="D190" s="63">
        <v>106.417</v>
      </c>
      <c r="E190" s="64">
        <v>2.244</v>
      </c>
    </row>
    <row r="191" ht="22.5" customHeight="1">
      <c r="A191" s="66">
        <v>10.54818</v>
      </c>
      <c r="B191" s="67">
        <v>106.3883</v>
      </c>
      <c r="C191" s="67">
        <v>10.5351</v>
      </c>
      <c r="D191" s="67">
        <v>106.4133</v>
      </c>
      <c r="E191" s="68">
        <v>3.675</v>
      </c>
    </row>
    <row r="192" ht="22.5" customHeight="1">
      <c r="A192" s="61">
        <v>10.55893</v>
      </c>
      <c r="B192" s="63">
        <v>106.4136</v>
      </c>
      <c r="C192" s="63">
        <v>10.53548</v>
      </c>
      <c r="D192" s="63">
        <v>106.417</v>
      </c>
      <c r="E192" s="64">
        <v>5.093</v>
      </c>
    </row>
    <row r="193" ht="22.5" customHeight="1">
      <c r="A193" s="66">
        <v>10.59922</v>
      </c>
      <c r="B193" s="67">
        <v>106.4063</v>
      </c>
      <c r="C193" s="67">
        <v>10.49079</v>
      </c>
      <c r="D193" s="67">
        <v>106.3728</v>
      </c>
      <c r="E193" s="68">
        <v>16.006</v>
      </c>
    </row>
    <row r="194" ht="22.5" customHeight="1">
      <c r="A194" s="61">
        <v>10.59922</v>
      </c>
      <c r="B194" s="63">
        <v>106.4063</v>
      </c>
      <c r="C194" s="63">
        <v>10.51414</v>
      </c>
      <c r="D194" s="63">
        <v>106.5113</v>
      </c>
      <c r="E194" s="64">
        <v>17.478</v>
      </c>
    </row>
    <row r="195" ht="22.5" customHeight="1">
      <c r="A195" s="66">
        <v>10.59922</v>
      </c>
      <c r="B195" s="67">
        <v>106.4063</v>
      </c>
      <c r="C195" s="67">
        <v>10.52095</v>
      </c>
      <c r="D195" s="67">
        <v>106.4214</v>
      </c>
      <c r="E195" s="68">
        <v>10.796</v>
      </c>
    </row>
    <row r="196" ht="22.5" customHeight="1">
      <c r="A196" s="61">
        <v>10.59922</v>
      </c>
      <c r="B196" s="63">
        <v>106.4063</v>
      </c>
      <c r="C196" s="63">
        <v>10.53548</v>
      </c>
      <c r="D196" s="63">
        <v>106.417</v>
      </c>
      <c r="E196" s="64">
        <v>8.845</v>
      </c>
    </row>
    <row r="197" ht="22.5" customHeight="1">
      <c r="A197" s="66">
        <v>10.59922</v>
      </c>
      <c r="B197" s="67">
        <v>106.4063</v>
      </c>
      <c r="C197" s="67">
        <v>10.63433</v>
      </c>
      <c r="D197" s="67">
        <v>106.491</v>
      </c>
      <c r="E197" s="68">
        <v>11.89</v>
      </c>
    </row>
    <row r="198" ht="22.5" customHeight="1">
      <c r="A198" s="61">
        <v>10.60097</v>
      </c>
      <c r="B198" s="63">
        <v>106.6642</v>
      </c>
      <c r="C198" s="63">
        <v>10.53548</v>
      </c>
      <c r="D198" s="63">
        <v>106.417</v>
      </c>
      <c r="E198" s="64">
        <v>38.168</v>
      </c>
    </row>
    <row r="199" ht="22.5" customHeight="1">
      <c r="A199" s="66">
        <v>10.60097</v>
      </c>
      <c r="B199" s="67">
        <v>106.6642</v>
      </c>
      <c r="C199" s="67">
        <v>10.63433</v>
      </c>
      <c r="D199" s="67">
        <v>106.491</v>
      </c>
      <c r="E199" s="68">
        <v>21.468</v>
      </c>
    </row>
    <row r="200" ht="22.5" customHeight="1">
      <c r="A200" s="61">
        <v>10.60097</v>
      </c>
      <c r="B200" s="63">
        <v>106.6642</v>
      </c>
      <c r="C200" s="63">
        <v>10.77509</v>
      </c>
      <c r="D200" s="63">
        <v>106.6727</v>
      </c>
      <c r="E200" s="64">
        <v>22.626</v>
      </c>
    </row>
    <row r="201" ht="22.5" customHeight="1">
      <c r="A201" s="66">
        <v>10.63433</v>
      </c>
      <c r="B201" s="67">
        <v>106.491</v>
      </c>
      <c r="C201" s="67">
        <v>10.49079</v>
      </c>
      <c r="D201" s="67">
        <v>106.3728</v>
      </c>
      <c r="E201" s="68">
        <v>23.968</v>
      </c>
    </row>
    <row r="202" ht="22.5" customHeight="1">
      <c r="A202" s="61">
        <v>10.63433</v>
      </c>
      <c r="B202" s="63">
        <v>106.491</v>
      </c>
      <c r="C202" s="63">
        <v>10.51414</v>
      </c>
      <c r="D202" s="63">
        <v>106.5113</v>
      </c>
      <c r="E202" s="64">
        <v>19.58</v>
      </c>
    </row>
    <row r="203" ht="22.5" customHeight="1">
      <c r="A203" s="66">
        <v>10.63433</v>
      </c>
      <c r="B203" s="67">
        <v>106.491</v>
      </c>
      <c r="C203" s="67">
        <v>10.52095</v>
      </c>
      <c r="D203" s="67">
        <v>106.4214</v>
      </c>
      <c r="E203" s="68">
        <v>18.752</v>
      </c>
    </row>
    <row r="204" ht="22.5" customHeight="1">
      <c r="A204" s="61">
        <v>10.63433</v>
      </c>
      <c r="B204" s="63">
        <v>106.491</v>
      </c>
      <c r="C204" s="63">
        <v>10.53548</v>
      </c>
      <c r="D204" s="63">
        <v>106.417</v>
      </c>
      <c r="E204" s="64">
        <v>16.8</v>
      </c>
    </row>
    <row r="205" ht="22.5" customHeight="1">
      <c r="A205" s="66">
        <v>10.63433</v>
      </c>
      <c r="B205" s="67">
        <v>106.491</v>
      </c>
      <c r="C205" s="67">
        <v>10.59922</v>
      </c>
      <c r="D205" s="67">
        <v>106.4063</v>
      </c>
      <c r="E205" s="68">
        <v>11.919</v>
      </c>
    </row>
    <row r="206" ht="22.5" customHeight="1">
      <c r="A206" s="61">
        <v>10.64117</v>
      </c>
      <c r="B206" s="63">
        <v>106.7332</v>
      </c>
      <c r="C206" s="63">
        <v>10.71544</v>
      </c>
      <c r="D206" s="63">
        <v>106.7371</v>
      </c>
      <c r="E206" s="64">
        <v>10.914</v>
      </c>
    </row>
    <row r="207" ht="22.5" customHeight="1">
      <c r="A207" s="66">
        <v>10.64117</v>
      </c>
      <c r="B207" s="67">
        <v>106.7332</v>
      </c>
      <c r="C207" s="67">
        <v>10.73842</v>
      </c>
      <c r="D207" s="67">
        <v>106.7164</v>
      </c>
      <c r="E207" s="68">
        <v>13.873</v>
      </c>
    </row>
    <row r="208" ht="22.5" customHeight="1">
      <c r="A208" s="61">
        <v>10.65412</v>
      </c>
      <c r="B208" s="63">
        <v>106.5867</v>
      </c>
      <c r="C208" s="63">
        <v>10.65647</v>
      </c>
      <c r="D208" s="63">
        <v>106.5841</v>
      </c>
      <c r="E208" s="64">
        <v>0.458</v>
      </c>
    </row>
    <row r="209" ht="22.5" customHeight="1">
      <c r="A209" s="66">
        <v>10.65412</v>
      </c>
      <c r="B209" s="67">
        <v>106.5867</v>
      </c>
      <c r="C209" s="67">
        <v>10.70499</v>
      </c>
      <c r="D209" s="67">
        <v>106.5965</v>
      </c>
      <c r="E209" s="68">
        <v>8.871</v>
      </c>
    </row>
    <row r="210" ht="22.5" customHeight="1">
      <c r="A210" s="61">
        <v>10.65412</v>
      </c>
      <c r="B210" s="63">
        <v>106.5867</v>
      </c>
      <c r="C210" s="63">
        <v>10.71016</v>
      </c>
      <c r="D210" s="63">
        <v>106.5747</v>
      </c>
      <c r="E210" s="64">
        <v>8.676</v>
      </c>
    </row>
    <row r="211" ht="22.5" customHeight="1">
      <c r="A211" s="66">
        <v>10.65412</v>
      </c>
      <c r="B211" s="67">
        <v>106.5867</v>
      </c>
      <c r="C211" s="67">
        <v>10.7252</v>
      </c>
      <c r="D211" s="67">
        <v>106.6094</v>
      </c>
      <c r="E211" s="68">
        <v>10.613</v>
      </c>
    </row>
    <row r="212" ht="22.5" customHeight="1">
      <c r="A212" s="61">
        <v>10.65412</v>
      </c>
      <c r="B212" s="63">
        <v>106.5867</v>
      </c>
      <c r="C212" s="63">
        <v>10.73897</v>
      </c>
      <c r="D212" s="63">
        <v>106.6149</v>
      </c>
      <c r="E212" s="64">
        <v>11.528</v>
      </c>
    </row>
    <row r="213" ht="22.5" customHeight="1">
      <c r="A213" s="66">
        <v>10.65412</v>
      </c>
      <c r="B213" s="67">
        <v>106.5867</v>
      </c>
      <c r="C213" s="67">
        <v>10.73908</v>
      </c>
      <c r="D213" s="67">
        <v>106.6149</v>
      </c>
      <c r="E213" s="68">
        <v>11.536</v>
      </c>
    </row>
    <row r="214" ht="22.5" customHeight="1">
      <c r="A214" s="61">
        <v>10.65412</v>
      </c>
      <c r="B214" s="63">
        <v>106.5867</v>
      </c>
      <c r="C214" s="63">
        <v>10.7444</v>
      </c>
      <c r="D214" s="63">
        <v>106.6304</v>
      </c>
      <c r="E214" s="64">
        <v>13.932</v>
      </c>
    </row>
    <row r="215" ht="22.5" customHeight="1">
      <c r="A215" s="66">
        <v>10.65412</v>
      </c>
      <c r="B215" s="67">
        <v>106.5867</v>
      </c>
      <c r="C215" s="67">
        <v>10.74602</v>
      </c>
      <c r="D215" s="67">
        <v>106.6123</v>
      </c>
      <c r="E215" s="68">
        <v>13.051</v>
      </c>
    </row>
    <row r="216" ht="22.5" customHeight="1">
      <c r="A216" s="61">
        <v>10.65412</v>
      </c>
      <c r="B216" s="63">
        <v>106.5867</v>
      </c>
      <c r="C216" s="63">
        <v>10.74761</v>
      </c>
      <c r="D216" s="63">
        <v>106.689</v>
      </c>
      <c r="E216" s="64">
        <v>19.298</v>
      </c>
    </row>
    <row r="217" ht="22.5" customHeight="1">
      <c r="A217" s="66">
        <v>10.65412</v>
      </c>
      <c r="B217" s="67">
        <v>106.5867</v>
      </c>
      <c r="C217" s="67">
        <v>10.74857</v>
      </c>
      <c r="D217" s="67">
        <v>106.6996</v>
      </c>
      <c r="E217" s="68">
        <v>20.377</v>
      </c>
    </row>
    <row r="218" ht="22.5" customHeight="1">
      <c r="A218" s="61">
        <v>10.65412</v>
      </c>
      <c r="B218" s="63">
        <v>106.5867</v>
      </c>
      <c r="C218" s="63">
        <v>10.75168</v>
      </c>
      <c r="D218" s="63">
        <v>106.6103</v>
      </c>
      <c r="E218" s="64">
        <v>13.38</v>
      </c>
    </row>
    <row r="219" ht="22.5" customHeight="1">
      <c r="A219" s="66">
        <v>10.65412</v>
      </c>
      <c r="B219" s="67">
        <v>106.5867</v>
      </c>
      <c r="C219" s="67">
        <v>10.75347</v>
      </c>
      <c r="D219" s="67">
        <v>106.5931</v>
      </c>
      <c r="E219" s="68">
        <v>13.153</v>
      </c>
    </row>
    <row r="220" ht="22.5" customHeight="1">
      <c r="A220" s="61">
        <v>10.65412</v>
      </c>
      <c r="B220" s="63">
        <v>106.5867</v>
      </c>
      <c r="C220" s="63">
        <v>10.75575</v>
      </c>
      <c r="D220" s="63">
        <v>106.6834</v>
      </c>
      <c r="E220" s="64">
        <v>18.941</v>
      </c>
    </row>
    <row r="221" ht="22.5" customHeight="1">
      <c r="A221" s="66">
        <v>10.65412</v>
      </c>
      <c r="B221" s="67">
        <v>106.5867</v>
      </c>
      <c r="C221" s="67">
        <v>10.75591</v>
      </c>
      <c r="D221" s="67">
        <v>106.611</v>
      </c>
      <c r="E221" s="68">
        <v>13.834</v>
      </c>
    </row>
    <row r="222" ht="22.5" customHeight="1">
      <c r="A222" s="61">
        <v>10.65412</v>
      </c>
      <c r="B222" s="63">
        <v>106.5867</v>
      </c>
      <c r="C222" s="63">
        <v>10.76707</v>
      </c>
      <c r="D222" s="63">
        <v>106.6493</v>
      </c>
      <c r="E222" s="64">
        <v>17.104</v>
      </c>
    </row>
    <row r="223" ht="22.5" customHeight="1">
      <c r="A223" s="66">
        <v>10.65412</v>
      </c>
      <c r="B223" s="67">
        <v>106.5867</v>
      </c>
      <c r="C223" s="67">
        <v>10.77509</v>
      </c>
      <c r="D223" s="67">
        <v>106.6727</v>
      </c>
      <c r="E223" s="68">
        <v>20.257</v>
      </c>
    </row>
    <row r="224" ht="22.5" customHeight="1">
      <c r="A224" s="61">
        <v>10.65412</v>
      </c>
      <c r="B224" s="63">
        <v>106.5867</v>
      </c>
      <c r="C224" s="63">
        <v>10.77618</v>
      </c>
      <c r="D224" s="63">
        <v>106.607</v>
      </c>
      <c r="E224" s="64">
        <v>17.66</v>
      </c>
    </row>
    <row r="225" ht="22.5" customHeight="1">
      <c r="A225" s="66">
        <v>10.65647</v>
      </c>
      <c r="B225" s="67">
        <v>106.5841</v>
      </c>
      <c r="C225" s="67">
        <v>10.69094</v>
      </c>
      <c r="D225" s="67">
        <v>106.5745</v>
      </c>
      <c r="E225" s="68">
        <v>4.729</v>
      </c>
    </row>
    <row r="226" ht="22.5" customHeight="1">
      <c r="A226" s="61">
        <v>10.65647</v>
      </c>
      <c r="B226" s="63">
        <v>106.5841</v>
      </c>
      <c r="C226" s="63">
        <v>10.69376</v>
      </c>
      <c r="D226" s="63">
        <v>106.5802</v>
      </c>
      <c r="E226" s="64">
        <v>6.432</v>
      </c>
    </row>
    <row r="227" ht="22.5" customHeight="1">
      <c r="A227" s="66">
        <v>10.65647</v>
      </c>
      <c r="B227" s="67">
        <v>106.5841</v>
      </c>
      <c r="C227" s="67">
        <v>10.69407</v>
      </c>
      <c r="D227" s="67">
        <v>106.5849</v>
      </c>
      <c r="E227" s="68">
        <v>7.24</v>
      </c>
    </row>
    <row r="228" ht="22.5" customHeight="1">
      <c r="A228" s="61">
        <v>10.65647</v>
      </c>
      <c r="B228" s="63">
        <v>106.5841</v>
      </c>
      <c r="C228" s="63">
        <v>10.70499</v>
      </c>
      <c r="D228" s="63">
        <v>106.5965</v>
      </c>
      <c r="E228" s="64">
        <v>8.429</v>
      </c>
    </row>
    <row r="229" ht="22.5" customHeight="1">
      <c r="A229" s="66">
        <v>10.65647</v>
      </c>
      <c r="B229" s="67">
        <v>106.5841</v>
      </c>
      <c r="C229" s="67">
        <v>10.71016</v>
      </c>
      <c r="D229" s="67">
        <v>106.5747</v>
      </c>
      <c r="E229" s="68">
        <v>8.233</v>
      </c>
    </row>
    <row r="230" ht="22.5" customHeight="1">
      <c r="A230" s="61">
        <v>10.65647</v>
      </c>
      <c r="B230" s="63">
        <v>106.5841</v>
      </c>
      <c r="C230" s="63">
        <v>10.7252</v>
      </c>
      <c r="D230" s="63">
        <v>106.6094</v>
      </c>
      <c r="E230" s="64">
        <v>9.874</v>
      </c>
    </row>
    <row r="231" ht="22.5" customHeight="1">
      <c r="A231" s="66">
        <v>10.65647</v>
      </c>
      <c r="B231" s="67">
        <v>106.5841</v>
      </c>
      <c r="C231" s="67">
        <v>10.72522</v>
      </c>
      <c r="D231" s="67">
        <v>106.6089</v>
      </c>
      <c r="E231" s="68">
        <v>10.127</v>
      </c>
    </row>
    <row r="232" ht="22.5" customHeight="1">
      <c r="A232" s="61">
        <v>10.65647</v>
      </c>
      <c r="B232" s="63">
        <v>106.5841</v>
      </c>
      <c r="C232" s="63">
        <v>10.7389</v>
      </c>
      <c r="D232" s="63">
        <v>106.67</v>
      </c>
      <c r="E232" s="64">
        <v>16.837</v>
      </c>
    </row>
    <row r="233" ht="22.5" customHeight="1">
      <c r="A233" s="66">
        <v>10.65647</v>
      </c>
      <c r="B233" s="67">
        <v>106.5841</v>
      </c>
      <c r="C233" s="67">
        <v>10.73897</v>
      </c>
      <c r="D233" s="67">
        <v>106.6149</v>
      </c>
      <c r="E233" s="68">
        <v>11.598</v>
      </c>
    </row>
    <row r="234" ht="22.5" customHeight="1">
      <c r="A234" s="61">
        <v>10.65647</v>
      </c>
      <c r="B234" s="63">
        <v>106.5841</v>
      </c>
      <c r="C234" s="63">
        <v>10.73908</v>
      </c>
      <c r="D234" s="63">
        <v>106.6149</v>
      </c>
      <c r="E234" s="64">
        <v>11.32</v>
      </c>
    </row>
    <row r="235" ht="22.5" customHeight="1">
      <c r="A235" s="66">
        <v>10.65647</v>
      </c>
      <c r="B235" s="67">
        <v>106.5841</v>
      </c>
      <c r="C235" s="67">
        <v>10.7406</v>
      </c>
      <c r="D235" s="67">
        <v>106.6072</v>
      </c>
      <c r="E235" s="68">
        <v>11.398</v>
      </c>
    </row>
    <row r="236" ht="22.5" customHeight="1">
      <c r="A236" s="61">
        <v>10.65647</v>
      </c>
      <c r="B236" s="63">
        <v>106.5841</v>
      </c>
      <c r="C236" s="63">
        <v>10.74097</v>
      </c>
      <c r="D236" s="63">
        <v>106.6091</v>
      </c>
      <c r="E236" s="64">
        <v>11.639</v>
      </c>
    </row>
    <row r="237" ht="22.5" customHeight="1">
      <c r="A237" s="66">
        <v>10.65647</v>
      </c>
      <c r="B237" s="67">
        <v>106.5841</v>
      </c>
      <c r="C237" s="67">
        <v>10.7444</v>
      </c>
      <c r="D237" s="67">
        <v>106.6304</v>
      </c>
      <c r="E237" s="68">
        <v>13.476</v>
      </c>
    </row>
    <row r="238" ht="22.5" customHeight="1">
      <c r="A238" s="61">
        <v>10.65647</v>
      </c>
      <c r="B238" s="63">
        <v>106.5841</v>
      </c>
      <c r="C238" s="63">
        <v>10.74602</v>
      </c>
      <c r="D238" s="63">
        <v>106.6123</v>
      </c>
      <c r="E238" s="64">
        <v>12.601</v>
      </c>
    </row>
    <row r="239" ht="22.5" customHeight="1">
      <c r="A239" s="66">
        <v>10.65647</v>
      </c>
      <c r="B239" s="67">
        <v>106.5841</v>
      </c>
      <c r="C239" s="67">
        <v>10.74761</v>
      </c>
      <c r="D239" s="67">
        <v>106.689</v>
      </c>
      <c r="E239" s="68">
        <v>18.866</v>
      </c>
    </row>
    <row r="240" ht="22.5" customHeight="1">
      <c r="A240" s="61">
        <v>10.65647</v>
      </c>
      <c r="B240" s="63">
        <v>106.5841</v>
      </c>
      <c r="C240" s="63">
        <v>10.74857</v>
      </c>
      <c r="D240" s="63">
        <v>106.6996</v>
      </c>
      <c r="E240" s="64">
        <v>19.741</v>
      </c>
    </row>
    <row r="241" ht="22.5" customHeight="1">
      <c r="A241" s="66">
        <v>10.65647</v>
      </c>
      <c r="B241" s="67">
        <v>106.5841</v>
      </c>
      <c r="C241" s="67">
        <v>10.75168</v>
      </c>
      <c r="D241" s="67">
        <v>106.6103</v>
      </c>
      <c r="E241" s="68">
        <v>12.948</v>
      </c>
    </row>
    <row r="242" ht="22.5" customHeight="1">
      <c r="A242" s="61">
        <v>10.65647</v>
      </c>
      <c r="B242" s="63">
        <v>106.5841</v>
      </c>
      <c r="C242" s="63">
        <v>10.75191</v>
      </c>
      <c r="D242" s="63">
        <v>106.6006</v>
      </c>
      <c r="E242" s="64">
        <v>13.389</v>
      </c>
    </row>
    <row r="243" ht="22.5" customHeight="1">
      <c r="A243" s="66">
        <v>10.65647</v>
      </c>
      <c r="B243" s="67">
        <v>106.5841</v>
      </c>
      <c r="C243" s="67">
        <v>10.75347</v>
      </c>
      <c r="D243" s="67">
        <v>106.5931</v>
      </c>
      <c r="E243" s="68">
        <v>12.713</v>
      </c>
    </row>
    <row r="244" ht="22.5" customHeight="1">
      <c r="A244" s="61">
        <v>10.65647</v>
      </c>
      <c r="B244" s="63">
        <v>106.5841</v>
      </c>
      <c r="C244" s="63">
        <v>10.75566</v>
      </c>
      <c r="D244" s="63">
        <v>106.6098</v>
      </c>
      <c r="E244" s="64">
        <v>13.33</v>
      </c>
    </row>
    <row r="245" ht="22.5" customHeight="1">
      <c r="A245" s="66">
        <v>10.65647</v>
      </c>
      <c r="B245" s="67">
        <v>106.5841</v>
      </c>
      <c r="C245" s="67">
        <v>10.75587</v>
      </c>
      <c r="D245" s="67">
        <v>106.5924</v>
      </c>
      <c r="E245" s="68">
        <v>12.924</v>
      </c>
    </row>
    <row r="246" ht="22.5" customHeight="1">
      <c r="A246" s="61">
        <v>10.65647</v>
      </c>
      <c r="B246" s="63">
        <v>106.5841</v>
      </c>
      <c r="C246" s="63">
        <v>10.75591</v>
      </c>
      <c r="D246" s="63">
        <v>106.611</v>
      </c>
      <c r="E246" s="64">
        <v>13.511</v>
      </c>
    </row>
    <row r="247" ht="22.5" customHeight="1">
      <c r="A247" s="66">
        <v>10.65647</v>
      </c>
      <c r="B247" s="67">
        <v>106.5841</v>
      </c>
      <c r="C247" s="67">
        <v>10.75889</v>
      </c>
      <c r="D247" s="67">
        <v>106.5791</v>
      </c>
      <c r="E247" s="68">
        <v>14.406</v>
      </c>
    </row>
    <row r="248" ht="22.5" customHeight="1">
      <c r="A248" s="61">
        <v>10.65647</v>
      </c>
      <c r="B248" s="63">
        <v>106.5841</v>
      </c>
      <c r="C248" s="63">
        <v>10.75947</v>
      </c>
      <c r="D248" s="63">
        <v>106.6805</v>
      </c>
      <c r="E248" s="64">
        <v>18.765</v>
      </c>
    </row>
    <row r="249" ht="22.5" customHeight="1">
      <c r="A249" s="66">
        <v>10.65647</v>
      </c>
      <c r="B249" s="67">
        <v>106.5841</v>
      </c>
      <c r="C249" s="67">
        <v>10.76707</v>
      </c>
      <c r="D249" s="67">
        <v>106.6493</v>
      </c>
      <c r="E249" s="68">
        <v>16.699</v>
      </c>
    </row>
    <row r="250" ht="22.5" customHeight="1">
      <c r="A250" s="61">
        <v>10.65647</v>
      </c>
      <c r="B250" s="63">
        <v>106.5841</v>
      </c>
      <c r="C250" s="63">
        <v>10.77167</v>
      </c>
      <c r="D250" s="63">
        <v>106.5865</v>
      </c>
      <c r="E250" s="64">
        <v>15.087</v>
      </c>
    </row>
    <row r="251" ht="22.5" customHeight="1">
      <c r="A251" s="66">
        <v>10.65647</v>
      </c>
      <c r="B251" s="67">
        <v>106.5841</v>
      </c>
      <c r="C251" s="67">
        <v>10.77509</v>
      </c>
      <c r="D251" s="67">
        <v>106.6727</v>
      </c>
      <c r="E251" s="68">
        <v>19.384</v>
      </c>
    </row>
    <row r="252" ht="22.5" customHeight="1">
      <c r="A252" s="61">
        <v>10.65647</v>
      </c>
      <c r="B252" s="63">
        <v>106.5841</v>
      </c>
      <c r="C252" s="63">
        <v>10.77584</v>
      </c>
      <c r="D252" s="63">
        <v>106.6133</v>
      </c>
      <c r="E252" s="64">
        <v>16.039</v>
      </c>
    </row>
    <row r="253" ht="22.5" customHeight="1">
      <c r="A253" s="66">
        <v>10.65647</v>
      </c>
      <c r="B253" s="67">
        <v>106.5841</v>
      </c>
      <c r="C253" s="67">
        <v>10.77618</v>
      </c>
      <c r="D253" s="67">
        <v>106.607</v>
      </c>
      <c r="E253" s="68">
        <v>16.139</v>
      </c>
    </row>
    <row r="254" ht="22.5" customHeight="1">
      <c r="A254" s="61">
        <v>10.65647</v>
      </c>
      <c r="B254" s="63">
        <v>106.5841</v>
      </c>
      <c r="C254" s="63">
        <v>10.78747</v>
      </c>
      <c r="D254" s="63">
        <v>106.5981</v>
      </c>
      <c r="E254" s="64">
        <v>17.13</v>
      </c>
    </row>
    <row r="255" ht="22.5" customHeight="1">
      <c r="A255" s="66">
        <v>10.67316</v>
      </c>
      <c r="B255" s="67">
        <v>106.7308</v>
      </c>
      <c r="C255" s="67">
        <v>10.68689</v>
      </c>
      <c r="D255" s="67">
        <v>106.7435</v>
      </c>
      <c r="E255" s="68">
        <v>3.036</v>
      </c>
    </row>
    <row r="256" ht="22.5" customHeight="1">
      <c r="A256" s="61">
        <v>10.67316</v>
      </c>
      <c r="B256" s="63">
        <v>106.7308</v>
      </c>
      <c r="C256" s="63">
        <v>10.71544</v>
      </c>
      <c r="D256" s="63">
        <v>106.7371</v>
      </c>
      <c r="E256" s="64">
        <v>6.067</v>
      </c>
    </row>
    <row r="257" ht="22.5" customHeight="1">
      <c r="A257" s="66">
        <v>10.68689</v>
      </c>
      <c r="B257" s="67">
        <v>106.7435</v>
      </c>
      <c r="C257" s="67">
        <v>10.68689</v>
      </c>
      <c r="D257" s="67">
        <v>106.7435</v>
      </c>
      <c r="E257" s="68">
        <v>0.005</v>
      </c>
    </row>
    <row r="258" ht="22.5" customHeight="1">
      <c r="A258" s="61">
        <v>10.68689</v>
      </c>
      <c r="B258" s="63">
        <v>106.7435</v>
      </c>
      <c r="C258" s="63">
        <v>10.70167</v>
      </c>
      <c r="D258" s="63">
        <v>106.7382</v>
      </c>
      <c r="E258" s="64">
        <v>1.751</v>
      </c>
    </row>
    <row r="259" ht="22.5" customHeight="1">
      <c r="A259" s="66">
        <v>10.68689</v>
      </c>
      <c r="B259" s="67">
        <v>106.7435</v>
      </c>
      <c r="C259" s="67">
        <v>10.71544</v>
      </c>
      <c r="D259" s="67">
        <v>106.7371</v>
      </c>
      <c r="E259" s="68">
        <v>3.279</v>
      </c>
    </row>
    <row r="260" ht="22.5" customHeight="1">
      <c r="A260" s="61">
        <v>10.68689</v>
      </c>
      <c r="B260" s="63">
        <v>106.7435</v>
      </c>
      <c r="C260" s="63">
        <v>10.7179</v>
      </c>
      <c r="D260" s="63">
        <v>106.7369</v>
      </c>
      <c r="E260" s="64">
        <v>3.567</v>
      </c>
    </row>
    <row r="261" ht="22.5" customHeight="1">
      <c r="A261" s="66">
        <v>10.68689</v>
      </c>
      <c r="B261" s="67">
        <v>106.7435</v>
      </c>
      <c r="C261" s="67">
        <v>10.72249</v>
      </c>
      <c r="D261" s="67">
        <v>106.7262</v>
      </c>
      <c r="E261" s="68">
        <v>4.932</v>
      </c>
    </row>
    <row r="262" ht="22.5" customHeight="1">
      <c r="A262" s="61">
        <v>10.68689</v>
      </c>
      <c r="B262" s="63">
        <v>106.7435</v>
      </c>
      <c r="C262" s="63">
        <v>10.72795</v>
      </c>
      <c r="D262" s="63">
        <v>106.708</v>
      </c>
      <c r="E262" s="64">
        <v>7.737</v>
      </c>
    </row>
    <row r="263" ht="22.5" customHeight="1">
      <c r="A263" s="66">
        <v>10.68689</v>
      </c>
      <c r="B263" s="67">
        <v>106.7435</v>
      </c>
      <c r="C263" s="67">
        <v>10.73186</v>
      </c>
      <c r="D263" s="67">
        <v>106.7079</v>
      </c>
      <c r="E263" s="68">
        <v>7.779</v>
      </c>
    </row>
    <row r="264" ht="22.5" customHeight="1">
      <c r="A264" s="61">
        <v>10.68689</v>
      </c>
      <c r="B264" s="63">
        <v>106.7435</v>
      </c>
      <c r="C264" s="63">
        <v>10.73786</v>
      </c>
      <c r="D264" s="63">
        <v>106.7205</v>
      </c>
      <c r="E264" s="64">
        <v>7.259</v>
      </c>
    </row>
    <row r="265" ht="22.5" customHeight="1">
      <c r="A265" s="66">
        <v>10.68689</v>
      </c>
      <c r="B265" s="67">
        <v>106.7435</v>
      </c>
      <c r="C265" s="67">
        <v>10.73842</v>
      </c>
      <c r="D265" s="67">
        <v>106.7164</v>
      </c>
      <c r="E265" s="68">
        <v>7.384</v>
      </c>
    </row>
    <row r="266" ht="22.5" customHeight="1">
      <c r="A266" s="61">
        <v>10.68689</v>
      </c>
      <c r="B266" s="63">
        <v>106.7435</v>
      </c>
      <c r="C266" s="63">
        <v>10.74814</v>
      </c>
      <c r="D266" s="63">
        <v>106.7133</v>
      </c>
      <c r="E266" s="64">
        <v>8.97</v>
      </c>
    </row>
    <row r="267" ht="22.5" customHeight="1">
      <c r="A267" s="66">
        <v>10.68689</v>
      </c>
      <c r="B267" s="67">
        <v>106.7435</v>
      </c>
      <c r="C267" s="67">
        <v>10.77509</v>
      </c>
      <c r="D267" s="67">
        <v>106.6727</v>
      </c>
      <c r="E267" s="68">
        <v>15.46</v>
      </c>
    </row>
    <row r="268" ht="22.5" customHeight="1">
      <c r="A268" s="61">
        <v>10.69088</v>
      </c>
      <c r="B268" s="63">
        <v>106.586</v>
      </c>
      <c r="C268" s="63">
        <v>10.74602</v>
      </c>
      <c r="D268" s="63">
        <v>106.6123</v>
      </c>
      <c r="E268" s="64">
        <v>8.735</v>
      </c>
    </row>
    <row r="269" ht="22.5" customHeight="1">
      <c r="A269" s="66">
        <v>10.69088</v>
      </c>
      <c r="B269" s="67">
        <v>106.586</v>
      </c>
      <c r="C269" s="67">
        <v>10.74857</v>
      </c>
      <c r="D269" s="67">
        <v>106.6996</v>
      </c>
      <c r="E269" s="68">
        <v>16.347</v>
      </c>
    </row>
    <row r="270" ht="22.5" customHeight="1">
      <c r="A270" s="61">
        <v>10.69088</v>
      </c>
      <c r="B270" s="63">
        <v>106.586</v>
      </c>
      <c r="C270" s="63">
        <v>10.75347</v>
      </c>
      <c r="D270" s="63">
        <v>106.5931</v>
      </c>
      <c r="E270" s="64">
        <v>8.558</v>
      </c>
    </row>
    <row r="271" ht="22.5" customHeight="1">
      <c r="A271" s="66">
        <v>10.69088</v>
      </c>
      <c r="B271" s="67">
        <v>106.586</v>
      </c>
      <c r="C271" s="67">
        <v>10.76707</v>
      </c>
      <c r="D271" s="67">
        <v>106.6493</v>
      </c>
      <c r="E271" s="68">
        <v>12.873</v>
      </c>
    </row>
    <row r="272" ht="22.5" customHeight="1">
      <c r="A272" s="61">
        <v>10.69088</v>
      </c>
      <c r="B272" s="63">
        <v>106.586</v>
      </c>
      <c r="C272" s="63">
        <v>10.77167</v>
      </c>
      <c r="D272" s="63">
        <v>106.5865</v>
      </c>
      <c r="E272" s="64">
        <v>11.126</v>
      </c>
    </row>
    <row r="273" ht="22.5" customHeight="1">
      <c r="A273" s="66">
        <v>10.69088</v>
      </c>
      <c r="B273" s="67">
        <v>106.586</v>
      </c>
      <c r="C273" s="67">
        <v>10.77509</v>
      </c>
      <c r="D273" s="67">
        <v>106.6727</v>
      </c>
      <c r="E273" s="68">
        <v>15.91</v>
      </c>
    </row>
    <row r="274" ht="22.5" customHeight="1">
      <c r="A274" s="61">
        <v>10.69088</v>
      </c>
      <c r="B274" s="63">
        <v>106.586</v>
      </c>
      <c r="C274" s="63">
        <v>10.77618</v>
      </c>
      <c r="D274" s="63">
        <v>106.607</v>
      </c>
      <c r="E274" s="64">
        <v>12.956</v>
      </c>
    </row>
    <row r="275" ht="22.5" customHeight="1">
      <c r="A275" s="66">
        <v>10.69094</v>
      </c>
      <c r="B275" s="67">
        <v>106.5745</v>
      </c>
      <c r="C275" s="67">
        <v>10.65412</v>
      </c>
      <c r="D275" s="67">
        <v>106.5867</v>
      </c>
      <c r="E275" s="68">
        <v>4.906</v>
      </c>
    </row>
    <row r="276" ht="22.5" customHeight="1">
      <c r="A276" s="61">
        <v>10.69094</v>
      </c>
      <c r="B276" s="63">
        <v>106.5745</v>
      </c>
      <c r="C276" s="63">
        <v>10.65647</v>
      </c>
      <c r="D276" s="63">
        <v>106.5841</v>
      </c>
      <c r="E276" s="64">
        <v>6.198</v>
      </c>
    </row>
    <row r="277" ht="22.5" customHeight="1">
      <c r="A277" s="66">
        <v>10.69094</v>
      </c>
      <c r="B277" s="67">
        <v>106.5745</v>
      </c>
      <c r="C277" s="67">
        <v>10.7252</v>
      </c>
      <c r="D277" s="67">
        <v>106.6094</v>
      </c>
      <c r="E277" s="68">
        <v>6.642</v>
      </c>
    </row>
    <row r="278" ht="22.5" customHeight="1">
      <c r="A278" s="61">
        <v>10.69094</v>
      </c>
      <c r="B278" s="63">
        <v>106.5745</v>
      </c>
      <c r="C278" s="63">
        <v>10.72522</v>
      </c>
      <c r="D278" s="63">
        <v>106.6089</v>
      </c>
      <c r="E278" s="64">
        <v>6.897</v>
      </c>
    </row>
    <row r="279" ht="22.5" customHeight="1">
      <c r="A279" s="66">
        <v>10.69094</v>
      </c>
      <c r="B279" s="67">
        <v>106.5745</v>
      </c>
      <c r="C279" s="67">
        <v>10.7444</v>
      </c>
      <c r="D279" s="67">
        <v>106.6304</v>
      </c>
      <c r="E279" s="68">
        <v>10.239</v>
      </c>
    </row>
    <row r="280" ht="22.5" customHeight="1">
      <c r="A280" s="61">
        <v>10.69094</v>
      </c>
      <c r="B280" s="63">
        <v>106.5745</v>
      </c>
      <c r="C280" s="63">
        <v>10.75191</v>
      </c>
      <c r="D280" s="63">
        <v>106.6006</v>
      </c>
      <c r="E280" s="64">
        <v>10.145</v>
      </c>
    </row>
    <row r="281" ht="22.5" customHeight="1">
      <c r="A281" s="66">
        <v>10.69094</v>
      </c>
      <c r="B281" s="67">
        <v>106.5745</v>
      </c>
      <c r="C281" s="67">
        <v>10.75297</v>
      </c>
      <c r="D281" s="67">
        <v>106.6034</v>
      </c>
      <c r="E281" s="68">
        <v>10.422</v>
      </c>
    </row>
    <row r="282" ht="22.5" customHeight="1">
      <c r="A282" s="61">
        <v>10.69094</v>
      </c>
      <c r="B282" s="63">
        <v>106.5745</v>
      </c>
      <c r="C282" s="63">
        <v>10.75643</v>
      </c>
      <c r="D282" s="63">
        <v>106.6734</v>
      </c>
      <c r="E282" s="64">
        <v>14.35</v>
      </c>
    </row>
    <row r="283" ht="22.5" customHeight="1">
      <c r="A283" s="66">
        <v>10.69094</v>
      </c>
      <c r="B283" s="67">
        <v>106.5745</v>
      </c>
      <c r="C283" s="67">
        <v>10.7765</v>
      </c>
      <c r="D283" s="67">
        <v>106.6028</v>
      </c>
      <c r="E283" s="68">
        <v>13.726</v>
      </c>
    </row>
    <row r="284" ht="22.5" customHeight="1">
      <c r="A284" s="61">
        <v>10.69094</v>
      </c>
      <c r="B284" s="63">
        <v>106.5745</v>
      </c>
      <c r="C284" s="63">
        <v>10.78747</v>
      </c>
      <c r="D284" s="63">
        <v>106.5981</v>
      </c>
      <c r="E284" s="64">
        <v>15.13</v>
      </c>
    </row>
    <row r="285" ht="22.5" customHeight="1">
      <c r="A285" s="66">
        <v>10.69229</v>
      </c>
      <c r="B285" s="67">
        <v>106.6439</v>
      </c>
      <c r="C285" s="67">
        <v>10.7231</v>
      </c>
      <c r="D285" s="67">
        <v>106.6556</v>
      </c>
      <c r="E285" s="68">
        <v>4.921</v>
      </c>
    </row>
    <row r="286" ht="22.5" customHeight="1">
      <c r="A286" s="61">
        <v>10.69376</v>
      </c>
      <c r="B286" s="63">
        <v>106.5802</v>
      </c>
      <c r="C286" s="63">
        <v>10.65412</v>
      </c>
      <c r="D286" s="63">
        <v>106.5867</v>
      </c>
      <c r="E286" s="64">
        <v>7.343</v>
      </c>
    </row>
    <row r="287" ht="22.5" customHeight="1">
      <c r="A287" s="66">
        <v>10.69376</v>
      </c>
      <c r="B287" s="67">
        <v>106.5802</v>
      </c>
      <c r="C287" s="67">
        <v>10.65647</v>
      </c>
      <c r="D287" s="67">
        <v>106.5841</v>
      </c>
      <c r="E287" s="68">
        <v>7.199</v>
      </c>
    </row>
    <row r="288" ht="22.5" customHeight="1">
      <c r="A288" s="61">
        <v>10.69376</v>
      </c>
      <c r="B288" s="63">
        <v>106.5802</v>
      </c>
      <c r="C288" s="63">
        <v>10.69376</v>
      </c>
      <c r="D288" s="63">
        <v>106.5802</v>
      </c>
      <c r="E288" s="64">
        <v>0.002</v>
      </c>
    </row>
    <row r="289" ht="22.5" customHeight="1">
      <c r="A289" s="66">
        <v>10.69376</v>
      </c>
      <c r="B289" s="67">
        <v>106.5802</v>
      </c>
      <c r="C289" s="67">
        <v>10.71016</v>
      </c>
      <c r="D289" s="67">
        <v>106.5747</v>
      </c>
      <c r="E289" s="68">
        <v>5.585</v>
      </c>
    </row>
    <row r="290" ht="22.5" customHeight="1">
      <c r="A290" s="61">
        <v>10.69376</v>
      </c>
      <c r="B290" s="63">
        <v>106.5802</v>
      </c>
      <c r="C290" s="63">
        <v>10.7252</v>
      </c>
      <c r="D290" s="63">
        <v>106.6094</v>
      </c>
      <c r="E290" s="64">
        <v>8.489</v>
      </c>
    </row>
    <row r="291" ht="22.5" customHeight="1">
      <c r="A291" s="66">
        <v>10.69376</v>
      </c>
      <c r="B291" s="67">
        <v>106.5802</v>
      </c>
      <c r="C291" s="67">
        <v>10.72522</v>
      </c>
      <c r="D291" s="67">
        <v>106.6089</v>
      </c>
      <c r="E291" s="68">
        <v>8.754</v>
      </c>
    </row>
    <row r="292" ht="22.5" customHeight="1">
      <c r="A292" s="61">
        <v>10.69376</v>
      </c>
      <c r="B292" s="63">
        <v>106.5802</v>
      </c>
      <c r="C292" s="63">
        <v>10.7444</v>
      </c>
      <c r="D292" s="63">
        <v>106.6304</v>
      </c>
      <c r="E292" s="64">
        <v>12.058</v>
      </c>
    </row>
    <row r="293" ht="22.5" customHeight="1">
      <c r="A293" s="66">
        <v>10.69376</v>
      </c>
      <c r="B293" s="67">
        <v>106.5802</v>
      </c>
      <c r="C293" s="67">
        <v>10.74602</v>
      </c>
      <c r="D293" s="67">
        <v>106.6123</v>
      </c>
      <c r="E293" s="68">
        <v>11.174</v>
      </c>
    </row>
    <row r="294" ht="22.5" customHeight="1">
      <c r="A294" s="61">
        <v>10.69376</v>
      </c>
      <c r="B294" s="63">
        <v>106.5802</v>
      </c>
      <c r="C294" s="63">
        <v>10.75191</v>
      </c>
      <c r="D294" s="63">
        <v>106.6006</v>
      </c>
      <c r="E294" s="64">
        <v>11.998</v>
      </c>
    </row>
    <row r="295" ht="22.5" customHeight="1">
      <c r="A295" s="66">
        <v>10.69376</v>
      </c>
      <c r="B295" s="67">
        <v>106.5802</v>
      </c>
      <c r="C295" s="67">
        <v>10.75347</v>
      </c>
      <c r="D295" s="67">
        <v>106.5931</v>
      </c>
      <c r="E295" s="68">
        <v>11.306</v>
      </c>
    </row>
    <row r="296" ht="22.5" customHeight="1">
      <c r="A296" s="61">
        <v>10.69376</v>
      </c>
      <c r="B296" s="63">
        <v>106.5802</v>
      </c>
      <c r="C296" s="63">
        <v>10.75889</v>
      </c>
      <c r="D296" s="63">
        <v>106.5791</v>
      </c>
      <c r="E296" s="64">
        <v>11.813</v>
      </c>
    </row>
    <row r="297" ht="22.5" customHeight="1">
      <c r="A297" s="66">
        <v>10.69376</v>
      </c>
      <c r="B297" s="67">
        <v>106.5802</v>
      </c>
      <c r="C297" s="67">
        <v>10.76707</v>
      </c>
      <c r="D297" s="67">
        <v>106.6493</v>
      </c>
      <c r="E297" s="68">
        <v>12.449</v>
      </c>
    </row>
    <row r="298" ht="22.5" customHeight="1">
      <c r="A298" s="61">
        <v>10.69376</v>
      </c>
      <c r="B298" s="63">
        <v>106.5802</v>
      </c>
      <c r="C298" s="63">
        <v>10.77509</v>
      </c>
      <c r="D298" s="63">
        <v>106.6727</v>
      </c>
      <c r="E298" s="64">
        <v>18.397</v>
      </c>
    </row>
    <row r="299" ht="22.5" customHeight="1">
      <c r="A299" s="66">
        <v>10.69407</v>
      </c>
      <c r="B299" s="67">
        <v>106.5849</v>
      </c>
      <c r="C299" s="67">
        <v>10.65412</v>
      </c>
      <c r="D299" s="67">
        <v>106.5867</v>
      </c>
      <c r="E299" s="68">
        <v>5.602</v>
      </c>
    </row>
    <row r="300" ht="22.5" customHeight="1">
      <c r="A300" s="61">
        <v>10.69407</v>
      </c>
      <c r="B300" s="63">
        <v>106.5849</v>
      </c>
      <c r="C300" s="63">
        <v>10.65647</v>
      </c>
      <c r="D300" s="63">
        <v>106.5841</v>
      </c>
      <c r="E300" s="64">
        <v>6.887</v>
      </c>
    </row>
    <row r="301" ht="22.5" customHeight="1">
      <c r="A301" s="66">
        <v>10.69407</v>
      </c>
      <c r="B301" s="67">
        <v>106.5849</v>
      </c>
      <c r="C301" s="67">
        <v>10.71016</v>
      </c>
      <c r="D301" s="67">
        <v>106.5747</v>
      </c>
      <c r="E301" s="68">
        <v>3.054</v>
      </c>
    </row>
    <row r="302" ht="22.5" customHeight="1">
      <c r="A302" s="61">
        <v>10.69407</v>
      </c>
      <c r="B302" s="63">
        <v>106.5849</v>
      </c>
      <c r="C302" s="63">
        <v>10.74602</v>
      </c>
      <c r="D302" s="63">
        <v>106.6123</v>
      </c>
      <c r="E302" s="64">
        <v>8.035</v>
      </c>
    </row>
    <row r="303" ht="22.5" customHeight="1">
      <c r="A303" s="66">
        <v>10.69407</v>
      </c>
      <c r="B303" s="67">
        <v>106.5849</v>
      </c>
      <c r="C303" s="67">
        <v>10.74672</v>
      </c>
      <c r="D303" s="67">
        <v>106.6132</v>
      </c>
      <c r="E303" s="68">
        <v>8.677</v>
      </c>
    </row>
    <row r="304" ht="22.5" customHeight="1">
      <c r="A304" s="61">
        <v>10.69407</v>
      </c>
      <c r="B304" s="63">
        <v>106.5849</v>
      </c>
      <c r="C304" s="63">
        <v>10.75587</v>
      </c>
      <c r="D304" s="63">
        <v>106.5924</v>
      </c>
      <c r="E304" s="64">
        <v>8.337</v>
      </c>
    </row>
    <row r="305" ht="22.5" customHeight="1">
      <c r="A305" s="66">
        <v>10.69407</v>
      </c>
      <c r="B305" s="67">
        <v>106.5849</v>
      </c>
      <c r="C305" s="67">
        <v>10.7716</v>
      </c>
      <c r="D305" s="67">
        <v>106.587</v>
      </c>
      <c r="E305" s="68">
        <v>10.523</v>
      </c>
    </row>
    <row r="306" ht="22.5" customHeight="1">
      <c r="A306" s="61">
        <v>10.69407</v>
      </c>
      <c r="B306" s="63">
        <v>106.5849</v>
      </c>
      <c r="C306" s="63">
        <v>10.77509</v>
      </c>
      <c r="D306" s="63">
        <v>106.6727</v>
      </c>
      <c r="E306" s="64">
        <v>14.806</v>
      </c>
    </row>
    <row r="307" ht="22.5" customHeight="1">
      <c r="A307" s="66">
        <v>10.69443</v>
      </c>
      <c r="B307" s="67">
        <v>106.7401</v>
      </c>
      <c r="C307" s="67">
        <v>10.68689</v>
      </c>
      <c r="D307" s="67">
        <v>106.7435</v>
      </c>
      <c r="E307" s="68">
        <v>1.704</v>
      </c>
    </row>
    <row r="308" ht="22.5" customHeight="1">
      <c r="A308" s="61">
        <v>10.69443</v>
      </c>
      <c r="B308" s="63">
        <v>106.7401</v>
      </c>
      <c r="C308" s="63">
        <v>10.70167</v>
      </c>
      <c r="D308" s="63">
        <v>106.7382</v>
      </c>
      <c r="E308" s="64">
        <v>1.424</v>
      </c>
    </row>
    <row r="309" ht="22.5" customHeight="1">
      <c r="A309" s="66">
        <v>10.69443</v>
      </c>
      <c r="B309" s="67">
        <v>106.7401</v>
      </c>
      <c r="C309" s="67">
        <v>10.71544</v>
      </c>
      <c r="D309" s="67">
        <v>106.7371</v>
      </c>
      <c r="E309" s="68">
        <v>2.261</v>
      </c>
    </row>
    <row r="310" ht="22.5" customHeight="1">
      <c r="A310" s="61">
        <v>10.69491</v>
      </c>
      <c r="B310" s="63">
        <v>106.7046</v>
      </c>
      <c r="C310" s="63">
        <v>10.64117</v>
      </c>
      <c r="D310" s="63">
        <v>106.7332</v>
      </c>
      <c r="E310" s="64">
        <v>8.415</v>
      </c>
    </row>
    <row r="311" ht="22.5" customHeight="1">
      <c r="A311" s="66">
        <v>10.69506</v>
      </c>
      <c r="B311" s="67">
        <v>106.7048</v>
      </c>
      <c r="C311" s="67">
        <v>10.71544</v>
      </c>
      <c r="D311" s="67">
        <v>106.7371</v>
      </c>
      <c r="E311" s="68">
        <v>7.304</v>
      </c>
    </row>
    <row r="312" ht="22.5" customHeight="1">
      <c r="A312" s="61">
        <v>10.69506</v>
      </c>
      <c r="B312" s="63">
        <v>106.7048</v>
      </c>
      <c r="C312" s="63">
        <v>10.73842</v>
      </c>
      <c r="D312" s="63">
        <v>106.7164</v>
      </c>
      <c r="E312" s="64">
        <v>7.314</v>
      </c>
    </row>
    <row r="313" ht="22.5" customHeight="1">
      <c r="A313" s="66">
        <v>10.69506</v>
      </c>
      <c r="B313" s="67">
        <v>106.7048</v>
      </c>
      <c r="C313" s="67">
        <v>10.77509</v>
      </c>
      <c r="D313" s="67">
        <v>106.6727</v>
      </c>
      <c r="E313" s="68">
        <v>11.684</v>
      </c>
    </row>
    <row r="314" ht="22.5" customHeight="1">
      <c r="A314" s="61">
        <v>10.70167</v>
      </c>
      <c r="B314" s="63">
        <v>106.7382</v>
      </c>
      <c r="C314" s="63">
        <v>10.68689</v>
      </c>
      <c r="D314" s="63">
        <v>106.7435</v>
      </c>
      <c r="E314" s="64">
        <v>1.746</v>
      </c>
    </row>
    <row r="315" ht="22.5" customHeight="1">
      <c r="A315" s="66">
        <v>10.70167</v>
      </c>
      <c r="B315" s="67">
        <v>106.7382</v>
      </c>
      <c r="C315" s="67">
        <v>10.69009</v>
      </c>
      <c r="D315" s="67">
        <v>106.7419</v>
      </c>
      <c r="E315" s="68">
        <v>2.361</v>
      </c>
    </row>
    <row r="316" ht="22.5" customHeight="1">
      <c r="A316" s="61">
        <v>10.70167</v>
      </c>
      <c r="B316" s="63">
        <v>106.7382</v>
      </c>
      <c r="C316" s="63">
        <v>10.71544</v>
      </c>
      <c r="D316" s="63">
        <v>106.7371</v>
      </c>
      <c r="E316" s="64">
        <v>1.5</v>
      </c>
    </row>
    <row r="317" ht="22.5" customHeight="1">
      <c r="A317" s="66">
        <v>10.70167</v>
      </c>
      <c r="B317" s="67">
        <v>106.7382</v>
      </c>
      <c r="C317" s="67">
        <v>10.7179</v>
      </c>
      <c r="D317" s="67">
        <v>106.7369</v>
      </c>
      <c r="E317" s="68">
        <v>5.452</v>
      </c>
    </row>
    <row r="318" ht="22.5" customHeight="1">
      <c r="A318" s="61">
        <v>10.70167</v>
      </c>
      <c r="B318" s="63">
        <v>106.7382</v>
      </c>
      <c r="C318" s="63">
        <v>10.71973</v>
      </c>
      <c r="D318" s="63">
        <v>106.7367</v>
      </c>
      <c r="E318" s="64">
        <v>5.273</v>
      </c>
    </row>
    <row r="319" ht="22.5" customHeight="1">
      <c r="A319" s="66">
        <v>10.70167</v>
      </c>
      <c r="B319" s="67">
        <v>106.7382</v>
      </c>
      <c r="C319" s="67">
        <v>10.73611</v>
      </c>
      <c r="D319" s="67">
        <v>106.6908</v>
      </c>
      <c r="E319" s="68">
        <v>5.052</v>
      </c>
    </row>
    <row r="320" ht="22.5" customHeight="1">
      <c r="A320" s="61">
        <v>10.70167</v>
      </c>
      <c r="B320" s="63">
        <v>106.7382</v>
      </c>
      <c r="C320" s="63">
        <v>10.73816</v>
      </c>
      <c r="D320" s="63">
        <v>106.7211</v>
      </c>
      <c r="E320" s="64">
        <v>5.425</v>
      </c>
    </row>
    <row r="321" ht="22.5" customHeight="1">
      <c r="A321" s="66">
        <v>10.70167</v>
      </c>
      <c r="B321" s="67">
        <v>106.7382</v>
      </c>
      <c r="C321" s="67">
        <v>10.73842</v>
      </c>
      <c r="D321" s="67">
        <v>106.7164</v>
      </c>
      <c r="E321" s="68">
        <v>5.7</v>
      </c>
    </row>
    <row r="322" ht="22.5" customHeight="1">
      <c r="A322" s="61">
        <v>10.70167</v>
      </c>
      <c r="B322" s="63">
        <v>106.7382</v>
      </c>
      <c r="C322" s="63">
        <v>10.74627</v>
      </c>
      <c r="D322" s="63">
        <v>106.6776</v>
      </c>
      <c r="E322" s="64">
        <v>11.626</v>
      </c>
    </row>
    <row r="323" ht="22.5" customHeight="1">
      <c r="A323" s="66">
        <v>10.70167</v>
      </c>
      <c r="B323" s="67">
        <v>106.7382</v>
      </c>
      <c r="C323" s="67">
        <v>10.77509</v>
      </c>
      <c r="D323" s="67">
        <v>106.6727</v>
      </c>
      <c r="E323" s="68">
        <v>15.9</v>
      </c>
    </row>
    <row r="324" ht="22.5" customHeight="1">
      <c r="A324" s="61">
        <v>10.70499</v>
      </c>
      <c r="B324" s="63">
        <v>106.5965</v>
      </c>
      <c r="C324" s="63">
        <v>10.65412</v>
      </c>
      <c r="D324" s="63">
        <v>106.5867</v>
      </c>
      <c r="E324" s="64">
        <v>7.307</v>
      </c>
    </row>
    <row r="325" ht="22.5" customHeight="1">
      <c r="A325" s="66">
        <v>10.70499</v>
      </c>
      <c r="B325" s="67">
        <v>106.5965</v>
      </c>
      <c r="C325" s="67">
        <v>10.65647</v>
      </c>
      <c r="D325" s="67">
        <v>106.5841</v>
      </c>
      <c r="E325" s="68">
        <v>7.142</v>
      </c>
    </row>
    <row r="326" ht="22.5" customHeight="1">
      <c r="A326" s="61">
        <v>10.70499</v>
      </c>
      <c r="B326" s="63">
        <v>106.5965</v>
      </c>
      <c r="C326" s="63">
        <v>10.69376</v>
      </c>
      <c r="D326" s="63">
        <v>106.5802</v>
      </c>
      <c r="E326" s="64">
        <v>3.163</v>
      </c>
    </row>
    <row r="327" ht="22.5" customHeight="1">
      <c r="A327" s="66">
        <v>10.70499</v>
      </c>
      <c r="B327" s="67">
        <v>106.5965</v>
      </c>
      <c r="C327" s="67">
        <v>10.71016</v>
      </c>
      <c r="D327" s="67">
        <v>106.5747</v>
      </c>
      <c r="E327" s="68">
        <v>4.246</v>
      </c>
    </row>
    <row r="328" ht="22.5" customHeight="1">
      <c r="A328" s="61">
        <v>10.70499</v>
      </c>
      <c r="B328" s="63">
        <v>106.5965</v>
      </c>
      <c r="C328" s="63">
        <v>10.7252</v>
      </c>
      <c r="D328" s="63">
        <v>106.6094</v>
      </c>
      <c r="E328" s="64">
        <v>3.139</v>
      </c>
    </row>
    <row r="329" ht="22.5" customHeight="1">
      <c r="A329" s="66">
        <v>10.70499</v>
      </c>
      <c r="B329" s="67">
        <v>106.5965</v>
      </c>
      <c r="C329" s="67">
        <v>10.73897</v>
      </c>
      <c r="D329" s="67">
        <v>106.6149</v>
      </c>
      <c r="E329" s="68">
        <v>4.428</v>
      </c>
    </row>
    <row r="330" ht="22.5" customHeight="1">
      <c r="A330" s="61">
        <v>10.70499</v>
      </c>
      <c r="B330" s="63">
        <v>106.5965</v>
      </c>
      <c r="C330" s="63">
        <v>10.74602</v>
      </c>
      <c r="D330" s="63">
        <v>106.6123</v>
      </c>
      <c r="E330" s="64">
        <v>5.854</v>
      </c>
    </row>
    <row r="331" ht="22.5" customHeight="1">
      <c r="A331" s="66">
        <v>10.70499</v>
      </c>
      <c r="B331" s="67">
        <v>106.5965</v>
      </c>
      <c r="C331" s="67">
        <v>10.75191</v>
      </c>
      <c r="D331" s="67">
        <v>106.6006</v>
      </c>
      <c r="E331" s="68">
        <v>6.641</v>
      </c>
    </row>
    <row r="332" ht="22.5" customHeight="1">
      <c r="A332" s="61">
        <v>10.70499</v>
      </c>
      <c r="B332" s="63">
        <v>106.5965</v>
      </c>
      <c r="C332" s="63">
        <v>10.76707</v>
      </c>
      <c r="D332" s="63">
        <v>106.6493</v>
      </c>
      <c r="E332" s="64">
        <v>9.947</v>
      </c>
    </row>
    <row r="333" ht="22.5" customHeight="1">
      <c r="A333" s="66">
        <v>10.70499</v>
      </c>
      <c r="B333" s="67">
        <v>106.5965</v>
      </c>
      <c r="C333" s="67">
        <v>10.77618</v>
      </c>
      <c r="D333" s="67">
        <v>106.607</v>
      </c>
      <c r="E333" s="68">
        <v>10.475</v>
      </c>
    </row>
    <row r="334" ht="22.5" customHeight="1">
      <c r="A334" s="61">
        <v>10.70499</v>
      </c>
      <c r="B334" s="63">
        <v>106.5965</v>
      </c>
      <c r="C334" s="63">
        <v>10.7765</v>
      </c>
      <c r="D334" s="63">
        <v>106.6028</v>
      </c>
      <c r="E334" s="64">
        <v>9.398</v>
      </c>
    </row>
    <row r="335" ht="22.5" customHeight="1">
      <c r="A335" s="66">
        <v>10.70929</v>
      </c>
      <c r="B335" s="67">
        <v>106.576</v>
      </c>
      <c r="C335" s="67">
        <v>10.71016</v>
      </c>
      <c r="D335" s="67">
        <v>106.5747</v>
      </c>
      <c r="E335" s="68">
        <v>0.5</v>
      </c>
    </row>
    <row r="336" ht="22.5" customHeight="1">
      <c r="A336" s="61">
        <v>10.70929</v>
      </c>
      <c r="B336" s="63">
        <v>106.576</v>
      </c>
      <c r="C336" s="63">
        <v>10.73908</v>
      </c>
      <c r="D336" s="63">
        <v>106.6149</v>
      </c>
      <c r="E336" s="64">
        <v>8.2</v>
      </c>
    </row>
    <row r="337" ht="22.5" customHeight="1">
      <c r="A337" s="66">
        <v>10.70929</v>
      </c>
      <c r="B337" s="67">
        <v>106.576</v>
      </c>
      <c r="C337" s="67">
        <v>10.77509</v>
      </c>
      <c r="D337" s="67">
        <v>106.6727</v>
      </c>
      <c r="E337" s="68">
        <v>15.585</v>
      </c>
    </row>
    <row r="338" ht="22.5" customHeight="1">
      <c r="A338" s="61">
        <v>10.70929</v>
      </c>
      <c r="B338" s="63">
        <v>106.576</v>
      </c>
      <c r="C338" s="63">
        <v>10.81094</v>
      </c>
      <c r="D338" s="63">
        <v>106.611</v>
      </c>
      <c r="E338" s="64">
        <v>14.6</v>
      </c>
    </row>
    <row r="339" ht="22.5" customHeight="1">
      <c r="A339" s="66">
        <v>10.71016</v>
      </c>
      <c r="B339" s="67">
        <v>106.5747</v>
      </c>
      <c r="C339" s="67">
        <v>10.65412</v>
      </c>
      <c r="D339" s="67">
        <v>106.5867</v>
      </c>
      <c r="E339" s="68">
        <v>8.007</v>
      </c>
    </row>
    <row r="340" ht="22.5" customHeight="1">
      <c r="A340" s="61">
        <v>10.71016</v>
      </c>
      <c r="B340" s="63">
        <v>106.5747</v>
      </c>
      <c r="C340" s="63">
        <v>10.65647</v>
      </c>
      <c r="D340" s="63">
        <v>106.5841</v>
      </c>
      <c r="E340" s="64">
        <v>7.874</v>
      </c>
    </row>
    <row r="341" ht="22.5" customHeight="1">
      <c r="A341" s="66">
        <v>10.71016</v>
      </c>
      <c r="B341" s="67">
        <v>106.5747</v>
      </c>
      <c r="C341" s="67">
        <v>10.69088</v>
      </c>
      <c r="D341" s="67">
        <v>106.586</v>
      </c>
      <c r="E341" s="68">
        <v>5.178</v>
      </c>
    </row>
    <row r="342" ht="22.5" customHeight="1">
      <c r="A342" s="61">
        <v>10.71016</v>
      </c>
      <c r="B342" s="63">
        <v>106.5747</v>
      </c>
      <c r="C342" s="63">
        <v>10.69094</v>
      </c>
      <c r="D342" s="63">
        <v>106.5745</v>
      </c>
      <c r="E342" s="64">
        <v>3.187</v>
      </c>
    </row>
    <row r="343" ht="22.5" customHeight="1">
      <c r="A343" s="66">
        <v>10.71016</v>
      </c>
      <c r="B343" s="67">
        <v>106.5747</v>
      </c>
      <c r="C343" s="67">
        <v>10.69376</v>
      </c>
      <c r="D343" s="67">
        <v>106.5802</v>
      </c>
      <c r="E343" s="68">
        <v>6.334</v>
      </c>
    </row>
    <row r="344" ht="22.5" customHeight="1">
      <c r="A344" s="61">
        <v>10.71016</v>
      </c>
      <c r="B344" s="63">
        <v>106.5747</v>
      </c>
      <c r="C344" s="63">
        <v>10.70499</v>
      </c>
      <c r="D344" s="63">
        <v>106.5965</v>
      </c>
      <c r="E344" s="64">
        <v>3.954</v>
      </c>
    </row>
    <row r="345" ht="22.5" customHeight="1">
      <c r="A345" s="66">
        <v>10.71016</v>
      </c>
      <c r="B345" s="67">
        <v>106.5747</v>
      </c>
      <c r="C345" s="67">
        <v>10.70929</v>
      </c>
      <c r="D345" s="67">
        <v>106.576</v>
      </c>
      <c r="E345" s="68">
        <v>0.218</v>
      </c>
    </row>
    <row r="346" ht="22.5" customHeight="1">
      <c r="A346" s="61">
        <v>10.71016</v>
      </c>
      <c r="B346" s="63">
        <v>106.5747</v>
      </c>
      <c r="C346" s="63">
        <v>10.71125</v>
      </c>
      <c r="D346" s="63">
        <v>106.5768</v>
      </c>
      <c r="E346" s="64">
        <v>0.847</v>
      </c>
    </row>
    <row r="347" ht="22.5" customHeight="1">
      <c r="A347" s="66">
        <v>10.71016</v>
      </c>
      <c r="B347" s="67">
        <v>106.5747</v>
      </c>
      <c r="C347" s="67">
        <v>10.7252</v>
      </c>
      <c r="D347" s="67">
        <v>106.6094</v>
      </c>
      <c r="E347" s="68">
        <v>6.296</v>
      </c>
    </row>
    <row r="348" ht="22.5" customHeight="1">
      <c r="A348" s="61">
        <v>10.71016</v>
      </c>
      <c r="B348" s="63">
        <v>106.5747</v>
      </c>
      <c r="C348" s="63">
        <v>10.72522</v>
      </c>
      <c r="D348" s="63">
        <v>106.6089</v>
      </c>
      <c r="E348" s="64">
        <v>6.482</v>
      </c>
    </row>
    <row r="349" ht="22.5" customHeight="1">
      <c r="A349" s="66">
        <v>10.71016</v>
      </c>
      <c r="B349" s="67">
        <v>106.5747</v>
      </c>
      <c r="C349" s="67">
        <v>10.7406</v>
      </c>
      <c r="D349" s="67">
        <v>106.6072</v>
      </c>
      <c r="E349" s="68">
        <v>7.833</v>
      </c>
    </row>
    <row r="350" ht="22.5" customHeight="1">
      <c r="A350" s="61">
        <v>10.71016</v>
      </c>
      <c r="B350" s="63">
        <v>106.5747</v>
      </c>
      <c r="C350" s="63">
        <v>10.74097</v>
      </c>
      <c r="D350" s="63">
        <v>106.6091</v>
      </c>
      <c r="E350" s="64">
        <v>8.482</v>
      </c>
    </row>
    <row r="351" ht="22.5" customHeight="1">
      <c r="A351" s="66">
        <v>10.71016</v>
      </c>
      <c r="B351" s="67">
        <v>106.5747</v>
      </c>
      <c r="C351" s="67">
        <v>10.74602</v>
      </c>
      <c r="D351" s="67">
        <v>106.6123</v>
      </c>
      <c r="E351" s="68">
        <v>8.7</v>
      </c>
    </row>
    <row r="352" ht="22.5" customHeight="1">
      <c r="A352" s="61">
        <v>10.71016</v>
      </c>
      <c r="B352" s="63">
        <v>106.5747</v>
      </c>
      <c r="C352" s="63">
        <v>10.74761</v>
      </c>
      <c r="D352" s="63">
        <v>106.689</v>
      </c>
      <c r="E352" s="64">
        <v>16.617</v>
      </c>
    </row>
    <row r="353" ht="22.5" customHeight="1">
      <c r="A353" s="66">
        <v>10.71016</v>
      </c>
      <c r="B353" s="67">
        <v>106.5747</v>
      </c>
      <c r="C353" s="67">
        <v>10.74857</v>
      </c>
      <c r="D353" s="67">
        <v>106.6996</v>
      </c>
      <c r="E353" s="68">
        <v>17.756</v>
      </c>
    </row>
    <row r="354" ht="22.5" customHeight="1">
      <c r="A354" s="61">
        <v>10.71016</v>
      </c>
      <c r="B354" s="63">
        <v>106.5747</v>
      </c>
      <c r="C354" s="63">
        <v>10.75168</v>
      </c>
      <c r="D354" s="63">
        <v>106.6103</v>
      </c>
      <c r="E354" s="64">
        <v>8.232</v>
      </c>
    </row>
    <row r="355" ht="22.5" customHeight="1">
      <c r="A355" s="66">
        <v>10.71016</v>
      </c>
      <c r="B355" s="67">
        <v>106.5747</v>
      </c>
      <c r="C355" s="67">
        <v>10.75317</v>
      </c>
      <c r="D355" s="67">
        <v>106.6778</v>
      </c>
      <c r="E355" s="68">
        <v>15.732</v>
      </c>
    </row>
    <row r="356" ht="22.5" customHeight="1">
      <c r="A356" s="61">
        <v>10.71016</v>
      </c>
      <c r="B356" s="63">
        <v>106.5747</v>
      </c>
      <c r="C356" s="63">
        <v>10.75347</v>
      </c>
      <c r="D356" s="63">
        <v>106.5931</v>
      </c>
      <c r="E356" s="64">
        <v>7.653</v>
      </c>
    </row>
    <row r="357" ht="22.5" customHeight="1">
      <c r="A357" s="66">
        <v>10.71016</v>
      </c>
      <c r="B357" s="67">
        <v>106.5747</v>
      </c>
      <c r="C357" s="67">
        <v>10.75644</v>
      </c>
      <c r="D357" s="67">
        <v>106.5914</v>
      </c>
      <c r="E357" s="68">
        <v>8.215</v>
      </c>
    </row>
    <row r="358" ht="22.5" customHeight="1">
      <c r="A358" s="61">
        <v>10.71016</v>
      </c>
      <c r="B358" s="63">
        <v>106.5747</v>
      </c>
      <c r="C358" s="63">
        <v>10.75728</v>
      </c>
      <c r="D358" s="63">
        <v>106.6659</v>
      </c>
      <c r="E358" s="64">
        <v>13.806</v>
      </c>
    </row>
    <row r="359" ht="22.5" customHeight="1">
      <c r="A359" s="66">
        <v>10.71016</v>
      </c>
      <c r="B359" s="67">
        <v>106.5747</v>
      </c>
      <c r="C359" s="67">
        <v>10.76248</v>
      </c>
      <c r="D359" s="67">
        <v>106.6702</v>
      </c>
      <c r="E359" s="68">
        <v>14.655</v>
      </c>
    </row>
    <row r="360" ht="22.5" customHeight="1">
      <c r="A360" s="61">
        <v>10.71016</v>
      </c>
      <c r="B360" s="63">
        <v>106.5747</v>
      </c>
      <c r="C360" s="63">
        <v>10.76707</v>
      </c>
      <c r="D360" s="63">
        <v>106.6493</v>
      </c>
      <c r="E360" s="64">
        <v>13.001</v>
      </c>
    </row>
    <row r="361" ht="22.5" customHeight="1">
      <c r="A361" s="66">
        <v>10.71016</v>
      </c>
      <c r="B361" s="67">
        <v>106.5747</v>
      </c>
      <c r="C361" s="67">
        <v>10.76856</v>
      </c>
      <c r="D361" s="67">
        <v>106.6702</v>
      </c>
      <c r="E361" s="68">
        <v>15.426</v>
      </c>
    </row>
    <row r="362" ht="22.5" customHeight="1">
      <c r="A362" s="61">
        <v>10.71016</v>
      </c>
      <c r="B362" s="63">
        <v>106.5747</v>
      </c>
      <c r="C362" s="63">
        <v>10.76886</v>
      </c>
      <c r="D362" s="63">
        <v>106.6859</v>
      </c>
      <c r="E362" s="64">
        <v>16.386</v>
      </c>
    </row>
    <row r="363" ht="22.5" customHeight="1">
      <c r="A363" s="66">
        <v>10.71016</v>
      </c>
      <c r="B363" s="67">
        <v>106.5747</v>
      </c>
      <c r="C363" s="67">
        <v>10.77167</v>
      </c>
      <c r="D363" s="67">
        <v>106.5865</v>
      </c>
      <c r="E363" s="68">
        <v>8.525</v>
      </c>
    </row>
    <row r="364" ht="22.5" customHeight="1">
      <c r="A364" s="61">
        <v>10.71016</v>
      </c>
      <c r="B364" s="63">
        <v>106.5747</v>
      </c>
      <c r="C364" s="63">
        <v>10.77509</v>
      </c>
      <c r="D364" s="63">
        <v>106.6727</v>
      </c>
      <c r="E364" s="64">
        <v>16.002</v>
      </c>
    </row>
    <row r="365" ht="22.5" customHeight="1">
      <c r="A365" s="66">
        <v>10.71016</v>
      </c>
      <c r="B365" s="67">
        <v>106.5747</v>
      </c>
      <c r="C365" s="67">
        <v>10.77618</v>
      </c>
      <c r="D365" s="67">
        <v>106.607</v>
      </c>
      <c r="E365" s="68">
        <v>10.538</v>
      </c>
    </row>
    <row r="366" ht="22.5" customHeight="1">
      <c r="A366" s="61">
        <v>10.71016</v>
      </c>
      <c r="B366" s="63">
        <v>106.5747</v>
      </c>
      <c r="C366" s="63">
        <v>10.77641</v>
      </c>
      <c r="D366" s="63">
        <v>106.6866</v>
      </c>
      <c r="E366" s="64">
        <v>17.176</v>
      </c>
    </row>
    <row r="367" ht="22.5" customHeight="1">
      <c r="A367" s="66">
        <v>10.71016</v>
      </c>
      <c r="B367" s="67">
        <v>106.5747</v>
      </c>
      <c r="C367" s="67">
        <v>10.78624</v>
      </c>
      <c r="D367" s="67">
        <v>106.6887</v>
      </c>
      <c r="E367" s="68">
        <v>18.547</v>
      </c>
    </row>
    <row r="368" ht="22.5" customHeight="1">
      <c r="A368" s="61">
        <v>10.711</v>
      </c>
      <c r="B368" s="63">
        <v>106.5765</v>
      </c>
      <c r="C368" s="63">
        <v>10.71016</v>
      </c>
      <c r="D368" s="63">
        <v>106.5747</v>
      </c>
      <c r="E368" s="64">
        <v>0.6</v>
      </c>
    </row>
    <row r="369" ht="22.5" customHeight="1">
      <c r="A369" s="66">
        <v>10.711</v>
      </c>
      <c r="B369" s="67">
        <v>106.5765</v>
      </c>
      <c r="C369" s="67">
        <v>10.77231</v>
      </c>
      <c r="D369" s="67">
        <v>106.6319</v>
      </c>
      <c r="E369" s="68">
        <v>13.3</v>
      </c>
    </row>
    <row r="370" ht="22.5" customHeight="1">
      <c r="A370" s="61">
        <v>10.71125</v>
      </c>
      <c r="B370" s="63">
        <v>106.5768</v>
      </c>
      <c r="C370" s="63">
        <v>10.71016</v>
      </c>
      <c r="D370" s="63">
        <v>106.5747</v>
      </c>
      <c r="E370" s="64">
        <v>0.8</v>
      </c>
    </row>
    <row r="371" ht="22.5" customHeight="1">
      <c r="A371" s="66">
        <v>10.71125</v>
      </c>
      <c r="B371" s="67">
        <v>106.5768</v>
      </c>
      <c r="C371" s="67">
        <v>10.74857</v>
      </c>
      <c r="D371" s="67">
        <v>106.6996</v>
      </c>
      <c r="E371" s="68">
        <v>17.6</v>
      </c>
    </row>
    <row r="372" ht="22.5" customHeight="1">
      <c r="A372" s="61">
        <v>10.71504</v>
      </c>
      <c r="B372" s="63">
        <v>106.4212</v>
      </c>
      <c r="C372" s="63">
        <v>10.53548</v>
      </c>
      <c r="D372" s="63">
        <v>106.417</v>
      </c>
      <c r="E372" s="64">
        <v>26.755</v>
      </c>
    </row>
    <row r="373" ht="22.5" customHeight="1">
      <c r="A373" s="66">
        <v>10.71518</v>
      </c>
      <c r="B373" s="67">
        <v>106.7004</v>
      </c>
      <c r="C373" s="67">
        <v>10.72264</v>
      </c>
      <c r="D373" s="67">
        <v>106.7134</v>
      </c>
      <c r="E373" s="68">
        <v>3.456</v>
      </c>
    </row>
    <row r="374" ht="22.5" customHeight="1">
      <c r="A374" s="61">
        <v>10.71518</v>
      </c>
      <c r="B374" s="63">
        <v>106.7004</v>
      </c>
      <c r="C374" s="63">
        <v>10.72628</v>
      </c>
      <c r="D374" s="63">
        <v>106.712</v>
      </c>
      <c r="E374" s="64">
        <v>2.937</v>
      </c>
    </row>
    <row r="375" ht="22.5" customHeight="1">
      <c r="A375" s="66">
        <v>10.71518</v>
      </c>
      <c r="B375" s="67">
        <v>106.7004</v>
      </c>
      <c r="C375" s="67">
        <v>10.72957</v>
      </c>
      <c r="D375" s="67">
        <v>106.7082</v>
      </c>
      <c r="E375" s="68">
        <v>2.569</v>
      </c>
    </row>
    <row r="376" ht="22.5" customHeight="1">
      <c r="A376" s="61">
        <v>10.71518</v>
      </c>
      <c r="B376" s="63">
        <v>106.7004</v>
      </c>
      <c r="C376" s="63">
        <v>10.73088</v>
      </c>
      <c r="D376" s="63">
        <v>106.7236</v>
      </c>
      <c r="E376" s="64">
        <v>4.376</v>
      </c>
    </row>
    <row r="377" ht="22.5" customHeight="1">
      <c r="A377" s="66">
        <v>10.71518</v>
      </c>
      <c r="B377" s="67">
        <v>106.7004</v>
      </c>
      <c r="C377" s="67">
        <v>10.73186</v>
      </c>
      <c r="D377" s="67">
        <v>106.7079</v>
      </c>
      <c r="E377" s="68">
        <v>2.852</v>
      </c>
    </row>
    <row r="378" ht="22.5" customHeight="1">
      <c r="A378" s="61">
        <v>10.71518</v>
      </c>
      <c r="B378" s="63">
        <v>106.7004</v>
      </c>
      <c r="C378" s="63">
        <v>10.73842</v>
      </c>
      <c r="D378" s="63">
        <v>106.7164</v>
      </c>
      <c r="E378" s="64">
        <v>4.868</v>
      </c>
    </row>
    <row r="379" ht="22.5" customHeight="1">
      <c r="A379" s="66">
        <v>10.71518</v>
      </c>
      <c r="B379" s="67">
        <v>106.7004</v>
      </c>
      <c r="C379" s="67">
        <v>10.74042</v>
      </c>
      <c r="D379" s="67">
        <v>106.7301</v>
      </c>
      <c r="E379" s="68">
        <v>5.953</v>
      </c>
    </row>
    <row r="380" ht="22.5" customHeight="1">
      <c r="A380" s="61">
        <v>10.71518</v>
      </c>
      <c r="B380" s="63">
        <v>106.7004</v>
      </c>
      <c r="C380" s="63">
        <v>10.74447</v>
      </c>
      <c r="D380" s="63">
        <v>106.711</v>
      </c>
      <c r="E380" s="64">
        <v>4.38</v>
      </c>
    </row>
    <row r="381" ht="22.5" customHeight="1">
      <c r="A381" s="66">
        <v>10.71518</v>
      </c>
      <c r="B381" s="67">
        <v>106.7004</v>
      </c>
      <c r="C381" s="67">
        <v>10.77509</v>
      </c>
      <c r="D381" s="67">
        <v>106.6727</v>
      </c>
      <c r="E381" s="68">
        <v>9.348</v>
      </c>
    </row>
    <row r="382" ht="22.5" customHeight="1">
      <c r="A382" s="61">
        <v>10.71544</v>
      </c>
      <c r="B382" s="63">
        <v>106.7371</v>
      </c>
      <c r="C382" s="63">
        <v>10.68689</v>
      </c>
      <c r="D382" s="63">
        <v>106.7435</v>
      </c>
      <c r="E382" s="64">
        <v>4.1</v>
      </c>
    </row>
    <row r="383" ht="22.5" customHeight="1">
      <c r="A383" s="66">
        <v>10.71544</v>
      </c>
      <c r="B383" s="67">
        <v>106.7371</v>
      </c>
      <c r="C383" s="67">
        <v>10.70167</v>
      </c>
      <c r="D383" s="67">
        <v>106.7382</v>
      </c>
      <c r="E383" s="68">
        <v>2.472</v>
      </c>
    </row>
    <row r="384" ht="22.5" customHeight="1">
      <c r="A384" s="61">
        <v>10.71544</v>
      </c>
      <c r="B384" s="63">
        <v>106.7371</v>
      </c>
      <c r="C384" s="63">
        <v>10.71544</v>
      </c>
      <c r="D384" s="63">
        <v>106.7371</v>
      </c>
      <c r="E384" s="64">
        <v>1.154</v>
      </c>
    </row>
    <row r="385" ht="22.5" customHeight="1">
      <c r="A385" s="66">
        <v>10.71544</v>
      </c>
      <c r="B385" s="67">
        <v>106.7371</v>
      </c>
      <c r="C385" s="67">
        <v>10.7179</v>
      </c>
      <c r="D385" s="67">
        <v>106.7369</v>
      </c>
      <c r="E385" s="68">
        <v>0.3</v>
      </c>
    </row>
    <row r="386" ht="22.5" customHeight="1">
      <c r="A386" s="61">
        <v>10.71544</v>
      </c>
      <c r="B386" s="63">
        <v>106.7371</v>
      </c>
      <c r="C386" s="63">
        <v>10.72264</v>
      </c>
      <c r="D386" s="63">
        <v>106.7134</v>
      </c>
      <c r="E386" s="64">
        <v>3.9</v>
      </c>
    </row>
    <row r="387" ht="22.5" customHeight="1">
      <c r="A387" s="66">
        <v>10.71544</v>
      </c>
      <c r="B387" s="67">
        <v>106.7371</v>
      </c>
      <c r="C387" s="67">
        <v>10.726</v>
      </c>
      <c r="D387" s="67">
        <v>106.7239</v>
      </c>
      <c r="E387" s="68">
        <v>2.5</v>
      </c>
    </row>
    <row r="388" ht="22.5" customHeight="1">
      <c r="A388" s="61">
        <v>10.71544</v>
      </c>
      <c r="B388" s="63">
        <v>106.7371</v>
      </c>
      <c r="C388" s="63">
        <v>10.73088</v>
      </c>
      <c r="D388" s="63">
        <v>106.7236</v>
      </c>
      <c r="E388" s="64">
        <v>3.2</v>
      </c>
    </row>
    <row r="389" ht="22.5" customHeight="1">
      <c r="A389" s="66">
        <v>10.71544</v>
      </c>
      <c r="B389" s="67">
        <v>106.7371</v>
      </c>
      <c r="C389" s="67">
        <v>10.73786</v>
      </c>
      <c r="D389" s="67">
        <v>106.7205</v>
      </c>
      <c r="E389" s="68">
        <v>3.634</v>
      </c>
    </row>
    <row r="390" ht="22.5" customHeight="1">
      <c r="A390" s="61">
        <v>10.71544</v>
      </c>
      <c r="B390" s="63">
        <v>106.7371</v>
      </c>
      <c r="C390" s="63">
        <v>10.73842</v>
      </c>
      <c r="D390" s="63">
        <v>106.7164</v>
      </c>
      <c r="E390" s="64">
        <v>4.0</v>
      </c>
    </row>
    <row r="391" ht="22.5" customHeight="1">
      <c r="A391" s="66">
        <v>10.71544</v>
      </c>
      <c r="B391" s="67">
        <v>106.7371</v>
      </c>
      <c r="C391" s="67">
        <v>10.74042</v>
      </c>
      <c r="D391" s="67">
        <v>106.7301</v>
      </c>
      <c r="E391" s="68">
        <v>2.9</v>
      </c>
    </row>
    <row r="392" ht="22.5" customHeight="1">
      <c r="A392" s="61">
        <v>10.71544</v>
      </c>
      <c r="B392" s="63">
        <v>106.7371</v>
      </c>
      <c r="C392" s="63">
        <v>10.77509</v>
      </c>
      <c r="D392" s="63">
        <v>106.6727</v>
      </c>
      <c r="E392" s="64">
        <v>12.2</v>
      </c>
    </row>
    <row r="393" ht="22.5" customHeight="1">
      <c r="A393" s="66">
        <v>10.71702</v>
      </c>
      <c r="B393" s="67">
        <v>106.6995</v>
      </c>
      <c r="C393" s="67">
        <v>10.72264</v>
      </c>
      <c r="D393" s="67">
        <v>106.7134</v>
      </c>
      <c r="E393" s="68">
        <v>3.201</v>
      </c>
    </row>
    <row r="394" ht="22.5" customHeight="1">
      <c r="A394" s="61">
        <v>10.71702</v>
      </c>
      <c r="B394" s="63">
        <v>106.6995</v>
      </c>
      <c r="C394" s="63">
        <v>10.72928</v>
      </c>
      <c r="D394" s="63">
        <v>106.7057</v>
      </c>
      <c r="E394" s="64">
        <v>2.505</v>
      </c>
    </row>
    <row r="395" ht="22.5" customHeight="1">
      <c r="A395" s="66">
        <v>10.71702</v>
      </c>
      <c r="B395" s="67">
        <v>106.6995</v>
      </c>
      <c r="C395" s="67">
        <v>10.72957</v>
      </c>
      <c r="D395" s="67">
        <v>106.7082</v>
      </c>
      <c r="E395" s="68">
        <v>2.385</v>
      </c>
    </row>
    <row r="396" ht="22.5" customHeight="1">
      <c r="A396" s="61">
        <v>10.71702</v>
      </c>
      <c r="B396" s="63">
        <v>106.6995</v>
      </c>
      <c r="C396" s="63">
        <v>10.73088</v>
      </c>
      <c r="D396" s="63">
        <v>106.7236</v>
      </c>
      <c r="E396" s="64">
        <v>4.635</v>
      </c>
    </row>
    <row r="397" ht="22.5" customHeight="1">
      <c r="A397" s="66">
        <v>10.71702</v>
      </c>
      <c r="B397" s="67">
        <v>106.6995</v>
      </c>
      <c r="C397" s="67">
        <v>10.73771</v>
      </c>
      <c r="D397" s="67">
        <v>106.7066</v>
      </c>
      <c r="E397" s="68">
        <v>3.339</v>
      </c>
    </row>
    <row r="398" ht="22.5" customHeight="1">
      <c r="A398" s="61">
        <v>10.71702</v>
      </c>
      <c r="B398" s="63">
        <v>106.6995</v>
      </c>
      <c r="C398" s="63">
        <v>10.73786</v>
      </c>
      <c r="D398" s="63">
        <v>106.7205</v>
      </c>
      <c r="E398" s="64">
        <v>4.669</v>
      </c>
    </row>
    <row r="399" ht="22.5" customHeight="1">
      <c r="A399" s="66">
        <v>10.71702</v>
      </c>
      <c r="B399" s="67">
        <v>106.6995</v>
      </c>
      <c r="C399" s="67">
        <v>10.73816</v>
      </c>
      <c r="D399" s="67">
        <v>106.7211</v>
      </c>
      <c r="E399" s="68">
        <v>4.789</v>
      </c>
    </row>
    <row r="400" ht="22.5" customHeight="1">
      <c r="A400" s="61">
        <v>10.71702</v>
      </c>
      <c r="B400" s="63">
        <v>106.6995</v>
      </c>
      <c r="C400" s="63">
        <v>10.73842</v>
      </c>
      <c r="D400" s="63">
        <v>106.7164</v>
      </c>
      <c r="E400" s="64">
        <v>5.013</v>
      </c>
    </row>
    <row r="401" ht="22.5" customHeight="1">
      <c r="A401" s="66">
        <v>10.71702</v>
      </c>
      <c r="B401" s="67">
        <v>106.6995</v>
      </c>
      <c r="C401" s="67">
        <v>10.74447</v>
      </c>
      <c r="D401" s="67">
        <v>106.711</v>
      </c>
      <c r="E401" s="68">
        <v>6.3</v>
      </c>
    </row>
    <row r="402" ht="22.5" customHeight="1">
      <c r="A402" s="61">
        <v>10.71702</v>
      </c>
      <c r="B402" s="63">
        <v>106.6995</v>
      </c>
      <c r="C402" s="63">
        <v>10.77509</v>
      </c>
      <c r="D402" s="63">
        <v>106.6727</v>
      </c>
      <c r="E402" s="64">
        <v>9.121</v>
      </c>
    </row>
    <row r="403" ht="22.5" customHeight="1">
      <c r="A403" s="66">
        <v>10.7179</v>
      </c>
      <c r="B403" s="67">
        <v>106.7369</v>
      </c>
      <c r="C403" s="67">
        <v>10.67316</v>
      </c>
      <c r="D403" s="67">
        <v>106.7308</v>
      </c>
      <c r="E403" s="68">
        <v>6.274</v>
      </c>
    </row>
    <row r="404" ht="22.5" customHeight="1">
      <c r="A404" s="61">
        <v>10.7179</v>
      </c>
      <c r="B404" s="63">
        <v>106.7369</v>
      </c>
      <c r="C404" s="63">
        <v>10.68689</v>
      </c>
      <c r="D404" s="63">
        <v>106.7435</v>
      </c>
      <c r="E404" s="64">
        <v>3.577</v>
      </c>
    </row>
    <row r="405" ht="22.5" customHeight="1">
      <c r="A405" s="66">
        <v>10.7179</v>
      </c>
      <c r="B405" s="67">
        <v>106.7369</v>
      </c>
      <c r="C405" s="67">
        <v>10.69506</v>
      </c>
      <c r="D405" s="67">
        <v>106.7048</v>
      </c>
      <c r="E405" s="68">
        <v>5.893</v>
      </c>
    </row>
    <row r="406" ht="22.5" customHeight="1">
      <c r="A406" s="61">
        <v>10.7179</v>
      </c>
      <c r="B406" s="63">
        <v>106.7369</v>
      </c>
      <c r="C406" s="63">
        <v>10.70167</v>
      </c>
      <c r="D406" s="63">
        <v>106.7382</v>
      </c>
      <c r="E406" s="64">
        <v>1.853</v>
      </c>
    </row>
    <row r="407" ht="22.5" customHeight="1">
      <c r="A407" s="66">
        <v>10.7179</v>
      </c>
      <c r="B407" s="67">
        <v>106.7369</v>
      </c>
      <c r="C407" s="67">
        <v>10.71544</v>
      </c>
      <c r="D407" s="67">
        <v>106.7371</v>
      </c>
      <c r="E407" s="68">
        <v>3.273</v>
      </c>
    </row>
    <row r="408" ht="22.5" customHeight="1">
      <c r="A408" s="61">
        <v>10.7179</v>
      </c>
      <c r="B408" s="63">
        <v>106.7369</v>
      </c>
      <c r="C408" s="63">
        <v>10.7179</v>
      </c>
      <c r="D408" s="63">
        <v>106.7369</v>
      </c>
      <c r="E408" s="64">
        <v>0.001</v>
      </c>
    </row>
    <row r="409" ht="22.5" customHeight="1">
      <c r="A409" s="66">
        <v>10.7179</v>
      </c>
      <c r="B409" s="67">
        <v>106.7369</v>
      </c>
      <c r="C409" s="67">
        <v>10.71973</v>
      </c>
      <c r="D409" s="67">
        <v>106.7367</v>
      </c>
      <c r="E409" s="68">
        <v>1.582</v>
      </c>
    </row>
    <row r="410" ht="22.5" customHeight="1">
      <c r="A410" s="61">
        <v>10.7179</v>
      </c>
      <c r="B410" s="63">
        <v>106.7369</v>
      </c>
      <c r="C410" s="63">
        <v>10.72161</v>
      </c>
      <c r="D410" s="63">
        <v>106.7361</v>
      </c>
      <c r="E410" s="64">
        <v>0.798</v>
      </c>
    </row>
    <row r="411" ht="22.5" customHeight="1">
      <c r="A411" s="66">
        <v>10.7179</v>
      </c>
      <c r="B411" s="67">
        <v>106.7369</v>
      </c>
      <c r="C411" s="67">
        <v>10.7301</v>
      </c>
      <c r="D411" s="67">
        <v>106.6763</v>
      </c>
      <c r="E411" s="68">
        <v>8.752</v>
      </c>
    </row>
    <row r="412" ht="22.5" customHeight="1">
      <c r="A412" s="61">
        <v>10.7179</v>
      </c>
      <c r="B412" s="63">
        <v>106.7369</v>
      </c>
      <c r="C412" s="63">
        <v>10.73186</v>
      </c>
      <c r="D412" s="63">
        <v>106.7079</v>
      </c>
      <c r="E412" s="64">
        <v>4.974</v>
      </c>
    </row>
    <row r="413" ht="22.5" customHeight="1">
      <c r="A413" s="66">
        <v>10.7179</v>
      </c>
      <c r="B413" s="67">
        <v>106.7369</v>
      </c>
      <c r="C413" s="67">
        <v>10.73786</v>
      </c>
      <c r="D413" s="67">
        <v>106.7205</v>
      </c>
      <c r="E413" s="68">
        <v>4.331</v>
      </c>
    </row>
    <row r="414" ht="22.5" customHeight="1">
      <c r="A414" s="61">
        <v>10.7179</v>
      </c>
      <c r="B414" s="63">
        <v>106.7369</v>
      </c>
      <c r="C414" s="63">
        <v>10.73816</v>
      </c>
      <c r="D414" s="63">
        <v>106.7211</v>
      </c>
      <c r="E414" s="64">
        <v>4.324</v>
      </c>
    </row>
    <row r="415" ht="22.5" customHeight="1">
      <c r="A415" s="66">
        <v>10.7179</v>
      </c>
      <c r="B415" s="67">
        <v>106.7369</v>
      </c>
      <c r="C415" s="67">
        <v>10.73842</v>
      </c>
      <c r="D415" s="67">
        <v>106.7164</v>
      </c>
      <c r="E415" s="68">
        <v>3.83</v>
      </c>
    </row>
    <row r="416" ht="22.5" customHeight="1">
      <c r="A416" s="61">
        <v>10.7179</v>
      </c>
      <c r="B416" s="63">
        <v>106.7369</v>
      </c>
      <c r="C416" s="63">
        <v>10.74042</v>
      </c>
      <c r="D416" s="63">
        <v>106.7301</v>
      </c>
      <c r="E416" s="64">
        <v>2.531</v>
      </c>
    </row>
    <row r="417" ht="22.5" customHeight="1">
      <c r="A417" s="66">
        <v>10.7179</v>
      </c>
      <c r="B417" s="67">
        <v>106.7369</v>
      </c>
      <c r="C417" s="67">
        <v>10.75545</v>
      </c>
      <c r="D417" s="67">
        <v>106.7244</v>
      </c>
      <c r="E417" s="68">
        <v>4.706</v>
      </c>
    </row>
    <row r="418" ht="22.5" customHeight="1">
      <c r="A418" s="61">
        <v>10.7179</v>
      </c>
      <c r="B418" s="63">
        <v>106.7369</v>
      </c>
      <c r="C418" s="63">
        <v>10.77509</v>
      </c>
      <c r="D418" s="63">
        <v>106.6727</v>
      </c>
      <c r="E418" s="64">
        <v>13.283</v>
      </c>
    </row>
    <row r="419" ht="22.5" customHeight="1">
      <c r="A419" s="66">
        <v>10.71939</v>
      </c>
      <c r="B419" s="67">
        <v>106.6635</v>
      </c>
      <c r="C419" s="67">
        <v>10.76707</v>
      </c>
      <c r="D419" s="67">
        <v>106.6493</v>
      </c>
      <c r="E419" s="68">
        <v>7.827</v>
      </c>
    </row>
    <row r="420" ht="22.5" customHeight="1">
      <c r="A420" s="61">
        <v>10.71973</v>
      </c>
      <c r="B420" s="63">
        <v>106.7367</v>
      </c>
      <c r="C420" s="63">
        <v>10.68689</v>
      </c>
      <c r="D420" s="63">
        <v>106.7435</v>
      </c>
      <c r="E420" s="64">
        <v>3.763</v>
      </c>
    </row>
    <row r="421" ht="22.5" customHeight="1">
      <c r="A421" s="66">
        <v>10.71973</v>
      </c>
      <c r="B421" s="67">
        <v>106.7367</v>
      </c>
      <c r="C421" s="67">
        <v>10.70167</v>
      </c>
      <c r="D421" s="67">
        <v>106.7382</v>
      </c>
      <c r="E421" s="68">
        <v>2.0</v>
      </c>
    </row>
    <row r="422" ht="22.5" customHeight="1">
      <c r="A422" s="61">
        <v>10.71973</v>
      </c>
      <c r="B422" s="63">
        <v>106.7367</v>
      </c>
      <c r="C422" s="63">
        <v>10.71544</v>
      </c>
      <c r="D422" s="63">
        <v>106.7371</v>
      </c>
      <c r="E422" s="64">
        <v>1.2</v>
      </c>
    </row>
    <row r="423" ht="22.5" customHeight="1">
      <c r="A423" s="66">
        <v>10.71973</v>
      </c>
      <c r="B423" s="67">
        <v>106.7367</v>
      </c>
      <c r="C423" s="67">
        <v>10.7179</v>
      </c>
      <c r="D423" s="67">
        <v>106.7369</v>
      </c>
      <c r="E423" s="68">
        <v>4.741</v>
      </c>
    </row>
    <row r="424" ht="22.5" customHeight="1">
      <c r="A424" s="61">
        <v>10.71973</v>
      </c>
      <c r="B424" s="63">
        <v>106.7367</v>
      </c>
      <c r="C424" s="63">
        <v>10.73786</v>
      </c>
      <c r="D424" s="63">
        <v>106.7205</v>
      </c>
      <c r="E424" s="64">
        <v>3.74</v>
      </c>
    </row>
    <row r="425" ht="22.5" customHeight="1">
      <c r="A425" s="66">
        <v>10.71973</v>
      </c>
      <c r="B425" s="67">
        <v>106.7367</v>
      </c>
      <c r="C425" s="67">
        <v>10.73842</v>
      </c>
      <c r="D425" s="67">
        <v>106.7164</v>
      </c>
      <c r="E425" s="68">
        <v>4.6</v>
      </c>
    </row>
    <row r="426" ht="22.5" customHeight="1">
      <c r="A426" s="61">
        <v>10.71973</v>
      </c>
      <c r="B426" s="63">
        <v>106.7367</v>
      </c>
      <c r="C426" s="63">
        <v>10.77509</v>
      </c>
      <c r="D426" s="63">
        <v>106.6727</v>
      </c>
      <c r="E426" s="64">
        <v>13.454</v>
      </c>
    </row>
    <row r="427" ht="22.5" customHeight="1">
      <c r="A427" s="66">
        <v>10.7199</v>
      </c>
      <c r="B427" s="67">
        <v>106.6989</v>
      </c>
      <c r="C427" s="67">
        <v>10.67316</v>
      </c>
      <c r="D427" s="67">
        <v>106.7308</v>
      </c>
      <c r="E427" s="68">
        <v>8.004</v>
      </c>
    </row>
    <row r="428" ht="22.5" customHeight="1">
      <c r="A428" s="61">
        <v>10.72032</v>
      </c>
      <c r="B428" s="63">
        <v>106.7264</v>
      </c>
      <c r="C428" s="63">
        <v>10.7179</v>
      </c>
      <c r="D428" s="63">
        <v>106.7369</v>
      </c>
      <c r="E428" s="64">
        <v>3.428</v>
      </c>
    </row>
    <row r="429" ht="22.5" customHeight="1">
      <c r="A429" s="66">
        <v>10.72032</v>
      </c>
      <c r="B429" s="67">
        <v>106.7264</v>
      </c>
      <c r="C429" s="67">
        <v>10.72249</v>
      </c>
      <c r="D429" s="67">
        <v>106.7262</v>
      </c>
      <c r="E429" s="68">
        <v>0.337</v>
      </c>
    </row>
    <row r="430" ht="22.5" customHeight="1">
      <c r="A430" s="61">
        <v>10.72032</v>
      </c>
      <c r="B430" s="63">
        <v>106.7264</v>
      </c>
      <c r="C430" s="63">
        <v>10.73088</v>
      </c>
      <c r="D430" s="63">
        <v>106.7236</v>
      </c>
      <c r="E430" s="64">
        <v>1.628</v>
      </c>
    </row>
    <row r="431" ht="22.5" customHeight="1">
      <c r="A431" s="66">
        <v>10.72032</v>
      </c>
      <c r="B431" s="67">
        <v>106.7264</v>
      </c>
      <c r="C431" s="67">
        <v>10.73816</v>
      </c>
      <c r="D431" s="67">
        <v>106.7211</v>
      </c>
      <c r="E431" s="68">
        <v>2.279</v>
      </c>
    </row>
    <row r="432" ht="22.5" customHeight="1">
      <c r="A432" s="61">
        <v>10.72032</v>
      </c>
      <c r="B432" s="63">
        <v>106.7264</v>
      </c>
      <c r="C432" s="63">
        <v>10.73842</v>
      </c>
      <c r="D432" s="63">
        <v>106.7164</v>
      </c>
      <c r="E432" s="64">
        <v>2.8</v>
      </c>
    </row>
    <row r="433" ht="22.5" customHeight="1">
      <c r="A433" s="66">
        <v>10.72123</v>
      </c>
      <c r="B433" s="67">
        <v>106.5369</v>
      </c>
      <c r="C433" s="67">
        <v>10.77509</v>
      </c>
      <c r="D433" s="67">
        <v>106.6727</v>
      </c>
      <c r="E433" s="68">
        <v>20.733</v>
      </c>
    </row>
    <row r="434" ht="22.5" customHeight="1">
      <c r="A434" s="61">
        <v>10.72123</v>
      </c>
      <c r="B434" s="63">
        <v>106.5369</v>
      </c>
      <c r="C434" s="63">
        <v>10.77618</v>
      </c>
      <c r="D434" s="63">
        <v>106.607</v>
      </c>
      <c r="E434" s="64">
        <v>15.267</v>
      </c>
    </row>
    <row r="435" ht="22.5" customHeight="1">
      <c r="A435" s="66">
        <v>10.72161</v>
      </c>
      <c r="B435" s="67">
        <v>106.7361</v>
      </c>
      <c r="C435" s="67">
        <v>10.70167</v>
      </c>
      <c r="D435" s="67">
        <v>106.7382</v>
      </c>
      <c r="E435" s="68">
        <v>2.254</v>
      </c>
    </row>
    <row r="436" ht="22.5" customHeight="1">
      <c r="A436" s="61">
        <v>10.72161</v>
      </c>
      <c r="B436" s="63">
        <v>106.7361</v>
      </c>
      <c r="C436" s="63">
        <v>10.71544</v>
      </c>
      <c r="D436" s="63">
        <v>106.7371</v>
      </c>
      <c r="E436" s="64">
        <v>2.813</v>
      </c>
    </row>
    <row r="437" ht="22.5" customHeight="1">
      <c r="A437" s="66">
        <v>10.72161</v>
      </c>
      <c r="B437" s="67">
        <v>106.7361</v>
      </c>
      <c r="C437" s="67">
        <v>10.73786</v>
      </c>
      <c r="D437" s="67">
        <v>106.7205</v>
      </c>
      <c r="E437" s="68">
        <v>2.986</v>
      </c>
    </row>
    <row r="438" ht="22.5" customHeight="1">
      <c r="A438" s="61">
        <v>10.72161</v>
      </c>
      <c r="B438" s="63">
        <v>106.7361</v>
      </c>
      <c r="C438" s="63">
        <v>10.73842</v>
      </c>
      <c r="D438" s="63">
        <v>106.7164</v>
      </c>
      <c r="E438" s="64">
        <v>3.443</v>
      </c>
    </row>
    <row r="439" ht="22.5" customHeight="1">
      <c r="A439" s="66">
        <v>10.72194</v>
      </c>
      <c r="B439" s="67">
        <v>106.7035</v>
      </c>
      <c r="C439" s="67">
        <v>10.72264</v>
      </c>
      <c r="D439" s="67">
        <v>106.7134</v>
      </c>
      <c r="E439" s="68">
        <v>2.779</v>
      </c>
    </row>
    <row r="440" ht="22.5" customHeight="1">
      <c r="A440" s="61">
        <v>10.72194</v>
      </c>
      <c r="B440" s="63">
        <v>106.7035</v>
      </c>
      <c r="C440" s="63">
        <v>10.726</v>
      </c>
      <c r="D440" s="63">
        <v>106.724</v>
      </c>
      <c r="E440" s="64">
        <v>4.112</v>
      </c>
    </row>
    <row r="441" ht="22.5" customHeight="1">
      <c r="A441" s="66">
        <v>10.72194</v>
      </c>
      <c r="B441" s="67">
        <v>106.7035</v>
      </c>
      <c r="C441" s="67">
        <v>10.72628</v>
      </c>
      <c r="D441" s="67">
        <v>106.712</v>
      </c>
      <c r="E441" s="68">
        <v>2.429</v>
      </c>
    </row>
    <row r="442" ht="22.5" customHeight="1">
      <c r="A442" s="61">
        <v>10.72194</v>
      </c>
      <c r="B442" s="63">
        <v>106.7035</v>
      </c>
      <c r="C442" s="63">
        <v>10.72957</v>
      </c>
      <c r="D442" s="63">
        <v>106.7082</v>
      </c>
      <c r="E442" s="64">
        <v>1.826</v>
      </c>
    </row>
    <row r="443" ht="22.5" customHeight="1">
      <c r="A443" s="66">
        <v>10.72194</v>
      </c>
      <c r="B443" s="67">
        <v>106.7035</v>
      </c>
      <c r="C443" s="67">
        <v>10.73088</v>
      </c>
      <c r="D443" s="67">
        <v>106.7236</v>
      </c>
      <c r="E443" s="68">
        <v>4.263</v>
      </c>
    </row>
    <row r="444" ht="22.5" customHeight="1">
      <c r="A444" s="61">
        <v>10.72194</v>
      </c>
      <c r="B444" s="63">
        <v>106.7035</v>
      </c>
      <c r="C444" s="63">
        <v>10.73786</v>
      </c>
      <c r="D444" s="63">
        <v>106.7205</v>
      </c>
      <c r="E444" s="64">
        <v>4.206</v>
      </c>
    </row>
    <row r="445" ht="22.5" customHeight="1">
      <c r="A445" s="66">
        <v>10.72194</v>
      </c>
      <c r="B445" s="67">
        <v>106.7035</v>
      </c>
      <c r="C445" s="67">
        <v>10.73842</v>
      </c>
      <c r="D445" s="67">
        <v>106.7164</v>
      </c>
      <c r="E445" s="68">
        <v>4.655</v>
      </c>
    </row>
    <row r="446" ht="22.5" customHeight="1">
      <c r="A446" s="61">
        <v>10.72247</v>
      </c>
      <c r="B446" s="63">
        <v>106.7295</v>
      </c>
      <c r="C446" s="63">
        <v>10.71544</v>
      </c>
      <c r="D446" s="63">
        <v>106.7371</v>
      </c>
      <c r="E446" s="64">
        <v>2.068</v>
      </c>
    </row>
    <row r="447" ht="22.5" customHeight="1">
      <c r="A447" s="66">
        <v>10.72249</v>
      </c>
      <c r="B447" s="67">
        <v>106.7262</v>
      </c>
      <c r="C447" s="67">
        <v>10.71544</v>
      </c>
      <c r="D447" s="67">
        <v>106.7371</v>
      </c>
      <c r="E447" s="68">
        <v>2.383</v>
      </c>
    </row>
    <row r="448" ht="22.5" customHeight="1">
      <c r="A448" s="61">
        <v>10.72249</v>
      </c>
      <c r="B448" s="63">
        <v>106.7262</v>
      </c>
      <c r="C448" s="63">
        <v>10.71973</v>
      </c>
      <c r="D448" s="63">
        <v>106.7367</v>
      </c>
      <c r="E448" s="64">
        <v>2.962</v>
      </c>
    </row>
    <row r="449" ht="22.5" customHeight="1">
      <c r="A449" s="66">
        <v>10.72249</v>
      </c>
      <c r="B449" s="67">
        <v>106.7262</v>
      </c>
      <c r="C449" s="67">
        <v>10.72264</v>
      </c>
      <c r="D449" s="67">
        <v>106.7134</v>
      </c>
      <c r="E449" s="68">
        <v>1.915</v>
      </c>
    </row>
    <row r="450" ht="22.5" customHeight="1">
      <c r="A450" s="61">
        <v>10.72249</v>
      </c>
      <c r="B450" s="63">
        <v>106.7262</v>
      </c>
      <c r="C450" s="63">
        <v>10.726</v>
      </c>
      <c r="D450" s="63">
        <v>106.724</v>
      </c>
      <c r="E450" s="64">
        <v>0.532</v>
      </c>
    </row>
    <row r="451" ht="22.5" customHeight="1">
      <c r="A451" s="66">
        <v>10.72249</v>
      </c>
      <c r="B451" s="67">
        <v>106.7262</v>
      </c>
      <c r="C451" s="67">
        <v>10.726</v>
      </c>
      <c r="D451" s="67">
        <v>106.7239</v>
      </c>
      <c r="E451" s="68">
        <v>0.578</v>
      </c>
    </row>
    <row r="452" ht="22.5" customHeight="1">
      <c r="A452" s="61">
        <v>10.72249</v>
      </c>
      <c r="B452" s="63">
        <v>106.7262</v>
      </c>
      <c r="C452" s="63">
        <v>10.72795</v>
      </c>
      <c r="D452" s="63">
        <v>106.708</v>
      </c>
      <c r="E452" s="64">
        <v>2.882</v>
      </c>
    </row>
    <row r="453" ht="22.5" customHeight="1">
      <c r="A453" s="66">
        <v>10.72249</v>
      </c>
      <c r="B453" s="67">
        <v>106.7262</v>
      </c>
      <c r="C453" s="67">
        <v>10.72928</v>
      </c>
      <c r="D453" s="67">
        <v>106.7057</v>
      </c>
      <c r="E453" s="68">
        <v>2.736</v>
      </c>
    </row>
    <row r="454" ht="22.5" customHeight="1">
      <c r="A454" s="61">
        <v>10.72249</v>
      </c>
      <c r="B454" s="63">
        <v>106.7262</v>
      </c>
      <c r="C454" s="63">
        <v>10.73088</v>
      </c>
      <c r="D454" s="63">
        <v>106.7236</v>
      </c>
      <c r="E454" s="64">
        <v>1.337</v>
      </c>
    </row>
    <row r="455" ht="22.5" customHeight="1">
      <c r="A455" s="66">
        <v>10.72249</v>
      </c>
      <c r="B455" s="67">
        <v>106.7262</v>
      </c>
      <c r="C455" s="67">
        <v>10.7325</v>
      </c>
      <c r="D455" s="67">
        <v>106.718</v>
      </c>
      <c r="E455" s="68">
        <v>1.484</v>
      </c>
    </row>
    <row r="456" ht="22.5" customHeight="1">
      <c r="A456" s="61">
        <v>10.72249</v>
      </c>
      <c r="B456" s="63">
        <v>106.7262</v>
      </c>
      <c r="C456" s="63">
        <v>10.73786</v>
      </c>
      <c r="D456" s="63">
        <v>106.7205</v>
      </c>
      <c r="E456" s="64">
        <v>2.316</v>
      </c>
    </row>
    <row r="457" ht="22.5" customHeight="1">
      <c r="A457" s="66">
        <v>10.72249</v>
      </c>
      <c r="B457" s="67">
        <v>106.7262</v>
      </c>
      <c r="C457" s="67">
        <v>10.73842</v>
      </c>
      <c r="D457" s="67">
        <v>106.7164</v>
      </c>
      <c r="E457" s="68">
        <v>2.462</v>
      </c>
    </row>
    <row r="458" ht="22.5" customHeight="1">
      <c r="A458" s="61">
        <v>10.72249</v>
      </c>
      <c r="B458" s="63">
        <v>106.7262</v>
      </c>
      <c r="C458" s="63">
        <v>10.74042</v>
      </c>
      <c r="D458" s="63">
        <v>106.7301</v>
      </c>
      <c r="E458" s="64">
        <v>2.714</v>
      </c>
    </row>
    <row r="459" ht="22.5" customHeight="1">
      <c r="A459" s="66">
        <v>10.72264</v>
      </c>
      <c r="B459" s="67">
        <v>106.7134</v>
      </c>
      <c r="C459" s="67">
        <v>10.71518</v>
      </c>
      <c r="D459" s="67">
        <v>106.7004</v>
      </c>
      <c r="E459" s="68">
        <v>4.35</v>
      </c>
    </row>
    <row r="460" ht="22.5" customHeight="1">
      <c r="A460" s="61">
        <v>10.72264</v>
      </c>
      <c r="B460" s="63">
        <v>106.7134</v>
      </c>
      <c r="C460" s="63">
        <v>10.71544</v>
      </c>
      <c r="D460" s="63">
        <v>106.7371</v>
      </c>
      <c r="E460" s="64">
        <v>4.682</v>
      </c>
    </row>
    <row r="461" ht="22.5" customHeight="1">
      <c r="A461" s="66">
        <v>10.72264</v>
      </c>
      <c r="B461" s="67">
        <v>106.7134</v>
      </c>
      <c r="C461" s="67">
        <v>10.72249</v>
      </c>
      <c r="D461" s="67">
        <v>106.7262</v>
      </c>
      <c r="E461" s="68">
        <v>2.202</v>
      </c>
    </row>
    <row r="462" ht="22.5" customHeight="1">
      <c r="A462" s="61">
        <v>10.72264</v>
      </c>
      <c r="B462" s="63">
        <v>106.7134</v>
      </c>
      <c r="C462" s="63">
        <v>10.72264</v>
      </c>
      <c r="D462" s="63">
        <v>106.7134</v>
      </c>
      <c r="E462" s="64">
        <v>0.0</v>
      </c>
    </row>
    <row r="463" ht="22.5" customHeight="1">
      <c r="A463" s="66">
        <v>10.72264</v>
      </c>
      <c r="B463" s="67">
        <v>106.7134</v>
      </c>
      <c r="C463" s="67">
        <v>10.726</v>
      </c>
      <c r="D463" s="67">
        <v>106.724</v>
      </c>
      <c r="E463" s="68">
        <v>1.662</v>
      </c>
    </row>
    <row r="464" ht="22.5" customHeight="1">
      <c r="A464" s="61">
        <v>10.72264</v>
      </c>
      <c r="B464" s="63">
        <v>106.7134</v>
      </c>
      <c r="C464" s="63">
        <v>10.72628</v>
      </c>
      <c r="D464" s="63">
        <v>106.712</v>
      </c>
      <c r="E464" s="64">
        <v>0.621</v>
      </c>
    </row>
    <row r="465" ht="22.5" customHeight="1">
      <c r="A465" s="66">
        <v>10.72264</v>
      </c>
      <c r="B465" s="67">
        <v>106.7134</v>
      </c>
      <c r="C465" s="67">
        <v>10.72751</v>
      </c>
      <c r="D465" s="67">
        <v>106.7203</v>
      </c>
      <c r="E465" s="68">
        <v>1.72</v>
      </c>
    </row>
    <row r="466" ht="22.5" customHeight="1">
      <c r="A466" s="61">
        <v>10.72264</v>
      </c>
      <c r="B466" s="63">
        <v>106.7134</v>
      </c>
      <c r="C466" s="63">
        <v>10.72928</v>
      </c>
      <c r="D466" s="63">
        <v>106.7057</v>
      </c>
      <c r="E466" s="64">
        <v>1.438</v>
      </c>
    </row>
    <row r="467" ht="22.5" customHeight="1">
      <c r="A467" s="66">
        <v>10.72264</v>
      </c>
      <c r="B467" s="67">
        <v>106.7134</v>
      </c>
      <c r="C467" s="67">
        <v>10.72957</v>
      </c>
      <c r="D467" s="67">
        <v>106.7082</v>
      </c>
      <c r="E467" s="68">
        <v>1.042</v>
      </c>
    </row>
    <row r="468" ht="22.5" customHeight="1">
      <c r="A468" s="61">
        <v>10.72264</v>
      </c>
      <c r="B468" s="63">
        <v>106.7134</v>
      </c>
      <c r="C468" s="63">
        <v>10.73088</v>
      </c>
      <c r="D468" s="63">
        <v>106.7236</v>
      </c>
      <c r="E468" s="64">
        <v>2.144</v>
      </c>
    </row>
    <row r="469" ht="22.5" customHeight="1">
      <c r="A469" s="66">
        <v>10.72264</v>
      </c>
      <c r="B469" s="67">
        <v>106.7134</v>
      </c>
      <c r="C469" s="67">
        <v>10.73186</v>
      </c>
      <c r="D469" s="67">
        <v>106.7079</v>
      </c>
      <c r="E469" s="68">
        <v>1.982</v>
      </c>
    </row>
    <row r="470" ht="22.5" customHeight="1">
      <c r="A470" s="61">
        <v>10.72264</v>
      </c>
      <c r="B470" s="63">
        <v>106.7134</v>
      </c>
      <c r="C470" s="63">
        <v>10.7325</v>
      </c>
      <c r="D470" s="63">
        <v>106.718</v>
      </c>
      <c r="E470" s="64">
        <v>2.166</v>
      </c>
    </row>
    <row r="471" ht="22.5" customHeight="1">
      <c r="A471" s="66">
        <v>10.72264</v>
      </c>
      <c r="B471" s="67">
        <v>106.7134</v>
      </c>
      <c r="C471" s="67">
        <v>10.73347</v>
      </c>
      <c r="D471" s="67">
        <v>106.7102</v>
      </c>
      <c r="E471" s="68">
        <v>1.367</v>
      </c>
    </row>
    <row r="472" ht="22.5" customHeight="1">
      <c r="A472" s="61">
        <v>10.72264</v>
      </c>
      <c r="B472" s="63">
        <v>106.7134</v>
      </c>
      <c r="C472" s="63">
        <v>10.73786</v>
      </c>
      <c r="D472" s="63">
        <v>106.7205</v>
      </c>
      <c r="E472" s="64">
        <v>2.79</v>
      </c>
    </row>
    <row r="473" ht="22.5" customHeight="1">
      <c r="A473" s="66">
        <v>10.72264</v>
      </c>
      <c r="B473" s="67">
        <v>106.7134</v>
      </c>
      <c r="C473" s="67">
        <v>10.73816</v>
      </c>
      <c r="D473" s="67">
        <v>106.7211</v>
      </c>
      <c r="E473" s="68">
        <v>2.952</v>
      </c>
    </row>
    <row r="474" ht="22.5" customHeight="1">
      <c r="A474" s="61">
        <v>10.72264</v>
      </c>
      <c r="B474" s="63">
        <v>106.7134</v>
      </c>
      <c r="C474" s="63">
        <v>10.73842</v>
      </c>
      <c r="D474" s="63">
        <v>106.7164</v>
      </c>
      <c r="E474" s="64">
        <v>3.144</v>
      </c>
    </row>
    <row r="475" ht="22.5" customHeight="1">
      <c r="A475" s="66">
        <v>10.72264</v>
      </c>
      <c r="B475" s="67">
        <v>106.7134</v>
      </c>
      <c r="C475" s="67">
        <v>10.74042</v>
      </c>
      <c r="D475" s="67">
        <v>106.7301</v>
      </c>
      <c r="E475" s="68">
        <v>3.71</v>
      </c>
    </row>
    <row r="476" ht="22.5" customHeight="1">
      <c r="A476" s="61">
        <v>10.72277</v>
      </c>
      <c r="B476" s="63">
        <v>106.7112</v>
      </c>
      <c r="C476" s="63">
        <v>10.73842</v>
      </c>
      <c r="D476" s="63">
        <v>106.7164</v>
      </c>
      <c r="E476" s="64">
        <v>2.875</v>
      </c>
    </row>
    <row r="477" ht="22.5" customHeight="1">
      <c r="A477" s="66">
        <v>10.7231</v>
      </c>
      <c r="B477" s="67">
        <v>106.6556</v>
      </c>
      <c r="C477" s="67">
        <v>10.70167</v>
      </c>
      <c r="D477" s="67">
        <v>106.7382</v>
      </c>
      <c r="E477" s="68">
        <v>12.968</v>
      </c>
    </row>
    <row r="478" ht="22.5" customHeight="1">
      <c r="A478" s="61">
        <v>10.7231</v>
      </c>
      <c r="B478" s="63">
        <v>106.6556</v>
      </c>
      <c r="C478" s="63">
        <v>10.72431</v>
      </c>
      <c r="D478" s="63">
        <v>106.6452</v>
      </c>
      <c r="E478" s="64">
        <v>1.502</v>
      </c>
    </row>
    <row r="479" ht="22.5" customHeight="1">
      <c r="A479" s="66">
        <v>10.7231</v>
      </c>
      <c r="B479" s="67">
        <v>106.6556</v>
      </c>
      <c r="C479" s="67">
        <v>10.72862</v>
      </c>
      <c r="D479" s="67">
        <v>106.6774</v>
      </c>
      <c r="E479" s="68">
        <v>3.314</v>
      </c>
    </row>
    <row r="480" ht="22.5" customHeight="1">
      <c r="A480" s="61">
        <v>10.7231</v>
      </c>
      <c r="B480" s="63">
        <v>106.6556</v>
      </c>
      <c r="C480" s="63">
        <v>10.73002</v>
      </c>
      <c r="D480" s="63">
        <v>106.6559</v>
      </c>
      <c r="E480" s="64">
        <v>0.74</v>
      </c>
    </row>
    <row r="481" ht="22.5" customHeight="1">
      <c r="A481" s="66">
        <v>10.7231</v>
      </c>
      <c r="B481" s="67">
        <v>106.6556</v>
      </c>
      <c r="C481" s="67">
        <v>10.7301</v>
      </c>
      <c r="D481" s="67">
        <v>106.6763</v>
      </c>
      <c r="E481" s="68">
        <v>3.48</v>
      </c>
    </row>
    <row r="482" ht="22.5" customHeight="1">
      <c r="A482" s="61">
        <v>10.7231</v>
      </c>
      <c r="B482" s="63">
        <v>106.6556</v>
      </c>
      <c r="C482" s="63">
        <v>10.73186</v>
      </c>
      <c r="D482" s="63">
        <v>106.7079</v>
      </c>
      <c r="E482" s="64">
        <v>7.02</v>
      </c>
    </row>
    <row r="483" ht="22.5" customHeight="1">
      <c r="A483" s="66">
        <v>10.7231</v>
      </c>
      <c r="B483" s="67">
        <v>106.6556</v>
      </c>
      <c r="C483" s="67">
        <v>10.73437</v>
      </c>
      <c r="D483" s="67">
        <v>106.6595</v>
      </c>
      <c r="E483" s="68">
        <v>1.417</v>
      </c>
    </row>
    <row r="484" ht="22.5" customHeight="1">
      <c r="A484" s="61">
        <v>10.7231</v>
      </c>
      <c r="B484" s="63">
        <v>106.6556</v>
      </c>
      <c r="C484" s="63">
        <v>10.73611</v>
      </c>
      <c r="D484" s="63">
        <v>106.6908</v>
      </c>
      <c r="E484" s="64">
        <v>5.79</v>
      </c>
    </row>
    <row r="485" ht="22.5" customHeight="1">
      <c r="A485" s="66">
        <v>10.7231</v>
      </c>
      <c r="B485" s="67">
        <v>106.6556</v>
      </c>
      <c r="C485" s="67">
        <v>10.73635</v>
      </c>
      <c r="D485" s="67">
        <v>106.6714</v>
      </c>
      <c r="E485" s="68">
        <v>2.924</v>
      </c>
    </row>
    <row r="486" ht="22.5" customHeight="1">
      <c r="A486" s="61">
        <v>10.7231</v>
      </c>
      <c r="B486" s="63">
        <v>106.6556</v>
      </c>
      <c r="C486" s="63">
        <v>10.73699</v>
      </c>
      <c r="D486" s="63">
        <v>106.6574</v>
      </c>
      <c r="E486" s="64">
        <v>1.732</v>
      </c>
    </row>
    <row r="487" ht="22.5" customHeight="1">
      <c r="A487" s="66">
        <v>10.7231</v>
      </c>
      <c r="B487" s="67">
        <v>106.6556</v>
      </c>
      <c r="C487" s="67">
        <v>10.73805</v>
      </c>
      <c r="D487" s="67">
        <v>106.658</v>
      </c>
      <c r="E487" s="68">
        <v>1.716</v>
      </c>
    </row>
    <row r="488" ht="22.5" customHeight="1">
      <c r="A488" s="61">
        <v>10.7231</v>
      </c>
      <c r="B488" s="63">
        <v>106.6556</v>
      </c>
      <c r="C488" s="63">
        <v>10.73842</v>
      </c>
      <c r="D488" s="63">
        <v>106.7164</v>
      </c>
      <c r="E488" s="64">
        <v>9.302</v>
      </c>
    </row>
    <row r="489" ht="22.5" customHeight="1">
      <c r="A489" s="66">
        <v>10.7231</v>
      </c>
      <c r="B489" s="67">
        <v>106.6556</v>
      </c>
      <c r="C489" s="67">
        <v>10.7389</v>
      </c>
      <c r="D489" s="67">
        <v>106.67</v>
      </c>
      <c r="E489" s="68">
        <v>3.035</v>
      </c>
    </row>
    <row r="490" ht="22.5" customHeight="1">
      <c r="A490" s="61">
        <v>10.7231</v>
      </c>
      <c r="B490" s="63">
        <v>106.6556</v>
      </c>
      <c r="C490" s="63">
        <v>10.74131</v>
      </c>
      <c r="D490" s="63">
        <v>106.6863</v>
      </c>
      <c r="E490" s="64">
        <v>4.915</v>
      </c>
    </row>
    <row r="491" ht="22.5" customHeight="1">
      <c r="A491" s="66">
        <v>10.7231</v>
      </c>
      <c r="B491" s="67">
        <v>106.6556</v>
      </c>
      <c r="C491" s="67">
        <v>10.74157</v>
      </c>
      <c r="D491" s="67">
        <v>106.6885</v>
      </c>
      <c r="E491" s="68">
        <v>6.006</v>
      </c>
    </row>
    <row r="492" ht="22.5" customHeight="1">
      <c r="A492" s="61">
        <v>10.7231</v>
      </c>
      <c r="B492" s="63">
        <v>106.6556</v>
      </c>
      <c r="C492" s="63">
        <v>10.75535</v>
      </c>
      <c r="D492" s="63">
        <v>106.6939</v>
      </c>
      <c r="E492" s="64">
        <v>8.219</v>
      </c>
    </row>
    <row r="493" ht="22.5" customHeight="1">
      <c r="A493" s="66">
        <v>10.7231</v>
      </c>
      <c r="B493" s="67">
        <v>106.6556</v>
      </c>
      <c r="C493" s="67">
        <v>10.75599</v>
      </c>
      <c r="D493" s="67">
        <v>106.6825</v>
      </c>
      <c r="E493" s="68">
        <v>6.148</v>
      </c>
    </row>
    <row r="494" ht="22.5" customHeight="1">
      <c r="A494" s="61">
        <v>10.7231</v>
      </c>
      <c r="B494" s="63">
        <v>106.6556</v>
      </c>
      <c r="C494" s="63">
        <v>10.75643</v>
      </c>
      <c r="D494" s="63">
        <v>106.6734</v>
      </c>
      <c r="E494" s="64">
        <v>5.057</v>
      </c>
    </row>
    <row r="495" ht="22.5" customHeight="1">
      <c r="A495" s="66">
        <v>10.7231</v>
      </c>
      <c r="B495" s="67">
        <v>106.6556</v>
      </c>
      <c r="C495" s="67">
        <v>10.77509</v>
      </c>
      <c r="D495" s="67">
        <v>106.6727</v>
      </c>
      <c r="E495" s="68">
        <v>7.299</v>
      </c>
    </row>
    <row r="496" ht="22.5" customHeight="1">
      <c r="A496" s="61">
        <v>10.72431</v>
      </c>
      <c r="B496" s="63">
        <v>106.6452</v>
      </c>
      <c r="C496" s="63">
        <v>10.7231</v>
      </c>
      <c r="D496" s="63">
        <v>106.6556</v>
      </c>
      <c r="E496" s="64">
        <v>1.54</v>
      </c>
    </row>
    <row r="497" ht="22.5" customHeight="1">
      <c r="A497" s="66">
        <v>10.72431</v>
      </c>
      <c r="B497" s="67">
        <v>106.6452</v>
      </c>
      <c r="C497" s="67">
        <v>10.7301</v>
      </c>
      <c r="D497" s="67">
        <v>106.6763</v>
      </c>
      <c r="E497" s="68">
        <v>4.849</v>
      </c>
    </row>
    <row r="498" ht="22.5" customHeight="1">
      <c r="A498" s="61">
        <v>10.72431</v>
      </c>
      <c r="B498" s="63">
        <v>106.6452</v>
      </c>
      <c r="C498" s="63">
        <v>10.73635</v>
      </c>
      <c r="D498" s="63">
        <v>106.6714</v>
      </c>
      <c r="E498" s="64">
        <v>4.02</v>
      </c>
    </row>
    <row r="499" ht="22.5" customHeight="1">
      <c r="A499" s="66">
        <v>10.72431</v>
      </c>
      <c r="B499" s="67">
        <v>106.6452</v>
      </c>
      <c r="C499" s="67">
        <v>10.7389</v>
      </c>
      <c r="D499" s="67">
        <v>106.67</v>
      </c>
      <c r="E499" s="68">
        <v>4.064</v>
      </c>
    </row>
    <row r="500" ht="22.5" customHeight="1">
      <c r="A500" s="61">
        <v>10.72431</v>
      </c>
      <c r="B500" s="63">
        <v>106.6452</v>
      </c>
      <c r="C500" s="63">
        <v>10.75535</v>
      </c>
      <c r="D500" s="63">
        <v>106.6939</v>
      </c>
      <c r="E500" s="64">
        <v>9.172</v>
      </c>
    </row>
    <row r="501" ht="22.5" customHeight="1">
      <c r="A501" s="66">
        <v>10.72431</v>
      </c>
      <c r="B501" s="67">
        <v>106.6452</v>
      </c>
      <c r="C501" s="67">
        <v>10.75643</v>
      </c>
      <c r="D501" s="67">
        <v>106.6734</v>
      </c>
      <c r="E501" s="68">
        <v>6.057</v>
      </c>
    </row>
    <row r="502" ht="22.5" customHeight="1">
      <c r="A502" s="61">
        <v>10.72451</v>
      </c>
      <c r="B502" s="63">
        <v>106.7295</v>
      </c>
      <c r="C502" s="63">
        <v>10.73842</v>
      </c>
      <c r="D502" s="63">
        <v>106.7164</v>
      </c>
      <c r="E502" s="64">
        <v>2.482</v>
      </c>
    </row>
    <row r="503" ht="22.5" customHeight="1">
      <c r="A503" s="66">
        <v>10.72518</v>
      </c>
      <c r="B503" s="67">
        <v>106.7074</v>
      </c>
      <c r="C503" s="67">
        <v>10.72957</v>
      </c>
      <c r="D503" s="67">
        <v>106.7082</v>
      </c>
      <c r="E503" s="68">
        <v>0.66</v>
      </c>
    </row>
    <row r="504" ht="22.5" customHeight="1">
      <c r="A504" s="61">
        <v>10.72518</v>
      </c>
      <c r="B504" s="63">
        <v>106.7074</v>
      </c>
      <c r="C504" s="63">
        <v>10.73842</v>
      </c>
      <c r="D504" s="63">
        <v>106.7164</v>
      </c>
      <c r="E504" s="64">
        <v>3.165</v>
      </c>
    </row>
    <row r="505" ht="22.5" customHeight="1">
      <c r="A505" s="66">
        <v>10.7252</v>
      </c>
      <c r="B505" s="67">
        <v>106.6094</v>
      </c>
      <c r="C505" s="67">
        <v>10.65412</v>
      </c>
      <c r="D505" s="67">
        <v>106.5867</v>
      </c>
      <c r="E505" s="68">
        <v>10.419</v>
      </c>
    </row>
    <row r="506" ht="22.5" customHeight="1">
      <c r="A506" s="61">
        <v>10.7252</v>
      </c>
      <c r="B506" s="63">
        <v>106.6094</v>
      </c>
      <c r="C506" s="63">
        <v>10.65647</v>
      </c>
      <c r="D506" s="63">
        <v>106.5841</v>
      </c>
      <c r="E506" s="64">
        <v>10.9</v>
      </c>
    </row>
    <row r="507" ht="22.5" customHeight="1">
      <c r="A507" s="66">
        <v>10.7252</v>
      </c>
      <c r="B507" s="67">
        <v>106.6094</v>
      </c>
      <c r="C507" s="67">
        <v>10.69094</v>
      </c>
      <c r="D507" s="67">
        <v>106.5745</v>
      </c>
      <c r="E507" s="68">
        <v>6.944</v>
      </c>
    </row>
    <row r="508" ht="22.5" customHeight="1">
      <c r="A508" s="61">
        <v>10.7252</v>
      </c>
      <c r="B508" s="63">
        <v>106.6094</v>
      </c>
      <c r="C508" s="63">
        <v>10.70499</v>
      </c>
      <c r="D508" s="63">
        <v>106.5965</v>
      </c>
      <c r="E508" s="64">
        <v>3.435</v>
      </c>
    </row>
    <row r="509" ht="22.5" customHeight="1">
      <c r="A509" s="66">
        <v>10.7252</v>
      </c>
      <c r="B509" s="67">
        <v>106.6094</v>
      </c>
      <c r="C509" s="67">
        <v>10.7252</v>
      </c>
      <c r="D509" s="67">
        <v>106.6094</v>
      </c>
      <c r="E509" s="68">
        <v>0.0</v>
      </c>
    </row>
    <row r="510" ht="22.5" customHeight="1">
      <c r="A510" s="61">
        <v>10.7252</v>
      </c>
      <c r="B510" s="63">
        <v>106.6094</v>
      </c>
      <c r="C510" s="63">
        <v>10.73335</v>
      </c>
      <c r="D510" s="63">
        <v>106.6088</v>
      </c>
      <c r="E510" s="64">
        <v>1.782</v>
      </c>
    </row>
    <row r="511" ht="22.5" customHeight="1">
      <c r="A511" s="66">
        <v>10.7252</v>
      </c>
      <c r="B511" s="67">
        <v>106.6094</v>
      </c>
      <c r="C511" s="67">
        <v>10.73897</v>
      </c>
      <c r="D511" s="67">
        <v>106.6149</v>
      </c>
      <c r="E511" s="68">
        <v>1.971</v>
      </c>
    </row>
    <row r="512" ht="22.5" customHeight="1">
      <c r="A512" s="61">
        <v>10.7252</v>
      </c>
      <c r="B512" s="63">
        <v>106.6094</v>
      </c>
      <c r="C512" s="63">
        <v>10.73905</v>
      </c>
      <c r="D512" s="63">
        <v>106.6327</v>
      </c>
      <c r="E512" s="64">
        <v>4.504</v>
      </c>
    </row>
    <row r="513" ht="22.5" customHeight="1">
      <c r="A513" s="66">
        <v>10.7252</v>
      </c>
      <c r="B513" s="67">
        <v>106.6094</v>
      </c>
      <c r="C513" s="67">
        <v>10.73908</v>
      </c>
      <c r="D513" s="67">
        <v>106.6149</v>
      </c>
      <c r="E513" s="68">
        <v>1.964</v>
      </c>
    </row>
    <row r="514" ht="22.5" customHeight="1">
      <c r="A514" s="61">
        <v>10.7252</v>
      </c>
      <c r="B514" s="63">
        <v>106.6094</v>
      </c>
      <c r="C514" s="63">
        <v>10.74097</v>
      </c>
      <c r="D514" s="63">
        <v>106.6091</v>
      </c>
      <c r="E514" s="64">
        <v>2.603</v>
      </c>
    </row>
    <row r="515" ht="22.5" customHeight="1">
      <c r="A515" s="66">
        <v>10.7252</v>
      </c>
      <c r="B515" s="67">
        <v>106.6094</v>
      </c>
      <c r="C515" s="67">
        <v>10.74152</v>
      </c>
      <c r="D515" s="67">
        <v>106.6251</v>
      </c>
      <c r="E515" s="68">
        <v>3.636</v>
      </c>
    </row>
    <row r="516" ht="22.5" customHeight="1">
      <c r="A516" s="61">
        <v>10.7252</v>
      </c>
      <c r="B516" s="63">
        <v>106.6094</v>
      </c>
      <c r="C516" s="63">
        <v>10.7444</v>
      </c>
      <c r="D516" s="63">
        <v>106.6304</v>
      </c>
      <c r="E516" s="64">
        <v>4.236</v>
      </c>
    </row>
    <row r="517" ht="22.5" customHeight="1">
      <c r="A517" s="66">
        <v>10.7252</v>
      </c>
      <c r="B517" s="67">
        <v>106.6094</v>
      </c>
      <c r="C517" s="67">
        <v>10.74602</v>
      </c>
      <c r="D517" s="67">
        <v>106.6123</v>
      </c>
      <c r="E517" s="68">
        <v>3.241</v>
      </c>
    </row>
    <row r="518" ht="22.5" customHeight="1">
      <c r="A518" s="61">
        <v>10.7252</v>
      </c>
      <c r="B518" s="63">
        <v>106.6094</v>
      </c>
      <c r="C518" s="63">
        <v>10.74672</v>
      </c>
      <c r="D518" s="63">
        <v>106.6132</v>
      </c>
      <c r="E518" s="64">
        <v>2.93</v>
      </c>
    </row>
    <row r="519" ht="22.5" customHeight="1">
      <c r="A519" s="66">
        <v>10.7252</v>
      </c>
      <c r="B519" s="67">
        <v>106.6094</v>
      </c>
      <c r="C519" s="67">
        <v>10.75153</v>
      </c>
      <c r="D519" s="67">
        <v>106.6116</v>
      </c>
      <c r="E519" s="68">
        <v>3.556</v>
      </c>
    </row>
    <row r="520" ht="22.5" customHeight="1">
      <c r="A520" s="61">
        <v>10.7252</v>
      </c>
      <c r="B520" s="63">
        <v>106.6094</v>
      </c>
      <c r="C520" s="63">
        <v>10.75168</v>
      </c>
      <c r="D520" s="63">
        <v>106.6103</v>
      </c>
      <c r="E520" s="64">
        <v>3.587</v>
      </c>
    </row>
    <row r="521" ht="22.5" customHeight="1">
      <c r="A521" s="66">
        <v>10.7252</v>
      </c>
      <c r="B521" s="67">
        <v>106.6094</v>
      </c>
      <c r="C521" s="67">
        <v>10.75191</v>
      </c>
      <c r="D521" s="67">
        <v>106.6006</v>
      </c>
      <c r="E521" s="68">
        <v>4.624</v>
      </c>
    </row>
    <row r="522" ht="22.5" customHeight="1">
      <c r="A522" s="61">
        <v>10.7252</v>
      </c>
      <c r="B522" s="63">
        <v>106.6094</v>
      </c>
      <c r="C522" s="63">
        <v>10.75297</v>
      </c>
      <c r="D522" s="63">
        <v>106.6034</v>
      </c>
      <c r="E522" s="64">
        <v>4.38</v>
      </c>
    </row>
    <row r="523" ht="22.5" customHeight="1">
      <c r="A523" s="66">
        <v>10.7252</v>
      </c>
      <c r="B523" s="67">
        <v>106.6094</v>
      </c>
      <c r="C523" s="67">
        <v>10.75347</v>
      </c>
      <c r="D523" s="67">
        <v>106.5931</v>
      </c>
      <c r="E523" s="68">
        <v>3.716</v>
      </c>
    </row>
    <row r="524" ht="22.5" customHeight="1">
      <c r="A524" s="61">
        <v>10.7252</v>
      </c>
      <c r="B524" s="63">
        <v>106.6094</v>
      </c>
      <c r="C524" s="63">
        <v>10.75587</v>
      </c>
      <c r="D524" s="63">
        <v>106.5924</v>
      </c>
      <c r="E524" s="64">
        <v>3.958</v>
      </c>
    </row>
    <row r="525" ht="22.5" customHeight="1">
      <c r="A525" s="66">
        <v>10.7252</v>
      </c>
      <c r="B525" s="67">
        <v>106.6094</v>
      </c>
      <c r="C525" s="67">
        <v>10.75591</v>
      </c>
      <c r="D525" s="67">
        <v>106.611</v>
      </c>
      <c r="E525" s="68">
        <v>4.136</v>
      </c>
    </row>
    <row r="526" ht="22.5" customHeight="1">
      <c r="A526" s="61">
        <v>10.7252</v>
      </c>
      <c r="B526" s="63">
        <v>106.6094</v>
      </c>
      <c r="C526" s="63">
        <v>10.75644</v>
      </c>
      <c r="D526" s="63">
        <v>106.5914</v>
      </c>
      <c r="E526" s="64">
        <v>4.055</v>
      </c>
    </row>
    <row r="527" ht="22.5" customHeight="1">
      <c r="A527" s="66">
        <v>10.7252</v>
      </c>
      <c r="B527" s="67">
        <v>106.6094</v>
      </c>
      <c r="C527" s="67">
        <v>10.75889</v>
      </c>
      <c r="D527" s="67">
        <v>106.5791</v>
      </c>
      <c r="E527" s="68">
        <v>5.472</v>
      </c>
    </row>
    <row r="528" ht="22.5" customHeight="1">
      <c r="A528" s="61">
        <v>10.7252</v>
      </c>
      <c r="B528" s="63">
        <v>106.6094</v>
      </c>
      <c r="C528" s="63">
        <v>10.76707</v>
      </c>
      <c r="D528" s="63">
        <v>106.6493</v>
      </c>
      <c r="E528" s="64">
        <v>7.323</v>
      </c>
    </row>
    <row r="529" ht="22.5" customHeight="1">
      <c r="A529" s="66">
        <v>10.7252</v>
      </c>
      <c r="B529" s="67">
        <v>106.6094</v>
      </c>
      <c r="C529" s="67">
        <v>10.76809</v>
      </c>
      <c r="D529" s="67">
        <v>106.6092</v>
      </c>
      <c r="E529" s="68">
        <v>5.374</v>
      </c>
    </row>
    <row r="530" ht="22.5" customHeight="1">
      <c r="A530" s="61">
        <v>10.7252</v>
      </c>
      <c r="B530" s="63">
        <v>106.6094</v>
      </c>
      <c r="C530" s="63">
        <v>10.77167</v>
      </c>
      <c r="D530" s="63">
        <v>106.5865</v>
      </c>
      <c r="E530" s="64">
        <v>6.115</v>
      </c>
    </row>
    <row r="531" ht="22.5" customHeight="1">
      <c r="A531" s="66">
        <v>10.7252</v>
      </c>
      <c r="B531" s="67">
        <v>106.6094</v>
      </c>
      <c r="C531" s="67">
        <v>10.77509</v>
      </c>
      <c r="D531" s="67">
        <v>106.6727</v>
      </c>
      <c r="E531" s="68">
        <v>10.009</v>
      </c>
    </row>
    <row r="532" ht="22.5" customHeight="1">
      <c r="A532" s="61">
        <v>10.7252</v>
      </c>
      <c r="B532" s="63">
        <v>106.6094</v>
      </c>
      <c r="C532" s="63">
        <v>10.77584</v>
      </c>
      <c r="D532" s="63">
        <v>106.6133</v>
      </c>
      <c r="E532" s="64">
        <v>6.718</v>
      </c>
    </row>
    <row r="533" ht="22.5" customHeight="1">
      <c r="A533" s="66">
        <v>10.7252</v>
      </c>
      <c r="B533" s="67">
        <v>106.6094</v>
      </c>
      <c r="C533" s="67">
        <v>10.77618</v>
      </c>
      <c r="D533" s="67">
        <v>106.607</v>
      </c>
      <c r="E533" s="68">
        <v>6.767</v>
      </c>
    </row>
    <row r="534" ht="22.5" customHeight="1">
      <c r="A534" s="61">
        <v>10.7252</v>
      </c>
      <c r="B534" s="63">
        <v>106.6094</v>
      </c>
      <c r="C534" s="63">
        <v>10.78747</v>
      </c>
      <c r="D534" s="63">
        <v>106.5981</v>
      </c>
      <c r="E534" s="64">
        <v>9.192</v>
      </c>
    </row>
    <row r="535" ht="22.5" customHeight="1">
      <c r="A535" s="66">
        <v>10.72522</v>
      </c>
      <c r="B535" s="67">
        <v>106.6089</v>
      </c>
      <c r="C535" s="67">
        <v>10.7252</v>
      </c>
      <c r="D535" s="67">
        <v>106.6094</v>
      </c>
      <c r="E535" s="68">
        <v>0.003</v>
      </c>
    </row>
    <row r="536" ht="22.5" customHeight="1">
      <c r="A536" s="61">
        <v>10.72522</v>
      </c>
      <c r="B536" s="63">
        <v>106.6089</v>
      </c>
      <c r="C536" s="63">
        <v>10.73897</v>
      </c>
      <c r="D536" s="63">
        <v>106.6149</v>
      </c>
      <c r="E536" s="64">
        <v>1.922</v>
      </c>
    </row>
    <row r="537" ht="22.5" customHeight="1">
      <c r="A537" s="66">
        <v>10.72522</v>
      </c>
      <c r="B537" s="67">
        <v>106.6089</v>
      </c>
      <c r="C537" s="67">
        <v>10.74097</v>
      </c>
      <c r="D537" s="67">
        <v>106.6091</v>
      </c>
      <c r="E537" s="68">
        <v>2.639</v>
      </c>
    </row>
    <row r="538" ht="22.5" customHeight="1">
      <c r="A538" s="61">
        <v>10.72522</v>
      </c>
      <c r="B538" s="63">
        <v>106.6089</v>
      </c>
      <c r="C538" s="63">
        <v>10.7444</v>
      </c>
      <c r="D538" s="63">
        <v>106.6304</v>
      </c>
      <c r="E538" s="64">
        <v>4.209</v>
      </c>
    </row>
    <row r="539" ht="22.5" customHeight="1">
      <c r="A539" s="66">
        <v>10.72522</v>
      </c>
      <c r="B539" s="67">
        <v>106.6089</v>
      </c>
      <c r="C539" s="67">
        <v>10.74602</v>
      </c>
      <c r="D539" s="67">
        <v>106.6123</v>
      </c>
      <c r="E539" s="68">
        <v>3.2</v>
      </c>
    </row>
    <row r="540" ht="22.5" customHeight="1">
      <c r="A540" s="61">
        <v>10.72522</v>
      </c>
      <c r="B540" s="63">
        <v>106.6089</v>
      </c>
      <c r="C540" s="63">
        <v>10.75113</v>
      </c>
      <c r="D540" s="63">
        <v>106.635</v>
      </c>
      <c r="E540" s="64">
        <v>4.8</v>
      </c>
    </row>
    <row r="541" ht="22.5" customHeight="1">
      <c r="A541" s="66">
        <v>10.72522</v>
      </c>
      <c r="B541" s="67">
        <v>106.6089</v>
      </c>
      <c r="C541" s="67">
        <v>10.75347</v>
      </c>
      <c r="D541" s="67">
        <v>106.5931</v>
      </c>
      <c r="E541" s="68">
        <v>3.879</v>
      </c>
    </row>
    <row r="542" ht="22.5" customHeight="1">
      <c r="A542" s="61">
        <v>10.72522</v>
      </c>
      <c r="B542" s="63">
        <v>106.6089</v>
      </c>
      <c r="C542" s="63">
        <v>10.76707</v>
      </c>
      <c r="D542" s="63">
        <v>106.6493</v>
      </c>
      <c r="E542" s="64">
        <v>7.275</v>
      </c>
    </row>
    <row r="543" ht="22.5" customHeight="1">
      <c r="A543" s="66">
        <v>10.72522</v>
      </c>
      <c r="B543" s="67">
        <v>106.6089</v>
      </c>
      <c r="C543" s="67">
        <v>10.7716</v>
      </c>
      <c r="D543" s="67">
        <v>106.587</v>
      </c>
      <c r="E543" s="68">
        <v>6.085</v>
      </c>
    </row>
    <row r="544" ht="22.5" customHeight="1">
      <c r="A544" s="61">
        <v>10.72522</v>
      </c>
      <c r="B544" s="63">
        <v>106.6089</v>
      </c>
      <c r="C544" s="63">
        <v>10.77509</v>
      </c>
      <c r="D544" s="63">
        <v>106.6727</v>
      </c>
      <c r="E544" s="64">
        <v>10.0</v>
      </c>
    </row>
    <row r="545" ht="22.5" customHeight="1">
      <c r="A545" s="66">
        <v>10.72522</v>
      </c>
      <c r="B545" s="67">
        <v>106.6089</v>
      </c>
      <c r="C545" s="67">
        <v>10.77618</v>
      </c>
      <c r="D545" s="67">
        <v>106.607</v>
      </c>
      <c r="E545" s="68">
        <v>6.626</v>
      </c>
    </row>
    <row r="546" ht="22.5" customHeight="1">
      <c r="A546" s="61">
        <v>10.72522</v>
      </c>
      <c r="B546" s="63">
        <v>106.6089</v>
      </c>
      <c r="C546" s="63">
        <v>10.78747</v>
      </c>
      <c r="D546" s="63">
        <v>106.5981</v>
      </c>
      <c r="E546" s="64">
        <v>8.246</v>
      </c>
    </row>
    <row r="547" ht="22.5" customHeight="1">
      <c r="A547" s="66">
        <v>10.72565</v>
      </c>
      <c r="B547" s="67">
        <v>106.5954</v>
      </c>
      <c r="C547" s="67">
        <v>10.69376</v>
      </c>
      <c r="D547" s="67">
        <v>106.5802</v>
      </c>
      <c r="E547" s="68">
        <v>5.603</v>
      </c>
    </row>
    <row r="548" ht="22.5" customHeight="1">
      <c r="A548" s="61">
        <v>10.72565</v>
      </c>
      <c r="B548" s="63">
        <v>106.5954</v>
      </c>
      <c r="C548" s="63">
        <v>10.73897</v>
      </c>
      <c r="D548" s="63">
        <v>106.6149</v>
      </c>
      <c r="E548" s="64">
        <v>3.028</v>
      </c>
    </row>
    <row r="549" ht="22.5" customHeight="1">
      <c r="A549" s="66">
        <v>10.72565</v>
      </c>
      <c r="B549" s="67">
        <v>106.5954</v>
      </c>
      <c r="C549" s="67">
        <v>10.74602</v>
      </c>
      <c r="D549" s="67">
        <v>106.6123</v>
      </c>
      <c r="E549" s="68">
        <v>4.578</v>
      </c>
    </row>
    <row r="550" ht="22.5" customHeight="1">
      <c r="A550" s="61">
        <v>10.72579</v>
      </c>
      <c r="B550" s="63">
        <v>106.6375</v>
      </c>
      <c r="C550" s="63">
        <v>10.7389</v>
      </c>
      <c r="D550" s="63">
        <v>106.67</v>
      </c>
      <c r="E550" s="64">
        <v>5.393</v>
      </c>
    </row>
    <row r="551" ht="22.5" customHeight="1">
      <c r="A551" s="66">
        <v>10.726</v>
      </c>
      <c r="B551" s="67">
        <v>106.724</v>
      </c>
      <c r="C551" s="67">
        <v>10.71518</v>
      </c>
      <c r="D551" s="67">
        <v>106.7004</v>
      </c>
      <c r="E551" s="68">
        <v>4.76</v>
      </c>
    </row>
    <row r="552" ht="22.5" customHeight="1">
      <c r="A552" s="61">
        <v>10.726</v>
      </c>
      <c r="B552" s="63">
        <v>106.724</v>
      </c>
      <c r="C552" s="63">
        <v>10.72264</v>
      </c>
      <c r="D552" s="63">
        <v>106.7134</v>
      </c>
      <c r="E552" s="64">
        <v>1.646</v>
      </c>
    </row>
    <row r="553" ht="22.5" customHeight="1">
      <c r="A553" s="66">
        <v>10.726</v>
      </c>
      <c r="B553" s="67">
        <v>106.724</v>
      </c>
      <c r="C553" s="67">
        <v>10.72518</v>
      </c>
      <c r="D553" s="67">
        <v>106.7074</v>
      </c>
      <c r="E553" s="68">
        <v>2.185</v>
      </c>
    </row>
    <row r="554" ht="22.5" customHeight="1">
      <c r="A554" s="61">
        <v>10.726</v>
      </c>
      <c r="B554" s="63">
        <v>106.724</v>
      </c>
      <c r="C554" s="63">
        <v>10.726</v>
      </c>
      <c r="D554" s="63">
        <v>106.7239</v>
      </c>
      <c r="E554" s="64">
        <v>0.002</v>
      </c>
    </row>
    <row r="555" ht="22.5" customHeight="1">
      <c r="A555" s="66">
        <v>10.726</v>
      </c>
      <c r="B555" s="67">
        <v>106.724</v>
      </c>
      <c r="C555" s="67">
        <v>10.72628</v>
      </c>
      <c r="D555" s="67">
        <v>106.712</v>
      </c>
      <c r="E555" s="68">
        <v>1.807</v>
      </c>
    </row>
    <row r="556" ht="22.5" customHeight="1">
      <c r="A556" s="61">
        <v>10.726</v>
      </c>
      <c r="B556" s="63">
        <v>106.724</v>
      </c>
      <c r="C556" s="63">
        <v>10.72795</v>
      </c>
      <c r="D556" s="63">
        <v>106.708</v>
      </c>
      <c r="E556" s="64">
        <v>2.41</v>
      </c>
    </row>
    <row r="557" ht="22.5" customHeight="1">
      <c r="A557" s="66">
        <v>10.726</v>
      </c>
      <c r="B557" s="67">
        <v>106.724</v>
      </c>
      <c r="C557" s="67">
        <v>10.73088</v>
      </c>
      <c r="D557" s="67">
        <v>106.7236</v>
      </c>
      <c r="E557" s="68">
        <v>0.731</v>
      </c>
    </row>
    <row r="558" ht="22.5" customHeight="1">
      <c r="A558" s="61">
        <v>10.726</v>
      </c>
      <c r="B558" s="63">
        <v>106.724</v>
      </c>
      <c r="C558" s="63">
        <v>10.73186</v>
      </c>
      <c r="D558" s="63">
        <v>106.7079</v>
      </c>
      <c r="E558" s="64">
        <v>2.306</v>
      </c>
    </row>
    <row r="559" ht="22.5" customHeight="1">
      <c r="A559" s="66">
        <v>10.726</v>
      </c>
      <c r="B559" s="67">
        <v>106.724</v>
      </c>
      <c r="C559" s="67">
        <v>10.73771</v>
      </c>
      <c r="D559" s="67">
        <v>106.7066</v>
      </c>
      <c r="E559" s="68">
        <v>2.723</v>
      </c>
    </row>
    <row r="560" ht="22.5" customHeight="1">
      <c r="A560" s="61">
        <v>10.726</v>
      </c>
      <c r="B560" s="63">
        <v>106.724</v>
      </c>
      <c r="C560" s="63">
        <v>10.73842</v>
      </c>
      <c r="D560" s="63">
        <v>106.7164</v>
      </c>
      <c r="E560" s="64">
        <v>2.001</v>
      </c>
    </row>
    <row r="561" ht="22.5" customHeight="1">
      <c r="A561" s="66">
        <v>10.726</v>
      </c>
      <c r="B561" s="67">
        <v>106.7239</v>
      </c>
      <c r="C561" s="67">
        <v>10.73088</v>
      </c>
      <c r="D561" s="67">
        <v>106.7236</v>
      </c>
      <c r="E561" s="68">
        <v>0.749</v>
      </c>
    </row>
    <row r="562" ht="22.5" customHeight="1">
      <c r="A562" s="61">
        <v>10.726</v>
      </c>
      <c r="B562" s="63">
        <v>106.7239</v>
      </c>
      <c r="C562" s="63">
        <v>10.73816</v>
      </c>
      <c r="D562" s="63">
        <v>106.7211</v>
      </c>
      <c r="E562" s="64">
        <v>1.528</v>
      </c>
    </row>
    <row r="563" ht="22.5" customHeight="1">
      <c r="A563" s="66">
        <v>10.726</v>
      </c>
      <c r="B563" s="67">
        <v>106.7239</v>
      </c>
      <c r="C563" s="67">
        <v>10.73842</v>
      </c>
      <c r="D563" s="67">
        <v>106.7164</v>
      </c>
      <c r="E563" s="68">
        <v>1.701</v>
      </c>
    </row>
    <row r="564" ht="22.5" customHeight="1">
      <c r="A564" s="61">
        <v>10.72628</v>
      </c>
      <c r="B564" s="63">
        <v>106.712</v>
      </c>
      <c r="C564" s="63">
        <v>10.726</v>
      </c>
      <c r="D564" s="63">
        <v>106.724</v>
      </c>
      <c r="E564" s="64">
        <v>1.904</v>
      </c>
    </row>
    <row r="565" ht="22.5" customHeight="1">
      <c r="A565" s="66">
        <v>10.72628</v>
      </c>
      <c r="B565" s="67">
        <v>106.712</v>
      </c>
      <c r="C565" s="67">
        <v>10.72795</v>
      </c>
      <c r="D565" s="67">
        <v>106.708</v>
      </c>
      <c r="E565" s="68">
        <v>0.427</v>
      </c>
    </row>
    <row r="566" ht="22.5" customHeight="1">
      <c r="A566" s="61">
        <v>10.72628</v>
      </c>
      <c r="B566" s="63">
        <v>106.712</v>
      </c>
      <c r="C566" s="63">
        <v>10.72957</v>
      </c>
      <c r="D566" s="63">
        <v>106.7082</v>
      </c>
      <c r="E566" s="64">
        <v>0.76</v>
      </c>
    </row>
    <row r="567" ht="22.5" customHeight="1">
      <c r="A567" s="66">
        <v>10.72628</v>
      </c>
      <c r="B567" s="67">
        <v>106.712</v>
      </c>
      <c r="C567" s="67">
        <v>10.73088</v>
      </c>
      <c r="D567" s="67">
        <v>106.7236</v>
      </c>
      <c r="E567" s="68">
        <v>1.632</v>
      </c>
    </row>
    <row r="568" ht="22.5" customHeight="1">
      <c r="A568" s="61">
        <v>10.72628</v>
      </c>
      <c r="B568" s="63">
        <v>106.712</v>
      </c>
      <c r="C568" s="63">
        <v>10.73186</v>
      </c>
      <c r="D568" s="63">
        <v>106.7079</v>
      </c>
      <c r="E568" s="64">
        <v>1.115</v>
      </c>
    </row>
    <row r="569" ht="22.5" customHeight="1">
      <c r="A569" s="66">
        <v>10.72628</v>
      </c>
      <c r="B569" s="67">
        <v>106.712</v>
      </c>
      <c r="C569" s="67">
        <v>10.7325</v>
      </c>
      <c r="D569" s="67">
        <v>106.718</v>
      </c>
      <c r="E569" s="68">
        <v>1.573</v>
      </c>
    </row>
    <row r="570" ht="22.5" customHeight="1">
      <c r="A570" s="61">
        <v>10.72628</v>
      </c>
      <c r="B570" s="63">
        <v>106.712</v>
      </c>
      <c r="C570" s="63">
        <v>10.73347</v>
      </c>
      <c r="D570" s="63">
        <v>106.7102</v>
      </c>
      <c r="E570" s="64">
        <v>0.816</v>
      </c>
    </row>
    <row r="571" ht="22.5" customHeight="1">
      <c r="A571" s="66">
        <v>10.72628</v>
      </c>
      <c r="B571" s="67">
        <v>106.712</v>
      </c>
      <c r="C571" s="67">
        <v>10.73786</v>
      </c>
      <c r="D571" s="67">
        <v>106.7205</v>
      </c>
      <c r="E571" s="68">
        <v>2.149</v>
      </c>
    </row>
    <row r="572" ht="22.5" customHeight="1">
      <c r="A572" s="61">
        <v>10.72628</v>
      </c>
      <c r="B572" s="63">
        <v>106.712</v>
      </c>
      <c r="C572" s="63">
        <v>10.73842</v>
      </c>
      <c r="D572" s="63">
        <v>106.7164</v>
      </c>
      <c r="E572" s="64">
        <v>2.519</v>
      </c>
    </row>
    <row r="573" ht="22.5" customHeight="1">
      <c r="A573" s="66">
        <v>10.72628</v>
      </c>
      <c r="B573" s="67">
        <v>106.712</v>
      </c>
      <c r="C573" s="67">
        <v>10.74042</v>
      </c>
      <c r="D573" s="67">
        <v>106.7301</v>
      </c>
      <c r="E573" s="68">
        <v>3.297</v>
      </c>
    </row>
    <row r="574" ht="22.5" customHeight="1">
      <c r="A574" s="61">
        <v>10.72628</v>
      </c>
      <c r="B574" s="63">
        <v>106.712</v>
      </c>
      <c r="C574" s="63">
        <v>10.74504</v>
      </c>
      <c r="D574" s="63">
        <v>106.7125</v>
      </c>
      <c r="E574" s="64">
        <v>3.45</v>
      </c>
    </row>
    <row r="575" ht="22.5" customHeight="1">
      <c r="A575" s="66">
        <v>10.72751</v>
      </c>
      <c r="B575" s="67">
        <v>106.7203</v>
      </c>
      <c r="C575" s="67">
        <v>10.73088</v>
      </c>
      <c r="D575" s="67">
        <v>106.7236</v>
      </c>
      <c r="E575" s="68">
        <v>0.685</v>
      </c>
    </row>
    <row r="576" ht="22.5" customHeight="1">
      <c r="A576" s="61">
        <v>10.72751</v>
      </c>
      <c r="B576" s="63">
        <v>106.7203</v>
      </c>
      <c r="C576" s="63">
        <v>10.73842</v>
      </c>
      <c r="D576" s="63">
        <v>106.7164</v>
      </c>
      <c r="E576" s="64">
        <v>1.87</v>
      </c>
    </row>
    <row r="577" ht="22.5" customHeight="1">
      <c r="A577" s="66">
        <v>10.72791</v>
      </c>
      <c r="B577" s="67">
        <v>106.7075</v>
      </c>
      <c r="C577" s="67">
        <v>10.72751</v>
      </c>
      <c r="D577" s="67">
        <v>106.7203</v>
      </c>
      <c r="E577" s="68">
        <v>1.8</v>
      </c>
    </row>
    <row r="578" ht="22.5" customHeight="1">
      <c r="A578" s="61">
        <v>10.72791</v>
      </c>
      <c r="B578" s="63">
        <v>106.7075</v>
      </c>
      <c r="C578" s="63">
        <v>10.77509</v>
      </c>
      <c r="D578" s="63">
        <v>106.6727</v>
      </c>
      <c r="E578" s="64">
        <v>8.77</v>
      </c>
    </row>
    <row r="579" ht="22.5" customHeight="1">
      <c r="A579" s="66">
        <v>10.72795</v>
      </c>
      <c r="B579" s="67">
        <v>106.708</v>
      </c>
      <c r="C579" s="67">
        <v>10.71973</v>
      </c>
      <c r="D579" s="67">
        <v>106.7367</v>
      </c>
      <c r="E579" s="68">
        <v>4.566</v>
      </c>
    </row>
    <row r="580" ht="22.5" customHeight="1">
      <c r="A580" s="61">
        <v>10.72795</v>
      </c>
      <c r="B580" s="63">
        <v>106.708</v>
      </c>
      <c r="C580" s="63">
        <v>10.72957</v>
      </c>
      <c r="D580" s="63">
        <v>106.7082</v>
      </c>
      <c r="E580" s="64">
        <v>0.402</v>
      </c>
    </row>
    <row r="581" ht="22.5" customHeight="1">
      <c r="A581" s="66">
        <v>10.72795</v>
      </c>
      <c r="B581" s="67">
        <v>106.708</v>
      </c>
      <c r="C581" s="67">
        <v>10.73088</v>
      </c>
      <c r="D581" s="67">
        <v>106.7236</v>
      </c>
      <c r="E581" s="68">
        <v>1.969</v>
      </c>
    </row>
    <row r="582" ht="22.5" customHeight="1">
      <c r="A582" s="61">
        <v>10.72795</v>
      </c>
      <c r="B582" s="63">
        <v>106.708</v>
      </c>
      <c r="C582" s="63">
        <v>10.73186</v>
      </c>
      <c r="D582" s="63">
        <v>106.7079</v>
      </c>
      <c r="E582" s="64">
        <v>0.571</v>
      </c>
    </row>
    <row r="583" ht="22.5" customHeight="1">
      <c r="A583" s="66">
        <v>10.72795</v>
      </c>
      <c r="B583" s="67">
        <v>106.708</v>
      </c>
      <c r="C583" s="67">
        <v>10.7325</v>
      </c>
      <c r="D583" s="67">
        <v>106.718</v>
      </c>
      <c r="E583" s="68">
        <v>1.885</v>
      </c>
    </row>
    <row r="584" ht="22.5" customHeight="1">
      <c r="A584" s="61">
        <v>10.72795</v>
      </c>
      <c r="B584" s="63">
        <v>106.708</v>
      </c>
      <c r="C584" s="63">
        <v>10.73786</v>
      </c>
      <c r="D584" s="63">
        <v>106.7205</v>
      </c>
      <c r="E584" s="64">
        <v>2.44</v>
      </c>
    </row>
    <row r="585" ht="22.5" customHeight="1">
      <c r="A585" s="66">
        <v>10.72795</v>
      </c>
      <c r="B585" s="67">
        <v>106.708</v>
      </c>
      <c r="C585" s="67">
        <v>10.73816</v>
      </c>
      <c r="D585" s="67">
        <v>106.7211</v>
      </c>
      <c r="E585" s="68">
        <v>2.647</v>
      </c>
    </row>
    <row r="586" ht="22.5" customHeight="1">
      <c r="A586" s="61">
        <v>10.72795</v>
      </c>
      <c r="B586" s="63">
        <v>106.708</v>
      </c>
      <c r="C586" s="63">
        <v>10.73842</v>
      </c>
      <c r="D586" s="63">
        <v>106.7164</v>
      </c>
      <c r="E586" s="64">
        <v>2.875</v>
      </c>
    </row>
    <row r="587" ht="22.5" customHeight="1">
      <c r="A587" s="66">
        <v>10.72795</v>
      </c>
      <c r="B587" s="67">
        <v>106.708</v>
      </c>
      <c r="C587" s="67">
        <v>10.74042</v>
      </c>
      <c r="D587" s="67">
        <v>106.7301</v>
      </c>
      <c r="E587" s="68">
        <v>3.993</v>
      </c>
    </row>
    <row r="588" ht="22.5" customHeight="1">
      <c r="A588" s="61">
        <v>10.72795</v>
      </c>
      <c r="B588" s="63">
        <v>106.708</v>
      </c>
      <c r="C588" s="63">
        <v>10.74447</v>
      </c>
      <c r="D588" s="63">
        <v>106.711</v>
      </c>
      <c r="E588" s="64">
        <v>3.744</v>
      </c>
    </row>
    <row r="589" ht="22.5" customHeight="1">
      <c r="A589" s="66">
        <v>10.72815</v>
      </c>
      <c r="B589" s="67">
        <v>106.6536</v>
      </c>
      <c r="C589" s="67">
        <v>10.7389</v>
      </c>
      <c r="D589" s="67">
        <v>106.67</v>
      </c>
      <c r="E589" s="68">
        <v>2.888</v>
      </c>
    </row>
    <row r="590" ht="22.5" customHeight="1">
      <c r="A590" s="61">
        <v>10.72862</v>
      </c>
      <c r="B590" s="63">
        <v>106.6774</v>
      </c>
      <c r="C590" s="63">
        <v>10.7231</v>
      </c>
      <c r="D590" s="63">
        <v>106.6556</v>
      </c>
      <c r="E590" s="64">
        <v>2.666</v>
      </c>
    </row>
    <row r="591" ht="22.5" customHeight="1">
      <c r="A591" s="66">
        <v>10.72862</v>
      </c>
      <c r="B591" s="67">
        <v>106.6774</v>
      </c>
      <c r="C591" s="67">
        <v>10.7301</v>
      </c>
      <c r="D591" s="67">
        <v>106.6763</v>
      </c>
      <c r="E591" s="68">
        <v>0.196</v>
      </c>
    </row>
    <row r="592" ht="22.5" customHeight="1">
      <c r="A592" s="61">
        <v>10.72862</v>
      </c>
      <c r="B592" s="63">
        <v>106.6774</v>
      </c>
      <c r="C592" s="63">
        <v>10.73186</v>
      </c>
      <c r="D592" s="63">
        <v>106.7079</v>
      </c>
      <c r="E592" s="64">
        <v>3.798</v>
      </c>
    </row>
    <row r="593" ht="22.5" customHeight="1">
      <c r="A593" s="66">
        <v>10.72862</v>
      </c>
      <c r="B593" s="67">
        <v>106.6774</v>
      </c>
      <c r="C593" s="67">
        <v>10.7389</v>
      </c>
      <c r="D593" s="67">
        <v>106.67</v>
      </c>
      <c r="E593" s="68">
        <v>1.2</v>
      </c>
    </row>
    <row r="594" ht="22.5" customHeight="1">
      <c r="A594" s="61">
        <v>10.72862</v>
      </c>
      <c r="B594" s="63">
        <v>106.6774</v>
      </c>
      <c r="C594" s="63">
        <v>10.74167</v>
      </c>
      <c r="D594" s="63">
        <v>106.6764</v>
      </c>
      <c r="E594" s="64">
        <v>1.99</v>
      </c>
    </row>
    <row r="595" ht="22.5" customHeight="1">
      <c r="A595" s="66">
        <v>10.72862</v>
      </c>
      <c r="B595" s="67">
        <v>106.6774</v>
      </c>
      <c r="C595" s="67">
        <v>10.77509</v>
      </c>
      <c r="D595" s="67">
        <v>106.6727</v>
      </c>
      <c r="E595" s="68">
        <v>5.8</v>
      </c>
    </row>
    <row r="596" ht="22.5" customHeight="1">
      <c r="A596" s="61">
        <v>10.72928</v>
      </c>
      <c r="B596" s="63">
        <v>106.7057</v>
      </c>
      <c r="C596" s="63">
        <v>10.71518</v>
      </c>
      <c r="D596" s="63">
        <v>106.7004</v>
      </c>
      <c r="E596" s="64">
        <v>2.308</v>
      </c>
    </row>
    <row r="597" ht="22.5" customHeight="1">
      <c r="A597" s="66">
        <v>10.72928</v>
      </c>
      <c r="B597" s="67">
        <v>106.7057</v>
      </c>
      <c r="C597" s="67">
        <v>10.7325</v>
      </c>
      <c r="D597" s="67">
        <v>106.718</v>
      </c>
      <c r="E597" s="68">
        <v>2.424</v>
      </c>
    </row>
    <row r="598" ht="22.5" customHeight="1">
      <c r="A598" s="61">
        <v>10.72928</v>
      </c>
      <c r="B598" s="63">
        <v>106.7057</v>
      </c>
      <c r="C598" s="63">
        <v>10.73816</v>
      </c>
      <c r="D598" s="63">
        <v>106.7211</v>
      </c>
      <c r="E598" s="64">
        <v>3.282</v>
      </c>
    </row>
    <row r="599" ht="22.5" customHeight="1">
      <c r="A599" s="66">
        <v>10.72928</v>
      </c>
      <c r="B599" s="67">
        <v>106.7057</v>
      </c>
      <c r="C599" s="67">
        <v>10.73842</v>
      </c>
      <c r="D599" s="67">
        <v>106.7164</v>
      </c>
      <c r="E599" s="68">
        <v>2.984</v>
      </c>
    </row>
    <row r="600" ht="22.5" customHeight="1">
      <c r="A600" s="61">
        <v>10.72928</v>
      </c>
      <c r="B600" s="63">
        <v>106.7057</v>
      </c>
      <c r="C600" s="63">
        <v>10.74042</v>
      </c>
      <c r="D600" s="63">
        <v>106.7301</v>
      </c>
      <c r="E600" s="64">
        <v>4.647</v>
      </c>
    </row>
    <row r="601" ht="22.5" customHeight="1">
      <c r="A601" s="66">
        <v>10.72943</v>
      </c>
      <c r="B601" s="67">
        <v>106.7044</v>
      </c>
      <c r="C601" s="67">
        <v>10.72264</v>
      </c>
      <c r="D601" s="67">
        <v>106.7134</v>
      </c>
      <c r="E601" s="68">
        <v>2.687</v>
      </c>
    </row>
    <row r="602" ht="22.5" customHeight="1">
      <c r="A602" s="61">
        <v>10.72943</v>
      </c>
      <c r="B602" s="63">
        <v>106.7044</v>
      </c>
      <c r="C602" s="63">
        <v>10.72628</v>
      </c>
      <c r="D602" s="63">
        <v>106.712</v>
      </c>
      <c r="E602" s="64">
        <v>2.1</v>
      </c>
    </row>
    <row r="603" ht="22.5" customHeight="1">
      <c r="A603" s="66">
        <v>10.72943</v>
      </c>
      <c r="B603" s="67">
        <v>106.7044</v>
      </c>
      <c r="C603" s="67">
        <v>10.73186</v>
      </c>
      <c r="D603" s="67">
        <v>106.7079</v>
      </c>
      <c r="E603" s="68">
        <v>2.197</v>
      </c>
    </row>
    <row r="604" ht="22.5" customHeight="1">
      <c r="A604" s="61">
        <v>10.72943</v>
      </c>
      <c r="B604" s="63">
        <v>106.7044</v>
      </c>
      <c r="C604" s="63">
        <v>10.73347</v>
      </c>
      <c r="D604" s="63">
        <v>106.7102</v>
      </c>
      <c r="E604" s="64">
        <v>2.032</v>
      </c>
    </row>
    <row r="605" ht="22.5" customHeight="1">
      <c r="A605" s="66">
        <v>10.72943</v>
      </c>
      <c r="B605" s="67">
        <v>106.7044</v>
      </c>
      <c r="C605" s="67">
        <v>10.73842</v>
      </c>
      <c r="D605" s="67">
        <v>106.7164</v>
      </c>
      <c r="E605" s="68">
        <v>4.051</v>
      </c>
    </row>
    <row r="606" ht="22.5" customHeight="1">
      <c r="A606" s="61">
        <v>10.72957</v>
      </c>
      <c r="B606" s="63">
        <v>106.7082</v>
      </c>
      <c r="C606" s="63">
        <v>10.72249</v>
      </c>
      <c r="D606" s="63">
        <v>106.7262</v>
      </c>
      <c r="E606" s="64">
        <v>3.007</v>
      </c>
    </row>
    <row r="607" ht="22.5" customHeight="1">
      <c r="A607" s="66">
        <v>10.72957</v>
      </c>
      <c r="B607" s="67">
        <v>106.7082</v>
      </c>
      <c r="C607" s="67">
        <v>10.72264</v>
      </c>
      <c r="D607" s="67">
        <v>106.7134</v>
      </c>
      <c r="E607" s="68">
        <v>1.34</v>
      </c>
    </row>
    <row r="608" ht="22.5" customHeight="1">
      <c r="A608" s="61">
        <v>10.72957</v>
      </c>
      <c r="B608" s="63">
        <v>106.7082</v>
      </c>
      <c r="C608" s="63">
        <v>10.726</v>
      </c>
      <c r="D608" s="63">
        <v>106.724</v>
      </c>
      <c r="E608" s="64">
        <v>2.262</v>
      </c>
    </row>
    <row r="609" ht="22.5" customHeight="1">
      <c r="A609" s="66">
        <v>10.72957</v>
      </c>
      <c r="B609" s="67">
        <v>106.7082</v>
      </c>
      <c r="C609" s="67">
        <v>10.72628</v>
      </c>
      <c r="D609" s="67">
        <v>106.712</v>
      </c>
      <c r="E609" s="68">
        <v>0.814</v>
      </c>
    </row>
    <row r="610" ht="22.5" customHeight="1">
      <c r="A610" s="61">
        <v>10.72957</v>
      </c>
      <c r="B610" s="63">
        <v>106.7082</v>
      </c>
      <c r="C610" s="63">
        <v>10.73088</v>
      </c>
      <c r="D610" s="63">
        <v>106.7236</v>
      </c>
      <c r="E610" s="64">
        <v>2.011</v>
      </c>
    </row>
    <row r="611" ht="22.5" customHeight="1">
      <c r="A611" s="66">
        <v>10.72957</v>
      </c>
      <c r="B611" s="67">
        <v>106.7082</v>
      </c>
      <c r="C611" s="67">
        <v>10.73186</v>
      </c>
      <c r="D611" s="67">
        <v>106.7079</v>
      </c>
      <c r="E611" s="68">
        <v>0.309</v>
      </c>
    </row>
    <row r="612" ht="22.5" customHeight="1">
      <c r="A612" s="61">
        <v>10.72957</v>
      </c>
      <c r="B612" s="63">
        <v>106.7082</v>
      </c>
      <c r="C612" s="63">
        <v>10.7325</v>
      </c>
      <c r="D612" s="63">
        <v>106.718</v>
      </c>
      <c r="E612" s="64">
        <v>1.544</v>
      </c>
    </row>
    <row r="613" ht="22.5" customHeight="1">
      <c r="A613" s="66">
        <v>10.72957</v>
      </c>
      <c r="B613" s="67">
        <v>106.7082</v>
      </c>
      <c r="C613" s="67">
        <v>10.73786</v>
      </c>
      <c r="D613" s="67">
        <v>106.7205</v>
      </c>
      <c r="E613" s="68">
        <v>2.424</v>
      </c>
    </row>
    <row r="614" ht="22.5" customHeight="1">
      <c r="A614" s="61">
        <v>10.72957</v>
      </c>
      <c r="B614" s="63">
        <v>106.7082</v>
      </c>
      <c r="C614" s="63">
        <v>10.73842</v>
      </c>
      <c r="D614" s="63">
        <v>106.7164</v>
      </c>
      <c r="E614" s="64">
        <v>3.012</v>
      </c>
    </row>
    <row r="615" ht="22.5" customHeight="1">
      <c r="A615" s="66">
        <v>10.73002</v>
      </c>
      <c r="B615" s="67">
        <v>106.6559</v>
      </c>
      <c r="C615" s="67">
        <v>10.7231</v>
      </c>
      <c r="D615" s="67">
        <v>106.6556</v>
      </c>
      <c r="E615" s="68">
        <v>0.745</v>
      </c>
    </row>
    <row r="616" ht="22.5" customHeight="1">
      <c r="A616" s="61">
        <v>10.73002</v>
      </c>
      <c r="B616" s="63">
        <v>106.6559</v>
      </c>
      <c r="C616" s="63">
        <v>10.7301</v>
      </c>
      <c r="D616" s="63">
        <v>106.6763</v>
      </c>
      <c r="E616" s="64">
        <v>3.014</v>
      </c>
    </row>
    <row r="617" ht="22.5" customHeight="1">
      <c r="A617" s="66">
        <v>10.73002</v>
      </c>
      <c r="B617" s="67">
        <v>106.6559</v>
      </c>
      <c r="C617" s="67">
        <v>10.73437</v>
      </c>
      <c r="D617" s="67">
        <v>106.6595</v>
      </c>
      <c r="E617" s="68">
        <v>1.1</v>
      </c>
    </row>
    <row r="618" ht="22.5" customHeight="1">
      <c r="A618" s="61">
        <v>10.73002</v>
      </c>
      <c r="B618" s="63">
        <v>106.6559</v>
      </c>
      <c r="C618" s="63">
        <v>10.73635</v>
      </c>
      <c r="D618" s="63">
        <v>106.6714</v>
      </c>
      <c r="E618" s="64">
        <v>2.196</v>
      </c>
    </row>
    <row r="619" ht="22.5" customHeight="1">
      <c r="A619" s="66">
        <v>10.73002</v>
      </c>
      <c r="B619" s="67">
        <v>106.6559</v>
      </c>
      <c r="C619" s="67">
        <v>10.73842</v>
      </c>
      <c r="D619" s="67">
        <v>106.7164</v>
      </c>
      <c r="E619" s="68">
        <v>9.542</v>
      </c>
    </row>
    <row r="620" ht="22.5" customHeight="1">
      <c r="A620" s="61">
        <v>10.73002</v>
      </c>
      <c r="B620" s="63">
        <v>106.6559</v>
      </c>
      <c r="C620" s="63">
        <v>10.7389</v>
      </c>
      <c r="D620" s="63">
        <v>106.67</v>
      </c>
      <c r="E620" s="64">
        <v>2.4</v>
      </c>
    </row>
    <row r="621" ht="22.5" customHeight="1">
      <c r="A621" s="66">
        <v>10.73002</v>
      </c>
      <c r="B621" s="67">
        <v>106.6559</v>
      </c>
      <c r="C621" s="67">
        <v>10.74504</v>
      </c>
      <c r="D621" s="67">
        <v>106.7125</v>
      </c>
      <c r="E621" s="68">
        <v>8.022</v>
      </c>
    </row>
    <row r="622" ht="22.5" customHeight="1">
      <c r="A622" s="61">
        <v>10.73002</v>
      </c>
      <c r="B622" s="63">
        <v>106.6559</v>
      </c>
      <c r="C622" s="63">
        <v>10.75643</v>
      </c>
      <c r="D622" s="63">
        <v>106.6734</v>
      </c>
      <c r="E622" s="64">
        <v>4.31</v>
      </c>
    </row>
    <row r="623" ht="22.5" customHeight="1">
      <c r="A623" s="66">
        <v>10.73002</v>
      </c>
      <c r="B623" s="67">
        <v>106.6559</v>
      </c>
      <c r="C623" s="67">
        <v>10.75973</v>
      </c>
      <c r="D623" s="67">
        <v>106.6989</v>
      </c>
      <c r="E623" s="68">
        <v>8.258</v>
      </c>
    </row>
    <row r="624" ht="22.5" customHeight="1">
      <c r="A624" s="61">
        <v>10.73002</v>
      </c>
      <c r="B624" s="63">
        <v>106.6559</v>
      </c>
      <c r="C624" s="63">
        <v>10.77509</v>
      </c>
      <c r="D624" s="63">
        <v>106.6727</v>
      </c>
      <c r="E624" s="64">
        <v>7.1</v>
      </c>
    </row>
    <row r="625" ht="22.5" customHeight="1">
      <c r="A625" s="66">
        <v>10.7301</v>
      </c>
      <c r="B625" s="67">
        <v>106.6763</v>
      </c>
      <c r="C625" s="67">
        <v>10.68689</v>
      </c>
      <c r="D625" s="67">
        <v>106.7435</v>
      </c>
      <c r="E625" s="68">
        <v>11.845</v>
      </c>
    </row>
    <row r="626" ht="22.5" customHeight="1">
      <c r="A626" s="61">
        <v>10.7301</v>
      </c>
      <c r="B626" s="63">
        <v>106.6763</v>
      </c>
      <c r="C626" s="63">
        <v>10.7231</v>
      </c>
      <c r="D626" s="63">
        <v>106.6556</v>
      </c>
      <c r="E626" s="64">
        <v>2.773</v>
      </c>
    </row>
    <row r="627" ht="22.5" customHeight="1">
      <c r="A627" s="66">
        <v>10.7301</v>
      </c>
      <c r="B627" s="67">
        <v>106.6763</v>
      </c>
      <c r="C627" s="67">
        <v>10.72431</v>
      </c>
      <c r="D627" s="67">
        <v>106.6452</v>
      </c>
      <c r="E627" s="68">
        <v>4.593</v>
      </c>
    </row>
    <row r="628" ht="22.5" customHeight="1">
      <c r="A628" s="61">
        <v>10.7301</v>
      </c>
      <c r="B628" s="63">
        <v>106.6763</v>
      </c>
      <c r="C628" s="63">
        <v>10.7301</v>
      </c>
      <c r="D628" s="63">
        <v>106.6763</v>
      </c>
      <c r="E628" s="64">
        <v>0.0</v>
      </c>
    </row>
    <row r="629" ht="22.5" customHeight="1">
      <c r="A629" s="66">
        <v>10.7301</v>
      </c>
      <c r="B629" s="67">
        <v>106.6763</v>
      </c>
      <c r="C629" s="67">
        <v>10.73186</v>
      </c>
      <c r="D629" s="67">
        <v>106.7079</v>
      </c>
      <c r="E629" s="68">
        <v>3.987</v>
      </c>
    </row>
    <row r="630" ht="22.5" customHeight="1">
      <c r="A630" s="61">
        <v>10.7301</v>
      </c>
      <c r="B630" s="63">
        <v>106.6763</v>
      </c>
      <c r="C630" s="63">
        <v>10.73437</v>
      </c>
      <c r="D630" s="63">
        <v>106.6595</v>
      </c>
      <c r="E630" s="64">
        <v>2.963</v>
      </c>
    </row>
    <row r="631" ht="22.5" customHeight="1">
      <c r="A631" s="66">
        <v>10.7301</v>
      </c>
      <c r="B631" s="67">
        <v>106.6763</v>
      </c>
      <c r="C631" s="67">
        <v>10.73635</v>
      </c>
      <c r="D631" s="67">
        <v>106.6714</v>
      </c>
      <c r="E631" s="68">
        <v>0.893</v>
      </c>
    </row>
    <row r="632" ht="22.5" customHeight="1">
      <c r="A632" s="61">
        <v>10.7301</v>
      </c>
      <c r="B632" s="63">
        <v>106.6763</v>
      </c>
      <c r="C632" s="63">
        <v>10.73699</v>
      </c>
      <c r="D632" s="63">
        <v>106.6574</v>
      </c>
      <c r="E632" s="64">
        <v>3.12</v>
      </c>
    </row>
    <row r="633" ht="22.5" customHeight="1">
      <c r="A633" s="66">
        <v>10.7301</v>
      </c>
      <c r="B633" s="67">
        <v>106.6763</v>
      </c>
      <c r="C633" s="67">
        <v>10.73786</v>
      </c>
      <c r="D633" s="67">
        <v>106.7205</v>
      </c>
      <c r="E633" s="68">
        <v>6.167</v>
      </c>
    </row>
    <row r="634" ht="22.5" customHeight="1">
      <c r="A634" s="61">
        <v>10.7301</v>
      </c>
      <c r="B634" s="63">
        <v>106.6763</v>
      </c>
      <c r="C634" s="63">
        <v>10.73842</v>
      </c>
      <c r="D634" s="63">
        <v>106.7164</v>
      </c>
      <c r="E634" s="64">
        <v>6.144</v>
      </c>
    </row>
    <row r="635" ht="22.5" customHeight="1">
      <c r="A635" s="66">
        <v>10.7301</v>
      </c>
      <c r="B635" s="67">
        <v>106.6763</v>
      </c>
      <c r="C635" s="67">
        <v>10.7389</v>
      </c>
      <c r="D635" s="67">
        <v>106.67</v>
      </c>
      <c r="E635" s="68">
        <v>1.185</v>
      </c>
    </row>
    <row r="636" ht="22.5" customHeight="1">
      <c r="A636" s="61">
        <v>10.7301</v>
      </c>
      <c r="B636" s="63">
        <v>106.6763</v>
      </c>
      <c r="C636" s="63">
        <v>10.73942</v>
      </c>
      <c r="D636" s="63">
        <v>106.6755</v>
      </c>
      <c r="E636" s="64">
        <v>1.462</v>
      </c>
    </row>
    <row r="637" ht="22.5" customHeight="1">
      <c r="A637" s="66">
        <v>10.7301</v>
      </c>
      <c r="B637" s="67">
        <v>106.6763</v>
      </c>
      <c r="C637" s="67">
        <v>10.74131</v>
      </c>
      <c r="D637" s="67">
        <v>106.6863</v>
      </c>
      <c r="E637" s="68">
        <v>2.755</v>
      </c>
    </row>
    <row r="638" ht="22.5" customHeight="1">
      <c r="A638" s="61">
        <v>10.7301</v>
      </c>
      <c r="B638" s="63">
        <v>106.6763</v>
      </c>
      <c r="C638" s="63">
        <v>10.74157</v>
      </c>
      <c r="D638" s="63">
        <v>106.6885</v>
      </c>
      <c r="E638" s="64">
        <v>3.16</v>
      </c>
    </row>
    <row r="639" ht="22.5" customHeight="1">
      <c r="A639" s="66">
        <v>10.7301</v>
      </c>
      <c r="B639" s="67">
        <v>106.6763</v>
      </c>
      <c r="C639" s="67">
        <v>10.74167</v>
      </c>
      <c r="D639" s="67">
        <v>106.6764</v>
      </c>
      <c r="E639" s="68">
        <v>1.879</v>
      </c>
    </row>
    <row r="640" ht="22.5" customHeight="1">
      <c r="A640" s="61">
        <v>10.7301</v>
      </c>
      <c r="B640" s="63">
        <v>106.6763</v>
      </c>
      <c r="C640" s="63">
        <v>10.74504</v>
      </c>
      <c r="D640" s="63">
        <v>106.7125</v>
      </c>
      <c r="E640" s="64">
        <v>5.769</v>
      </c>
    </row>
    <row r="641" ht="22.5" customHeight="1">
      <c r="A641" s="66">
        <v>10.7301</v>
      </c>
      <c r="B641" s="67">
        <v>106.6763</v>
      </c>
      <c r="C641" s="67">
        <v>10.74761</v>
      </c>
      <c r="D641" s="67">
        <v>106.689</v>
      </c>
      <c r="E641" s="68">
        <v>4.34</v>
      </c>
    </row>
    <row r="642" ht="22.5" customHeight="1">
      <c r="A642" s="61">
        <v>10.7301</v>
      </c>
      <c r="B642" s="63">
        <v>106.6763</v>
      </c>
      <c r="C642" s="63">
        <v>10.7552</v>
      </c>
      <c r="D642" s="63">
        <v>106.6985</v>
      </c>
      <c r="E642" s="64">
        <v>6.568</v>
      </c>
    </row>
    <row r="643" ht="22.5" customHeight="1">
      <c r="A643" s="66">
        <v>10.7301</v>
      </c>
      <c r="B643" s="67">
        <v>106.6763</v>
      </c>
      <c r="C643" s="67">
        <v>10.75599</v>
      </c>
      <c r="D643" s="67">
        <v>106.6825</v>
      </c>
      <c r="E643" s="68">
        <v>4.35</v>
      </c>
    </row>
    <row r="644" ht="22.5" customHeight="1">
      <c r="A644" s="61">
        <v>10.7301</v>
      </c>
      <c r="B644" s="63">
        <v>106.6763</v>
      </c>
      <c r="C644" s="63">
        <v>10.75643</v>
      </c>
      <c r="D644" s="63">
        <v>106.6734</v>
      </c>
      <c r="E644" s="64">
        <v>3.425</v>
      </c>
    </row>
    <row r="645" ht="22.5" customHeight="1">
      <c r="A645" s="66">
        <v>10.7301</v>
      </c>
      <c r="B645" s="67">
        <v>106.6763</v>
      </c>
      <c r="C645" s="67">
        <v>10.75947</v>
      </c>
      <c r="D645" s="67">
        <v>106.6805</v>
      </c>
      <c r="E645" s="68">
        <v>4.312</v>
      </c>
    </row>
    <row r="646" ht="22.5" customHeight="1">
      <c r="A646" s="61">
        <v>10.7301</v>
      </c>
      <c r="B646" s="63">
        <v>106.6763</v>
      </c>
      <c r="C646" s="63">
        <v>10.75973</v>
      </c>
      <c r="D646" s="63">
        <v>106.6989</v>
      </c>
      <c r="E646" s="64">
        <v>6.462</v>
      </c>
    </row>
    <row r="647" ht="22.5" customHeight="1">
      <c r="A647" s="66">
        <v>10.7301</v>
      </c>
      <c r="B647" s="67">
        <v>106.6763</v>
      </c>
      <c r="C647" s="67">
        <v>10.76561</v>
      </c>
      <c r="D647" s="67">
        <v>106.6823</v>
      </c>
      <c r="E647" s="68">
        <v>4.842</v>
      </c>
    </row>
    <row r="648" ht="22.5" customHeight="1">
      <c r="A648" s="61">
        <v>10.7301</v>
      </c>
      <c r="B648" s="63">
        <v>106.6763</v>
      </c>
      <c r="C648" s="63">
        <v>10.77509</v>
      </c>
      <c r="D648" s="63">
        <v>106.6727</v>
      </c>
      <c r="E648" s="64">
        <v>5.669</v>
      </c>
    </row>
    <row r="649" ht="22.5" customHeight="1">
      <c r="A649" s="66">
        <v>10.73088</v>
      </c>
      <c r="B649" s="67">
        <v>106.7236</v>
      </c>
      <c r="C649" s="67">
        <v>10.72032</v>
      </c>
      <c r="D649" s="67">
        <v>106.7264</v>
      </c>
      <c r="E649" s="68">
        <v>1.514</v>
      </c>
    </row>
    <row r="650" ht="22.5" customHeight="1">
      <c r="A650" s="61">
        <v>10.73088</v>
      </c>
      <c r="B650" s="63">
        <v>106.7236</v>
      </c>
      <c r="C650" s="63">
        <v>10.72264</v>
      </c>
      <c r="D650" s="63">
        <v>106.7134</v>
      </c>
      <c r="E650" s="64">
        <v>2.38</v>
      </c>
    </row>
    <row r="651" ht="22.5" customHeight="1">
      <c r="A651" s="66">
        <v>10.73088</v>
      </c>
      <c r="B651" s="67">
        <v>106.7236</v>
      </c>
      <c r="C651" s="67">
        <v>10.726</v>
      </c>
      <c r="D651" s="67">
        <v>106.724</v>
      </c>
      <c r="E651" s="68">
        <v>0.784</v>
      </c>
    </row>
    <row r="652" ht="22.5" customHeight="1">
      <c r="A652" s="61">
        <v>10.73088</v>
      </c>
      <c r="B652" s="63">
        <v>106.7236</v>
      </c>
      <c r="C652" s="63">
        <v>10.72628</v>
      </c>
      <c r="D652" s="63">
        <v>106.712</v>
      </c>
      <c r="E652" s="64">
        <v>2.469</v>
      </c>
    </row>
    <row r="653" ht="22.5" customHeight="1">
      <c r="A653" s="66">
        <v>10.73088</v>
      </c>
      <c r="B653" s="67">
        <v>106.7236</v>
      </c>
      <c r="C653" s="67">
        <v>10.72957</v>
      </c>
      <c r="D653" s="67">
        <v>106.7082</v>
      </c>
      <c r="E653" s="68">
        <v>2.003</v>
      </c>
    </row>
    <row r="654" ht="22.5" customHeight="1">
      <c r="A654" s="61">
        <v>10.73088</v>
      </c>
      <c r="B654" s="63">
        <v>106.7236</v>
      </c>
      <c r="C654" s="63">
        <v>10.73186</v>
      </c>
      <c r="D654" s="63">
        <v>106.7079</v>
      </c>
      <c r="E654" s="64">
        <v>2.027</v>
      </c>
    </row>
    <row r="655" ht="22.5" customHeight="1">
      <c r="A655" s="66">
        <v>10.73088</v>
      </c>
      <c r="B655" s="67">
        <v>106.7236</v>
      </c>
      <c r="C655" s="67">
        <v>10.7325</v>
      </c>
      <c r="D655" s="67">
        <v>106.718</v>
      </c>
      <c r="E655" s="68">
        <v>0.751</v>
      </c>
    </row>
    <row r="656" ht="22.5" customHeight="1">
      <c r="A656" s="61">
        <v>10.73088</v>
      </c>
      <c r="B656" s="63">
        <v>106.7236</v>
      </c>
      <c r="C656" s="63">
        <v>10.73603</v>
      </c>
      <c r="D656" s="63">
        <v>106.7183</v>
      </c>
      <c r="E656" s="64">
        <v>0.964</v>
      </c>
    </row>
    <row r="657" ht="22.5" customHeight="1">
      <c r="A657" s="66">
        <v>10.73088</v>
      </c>
      <c r="B657" s="67">
        <v>106.7236</v>
      </c>
      <c r="C657" s="67">
        <v>10.73733</v>
      </c>
      <c r="D657" s="67">
        <v>106.7242</v>
      </c>
      <c r="E657" s="68">
        <v>1.28</v>
      </c>
    </row>
    <row r="658" ht="22.5" customHeight="1">
      <c r="A658" s="61">
        <v>10.73088</v>
      </c>
      <c r="B658" s="63">
        <v>106.7236</v>
      </c>
      <c r="C658" s="63">
        <v>10.73786</v>
      </c>
      <c r="D658" s="63">
        <v>106.7205</v>
      </c>
      <c r="E658" s="64">
        <v>1.187</v>
      </c>
    </row>
    <row r="659" ht="22.5" customHeight="1">
      <c r="A659" s="66">
        <v>10.73088</v>
      </c>
      <c r="B659" s="67">
        <v>106.7236</v>
      </c>
      <c r="C659" s="67">
        <v>10.73816</v>
      </c>
      <c r="D659" s="67">
        <v>106.7211</v>
      </c>
      <c r="E659" s="68">
        <v>1.615</v>
      </c>
    </row>
    <row r="660" ht="22.5" customHeight="1">
      <c r="A660" s="61">
        <v>10.73088</v>
      </c>
      <c r="B660" s="63">
        <v>106.7236</v>
      </c>
      <c r="C660" s="63">
        <v>10.73842</v>
      </c>
      <c r="D660" s="63">
        <v>106.7164</v>
      </c>
      <c r="E660" s="64">
        <v>1.712</v>
      </c>
    </row>
    <row r="661" ht="22.5" customHeight="1">
      <c r="A661" s="66">
        <v>10.73088</v>
      </c>
      <c r="B661" s="67">
        <v>106.7236</v>
      </c>
      <c r="C661" s="67">
        <v>10.74042</v>
      </c>
      <c r="D661" s="67">
        <v>106.7301</v>
      </c>
      <c r="E661" s="68">
        <v>1.514</v>
      </c>
    </row>
    <row r="662" ht="22.5" customHeight="1">
      <c r="A662" s="61">
        <v>10.73088</v>
      </c>
      <c r="B662" s="63">
        <v>106.7236</v>
      </c>
      <c r="C662" s="63">
        <v>10.75204</v>
      </c>
      <c r="D662" s="63">
        <v>106.7295</v>
      </c>
      <c r="E662" s="64">
        <v>3.021</v>
      </c>
    </row>
    <row r="663" ht="22.5" customHeight="1">
      <c r="A663" s="66">
        <v>10.73186</v>
      </c>
      <c r="B663" s="67">
        <v>106.7079</v>
      </c>
      <c r="C663" s="67">
        <v>10.68689</v>
      </c>
      <c r="D663" s="67">
        <v>106.7435</v>
      </c>
      <c r="E663" s="68">
        <v>8.303</v>
      </c>
    </row>
    <row r="664" ht="22.5" customHeight="1">
      <c r="A664" s="61">
        <v>10.73186</v>
      </c>
      <c r="B664" s="63">
        <v>106.7079</v>
      </c>
      <c r="C664" s="63">
        <v>10.7179</v>
      </c>
      <c r="D664" s="63">
        <v>106.7369</v>
      </c>
      <c r="E664" s="64">
        <v>5.048</v>
      </c>
    </row>
    <row r="665" ht="22.5" customHeight="1">
      <c r="A665" s="66">
        <v>10.73186</v>
      </c>
      <c r="B665" s="67">
        <v>106.7079</v>
      </c>
      <c r="C665" s="67">
        <v>10.71973</v>
      </c>
      <c r="D665" s="67">
        <v>106.7367</v>
      </c>
      <c r="E665" s="68">
        <v>4.897</v>
      </c>
    </row>
    <row r="666" ht="22.5" customHeight="1">
      <c r="A666" s="61">
        <v>10.73186</v>
      </c>
      <c r="B666" s="63">
        <v>106.7079</v>
      </c>
      <c r="C666" s="63">
        <v>10.72032</v>
      </c>
      <c r="D666" s="63">
        <v>106.7264</v>
      </c>
      <c r="E666" s="64">
        <v>3.168</v>
      </c>
    </row>
    <row r="667" ht="22.5" customHeight="1">
      <c r="A667" s="66">
        <v>10.73186</v>
      </c>
      <c r="B667" s="67">
        <v>106.7079</v>
      </c>
      <c r="C667" s="67">
        <v>10.72249</v>
      </c>
      <c r="D667" s="67">
        <v>106.7262</v>
      </c>
      <c r="E667" s="68">
        <v>3.302</v>
      </c>
    </row>
    <row r="668" ht="22.5" customHeight="1">
      <c r="A668" s="61">
        <v>10.73186</v>
      </c>
      <c r="B668" s="63">
        <v>106.7079</v>
      </c>
      <c r="C668" s="63">
        <v>10.72628</v>
      </c>
      <c r="D668" s="63">
        <v>106.712</v>
      </c>
      <c r="E668" s="64">
        <v>1.052</v>
      </c>
    </row>
    <row r="669" ht="22.5" customHeight="1">
      <c r="A669" s="66">
        <v>10.73186</v>
      </c>
      <c r="B669" s="67">
        <v>106.7079</v>
      </c>
      <c r="C669" s="67">
        <v>10.72957</v>
      </c>
      <c r="D669" s="67">
        <v>106.7082</v>
      </c>
      <c r="E669" s="68">
        <v>0.169</v>
      </c>
    </row>
    <row r="670" ht="22.5" customHeight="1">
      <c r="A670" s="61">
        <v>10.73186</v>
      </c>
      <c r="B670" s="63">
        <v>106.7079</v>
      </c>
      <c r="C670" s="63">
        <v>10.73088</v>
      </c>
      <c r="D670" s="63">
        <v>106.7236</v>
      </c>
      <c r="E670" s="64">
        <v>2.298</v>
      </c>
    </row>
    <row r="671" ht="22.5" customHeight="1">
      <c r="A671" s="66">
        <v>10.73186</v>
      </c>
      <c r="B671" s="67">
        <v>106.7079</v>
      </c>
      <c r="C671" s="67">
        <v>10.7325</v>
      </c>
      <c r="D671" s="67">
        <v>106.718</v>
      </c>
      <c r="E671" s="68">
        <v>1.363</v>
      </c>
    </row>
    <row r="672" ht="22.5" customHeight="1">
      <c r="A672" s="61">
        <v>10.73186</v>
      </c>
      <c r="B672" s="63">
        <v>106.7079</v>
      </c>
      <c r="C672" s="63">
        <v>10.73347</v>
      </c>
      <c r="D672" s="63">
        <v>106.7102</v>
      </c>
      <c r="E672" s="64">
        <v>0.381</v>
      </c>
    </row>
    <row r="673" ht="22.5" customHeight="1">
      <c r="A673" s="66">
        <v>10.73186</v>
      </c>
      <c r="B673" s="67">
        <v>106.7079</v>
      </c>
      <c r="C673" s="67">
        <v>10.73786</v>
      </c>
      <c r="D673" s="67">
        <v>106.7205</v>
      </c>
      <c r="E673" s="68">
        <v>2.196</v>
      </c>
    </row>
    <row r="674" ht="22.5" customHeight="1">
      <c r="A674" s="61">
        <v>10.73186</v>
      </c>
      <c r="B674" s="63">
        <v>106.7079</v>
      </c>
      <c r="C674" s="63">
        <v>10.73816</v>
      </c>
      <c r="D674" s="63">
        <v>106.7211</v>
      </c>
      <c r="E674" s="64">
        <v>2.255</v>
      </c>
    </row>
    <row r="675" ht="22.5" customHeight="1">
      <c r="A675" s="66">
        <v>10.73186</v>
      </c>
      <c r="B675" s="67">
        <v>106.7079</v>
      </c>
      <c r="C675" s="67">
        <v>10.73842</v>
      </c>
      <c r="D675" s="67">
        <v>106.7164</v>
      </c>
      <c r="E675" s="68">
        <v>3.192</v>
      </c>
    </row>
    <row r="676" ht="22.5" customHeight="1">
      <c r="A676" s="61">
        <v>10.73186</v>
      </c>
      <c r="B676" s="63">
        <v>106.7079</v>
      </c>
      <c r="C676" s="63">
        <v>10.74042</v>
      </c>
      <c r="D676" s="63">
        <v>106.7301</v>
      </c>
      <c r="E676" s="64">
        <v>4.06</v>
      </c>
    </row>
    <row r="677" ht="22.5" customHeight="1">
      <c r="A677" s="66">
        <v>10.73186</v>
      </c>
      <c r="B677" s="67">
        <v>106.7079</v>
      </c>
      <c r="C677" s="67">
        <v>10.77509</v>
      </c>
      <c r="D677" s="67">
        <v>106.6727</v>
      </c>
      <c r="E677" s="68">
        <v>8.908</v>
      </c>
    </row>
    <row r="678" ht="22.5" customHeight="1">
      <c r="A678" s="61">
        <v>10.7325</v>
      </c>
      <c r="B678" s="63">
        <v>106.718</v>
      </c>
      <c r="C678" s="63">
        <v>10.73786</v>
      </c>
      <c r="D678" s="63">
        <v>106.7205</v>
      </c>
      <c r="E678" s="64">
        <v>0.9</v>
      </c>
    </row>
    <row r="679" ht="22.5" customHeight="1">
      <c r="A679" s="66">
        <v>10.7325</v>
      </c>
      <c r="B679" s="67">
        <v>106.718</v>
      </c>
      <c r="C679" s="67">
        <v>10.73842</v>
      </c>
      <c r="D679" s="67">
        <v>106.7164</v>
      </c>
      <c r="E679" s="68">
        <v>0.815</v>
      </c>
    </row>
    <row r="680" ht="22.5" customHeight="1">
      <c r="A680" s="61">
        <v>10.7325</v>
      </c>
      <c r="B680" s="63">
        <v>106.718</v>
      </c>
      <c r="C680" s="63">
        <v>10.74042</v>
      </c>
      <c r="D680" s="63">
        <v>106.7301</v>
      </c>
      <c r="E680" s="64">
        <v>2.407</v>
      </c>
    </row>
    <row r="681" ht="22.5" customHeight="1">
      <c r="A681" s="66">
        <v>10.73309</v>
      </c>
      <c r="B681" s="67">
        <v>106.6897</v>
      </c>
      <c r="C681" s="67">
        <v>10.73611</v>
      </c>
      <c r="D681" s="67">
        <v>106.6908</v>
      </c>
      <c r="E681" s="68">
        <v>1.736</v>
      </c>
    </row>
    <row r="682" ht="22.5" customHeight="1">
      <c r="A682" s="61">
        <v>10.73309</v>
      </c>
      <c r="B682" s="63">
        <v>106.6897</v>
      </c>
      <c r="C682" s="63">
        <v>10.74761</v>
      </c>
      <c r="D682" s="63">
        <v>106.689</v>
      </c>
      <c r="E682" s="64">
        <v>1.672</v>
      </c>
    </row>
    <row r="683" ht="22.5" customHeight="1">
      <c r="A683" s="66">
        <v>10.73335</v>
      </c>
      <c r="B683" s="67">
        <v>106.6088</v>
      </c>
      <c r="C683" s="67">
        <v>10.69376</v>
      </c>
      <c r="D683" s="67">
        <v>106.5802</v>
      </c>
      <c r="E683" s="68">
        <v>6.79</v>
      </c>
    </row>
    <row r="684" ht="22.5" customHeight="1">
      <c r="A684" s="61">
        <v>10.73335</v>
      </c>
      <c r="B684" s="63">
        <v>106.6088</v>
      </c>
      <c r="C684" s="63">
        <v>10.73897</v>
      </c>
      <c r="D684" s="63">
        <v>106.6149</v>
      </c>
      <c r="E684" s="64">
        <v>1.939</v>
      </c>
    </row>
    <row r="685" ht="22.5" customHeight="1">
      <c r="A685" s="66">
        <v>10.73335</v>
      </c>
      <c r="B685" s="67">
        <v>106.6088</v>
      </c>
      <c r="C685" s="67">
        <v>10.7444</v>
      </c>
      <c r="D685" s="67">
        <v>106.6304</v>
      </c>
      <c r="E685" s="68">
        <v>4.214</v>
      </c>
    </row>
    <row r="686" ht="22.5" customHeight="1">
      <c r="A686" s="61">
        <v>10.73335</v>
      </c>
      <c r="B686" s="63">
        <v>106.6088</v>
      </c>
      <c r="C686" s="63">
        <v>10.74602</v>
      </c>
      <c r="D686" s="63">
        <v>106.6123</v>
      </c>
      <c r="E686" s="64">
        <v>2.8</v>
      </c>
    </row>
    <row r="687" ht="22.5" customHeight="1">
      <c r="A687" s="66">
        <v>10.73335</v>
      </c>
      <c r="B687" s="67">
        <v>106.6088</v>
      </c>
      <c r="C687" s="67">
        <v>10.74672</v>
      </c>
      <c r="D687" s="67">
        <v>106.6132</v>
      </c>
      <c r="E687" s="68">
        <v>2.227</v>
      </c>
    </row>
    <row r="688" ht="22.5" customHeight="1">
      <c r="A688" s="61">
        <v>10.73335</v>
      </c>
      <c r="B688" s="63">
        <v>106.6088</v>
      </c>
      <c r="C688" s="63">
        <v>10.75587</v>
      </c>
      <c r="D688" s="63">
        <v>106.5924</v>
      </c>
      <c r="E688" s="64">
        <v>3.49</v>
      </c>
    </row>
    <row r="689" ht="22.5" customHeight="1">
      <c r="A689" s="66">
        <v>10.73335</v>
      </c>
      <c r="B689" s="67">
        <v>106.6088</v>
      </c>
      <c r="C689" s="67">
        <v>10.76707</v>
      </c>
      <c r="D689" s="67">
        <v>106.6493</v>
      </c>
      <c r="E689" s="68">
        <v>7.3</v>
      </c>
    </row>
    <row r="690" ht="22.5" customHeight="1">
      <c r="A690" s="61">
        <v>10.73335</v>
      </c>
      <c r="B690" s="63">
        <v>106.6088</v>
      </c>
      <c r="C690" s="63">
        <v>10.77509</v>
      </c>
      <c r="D690" s="63">
        <v>106.6727</v>
      </c>
      <c r="E690" s="64">
        <v>9.976</v>
      </c>
    </row>
    <row r="691" ht="22.5" customHeight="1">
      <c r="A691" s="66">
        <v>10.73338</v>
      </c>
      <c r="B691" s="67">
        <v>106.7179</v>
      </c>
      <c r="C691" s="67">
        <v>10.73842</v>
      </c>
      <c r="D691" s="67">
        <v>106.7164</v>
      </c>
      <c r="E691" s="68">
        <v>0.808</v>
      </c>
    </row>
    <row r="692" ht="22.5" customHeight="1">
      <c r="A692" s="61">
        <v>10.73347</v>
      </c>
      <c r="B692" s="63">
        <v>106.7102</v>
      </c>
      <c r="C692" s="63">
        <v>10.72249</v>
      </c>
      <c r="D692" s="63">
        <v>106.7262</v>
      </c>
      <c r="E692" s="64">
        <v>3.174</v>
      </c>
    </row>
    <row r="693" ht="22.5" customHeight="1">
      <c r="A693" s="66">
        <v>10.73347</v>
      </c>
      <c r="B693" s="67">
        <v>106.7102</v>
      </c>
      <c r="C693" s="67">
        <v>10.726</v>
      </c>
      <c r="D693" s="67">
        <v>106.724</v>
      </c>
      <c r="E693" s="68">
        <v>2.528</v>
      </c>
    </row>
    <row r="694" ht="22.5" customHeight="1">
      <c r="A694" s="61">
        <v>10.73347</v>
      </c>
      <c r="B694" s="63">
        <v>106.7102</v>
      </c>
      <c r="C694" s="63">
        <v>10.726</v>
      </c>
      <c r="D694" s="63">
        <v>106.7239</v>
      </c>
      <c r="E694" s="64">
        <v>2.529</v>
      </c>
    </row>
    <row r="695" ht="22.5" customHeight="1">
      <c r="A695" s="66">
        <v>10.73347</v>
      </c>
      <c r="B695" s="67">
        <v>106.7102</v>
      </c>
      <c r="C695" s="67">
        <v>10.72957</v>
      </c>
      <c r="D695" s="67">
        <v>106.7082</v>
      </c>
      <c r="E695" s="68">
        <v>0.645</v>
      </c>
    </row>
    <row r="696" ht="22.5" customHeight="1">
      <c r="A696" s="61">
        <v>10.73347</v>
      </c>
      <c r="B696" s="63">
        <v>106.7102</v>
      </c>
      <c r="C696" s="63">
        <v>10.73088</v>
      </c>
      <c r="D696" s="63">
        <v>106.7236</v>
      </c>
      <c r="E696" s="64">
        <v>2.215</v>
      </c>
    </row>
    <row r="697" ht="22.5" customHeight="1">
      <c r="A697" s="66">
        <v>10.73347</v>
      </c>
      <c r="B697" s="67">
        <v>106.7102</v>
      </c>
      <c r="C697" s="67">
        <v>10.73186</v>
      </c>
      <c r="D697" s="67">
        <v>106.7079</v>
      </c>
      <c r="E697" s="68">
        <v>0.348</v>
      </c>
    </row>
    <row r="698" ht="22.5" customHeight="1">
      <c r="A698" s="61">
        <v>10.73347</v>
      </c>
      <c r="B698" s="63">
        <v>106.7102</v>
      </c>
      <c r="C698" s="63">
        <v>10.7325</v>
      </c>
      <c r="D698" s="63">
        <v>106.718</v>
      </c>
      <c r="E698" s="64">
        <v>1.294</v>
      </c>
    </row>
    <row r="699" ht="22.5" customHeight="1">
      <c r="A699" s="66">
        <v>10.73347</v>
      </c>
      <c r="B699" s="67">
        <v>106.7102</v>
      </c>
      <c r="C699" s="67">
        <v>10.73842</v>
      </c>
      <c r="D699" s="67">
        <v>106.7164</v>
      </c>
      <c r="E699" s="68">
        <v>3.06</v>
      </c>
    </row>
    <row r="700" ht="22.5" customHeight="1">
      <c r="A700" s="61">
        <v>10.73437</v>
      </c>
      <c r="B700" s="63">
        <v>106.6595</v>
      </c>
      <c r="C700" s="63">
        <v>10.7231</v>
      </c>
      <c r="D700" s="63">
        <v>106.6556</v>
      </c>
      <c r="E700" s="64">
        <v>1.482</v>
      </c>
    </row>
    <row r="701" ht="22.5" customHeight="1">
      <c r="A701" s="66">
        <v>10.73437</v>
      </c>
      <c r="B701" s="67">
        <v>106.6595</v>
      </c>
      <c r="C701" s="67">
        <v>10.7301</v>
      </c>
      <c r="D701" s="67">
        <v>106.6763</v>
      </c>
      <c r="E701" s="68">
        <v>2.944</v>
      </c>
    </row>
    <row r="702" ht="22.5" customHeight="1">
      <c r="A702" s="61">
        <v>10.73437</v>
      </c>
      <c r="B702" s="63">
        <v>106.6595</v>
      </c>
      <c r="C702" s="63">
        <v>10.73635</v>
      </c>
      <c r="D702" s="63">
        <v>106.6714</v>
      </c>
      <c r="E702" s="64">
        <v>2.076</v>
      </c>
    </row>
    <row r="703" ht="22.5" customHeight="1">
      <c r="A703" s="66">
        <v>10.73437</v>
      </c>
      <c r="B703" s="67">
        <v>106.6595</v>
      </c>
      <c r="C703" s="67">
        <v>10.73805</v>
      </c>
      <c r="D703" s="67">
        <v>106.658</v>
      </c>
      <c r="E703" s="68">
        <v>0.999</v>
      </c>
    </row>
    <row r="704" ht="22.5" customHeight="1">
      <c r="A704" s="61">
        <v>10.73437</v>
      </c>
      <c r="B704" s="63">
        <v>106.6595</v>
      </c>
      <c r="C704" s="63">
        <v>10.73842</v>
      </c>
      <c r="D704" s="63">
        <v>106.7164</v>
      </c>
      <c r="E704" s="64">
        <v>9.374</v>
      </c>
    </row>
    <row r="705" ht="22.5" customHeight="1">
      <c r="A705" s="66">
        <v>10.73437</v>
      </c>
      <c r="B705" s="67">
        <v>106.6595</v>
      </c>
      <c r="C705" s="67">
        <v>10.7389</v>
      </c>
      <c r="D705" s="67">
        <v>106.67</v>
      </c>
      <c r="E705" s="68">
        <v>1.609</v>
      </c>
    </row>
    <row r="706" ht="22.5" customHeight="1">
      <c r="A706" s="61">
        <v>10.73437</v>
      </c>
      <c r="B706" s="63">
        <v>106.6595</v>
      </c>
      <c r="C706" s="63">
        <v>10.75424</v>
      </c>
      <c r="D706" s="63">
        <v>106.6716</v>
      </c>
      <c r="E706" s="64">
        <v>4.024</v>
      </c>
    </row>
    <row r="707" ht="22.5" customHeight="1">
      <c r="A707" s="66">
        <v>10.73437</v>
      </c>
      <c r="B707" s="67">
        <v>106.6595</v>
      </c>
      <c r="C707" s="67">
        <v>10.75643</v>
      </c>
      <c r="D707" s="67">
        <v>106.6734</v>
      </c>
      <c r="E707" s="68">
        <v>4.28</v>
      </c>
    </row>
    <row r="708" ht="22.5" customHeight="1">
      <c r="A708" s="61">
        <v>10.73437</v>
      </c>
      <c r="B708" s="63">
        <v>106.6595</v>
      </c>
      <c r="C708" s="63">
        <v>10.77509</v>
      </c>
      <c r="D708" s="63">
        <v>106.6727</v>
      </c>
      <c r="E708" s="64">
        <v>6.008</v>
      </c>
    </row>
    <row r="709" ht="22.5" customHeight="1">
      <c r="A709" s="66">
        <v>10.73446</v>
      </c>
      <c r="B709" s="67">
        <v>106.7178</v>
      </c>
      <c r="C709" s="67">
        <v>10.73842</v>
      </c>
      <c r="D709" s="67">
        <v>106.7164</v>
      </c>
      <c r="E709" s="68">
        <v>1.863</v>
      </c>
    </row>
    <row r="710" ht="22.5" customHeight="1">
      <c r="A710" s="61">
        <v>10.73533</v>
      </c>
      <c r="B710" s="63">
        <v>106.6544</v>
      </c>
      <c r="C710" s="63">
        <v>10.7389</v>
      </c>
      <c r="D710" s="63">
        <v>106.67</v>
      </c>
      <c r="E710" s="64">
        <v>2.267</v>
      </c>
    </row>
    <row r="711" ht="22.5" customHeight="1">
      <c r="A711" s="66">
        <v>10.73595</v>
      </c>
      <c r="B711" s="67">
        <v>106.9345</v>
      </c>
      <c r="C711" s="67">
        <v>10.79462</v>
      </c>
      <c r="D711" s="67">
        <v>106.9453</v>
      </c>
      <c r="E711" s="68">
        <v>9.138</v>
      </c>
    </row>
    <row r="712" ht="22.5" customHeight="1">
      <c r="A712" s="61">
        <v>10.73595</v>
      </c>
      <c r="B712" s="63">
        <v>106.9345</v>
      </c>
      <c r="C712" s="63">
        <v>10.86915</v>
      </c>
      <c r="D712" s="63">
        <v>106.974</v>
      </c>
      <c r="E712" s="64">
        <v>22.444</v>
      </c>
    </row>
    <row r="713" ht="22.5" customHeight="1">
      <c r="A713" s="66">
        <v>10.73595</v>
      </c>
      <c r="B713" s="67">
        <v>106.9345</v>
      </c>
      <c r="C713" s="67">
        <v>10.90181</v>
      </c>
      <c r="D713" s="67">
        <v>106.8523</v>
      </c>
      <c r="E713" s="68">
        <v>30.728</v>
      </c>
    </row>
    <row r="714" ht="22.5" customHeight="1">
      <c r="A714" s="61">
        <v>10.73595</v>
      </c>
      <c r="B714" s="63">
        <v>106.9345</v>
      </c>
      <c r="C714" s="63">
        <v>10.94731</v>
      </c>
      <c r="D714" s="63">
        <v>106.8284</v>
      </c>
      <c r="E714" s="64">
        <v>34.979</v>
      </c>
    </row>
    <row r="715" ht="22.5" customHeight="1">
      <c r="A715" s="66">
        <v>10.73595</v>
      </c>
      <c r="B715" s="67">
        <v>106.9345</v>
      </c>
      <c r="C715" s="67">
        <v>10.96281</v>
      </c>
      <c r="D715" s="67">
        <v>106.8871</v>
      </c>
      <c r="E715" s="68">
        <v>33.779</v>
      </c>
    </row>
    <row r="716" ht="22.5" customHeight="1">
      <c r="A716" s="61">
        <v>10.73603</v>
      </c>
      <c r="B716" s="63">
        <v>106.7183</v>
      </c>
      <c r="C716" s="63">
        <v>10.73842</v>
      </c>
      <c r="D716" s="63">
        <v>106.7164</v>
      </c>
      <c r="E716" s="64">
        <v>0.478</v>
      </c>
    </row>
    <row r="717" ht="22.5" customHeight="1">
      <c r="A717" s="66">
        <v>10.73611</v>
      </c>
      <c r="B717" s="67">
        <v>106.6908</v>
      </c>
      <c r="C717" s="67">
        <v>10.68689</v>
      </c>
      <c r="D717" s="67">
        <v>106.7435</v>
      </c>
      <c r="E717" s="68">
        <v>12.088</v>
      </c>
    </row>
    <row r="718" ht="22.5" customHeight="1">
      <c r="A718" s="61">
        <v>10.73611</v>
      </c>
      <c r="B718" s="63">
        <v>106.6908</v>
      </c>
      <c r="C718" s="63">
        <v>10.7231</v>
      </c>
      <c r="D718" s="63">
        <v>106.6556</v>
      </c>
      <c r="E718" s="64">
        <v>4.799</v>
      </c>
    </row>
    <row r="719" ht="22.5" customHeight="1">
      <c r="A719" s="66">
        <v>10.73611</v>
      </c>
      <c r="B719" s="67">
        <v>106.6908</v>
      </c>
      <c r="C719" s="67">
        <v>10.73002</v>
      </c>
      <c r="D719" s="67">
        <v>106.6559</v>
      </c>
      <c r="E719" s="68">
        <v>5.556</v>
      </c>
    </row>
    <row r="720" ht="22.5" customHeight="1">
      <c r="A720" s="61">
        <v>10.73611</v>
      </c>
      <c r="B720" s="63">
        <v>106.6908</v>
      </c>
      <c r="C720" s="63">
        <v>10.73186</v>
      </c>
      <c r="D720" s="63">
        <v>106.7079</v>
      </c>
      <c r="E720" s="64">
        <v>4.143</v>
      </c>
    </row>
    <row r="721" ht="22.5" customHeight="1">
      <c r="A721" s="66">
        <v>10.73611</v>
      </c>
      <c r="B721" s="67">
        <v>106.6908</v>
      </c>
      <c r="C721" s="67">
        <v>10.73309</v>
      </c>
      <c r="D721" s="67">
        <v>106.6897</v>
      </c>
      <c r="E721" s="68">
        <v>1.45</v>
      </c>
    </row>
    <row r="722" ht="22.5" customHeight="1">
      <c r="A722" s="61">
        <v>10.73611</v>
      </c>
      <c r="B722" s="63">
        <v>106.6908</v>
      </c>
      <c r="C722" s="63">
        <v>10.73611</v>
      </c>
      <c r="D722" s="63">
        <v>106.6908</v>
      </c>
      <c r="E722" s="64">
        <v>0.001</v>
      </c>
    </row>
    <row r="723" ht="22.5" customHeight="1">
      <c r="A723" s="66">
        <v>10.73611</v>
      </c>
      <c r="B723" s="67">
        <v>106.6908</v>
      </c>
      <c r="C723" s="67">
        <v>10.73842</v>
      </c>
      <c r="D723" s="67">
        <v>106.7164</v>
      </c>
      <c r="E723" s="68">
        <v>4.347</v>
      </c>
    </row>
    <row r="724" ht="22.5" customHeight="1">
      <c r="A724" s="61">
        <v>10.73611</v>
      </c>
      <c r="B724" s="63">
        <v>106.6908</v>
      </c>
      <c r="C724" s="63">
        <v>10.74157</v>
      </c>
      <c r="D724" s="63">
        <v>106.6885</v>
      </c>
      <c r="E724" s="64">
        <v>0.857</v>
      </c>
    </row>
    <row r="725" ht="22.5" customHeight="1">
      <c r="A725" s="66">
        <v>10.73611</v>
      </c>
      <c r="B725" s="67">
        <v>106.6908</v>
      </c>
      <c r="C725" s="67">
        <v>10.74627</v>
      </c>
      <c r="D725" s="67">
        <v>106.6776</v>
      </c>
      <c r="E725" s="68">
        <v>3.143</v>
      </c>
    </row>
    <row r="726" ht="22.5" customHeight="1">
      <c r="A726" s="61">
        <v>10.73611</v>
      </c>
      <c r="B726" s="63">
        <v>106.6908</v>
      </c>
      <c r="C726" s="63">
        <v>10.74761</v>
      </c>
      <c r="D726" s="63">
        <v>106.689</v>
      </c>
      <c r="E726" s="64">
        <v>1.334</v>
      </c>
    </row>
    <row r="727" ht="22.5" customHeight="1">
      <c r="A727" s="66">
        <v>10.73611</v>
      </c>
      <c r="B727" s="67">
        <v>106.6908</v>
      </c>
      <c r="C727" s="67">
        <v>10.75123</v>
      </c>
      <c r="D727" s="67">
        <v>106.6964</v>
      </c>
      <c r="E727" s="68">
        <v>2.473</v>
      </c>
    </row>
    <row r="728" ht="22.5" customHeight="1">
      <c r="A728" s="61">
        <v>10.73611</v>
      </c>
      <c r="B728" s="63">
        <v>106.6908</v>
      </c>
      <c r="C728" s="63">
        <v>10.755</v>
      </c>
      <c r="D728" s="63">
        <v>106.6705</v>
      </c>
      <c r="E728" s="64">
        <v>4.692</v>
      </c>
    </row>
    <row r="729" ht="22.5" customHeight="1">
      <c r="A729" s="66">
        <v>10.73611</v>
      </c>
      <c r="B729" s="67">
        <v>106.6908</v>
      </c>
      <c r="C729" s="67">
        <v>10.75643</v>
      </c>
      <c r="D729" s="67">
        <v>106.6734</v>
      </c>
      <c r="E729" s="68">
        <v>4.558</v>
      </c>
    </row>
    <row r="730" ht="22.5" customHeight="1">
      <c r="A730" s="61">
        <v>10.73611</v>
      </c>
      <c r="B730" s="63">
        <v>106.6908</v>
      </c>
      <c r="C730" s="63">
        <v>10.7718</v>
      </c>
      <c r="D730" s="63">
        <v>106.6714</v>
      </c>
      <c r="E730" s="64">
        <v>5.274</v>
      </c>
    </row>
    <row r="731" ht="22.5" customHeight="1">
      <c r="A731" s="66">
        <v>10.73611</v>
      </c>
      <c r="B731" s="67">
        <v>106.6908</v>
      </c>
      <c r="C731" s="67">
        <v>10.77509</v>
      </c>
      <c r="D731" s="67">
        <v>106.6727</v>
      </c>
      <c r="E731" s="68">
        <v>5.345</v>
      </c>
    </row>
    <row r="732" ht="22.5" customHeight="1">
      <c r="A732" s="61">
        <v>10.73635</v>
      </c>
      <c r="B732" s="63">
        <v>106.6714</v>
      </c>
      <c r="C732" s="63">
        <v>10.7231</v>
      </c>
      <c r="D732" s="63">
        <v>106.6556</v>
      </c>
      <c r="E732" s="64">
        <v>3.099</v>
      </c>
    </row>
    <row r="733" ht="22.5" customHeight="1">
      <c r="A733" s="66">
        <v>10.73635</v>
      </c>
      <c r="B733" s="67">
        <v>106.6714</v>
      </c>
      <c r="C733" s="67">
        <v>10.72431</v>
      </c>
      <c r="D733" s="67">
        <v>106.6452</v>
      </c>
      <c r="E733" s="68">
        <v>3.993</v>
      </c>
    </row>
    <row r="734" ht="22.5" customHeight="1">
      <c r="A734" s="61">
        <v>10.73635</v>
      </c>
      <c r="B734" s="63">
        <v>106.6714</v>
      </c>
      <c r="C734" s="63">
        <v>10.7301</v>
      </c>
      <c r="D734" s="63">
        <v>106.6763</v>
      </c>
      <c r="E734" s="64">
        <v>0.88</v>
      </c>
    </row>
    <row r="735" ht="22.5" customHeight="1">
      <c r="A735" s="66">
        <v>10.73635</v>
      </c>
      <c r="B735" s="67">
        <v>106.6714</v>
      </c>
      <c r="C735" s="67">
        <v>10.73842</v>
      </c>
      <c r="D735" s="67">
        <v>106.7164</v>
      </c>
      <c r="E735" s="68">
        <v>6.285</v>
      </c>
    </row>
    <row r="736" ht="22.5" customHeight="1">
      <c r="A736" s="61">
        <v>10.73635</v>
      </c>
      <c r="B736" s="63">
        <v>106.6714</v>
      </c>
      <c r="C736" s="63">
        <v>10.7389</v>
      </c>
      <c r="D736" s="63">
        <v>106.67</v>
      </c>
      <c r="E736" s="64">
        <v>0.322</v>
      </c>
    </row>
    <row r="737" ht="22.5" customHeight="1">
      <c r="A737" s="66">
        <v>10.73635</v>
      </c>
      <c r="B737" s="67">
        <v>106.6714</v>
      </c>
      <c r="C737" s="67">
        <v>10.74157</v>
      </c>
      <c r="D737" s="67">
        <v>106.6885</v>
      </c>
      <c r="E737" s="68">
        <v>3.257</v>
      </c>
    </row>
    <row r="738" ht="22.5" customHeight="1">
      <c r="A738" s="61">
        <v>10.73635</v>
      </c>
      <c r="B738" s="63">
        <v>106.6714</v>
      </c>
      <c r="C738" s="63">
        <v>10.75535</v>
      </c>
      <c r="D738" s="63">
        <v>106.6939</v>
      </c>
      <c r="E738" s="64">
        <v>5.538</v>
      </c>
    </row>
    <row r="739" ht="22.5" customHeight="1">
      <c r="A739" s="66">
        <v>10.73635</v>
      </c>
      <c r="B739" s="67">
        <v>106.6714</v>
      </c>
      <c r="C739" s="67">
        <v>10.75599</v>
      </c>
      <c r="D739" s="67">
        <v>106.6825</v>
      </c>
      <c r="E739" s="68">
        <v>3.531</v>
      </c>
    </row>
    <row r="740" ht="22.5" customHeight="1">
      <c r="A740" s="61">
        <v>10.73635</v>
      </c>
      <c r="B740" s="63">
        <v>106.6714</v>
      </c>
      <c r="C740" s="63">
        <v>10.75643</v>
      </c>
      <c r="D740" s="63">
        <v>106.6734</v>
      </c>
      <c r="E740" s="64">
        <v>2.602</v>
      </c>
    </row>
    <row r="741" ht="22.5" customHeight="1">
      <c r="A741" s="66">
        <v>10.73635</v>
      </c>
      <c r="B741" s="67">
        <v>106.6714</v>
      </c>
      <c r="C741" s="67">
        <v>10.77014</v>
      </c>
      <c r="D741" s="67">
        <v>106.7009</v>
      </c>
      <c r="E741" s="68">
        <v>6.19</v>
      </c>
    </row>
    <row r="742" ht="22.5" customHeight="1">
      <c r="A742" s="61">
        <v>10.73635</v>
      </c>
      <c r="B742" s="63">
        <v>106.6714</v>
      </c>
      <c r="C742" s="63">
        <v>10.77509</v>
      </c>
      <c r="D742" s="63">
        <v>106.6727</v>
      </c>
      <c r="E742" s="64">
        <v>4.999</v>
      </c>
    </row>
    <row r="743" ht="22.5" customHeight="1">
      <c r="A743" s="66">
        <v>10.73672</v>
      </c>
      <c r="B743" s="67">
        <v>106.7089</v>
      </c>
      <c r="C743" s="67">
        <v>10.73786</v>
      </c>
      <c r="D743" s="67">
        <v>106.7205</v>
      </c>
      <c r="E743" s="68">
        <v>1.489</v>
      </c>
    </row>
    <row r="744" ht="22.5" customHeight="1">
      <c r="A744" s="61">
        <v>10.73672</v>
      </c>
      <c r="B744" s="63">
        <v>106.7089</v>
      </c>
      <c r="C744" s="63">
        <v>10.73842</v>
      </c>
      <c r="D744" s="63">
        <v>106.7164</v>
      </c>
      <c r="E744" s="64">
        <v>3.014</v>
      </c>
    </row>
    <row r="745" ht="22.5" customHeight="1">
      <c r="A745" s="66">
        <v>10.73699</v>
      </c>
      <c r="B745" s="67">
        <v>106.6574</v>
      </c>
      <c r="C745" s="67">
        <v>10.7301</v>
      </c>
      <c r="D745" s="67">
        <v>106.6763</v>
      </c>
      <c r="E745" s="68">
        <v>3.263</v>
      </c>
    </row>
    <row r="746" ht="22.5" customHeight="1">
      <c r="A746" s="61">
        <v>10.73699</v>
      </c>
      <c r="B746" s="63">
        <v>106.6574</v>
      </c>
      <c r="C746" s="63">
        <v>10.73635</v>
      </c>
      <c r="D746" s="63">
        <v>106.6714</v>
      </c>
      <c r="E746" s="64">
        <v>2.389</v>
      </c>
    </row>
    <row r="747" ht="22.5" customHeight="1">
      <c r="A747" s="66">
        <v>10.73699</v>
      </c>
      <c r="B747" s="67">
        <v>106.6574</v>
      </c>
      <c r="C747" s="67">
        <v>10.73805</v>
      </c>
      <c r="D747" s="67">
        <v>106.658</v>
      </c>
      <c r="E747" s="68">
        <v>0.075</v>
      </c>
    </row>
    <row r="748" ht="22.5" customHeight="1">
      <c r="A748" s="61">
        <v>10.73699</v>
      </c>
      <c r="B748" s="63">
        <v>106.6574</v>
      </c>
      <c r="C748" s="63">
        <v>10.7389</v>
      </c>
      <c r="D748" s="63">
        <v>106.67</v>
      </c>
      <c r="E748" s="64">
        <v>2.499</v>
      </c>
    </row>
    <row r="749" ht="22.5" customHeight="1">
      <c r="A749" s="66">
        <v>10.73699</v>
      </c>
      <c r="B749" s="67">
        <v>106.6574</v>
      </c>
      <c r="C749" s="67">
        <v>10.75643</v>
      </c>
      <c r="D749" s="67">
        <v>106.6734</v>
      </c>
      <c r="E749" s="68">
        <v>3.75</v>
      </c>
    </row>
    <row r="750" ht="22.5" customHeight="1">
      <c r="A750" s="61">
        <v>10.73733</v>
      </c>
      <c r="B750" s="63">
        <v>106.7242</v>
      </c>
      <c r="C750" s="63">
        <v>10.73786</v>
      </c>
      <c r="D750" s="63">
        <v>106.7205</v>
      </c>
      <c r="E750" s="64">
        <v>0.487</v>
      </c>
    </row>
    <row r="751" ht="22.5" customHeight="1">
      <c r="A751" s="66">
        <v>10.73733</v>
      </c>
      <c r="B751" s="67">
        <v>106.7242</v>
      </c>
      <c r="C751" s="67">
        <v>10.73816</v>
      </c>
      <c r="D751" s="67">
        <v>106.7211</v>
      </c>
      <c r="E751" s="68">
        <v>2.612</v>
      </c>
    </row>
    <row r="752" ht="22.5" customHeight="1">
      <c r="A752" s="61">
        <v>10.73733</v>
      </c>
      <c r="B752" s="63">
        <v>106.7242</v>
      </c>
      <c r="C752" s="63">
        <v>10.73842</v>
      </c>
      <c r="D752" s="63">
        <v>106.7164</v>
      </c>
      <c r="E752" s="64">
        <v>0.875</v>
      </c>
    </row>
    <row r="753" ht="22.5" customHeight="1">
      <c r="A753" s="66">
        <v>10.73771</v>
      </c>
      <c r="B753" s="67">
        <v>106.7066</v>
      </c>
      <c r="C753" s="67">
        <v>10.72628</v>
      </c>
      <c r="D753" s="67">
        <v>106.712</v>
      </c>
      <c r="E753" s="68">
        <v>3.534</v>
      </c>
    </row>
    <row r="754" ht="22.5" customHeight="1">
      <c r="A754" s="61">
        <v>10.73771</v>
      </c>
      <c r="B754" s="63">
        <v>106.7066</v>
      </c>
      <c r="C754" s="63">
        <v>10.73816</v>
      </c>
      <c r="D754" s="63">
        <v>106.7211</v>
      </c>
      <c r="E754" s="64">
        <v>1.775</v>
      </c>
    </row>
    <row r="755" ht="22.5" customHeight="1">
      <c r="A755" s="66">
        <v>10.73771</v>
      </c>
      <c r="B755" s="67">
        <v>106.7066</v>
      </c>
      <c r="C755" s="67">
        <v>10.73842</v>
      </c>
      <c r="D755" s="67">
        <v>106.7164</v>
      </c>
      <c r="E755" s="68">
        <v>2.441</v>
      </c>
    </row>
    <row r="756" ht="22.5" customHeight="1">
      <c r="A756" s="61">
        <v>10.73771</v>
      </c>
      <c r="B756" s="63">
        <v>106.7066</v>
      </c>
      <c r="C756" s="63">
        <v>10.74042</v>
      </c>
      <c r="D756" s="63">
        <v>106.7301</v>
      </c>
      <c r="E756" s="64">
        <v>3.195</v>
      </c>
    </row>
    <row r="757" ht="22.5" customHeight="1">
      <c r="A757" s="66">
        <v>10.73771</v>
      </c>
      <c r="B757" s="67">
        <v>106.7066</v>
      </c>
      <c r="C757" s="67">
        <v>10.74068</v>
      </c>
      <c r="D757" s="67">
        <v>106.7064</v>
      </c>
      <c r="E757" s="68">
        <v>0.383</v>
      </c>
    </row>
    <row r="758" ht="22.5" customHeight="1">
      <c r="A758" s="61">
        <v>10.73771</v>
      </c>
      <c r="B758" s="63">
        <v>106.7066</v>
      </c>
      <c r="C758" s="63">
        <v>10.74447</v>
      </c>
      <c r="D758" s="63">
        <v>106.711</v>
      </c>
      <c r="E758" s="64">
        <v>1.216</v>
      </c>
    </row>
    <row r="759" ht="22.5" customHeight="1">
      <c r="A759" s="66">
        <v>10.73771</v>
      </c>
      <c r="B759" s="67">
        <v>106.7066</v>
      </c>
      <c r="C759" s="67">
        <v>10.75123</v>
      </c>
      <c r="D759" s="67">
        <v>106.6964</v>
      </c>
      <c r="E759" s="68">
        <v>2.389</v>
      </c>
    </row>
    <row r="760" ht="22.5" customHeight="1">
      <c r="A760" s="61">
        <v>10.73784</v>
      </c>
      <c r="B760" s="63">
        <v>106.7033</v>
      </c>
      <c r="C760" s="63">
        <v>10.72264</v>
      </c>
      <c r="D760" s="63">
        <v>106.7134</v>
      </c>
      <c r="E760" s="64">
        <v>4.083</v>
      </c>
    </row>
    <row r="761" ht="22.5" customHeight="1">
      <c r="A761" s="66">
        <v>10.73784</v>
      </c>
      <c r="B761" s="67">
        <v>106.7033</v>
      </c>
      <c r="C761" s="67">
        <v>10.73672</v>
      </c>
      <c r="D761" s="67">
        <v>106.7089</v>
      </c>
      <c r="E761" s="68">
        <v>1.08</v>
      </c>
    </row>
    <row r="762" ht="22.5" customHeight="1">
      <c r="A762" s="61">
        <v>10.73784</v>
      </c>
      <c r="B762" s="63">
        <v>106.7033</v>
      </c>
      <c r="C762" s="63">
        <v>10.73784</v>
      </c>
      <c r="D762" s="63">
        <v>106.7033</v>
      </c>
      <c r="E762" s="64">
        <v>0.005</v>
      </c>
    </row>
    <row r="763" ht="22.5" customHeight="1">
      <c r="A763" s="66">
        <v>10.73784</v>
      </c>
      <c r="B763" s="67">
        <v>106.7033</v>
      </c>
      <c r="C763" s="67">
        <v>10.73842</v>
      </c>
      <c r="D763" s="67">
        <v>106.7164</v>
      </c>
      <c r="E763" s="68">
        <v>2.917</v>
      </c>
    </row>
    <row r="764" ht="22.5" customHeight="1">
      <c r="A764" s="61">
        <v>10.73786</v>
      </c>
      <c r="B764" s="63">
        <v>106.7205</v>
      </c>
      <c r="C764" s="63">
        <v>10.68689</v>
      </c>
      <c r="D764" s="63">
        <v>106.7435</v>
      </c>
      <c r="E764" s="64">
        <v>7.725</v>
      </c>
    </row>
    <row r="765" ht="22.5" customHeight="1">
      <c r="A765" s="66">
        <v>10.73786</v>
      </c>
      <c r="B765" s="67">
        <v>106.7205</v>
      </c>
      <c r="C765" s="67">
        <v>10.71544</v>
      </c>
      <c r="D765" s="67">
        <v>106.7371</v>
      </c>
      <c r="E765" s="68">
        <v>4.039</v>
      </c>
    </row>
    <row r="766" ht="22.5" customHeight="1">
      <c r="A766" s="61">
        <v>10.73786</v>
      </c>
      <c r="B766" s="63">
        <v>106.7205</v>
      </c>
      <c r="C766" s="63">
        <v>10.7179</v>
      </c>
      <c r="D766" s="63">
        <v>106.7369</v>
      </c>
      <c r="E766" s="64">
        <v>3.351</v>
      </c>
    </row>
    <row r="767" ht="22.5" customHeight="1">
      <c r="A767" s="66">
        <v>10.73786</v>
      </c>
      <c r="B767" s="67">
        <v>106.7205</v>
      </c>
      <c r="C767" s="67">
        <v>10.73186</v>
      </c>
      <c r="D767" s="67">
        <v>106.7079</v>
      </c>
      <c r="E767" s="68">
        <v>2.331</v>
      </c>
    </row>
    <row r="768" ht="22.5" customHeight="1">
      <c r="A768" s="61">
        <v>10.73786</v>
      </c>
      <c r="B768" s="63">
        <v>106.7205</v>
      </c>
      <c r="C768" s="63">
        <v>10.7325</v>
      </c>
      <c r="D768" s="63">
        <v>106.718</v>
      </c>
      <c r="E768" s="64">
        <v>2.423</v>
      </c>
    </row>
    <row r="769" ht="22.5" customHeight="1">
      <c r="A769" s="66">
        <v>10.73786</v>
      </c>
      <c r="B769" s="67">
        <v>106.7205</v>
      </c>
      <c r="C769" s="67">
        <v>10.73611</v>
      </c>
      <c r="D769" s="67">
        <v>106.6908</v>
      </c>
      <c r="E769" s="68">
        <v>5.752</v>
      </c>
    </row>
    <row r="770" ht="22.5" customHeight="1">
      <c r="A770" s="61">
        <v>10.73786</v>
      </c>
      <c r="B770" s="63">
        <v>106.7205</v>
      </c>
      <c r="C770" s="63">
        <v>10.73786</v>
      </c>
      <c r="D770" s="63">
        <v>106.7205</v>
      </c>
      <c r="E770" s="64">
        <v>0.519</v>
      </c>
    </row>
    <row r="771" ht="22.5" customHeight="1">
      <c r="A771" s="66">
        <v>10.73786</v>
      </c>
      <c r="B771" s="67">
        <v>106.7205</v>
      </c>
      <c r="C771" s="67">
        <v>10.73816</v>
      </c>
      <c r="D771" s="67">
        <v>106.7211</v>
      </c>
      <c r="E771" s="68">
        <v>0.047</v>
      </c>
    </row>
    <row r="772" ht="22.5" customHeight="1">
      <c r="A772" s="61">
        <v>10.73786</v>
      </c>
      <c r="B772" s="63">
        <v>106.7205</v>
      </c>
      <c r="C772" s="63">
        <v>10.73842</v>
      </c>
      <c r="D772" s="63">
        <v>106.7164</v>
      </c>
      <c r="E772" s="64">
        <v>0.877</v>
      </c>
    </row>
    <row r="773" ht="22.5" customHeight="1">
      <c r="A773" s="66">
        <v>10.73786</v>
      </c>
      <c r="B773" s="67">
        <v>106.7205</v>
      </c>
      <c r="C773" s="67">
        <v>10.74042</v>
      </c>
      <c r="D773" s="67">
        <v>106.7301</v>
      </c>
      <c r="E773" s="68">
        <v>2.364</v>
      </c>
    </row>
    <row r="774" ht="22.5" customHeight="1">
      <c r="A774" s="61">
        <v>10.73786</v>
      </c>
      <c r="B774" s="63">
        <v>106.7205</v>
      </c>
      <c r="C774" s="63">
        <v>10.74447</v>
      </c>
      <c r="D774" s="63">
        <v>106.711</v>
      </c>
      <c r="E774" s="64">
        <v>1.836</v>
      </c>
    </row>
    <row r="775" ht="22.5" customHeight="1">
      <c r="A775" s="66">
        <v>10.73786</v>
      </c>
      <c r="B775" s="67">
        <v>106.7205</v>
      </c>
      <c r="C775" s="67">
        <v>10.74627</v>
      </c>
      <c r="D775" s="67">
        <v>106.6776</v>
      </c>
      <c r="E775" s="68">
        <v>6.101</v>
      </c>
    </row>
    <row r="776" ht="22.5" customHeight="1">
      <c r="A776" s="61">
        <v>10.73786</v>
      </c>
      <c r="B776" s="63">
        <v>106.7205</v>
      </c>
      <c r="C776" s="63">
        <v>10.77509</v>
      </c>
      <c r="D776" s="63">
        <v>106.6727</v>
      </c>
      <c r="E776" s="64">
        <v>8.471</v>
      </c>
    </row>
    <row r="777" ht="22.5" customHeight="1">
      <c r="A777" s="66">
        <v>10.73805</v>
      </c>
      <c r="B777" s="67">
        <v>106.658</v>
      </c>
      <c r="C777" s="67">
        <v>10.7231</v>
      </c>
      <c r="D777" s="67">
        <v>106.6556</v>
      </c>
      <c r="E777" s="68">
        <v>1.8</v>
      </c>
    </row>
    <row r="778" ht="22.5" customHeight="1">
      <c r="A778" s="61">
        <v>10.73805</v>
      </c>
      <c r="B778" s="63">
        <v>106.658</v>
      </c>
      <c r="C778" s="63">
        <v>10.73002</v>
      </c>
      <c r="D778" s="63">
        <v>106.6559</v>
      </c>
      <c r="E778" s="64">
        <v>0.963</v>
      </c>
    </row>
    <row r="779" ht="22.5" customHeight="1">
      <c r="A779" s="66">
        <v>10.73805</v>
      </c>
      <c r="B779" s="67">
        <v>106.658</v>
      </c>
      <c r="C779" s="67">
        <v>10.73437</v>
      </c>
      <c r="D779" s="67">
        <v>106.6595</v>
      </c>
      <c r="E779" s="68">
        <v>0.904</v>
      </c>
    </row>
    <row r="780" ht="22.5" customHeight="1">
      <c r="A780" s="61">
        <v>10.73805</v>
      </c>
      <c r="B780" s="63">
        <v>106.658</v>
      </c>
      <c r="C780" s="63">
        <v>10.73842</v>
      </c>
      <c r="D780" s="63">
        <v>106.7164</v>
      </c>
      <c r="E780" s="64">
        <v>9.675</v>
      </c>
    </row>
    <row r="781" ht="22.5" customHeight="1">
      <c r="A781" s="66">
        <v>10.73805</v>
      </c>
      <c r="B781" s="67">
        <v>106.658</v>
      </c>
      <c r="C781" s="67">
        <v>10.7389</v>
      </c>
      <c r="D781" s="67">
        <v>106.67</v>
      </c>
      <c r="E781" s="68">
        <v>2.501</v>
      </c>
    </row>
    <row r="782" ht="22.5" customHeight="1">
      <c r="A782" s="61">
        <v>10.73812</v>
      </c>
      <c r="B782" s="63">
        <v>106.7243</v>
      </c>
      <c r="C782" s="63">
        <v>10.73842</v>
      </c>
      <c r="D782" s="63">
        <v>106.7164</v>
      </c>
      <c r="E782" s="64">
        <v>0.87</v>
      </c>
    </row>
    <row r="783" ht="22.5" customHeight="1">
      <c r="A783" s="66">
        <v>10.73816</v>
      </c>
      <c r="B783" s="67">
        <v>106.7211</v>
      </c>
      <c r="C783" s="67">
        <v>10.7179</v>
      </c>
      <c r="D783" s="67">
        <v>106.7369</v>
      </c>
      <c r="E783" s="68">
        <v>3.295</v>
      </c>
    </row>
    <row r="784" ht="22.5" customHeight="1">
      <c r="A784" s="61">
        <v>10.73816</v>
      </c>
      <c r="B784" s="63">
        <v>106.7211</v>
      </c>
      <c r="C784" s="63">
        <v>10.7231</v>
      </c>
      <c r="D784" s="63">
        <v>106.6556</v>
      </c>
      <c r="E784" s="64">
        <v>8.168</v>
      </c>
    </row>
    <row r="785" ht="22.5" customHeight="1">
      <c r="A785" s="66">
        <v>10.73816</v>
      </c>
      <c r="B785" s="67">
        <v>106.7211</v>
      </c>
      <c r="C785" s="67">
        <v>10.7301</v>
      </c>
      <c r="D785" s="67">
        <v>106.6763</v>
      </c>
      <c r="E785" s="68">
        <v>5.756</v>
      </c>
    </row>
    <row r="786" ht="22.5" customHeight="1">
      <c r="A786" s="61">
        <v>10.73816</v>
      </c>
      <c r="B786" s="63">
        <v>106.7211</v>
      </c>
      <c r="C786" s="63">
        <v>10.73786</v>
      </c>
      <c r="D786" s="63">
        <v>106.7205</v>
      </c>
      <c r="E786" s="64">
        <v>0.0</v>
      </c>
    </row>
    <row r="787" ht="22.5" customHeight="1">
      <c r="A787" s="66">
        <v>10.73816</v>
      </c>
      <c r="B787" s="67">
        <v>106.7211</v>
      </c>
      <c r="C787" s="67">
        <v>10.73842</v>
      </c>
      <c r="D787" s="67">
        <v>106.7164</v>
      </c>
      <c r="E787" s="68">
        <v>0.5</v>
      </c>
    </row>
    <row r="788" ht="22.5" customHeight="1">
      <c r="A788" s="61">
        <v>10.73816</v>
      </c>
      <c r="B788" s="63">
        <v>106.7211</v>
      </c>
      <c r="C788" s="63">
        <v>10.74447</v>
      </c>
      <c r="D788" s="63">
        <v>106.711</v>
      </c>
      <c r="E788" s="64">
        <v>1.898</v>
      </c>
    </row>
    <row r="789" ht="22.5" customHeight="1">
      <c r="A789" s="66">
        <v>10.73816</v>
      </c>
      <c r="B789" s="67">
        <v>106.7211</v>
      </c>
      <c r="C789" s="67">
        <v>10.77509</v>
      </c>
      <c r="D789" s="67">
        <v>106.6727</v>
      </c>
      <c r="E789" s="68">
        <v>8.9</v>
      </c>
    </row>
    <row r="790" ht="22.5" customHeight="1">
      <c r="A790" s="61">
        <v>10.73832</v>
      </c>
      <c r="B790" s="63">
        <v>106.7138</v>
      </c>
      <c r="C790" s="63">
        <v>10.73842</v>
      </c>
      <c r="D790" s="63">
        <v>106.7164</v>
      </c>
      <c r="E790" s="64">
        <v>1.758</v>
      </c>
    </row>
    <row r="791" ht="22.5" customHeight="1">
      <c r="A791" s="66">
        <v>10.73842</v>
      </c>
      <c r="B791" s="67">
        <v>106.7164</v>
      </c>
      <c r="C791" s="67">
        <v>10.68689</v>
      </c>
      <c r="D791" s="67">
        <v>106.7435</v>
      </c>
      <c r="E791" s="68">
        <v>8.1</v>
      </c>
    </row>
    <row r="792" ht="22.5" customHeight="1">
      <c r="A792" s="61">
        <v>10.73842</v>
      </c>
      <c r="B792" s="63">
        <v>106.7164</v>
      </c>
      <c r="C792" s="63">
        <v>10.69443</v>
      </c>
      <c r="D792" s="63">
        <v>106.7401</v>
      </c>
      <c r="E792" s="64">
        <v>6.4</v>
      </c>
    </row>
    <row r="793" ht="22.5" customHeight="1">
      <c r="A793" s="66">
        <v>10.73842</v>
      </c>
      <c r="B793" s="67">
        <v>106.7164</v>
      </c>
      <c r="C793" s="67">
        <v>10.70167</v>
      </c>
      <c r="D793" s="67">
        <v>106.7382</v>
      </c>
      <c r="E793" s="68">
        <v>5.6</v>
      </c>
    </row>
    <row r="794" ht="22.5" customHeight="1">
      <c r="A794" s="61">
        <v>10.73842</v>
      </c>
      <c r="B794" s="63">
        <v>106.7164</v>
      </c>
      <c r="C794" s="63">
        <v>10.71518</v>
      </c>
      <c r="D794" s="63">
        <v>106.7004</v>
      </c>
      <c r="E794" s="64">
        <v>6.5</v>
      </c>
    </row>
    <row r="795" ht="22.5" customHeight="1">
      <c r="A795" s="66">
        <v>10.73842</v>
      </c>
      <c r="B795" s="67">
        <v>106.7164</v>
      </c>
      <c r="C795" s="67">
        <v>10.71544</v>
      </c>
      <c r="D795" s="67">
        <v>106.7371</v>
      </c>
      <c r="E795" s="68">
        <v>4.3</v>
      </c>
    </row>
    <row r="796" ht="22.5" customHeight="1">
      <c r="A796" s="61">
        <v>10.73842</v>
      </c>
      <c r="B796" s="63">
        <v>106.7164</v>
      </c>
      <c r="C796" s="63">
        <v>10.71702</v>
      </c>
      <c r="D796" s="63">
        <v>106.6995</v>
      </c>
      <c r="E796" s="64">
        <v>6.4</v>
      </c>
    </row>
    <row r="797" ht="22.5" customHeight="1">
      <c r="A797" s="66">
        <v>10.73842</v>
      </c>
      <c r="B797" s="67">
        <v>106.7164</v>
      </c>
      <c r="C797" s="67">
        <v>10.7179</v>
      </c>
      <c r="D797" s="67">
        <v>106.7369</v>
      </c>
      <c r="E797" s="68">
        <v>4.0</v>
      </c>
    </row>
    <row r="798" ht="22.5" customHeight="1">
      <c r="A798" s="61">
        <v>10.73842</v>
      </c>
      <c r="B798" s="63">
        <v>106.7164</v>
      </c>
      <c r="C798" s="63">
        <v>10.71973</v>
      </c>
      <c r="D798" s="63">
        <v>106.7367</v>
      </c>
      <c r="E798" s="64">
        <v>3.7</v>
      </c>
    </row>
    <row r="799" ht="22.5" customHeight="1">
      <c r="A799" s="66">
        <v>10.73842</v>
      </c>
      <c r="B799" s="67">
        <v>106.7164</v>
      </c>
      <c r="C799" s="67">
        <v>10.72194</v>
      </c>
      <c r="D799" s="67">
        <v>106.7035</v>
      </c>
      <c r="E799" s="68">
        <v>6.2</v>
      </c>
    </row>
    <row r="800" ht="22.5" customHeight="1">
      <c r="A800" s="61">
        <v>10.73842</v>
      </c>
      <c r="B800" s="63">
        <v>106.7164</v>
      </c>
      <c r="C800" s="63">
        <v>10.72249</v>
      </c>
      <c r="D800" s="63">
        <v>106.7262</v>
      </c>
      <c r="E800" s="64">
        <v>2.7</v>
      </c>
    </row>
    <row r="801" ht="22.5" customHeight="1">
      <c r="A801" s="66">
        <v>10.73842</v>
      </c>
      <c r="B801" s="67">
        <v>106.7164</v>
      </c>
      <c r="C801" s="67">
        <v>10.72264</v>
      </c>
      <c r="D801" s="67">
        <v>106.7134</v>
      </c>
      <c r="E801" s="68">
        <v>3.1</v>
      </c>
    </row>
    <row r="802" ht="22.5" customHeight="1">
      <c r="A802" s="61">
        <v>10.73842</v>
      </c>
      <c r="B802" s="63">
        <v>106.7164</v>
      </c>
      <c r="C802" s="63">
        <v>10.726</v>
      </c>
      <c r="D802" s="63">
        <v>106.724</v>
      </c>
      <c r="E802" s="64">
        <v>1.9</v>
      </c>
    </row>
    <row r="803" ht="22.5" customHeight="1">
      <c r="A803" s="66">
        <v>10.73842</v>
      </c>
      <c r="B803" s="67">
        <v>106.7164</v>
      </c>
      <c r="C803" s="67">
        <v>10.726</v>
      </c>
      <c r="D803" s="67">
        <v>106.7239</v>
      </c>
      <c r="E803" s="68">
        <v>1.9</v>
      </c>
    </row>
    <row r="804" ht="22.5" customHeight="1">
      <c r="A804" s="61">
        <v>10.73842</v>
      </c>
      <c r="B804" s="63">
        <v>106.7164</v>
      </c>
      <c r="C804" s="63">
        <v>10.72628</v>
      </c>
      <c r="D804" s="63">
        <v>106.712</v>
      </c>
      <c r="E804" s="64">
        <v>3.1</v>
      </c>
    </row>
    <row r="805" ht="22.5" customHeight="1">
      <c r="A805" s="66">
        <v>10.73842</v>
      </c>
      <c r="B805" s="67">
        <v>106.7164</v>
      </c>
      <c r="C805" s="67">
        <v>10.72751</v>
      </c>
      <c r="D805" s="67">
        <v>106.7203</v>
      </c>
      <c r="E805" s="68">
        <v>1.7</v>
      </c>
    </row>
    <row r="806" ht="22.5" customHeight="1">
      <c r="A806" s="61">
        <v>10.73842</v>
      </c>
      <c r="B806" s="63">
        <v>106.7164</v>
      </c>
      <c r="C806" s="63">
        <v>10.72795</v>
      </c>
      <c r="D806" s="63">
        <v>106.708</v>
      </c>
      <c r="E806" s="64">
        <v>2.7</v>
      </c>
    </row>
    <row r="807" ht="22.5" customHeight="1">
      <c r="A807" s="66">
        <v>10.73842</v>
      </c>
      <c r="B807" s="67">
        <v>106.7164</v>
      </c>
      <c r="C807" s="67">
        <v>10.72928</v>
      </c>
      <c r="D807" s="67">
        <v>106.7057</v>
      </c>
      <c r="E807" s="68">
        <v>2.7</v>
      </c>
    </row>
    <row r="808" ht="22.5" customHeight="1">
      <c r="A808" s="61">
        <v>10.73842</v>
      </c>
      <c r="B808" s="63">
        <v>106.7164</v>
      </c>
      <c r="C808" s="63">
        <v>10.72943</v>
      </c>
      <c r="D808" s="63">
        <v>106.7044</v>
      </c>
      <c r="E808" s="64">
        <v>2.9</v>
      </c>
    </row>
    <row r="809" ht="22.5" customHeight="1">
      <c r="A809" s="66">
        <v>10.73842</v>
      </c>
      <c r="B809" s="67">
        <v>106.7164</v>
      </c>
      <c r="C809" s="67">
        <v>10.72957</v>
      </c>
      <c r="D809" s="67">
        <v>106.7082</v>
      </c>
      <c r="E809" s="68">
        <v>2.5</v>
      </c>
    </row>
    <row r="810" ht="22.5" customHeight="1">
      <c r="A810" s="61">
        <v>10.73842</v>
      </c>
      <c r="B810" s="63">
        <v>106.7164</v>
      </c>
      <c r="C810" s="63">
        <v>10.73088</v>
      </c>
      <c r="D810" s="63">
        <v>106.7236</v>
      </c>
      <c r="E810" s="64">
        <v>1.7</v>
      </c>
    </row>
    <row r="811" ht="22.5" customHeight="1">
      <c r="A811" s="66">
        <v>10.73842</v>
      </c>
      <c r="B811" s="67">
        <v>106.7164</v>
      </c>
      <c r="C811" s="67">
        <v>10.73186</v>
      </c>
      <c r="D811" s="67">
        <v>106.7079</v>
      </c>
      <c r="E811" s="68">
        <v>2.3</v>
      </c>
    </row>
    <row r="812" ht="22.5" customHeight="1">
      <c r="A812" s="61">
        <v>10.73842</v>
      </c>
      <c r="B812" s="63">
        <v>106.7164</v>
      </c>
      <c r="C812" s="63">
        <v>10.7325</v>
      </c>
      <c r="D812" s="63">
        <v>106.718</v>
      </c>
      <c r="E812" s="64">
        <v>1.1</v>
      </c>
    </row>
    <row r="813" ht="22.5" customHeight="1">
      <c r="A813" s="66">
        <v>10.73842</v>
      </c>
      <c r="B813" s="67">
        <v>106.7164</v>
      </c>
      <c r="C813" s="67">
        <v>10.73347</v>
      </c>
      <c r="D813" s="67">
        <v>106.7102</v>
      </c>
      <c r="E813" s="68">
        <v>1.9</v>
      </c>
    </row>
    <row r="814" ht="22.5" customHeight="1">
      <c r="A814" s="61">
        <v>10.73842</v>
      </c>
      <c r="B814" s="63">
        <v>106.7164</v>
      </c>
      <c r="C814" s="63">
        <v>10.73603</v>
      </c>
      <c r="D814" s="63">
        <v>106.7183</v>
      </c>
      <c r="E814" s="64">
        <v>0.6</v>
      </c>
    </row>
    <row r="815" ht="22.5" customHeight="1">
      <c r="A815" s="66">
        <v>10.73842</v>
      </c>
      <c r="B815" s="67">
        <v>106.7164</v>
      </c>
      <c r="C815" s="67">
        <v>10.73672</v>
      </c>
      <c r="D815" s="67">
        <v>106.7089</v>
      </c>
      <c r="E815" s="68">
        <v>1.0</v>
      </c>
    </row>
    <row r="816" ht="22.5" customHeight="1">
      <c r="A816" s="61">
        <v>10.73842</v>
      </c>
      <c r="B816" s="63">
        <v>106.7164</v>
      </c>
      <c r="C816" s="63">
        <v>10.73733</v>
      </c>
      <c r="D816" s="63">
        <v>106.7242</v>
      </c>
      <c r="E816" s="64">
        <v>1.1</v>
      </c>
    </row>
    <row r="817" ht="22.5" customHeight="1">
      <c r="A817" s="66">
        <v>10.73842</v>
      </c>
      <c r="B817" s="67">
        <v>106.7164</v>
      </c>
      <c r="C817" s="67">
        <v>10.73771</v>
      </c>
      <c r="D817" s="67">
        <v>106.7066</v>
      </c>
      <c r="E817" s="68">
        <v>1.2</v>
      </c>
    </row>
    <row r="818" ht="22.5" customHeight="1">
      <c r="A818" s="61">
        <v>10.73842</v>
      </c>
      <c r="B818" s="63">
        <v>106.7164</v>
      </c>
      <c r="C818" s="63">
        <v>10.73784</v>
      </c>
      <c r="D818" s="63">
        <v>106.7033</v>
      </c>
      <c r="E818" s="64">
        <v>1.7</v>
      </c>
    </row>
    <row r="819" ht="22.5" customHeight="1">
      <c r="A819" s="66">
        <v>10.73842</v>
      </c>
      <c r="B819" s="67">
        <v>106.7164</v>
      </c>
      <c r="C819" s="67">
        <v>10.73786</v>
      </c>
      <c r="D819" s="67">
        <v>106.7205</v>
      </c>
      <c r="E819" s="68">
        <v>0.6</v>
      </c>
    </row>
    <row r="820" ht="22.5" customHeight="1">
      <c r="A820" s="61">
        <v>10.73842</v>
      </c>
      <c r="B820" s="63">
        <v>106.7164</v>
      </c>
      <c r="C820" s="63">
        <v>10.73816</v>
      </c>
      <c r="D820" s="63">
        <v>106.7211</v>
      </c>
      <c r="E820" s="64">
        <v>0.8</v>
      </c>
    </row>
    <row r="821" ht="22.5" customHeight="1">
      <c r="A821" s="66">
        <v>10.73842</v>
      </c>
      <c r="B821" s="67">
        <v>106.7164</v>
      </c>
      <c r="C821" s="67">
        <v>10.73842</v>
      </c>
      <c r="D821" s="67">
        <v>106.7164</v>
      </c>
      <c r="E821" s="68">
        <v>0.0</v>
      </c>
    </row>
    <row r="822" ht="22.5" customHeight="1">
      <c r="A822" s="61">
        <v>10.73842</v>
      </c>
      <c r="B822" s="63">
        <v>106.7164</v>
      </c>
      <c r="C822" s="63">
        <v>10.74042</v>
      </c>
      <c r="D822" s="63">
        <v>106.7301</v>
      </c>
      <c r="E822" s="64">
        <v>2.0</v>
      </c>
    </row>
    <row r="823" ht="22.5" customHeight="1">
      <c r="A823" s="66">
        <v>10.73842</v>
      </c>
      <c r="B823" s="67">
        <v>106.7164</v>
      </c>
      <c r="C823" s="67">
        <v>10.74068</v>
      </c>
      <c r="D823" s="67">
        <v>106.7064</v>
      </c>
      <c r="E823" s="68">
        <v>1.2</v>
      </c>
    </row>
    <row r="824" ht="22.5" customHeight="1">
      <c r="A824" s="61">
        <v>10.73842</v>
      </c>
      <c r="B824" s="63">
        <v>106.7164</v>
      </c>
      <c r="C824" s="63">
        <v>10.74243</v>
      </c>
      <c r="D824" s="63">
        <v>106.6996</v>
      </c>
      <c r="E824" s="64">
        <v>2.1</v>
      </c>
    </row>
    <row r="825" ht="22.5" customHeight="1">
      <c r="A825" s="66">
        <v>10.73842</v>
      </c>
      <c r="B825" s="67">
        <v>106.7164</v>
      </c>
      <c r="C825" s="67">
        <v>10.74447</v>
      </c>
      <c r="D825" s="67">
        <v>106.711</v>
      </c>
      <c r="E825" s="68">
        <v>1.4</v>
      </c>
    </row>
    <row r="826" ht="22.5" customHeight="1">
      <c r="A826" s="61">
        <v>10.73842</v>
      </c>
      <c r="B826" s="63">
        <v>106.7164</v>
      </c>
      <c r="C826" s="63">
        <v>10.74504</v>
      </c>
      <c r="D826" s="63">
        <v>106.7125</v>
      </c>
      <c r="E826" s="64">
        <v>1.2</v>
      </c>
    </row>
    <row r="827" ht="22.5" customHeight="1">
      <c r="A827" s="66">
        <v>10.73842</v>
      </c>
      <c r="B827" s="67">
        <v>106.7164</v>
      </c>
      <c r="C827" s="67">
        <v>10.74761</v>
      </c>
      <c r="D827" s="67">
        <v>106.689</v>
      </c>
      <c r="E827" s="68">
        <v>4.111</v>
      </c>
    </row>
    <row r="828" ht="22.5" customHeight="1">
      <c r="A828" s="61">
        <v>10.73842</v>
      </c>
      <c r="B828" s="63">
        <v>106.7164</v>
      </c>
      <c r="C828" s="63">
        <v>10.75123</v>
      </c>
      <c r="D828" s="63">
        <v>106.6964</v>
      </c>
      <c r="E828" s="64">
        <v>3.5</v>
      </c>
    </row>
    <row r="829" ht="22.5" customHeight="1">
      <c r="A829" s="66">
        <v>10.73842</v>
      </c>
      <c r="B829" s="67">
        <v>106.7164</v>
      </c>
      <c r="C829" s="67">
        <v>10.75203</v>
      </c>
      <c r="D829" s="67">
        <v>106.7284</v>
      </c>
      <c r="E829" s="68">
        <v>2.8</v>
      </c>
    </row>
    <row r="830" ht="22.5" customHeight="1">
      <c r="A830" s="61">
        <v>10.73842</v>
      </c>
      <c r="B830" s="63">
        <v>106.7164</v>
      </c>
      <c r="C830" s="63">
        <v>10.75545</v>
      </c>
      <c r="D830" s="63">
        <v>106.7244</v>
      </c>
      <c r="E830" s="64">
        <v>2.7</v>
      </c>
    </row>
    <row r="831" ht="22.5" customHeight="1">
      <c r="A831" s="66">
        <v>10.73842</v>
      </c>
      <c r="B831" s="67">
        <v>106.7164</v>
      </c>
      <c r="C831" s="67">
        <v>10.75973</v>
      </c>
      <c r="D831" s="67">
        <v>106.6989</v>
      </c>
      <c r="E831" s="68">
        <v>4.064</v>
      </c>
    </row>
    <row r="832" ht="22.5" customHeight="1">
      <c r="A832" s="61">
        <v>10.73842</v>
      </c>
      <c r="B832" s="63">
        <v>106.7164</v>
      </c>
      <c r="C832" s="63">
        <v>10.77509</v>
      </c>
      <c r="D832" s="63">
        <v>106.6727</v>
      </c>
      <c r="E832" s="64">
        <v>8.1</v>
      </c>
    </row>
    <row r="833" ht="22.5" customHeight="1">
      <c r="A833" s="66">
        <v>10.7389</v>
      </c>
      <c r="B833" s="67">
        <v>106.67</v>
      </c>
      <c r="C833" s="67">
        <v>10.7231</v>
      </c>
      <c r="D833" s="67">
        <v>106.6556</v>
      </c>
      <c r="E833" s="68">
        <v>3.3</v>
      </c>
    </row>
    <row r="834" ht="22.5" customHeight="1">
      <c r="A834" s="61">
        <v>10.7389</v>
      </c>
      <c r="B834" s="63">
        <v>106.67</v>
      </c>
      <c r="C834" s="63">
        <v>10.72431</v>
      </c>
      <c r="D834" s="63">
        <v>106.6452</v>
      </c>
      <c r="E834" s="64">
        <v>4.2</v>
      </c>
    </row>
    <row r="835" ht="22.5" customHeight="1">
      <c r="A835" s="66">
        <v>10.7389</v>
      </c>
      <c r="B835" s="67">
        <v>106.67</v>
      </c>
      <c r="C835" s="67">
        <v>10.72862</v>
      </c>
      <c r="D835" s="67">
        <v>106.6774</v>
      </c>
      <c r="E835" s="68">
        <v>1.5</v>
      </c>
    </row>
    <row r="836" ht="22.5" customHeight="1">
      <c r="A836" s="61">
        <v>10.7389</v>
      </c>
      <c r="B836" s="63">
        <v>106.67</v>
      </c>
      <c r="C836" s="63">
        <v>10.73002</v>
      </c>
      <c r="D836" s="63">
        <v>106.6559</v>
      </c>
      <c r="E836" s="64">
        <v>2.5</v>
      </c>
    </row>
    <row r="837" ht="22.5" customHeight="1">
      <c r="A837" s="66">
        <v>10.7389</v>
      </c>
      <c r="B837" s="67">
        <v>106.67</v>
      </c>
      <c r="C837" s="67">
        <v>10.7301</v>
      </c>
      <c r="D837" s="67">
        <v>106.6763</v>
      </c>
      <c r="E837" s="68">
        <v>1.4</v>
      </c>
    </row>
    <row r="838" ht="22.5" customHeight="1">
      <c r="A838" s="61">
        <v>10.7389</v>
      </c>
      <c r="B838" s="63">
        <v>106.67</v>
      </c>
      <c r="C838" s="63">
        <v>10.73437</v>
      </c>
      <c r="D838" s="63">
        <v>106.6595</v>
      </c>
      <c r="E838" s="64">
        <v>1.7</v>
      </c>
    </row>
    <row r="839" ht="22.5" customHeight="1">
      <c r="A839" s="66">
        <v>10.7389</v>
      </c>
      <c r="B839" s="67">
        <v>106.67</v>
      </c>
      <c r="C839" s="67">
        <v>10.73635</v>
      </c>
      <c r="D839" s="67">
        <v>106.6714</v>
      </c>
      <c r="E839" s="68">
        <v>0.5</v>
      </c>
    </row>
    <row r="840" ht="22.5" customHeight="1">
      <c r="A840" s="61">
        <v>10.7389</v>
      </c>
      <c r="B840" s="63">
        <v>106.67</v>
      </c>
      <c r="C840" s="63">
        <v>10.73805</v>
      </c>
      <c r="D840" s="63">
        <v>106.658</v>
      </c>
      <c r="E840" s="64">
        <v>2.1</v>
      </c>
    </row>
    <row r="841" ht="22.5" customHeight="1">
      <c r="A841" s="66">
        <v>10.7389</v>
      </c>
      <c r="B841" s="67">
        <v>106.67</v>
      </c>
      <c r="C841" s="67">
        <v>10.73836</v>
      </c>
      <c r="D841" s="67">
        <v>106.6753</v>
      </c>
      <c r="E841" s="68">
        <v>1.469</v>
      </c>
    </row>
    <row r="842" ht="22.5" customHeight="1">
      <c r="A842" s="61">
        <v>10.7389</v>
      </c>
      <c r="B842" s="63">
        <v>106.67</v>
      </c>
      <c r="C842" s="63">
        <v>10.7389</v>
      </c>
      <c r="D842" s="63">
        <v>106.67</v>
      </c>
      <c r="E842" s="64">
        <v>0.002</v>
      </c>
    </row>
    <row r="843" ht="22.5" customHeight="1">
      <c r="A843" s="66">
        <v>10.7389</v>
      </c>
      <c r="B843" s="67">
        <v>106.67</v>
      </c>
      <c r="C843" s="67">
        <v>10.73931</v>
      </c>
      <c r="D843" s="67">
        <v>106.7058</v>
      </c>
      <c r="E843" s="68">
        <v>5.0</v>
      </c>
    </row>
    <row r="844" ht="22.5" customHeight="1">
      <c r="A844" s="61">
        <v>10.7389</v>
      </c>
      <c r="B844" s="63">
        <v>106.67</v>
      </c>
      <c r="C844" s="63">
        <v>10.74131</v>
      </c>
      <c r="D844" s="63">
        <v>106.6863</v>
      </c>
      <c r="E844" s="64">
        <v>2.4</v>
      </c>
    </row>
    <row r="845" ht="22.5" customHeight="1">
      <c r="A845" s="66">
        <v>10.7389</v>
      </c>
      <c r="B845" s="67">
        <v>106.67</v>
      </c>
      <c r="C845" s="67">
        <v>10.74167</v>
      </c>
      <c r="D845" s="67">
        <v>106.6764</v>
      </c>
      <c r="E845" s="68">
        <v>1.5</v>
      </c>
    </row>
    <row r="846" ht="22.5" customHeight="1">
      <c r="A846" s="61">
        <v>10.7389</v>
      </c>
      <c r="B846" s="63">
        <v>106.67</v>
      </c>
      <c r="C846" s="63">
        <v>10.74183</v>
      </c>
      <c r="D846" s="63">
        <v>106.6769</v>
      </c>
      <c r="E846" s="64">
        <v>1.4</v>
      </c>
    </row>
    <row r="847" ht="22.5" customHeight="1">
      <c r="A847" s="66">
        <v>10.7389</v>
      </c>
      <c r="B847" s="67">
        <v>106.67</v>
      </c>
      <c r="C847" s="67">
        <v>10.74761</v>
      </c>
      <c r="D847" s="67">
        <v>106.689</v>
      </c>
      <c r="E847" s="68">
        <v>4.77</v>
      </c>
    </row>
    <row r="848" ht="22.5" customHeight="1">
      <c r="A848" s="61">
        <v>10.7389</v>
      </c>
      <c r="B848" s="63">
        <v>106.67</v>
      </c>
      <c r="C848" s="63">
        <v>10.74874</v>
      </c>
      <c r="D848" s="63">
        <v>106.6717</v>
      </c>
      <c r="E848" s="64">
        <v>1.4</v>
      </c>
    </row>
    <row r="849" ht="22.5" customHeight="1">
      <c r="A849" s="66">
        <v>10.7389</v>
      </c>
      <c r="B849" s="67">
        <v>106.67</v>
      </c>
      <c r="C849" s="67">
        <v>10.75094</v>
      </c>
      <c r="D849" s="67">
        <v>106.6595</v>
      </c>
      <c r="E849" s="68">
        <v>3.0</v>
      </c>
    </row>
    <row r="850" ht="22.5" customHeight="1">
      <c r="A850" s="61">
        <v>10.7389</v>
      </c>
      <c r="B850" s="63">
        <v>106.67</v>
      </c>
      <c r="C850" s="63">
        <v>10.75327</v>
      </c>
      <c r="D850" s="63">
        <v>106.6539</v>
      </c>
      <c r="E850" s="64">
        <v>4.0</v>
      </c>
    </row>
    <row r="851" ht="22.5" customHeight="1">
      <c r="A851" s="66">
        <v>10.7389</v>
      </c>
      <c r="B851" s="67">
        <v>106.67</v>
      </c>
      <c r="C851" s="67">
        <v>10.75417</v>
      </c>
      <c r="D851" s="67">
        <v>106.6783</v>
      </c>
      <c r="E851" s="68">
        <v>2.6</v>
      </c>
    </row>
    <row r="852" ht="22.5" customHeight="1">
      <c r="A852" s="61">
        <v>10.7389</v>
      </c>
      <c r="B852" s="63">
        <v>106.67</v>
      </c>
      <c r="C852" s="63">
        <v>10.75424</v>
      </c>
      <c r="D852" s="63">
        <v>106.6716</v>
      </c>
      <c r="E852" s="64">
        <v>1.9</v>
      </c>
    </row>
    <row r="853" ht="22.5" customHeight="1">
      <c r="A853" s="66">
        <v>10.7389</v>
      </c>
      <c r="B853" s="67">
        <v>106.67</v>
      </c>
      <c r="C853" s="67">
        <v>10.755</v>
      </c>
      <c r="D853" s="67">
        <v>106.6705</v>
      </c>
      <c r="E853" s="68">
        <v>1.9</v>
      </c>
    </row>
    <row r="854" ht="22.5" customHeight="1">
      <c r="A854" s="61">
        <v>10.7389</v>
      </c>
      <c r="B854" s="63">
        <v>106.67</v>
      </c>
      <c r="C854" s="63">
        <v>10.75505</v>
      </c>
      <c r="D854" s="63">
        <v>106.681</v>
      </c>
      <c r="E854" s="64">
        <v>2.9</v>
      </c>
    </row>
    <row r="855" ht="22.5" customHeight="1">
      <c r="A855" s="66">
        <v>10.7389</v>
      </c>
      <c r="B855" s="67">
        <v>106.67</v>
      </c>
      <c r="C855" s="67">
        <v>10.75536</v>
      </c>
      <c r="D855" s="67">
        <v>106.6645</v>
      </c>
      <c r="E855" s="68">
        <v>2.7</v>
      </c>
    </row>
    <row r="856" ht="22.5" customHeight="1">
      <c r="A856" s="61">
        <v>10.7389</v>
      </c>
      <c r="B856" s="63">
        <v>106.67</v>
      </c>
      <c r="C856" s="63">
        <v>10.75599</v>
      </c>
      <c r="D856" s="63">
        <v>106.6825</v>
      </c>
      <c r="E856" s="64">
        <v>3.3</v>
      </c>
    </row>
    <row r="857" ht="22.5" customHeight="1">
      <c r="A857" s="66">
        <v>10.7389</v>
      </c>
      <c r="B857" s="67">
        <v>106.67</v>
      </c>
      <c r="C857" s="67">
        <v>10.7569</v>
      </c>
      <c r="D857" s="67">
        <v>106.6739</v>
      </c>
      <c r="E857" s="68">
        <v>2.4</v>
      </c>
    </row>
    <row r="858" ht="22.5" customHeight="1">
      <c r="A858" s="61">
        <v>10.7389</v>
      </c>
      <c r="B858" s="63">
        <v>106.67</v>
      </c>
      <c r="C858" s="63">
        <v>10.759</v>
      </c>
      <c r="D858" s="63">
        <v>106.6681</v>
      </c>
      <c r="E858" s="64">
        <v>2.6</v>
      </c>
    </row>
    <row r="859" ht="22.5" customHeight="1">
      <c r="A859" s="66">
        <v>10.7389</v>
      </c>
      <c r="B859" s="67">
        <v>106.67</v>
      </c>
      <c r="C859" s="67">
        <v>10.76024</v>
      </c>
      <c r="D859" s="67">
        <v>106.671</v>
      </c>
      <c r="E859" s="68">
        <v>2.6</v>
      </c>
    </row>
    <row r="860" ht="22.5" customHeight="1">
      <c r="A860" s="61">
        <v>10.7389</v>
      </c>
      <c r="B860" s="63">
        <v>106.67</v>
      </c>
      <c r="C860" s="63">
        <v>10.77509</v>
      </c>
      <c r="D860" s="63">
        <v>106.6727</v>
      </c>
      <c r="E860" s="64">
        <v>4.6</v>
      </c>
    </row>
    <row r="861" ht="22.5" customHeight="1">
      <c r="A861" s="66">
        <v>10.7389</v>
      </c>
      <c r="B861" s="67">
        <v>106.67</v>
      </c>
      <c r="C861" s="67">
        <v>10.81094</v>
      </c>
      <c r="D861" s="67">
        <v>106.611</v>
      </c>
      <c r="E861" s="68">
        <v>13.6</v>
      </c>
    </row>
    <row r="862" ht="22.5" customHeight="1">
      <c r="A862" s="61">
        <v>10.73897</v>
      </c>
      <c r="B862" s="63">
        <v>106.6149</v>
      </c>
      <c r="C862" s="63">
        <v>10.65412</v>
      </c>
      <c r="D862" s="63">
        <v>106.5867</v>
      </c>
      <c r="E862" s="64">
        <v>12.878</v>
      </c>
    </row>
    <row r="863" ht="22.5" customHeight="1">
      <c r="A863" s="66">
        <v>10.73897</v>
      </c>
      <c r="B863" s="67">
        <v>106.6149</v>
      </c>
      <c r="C863" s="67">
        <v>10.65647</v>
      </c>
      <c r="D863" s="67">
        <v>106.5841</v>
      </c>
      <c r="E863" s="68">
        <v>11.629</v>
      </c>
    </row>
    <row r="864" ht="22.5" customHeight="1">
      <c r="A864" s="61">
        <v>10.73897</v>
      </c>
      <c r="B864" s="63">
        <v>106.6149</v>
      </c>
      <c r="C864" s="63">
        <v>10.7252</v>
      </c>
      <c r="D864" s="63">
        <v>106.6094</v>
      </c>
      <c r="E864" s="64">
        <v>2.19</v>
      </c>
    </row>
    <row r="865" ht="22.5" customHeight="1">
      <c r="A865" s="66">
        <v>10.73897</v>
      </c>
      <c r="B865" s="67">
        <v>106.6149</v>
      </c>
      <c r="C865" s="67">
        <v>10.73335</v>
      </c>
      <c r="D865" s="67">
        <v>106.6088</v>
      </c>
      <c r="E865" s="68">
        <v>1.582</v>
      </c>
    </row>
    <row r="866" ht="22.5" customHeight="1">
      <c r="A866" s="61">
        <v>10.73897</v>
      </c>
      <c r="B866" s="63">
        <v>106.6149</v>
      </c>
      <c r="C866" s="63">
        <v>10.73905</v>
      </c>
      <c r="D866" s="63">
        <v>106.6327</v>
      </c>
      <c r="E866" s="64">
        <v>2.915</v>
      </c>
    </row>
    <row r="867" ht="22.5" customHeight="1">
      <c r="A867" s="66">
        <v>10.73897</v>
      </c>
      <c r="B867" s="67">
        <v>106.6149</v>
      </c>
      <c r="C867" s="67">
        <v>10.73908</v>
      </c>
      <c r="D867" s="67">
        <v>106.6149</v>
      </c>
      <c r="E867" s="68">
        <v>0.004</v>
      </c>
    </row>
    <row r="868" ht="22.5" customHeight="1">
      <c r="A868" s="61">
        <v>10.73897</v>
      </c>
      <c r="B868" s="63">
        <v>106.6149</v>
      </c>
      <c r="C868" s="63">
        <v>10.7444</v>
      </c>
      <c r="D868" s="63">
        <v>106.6304</v>
      </c>
      <c r="E868" s="64">
        <v>2.719</v>
      </c>
    </row>
    <row r="869" ht="22.5" customHeight="1">
      <c r="A869" s="66">
        <v>10.73897</v>
      </c>
      <c r="B869" s="67">
        <v>106.6149</v>
      </c>
      <c r="C869" s="67">
        <v>10.74602</v>
      </c>
      <c r="D869" s="67">
        <v>106.6123</v>
      </c>
      <c r="E869" s="68">
        <v>1.261</v>
      </c>
    </row>
    <row r="870" ht="22.5" customHeight="1">
      <c r="A870" s="61">
        <v>10.73897</v>
      </c>
      <c r="B870" s="63">
        <v>106.6149</v>
      </c>
      <c r="C870" s="63">
        <v>10.74672</v>
      </c>
      <c r="D870" s="63">
        <v>106.6132</v>
      </c>
      <c r="E870" s="64">
        <v>1.387</v>
      </c>
    </row>
    <row r="871" ht="22.5" customHeight="1">
      <c r="A871" s="66">
        <v>10.73897</v>
      </c>
      <c r="B871" s="67">
        <v>106.6149</v>
      </c>
      <c r="C871" s="67">
        <v>10.75153</v>
      </c>
      <c r="D871" s="67">
        <v>106.6116</v>
      </c>
      <c r="E871" s="68">
        <v>1.607</v>
      </c>
    </row>
    <row r="872" ht="22.5" customHeight="1">
      <c r="A872" s="61">
        <v>10.73897</v>
      </c>
      <c r="B872" s="63">
        <v>106.6149</v>
      </c>
      <c r="C872" s="63">
        <v>10.75168</v>
      </c>
      <c r="D872" s="63">
        <v>106.6103</v>
      </c>
      <c r="E872" s="64">
        <v>1.589</v>
      </c>
    </row>
    <row r="873" ht="22.5" customHeight="1">
      <c r="A873" s="66">
        <v>10.73897</v>
      </c>
      <c r="B873" s="67">
        <v>106.6149</v>
      </c>
      <c r="C873" s="67">
        <v>10.75191</v>
      </c>
      <c r="D873" s="67">
        <v>106.6006</v>
      </c>
      <c r="E873" s="68">
        <v>2.655</v>
      </c>
    </row>
    <row r="874" ht="22.5" customHeight="1">
      <c r="A874" s="61">
        <v>10.73897</v>
      </c>
      <c r="B874" s="63">
        <v>106.6149</v>
      </c>
      <c r="C874" s="63">
        <v>10.75297</v>
      </c>
      <c r="D874" s="63">
        <v>106.6034</v>
      </c>
      <c r="E874" s="64">
        <v>2.404</v>
      </c>
    </row>
    <row r="875" ht="22.5" customHeight="1">
      <c r="A875" s="66">
        <v>10.73897</v>
      </c>
      <c r="B875" s="67">
        <v>106.6149</v>
      </c>
      <c r="C875" s="67">
        <v>10.75587</v>
      </c>
      <c r="D875" s="67">
        <v>106.5924</v>
      </c>
      <c r="E875" s="68">
        <v>4.157</v>
      </c>
    </row>
    <row r="876" ht="22.5" customHeight="1">
      <c r="A876" s="61">
        <v>10.73897</v>
      </c>
      <c r="B876" s="63">
        <v>106.6149</v>
      </c>
      <c r="C876" s="63">
        <v>10.75591</v>
      </c>
      <c r="D876" s="63">
        <v>106.611</v>
      </c>
      <c r="E876" s="64">
        <v>2.042</v>
      </c>
    </row>
    <row r="877" ht="22.5" customHeight="1">
      <c r="A877" s="66">
        <v>10.73897</v>
      </c>
      <c r="B877" s="67">
        <v>106.6149</v>
      </c>
      <c r="C877" s="67">
        <v>10.75644</v>
      </c>
      <c r="D877" s="67">
        <v>106.5914</v>
      </c>
      <c r="E877" s="68">
        <v>7.681</v>
      </c>
    </row>
    <row r="878" ht="22.5" customHeight="1">
      <c r="A878" s="61">
        <v>10.73897</v>
      </c>
      <c r="B878" s="63">
        <v>106.6149</v>
      </c>
      <c r="C878" s="63">
        <v>10.76707</v>
      </c>
      <c r="D878" s="63">
        <v>106.6493</v>
      </c>
      <c r="E878" s="64">
        <v>5.859</v>
      </c>
    </row>
    <row r="879" ht="22.5" customHeight="1">
      <c r="A879" s="66">
        <v>10.73897</v>
      </c>
      <c r="B879" s="67">
        <v>106.6149</v>
      </c>
      <c r="C879" s="67">
        <v>10.76809</v>
      </c>
      <c r="D879" s="67">
        <v>106.6092</v>
      </c>
      <c r="E879" s="68">
        <v>3.39</v>
      </c>
    </row>
    <row r="880" ht="22.5" customHeight="1">
      <c r="A880" s="61">
        <v>10.73897</v>
      </c>
      <c r="B880" s="63">
        <v>106.6149</v>
      </c>
      <c r="C880" s="63">
        <v>10.77167</v>
      </c>
      <c r="D880" s="63">
        <v>106.5865</v>
      </c>
      <c r="E880" s="64">
        <v>6.323</v>
      </c>
    </row>
    <row r="881" ht="22.5" customHeight="1">
      <c r="A881" s="66">
        <v>10.73897</v>
      </c>
      <c r="B881" s="67">
        <v>106.6149</v>
      </c>
      <c r="C881" s="67">
        <v>10.77509</v>
      </c>
      <c r="D881" s="67">
        <v>106.6727</v>
      </c>
      <c r="E881" s="68">
        <v>8.542</v>
      </c>
    </row>
    <row r="882" ht="22.5" customHeight="1">
      <c r="A882" s="61">
        <v>10.73897</v>
      </c>
      <c r="B882" s="63">
        <v>106.6149</v>
      </c>
      <c r="C882" s="63">
        <v>10.77584</v>
      </c>
      <c r="D882" s="63">
        <v>106.6133</v>
      </c>
      <c r="E882" s="64">
        <v>4.708</v>
      </c>
    </row>
    <row r="883" ht="22.5" customHeight="1">
      <c r="A883" s="66">
        <v>10.73897</v>
      </c>
      <c r="B883" s="67">
        <v>106.6149</v>
      </c>
      <c r="C883" s="67">
        <v>10.77618</v>
      </c>
      <c r="D883" s="67">
        <v>106.607</v>
      </c>
      <c r="E883" s="68">
        <v>4.677</v>
      </c>
    </row>
    <row r="884" ht="22.5" customHeight="1">
      <c r="A884" s="61">
        <v>10.73897</v>
      </c>
      <c r="B884" s="63">
        <v>106.6149</v>
      </c>
      <c r="C884" s="63">
        <v>10.7765</v>
      </c>
      <c r="D884" s="63">
        <v>106.6028</v>
      </c>
      <c r="E884" s="64">
        <v>4.973</v>
      </c>
    </row>
    <row r="885" ht="22.5" customHeight="1">
      <c r="A885" s="66">
        <v>10.73897</v>
      </c>
      <c r="B885" s="67">
        <v>106.6149</v>
      </c>
      <c r="C885" s="67">
        <v>10.77656</v>
      </c>
      <c r="D885" s="67">
        <v>106.6049</v>
      </c>
      <c r="E885" s="68">
        <v>4.691</v>
      </c>
    </row>
    <row r="886" ht="22.5" customHeight="1">
      <c r="A886" s="61">
        <v>10.73897</v>
      </c>
      <c r="B886" s="63">
        <v>106.6149</v>
      </c>
      <c r="C886" s="63">
        <v>10.78747</v>
      </c>
      <c r="D886" s="63">
        <v>106.5981</v>
      </c>
      <c r="E886" s="64">
        <v>6.052</v>
      </c>
    </row>
    <row r="887" ht="22.5" customHeight="1">
      <c r="A887" s="66">
        <v>10.73905</v>
      </c>
      <c r="B887" s="67">
        <v>106.6327</v>
      </c>
      <c r="C887" s="67">
        <v>10.7252</v>
      </c>
      <c r="D887" s="67">
        <v>106.6094</v>
      </c>
      <c r="E887" s="68">
        <v>3.99</v>
      </c>
    </row>
    <row r="888" ht="22.5" customHeight="1">
      <c r="A888" s="61">
        <v>10.73905</v>
      </c>
      <c r="B888" s="63">
        <v>106.6327</v>
      </c>
      <c r="C888" s="63">
        <v>10.73335</v>
      </c>
      <c r="D888" s="63">
        <v>106.6088</v>
      </c>
      <c r="E888" s="64">
        <v>4.227</v>
      </c>
    </row>
    <row r="889" ht="22.5" customHeight="1">
      <c r="A889" s="66">
        <v>10.73905</v>
      </c>
      <c r="B889" s="67">
        <v>106.6327</v>
      </c>
      <c r="C889" s="67">
        <v>10.7444</v>
      </c>
      <c r="D889" s="67">
        <v>106.6304</v>
      </c>
      <c r="E889" s="68">
        <v>0.813</v>
      </c>
    </row>
    <row r="890" ht="22.5" customHeight="1">
      <c r="A890" s="61">
        <v>10.73905</v>
      </c>
      <c r="B890" s="63">
        <v>106.6327</v>
      </c>
      <c r="C890" s="63">
        <v>10.74946</v>
      </c>
      <c r="D890" s="63">
        <v>106.6451</v>
      </c>
      <c r="E890" s="64">
        <v>2.158</v>
      </c>
    </row>
    <row r="891" ht="22.5" customHeight="1">
      <c r="A891" s="66">
        <v>10.73905</v>
      </c>
      <c r="B891" s="67">
        <v>106.6327</v>
      </c>
      <c r="C891" s="67">
        <v>10.75113</v>
      </c>
      <c r="D891" s="67">
        <v>106.635</v>
      </c>
      <c r="E891" s="68">
        <v>1.435</v>
      </c>
    </row>
    <row r="892" ht="22.5" customHeight="1">
      <c r="A892" s="61">
        <v>10.73905</v>
      </c>
      <c r="B892" s="63">
        <v>106.6327</v>
      </c>
      <c r="C892" s="63">
        <v>10.75591</v>
      </c>
      <c r="D892" s="63">
        <v>106.611</v>
      </c>
      <c r="E892" s="64">
        <v>4.149</v>
      </c>
    </row>
    <row r="893" ht="22.5" customHeight="1">
      <c r="A893" s="66">
        <v>10.73905</v>
      </c>
      <c r="B893" s="67">
        <v>106.6327</v>
      </c>
      <c r="C893" s="67">
        <v>10.75889</v>
      </c>
      <c r="D893" s="67">
        <v>106.5791</v>
      </c>
      <c r="E893" s="68">
        <v>8.185</v>
      </c>
    </row>
    <row r="894" ht="22.5" customHeight="1">
      <c r="A894" s="61">
        <v>10.73905</v>
      </c>
      <c r="B894" s="63">
        <v>106.6327</v>
      </c>
      <c r="C894" s="63">
        <v>10.76195</v>
      </c>
      <c r="D894" s="63">
        <v>106.6569</v>
      </c>
      <c r="E894" s="64">
        <v>4.159</v>
      </c>
    </row>
    <row r="895" ht="22.5" customHeight="1">
      <c r="A895" s="66">
        <v>10.73905</v>
      </c>
      <c r="B895" s="67">
        <v>106.6327</v>
      </c>
      <c r="C895" s="67">
        <v>10.76198</v>
      </c>
      <c r="D895" s="67">
        <v>106.6539</v>
      </c>
      <c r="E895" s="68">
        <v>4.276</v>
      </c>
    </row>
    <row r="896" ht="22.5" customHeight="1">
      <c r="A896" s="61">
        <v>10.73905</v>
      </c>
      <c r="B896" s="63">
        <v>106.6327</v>
      </c>
      <c r="C896" s="63">
        <v>10.76707</v>
      </c>
      <c r="D896" s="63">
        <v>106.6493</v>
      </c>
      <c r="E896" s="64">
        <v>4.063</v>
      </c>
    </row>
    <row r="897" ht="22.5" customHeight="1">
      <c r="A897" s="66">
        <v>10.73905</v>
      </c>
      <c r="B897" s="67">
        <v>106.6327</v>
      </c>
      <c r="C897" s="67">
        <v>10.7692</v>
      </c>
      <c r="D897" s="67">
        <v>106.6516</v>
      </c>
      <c r="E897" s="68">
        <v>4.873</v>
      </c>
    </row>
    <row r="898" ht="22.5" customHeight="1">
      <c r="A898" s="61">
        <v>10.73905</v>
      </c>
      <c r="B898" s="63">
        <v>106.6327</v>
      </c>
      <c r="C898" s="63">
        <v>10.77509</v>
      </c>
      <c r="D898" s="63">
        <v>106.6727</v>
      </c>
      <c r="E898" s="64">
        <v>7.054</v>
      </c>
    </row>
    <row r="899" ht="22.5" customHeight="1">
      <c r="A899" s="66">
        <v>10.73905</v>
      </c>
      <c r="B899" s="67">
        <v>106.6327</v>
      </c>
      <c r="C899" s="67">
        <v>10.77584</v>
      </c>
      <c r="D899" s="67">
        <v>106.6133</v>
      </c>
      <c r="E899" s="68">
        <v>5.727</v>
      </c>
    </row>
    <row r="900" ht="22.5" customHeight="1">
      <c r="A900" s="61">
        <v>10.73905</v>
      </c>
      <c r="B900" s="63">
        <v>106.6327</v>
      </c>
      <c r="C900" s="63">
        <v>10.77656</v>
      </c>
      <c r="D900" s="63">
        <v>106.6049</v>
      </c>
      <c r="E900" s="64">
        <v>6.758</v>
      </c>
    </row>
    <row r="901" ht="22.5" customHeight="1">
      <c r="A901" s="66">
        <v>10.73905</v>
      </c>
      <c r="B901" s="67">
        <v>106.6327</v>
      </c>
      <c r="C901" s="67">
        <v>10.78747</v>
      </c>
      <c r="D901" s="67">
        <v>106.5981</v>
      </c>
      <c r="E901" s="68">
        <v>9.056</v>
      </c>
    </row>
    <row r="902" ht="22.5" customHeight="1">
      <c r="A902" s="61">
        <v>10.73908</v>
      </c>
      <c r="B902" s="63">
        <v>106.6149</v>
      </c>
      <c r="C902" s="63">
        <v>10.69376</v>
      </c>
      <c r="D902" s="63">
        <v>106.5802</v>
      </c>
      <c r="E902" s="64">
        <v>7.633</v>
      </c>
    </row>
    <row r="903" ht="22.5" customHeight="1">
      <c r="A903" s="66">
        <v>10.73908</v>
      </c>
      <c r="B903" s="67">
        <v>106.6149</v>
      </c>
      <c r="C903" s="67">
        <v>10.70499</v>
      </c>
      <c r="D903" s="67">
        <v>106.5965</v>
      </c>
      <c r="E903" s="68">
        <v>4.852</v>
      </c>
    </row>
    <row r="904" ht="22.5" customHeight="1">
      <c r="A904" s="61">
        <v>10.73908</v>
      </c>
      <c r="B904" s="63">
        <v>106.6149</v>
      </c>
      <c r="C904" s="63">
        <v>10.7252</v>
      </c>
      <c r="D904" s="63">
        <v>106.6094</v>
      </c>
      <c r="E904" s="64">
        <v>2.215</v>
      </c>
    </row>
    <row r="905" ht="22.5" customHeight="1">
      <c r="A905" s="66">
        <v>10.73908</v>
      </c>
      <c r="B905" s="67">
        <v>106.6149</v>
      </c>
      <c r="C905" s="67">
        <v>10.73897</v>
      </c>
      <c r="D905" s="67">
        <v>106.6149</v>
      </c>
      <c r="E905" s="68">
        <v>0.0</v>
      </c>
    </row>
    <row r="906" ht="22.5" customHeight="1">
      <c r="A906" s="61">
        <v>10.73908</v>
      </c>
      <c r="B906" s="63">
        <v>106.6149</v>
      </c>
      <c r="C906" s="63">
        <v>10.73905</v>
      </c>
      <c r="D906" s="63">
        <v>106.6327</v>
      </c>
      <c r="E906" s="64">
        <v>2.884</v>
      </c>
    </row>
    <row r="907" ht="22.5" customHeight="1">
      <c r="A907" s="66">
        <v>10.73908</v>
      </c>
      <c r="B907" s="67">
        <v>106.6149</v>
      </c>
      <c r="C907" s="67">
        <v>10.73908</v>
      </c>
      <c r="D907" s="67">
        <v>106.6149</v>
      </c>
      <c r="E907" s="68">
        <v>0.0</v>
      </c>
    </row>
    <row r="908" ht="22.5" customHeight="1">
      <c r="A908" s="61">
        <v>10.73908</v>
      </c>
      <c r="B908" s="63">
        <v>106.6149</v>
      </c>
      <c r="C908" s="63">
        <v>10.7444</v>
      </c>
      <c r="D908" s="63">
        <v>106.6304</v>
      </c>
      <c r="E908" s="64">
        <v>2.749</v>
      </c>
    </row>
    <row r="909" ht="22.5" customHeight="1">
      <c r="A909" s="66">
        <v>10.73908</v>
      </c>
      <c r="B909" s="67">
        <v>106.6149</v>
      </c>
      <c r="C909" s="67">
        <v>10.74602</v>
      </c>
      <c r="D909" s="67">
        <v>106.6123</v>
      </c>
      <c r="E909" s="68">
        <v>1.1</v>
      </c>
    </row>
    <row r="910" ht="22.5" customHeight="1">
      <c r="A910" s="61">
        <v>10.73908</v>
      </c>
      <c r="B910" s="63">
        <v>106.6149</v>
      </c>
      <c r="C910" s="63">
        <v>10.74605</v>
      </c>
      <c r="D910" s="63">
        <v>106.6123</v>
      </c>
      <c r="E910" s="64">
        <v>1.268</v>
      </c>
    </row>
    <row r="911" ht="22.5" customHeight="1">
      <c r="A911" s="66">
        <v>10.73908</v>
      </c>
      <c r="B911" s="67">
        <v>106.6149</v>
      </c>
      <c r="C911" s="67">
        <v>10.75113</v>
      </c>
      <c r="D911" s="67">
        <v>106.635</v>
      </c>
      <c r="E911" s="68">
        <v>3.4</v>
      </c>
    </row>
    <row r="912" ht="22.5" customHeight="1">
      <c r="A912" s="61">
        <v>10.73908</v>
      </c>
      <c r="B912" s="63">
        <v>106.6149</v>
      </c>
      <c r="C912" s="63">
        <v>10.75168</v>
      </c>
      <c r="D912" s="63">
        <v>106.6103</v>
      </c>
      <c r="E912" s="64">
        <v>1.603</v>
      </c>
    </row>
    <row r="913" ht="22.5" customHeight="1">
      <c r="A913" s="66">
        <v>10.73908</v>
      </c>
      <c r="B913" s="67">
        <v>106.6149</v>
      </c>
      <c r="C913" s="67">
        <v>10.75347</v>
      </c>
      <c r="D913" s="67">
        <v>106.5931</v>
      </c>
      <c r="E913" s="68">
        <v>3.763</v>
      </c>
    </row>
    <row r="914" ht="22.5" customHeight="1">
      <c r="A914" s="61">
        <v>10.73908</v>
      </c>
      <c r="B914" s="63">
        <v>106.6149</v>
      </c>
      <c r="C914" s="63">
        <v>10.76707</v>
      </c>
      <c r="D914" s="63">
        <v>106.6493</v>
      </c>
      <c r="E914" s="64">
        <v>6.7</v>
      </c>
    </row>
    <row r="915" ht="22.5" customHeight="1">
      <c r="A915" s="66">
        <v>10.73908</v>
      </c>
      <c r="B915" s="67">
        <v>106.6149</v>
      </c>
      <c r="C915" s="67">
        <v>10.76809</v>
      </c>
      <c r="D915" s="67">
        <v>106.6092</v>
      </c>
      <c r="E915" s="68">
        <v>3.389</v>
      </c>
    </row>
    <row r="916" ht="22.5" customHeight="1">
      <c r="A916" s="61">
        <v>10.73908</v>
      </c>
      <c r="B916" s="63">
        <v>106.6149</v>
      </c>
      <c r="C916" s="63">
        <v>10.77167</v>
      </c>
      <c r="D916" s="63">
        <v>106.5865</v>
      </c>
      <c r="E916" s="64">
        <v>6.326</v>
      </c>
    </row>
    <row r="917" ht="22.5" customHeight="1">
      <c r="A917" s="66">
        <v>10.73908</v>
      </c>
      <c r="B917" s="67">
        <v>106.6149</v>
      </c>
      <c r="C917" s="67">
        <v>10.77509</v>
      </c>
      <c r="D917" s="67">
        <v>106.6727</v>
      </c>
      <c r="E917" s="68">
        <v>8.5</v>
      </c>
    </row>
    <row r="918" ht="22.5" customHeight="1">
      <c r="A918" s="61">
        <v>10.73908</v>
      </c>
      <c r="B918" s="63">
        <v>106.6149</v>
      </c>
      <c r="C918" s="63">
        <v>10.77584</v>
      </c>
      <c r="D918" s="63">
        <v>106.6133</v>
      </c>
      <c r="E918" s="64">
        <v>4.728</v>
      </c>
    </row>
    <row r="919" ht="22.5" customHeight="1">
      <c r="A919" s="66">
        <v>10.73931</v>
      </c>
      <c r="B919" s="67">
        <v>106.7058</v>
      </c>
      <c r="C919" s="67">
        <v>10.7389</v>
      </c>
      <c r="D919" s="67">
        <v>106.67</v>
      </c>
      <c r="E919" s="68">
        <v>2.185</v>
      </c>
    </row>
    <row r="920" ht="22.5" customHeight="1">
      <c r="A920" s="61">
        <v>10.73942</v>
      </c>
      <c r="B920" s="63">
        <v>106.6755</v>
      </c>
      <c r="C920" s="63">
        <v>10.7179</v>
      </c>
      <c r="D920" s="63">
        <v>106.7369</v>
      </c>
      <c r="E920" s="64">
        <v>10.696</v>
      </c>
    </row>
    <row r="921" ht="22.5" customHeight="1">
      <c r="A921" s="66">
        <v>10.73942</v>
      </c>
      <c r="B921" s="67">
        <v>106.6755</v>
      </c>
      <c r="C921" s="67">
        <v>10.73842</v>
      </c>
      <c r="D921" s="67">
        <v>106.7164</v>
      </c>
      <c r="E921" s="68">
        <v>5.582</v>
      </c>
    </row>
    <row r="922" ht="22.5" customHeight="1">
      <c r="A922" s="61">
        <v>10.73942</v>
      </c>
      <c r="B922" s="63">
        <v>106.6755</v>
      </c>
      <c r="C922" s="63">
        <v>10.7389</v>
      </c>
      <c r="D922" s="63">
        <v>106.67</v>
      </c>
      <c r="E922" s="64">
        <v>0.767</v>
      </c>
    </row>
    <row r="923" ht="22.5" customHeight="1">
      <c r="A923" s="66">
        <v>10.73942</v>
      </c>
      <c r="B923" s="67">
        <v>106.6755</v>
      </c>
      <c r="C923" s="67">
        <v>10.75643</v>
      </c>
      <c r="D923" s="67">
        <v>106.6734</v>
      </c>
      <c r="E923" s="68">
        <v>3.095</v>
      </c>
    </row>
    <row r="924" ht="22.5" customHeight="1">
      <c r="A924" s="61">
        <v>10.73942</v>
      </c>
      <c r="B924" s="63">
        <v>106.6755</v>
      </c>
      <c r="C924" s="63">
        <v>10.77509</v>
      </c>
      <c r="D924" s="63">
        <v>106.6727</v>
      </c>
      <c r="E924" s="64">
        <v>5.502</v>
      </c>
    </row>
    <row r="925" ht="22.5" customHeight="1">
      <c r="A925" s="66">
        <v>10.73965</v>
      </c>
      <c r="B925" s="67">
        <v>106.697</v>
      </c>
      <c r="C925" s="67">
        <v>10.73842</v>
      </c>
      <c r="D925" s="67">
        <v>106.7164</v>
      </c>
      <c r="E925" s="68">
        <v>6.397</v>
      </c>
    </row>
    <row r="926" ht="22.5" customHeight="1">
      <c r="A926" s="61">
        <v>10.74042</v>
      </c>
      <c r="B926" s="63">
        <v>106.7301</v>
      </c>
      <c r="C926" s="63">
        <v>10.72249</v>
      </c>
      <c r="D926" s="63">
        <v>106.7262</v>
      </c>
      <c r="E926" s="64">
        <v>2.706</v>
      </c>
    </row>
    <row r="927" ht="22.5" customHeight="1">
      <c r="A927" s="66">
        <v>10.74042</v>
      </c>
      <c r="B927" s="67">
        <v>106.7301</v>
      </c>
      <c r="C927" s="67">
        <v>10.72264</v>
      </c>
      <c r="D927" s="67">
        <v>106.7134</v>
      </c>
      <c r="E927" s="68">
        <v>3.707</v>
      </c>
    </row>
    <row r="928" ht="22.5" customHeight="1">
      <c r="A928" s="61">
        <v>10.74042</v>
      </c>
      <c r="B928" s="63">
        <v>106.7301</v>
      </c>
      <c r="C928" s="63">
        <v>10.726</v>
      </c>
      <c r="D928" s="63">
        <v>106.724</v>
      </c>
      <c r="E928" s="64">
        <v>3.944</v>
      </c>
    </row>
    <row r="929" ht="22.5" customHeight="1">
      <c r="A929" s="66">
        <v>10.74042</v>
      </c>
      <c r="B929" s="67">
        <v>106.7301</v>
      </c>
      <c r="C929" s="67">
        <v>10.726</v>
      </c>
      <c r="D929" s="67">
        <v>106.7239</v>
      </c>
      <c r="E929" s="68">
        <v>4.054</v>
      </c>
    </row>
    <row r="930" ht="22.5" customHeight="1">
      <c r="A930" s="61">
        <v>10.74042</v>
      </c>
      <c r="B930" s="63">
        <v>106.7301</v>
      </c>
      <c r="C930" s="63">
        <v>10.73088</v>
      </c>
      <c r="D930" s="63">
        <v>106.7236</v>
      </c>
      <c r="E930" s="64">
        <v>1.521</v>
      </c>
    </row>
    <row r="931" ht="22.5" customHeight="1">
      <c r="A931" s="66">
        <v>10.74042</v>
      </c>
      <c r="B931" s="67">
        <v>106.7301</v>
      </c>
      <c r="C931" s="67">
        <v>10.73186</v>
      </c>
      <c r="D931" s="67">
        <v>106.7079</v>
      </c>
      <c r="E931" s="68">
        <v>5.25</v>
      </c>
    </row>
    <row r="932" ht="22.5" customHeight="1">
      <c r="A932" s="61">
        <v>10.74042</v>
      </c>
      <c r="B932" s="63">
        <v>106.7301</v>
      </c>
      <c r="C932" s="63">
        <v>10.73786</v>
      </c>
      <c r="D932" s="63">
        <v>106.7205</v>
      </c>
      <c r="E932" s="64">
        <v>2.972</v>
      </c>
    </row>
    <row r="933" ht="22.5" customHeight="1">
      <c r="A933" s="66">
        <v>10.74042</v>
      </c>
      <c r="B933" s="67">
        <v>106.7301</v>
      </c>
      <c r="C933" s="67">
        <v>10.73816</v>
      </c>
      <c r="D933" s="67">
        <v>106.7211</v>
      </c>
      <c r="E933" s="68">
        <v>3.527</v>
      </c>
    </row>
    <row r="934" ht="22.5" customHeight="1">
      <c r="A934" s="61">
        <v>10.74042</v>
      </c>
      <c r="B934" s="63">
        <v>106.7301</v>
      </c>
      <c r="C934" s="63">
        <v>10.73842</v>
      </c>
      <c r="D934" s="63">
        <v>106.7164</v>
      </c>
      <c r="E934" s="64">
        <v>1.779</v>
      </c>
    </row>
    <row r="935" ht="22.5" customHeight="1">
      <c r="A935" s="66">
        <v>10.74042</v>
      </c>
      <c r="B935" s="67">
        <v>106.7301</v>
      </c>
      <c r="C935" s="67">
        <v>10.74447</v>
      </c>
      <c r="D935" s="67">
        <v>106.711</v>
      </c>
      <c r="E935" s="68">
        <v>4.502</v>
      </c>
    </row>
    <row r="936" ht="22.5" customHeight="1">
      <c r="A936" s="61">
        <v>10.74042</v>
      </c>
      <c r="B936" s="63">
        <v>106.7301</v>
      </c>
      <c r="C936" s="63">
        <v>10.77509</v>
      </c>
      <c r="D936" s="63">
        <v>106.6727</v>
      </c>
      <c r="E936" s="64">
        <v>9.317</v>
      </c>
    </row>
    <row r="937" ht="22.5" customHeight="1">
      <c r="A937" s="66">
        <v>10.7406</v>
      </c>
      <c r="B937" s="67">
        <v>106.6072</v>
      </c>
      <c r="C937" s="67">
        <v>10.69088</v>
      </c>
      <c r="D937" s="67">
        <v>106.586</v>
      </c>
      <c r="E937" s="68">
        <v>7.734</v>
      </c>
    </row>
    <row r="938" ht="22.5" customHeight="1">
      <c r="A938" s="61">
        <v>10.7406</v>
      </c>
      <c r="B938" s="63">
        <v>106.6072</v>
      </c>
      <c r="C938" s="63">
        <v>10.73908</v>
      </c>
      <c r="D938" s="63">
        <v>106.6149</v>
      </c>
      <c r="E938" s="64">
        <v>1.893</v>
      </c>
    </row>
    <row r="939" ht="22.5" customHeight="1">
      <c r="A939" s="66">
        <v>10.7406</v>
      </c>
      <c r="B939" s="67">
        <v>106.6072</v>
      </c>
      <c r="C939" s="67">
        <v>10.74097</v>
      </c>
      <c r="D939" s="67">
        <v>106.6091</v>
      </c>
      <c r="E939" s="68">
        <v>0.139</v>
      </c>
    </row>
    <row r="940" ht="22.5" customHeight="1">
      <c r="A940" s="61">
        <v>10.7406</v>
      </c>
      <c r="B940" s="63">
        <v>106.6072</v>
      </c>
      <c r="C940" s="63">
        <v>10.74672</v>
      </c>
      <c r="D940" s="63">
        <v>106.6132</v>
      </c>
      <c r="E940" s="64">
        <v>1.145</v>
      </c>
    </row>
    <row r="941" ht="22.5" customHeight="1">
      <c r="A941" s="66">
        <v>10.7406</v>
      </c>
      <c r="B941" s="67">
        <v>106.6072</v>
      </c>
      <c r="C941" s="67">
        <v>10.75347</v>
      </c>
      <c r="D941" s="67">
        <v>106.5931</v>
      </c>
      <c r="E941" s="68">
        <v>3.601</v>
      </c>
    </row>
    <row r="942" ht="22.5" customHeight="1">
      <c r="A942" s="61">
        <v>10.7406</v>
      </c>
      <c r="B942" s="63">
        <v>106.6072</v>
      </c>
      <c r="C942" s="63">
        <v>10.76444</v>
      </c>
      <c r="D942" s="63">
        <v>106.6033</v>
      </c>
      <c r="E942" s="64">
        <v>6.956</v>
      </c>
    </row>
    <row r="943" ht="22.5" customHeight="1">
      <c r="A943" s="66">
        <v>10.7406</v>
      </c>
      <c r="B943" s="67">
        <v>106.6072</v>
      </c>
      <c r="C943" s="67">
        <v>10.76707</v>
      </c>
      <c r="D943" s="67">
        <v>106.6493</v>
      </c>
      <c r="E943" s="68">
        <v>6.948</v>
      </c>
    </row>
    <row r="944" ht="22.5" customHeight="1">
      <c r="A944" s="61">
        <v>10.7406</v>
      </c>
      <c r="B944" s="63">
        <v>106.6072</v>
      </c>
      <c r="C944" s="63">
        <v>10.77509</v>
      </c>
      <c r="D944" s="63">
        <v>106.6727</v>
      </c>
      <c r="E944" s="64">
        <v>9.7</v>
      </c>
    </row>
    <row r="945" ht="22.5" customHeight="1">
      <c r="A945" s="66">
        <v>10.7406</v>
      </c>
      <c r="B945" s="67">
        <v>106.6072</v>
      </c>
      <c r="C945" s="67">
        <v>10.79435</v>
      </c>
      <c r="D945" s="67">
        <v>106.6382</v>
      </c>
      <c r="E945" s="68">
        <v>8.218</v>
      </c>
    </row>
    <row r="946" ht="22.5" customHeight="1">
      <c r="A946" s="61">
        <v>10.7406</v>
      </c>
      <c r="B946" s="63">
        <v>106.6072</v>
      </c>
      <c r="C946" s="63">
        <v>10.83174</v>
      </c>
      <c r="D946" s="63">
        <v>106.6218</v>
      </c>
      <c r="E946" s="64">
        <v>15.127</v>
      </c>
    </row>
    <row r="947" ht="22.5" customHeight="1">
      <c r="A947" s="66">
        <v>10.7406</v>
      </c>
      <c r="B947" s="67">
        <v>106.6072</v>
      </c>
      <c r="C947" s="67">
        <v>10.83306</v>
      </c>
      <c r="D947" s="67">
        <v>106.6645</v>
      </c>
      <c r="E947" s="68">
        <v>18.586</v>
      </c>
    </row>
    <row r="948" ht="22.5" customHeight="1">
      <c r="A948" s="61">
        <v>10.74068</v>
      </c>
      <c r="B948" s="63">
        <v>106.7064</v>
      </c>
      <c r="C948" s="63">
        <v>10.73786</v>
      </c>
      <c r="D948" s="63">
        <v>106.7205</v>
      </c>
      <c r="E948" s="64">
        <v>1.674</v>
      </c>
    </row>
    <row r="949" ht="22.5" customHeight="1">
      <c r="A949" s="66">
        <v>10.74068</v>
      </c>
      <c r="B949" s="67">
        <v>106.7064</v>
      </c>
      <c r="C949" s="67">
        <v>10.73842</v>
      </c>
      <c r="D949" s="67">
        <v>106.7164</v>
      </c>
      <c r="E949" s="68">
        <v>2.128</v>
      </c>
    </row>
    <row r="950" ht="22.5" customHeight="1">
      <c r="A950" s="61">
        <v>10.74068</v>
      </c>
      <c r="B950" s="63">
        <v>106.7064</v>
      </c>
      <c r="C950" s="63">
        <v>10.74042</v>
      </c>
      <c r="D950" s="63">
        <v>106.7301</v>
      </c>
      <c r="E950" s="64">
        <v>3.554</v>
      </c>
    </row>
    <row r="951" ht="22.5" customHeight="1">
      <c r="A951" s="66">
        <v>10.74096</v>
      </c>
      <c r="B951" s="67">
        <v>106.6189</v>
      </c>
      <c r="C951" s="67">
        <v>10.77509</v>
      </c>
      <c r="D951" s="67">
        <v>106.6727</v>
      </c>
      <c r="E951" s="68">
        <v>7.906</v>
      </c>
    </row>
    <row r="952" ht="22.5" customHeight="1">
      <c r="A952" s="61">
        <v>10.74097</v>
      </c>
      <c r="B952" s="63">
        <v>106.6091</v>
      </c>
      <c r="C952" s="63">
        <v>10.71016</v>
      </c>
      <c r="D952" s="63">
        <v>106.5747</v>
      </c>
      <c r="E952" s="64">
        <v>8.169</v>
      </c>
    </row>
    <row r="953" ht="22.5" customHeight="1">
      <c r="A953" s="66">
        <v>10.74097</v>
      </c>
      <c r="B953" s="67">
        <v>106.6091</v>
      </c>
      <c r="C953" s="67">
        <v>10.73897</v>
      </c>
      <c r="D953" s="67">
        <v>106.6149</v>
      </c>
      <c r="E953" s="68">
        <v>1.416</v>
      </c>
    </row>
    <row r="954" ht="22.5" customHeight="1">
      <c r="A954" s="61">
        <v>10.74097</v>
      </c>
      <c r="B954" s="63">
        <v>106.6091</v>
      </c>
      <c r="C954" s="63">
        <v>10.73908</v>
      </c>
      <c r="D954" s="63">
        <v>106.6149</v>
      </c>
      <c r="E954" s="64">
        <v>1.681</v>
      </c>
    </row>
    <row r="955" ht="22.5" customHeight="1">
      <c r="A955" s="66">
        <v>10.74097</v>
      </c>
      <c r="B955" s="67">
        <v>106.6091</v>
      </c>
      <c r="C955" s="67">
        <v>10.7406</v>
      </c>
      <c r="D955" s="67">
        <v>106.6072</v>
      </c>
      <c r="E955" s="68">
        <v>0.137</v>
      </c>
    </row>
    <row r="956" ht="22.5" customHeight="1">
      <c r="A956" s="61">
        <v>10.74097</v>
      </c>
      <c r="B956" s="63">
        <v>106.6091</v>
      </c>
      <c r="C956" s="63">
        <v>10.74097</v>
      </c>
      <c r="D956" s="63">
        <v>106.6091</v>
      </c>
      <c r="E956" s="64">
        <v>0.037</v>
      </c>
    </row>
    <row r="957" ht="22.5" customHeight="1">
      <c r="A957" s="66">
        <v>10.74097</v>
      </c>
      <c r="B957" s="67">
        <v>106.6091</v>
      </c>
      <c r="C957" s="67">
        <v>10.74602</v>
      </c>
      <c r="D957" s="67">
        <v>106.6123</v>
      </c>
      <c r="E957" s="68">
        <v>1.494</v>
      </c>
    </row>
    <row r="958" ht="22.5" customHeight="1">
      <c r="A958" s="61">
        <v>10.74097</v>
      </c>
      <c r="B958" s="63">
        <v>106.6091</v>
      </c>
      <c r="C958" s="63">
        <v>10.74672</v>
      </c>
      <c r="D958" s="63">
        <v>106.6132</v>
      </c>
      <c r="E958" s="64">
        <v>1.1</v>
      </c>
    </row>
    <row r="959" ht="22.5" customHeight="1">
      <c r="A959" s="66">
        <v>10.74097</v>
      </c>
      <c r="B959" s="67">
        <v>106.6091</v>
      </c>
      <c r="C959" s="67">
        <v>10.75347</v>
      </c>
      <c r="D959" s="67">
        <v>106.5931</v>
      </c>
      <c r="E959" s="68">
        <v>3.617</v>
      </c>
    </row>
    <row r="960" ht="22.5" customHeight="1">
      <c r="A960" s="61">
        <v>10.74097</v>
      </c>
      <c r="B960" s="63">
        <v>106.6091</v>
      </c>
      <c r="C960" s="63">
        <v>10.755</v>
      </c>
      <c r="D960" s="63">
        <v>106.6705</v>
      </c>
      <c r="E960" s="64">
        <v>7.995</v>
      </c>
    </row>
    <row r="961" ht="22.5" customHeight="1">
      <c r="A961" s="66">
        <v>10.74097</v>
      </c>
      <c r="B961" s="67">
        <v>106.6091</v>
      </c>
      <c r="C961" s="67">
        <v>10.76707</v>
      </c>
      <c r="D961" s="67">
        <v>106.6493</v>
      </c>
      <c r="E961" s="68">
        <v>7.017</v>
      </c>
    </row>
    <row r="962" ht="22.5" customHeight="1">
      <c r="A962" s="61">
        <v>10.74097</v>
      </c>
      <c r="B962" s="63">
        <v>106.6091</v>
      </c>
      <c r="C962" s="63">
        <v>10.77509</v>
      </c>
      <c r="D962" s="63">
        <v>106.6727</v>
      </c>
      <c r="E962" s="64">
        <v>9.411</v>
      </c>
    </row>
    <row r="963" ht="22.5" customHeight="1">
      <c r="A963" s="66">
        <v>10.74124</v>
      </c>
      <c r="B963" s="67">
        <v>106.6697</v>
      </c>
      <c r="C963" s="67">
        <v>10.7389</v>
      </c>
      <c r="D963" s="67">
        <v>106.67</v>
      </c>
      <c r="E963" s="68">
        <v>0.473</v>
      </c>
    </row>
    <row r="964" ht="22.5" customHeight="1">
      <c r="A964" s="61">
        <v>10.74124</v>
      </c>
      <c r="B964" s="63">
        <v>106.6862</v>
      </c>
      <c r="C964" s="63">
        <v>10.74167</v>
      </c>
      <c r="D964" s="63">
        <v>106.6764</v>
      </c>
      <c r="E964" s="64">
        <v>1.286</v>
      </c>
    </row>
    <row r="965" ht="22.5" customHeight="1">
      <c r="A965" s="66">
        <v>10.74125</v>
      </c>
      <c r="B965" s="67">
        <v>106.6862</v>
      </c>
      <c r="C965" s="67">
        <v>10.7389</v>
      </c>
      <c r="D965" s="67">
        <v>106.67</v>
      </c>
      <c r="E965" s="68">
        <v>2.243</v>
      </c>
    </row>
    <row r="966" ht="22.5" customHeight="1">
      <c r="A966" s="61">
        <v>10.74131</v>
      </c>
      <c r="B966" s="63">
        <v>106.6863</v>
      </c>
      <c r="C966" s="63">
        <v>10.7179</v>
      </c>
      <c r="D966" s="63">
        <v>106.7369</v>
      </c>
      <c r="E966" s="64">
        <v>7.768</v>
      </c>
    </row>
    <row r="967" ht="22.5" customHeight="1">
      <c r="A967" s="66">
        <v>10.74131</v>
      </c>
      <c r="B967" s="67">
        <v>106.6863</v>
      </c>
      <c r="C967" s="67">
        <v>10.72862</v>
      </c>
      <c r="D967" s="67">
        <v>106.6774</v>
      </c>
      <c r="E967" s="68">
        <v>2.874</v>
      </c>
    </row>
    <row r="968" ht="22.5" customHeight="1">
      <c r="A968" s="61">
        <v>10.74131</v>
      </c>
      <c r="B968" s="63">
        <v>106.6863</v>
      </c>
      <c r="C968" s="63">
        <v>10.7301</v>
      </c>
      <c r="D968" s="63">
        <v>106.6763</v>
      </c>
      <c r="E968" s="64">
        <v>2.734</v>
      </c>
    </row>
    <row r="969" ht="22.5" customHeight="1">
      <c r="A969" s="66">
        <v>10.74131</v>
      </c>
      <c r="B969" s="67">
        <v>106.6863</v>
      </c>
      <c r="C969" s="67">
        <v>10.73437</v>
      </c>
      <c r="D969" s="67">
        <v>106.6595</v>
      </c>
      <c r="E969" s="68">
        <v>3.399</v>
      </c>
    </row>
    <row r="970" ht="22.5" customHeight="1">
      <c r="A970" s="61">
        <v>10.74131</v>
      </c>
      <c r="B970" s="63">
        <v>106.6863</v>
      </c>
      <c r="C970" s="63">
        <v>10.73635</v>
      </c>
      <c r="D970" s="63">
        <v>106.6714</v>
      </c>
      <c r="E970" s="64">
        <v>2.174</v>
      </c>
    </row>
    <row r="971" ht="22.5" customHeight="1">
      <c r="A971" s="66">
        <v>10.74131</v>
      </c>
      <c r="B971" s="67">
        <v>106.6863</v>
      </c>
      <c r="C971" s="67">
        <v>10.73842</v>
      </c>
      <c r="D971" s="67">
        <v>106.7164</v>
      </c>
      <c r="E971" s="68">
        <v>8.197</v>
      </c>
    </row>
    <row r="972" ht="22.5" customHeight="1">
      <c r="A972" s="61">
        <v>10.74131</v>
      </c>
      <c r="B972" s="63">
        <v>106.6863</v>
      </c>
      <c r="C972" s="63">
        <v>10.7389</v>
      </c>
      <c r="D972" s="63">
        <v>106.67</v>
      </c>
      <c r="E972" s="64">
        <v>2.074</v>
      </c>
    </row>
    <row r="973" ht="22.5" customHeight="1">
      <c r="A973" s="66">
        <v>10.74131</v>
      </c>
      <c r="B973" s="67">
        <v>106.6863</v>
      </c>
      <c r="C973" s="67">
        <v>10.74157</v>
      </c>
      <c r="D973" s="67">
        <v>106.6885</v>
      </c>
      <c r="E973" s="68">
        <v>1.409</v>
      </c>
    </row>
    <row r="974" ht="22.5" customHeight="1">
      <c r="A974" s="61">
        <v>10.74131</v>
      </c>
      <c r="B974" s="63">
        <v>106.6863</v>
      </c>
      <c r="C974" s="63">
        <v>10.74167</v>
      </c>
      <c r="D974" s="63">
        <v>106.6764</v>
      </c>
      <c r="E974" s="64">
        <v>1.233</v>
      </c>
    </row>
    <row r="975" ht="22.5" customHeight="1">
      <c r="A975" s="66">
        <v>10.74131</v>
      </c>
      <c r="B975" s="67">
        <v>106.6863</v>
      </c>
      <c r="C975" s="67">
        <v>10.74183</v>
      </c>
      <c r="D975" s="67">
        <v>106.6769</v>
      </c>
      <c r="E975" s="68">
        <v>1.285</v>
      </c>
    </row>
    <row r="976" ht="22.5" customHeight="1">
      <c r="A976" s="61">
        <v>10.74131</v>
      </c>
      <c r="B976" s="63">
        <v>106.6863</v>
      </c>
      <c r="C976" s="63">
        <v>10.74627</v>
      </c>
      <c r="D976" s="63">
        <v>106.6776</v>
      </c>
      <c r="E976" s="64">
        <v>1.458</v>
      </c>
    </row>
    <row r="977" ht="22.5" customHeight="1">
      <c r="A977" s="66">
        <v>10.74131</v>
      </c>
      <c r="B977" s="67">
        <v>106.6863</v>
      </c>
      <c r="C977" s="67">
        <v>10.75535</v>
      </c>
      <c r="D977" s="67">
        <v>106.6939</v>
      </c>
      <c r="E977" s="68">
        <v>3.967</v>
      </c>
    </row>
    <row r="978" ht="22.5" customHeight="1">
      <c r="A978" s="61">
        <v>10.74131</v>
      </c>
      <c r="B978" s="63">
        <v>106.6863</v>
      </c>
      <c r="C978" s="63">
        <v>10.7718</v>
      </c>
      <c r="D978" s="63">
        <v>106.6714</v>
      </c>
      <c r="E978" s="64">
        <v>4.955</v>
      </c>
    </row>
    <row r="979" ht="22.5" customHeight="1">
      <c r="A979" s="66">
        <v>10.74131</v>
      </c>
      <c r="B979" s="67">
        <v>106.6863</v>
      </c>
      <c r="C979" s="67">
        <v>10.77509</v>
      </c>
      <c r="D979" s="67">
        <v>106.6727</v>
      </c>
      <c r="E979" s="68">
        <v>5.197</v>
      </c>
    </row>
    <row r="980" ht="22.5" customHeight="1">
      <c r="A980" s="61">
        <v>10.74139</v>
      </c>
      <c r="B980" s="63">
        <v>106.7288</v>
      </c>
      <c r="C980" s="63">
        <v>10.73842</v>
      </c>
      <c r="D980" s="63">
        <v>106.7164</v>
      </c>
      <c r="E980" s="64">
        <v>2.204</v>
      </c>
    </row>
    <row r="981" ht="22.5" customHeight="1">
      <c r="A981" s="66">
        <v>10.74152</v>
      </c>
      <c r="B981" s="67">
        <v>106.6251</v>
      </c>
      <c r="C981" s="67">
        <v>10.7252</v>
      </c>
      <c r="D981" s="67">
        <v>106.6094</v>
      </c>
      <c r="E981" s="68">
        <v>3.618</v>
      </c>
    </row>
    <row r="982" ht="22.5" customHeight="1">
      <c r="A982" s="61">
        <v>10.74152</v>
      </c>
      <c r="B982" s="63">
        <v>106.6251</v>
      </c>
      <c r="C982" s="63">
        <v>10.73905</v>
      </c>
      <c r="D982" s="63">
        <v>106.6327</v>
      </c>
      <c r="E982" s="64">
        <v>1.068</v>
      </c>
    </row>
    <row r="983" ht="22.5" customHeight="1">
      <c r="A983" s="66">
        <v>10.74152</v>
      </c>
      <c r="B983" s="67">
        <v>106.6251</v>
      </c>
      <c r="C983" s="67">
        <v>10.7444</v>
      </c>
      <c r="D983" s="67">
        <v>106.6304</v>
      </c>
      <c r="E983" s="68">
        <v>1.018</v>
      </c>
    </row>
    <row r="984" ht="22.5" customHeight="1">
      <c r="A984" s="61">
        <v>10.74152</v>
      </c>
      <c r="B984" s="63">
        <v>106.6251</v>
      </c>
      <c r="C984" s="63">
        <v>10.74946</v>
      </c>
      <c r="D984" s="63">
        <v>106.6451</v>
      </c>
      <c r="E984" s="64">
        <v>2.736</v>
      </c>
    </row>
    <row r="985" ht="22.5" customHeight="1">
      <c r="A985" s="66">
        <v>10.74152</v>
      </c>
      <c r="B985" s="67">
        <v>106.6251</v>
      </c>
      <c r="C985" s="67">
        <v>10.75113</v>
      </c>
      <c r="D985" s="67">
        <v>106.635</v>
      </c>
      <c r="E985" s="68">
        <v>1.943</v>
      </c>
    </row>
    <row r="986" ht="22.5" customHeight="1">
      <c r="A986" s="61">
        <v>10.74152</v>
      </c>
      <c r="B986" s="63">
        <v>106.6251</v>
      </c>
      <c r="C986" s="63">
        <v>10.7518</v>
      </c>
      <c r="D986" s="63">
        <v>106.6273</v>
      </c>
      <c r="E986" s="64">
        <v>1.757</v>
      </c>
    </row>
    <row r="987" ht="22.5" customHeight="1">
      <c r="A987" s="66">
        <v>10.74152</v>
      </c>
      <c r="B987" s="67">
        <v>106.6251</v>
      </c>
      <c r="C987" s="67">
        <v>10.75818</v>
      </c>
      <c r="D987" s="67">
        <v>106.6562</v>
      </c>
      <c r="E987" s="68">
        <v>4.75</v>
      </c>
    </row>
    <row r="988" ht="22.5" customHeight="1">
      <c r="A988" s="61">
        <v>10.74152</v>
      </c>
      <c r="B988" s="63">
        <v>106.6251</v>
      </c>
      <c r="C988" s="63">
        <v>10.76195</v>
      </c>
      <c r="D988" s="63">
        <v>106.6569</v>
      </c>
      <c r="E988" s="64">
        <v>4.933</v>
      </c>
    </row>
    <row r="989" ht="22.5" customHeight="1">
      <c r="A989" s="66">
        <v>10.74152</v>
      </c>
      <c r="B989" s="67">
        <v>106.6251</v>
      </c>
      <c r="C989" s="67">
        <v>10.76707</v>
      </c>
      <c r="D989" s="67">
        <v>106.6493</v>
      </c>
      <c r="E989" s="68">
        <v>4.854</v>
      </c>
    </row>
    <row r="990" ht="22.5" customHeight="1">
      <c r="A990" s="61">
        <v>10.74152</v>
      </c>
      <c r="B990" s="63">
        <v>106.6251</v>
      </c>
      <c r="C990" s="63">
        <v>10.77509</v>
      </c>
      <c r="D990" s="63">
        <v>106.6727</v>
      </c>
      <c r="E990" s="64">
        <v>7.525</v>
      </c>
    </row>
    <row r="991" ht="22.5" customHeight="1">
      <c r="A991" s="66">
        <v>10.74157</v>
      </c>
      <c r="B991" s="67">
        <v>106.6885</v>
      </c>
      <c r="C991" s="67">
        <v>10.7231</v>
      </c>
      <c r="D991" s="67">
        <v>106.6556</v>
      </c>
      <c r="E991" s="68">
        <v>5.263</v>
      </c>
    </row>
    <row r="992" ht="22.5" customHeight="1">
      <c r="A992" s="61">
        <v>10.74157</v>
      </c>
      <c r="B992" s="63">
        <v>106.6885</v>
      </c>
      <c r="C992" s="63">
        <v>10.72431</v>
      </c>
      <c r="D992" s="63">
        <v>106.6452</v>
      </c>
      <c r="E992" s="64">
        <v>6.306</v>
      </c>
    </row>
    <row r="993" ht="22.5" customHeight="1">
      <c r="A993" s="66">
        <v>10.74157</v>
      </c>
      <c r="B993" s="67">
        <v>106.6885</v>
      </c>
      <c r="C993" s="67">
        <v>10.73002</v>
      </c>
      <c r="D993" s="67">
        <v>106.6559</v>
      </c>
      <c r="E993" s="68">
        <v>4.578</v>
      </c>
    </row>
    <row r="994" ht="22.5" customHeight="1">
      <c r="A994" s="61">
        <v>10.74157</v>
      </c>
      <c r="B994" s="63">
        <v>106.6885</v>
      </c>
      <c r="C994" s="63">
        <v>10.7301</v>
      </c>
      <c r="D994" s="63">
        <v>106.6763</v>
      </c>
      <c r="E994" s="64">
        <v>2.998</v>
      </c>
    </row>
    <row r="995" ht="22.5" customHeight="1">
      <c r="A995" s="66">
        <v>10.74157</v>
      </c>
      <c r="B995" s="67">
        <v>106.6885</v>
      </c>
      <c r="C995" s="67">
        <v>10.73611</v>
      </c>
      <c r="D995" s="67">
        <v>106.6908</v>
      </c>
      <c r="E995" s="68">
        <v>1.293</v>
      </c>
    </row>
    <row r="996" ht="22.5" customHeight="1">
      <c r="A996" s="61">
        <v>10.74157</v>
      </c>
      <c r="B996" s="63">
        <v>106.6885</v>
      </c>
      <c r="C996" s="63">
        <v>10.73635</v>
      </c>
      <c r="D996" s="63">
        <v>106.6714</v>
      </c>
      <c r="E996" s="64">
        <v>2.566</v>
      </c>
    </row>
    <row r="997" ht="22.5" customHeight="1">
      <c r="A997" s="66">
        <v>10.74157</v>
      </c>
      <c r="B997" s="67">
        <v>106.6885</v>
      </c>
      <c r="C997" s="67">
        <v>10.73786</v>
      </c>
      <c r="D997" s="67">
        <v>106.7205</v>
      </c>
      <c r="E997" s="68">
        <v>4.702</v>
      </c>
    </row>
    <row r="998" ht="22.5" customHeight="1">
      <c r="A998" s="61">
        <v>10.74157</v>
      </c>
      <c r="B998" s="63">
        <v>106.6885</v>
      </c>
      <c r="C998" s="63">
        <v>10.73842</v>
      </c>
      <c r="D998" s="63">
        <v>106.7164</v>
      </c>
      <c r="E998" s="64">
        <v>3.913</v>
      </c>
    </row>
    <row r="999" ht="22.5" customHeight="1">
      <c r="A999" s="66">
        <v>10.74157</v>
      </c>
      <c r="B999" s="67">
        <v>106.6885</v>
      </c>
      <c r="C999" s="67">
        <v>10.74627</v>
      </c>
      <c r="D999" s="67">
        <v>106.6776</v>
      </c>
      <c r="E999" s="68">
        <v>1.879</v>
      </c>
    </row>
    <row r="1000" ht="22.5" customHeight="1">
      <c r="A1000" s="61">
        <v>10.74157</v>
      </c>
      <c r="B1000" s="63">
        <v>106.6885</v>
      </c>
      <c r="C1000" s="63">
        <v>10.74761</v>
      </c>
      <c r="D1000" s="63">
        <v>106.689</v>
      </c>
      <c r="E1000" s="64">
        <v>0.7</v>
      </c>
    </row>
    <row r="1001" ht="22.5" customHeight="1">
      <c r="A1001" s="66">
        <v>10.74157</v>
      </c>
      <c r="B1001" s="67">
        <v>106.6885</v>
      </c>
      <c r="C1001" s="67">
        <v>10.75535</v>
      </c>
      <c r="D1001" s="67">
        <v>106.6939</v>
      </c>
      <c r="E1001" s="68">
        <v>2.363</v>
      </c>
    </row>
    <row r="1002" ht="22.5" customHeight="1">
      <c r="A1002" s="61">
        <v>10.74157</v>
      </c>
      <c r="B1002" s="63">
        <v>106.6885</v>
      </c>
      <c r="C1002" s="63">
        <v>10.75599</v>
      </c>
      <c r="D1002" s="63">
        <v>106.6825</v>
      </c>
      <c r="E1002" s="64">
        <v>2.578</v>
      </c>
    </row>
    <row r="1003" ht="22.5" customHeight="1">
      <c r="A1003" s="66">
        <v>10.74157</v>
      </c>
      <c r="B1003" s="67">
        <v>106.6885</v>
      </c>
      <c r="C1003" s="67">
        <v>10.75643</v>
      </c>
      <c r="D1003" s="67">
        <v>106.6734</v>
      </c>
      <c r="E1003" s="68">
        <v>3.684</v>
      </c>
    </row>
    <row r="1004" ht="22.5" customHeight="1">
      <c r="A1004" s="61">
        <v>10.74157</v>
      </c>
      <c r="B1004" s="63">
        <v>106.6885</v>
      </c>
      <c r="C1004" s="63">
        <v>10.75947</v>
      </c>
      <c r="D1004" s="63">
        <v>106.6805</v>
      </c>
      <c r="E1004" s="64">
        <v>3.206</v>
      </c>
    </row>
    <row r="1005" ht="22.5" customHeight="1">
      <c r="A1005" s="66">
        <v>10.74157</v>
      </c>
      <c r="B1005" s="67">
        <v>106.6885</v>
      </c>
      <c r="C1005" s="67">
        <v>10.77509</v>
      </c>
      <c r="D1005" s="67">
        <v>106.6727</v>
      </c>
      <c r="E1005" s="68">
        <v>4.4</v>
      </c>
    </row>
    <row r="1006" ht="22.5" customHeight="1">
      <c r="A1006" s="61">
        <v>10.74167</v>
      </c>
      <c r="B1006" s="63">
        <v>106.6764</v>
      </c>
      <c r="C1006" s="63">
        <v>10.73002</v>
      </c>
      <c r="D1006" s="63">
        <v>106.6559</v>
      </c>
      <c r="E1006" s="64">
        <v>3.091</v>
      </c>
    </row>
    <row r="1007" ht="22.5" customHeight="1">
      <c r="A1007" s="66">
        <v>10.74167</v>
      </c>
      <c r="B1007" s="67">
        <v>106.6764</v>
      </c>
      <c r="C1007" s="67">
        <v>10.7301</v>
      </c>
      <c r="D1007" s="67">
        <v>106.6763</v>
      </c>
      <c r="E1007" s="68">
        <v>1.841</v>
      </c>
    </row>
    <row r="1008" ht="22.5" customHeight="1">
      <c r="A1008" s="61">
        <v>10.74167</v>
      </c>
      <c r="B1008" s="63">
        <v>106.6764</v>
      </c>
      <c r="C1008" s="63">
        <v>10.73635</v>
      </c>
      <c r="D1008" s="63">
        <v>106.6714</v>
      </c>
      <c r="E1008" s="64">
        <v>0.999</v>
      </c>
    </row>
    <row r="1009" ht="22.5" customHeight="1">
      <c r="A1009" s="66">
        <v>10.74167</v>
      </c>
      <c r="B1009" s="67">
        <v>106.6764</v>
      </c>
      <c r="C1009" s="67">
        <v>10.7389</v>
      </c>
      <c r="D1009" s="67">
        <v>106.67</v>
      </c>
      <c r="E1009" s="68">
        <v>0.987</v>
      </c>
    </row>
    <row r="1010" ht="22.5" customHeight="1">
      <c r="A1010" s="61">
        <v>10.74167</v>
      </c>
      <c r="B1010" s="63">
        <v>106.6764</v>
      </c>
      <c r="C1010" s="63">
        <v>10.74131</v>
      </c>
      <c r="D1010" s="63">
        <v>106.6863</v>
      </c>
      <c r="E1010" s="64">
        <v>1.457</v>
      </c>
    </row>
    <row r="1011" ht="22.5" customHeight="1">
      <c r="A1011" s="66">
        <v>10.74167</v>
      </c>
      <c r="B1011" s="67">
        <v>106.6764</v>
      </c>
      <c r="C1011" s="67">
        <v>10.74183</v>
      </c>
      <c r="D1011" s="67">
        <v>106.6769</v>
      </c>
      <c r="E1011" s="68">
        <v>0.0</v>
      </c>
    </row>
    <row r="1012" ht="22.5" customHeight="1">
      <c r="A1012" s="61">
        <v>10.74167</v>
      </c>
      <c r="B1012" s="63">
        <v>106.6764</v>
      </c>
      <c r="C1012" s="63">
        <v>10.74627</v>
      </c>
      <c r="D1012" s="63">
        <v>106.6776</v>
      </c>
      <c r="E1012" s="64">
        <v>2.099</v>
      </c>
    </row>
    <row r="1013" ht="22.5" customHeight="1">
      <c r="A1013" s="66">
        <v>10.74183</v>
      </c>
      <c r="B1013" s="67">
        <v>106.6769</v>
      </c>
      <c r="C1013" s="67">
        <v>10.7301</v>
      </c>
      <c r="D1013" s="67">
        <v>106.6763</v>
      </c>
      <c r="E1013" s="68">
        <v>1.845</v>
      </c>
    </row>
    <row r="1014" ht="22.5" customHeight="1">
      <c r="A1014" s="61">
        <v>10.74183</v>
      </c>
      <c r="B1014" s="63">
        <v>106.6769</v>
      </c>
      <c r="C1014" s="63">
        <v>10.73635</v>
      </c>
      <c r="D1014" s="63">
        <v>106.6714</v>
      </c>
      <c r="E1014" s="64">
        <v>1.022</v>
      </c>
    </row>
    <row r="1015" ht="22.5" customHeight="1">
      <c r="A1015" s="66">
        <v>10.74183</v>
      </c>
      <c r="B1015" s="67">
        <v>106.6769</v>
      </c>
      <c r="C1015" s="67">
        <v>10.7389</v>
      </c>
      <c r="D1015" s="67">
        <v>106.67</v>
      </c>
      <c r="E1015" s="68">
        <v>0.996</v>
      </c>
    </row>
    <row r="1016" ht="22.5" customHeight="1">
      <c r="A1016" s="61">
        <v>10.74183</v>
      </c>
      <c r="B1016" s="63">
        <v>106.6769</v>
      </c>
      <c r="C1016" s="63">
        <v>10.74167</v>
      </c>
      <c r="D1016" s="63">
        <v>106.6764</v>
      </c>
      <c r="E1016" s="64">
        <v>0.0</v>
      </c>
    </row>
    <row r="1017" ht="22.5" customHeight="1">
      <c r="A1017" s="66">
        <v>10.74213</v>
      </c>
      <c r="B1017" s="67">
        <v>106.7231</v>
      </c>
      <c r="C1017" s="67">
        <v>10.73842</v>
      </c>
      <c r="D1017" s="67">
        <v>106.7164</v>
      </c>
      <c r="E1017" s="68">
        <v>2.95</v>
      </c>
    </row>
    <row r="1018" ht="22.5" customHeight="1">
      <c r="A1018" s="61">
        <v>10.74216</v>
      </c>
      <c r="B1018" s="63">
        <v>106.6199</v>
      </c>
      <c r="C1018" s="63">
        <v>10.74602</v>
      </c>
      <c r="D1018" s="63">
        <v>106.6123</v>
      </c>
      <c r="E1018" s="64">
        <v>2.37</v>
      </c>
    </row>
    <row r="1019" ht="22.5" customHeight="1">
      <c r="A1019" s="66">
        <v>10.74243</v>
      </c>
      <c r="B1019" s="67">
        <v>106.6996</v>
      </c>
      <c r="C1019" s="67">
        <v>10.73786</v>
      </c>
      <c r="D1019" s="67">
        <v>106.7205</v>
      </c>
      <c r="E1019" s="68">
        <v>2.561</v>
      </c>
    </row>
    <row r="1020" ht="22.5" customHeight="1">
      <c r="A1020" s="61">
        <v>10.74243</v>
      </c>
      <c r="B1020" s="63">
        <v>106.6996</v>
      </c>
      <c r="C1020" s="63">
        <v>10.73842</v>
      </c>
      <c r="D1020" s="63">
        <v>106.7164</v>
      </c>
      <c r="E1020" s="64">
        <v>2.553</v>
      </c>
    </row>
    <row r="1021" ht="22.5" customHeight="1">
      <c r="A1021" s="66">
        <v>10.74286</v>
      </c>
      <c r="B1021" s="67">
        <v>106.7138</v>
      </c>
      <c r="C1021" s="67">
        <v>10.73842</v>
      </c>
      <c r="D1021" s="67">
        <v>106.7164</v>
      </c>
      <c r="E1021" s="68">
        <v>1.856</v>
      </c>
    </row>
    <row r="1022" ht="22.5" customHeight="1">
      <c r="A1022" s="61">
        <v>10.7444</v>
      </c>
      <c r="B1022" s="63">
        <v>106.6304</v>
      </c>
      <c r="C1022" s="63">
        <v>10.7252</v>
      </c>
      <c r="D1022" s="63">
        <v>106.6094</v>
      </c>
      <c r="E1022" s="64">
        <v>4.315</v>
      </c>
    </row>
    <row r="1023" ht="22.5" customHeight="1">
      <c r="A1023" s="66">
        <v>10.7444</v>
      </c>
      <c r="B1023" s="67">
        <v>106.6304</v>
      </c>
      <c r="C1023" s="67">
        <v>10.73335</v>
      </c>
      <c r="D1023" s="67">
        <v>106.6088</v>
      </c>
      <c r="E1023" s="68">
        <v>3.779</v>
      </c>
    </row>
    <row r="1024" ht="22.5" customHeight="1">
      <c r="A1024" s="61">
        <v>10.7444</v>
      </c>
      <c r="B1024" s="63">
        <v>106.6304</v>
      </c>
      <c r="C1024" s="63">
        <v>10.73897</v>
      </c>
      <c r="D1024" s="63">
        <v>106.6149</v>
      </c>
      <c r="E1024" s="64">
        <v>2.457</v>
      </c>
    </row>
    <row r="1025" ht="22.5" customHeight="1">
      <c r="A1025" s="66">
        <v>10.7444</v>
      </c>
      <c r="B1025" s="67">
        <v>106.6304</v>
      </c>
      <c r="C1025" s="67">
        <v>10.73905</v>
      </c>
      <c r="D1025" s="67">
        <v>106.6327</v>
      </c>
      <c r="E1025" s="68">
        <v>0.975</v>
      </c>
    </row>
    <row r="1026" ht="22.5" customHeight="1">
      <c r="A1026" s="61">
        <v>10.7444</v>
      </c>
      <c r="B1026" s="63">
        <v>106.6304</v>
      </c>
      <c r="C1026" s="63">
        <v>10.74152</v>
      </c>
      <c r="D1026" s="63">
        <v>106.6251</v>
      </c>
      <c r="E1026" s="64">
        <v>0.956</v>
      </c>
    </row>
    <row r="1027" ht="22.5" customHeight="1">
      <c r="A1027" s="66">
        <v>10.7444</v>
      </c>
      <c r="B1027" s="67">
        <v>106.6304</v>
      </c>
      <c r="C1027" s="67">
        <v>10.7444</v>
      </c>
      <c r="D1027" s="67">
        <v>106.6304</v>
      </c>
      <c r="E1027" s="68">
        <v>0.0</v>
      </c>
    </row>
    <row r="1028" ht="22.5" customHeight="1">
      <c r="A1028" s="61">
        <v>10.7444</v>
      </c>
      <c r="B1028" s="63">
        <v>106.6304</v>
      </c>
      <c r="C1028" s="63">
        <v>10.74602</v>
      </c>
      <c r="D1028" s="63">
        <v>106.6123</v>
      </c>
      <c r="E1028" s="64">
        <v>2.968</v>
      </c>
    </row>
    <row r="1029" ht="22.5" customHeight="1">
      <c r="A1029" s="66">
        <v>10.7444</v>
      </c>
      <c r="B1029" s="67">
        <v>106.6304</v>
      </c>
      <c r="C1029" s="67">
        <v>10.74672</v>
      </c>
      <c r="D1029" s="67">
        <v>106.6132</v>
      </c>
      <c r="E1029" s="68">
        <v>2.818</v>
      </c>
    </row>
    <row r="1030" ht="22.5" customHeight="1">
      <c r="A1030" s="61">
        <v>10.7444</v>
      </c>
      <c r="B1030" s="63">
        <v>106.6304</v>
      </c>
      <c r="C1030" s="63">
        <v>10.7475</v>
      </c>
      <c r="D1030" s="63">
        <v>106.6353</v>
      </c>
      <c r="E1030" s="64">
        <v>0.765</v>
      </c>
    </row>
    <row r="1031" ht="22.5" customHeight="1">
      <c r="A1031" s="66">
        <v>10.7444</v>
      </c>
      <c r="B1031" s="67">
        <v>106.6304</v>
      </c>
      <c r="C1031" s="67">
        <v>10.74946</v>
      </c>
      <c r="D1031" s="67">
        <v>106.6451</v>
      </c>
      <c r="E1031" s="68">
        <v>1.856</v>
      </c>
    </row>
    <row r="1032" ht="22.5" customHeight="1">
      <c r="A1032" s="61">
        <v>10.7444</v>
      </c>
      <c r="B1032" s="63">
        <v>106.6304</v>
      </c>
      <c r="C1032" s="63">
        <v>10.75096</v>
      </c>
      <c r="D1032" s="63">
        <v>106.6451</v>
      </c>
      <c r="E1032" s="64">
        <v>2.313</v>
      </c>
    </row>
    <row r="1033" ht="22.5" customHeight="1">
      <c r="A1033" s="66">
        <v>10.7444</v>
      </c>
      <c r="B1033" s="67">
        <v>106.6304</v>
      </c>
      <c r="C1033" s="67">
        <v>10.75113</v>
      </c>
      <c r="D1033" s="67">
        <v>106.635</v>
      </c>
      <c r="E1033" s="68">
        <v>1.069</v>
      </c>
    </row>
    <row r="1034" ht="22.5" customHeight="1">
      <c r="A1034" s="61">
        <v>10.7444</v>
      </c>
      <c r="B1034" s="63">
        <v>106.6304</v>
      </c>
      <c r="C1034" s="63">
        <v>10.75191</v>
      </c>
      <c r="D1034" s="63">
        <v>106.6006</v>
      </c>
      <c r="E1034" s="64">
        <v>4.419</v>
      </c>
    </row>
    <row r="1035" ht="22.5" customHeight="1">
      <c r="A1035" s="66">
        <v>10.7444</v>
      </c>
      <c r="B1035" s="67">
        <v>106.6304</v>
      </c>
      <c r="C1035" s="67">
        <v>10.75538</v>
      </c>
      <c r="D1035" s="67">
        <v>106.6433</v>
      </c>
      <c r="E1035" s="68">
        <v>2.545</v>
      </c>
    </row>
    <row r="1036" ht="22.5" customHeight="1">
      <c r="A1036" s="61">
        <v>10.7444</v>
      </c>
      <c r="B1036" s="63">
        <v>106.6304</v>
      </c>
      <c r="C1036" s="63">
        <v>10.75566</v>
      </c>
      <c r="D1036" s="63">
        <v>106.6098</v>
      </c>
      <c r="E1036" s="64">
        <v>3.748</v>
      </c>
    </row>
    <row r="1037" ht="22.5" customHeight="1">
      <c r="A1037" s="66">
        <v>10.7444</v>
      </c>
      <c r="B1037" s="67">
        <v>106.6304</v>
      </c>
      <c r="C1037" s="67">
        <v>10.75807</v>
      </c>
      <c r="D1037" s="67">
        <v>106.6592</v>
      </c>
      <c r="E1037" s="68">
        <v>4.19</v>
      </c>
    </row>
    <row r="1038" ht="22.5" customHeight="1">
      <c r="A1038" s="61">
        <v>10.7444</v>
      </c>
      <c r="B1038" s="63">
        <v>106.6304</v>
      </c>
      <c r="C1038" s="63">
        <v>10.75818</v>
      </c>
      <c r="D1038" s="63">
        <v>106.6562</v>
      </c>
      <c r="E1038" s="64">
        <v>4.111</v>
      </c>
    </row>
    <row r="1039" ht="22.5" customHeight="1">
      <c r="A1039" s="66">
        <v>10.7444</v>
      </c>
      <c r="B1039" s="67">
        <v>106.6304</v>
      </c>
      <c r="C1039" s="67">
        <v>10.75998</v>
      </c>
      <c r="D1039" s="67">
        <v>106.6609</v>
      </c>
      <c r="E1039" s="68">
        <v>4.922</v>
      </c>
    </row>
    <row r="1040" ht="22.5" customHeight="1">
      <c r="A1040" s="61">
        <v>10.7444</v>
      </c>
      <c r="B1040" s="63">
        <v>106.6304</v>
      </c>
      <c r="C1040" s="63">
        <v>10.76195</v>
      </c>
      <c r="D1040" s="63">
        <v>106.6569</v>
      </c>
      <c r="E1040" s="64">
        <v>3.857</v>
      </c>
    </row>
    <row r="1041" ht="22.5" customHeight="1">
      <c r="A1041" s="66">
        <v>10.7444</v>
      </c>
      <c r="B1041" s="67">
        <v>106.6304</v>
      </c>
      <c r="C1041" s="67">
        <v>10.76198</v>
      </c>
      <c r="D1041" s="67">
        <v>106.6539</v>
      </c>
      <c r="E1041" s="68">
        <v>4.04</v>
      </c>
    </row>
    <row r="1042" ht="22.5" customHeight="1">
      <c r="A1042" s="61">
        <v>10.7444</v>
      </c>
      <c r="B1042" s="63">
        <v>106.6304</v>
      </c>
      <c r="C1042" s="63">
        <v>10.76707</v>
      </c>
      <c r="D1042" s="63">
        <v>106.6493</v>
      </c>
      <c r="E1042" s="64">
        <v>3.764</v>
      </c>
    </row>
    <row r="1043" ht="22.5" customHeight="1">
      <c r="A1043" s="66">
        <v>10.7444</v>
      </c>
      <c r="B1043" s="67">
        <v>106.6304</v>
      </c>
      <c r="C1043" s="67">
        <v>10.76809</v>
      </c>
      <c r="D1043" s="67">
        <v>106.6092</v>
      </c>
      <c r="E1043" s="68">
        <v>5.035</v>
      </c>
    </row>
    <row r="1044" ht="22.5" customHeight="1">
      <c r="A1044" s="61">
        <v>10.7444</v>
      </c>
      <c r="B1044" s="63">
        <v>106.6304</v>
      </c>
      <c r="C1044" s="63">
        <v>10.7692</v>
      </c>
      <c r="D1044" s="63">
        <v>106.6516</v>
      </c>
      <c r="E1044" s="64">
        <v>4.65</v>
      </c>
    </row>
    <row r="1045" ht="22.5" customHeight="1">
      <c r="A1045" s="66">
        <v>10.7444</v>
      </c>
      <c r="B1045" s="67">
        <v>106.6304</v>
      </c>
      <c r="C1045" s="67">
        <v>10.77167</v>
      </c>
      <c r="D1045" s="67">
        <v>106.5865</v>
      </c>
      <c r="E1045" s="68">
        <v>8.087</v>
      </c>
    </row>
    <row r="1046" ht="22.5" customHeight="1">
      <c r="A1046" s="61">
        <v>10.7444</v>
      </c>
      <c r="B1046" s="63">
        <v>106.6304</v>
      </c>
      <c r="C1046" s="63">
        <v>10.7748</v>
      </c>
      <c r="D1046" s="63">
        <v>106.6483</v>
      </c>
      <c r="E1046" s="64">
        <v>4.926</v>
      </c>
    </row>
    <row r="1047" ht="22.5" customHeight="1">
      <c r="A1047" s="66">
        <v>10.7444</v>
      </c>
      <c r="B1047" s="67">
        <v>106.6304</v>
      </c>
      <c r="C1047" s="67">
        <v>10.77509</v>
      </c>
      <c r="D1047" s="67">
        <v>106.6727</v>
      </c>
      <c r="E1047" s="68">
        <v>6.753</v>
      </c>
    </row>
    <row r="1048" ht="22.5" customHeight="1">
      <c r="A1048" s="61">
        <v>10.7444</v>
      </c>
      <c r="B1048" s="63">
        <v>106.6304</v>
      </c>
      <c r="C1048" s="63">
        <v>10.77584</v>
      </c>
      <c r="D1048" s="63">
        <v>106.6133</v>
      </c>
      <c r="E1048" s="64">
        <v>6.001</v>
      </c>
    </row>
    <row r="1049" ht="22.5" customHeight="1">
      <c r="A1049" s="66">
        <v>10.7444</v>
      </c>
      <c r="B1049" s="67">
        <v>106.6304</v>
      </c>
      <c r="C1049" s="67">
        <v>10.77656</v>
      </c>
      <c r="D1049" s="67">
        <v>106.6049</v>
      </c>
      <c r="E1049" s="68">
        <v>6.155</v>
      </c>
    </row>
    <row r="1050" ht="22.5" customHeight="1">
      <c r="A1050" s="61">
        <v>10.7444</v>
      </c>
      <c r="B1050" s="63">
        <v>106.6304</v>
      </c>
      <c r="C1050" s="63">
        <v>10.78747</v>
      </c>
      <c r="D1050" s="63">
        <v>106.5981</v>
      </c>
      <c r="E1050" s="64">
        <v>8.799</v>
      </c>
    </row>
    <row r="1051" ht="22.5" customHeight="1">
      <c r="A1051" s="66">
        <v>10.74441</v>
      </c>
      <c r="B1051" s="67">
        <v>106.6305</v>
      </c>
      <c r="C1051" s="67">
        <v>10.7444</v>
      </c>
      <c r="D1051" s="67">
        <v>106.6304</v>
      </c>
      <c r="E1051" s="68">
        <v>0.006</v>
      </c>
    </row>
    <row r="1052" ht="22.5" customHeight="1">
      <c r="A1052" s="61">
        <v>10.74447</v>
      </c>
      <c r="B1052" s="63">
        <v>106.711</v>
      </c>
      <c r="C1052" s="63">
        <v>10.73186</v>
      </c>
      <c r="D1052" s="63">
        <v>106.7079</v>
      </c>
      <c r="E1052" s="64">
        <v>3.527</v>
      </c>
    </row>
    <row r="1053" ht="22.5" customHeight="1">
      <c r="A1053" s="66">
        <v>10.74447</v>
      </c>
      <c r="B1053" s="67">
        <v>106.711</v>
      </c>
      <c r="C1053" s="67">
        <v>10.73786</v>
      </c>
      <c r="D1053" s="67">
        <v>106.7205</v>
      </c>
      <c r="E1053" s="68">
        <v>2.349</v>
      </c>
    </row>
    <row r="1054" ht="22.5" customHeight="1">
      <c r="A1054" s="61">
        <v>10.74447</v>
      </c>
      <c r="B1054" s="63">
        <v>106.711</v>
      </c>
      <c r="C1054" s="63">
        <v>10.73842</v>
      </c>
      <c r="D1054" s="63">
        <v>106.7164</v>
      </c>
      <c r="E1054" s="64">
        <v>1.75</v>
      </c>
    </row>
    <row r="1055" ht="22.5" customHeight="1">
      <c r="A1055" s="66">
        <v>10.74447</v>
      </c>
      <c r="B1055" s="67">
        <v>106.711</v>
      </c>
      <c r="C1055" s="67">
        <v>10.74042</v>
      </c>
      <c r="D1055" s="67">
        <v>106.7301</v>
      </c>
      <c r="E1055" s="68">
        <v>3.317</v>
      </c>
    </row>
    <row r="1056" ht="22.5" customHeight="1">
      <c r="A1056" s="61">
        <v>10.74447</v>
      </c>
      <c r="B1056" s="63">
        <v>106.711</v>
      </c>
      <c r="C1056" s="63">
        <v>10.74504</v>
      </c>
      <c r="D1056" s="63">
        <v>106.7125</v>
      </c>
      <c r="E1056" s="64">
        <v>0.164</v>
      </c>
    </row>
    <row r="1057" ht="22.5" customHeight="1">
      <c r="A1057" s="66">
        <v>10.74447</v>
      </c>
      <c r="B1057" s="67">
        <v>106.711</v>
      </c>
      <c r="C1057" s="67">
        <v>10.74814</v>
      </c>
      <c r="D1057" s="67">
        <v>106.7133</v>
      </c>
      <c r="E1057" s="68">
        <v>1.448</v>
      </c>
    </row>
    <row r="1058" ht="22.5" customHeight="1">
      <c r="A1058" s="61">
        <v>10.74447</v>
      </c>
      <c r="B1058" s="63">
        <v>106.711</v>
      </c>
      <c r="C1058" s="63">
        <v>10.77509</v>
      </c>
      <c r="D1058" s="63">
        <v>106.6727</v>
      </c>
      <c r="E1058" s="64">
        <v>7.273</v>
      </c>
    </row>
    <row r="1059" ht="22.5" customHeight="1">
      <c r="A1059" s="66">
        <v>10.74504</v>
      </c>
      <c r="B1059" s="67">
        <v>106.7125</v>
      </c>
      <c r="C1059" s="67">
        <v>10.73672</v>
      </c>
      <c r="D1059" s="67">
        <v>106.7089</v>
      </c>
      <c r="E1059" s="68">
        <v>1.544</v>
      </c>
    </row>
    <row r="1060" ht="22.5" customHeight="1">
      <c r="A1060" s="61">
        <v>10.74504</v>
      </c>
      <c r="B1060" s="63">
        <v>106.7125</v>
      </c>
      <c r="C1060" s="63">
        <v>10.73786</v>
      </c>
      <c r="D1060" s="63">
        <v>106.7205</v>
      </c>
      <c r="E1060" s="64">
        <v>2.13</v>
      </c>
    </row>
    <row r="1061" ht="22.5" customHeight="1">
      <c r="A1061" s="66">
        <v>10.74504</v>
      </c>
      <c r="B1061" s="67">
        <v>106.7125</v>
      </c>
      <c r="C1061" s="67">
        <v>10.73816</v>
      </c>
      <c r="D1061" s="67">
        <v>106.7211</v>
      </c>
      <c r="E1061" s="68">
        <v>1.671</v>
      </c>
    </row>
    <row r="1062" ht="22.5" customHeight="1">
      <c r="A1062" s="61">
        <v>10.74504</v>
      </c>
      <c r="B1062" s="63">
        <v>106.7125</v>
      </c>
      <c r="C1062" s="63">
        <v>10.73842</v>
      </c>
      <c r="D1062" s="63">
        <v>106.7164</v>
      </c>
      <c r="E1062" s="64">
        <v>2.227</v>
      </c>
    </row>
    <row r="1063" ht="22.5" customHeight="1">
      <c r="A1063" s="66">
        <v>10.74504</v>
      </c>
      <c r="B1063" s="67">
        <v>106.7125</v>
      </c>
      <c r="C1063" s="67">
        <v>10.74042</v>
      </c>
      <c r="D1063" s="67">
        <v>106.7301</v>
      </c>
      <c r="E1063" s="68">
        <v>3.039</v>
      </c>
    </row>
    <row r="1064" ht="22.5" customHeight="1">
      <c r="A1064" s="61">
        <v>10.74504</v>
      </c>
      <c r="B1064" s="63">
        <v>106.7125</v>
      </c>
      <c r="C1064" s="63">
        <v>10.74068</v>
      </c>
      <c r="D1064" s="63">
        <v>106.7064</v>
      </c>
      <c r="E1064" s="64">
        <v>1.138</v>
      </c>
    </row>
    <row r="1065" ht="22.5" customHeight="1">
      <c r="A1065" s="66">
        <v>10.74563</v>
      </c>
      <c r="B1065" s="67">
        <v>106.6589</v>
      </c>
      <c r="C1065" s="67">
        <v>10.7389</v>
      </c>
      <c r="D1065" s="67">
        <v>106.67</v>
      </c>
      <c r="E1065" s="68">
        <v>2.711</v>
      </c>
    </row>
    <row r="1066" ht="22.5" customHeight="1">
      <c r="A1066" s="61">
        <v>10.74602</v>
      </c>
      <c r="B1066" s="63">
        <v>106.6123</v>
      </c>
      <c r="C1066" s="63">
        <v>10.65412</v>
      </c>
      <c r="D1066" s="63">
        <v>106.5867</v>
      </c>
      <c r="E1066" s="64">
        <v>13.2</v>
      </c>
    </row>
    <row r="1067" ht="22.5" customHeight="1">
      <c r="A1067" s="66">
        <v>10.74602</v>
      </c>
      <c r="B1067" s="67">
        <v>106.6123</v>
      </c>
      <c r="C1067" s="67">
        <v>10.65647</v>
      </c>
      <c r="D1067" s="67">
        <v>106.5841</v>
      </c>
      <c r="E1067" s="68">
        <v>12.8</v>
      </c>
    </row>
    <row r="1068" ht="22.5" customHeight="1">
      <c r="A1068" s="61">
        <v>10.74602</v>
      </c>
      <c r="B1068" s="63">
        <v>106.6123</v>
      </c>
      <c r="C1068" s="63">
        <v>10.69088</v>
      </c>
      <c r="D1068" s="63">
        <v>106.586</v>
      </c>
      <c r="E1068" s="64">
        <v>8.7</v>
      </c>
    </row>
    <row r="1069" ht="22.5" customHeight="1">
      <c r="A1069" s="66">
        <v>10.74602</v>
      </c>
      <c r="B1069" s="67">
        <v>106.6123</v>
      </c>
      <c r="C1069" s="67">
        <v>10.69376</v>
      </c>
      <c r="D1069" s="67">
        <v>106.5802</v>
      </c>
      <c r="E1069" s="68">
        <v>8.2</v>
      </c>
    </row>
    <row r="1070" ht="22.5" customHeight="1">
      <c r="A1070" s="61">
        <v>10.74602</v>
      </c>
      <c r="B1070" s="63">
        <v>106.6123</v>
      </c>
      <c r="C1070" s="63">
        <v>10.69407</v>
      </c>
      <c r="D1070" s="63">
        <v>106.5849</v>
      </c>
      <c r="E1070" s="64">
        <v>7.7</v>
      </c>
    </row>
    <row r="1071" ht="22.5" customHeight="1">
      <c r="A1071" s="66">
        <v>10.74602</v>
      </c>
      <c r="B1071" s="67">
        <v>106.6123</v>
      </c>
      <c r="C1071" s="67">
        <v>10.70499</v>
      </c>
      <c r="D1071" s="67">
        <v>106.5965</v>
      </c>
      <c r="E1071" s="68">
        <v>5.5</v>
      </c>
    </row>
    <row r="1072" ht="22.5" customHeight="1">
      <c r="A1072" s="61">
        <v>10.74602</v>
      </c>
      <c r="B1072" s="63">
        <v>106.6123</v>
      </c>
      <c r="C1072" s="63">
        <v>10.70929</v>
      </c>
      <c r="D1072" s="63">
        <v>106.576</v>
      </c>
      <c r="E1072" s="64">
        <v>8.4</v>
      </c>
    </row>
    <row r="1073" ht="22.5" customHeight="1">
      <c r="A1073" s="66">
        <v>10.74602</v>
      </c>
      <c r="B1073" s="67">
        <v>106.6123</v>
      </c>
      <c r="C1073" s="67">
        <v>10.71016</v>
      </c>
      <c r="D1073" s="67">
        <v>106.5747</v>
      </c>
      <c r="E1073" s="68">
        <v>9.4</v>
      </c>
    </row>
    <row r="1074" ht="22.5" customHeight="1">
      <c r="A1074" s="61">
        <v>10.74602</v>
      </c>
      <c r="B1074" s="63">
        <v>106.6123</v>
      </c>
      <c r="C1074" s="63">
        <v>10.711</v>
      </c>
      <c r="D1074" s="63">
        <v>106.5765</v>
      </c>
      <c r="E1074" s="64">
        <v>8.5</v>
      </c>
    </row>
    <row r="1075" ht="22.5" customHeight="1">
      <c r="A1075" s="66">
        <v>10.74602</v>
      </c>
      <c r="B1075" s="67">
        <v>106.6123</v>
      </c>
      <c r="C1075" s="67">
        <v>10.7252</v>
      </c>
      <c r="D1075" s="67">
        <v>106.6094</v>
      </c>
      <c r="E1075" s="68">
        <v>2.8</v>
      </c>
    </row>
    <row r="1076" ht="22.5" customHeight="1">
      <c r="A1076" s="61">
        <v>10.74602</v>
      </c>
      <c r="B1076" s="63">
        <v>106.6123</v>
      </c>
      <c r="C1076" s="63">
        <v>10.72565</v>
      </c>
      <c r="D1076" s="63">
        <v>106.5954</v>
      </c>
      <c r="E1076" s="64">
        <v>4.1</v>
      </c>
    </row>
    <row r="1077" ht="22.5" customHeight="1">
      <c r="A1077" s="66">
        <v>10.74602</v>
      </c>
      <c r="B1077" s="67">
        <v>106.6123</v>
      </c>
      <c r="C1077" s="67">
        <v>10.73897</v>
      </c>
      <c r="D1077" s="67">
        <v>106.6149</v>
      </c>
      <c r="E1077" s="68">
        <v>1.272</v>
      </c>
    </row>
    <row r="1078" ht="22.5" customHeight="1">
      <c r="A1078" s="61">
        <v>10.74602</v>
      </c>
      <c r="B1078" s="63">
        <v>106.6123</v>
      </c>
      <c r="C1078" s="63">
        <v>10.73908</v>
      </c>
      <c r="D1078" s="63">
        <v>106.6149</v>
      </c>
      <c r="E1078" s="64">
        <v>1.1</v>
      </c>
    </row>
    <row r="1079" ht="22.5" customHeight="1">
      <c r="A1079" s="66">
        <v>10.74602</v>
      </c>
      <c r="B1079" s="67">
        <v>106.6123</v>
      </c>
      <c r="C1079" s="67">
        <v>10.7406</v>
      </c>
      <c r="D1079" s="67">
        <v>106.6072</v>
      </c>
      <c r="E1079" s="68">
        <v>1.0</v>
      </c>
    </row>
    <row r="1080" ht="22.5" customHeight="1">
      <c r="A1080" s="61">
        <v>10.74602</v>
      </c>
      <c r="B1080" s="63">
        <v>106.6123</v>
      </c>
      <c r="C1080" s="63">
        <v>10.74097</v>
      </c>
      <c r="D1080" s="63">
        <v>106.6091</v>
      </c>
      <c r="E1080" s="64">
        <v>0.9</v>
      </c>
    </row>
    <row r="1081" ht="22.5" customHeight="1">
      <c r="A1081" s="66">
        <v>10.74602</v>
      </c>
      <c r="B1081" s="67">
        <v>106.6123</v>
      </c>
      <c r="C1081" s="67">
        <v>10.74152</v>
      </c>
      <c r="D1081" s="67">
        <v>106.6251</v>
      </c>
      <c r="E1081" s="68">
        <v>2.8</v>
      </c>
    </row>
    <row r="1082" ht="22.5" customHeight="1">
      <c r="A1082" s="61">
        <v>10.74602</v>
      </c>
      <c r="B1082" s="63">
        <v>106.6123</v>
      </c>
      <c r="C1082" s="63">
        <v>10.7444</v>
      </c>
      <c r="D1082" s="63">
        <v>106.6304</v>
      </c>
      <c r="E1082" s="64">
        <v>3.2</v>
      </c>
    </row>
    <row r="1083" ht="22.5" customHeight="1">
      <c r="A1083" s="66">
        <v>10.74602</v>
      </c>
      <c r="B1083" s="67">
        <v>106.6123</v>
      </c>
      <c r="C1083" s="67">
        <v>10.74602</v>
      </c>
      <c r="D1083" s="67">
        <v>106.6123</v>
      </c>
      <c r="E1083" s="68">
        <v>0.001</v>
      </c>
    </row>
    <row r="1084" ht="22.5" customHeight="1">
      <c r="A1084" s="61">
        <v>10.74602</v>
      </c>
      <c r="B1084" s="63">
        <v>106.6123</v>
      </c>
      <c r="C1084" s="63">
        <v>10.74946</v>
      </c>
      <c r="D1084" s="63">
        <v>106.6451</v>
      </c>
      <c r="E1084" s="64">
        <v>4.6</v>
      </c>
    </row>
    <row r="1085" ht="22.5" customHeight="1">
      <c r="A1085" s="66">
        <v>10.74602</v>
      </c>
      <c r="B1085" s="67">
        <v>106.6123</v>
      </c>
      <c r="C1085" s="67">
        <v>10.75113</v>
      </c>
      <c r="D1085" s="67">
        <v>106.635</v>
      </c>
      <c r="E1085" s="68">
        <v>3.2</v>
      </c>
    </row>
    <row r="1086" ht="22.5" customHeight="1">
      <c r="A1086" s="61">
        <v>10.74602</v>
      </c>
      <c r="B1086" s="63">
        <v>106.6123</v>
      </c>
      <c r="C1086" s="63">
        <v>10.75153</v>
      </c>
      <c r="D1086" s="63">
        <v>106.6116</v>
      </c>
      <c r="E1086" s="64">
        <v>1.1</v>
      </c>
    </row>
    <row r="1087" ht="22.5" customHeight="1">
      <c r="A1087" s="66">
        <v>10.74602</v>
      </c>
      <c r="B1087" s="67">
        <v>106.6123</v>
      </c>
      <c r="C1087" s="67">
        <v>10.75168</v>
      </c>
      <c r="D1087" s="67">
        <v>106.6103</v>
      </c>
      <c r="E1087" s="68">
        <v>1.6</v>
      </c>
    </row>
    <row r="1088" ht="22.5" customHeight="1">
      <c r="A1088" s="61">
        <v>10.74602</v>
      </c>
      <c r="B1088" s="63">
        <v>106.6123</v>
      </c>
      <c r="C1088" s="63">
        <v>10.7518</v>
      </c>
      <c r="D1088" s="63">
        <v>106.6273</v>
      </c>
      <c r="E1088" s="64">
        <v>3.3</v>
      </c>
    </row>
    <row r="1089" ht="22.5" customHeight="1">
      <c r="A1089" s="66">
        <v>10.74602</v>
      </c>
      <c r="B1089" s="67">
        <v>106.6123</v>
      </c>
      <c r="C1089" s="67">
        <v>10.75191</v>
      </c>
      <c r="D1089" s="67">
        <v>106.6006</v>
      </c>
      <c r="E1089" s="68">
        <v>2.2</v>
      </c>
    </row>
    <row r="1090" ht="22.5" customHeight="1">
      <c r="A1090" s="61">
        <v>10.74602</v>
      </c>
      <c r="B1090" s="63">
        <v>106.6123</v>
      </c>
      <c r="C1090" s="63">
        <v>10.7531</v>
      </c>
      <c r="D1090" s="63">
        <v>106.6508</v>
      </c>
      <c r="E1090" s="64">
        <v>5.562</v>
      </c>
    </row>
    <row r="1091" ht="22.5" customHeight="1">
      <c r="A1091" s="66">
        <v>10.74602</v>
      </c>
      <c r="B1091" s="67">
        <v>106.6123</v>
      </c>
      <c r="C1091" s="67">
        <v>10.75347</v>
      </c>
      <c r="D1091" s="67">
        <v>106.5931</v>
      </c>
      <c r="E1091" s="68">
        <v>3.3</v>
      </c>
    </row>
    <row r="1092" ht="22.5" customHeight="1">
      <c r="A1092" s="61">
        <v>10.74602</v>
      </c>
      <c r="B1092" s="63">
        <v>106.6123</v>
      </c>
      <c r="C1092" s="63">
        <v>10.75538</v>
      </c>
      <c r="D1092" s="63">
        <v>106.6433</v>
      </c>
      <c r="E1092" s="64">
        <v>4.9</v>
      </c>
    </row>
    <row r="1093" ht="22.5" customHeight="1">
      <c r="A1093" s="66">
        <v>10.74602</v>
      </c>
      <c r="B1093" s="67">
        <v>106.6123</v>
      </c>
      <c r="C1093" s="67">
        <v>10.76707</v>
      </c>
      <c r="D1093" s="67">
        <v>106.6493</v>
      </c>
      <c r="E1093" s="68">
        <v>6.436</v>
      </c>
    </row>
    <row r="1094" ht="22.5" customHeight="1">
      <c r="A1094" s="61">
        <v>10.74602</v>
      </c>
      <c r="B1094" s="63">
        <v>106.6123</v>
      </c>
      <c r="C1094" s="63">
        <v>10.7716</v>
      </c>
      <c r="D1094" s="63">
        <v>106.6285</v>
      </c>
      <c r="E1094" s="64">
        <v>6.0</v>
      </c>
    </row>
    <row r="1095" ht="22.5" customHeight="1">
      <c r="A1095" s="66">
        <v>10.74602</v>
      </c>
      <c r="B1095" s="67">
        <v>106.6123</v>
      </c>
      <c r="C1095" s="67">
        <v>10.77167</v>
      </c>
      <c r="D1095" s="67">
        <v>106.5865</v>
      </c>
      <c r="E1095" s="68">
        <v>5.0</v>
      </c>
    </row>
    <row r="1096" ht="22.5" customHeight="1">
      <c r="A1096" s="61">
        <v>10.74602</v>
      </c>
      <c r="B1096" s="63">
        <v>106.6123</v>
      </c>
      <c r="C1096" s="63">
        <v>10.77231</v>
      </c>
      <c r="D1096" s="63">
        <v>106.6319</v>
      </c>
      <c r="E1096" s="64">
        <v>5.9</v>
      </c>
    </row>
    <row r="1097" ht="22.5" customHeight="1">
      <c r="A1097" s="66">
        <v>10.74602</v>
      </c>
      <c r="B1097" s="67">
        <v>106.6123</v>
      </c>
      <c r="C1097" s="67">
        <v>10.77479</v>
      </c>
      <c r="D1097" s="67">
        <v>106.6385</v>
      </c>
      <c r="E1097" s="68">
        <v>6.4</v>
      </c>
    </row>
    <row r="1098" ht="22.5" customHeight="1">
      <c r="A1098" s="61">
        <v>10.74602</v>
      </c>
      <c r="B1098" s="63">
        <v>106.6123</v>
      </c>
      <c r="C1098" s="63">
        <v>10.7748</v>
      </c>
      <c r="D1098" s="63">
        <v>106.6483</v>
      </c>
      <c r="E1098" s="64">
        <v>7.0</v>
      </c>
    </row>
    <row r="1099" ht="22.5" customHeight="1">
      <c r="A1099" s="66">
        <v>10.74602</v>
      </c>
      <c r="B1099" s="67">
        <v>106.6123</v>
      </c>
      <c r="C1099" s="67">
        <v>10.77509</v>
      </c>
      <c r="D1099" s="67">
        <v>106.6727</v>
      </c>
      <c r="E1099" s="68">
        <v>9.2</v>
      </c>
    </row>
    <row r="1100" ht="22.5" customHeight="1">
      <c r="A1100" s="61">
        <v>10.74602</v>
      </c>
      <c r="B1100" s="63">
        <v>106.6123</v>
      </c>
      <c r="C1100" s="63">
        <v>10.77618</v>
      </c>
      <c r="D1100" s="63">
        <v>106.607</v>
      </c>
      <c r="E1100" s="64">
        <v>3.855</v>
      </c>
    </row>
    <row r="1101" ht="22.5" customHeight="1">
      <c r="A1101" s="66">
        <v>10.74602</v>
      </c>
      <c r="B1101" s="67">
        <v>106.6123</v>
      </c>
      <c r="C1101" s="67">
        <v>10.78264</v>
      </c>
      <c r="D1101" s="67">
        <v>106.6267</v>
      </c>
      <c r="E1101" s="68">
        <v>6.0</v>
      </c>
    </row>
    <row r="1102" ht="22.5" customHeight="1">
      <c r="A1102" s="61">
        <v>10.74602</v>
      </c>
      <c r="B1102" s="63">
        <v>106.6123</v>
      </c>
      <c r="C1102" s="63">
        <v>10.78294</v>
      </c>
      <c r="D1102" s="63">
        <v>106.6506</v>
      </c>
      <c r="E1102" s="64">
        <v>7.9</v>
      </c>
    </row>
    <row r="1103" ht="22.5" customHeight="1">
      <c r="A1103" s="66">
        <v>10.74602</v>
      </c>
      <c r="B1103" s="67">
        <v>106.6123</v>
      </c>
      <c r="C1103" s="67">
        <v>10.78747</v>
      </c>
      <c r="D1103" s="67">
        <v>106.5981</v>
      </c>
      <c r="E1103" s="68">
        <v>5.4</v>
      </c>
    </row>
    <row r="1104" ht="22.5" customHeight="1">
      <c r="A1104" s="61">
        <v>10.74602</v>
      </c>
      <c r="B1104" s="63">
        <v>106.6123</v>
      </c>
      <c r="C1104" s="63">
        <v>10.79525</v>
      </c>
      <c r="D1104" s="63">
        <v>106.6294</v>
      </c>
      <c r="E1104" s="64">
        <v>7.4</v>
      </c>
    </row>
    <row r="1105" ht="22.5" customHeight="1">
      <c r="A1105" s="66">
        <v>10.74602</v>
      </c>
      <c r="B1105" s="67">
        <v>106.6123</v>
      </c>
      <c r="C1105" s="67">
        <v>10.79574</v>
      </c>
      <c r="D1105" s="67">
        <v>106.6229</v>
      </c>
      <c r="E1105" s="68">
        <v>7.0</v>
      </c>
    </row>
    <row r="1106" ht="22.5" customHeight="1">
      <c r="A1106" s="61">
        <v>10.74602</v>
      </c>
      <c r="B1106" s="63">
        <v>106.6123</v>
      </c>
      <c r="C1106" s="63">
        <v>10.7972</v>
      </c>
      <c r="D1106" s="63">
        <v>106.6307</v>
      </c>
      <c r="E1106" s="64">
        <v>7.6</v>
      </c>
    </row>
    <row r="1107" ht="22.5" customHeight="1">
      <c r="A1107" s="66">
        <v>10.74602</v>
      </c>
      <c r="B1107" s="67">
        <v>106.6123</v>
      </c>
      <c r="C1107" s="67">
        <v>10.81094</v>
      </c>
      <c r="D1107" s="67">
        <v>106.611</v>
      </c>
      <c r="E1107" s="68">
        <v>10.0</v>
      </c>
    </row>
    <row r="1108" ht="22.5" customHeight="1">
      <c r="A1108" s="61">
        <v>10.74602</v>
      </c>
      <c r="B1108" s="63">
        <v>106.6123</v>
      </c>
      <c r="C1108" s="63">
        <v>10.81147</v>
      </c>
      <c r="D1108" s="63">
        <v>106.6107</v>
      </c>
      <c r="E1108" s="64">
        <v>9.3</v>
      </c>
    </row>
    <row r="1109" ht="22.5" customHeight="1">
      <c r="A1109" s="66">
        <v>10.74603</v>
      </c>
      <c r="B1109" s="67">
        <v>106.6685</v>
      </c>
      <c r="C1109" s="67">
        <v>10.7389</v>
      </c>
      <c r="D1109" s="67">
        <v>106.67</v>
      </c>
      <c r="E1109" s="68">
        <v>1.613</v>
      </c>
    </row>
    <row r="1110" ht="22.5" customHeight="1">
      <c r="A1110" s="61">
        <v>10.74627</v>
      </c>
      <c r="B1110" s="63">
        <v>106.6776</v>
      </c>
      <c r="C1110" s="63">
        <v>10.7231</v>
      </c>
      <c r="D1110" s="63">
        <v>106.6556</v>
      </c>
      <c r="E1110" s="64">
        <v>4.51</v>
      </c>
    </row>
    <row r="1111" ht="22.5" customHeight="1">
      <c r="A1111" s="66">
        <v>10.74627</v>
      </c>
      <c r="B1111" s="67">
        <v>106.6776</v>
      </c>
      <c r="C1111" s="67">
        <v>10.7301</v>
      </c>
      <c r="D1111" s="67">
        <v>106.6763</v>
      </c>
      <c r="E1111" s="68">
        <v>2.436</v>
      </c>
    </row>
    <row r="1112" ht="22.5" customHeight="1">
      <c r="A1112" s="61">
        <v>10.74627</v>
      </c>
      <c r="B1112" s="63">
        <v>106.6776</v>
      </c>
      <c r="C1112" s="63">
        <v>10.73611</v>
      </c>
      <c r="D1112" s="63">
        <v>106.6908</v>
      </c>
      <c r="E1112" s="64">
        <v>2.717</v>
      </c>
    </row>
    <row r="1113" ht="22.5" customHeight="1">
      <c r="A1113" s="66">
        <v>10.74627</v>
      </c>
      <c r="B1113" s="67">
        <v>106.6776</v>
      </c>
      <c r="C1113" s="67">
        <v>10.73842</v>
      </c>
      <c r="D1113" s="67">
        <v>106.7164</v>
      </c>
      <c r="E1113" s="68">
        <v>7.906</v>
      </c>
    </row>
    <row r="1114" ht="22.5" customHeight="1">
      <c r="A1114" s="61">
        <v>10.74627</v>
      </c>
      <c r="B1114" s="63">
        <v>106.6776</v>
      </c>
      <c r="C1114" s="63">
        <v>10.7389</v>
      </c>
      <c r="D1114" s="63">
        <v>106.67</v>
      </c>
      <c r="E1114" s="64">
        <v>1.6</v>
      </c>
    </row>
    <row r="1115" ht="22.5" customHeight="1">
      <c r="A1115" s="66">
        <v>10.74627</v>
      </c>
      <c r="B1115" s="67">
        <v>106.6776</v>
      </c>
      <c r="C1115" s="67">
        <v>10.74167</v>
      </c>
      <c r="D1115" s="67">
        <v>106.6764</v>
      </c>
      <c r="E1115" s="68">
        <v>0.76</v>
      </c>
    </row>
    <row r="1116" ht="22.5" customHeight="1">
      <c r="A1116" s="61">
        <v>10.74627</v>
      </c>
      <c r="B1116" s="63">
        <v>106.6776</v>
      </c>
      <c r="C1116" s="63">
        <v>10.74761</v>
      </c>
      <c r="D1116" s="63">
        <v>106.689</v>
      </c>
      <c r="E1116" s="64">
        <v>2.0</v>
      </c>
    </row>
    <row r="1117" ht="22.5" customHeight="1">
      <c r="A1117" s="66">
        <v>10.74627</v>
      </c>
      <c r="B1117" s="67">
        <v>106.6776</v>
      </c>
      <c r="C1117" s="67">
        <v>10.77509</v>
      </c>
      <c r="D1117" s="67">
        <v>106.6727</v>
      </c>
      <c r="E1117" s="68">
        <v>5.2</v>
      </c>
    </row>
    <row r="1118" ht="22.5" customHeight="1">
      <c r="A1118" s="61">
        <v>10.74654</v>
      </c>
      <c r="B1118" s="63">
        <v>106.6345</v>
      </c>
      <c r="C1118" s="63">
        <v>10.75113</v>
      </c>
      <c r="D1118" s="63">
        <v>106.635</v>
      </c>
      <c r="E1118" s="64">
        <v>0.647</v>
      </c>
    </row>
    <row r="1119" ht="22.5" customHeight="1">
      <c r="A1119" s="66">
        <v>10.74672</v>
      </c>
      <c r="B1119" s="67">
        <v>106.6132</v>
      </c>
      <c r="C1119" s="67">
        <v>10.7252</v>
      </c>
      <c r="D1119" s="67">
        <v>106.6094</v>
      </c>
      <c r="E1119" s="68">
        <v>2.915</v>
      </c>
    </row>
    <row r="1120" ht="22.5" customHeight="1">
      <c r="A1120" s="61">
        <v>10.74672</v>
      </c>
      <c r="B1120" s="63">
        <v>106.6132</v>
      </c>
      <c r="C1120" s="63">
        <v>10.73897</v>
      </c>
      <c r="D1120" s="63">
        <v>106.6149</v>
      </c>
      <c r="E1120" s="64">
        <v>1.69</v>
      </c>
    </row>
    <row r="1121" ht="22.5" customHeight="1">
      <c r="A1121" s="66">
        <v>10.74672</v>
      </c>
      <c r="B1121" s="67">
        <v>106.6132</v>
      </c>
      <c r="C1121" s="67">
        <v>10.73908</v>
      </c>
      <c r="D1121" s="67">
        <v>106.6149</v>
      </c>
      <c r="E1121" s="68">
        <v>1.401</v>
      </c>
    </row>
    <row r="1122" ht="22.5" customHeight="1">
      <c r="A1122" s="61">
        <v>10.74672</v>
      </c>
      <c r="B1122" s="63">
        <v>106.6132</v>
      </c>
      <c r="C1122" s="63">
        <v>10.7444</v>
      </c>
      <c r="D1122" s="63">
        <v>106.6304</v>
      </c>
      <c r="E1122" s="64">
        <v>2.813</v>
      </c>
    </row>
    <row r="1123" ht="22.5" customHeight="1">
      <c r="A1123" s="66">
        <v>10.74672</v>
      </c>
      <c r="B1123" s="67">
        <v>106.6132</v>
      </c>
      <c r="C1123" s="67">
        <v>10.74602</v>
      </c>
      <c r="D1123" s="67">
        <v>106.6123</v>
      </c>
      <c r="E1123" s="68">
        <v>0.49</v>
      </c>
    </row>
    <row r="1124" ht="22.5" customHeight="1">
      <c r="A1124" s="61">
        <v>10.74672</v>
      </c>
      <c r="B1124" s="63">
        <v>106.6132</v>
      </c>
      <c r="C1124" s="63">
        <v>10.75191</v>
      </c>
      <c r="D1124" s="63">
        <v>106.6006</v>
      </c>
      <c r="E1124" s="64">
        <v>1.883</v>
      </c>
    </row>
    <row r="1125" ht="22.5" customHeight="1">
      <c r="A1125" s="66">
        <v>10.74672</v>
      </c>
      <c r="B1125" s="67">
        <v>106.6132</v>
      </c>
      <c r="C1125" s="67">
        <v>10.75566</v>
      </c>
      <c r="D1125" s="67">
        <v>106.6098</v>
      </c>
      <c r="E1125" s="68">
        <v>1.203</v>
      </c>
    </row>
    <row r="1126" ht="22.5" customHeight="1">
      <c r="A1126" s="61">
        <v>10.74672</v>
      </c>
      <c r="B1126" s="63">
        <v>106.6132</v>
      </c>
      <c r="C1126" s="63">
        <v>10.75591</v>
      </c>
      <c r="D1126" s="63">
        <v>106.611</v>
      </c>
      <c r="E1126" s="64">
        <v>1.389</v>
      </c>
    </row>
    <row r="1127" ht="22.5" customHeight="1">
      <c r="A1127" s="66">
        <v>10.74672</v>
      </c>
      <c r="B1127" s="67">
        <v>106.6132</v>
      </c>
      <c r="C1127" s="67">
        <v>10.75998</v>
      </c>
      <c r="D1127" s="67">
        <v>106.6609</v>
      </c>
      <c r="E1127" s="68">
        <v>6.65</v>
      </c>
    </row>
    <row r="1128" ht="22.5" customHeight="1">
      <c r="A1128" s="61">
        <v>10.74672</v>
      </c>
      <c r="B1128" s="63">
        <v>106.6132</v>
      </c>
      <c r="C1128" s="63">
        <v>10.76707</v>
      </c>
      <c r="D1128" s="63">
        <v>106.6493</v>
      </c>
      <c r="E1128" s="64">
        <v>5.886</v>
      </c>
    </row>
    <row r="1129" ht="22.5" customHeight="1">
      <c r="A1129" s="66">
        <v>10.74672</v>
      </c>
      <c r="B1129" s="67">
        <v>106.6132</v>
      </c>
      <c r="C1129" s="67">
        <v>10.76809</v>
      </c>
      <c r="D1129" s="67">
        <v>106.6092</v>
      </c>
      <c r="E1129" s="68">
        <v>2.626</v>
      </c>
    </row>
    <row r="1130" ht="22.5" customHeight="1">
      <c r="A1130" s="61">
        <v>10.74672</v>
      </c>
      <c r="B1130" s="63">
        <v>106.6132</v>
      </c>
      <c r="C1130" s="63">
        <v>10.77167</v>
      </c>
      <c r="D1130" s="63">
        <v>106.5865</v>
      </c>
      <c r="E1130" s="64">
        <v>5.472</v>
      </c>
    </row>
    <row r="1131" ht="22.5" customHeight="1">
      <c r="A1131" s="66">
        <v>10.74672</v>
      </c>
      <c r="B1131" s="67">
        <v>106.6132</v>
      </c>
      <c r="C1131" s="67">
        <v>10.77509</v>
      </c>
      <c r="D1131" s="67">
        <v>106.6727</v>
      </c>
      <c r="E1131" s="68">
        <v>8.564</v>
      </c>
    </row>
    <row r="1132" ht="22.5" customHeight="1">
      <c r="A1132" s="61">
        <v>10.74672</v>
      </c>
      <c r="B1132" s="63">
        <v>106.6132</v>
      </c>
      <c r="C1132" s="63">
        <v>10.77584</v>
      </c>
      <c r="D1132" s="63">
        <v>106.6133</v>
      </c>
      <c r="E1132" s="64">
        <v>3.929</v>
      </c>
    </row>
    <row r="1133" ht="22.5" customHeight="1">
      <c r="A1133" s="66">
        <v>10.74672</v>
      </c>
      <c r="B1133" s="67">
        <v>106.6132</v>
      </c>
      <c r="C1133" s="67">
        <v>10.77656</v>
      </c>
      <c r="D1133" s="67">
        <v>106.6049</v>
      </c>
      <c r="E1133" s="68">
        <v>3.805</v>
      </c>
    </row>
    <row r="1134" ht="22.5" customHeight="1">
      <c r="A1134" s="61">
        <v>10.7475</v>
      </c>
      <c r="B1134" s="63">
        <v>106.6353</v>
      </c>
      <c r="C1134" s="63">
        <v>10.7444</v>
      </c>
      <c r="D1134" s="63">
        <v>106.6304</v>
      </c>
      <c r="E1134" s="64">
        <v>1.398</v>
      </c>
    </row>
    <row r="1135" ht="22.5" customHeight="1">
      <c r="A1135" s="66">
        <v>10.7475</v>
      </c>
      <c r="B1135" s="67">
        <v>106.6353</v>
      </c>
      <c r="C1135" s="67">
        <v>10.75113</v>
      </c>
      <c r="D1135" s="67">
        <v>106.635</v>
      </c>
      <c r="E1135" s="68">
        <v>0.45</v>
      </c>
    </row>
    <row r="1136" ht="22.5" customHeight="1">
      <c r="A1136" s="61">
        <v>10.7475</v>
      </c>
      <c r="B1136" s="63">
        <v>106.6353</v>
      </c>
      <c r="C1136" s="63">
        <v>10.75998</v>
      </c>
      <c r="D1136" s="63">
        <v>106.6609</v>
      </c>
      <c r="E1136" s="64">
        <v>4.142</v>
      </c>
    </row>
    <row r="1137" ht="22.5" customHeight="1">
      <c r="A1137" s="66">
        <v>10.7475</v>
      </c>
      <c r="B1137" s="67">
        <v>106.6353</v>
      </c>
      <c r="C1137" s="67">
        <v>10.76195</v>
      </c>
      <c r="D1137" s="67">
        <v>106.6569</v>
      </c>
      <c r="E1137" s="68">
        <v>3.478</v>
      </c>
    </row>
    <row r="1138" ht="22.5" customHeight="1">
      <c r="A1138" s="61">
        <v>10.7475</v>
      </c>
      <c r="B1138" s="63">
        <v>106.6353</v>
      </c>
      <c r="C1138" s="63">
        <v>10.77509</v>
      </c>
      <c r="D1138" s="63">
        <v>106.6727</v>
      </c>
      <c r="E1138" s="64">
        <v>5.4</v>
      </c>
    </row>
    <row r="1139" ht="22.5" customHeight="1">
      <c r="A1139" s="66">
        <v>10.74761</v>
      </c>
      <c r="B1139" s="67">
        <v>106.689</v>
      </c>
      <c r="C1139" s="67">
        <v>10.711</v>
      </c>
      <c r="D1139" s="67">
        <v>106.5765</v>
      </c>
      <c r="E1139" s="68">
        <v>17.25</v>
      </c>
    </row>
    <row r="1140" ht="22.5" customHeight="1">
      <c r="A1140" s="61">
        <v>10.74761</v>
      </c>
      <c r="B1140" s="63">
        <v>106.689</v>
      </c>
      <c r="C1140" s="63">
        <v>10.7389</v>
      </c>
      <c r="D1140" s="63">
        <v>106.67</v>
      </c>
      <c r="E1140" s="64">
        <v>3.105</v>
      </c>
    </row>
    <row r="1141" ht="22.5" customHeight="1">
      <c r="A1141" s="66">
        <v>10.74761</v>
      </c>
      <c r="B1141" s="67">
        <v>106.689</v>
      </c>
      <c r="C1141" s="67">
        <v>10.74157</v>
      </c>
      <c r="D1141" s="67">
        <v>106.6885</v>
      </c>
      <c r="E1141" s="68">
        <v>1.424</v>
      </c>
    </row>
    <row r="1142" ht="22.5" customHeight="1">
      <c r="A1142" s="61">
        <v>10.74761</v>
      </c>
      <c r="B1142" s="63">
        <v>106.689</v>
      </c>
      <c r="C1142" s="63">
        <v>10.74761</v>
      </c>
      <c r="D1142" s="63">
        <v>106.689</v>
      </c>
      <c r="E1142" s="64">
        <v>0.0</v>
      </c>
    </row>
    <row r="1143" ht="22.5" customHeight="1">
      <c r="A1143" s="66">
        <v>10.74761</v>
      </c>
      <c r="B1143" s="67">
        <v>106.689</v>
      </c>
      <c r="C1143" s="67">
        <v>10.74857</v>
      </c>
      <c r="D1143" s="67">
        <v>106.6996</v>
      </c>
      <c r="E1143" s="68">
        <v>1.9</v>
      </c>
    </row>
    <row r="1144" ht="22.5" customHeight="1">
      <c r="A1144" s="61">
        <v>10.74761</v>
      </c>
      <c r="B1144" s="63">
        <v>106.689</v>
      </c>
      <c r="C1144" s="63">
        <v>10.74878</v>
      </c>
      <c r="D1144" s="63">
        <v>106.6995</v>
      </c>
      <c r="E1144" s="64">
        <v>2.463</v>
      </c>
    </row>
    <row r="1145" ht="22.5" customHeight="1">
      <c r="A1145" s="66">
        <v>10.74761</v>
      </c>
      <c r="B1145" s="67">
        <v>106.689</v>
      </c>
      <c r="C1145" s="67">
        <v>10.75643</v>
      </c>
      <c r="D1145" s="67">
        <v>106.6734</v>
      </c>
      <c r="E1145" s="68">
        <v>3.089</v>
      </c>
    </row>
    <row r="1146" ht="22.5" customHeight="1">
      <c r="A1146" s="61">
        <v>10.74761</v>
      </c>
      <c r="B1146" s="63">
        <v>106.689</v>
      </c>
      <c r="C1146" s="63">
        <v>10.75907</v>
      </c>
      <c r="D1146" s="63">
        <v>106.6988</v>
      </c>
      <c r="E1146" s="64">
        <v>3.031</v>
      </c>
    </row>
    <row r="1147" ht="22.5" customHeight="1">
      <c r="A1147" s="66">
        <v>10.74761</v>
      </c>
      <c r="B1147" s="67">
        <v>106.689</v>
      </c>
      <c r="C1147" s="67">
        <v>10.76886</v>
      </c>
      <c r="D1147" s="67">
        <v>106.6859</v>
      </c>
      <c r="E1147" s="68">
        <v>3.048</v>
      </c>
    </row>
    <row r="1148" ht="22.5" customHeight="1">
      <c r="A1148" s="61">
        <v>10.74761</v>
      </c>
      <c r="B1148" s="63">
        <v>106.689</v>
      </c>
      <c r="C1148" s="63">
        <v>10.77509</v>
      </c>
      <c r="D1148" s="63">
        <v>106.6727</v>
      </c>
      <c r="E1148" s="64">
        <v>4.0</v>
      </c>
    </row>
    <row r="1149" ht="22.5" customHeight="1">
      <c r="A1149" s="66">
        <v>10.74761</v>
      </c>
      <c r="B1149" s="67">
        <v>106.689</v>
      </c>
      <c r="C1149" s="67">
        <v>10.78624</v>
      </c>
      <c r="D1149" s="67">
        <v>106.6887</v>
      </c>
      <c r="E1149" s="68">
        <v>6.021</v>
      </c>
    </row>
    <row r="1150" ht="22.5" customHeight="1">
      <c r="A1150" s="61">
        <v>10.74766</v>
      </c>
      <c r="B1150" s="63">
        <v>106.6145</v>
      </c>
      <c r="C1150" s="63">
        <v>10.74602</v>
      </c>
      <c r="D1150" s="63">
        <v>106.6123</v>
      </c>
      <c r="E1150" s="64">
        <v>0.552</v>
      </c>
    </row>
    <row r="1151" ht="22.5" customHeight="1">
      <c r="A1151" s="66">
        <v>10.74814</v>
      </c>
      <c r="B1151" s="67">
        <v>106.7133</v>
      </c>
      <c r="C1151" s="67">
        <v>10.7301</v>
      </c>
      <c r="D1151" s="67">
        <v>106.6763</v>
      </c>
      <c r="E1151" s="68">
        <v>7.421</v>
      </c>
    </row>
    <row r="1152" ht="22.5" customHeight="1">
      <c r="A1152" s="61">
        <v>10.74814</v>
      </c>
      <c r="B1152" s="63">
        <v>106.7133</v>
      </c>
      <c r="C1152" s="63">
        <v>10.73842</v>
      </c>
      <c r="D1152" s="63">
        <v>106.7164</v>
      </c>
      <c r="E1152" s="64">
        <v>1.881</v>
      </c>
    </row>
    <row r="1153" ht="22.5" customHeight="1">
      <c r="A1153" s="66">
        <v>10.74814</v>
      </c>
      <c r="B1153" s="67">
        <v>106.7133</v>
      </c>
      <c r="C1153" s="67">
        <v>10.74042</v>
      </c>
      <c r="D1153" s="67">
        <v>106.7301</v>
      </c>
      <c r="E1153" s="68">
        <v>3.406</v>
      </c>
    </row>
    <row r="1154" ht="22.5" customHeight="1">
      <c r="A1154" s="61">
        <v>10.74814</v>
      </c>
      <c r="B1154" s="63">
        <v>106.7133</v>
      </c>
      <c r="C1154" s="63">
        <v>10.74447</v>
      </c>
      <c r="D1154" s="63">
        <v>106.711</v>
      </c>
      <c r="E1154" s="64">
        <v>1.301</v>
      </c>
    </row>
    <row r="1155" ht="22.5" customHeight="1">
      <c r="A1155" s="66">
        <v>10.74814</v>
      </c>
      <c r="B1155" s="67">
        <v>106.7133</v>
      </c>
      <c r="C1155" s="67">
        <v>10.74504</v>
      </c>
      <c r="D1155" s="67">
        <v>106.7125</v>
      </c>
      <c r="E1155" s="68">
        <v>1.23</v>
      </c>
    </row>
    <row r="1156" ht="22.5" customHeight="1">
      <c r="A1156" s="61">
        <v>10.74814</v>
      </c>
      <c r="B1156" s="63">
        <v>106.7133</v>
      </c>
      <c r="C1156" s="63">
        <v>10.77509</v>
      </c>
      <c r="D1156" s="63">
        <v>106.6727</v>
      </c>
      <c r="E1156" s="64">
        <v>8.198</v>
      </c>
    </row>
    <row r="1157" ht="22.5" customHeight="1">
      <c r="A1157" s="66">
        <v>10.74857</v>
      </c>
      <c r="B1157" s="67">
        <v>106.6996</v>
      </c>
      <c r="C1157" s="67">
        <v>10.65647</v>
      </c>
      <c r="D1157" s="67">
        <v>106.5841</v>
      </c>
      <c r="E1157" s="68">
        <v>20.8</v>
      </c>
    </row>
    <row r="1158" ht="22.5" customHeight="1">
      <c r="A1158" s="61">
        <v>10.74857</v>
      </c>
      <c r="B1158" s="63">
        <v>106.6996</v>
      </c>
      <c r="C1158" s="63">
        <v>10.71016</v>
      </c>
      <c r="D1158" s="63">
        <v>106.5747</v>
      </c>
      <c r="E1158" s="64">
        <v>21.1</v>
      </c>
    </row>
    <row r="1159" ht="22.5" customHeight="1">
      <c r="A1159" s="66">
        <v>10.74857</v>
      </c>
      <c r="B1159" s="67">
        <v>106.6996</v>
      </c>
      <c r="C1159" s="67">
        <v>10.75317</v>
      </c>
      <c r="D1159" s="67">
        <v>106.6778</v>
      </c>
      <c r="E1159" s="68">
        <v>4.2</v>
      </c>
    </row>
    <row r="1160" ht="22.5" customHeight="1">
      <c r="A1160" s="61">
        <v>10.74857</v>
      </c>
      <c r="B1160" s="63">
        <v>106.6996</v>
      </c>
      <c r="C1160" s="63">
        <v>10.75728</v>
      </c>
      <c r="D1160" s="63">
        <v>106.6659</v>
      </c>
      <c r="E1160" s="64">
        <v>5.0</v>
      </c>
    </row>
    <row r="1161" ht="22.5" customHeight="1">
      <c r="A1161" s="66">
        <v>10.74857</v>
      </c>
      <c r="B1161" s="67">
        <v>106.6996</v>
      </c>
      <c r="C1161" s="67">
        <v>10.76248</v>
      </c>
      <c r="D1161" s="67">
        <v>106.6702</v>
      </c>
      <c r="E1161" s="68">
        <v>5.33</v>
      </c>
    </row>
    <row r="1162" ht="22.5" customHeight="1">
      <c r="A1162" s="61">
        <v>10.74857</v>
      </c>
      <c r="B1162" s="63">
        <v>106.6996</v>
      </c>
      <c r="C1162" s="63">
        <v>10.77641</v>
      </c>
      <c r="D1162" s="63">
        <v>106.6866</v>
      </c>
      <c r="E1162" s="64">
        <v>5.0</v>
      </c>
    </row>
    <row r="1163" ht="22.5" customHeight="1">
      <c r="A1163" s="66">
        <v>10.74857</v>
      </c>
      <c r="B1163" s="67">
        <v>106.6996</v>
      </c>
      <c r="C1163" s="67">
        <v>10.78624</v>
      </c>
      <c r="D1163" s="67">
        <v>106.6887</v>
      </c>
      <c r="E1163" s="68">
        <v>5.7</v>
      </c>
    </row>
    <row r="1164" ht="22.5" customHeight="1">
      <c r="A1164" s="61">
        <v>10.74874</v>
      </c>
      <c r="B1164" s="63">
        <v>106.6717</v>
      </c>
      <c r="C1164" s="63">
        <v>10.7231</v>
      </c>
      <c r="D1164" s="63">
        <v>106.6556</v>
      </c>
      <c r="E1164" s="64">
        <v>4.404</v>
      </c>
    </row>
    <row r="1165" ht="22.5" customHeight="1">
      <c r="A1165" s="66">
        <v>10.74874</v>
      </c>
      <c r="B1165" s="67">
        <v>106.6717</v>
      </c>
      <c r="C1165" s="67">
        <v>10.73437</v>
      </c>
      <c r="D1165" s="67">
        <v>106.6595</v>
      </c>
      <c r="E1165" s="68">
        <v>2.904</v>
      </c>
    </row>
    <row r="1166" ht="22.5" customHeight="1">
      <c r="A1166" s="61">
        <v>10.74874</v>
      </c>
      <c r="B1166" s="63">
        <v>106.6717</v>
      </c>
      <c r="C1166" s="63">
        <v>10.73805</v>
      </c>
      <c r="D1166" s="63">
        <v>106.658</v>
      </c>
      <c r="E1166" s="64">
        <v>3.501</v>
      </c>
    </row>
    <row r="1167" ht="22.5" customHeight="1">
      <c r="A1167" s="66">
        <v>10.74874</v>
      </c>
      <c r="B1167" s="67">
        <v>106.6717</v>
      </c>
      <c r="C1167" s="67">
        <v>10.7389</v>
      </c>
      <c r="D1167" s="67">
        <v>106.67</v>
      </c>
      <c r="E1167" s="68">
        <v>2.615</v>
      </c>
    </row>
    <row r="1168" ht="22.5" customHeight="1">
      <c r="A1168" s="61">
        <v>10.74878</v>
      </c>
      <c r="B1168" s="63">
        <v>106.6995</v>
      </c>
      <c r="C1168" s="63">
        <v>10.73611</v>
      </c>
      <c r="D1168" s="63">
        <v>106.6908</v>
      </c>
      <c r="E1168" s="64">
        <v>2.7</v>
      </c>
    </row>
    <row r="1169" ht="22.5" customHeight="1">
      <c r="A1169" s="66">
        <v>10.74878</v>
      </c>
      <c r="B1169" s="67">
        <v>106.6995</v>
      </c>
      <c r="C1169" s="67">
        <v>10.74157</v>
      </c>
      <c r="D1169" s="67">
        <v>106.6885</v>
      </c>
      <c r="E1169" s="68">
        <v>2.4</v>
      </c>
    </row>
    <row r="1170" ht="22.5" customHeight="1">
      <c r="A1170" s="61">
        <v>10.74878</v>
      </c>
      <c r="B1170" s="63">
        <v>106.6995</v>
      </c>
      <c r="C1170" s="63">
        <v>10.74761</v>
      </c>
      <c r="D1170" s="63">
        <v>106.689</v>
      </c>
      <c r="E1170" s="64">
        <v>2.1</v>
      </c>
    </row>
    <row r="1171" ht="22.5" customHeight="1">
      <c r="A1171" s="66">
        <v>10.74878</v>
      </c>
      <c r="B1171" s="67">
        <v>106.6995</v>
      </c>
      <c r="C1171" s="67">
        <v>10.77509</v>
      </c>
      <c r="D1171" s="67">
        <v>106.6727</v>
      </c>
      <c r="E1171" s="68">
        <v>6.0</v>
      </c>
    </row>
    <row r="1172" ht="22.5" customHeight="1">
      <c r="A1172" s="61">
        <v>10.74906</v>
      </c>
      <c r="B1172" s="63">
        <v>106.6618</v>
      </c>
      <c r="C1172" s="63">
        <v>10.75643</v>
      </c>
      <c r="D1172" s="63">
        <v>106.6734</v>
      </c>
      <c r="E1172" s="64">
        <v>1.229</v>
      </c>
    </row>
    <row r="1173" ht="22.5" customHeight="1">
      <c r="A1173" s="66">
        <v>10.74946</v>
      </c>
      <c r="B1173" s="67">
        <v>106.6451</v>
      </c>
      <c r="C1173" s="67">
        <v>10.7252</v>
      </c>
      <c r="D1173" s="67">
        <v>106.6094</v>
      </c>
      <c r="E1173" s="68">
        <v>5.547</v>
      </c>
    </row>
    <row r="1174" ht="22.5" customHeight="1">
      <c r="A1174" s="61">
        <v>10.74946</v>
      </c>
      <c r="B1174" s="63">
        <v>106.6451</v>
      </c>
      <c r="C1174" s="63">
        <v>10.74152</v>
      </c>
      <c r="D1174" s="63">
        <v>106.6251</v>
      </c>
      <c r="E1174" s="64">
        <v>2.648</v>
      </c>
    </row>
    <row r="1175" ht="22.5" customHeight="1">
      <c r="A1175" s="66">
        <v>10.74946</v>
      </c>
      <c r="B1175" s="67">
        <v>106.6451</v>
      </c>
      <c r="C1175" s="67">
        <v>10.7444</v>
      </c>
      <c r="D1175" s="67">
        <v>106.6304</v>
      </c>
      <c r="E1175" s="68">
        <v>1.907</v>
      </c>
    </row>
    <row r="1176" ht="22.5" customHeight="1">
      <c r="A1176" s="61">
        <v>10.74946</v>
      </c>
      <c r="B1176" s="63">
        <v>106.6451</v>
      </c>
      <c r="C1176" s="63">
        <v>10.75113</v>
      </c>
      <c r="D1176" s="63">
        <v>106.635</v>
      </c>
      <c r="E1176" s="64">
        <v>1.5</v>
      </c>
    </row>
    <row r="1177" ht="22.5" customHeight="1">
      <c r="A1177" s="66">
        <v>10.74946</v>
      </c>
      <c r="B1177" s="67">
        <v>106.6451</v>
      </c>
      <c r="C1177" s="67">
        <v>10.75347</v>
      </c>
      <c r="D1177" s="67">
        <v>106.5931</v>
      </c>
      <c r="E1177" s="68">
        <v>7.143</v>
      </c>
    </row>
    <row r="1178" ht="22.5" customHeight="1">
      <c r="A1178" s="61">
        <v>10.74946</v>
      </c>
      <c r="B1178" s="63">
        <v>106.6451</v>
      </c>
      <c r="C1178" s="63">
        <v>10.75538</v>
      </c>
      <c r="D1178" s="63">
        <v>106.6433</v>
      </c>
      <c r="E1178" s="64">
        <v>0.976</v>
      </c>
    </row>
    <row r="1179" ht="22.5" customHeight="1">
      <c r="A1179" s="66">
        <v>10.74946</v>
      </c>
      <c r="B1179" s="67">
        <v>106.6451</v>
      </c>
      <c r="C1179" s="67">
        <v>10.76195</v>
      </c>
      <c r="D1179" s="67">
        <v>106.6569</v>
      </c>
      <c r="E1179" s="68">
        <v>2.366</v>
      </c>
    </row>
    <row r="1180" ht="22.5" customHeight="1">
      <c r="A1180" s="61">
        <v>10.74946</v>
      </c>
      <c r="B1180" s="63">
        <v>106.6451</v>
      </c>
      <c r="C1180" s="63">
        <v>10.76707</v>
      </c>
      <c r="D1180" s="63">
        <v>106.6493</v>
      </c>
      <c r="E1180" s="64">
        <v>2.5</v>
      </c>
    </row>
    <row r="1181" ht="22.5" customHeight="1">
      <c r="A1181" s="66">
        <v>10.74946</v>
      </c>
      <c r="B1181" s="67">
        <v>106.6451</v>
      </c>
      <c r="C1181" s="67">
        <v>10.77509</v>
      </c>
      <c r="D1181" s="67">
        <v>106.6727</v>
      </c>
      <c r="E1181" s="68">
        <v>5.2</v>
      </c>
    </row>
    <row r="1182" ht="22.5" customHeight="1">
      <c r="A1182" s="61">
        <v>10.75047</v>
      </c>
      <c r="B1182" s="63">
        <v>106.7916</v>
      </c>
      <c r="C1182" s="63">
        <v>10.75979</v>
      </c>
      <c r="D1182" s="63">
        <v>106.7874</v>
      </c>
      <c r="E1182" s="64">
        <v>1.158</v>
      </c>
    </row>
    <row r="1183" ht="22.5" customHeight="1">
      <c r="A1183" s="66">
        <v>10.75047</v>
      </c>
      <c r="B1183" s="67">
        <v>106.7916</v>
      </c>
      <c r="C1183" s="67">
        <v>10.77509</v>
      </c>
      <c r="D1183" s="67">
        <v>106.6727</v>
      </c>
      <c r="E1183" s="68">
        <v>20.405</v>
      </c>
    </row>
    <row r="1184" ht="22.5" customHeight="1">
      <c r="A1184" s="61">
        <v>10.75047</v>
      </c>
      <c r="B1184" s="63">
        <v>106.7916</v>
      </c>
      <c r="C1184" s="63">
        <v>10.77744</v>
      </c>
      <c r="D1184" s="63">
        <v>106.7646</v>
      </c>
      <c r="E1184" s="64">
        <v>4.351</v>
      </c>
    </row>
    <row r="1185" ht="22.5" customHeight="1">
      <c r="A1185" s="66">
        <v>10.75047</v>
      </c>
      <c r="B1185" s="67">
        <v>106.7916</v>
      </c>
      <c r="C1185" s="67">
        <v>10.7818</v>
      </c>
      <c r="D1185" s="67">
        <v>106.7611</v>
      </c>
      <c r="E1185" s="68">
        <v>4.966</v>
      </c>
    </row>
    <row r="1186" ht="22.5" customHeight="1">
      <c r="A1186" s="61">
        <v>10.75047</v>
      </c>
      <c r="B1186" s="63">
        <v>106.7916</v>
      </c>
      <c r="C1186" s="63">
        <v>10.78624</v>
      </c>
      <c r="D1186" s="63">
        <v>106.7313</v>
      </c>
      <c r="E1186" s="64">
        <v>9.409</v>
      </c>
    </row>
    <row r="1187" ht="22.5" customHeight="1">
      <c r="A1187" s="66">
        <v>10.75047</v>
      </c>
      <c r="B1187" s="67">
        <v>106.7916</v>
      </c>
      <c r="C1187" s="67">
        <v>10.78759</v>
      </c>
      <c r="D1187" s="67">
        <v>106.7337</v>
      </c>
      <c r="E1187" s="68">
        <v>9.127</v>
      </c>
    </row>
    <row r="1188" ht="22.5" customHeight="1">
      <c r="A1188" s="61">
        <v>10.75047</v>
      </c>
      <c r="B1188" s="63">
        <v>106.7916</v>
      </c>
      <c r="C1188" s="63">
        <v>10.78802</v>
      </c>
      <c r="D1188" s="63">
        <v>106.7609</v>
      </c>
      <c r="E1188" s="64">
        <v>6.665</v>
      </c>
    </row>
    <row r="1189" ht="22.5" customHeight="1">
      <c r="A1189" s="66">
        <v>10.75047</v>
      </c>
      <c r="B1189" s="67">
        <v>106.7916</v>
      </c>
      <c r="C1189" s="67">
        <v>10.78851</v>
      </c>
      <c r="D1189" s="67">
        <v>106.777</v>
      </c>
      <c r="E1189" s="68">
        <v>5.989</v>
      </c>
    </row>
    <row r="1190" ht="22.5" customHeight="1">
      <c r="A1190" s="61">
        <v>10.75047</v>
      </c>
      <c r="B1190" s="63">
        <v>106.7916</v>
      </c>
      <c r="C1190" s="63">
        <v>10.78864</v>
      </c>
      <c r="D1190" s="63">
        <v>106.7561</v>
      </c>
      <c r="E1190" s="64">
        <v>6.132</v>
      </c>
    </row>
    <row r="1191" ht="22.5" customHeight="1">
      <c r="A1191" s="66">
        <v>10.75047</v>
      </c>
      <c r="B1191" s="67">
        <v>106.7916</v>
      </c>
      <c r="C1191" s="67">
        <v>10.79203</v>
      </c>
      <c r="D1191" s="67">
        <v>106.7304</v>
      </c>
      <c r="E1191" s="68">
        <v>10.715</v>
      </c>
    </row>
    <row r="1192" ht="22.5" customHeight="1">
      <c r="A1192" s="61">
        <v>10.75047</v>
      </c>
      <c r="B1192" s="63">
        <v>106.7916</v>
      </c>
      <c r="C1192" s="63">
        <v>10.80312</v>
      </c>
      <c r="D1192" s="63">
        <v>106.7097</v>
      </c>
      <c r="E1192" s="64">
        <v>13.878</v>
      </c>
    </row>
    <row r="1193" ht="22.5" customHeight="1">
      <c r="A1193" s="66">
        <v>10.75047</v>
      </c>
      <c r="B1193" s="67">
        <v>106.7916</v>
      </c>
      <c r="C1193" s="67">
        <v>10.80543</v>
      </c>
      <c r="D1193" s="67">
        <v>106.7324</v>
      </c>
      <c r="E1193" s="68">
        <v>11.909</v>
      </c>
    </row>
    <row r="1194" ht="22.5" customHeight="1">
      <c r="A1194" s="61">
        <v>10.75094</v>
      </c>
      <c r="B1194" s="63">
        <v>106.6595</v>
      </c>
      <c r="C1194" s="63">
        <v>10.7301</v>
      </c>
      <c r="D1194" s="63">
        <v>106.6763</v>
      </c>
      <c r="E1194" s="64">
        <v>3.618</v>
      </c>
    </row>
    <row r="1195" ht="22.5" customHeight="1">
      <c r="A1195" s="66">
        <v>10.75094</v>
      </c>
      <c r="B1195" s="67">
        <v>106.6595</v>
      </c>
      <c r="C1195" s="67">
        <v>10.75159</v>
      </c>
      <c r="D1195" s="67">
        <v>106.6644</v>
      </c>
      <c r="E1195" s="68">
        <v>1.222</v>
      </c>
    </row>
    <row r="1196" ht="22.5" customHeight="1">
      <c r="A1196" s="61">
        <v>10.75094</v>
      </c>
      <c r="B1196" s="63">
        <v>106.6595</v>
      </c>
      <c r="C1196" s="63">
        <v>10.75417</v>
      </c>
      <c r="D1196" s="63">
        <v>106.6783</v>
      </c>
      <c r="E1196" s="64">
        <v>2.409</v>
      </c>
    </row>
    <row r="1197" ht="22.5" customHeight="1">
      <c r="A1197" s="66">
        <v>10.75094</v>
      </c>
      <c r="B1197" s="67">
        <v>106.6595</v>
      </c>
      <c r="C1197" s="67">
        <v>10.75424</v>
      </c>
      <c r="D1197" s="67">
        <v>106.6716</v>
      </c>
      <c r="E1197" s="68">
        <v>1.761</v>
      </c>
    </row>
    <row r="1198" ht="22.5" customHeight="1">
      <c r="A1198" s="61">
        <v>10.75094</v>
      </c>
      <c r="B1198" s="63">
        <v>106.6595</v>
      </c>
      <c r="C1198" s="63">
        <v>10.755</v>
      </c>
      <c r="D1198" s="63">
        <v>106.6705</v>
      </c>
      <c r="E1198" s="64">
        <v>1.61</v>
      </c>
    </row>
    <row r="1199" ht="22.5" customHeight="1">
      <c r="A1199" s="66">
        <v>10.75094</v>
      </c>
      <c r="B1199" s="67">
        <v>106.6595</v>
      </c>
      <c r="C1199" s="67">
        <v>10.75536</v>
      </c>
      <c r="D1199" s="67">
        <v>106.6645</v>
      </c>
      <c r="E1199" s="68">
        <v>0.998</v>
      </c>
    </row>
    <row r="1200" ht="22.5" customHeight="1">
      <c r="A1200" s="61">
        <v>10.75094</v>
      </c>
      <c r="B1200" s="63">
        <v>106.6595</v>
      </c>
      <c r="C1200" s="63">
        <v>10.75599</v>
      </c>
      <c r="D1200" s="63">
        <v>106.6825</v>
      </c>
      <c r="E1200" s="64">
        <v>3.197</v>
      </c>
    </row>
    <row r="1201" ht="22.5" customHeight="1">
      <c r="A1201" s="66">
        <v>10.75094</v>
      </c>
      <c r="B1201" s="67">
        <v>106.6595</v>
      </c>
      <c r="C1201" s="67">
        <v>10.75643</v>
      </c>
      <c r="D1201" s="67">
        <v>106.6734</v>
      </c>
      <c r="E1201" s="68">
        <v>2.2</v>
      </c>
    </row>
    <row r="1202" ht="22.5" customHeight="1">
      <c r="A1202" s="61">
        <v>10.75094</v>
      </c>
      <c r="B1202" s="63">
        <v>106.6595</v>
      </c>
      <c r="C1202" s="63">
        <v>10.77509</v>
      </c>
      <c r="D1202" s="63">
        <v>106.6727</v>
      </c>
      <c r="E1202" s="64">
        <v>4.1</v>
      </c>
    </row>
    <row r="1203" ht="22.5" customHeight="1">
      <c r="A1203" s="66">
        <v>10.75096</v>
      </c>
      <c r="B1203" s="67">
        <v>106.6451</v>
      </c>
      <c r="C1203" s="67">
        <v>10.75113</v>
      </c>
      <c r="D1203" s="67">
        <v>106.635</v>
      </c>
      <c r="E1203" s="68">
        <v>1.863</v>
      </c>
    </row>
    <row r="1204" ht="22.5" customHeight="1">
      <c r="A1204" s="61">
        <v>10.75113</v>
      </c>
      <c r="B1204" s="63">
        <v>106.635</v>
      </c>
      <c r="C1204" s="63">
        <v>10.7252</v>
      </c>
      <c r="D1204" s="63">
        <v>106.6094</v>
      </c>
      <c r="E1204" s="64">
        <v>5.0</v>
      </c>
    </row>
    <row r="1205" ht="22.5" customHeight="1">
      <c r="A1205" s="66">
        <v>10.75113</v>
      </c>
      <c r="B1205" s="67">
        <v>106.635</v>
      </c>
      <c r="C1205" s="67">
        <v>10.73897</v>
      </c>
      <c r="D1205" s="67">
        <v>106.6149</v>
      </c>
      <c r="E1205" s="68">
        <v>3.2</v>
      </c>
    </row>
    <row r="1206" ht="22.5" customHeight="1">
      <c r="A1206" s="61">
        <v>10.75113</v>
      </c>
      <c r="B1206" s="63">
        <v>106.635</v>
      </c>
      <c r="C1206" s="63">
        <v>10.7406</v>
      </c>
      <c r="D1206" s="63">
        <v>106.6072</v>
      </c>
      <c r="E1206" s="64">
        <v>4.4</v>
      </c>
    </row>
    <row r="1207" ht="22.5" customHeight="1">
      <c r="A1207" s="66">
        <v>10.75113</v>
      </c>
      <c r="B1207" s="67">
        <v>106.635</v>
      </c>
      <c r="C1207" s="67">
        <v>10.74152</v>
      </c>
      <c r="D1207" s="67">
        <v>106.6251</v>
      </c>
      <c r="E1207" s="68">
        <v>1.872</v>
      </c>
    </row>
    <row r="1208" ht="22.5" customHeight="1">
      <c r="A1208" s="61">
        <v>10.75113</v>
      </c>
      <c r="B1208" s="63">
        <v>106.635</v>
      </c>
      <c r="C1208" s="63">
        <v>10.74602</v>
      </c>
      <c r="D1208" s="63">
        <v>106.6123</v>
      </c>
      <c r="E1208" s="64">
        <v>3.582</v>
      </c>
    </row>
    <row r="1209" ht="22.5" customHeight="1">
      <c r="A1209" s="66">
        <v>10.75113</v>
      </c>
      <c r="B1209" s="67">
        <v>106.635</v>
      </c>
      <c r="C1209" s="67">
        <v>10.75113</v>
      </c>
      <c r="D1209" s="67">
        <v>106.635</v>
      </c>
      <c r="E1209" s="68">
        <v>0.01</v>
      </c>
    </row>
    <row r="1210" ht="22.5" customHeight="1">
      <c r="A1210" s="61">
        <v>10.75113</v>
      </c>
      <c r="B1210" s="63">
        <v>106.635</v>
      </c>
      <c r="C1210" s="63">
        <v>10.75168</v>
      </c>
      <c r="D1210" s="63">
        <v>106.6103</v>
      </c>
      <c r="E1210" s="64">
        <v>4.0</v>
      </c>
    </row>
    <row r="1211" ht="22.5" customHeight="1">
      <c r="A1211" s="66">
        <v>10.75113</v>
      </c>
      <c r="B1211" s="67">
        <v>106.635</v>
      </c>
      <c r="C1211" s="67">
        <v>10.75347</v>
      </c>
      <c r="D1211" s="67">
        <v>106.5931</v>
      </c>
      <c r="E1211" s="68">
        <v>5.7</v>
      </c>
    </row>
    <row r="1212" ht="22.5" customHeight="1">
      <c r="A1212" s="61">
        <v>10.75113</v>
      </c>
      <c r="B1212" s="63">
        <v>106.635</v>
      </c>
      <c r="C1212" s="63">
        <v>10.81094</v>
      </c>
      <c r="D1212" s="63">
        <v>106.611</v>
      </c>
      <c r="E1212" s="64">
        <v>8.1</v>
      </c>
    </row>
    <row r="1213" ht="22.5" customHeight="1">
      <c r="A1213" s="66">
        <v>10.75123</v>
      </c>
      <c r="B1213" s="67">
        <v>106.6964</v>
      </c>
      <c r="C1213" s="67">
        <v>10.73347</v>
      </c>
      <c r="D1213" s="67">
        <v>106.7102</v>
      </c>
      <c r="E1213" s="68">
        <v>5.67</v>
      </c>
    </row>
    <row r="1214" ht="22.5" customHeight="1">
      <c r="A1214" s="61">
        <v>10.75123</v>
      </c>
      <c r="B1214" s="63">
        <v>106.6964</v>
      </c>
      <c r="C1214" s="63">
        <v>10.73786</v>
      </c>
      <c r="D1214" s="63">
        <v>106.7205</v>
      </c>
      <c r="E1214" s="64">
        <v>4.003</v>
      </c>
    </row>
    <row r="1215" ht="22.5" customHeight="1">
      <c r="A1215" s="66">
        <v>10.75123</v>
      </c>
      <c r="B1215" s="67">
        <v>106.6964</v>
      </c>
      <c r="C1215" s="67">
        <v>10.73842</v>
      </c>
      <c r="D1215" s="67">
        <v>106.7164</v>
      </c>
      <c r="E1215" s="68">
        <v>4.51</v>
      </c>
    </row>
    <row r="1216" ht="22.5" customHeight="1">
      <c r="A1216" s="61">
        <v>10.75123</v>
      </c>
      <c r="B1216" s="63">
        <v>106.6964</v>
      </c>
      <c r="C1216" s="63">
        <v>10.74068</v>
      </c>
      <c r="D1216" s="63">
        <v>106.7064</v>
      </c>
      <c r="E1216" s="64">
        <v>2.67</v>
      </c>
    </row>
    <row r="1217" ht="22.5" customHeight="1">
      <c r="A1217" s="66">
        <v>10.75123</v>
      </c>
      <c r="B1217" s="67">
        <v>106.6964</v>
      </c>
      <c r="C1217" s="67">
        <v>10.74761</v>
      </c>
      <c r="D1217" s="67">
        <v>106.689</v>
      </c>
      <c r="E1217" s="68">
        <v>1.789</v>
      </c>
    </row>
    <row r="1218" ht="22.5" customHeight="1">
      <c r="A1218" s="61">
        <v>10.75123</v>
      </c>
      <c r="B1218" s="63">
        <v>106.6964</v>
      </c>
      <c r="C1218" s="63">
        <v>10.75204</v>
      </c>
      <c r="D1218" s="63">
        <v>106.7295</v>
      </c>
      <c r="E1218" s="64">
        <v>4.1</v>
      </c>
    </row>
    <row r="1219" ht="22.5" customHeight="1">
      <c r="A1219" s="66">
        <v>10.75139</v>
      </c>
      <c r="B1219" s="67">
        <v>106.6713</v>
      </c>
      <c r="C1219" s="67">
        <v>10.75327</v>
      </c>
      <c r="D1219" s="67">
        <v>106.6539</v>
      </c>
      <c r="E1219" s="68">
        <v>2.339</v>
      </c>
    </row>
    <row r="1220" ht="22.5" customHeight="1">
      <c r="A1220" s="61">
        <v>10.75139</v>
      </c>
      <c r="B1220" s="63">
        <v>106.6713</v>
      </c>
      <c r="C1220" s="63">
        <v>10.75424</v>
      </c>
      <c r="D1220" s="63">
        <v>106.6716</v>
      </c>
      <c r="E1220" s="64">
        <v>0.462</v>
      </c>
    </row>
    <row r="1221" ht="22.5" customHeight="1">
      <c r="A1221" s="66">
        <v>10.75139</v>
      </c>
      <c r="B1221" s="67">
        <v>106.6713</v>
      </c>
      <c r="C1221" s="67">
        <v>10.75643</v>
      </c>
      <c r="D1221" s="67">
        <v>106.6734</v>
      </c>
      <c r="E1221" s="68">
        <v>0.965</v>
      </c>
    </row>
    <row r="1222" ht="22.5" customHeight="1">
      <c r="A1222" s="61">
        <v>10.75153</v>
      </c>
      <c r="B1222" s="63">
        <v>106.6116</v>
      </c>
      <c r="C1222" s="63">
        <v>10.73905</v>
      </c>
      <c r="D1222" s="63">
        <v>106.6327</v>
      </c>
      <c r="E1222" s="64">
        <v>3.571</v>
      </c>
    </row>
    <row r="1223" ht="22.5" customHeight="1">
      <c r="A1223" s="66">
        <v>10.75153</v>
      </c>
      <c r="B1223" s="67">
        <v>106.6116</v>
      </c>
      <c r="C1223" s="67">
        <v>10.74602</v>
      </c>
      <c r="D1223" s="67">
        <v>106.6123</v>
      </c>
      <c r="E1223" s="68">
        <v>1.313</v>
      </c>
    </row>
    <row r="1224" ht="22.5" customHeight="1">
      <c r="A1224" s="61">
        <v>10.75153</v>
      </c>
      <c r="B1224" s="63">
        <v>106.6116</v>
      </c>
      <c r="C1224" s="63">
        <v>10.78747</v>
      </c>
      <c r="D1224" s="63">
        <v>106.5981</v>
      </c>
      <c r="E1224" s="64">
        <v>5.518</v>
      </c>
    </row>
    <row r="1225" ht="22.5" customHeight="1">
      <c r="A1225" s="66">
        <v>10.75159</v>
      </c>
      <c r="B1225" s="67">
        <v>106.6644</v>
      </c>
      <c r="C1225" s="67">
        <v>10.75643</v>
      </c>
      <c r="D1225" s="67">
        <v>106.6734</v>
      </c>
      <c r="E1225" s="68">
        <v>1.367</v>
      </c>
    </row>
    <row r="1226" ht="22.5" customHeight="1">
      <c r="A1226" s="61">
        <v>10.75168</v>
      </c>
      <c r="B1226" s="63">
        <v>106.6103</v>
      </c>
      <c r="C1226" s="63">
        <v>10.65647</v>
      </c>
      <c r="D1226" s="63">
        <v>106.5841</v>
      </c>
      <c r="E1226" s="64">
        <v>12.804</v>
      </c>
    </row>
    <row r="1227" ht="22.5" customHeight="1">
      <c r="A1227" s="66">
        <v>10.75168</v>
      </c>
      <c r="B1227" s="67">
        <v>106.6103</v>
      </c>
      <c r="C1227" s="67">
        <v>10.69376</v>
      </c>
      <c r="D1227" s="67">
        <v>106.5802</v>
      </c>
      <c r="E1227" s="68">
        <v>8.83</v>
      </c>
    </row>
    <row r="1228" ht="22.5" customHeight="1">
      <c r="A1228" s="61">
        <v>10.75168</v>
      </c>
      <c r="B1228" s="63">
        <v>106.6103</v>
      </c>
      <c r="C1228" s="63">
        <v>10.7252</v>
      </c>
      <c r="D1228" s="63">
        <v>106.6094</v>
      </c>
      <c r="E1228" s="64">
        <v>3.429</v>
      </c>
    </row>
    <row r="1229" ht="22.5" customHeight="1">
      <c r="A1229" s="66">
        <v>10.75168</v>
      </c>
      <c r="B1229" s="67">
        <v>106.6103</v>
      </c>
      <c r="C1229" s="67">
        <v>10.73897</v>
      </c>
      <c r="D1229" s="67">
        <v>106.6149</v>
      </c>
      <c r="E1229" s="68">
        <v>1.903</v>
      </c>
    </row>
    <row r="1230" ht="22.5" customHeight="1">
      <c r="A1230" s="61">
        <v>10.75168</v>
      </c>
      <c r="B1230" s="63">
        <v>106.6103</v>
      </c>
      <c r="C1230" s="63">
        <v>10.73908</v>
      </c>
      <c r="D1230" s="63">
        <v>106.6149</v>
      </c>
      <c r="E1230" s="64">
        <v>1.908</v>
      </c>
    </row>
    <row r="1231" ht="22.5" customHeight="1">
      <c r="A1231" s="66">
        <v>10.75168</v>
      </c>
      <c r="B1231" s="67">
        <v>106.6103</v>
      </c>
      <c r="C1231" s="67">
        <v>10.7406</v>
      </c>
      <c r="D1231" s="67">
        <v>106.6072</v>
      </c>
      <c r="E1231" s="68">
        <v>1.649</v>
      </c>
    </row>
    <row r="1232" ht="22.5" customHeight="1">
      <c r="A1232" s="61">
        <v>10.75168</v>
      </c>
      <c r="B1232" s="63">
        <v>106.6103</v>
      </c>
      <c r="C1232" s="63">
        <v>10.74097</v>
      </c>
      <c r="D1232" s="63">
        <v>106.6091</v>
      </c>
      <c r="E1232" s="64">
        <v>1.495</v>
      </c>
    </row>
    <row r="1233" ht="22.5" customHeight="1">
      <c r="A1233" s="66">
        <v>10.75168</v>
      </c>
      <c r="B1233" s="67">
        <v>106.6103</v>
      </c>
      <c r="C1233" s="67">
        <v>10.7444</v>
      </c>
      <c r="D1233" s="67">
        <v>106.6304</v>
      </c>
      <c r="E1233" s="68">
        <v>3.184</v>
      </c>
    </row>
    <row r="1234" ht="22.5" customHeight="1">
      <c r="A1234" s="61">
        <v>10.75168</v>
      </c>
      <c r="B1234" s="63">
        <v>106.6103</v>
      </c>
      <c r="C1234" s="63">
        <v>10.74602</v>
      </c>
      <c r="D1234" s="63">
        <v>106.6123</v>
      </c>
      <c r="E1234" s="64">
        <v>0.638</v>
      </c>
    </row>
    <row r="1235" ht="22.5" customHeight="1">
      <c r="A1235" s="66">
        <v>10.75168</v>
      </c>
      <c r="B1235" s="67">
        <v>106.6103</v>
      </c>
      <c r="C1235" s="67">
        <v>10.75153</v>
      </c>
      <c r="D1235" s="67">
        <v>106.6116</v>
      </c>
      <c r="E1235" s="68">
        <v>0.61</v>
      </c>
    </row>
    <row r="1236" ht="22.5" customHeight="1">
      <c r="A1236" s="61">
        <v>10.75168</v>
      </c>
      <c r="B1236" s="63">
        <v>106.6103</v>
      </c>
      <c r="C1236" s="63">
        <v>10.75347</v>
      </c>
      <c r="D1236" s="63">
        <v>106.5931</v>
      </c>
      <c r="E1236" s="64">
        <v>2.465</v>
      </c>
    </row>
    <row r="1237" ht="22.5" customHeight="1">
      <c r="A1237" s="66">
        <v>10.75168</v>
      </c>
      <c r="B1237" s="67">
        <v>106.6103</v>
      </c>
      <c r="C1237" s="67">
        <v>10.76707</v>
      </c>
      <c r="D1237" s="67">
        <v>106.6493</v>
      </c>
      <c r="E1237" s="68">
        <v>6.257</v>
      </c>
    </row>
    <row r="1238" ht="22.5" customHeight="1">
      <c r="A1238" s="61">
        <v>10.75168</v>
      </c>
      <c r="B1238" s="63">
        <v>106.6103</v>
      </c>
      <c r="C1238" s="63">
        <v>10.77584</v>
      </c>
      <c r="D1238" s="63">
        <v>106.6133</v>
      </c>
      <c r="E1238" s="64">
        <v>3.701</v>
      </c>
    </row>
    <row r="1239" ht="22.5" customHeight="1">
      <c r="A1239" s="66">
        <v>10.75168</v>
      </c>
      <c r="B1239" s="67">
        <v>106.6103</v>
      </c>
      <c r="C1239" s="67">
        <v>10.77618</v>
      </c>
      <c r="D1239" s="67">
        <v>106.607</v>
      </c>
      <c r="E1239" s="68">
        <v>3.783</v>
      </c>
    </row>
    <row r="1240" ht="22.5" customHeight="1">
      <c r="A1240" s="61">
        <v>10.7518</v>
      </c>
      <c r="B1240" s="63">
        <v>106.6273</v>
      </c>
      <c r="C1240" s="63">
        <v>10.74152</v>
      </c>
      <c r="D1240" s="63">
        <v>106.6251</v>
      </c>
      <c r="E1240" s="64">
        <v>1.771</v>
      </c>
    </row>
    <row r="1241" ht="22.5" customHeight="1">
      <c r="A1241" s="66">
        <v>10.7518</v>
      </c>
      <c r="B1241" s="67">
        <v>106.6273</v>
      </c>
      <c r="C1241" s="67">
        <v>10.74654</v>
      </c>
      <c r="D1241" s="67">
        <v>106.6345</v>
      </c>
      <c r="E1241" s="68">
        <v>1.937</v>
      </c>
    </row>
    <row r="1242" ht="22.5" customHeight="1">
      <c r="A1242" s="61">
        <v>10.7518</v>
      </c>
      <c r="B1242" s="63">
        <v>106.6273</v>
      </c>
      <c r="C1242" s="63">
        <v>10.74946</v>
      </c>
      <c r="D1242" s="63">
        <v>106.6451</v>
      </c>
      <c r="E1242" s="64">
        <v>2.902</v>
      </c>
    </row>
    <row r="1243" ht="22.5" customHeight="1">
      <c r="A1243" s="66">
        <v>10.7518</v>
      </c>
      <c r="B1243" s="67">
        <v>106.6273</v>
      </c>
      <c r="C1243" s="67">
        <v>10.75113</v>
      </c>
      <c r="D1243" s="67">
        <v>106.635</v>
      </c>
      <c r="E1243" s="68">
        <v>1.419</v>
      </c>
    </row>
    <row r="1244" ht="22.5" customHeight="1">
      <c r="A1244" s="61">
        <v>10.7518</v>
      </c>
      <c r="B1244" s="63">
        <v>106.6273</v>
      </c>
      <c r="C1244" s="63">
        <v>10.75998</v>
      </c>
      <c r="D1244" s="63">
        <v>106.6609</v>
      </c>
      <c r="E1244" s="64">
        <v>4.644</v>
      </c>
    </row>
    <row r="1245" ht="22.5" customHeight="1">
      <c r="A1245" s="66">
        <v>10.75191</v>
      </c>
      <c r="B1245" s="67">
        <v>106.6006</v>
      </c>
      <c r="C1245" s="67">
        <v>10.7252</v>
      </c>
      <c r="D1245" s="67">
        <v>106.6094</v>
      </c>
      <c r="E1245" s="68">
        <v>4.783</v>
      </c>
    </row>
    <row r="1246" ht="22.5" customHeight="1">
      <c r="A1246" s="61">
        <v>10.75191</v>
      </c>
      <c r="B1246" s="63">
        <v>106.6006</v>
      </c>
      <c r="C1246" s="63">
        <v>10.72522</v>
      </c>
      <c r="D1246" s="63">
        <v>106.6089</v>
      </c>
      <c r="E1246" s="64">
        <v>4.767</v>
      </c>
    </row>
    <row r="1247" ht="22.5" customHeight="1">
      <c r="A1247" s="66">
        <v>10.75191</v>
      </c>
      <c r="B1247" s="67">
        <v>106.6006</v>
      </c>
      <c r="C1247" s="67">
        <v>10.73897</v>
      </c>
      <c r="D1247" s="67">
        <v>106.6149</v>
      </c>
      <c r="E1247" s="68">
        <v>3.285</v>
      </c>
    </row>
    <row r="1248" ht="22.5" customHeight="1">
      <c r="A1248" s="61">
        <v>10.75191</v>
      </c>
      <c r="B1248" s="63">
        <v>106.6006</v>
      </c>
      <c r="C1248" s="63">
        <v>10.73905</v>
      </c>
      <c r="D1248" s="63">
        <v>106.6327</v>
      </c>
      <c r="E1248" s="64">
        <v>5.19</v>
      </c>
    </row>
    <row r="1249" ht="22.5" customHeight="1">
      <c r="A1249" s="66">
        <v>10.75191</v>
      </c>
      <c r="B1249" s="67">
        <v>106.6006</v>
      </c>
      <c r="C1249" s="67">
        <v>10.7444</v>
      </c>
      <c r="D1249" s="67">
        <v>106.6304</v>
      </c>
      <c r="E1249" s="68">
        <v>4.622</v>
      </c>
    </row>
    <row r="1250" ht="22.5" customHeight="1">
      <c r="A1250" s="61">
        <v>10.75191</v>
      </c>
      <c r="B1250" s="63">
        <v>106.6006</v>
      </c>
      <c r="C1250" s="63">
        <v>10.74602</v>
      </c>
      <c r="D1250" s="63">
        <v>106.6123</v>
      </c>
      <c r="E1250" s="64">
        <v>2.025</v>
      </c>
    </row>
    <row r="1251" ht="22.5" customHeight="1">
      <c r="A1251" s="66">
        <v>10.75191</v>
      </c>
      <c r="B1251" s="67">
        <v>106.6006</v>
      </c>
      <c r="C1251" s="67">
        <v>10.74672</v>
      </c>
      <c r="D1251" s="67">
        <v>106.6132</v>
      </c>
      <c r="E1251" s="68">
        <v>2.26</v>
      </c>
    </row>
    <row r="1252" ht="22.5" customHeight="1">
      <c r="A1252" s="61">
        <v>10.75191</v>
      </c>
      <c r="B1252" s="63">
        <v>106.6006</v>
      </c>
      <c r="C1252" s="63">
        <v>10.75191</v>
      </c>
      <c r="D1252" s="63">
        <v>106.6006</v>
      </c>
      <c r="E1252" s="64">
        <v>0.005</v>
      </c>
    </row>
    <row r="1253" ht="22.5" customHeight="1">
      <c r="A1253" s="66">
        <v>10.75191</v>
      </c>
      <c r="B1253" s="67">
        <v>106.6006</v>
      </c>
      <c r="C1253" s="67">
        <v>10.75297</v>
      </c>
      <c r="D1253" s="67">
        <v>106.6034</v>
      </c>
      <c r="E1253" s="68">
        <v>0.363</v>
      </c>
    </row>
    <row r="1254" ht="22.5" customHeight="1">
      <c r="A1254" s="61">
        <v>10.75191</v>
      </c>
      <c r="B1254" s="63">
        <v>106.6006</v>
      </c>
      <c r="C1254" s="63">
        <v>10.75566</v>
      </c>
      <c r="D1254" s="63">
        <v>106.6098</v>
      </c>
      <c r="E1254" s="64">
        <v>1.758</v>
      </c>
    </row>
    <row r="1255" ht="22.5" customHeight="1">
      <c r="A1255" s="66">
        <v>10.75191</v>
      </c>
      <c r="B1255" s="67">
        <v>106.6006</v>
      </c>
      <c r="C1255" s="67">
        <v>10.75587</v>
      </c>
      <c r="D1255" s="67">
        <v>106.5924</v>
      </c>
      <c r="E1255" s="68">
        <v>1.469</v>
      </c>
    </row>
    <row r="1256" ht="22.5" customHeight="1">
      <c r="A1256" s="61">
        <v>10.75191</v>
      </c>
      <c r="B1256" s="63">
        <v>106.6006</v>
      </c>
      <c r="C1256" s="63">
        <v>10.75591</v>
      </c>
      <c r="D1256" s="63">
        <v>106.611</v>
      </c>
      <c r="E1256" s="64">
        <v>1.94</v>
      </c>
    </row>
    <row r="1257" ht="22.5" customHeight="1">
      <c r="A1257" s="66">
        <v>10.75191</v>
      </c>
      <c r="B1257" s="67">
        <v>106.6006</v>
      </c>
      <c r="C1257" s="67">
        <v>10.76707</v>
      </c>
      <c r="D1257" s="67">
        <v>106.6493</v>
      </c>
      <c r="E1257" s="68">
        <v>7.285</v>
      </c>
    </row>
    <row r="1258" ht="22.5" customHeight="1">
      <c r="A1258" s="61">
        <v>10.75191</v>
      </c>
      <c r="B1258" s="63">
        <v>106.6006</v>
      </c>
      <c r="C1258" s="63">
        <v>10.76809</v>
      </c>
      <c r="D1258" s="63">
        <v>106.6092</v>
      </c>
      <c r="E1258" s="64">
        <v>3.254</v>
      </c>
    </row>
    <row r="1259" ht="22.5" customHeight="1">
      <c r="A1259" s="66">
        <v>10.75191</v>
      </c>
      <c r="B1259" s="67">
        <v>106.6006</v>
      </c>
      <c r="C1259" s="67">
        <v>10.77167</v>
      </c>
      <c r="D1259" s="67">
        <v>106.5865</v>
      </c>
      <c r="E1259" s="68">
        <v>3.768</v>
      </c>
    </row>
    <row r="1260" ht="22.5" customHeight="1">
      <c r="A1260" s="61">
        <v>10.75191</v>
      </c>
      <c r="B1260" s="63">
        <v>106.6006</v>
      </c>
      <c r="C1260" s="63">
        <v>10.77509</v>
      </c>
      <c r="D1260" s="63">
        <v>106.6727</v>
      </c>
      <c r="E1260" s="64">
        <v>10.76</v>
      </c>
    </row>
    <row r="1261" ht="22.5" customHeight="1">
      <c r="A1261" s="66">
        <v>10.75191</v>
      </c>
      <c r="B1261" s="67">
        <v>106.6006</v>
      </c>
      <c r="C1261" s="67">
        <v>10.77584</v>
      </c>
      <c r="D1261" s="67">
        <v>106.6133</v>
      </c>
      <c r="E1261" s="68">
        <v>4.57</v>
      </c>
    </row>
    <row r="1262" ht="22.5" customHeight="1">
      <c r="A1262" s="61">
        <v>10.75191</v>
      </c>
      <c r="B1262" s="63">
        <v>106.6006</v>
      </c>
      <c r="C1262" s="63">
        <v>10.77618</v>
      </c>
      <c r="D1262" s="63">
        <v>106.607</v>
      </c>
      <c r="E1262" s="64">
        <v>5.878</v>
      </c>
    </row>
    <row r="1263" ht="22.5" customHeight="1">
      <c r="A1263" s="66">
        <v>10.75191</v>
      </c>
      <c r="B1263" s="67">
        <v>106.6006</v>
      </c>
      <c r="C1263" s="67">
        <v>10.7765</v>
      </c>
      <c r="D1263" s="67">
        <v>106.6028</v>
      </c>
      <c r="E1263" s="68">
        <v>4.848</v>
      </c>
    </row>
    <row r="1264" ht="22.5" customHeight="1">
      <c r="A1264" s="61">
        <v>10.75191</v>
      </c>
      <c r="B1264" s="63">
        <v>106.6006</v>
      </c>
      <c r="C1264" s="63">
        <v>10.77656</v>
      </c>
      <c r="D1264" s="63">
        <v>106.6049</v>
      </c>
      <c r="E1264" s="64">
        <v>4.043</v>
      </c>
    </row>
    <row r="1265" ht="22.5" customHeight="1">
      <c r="A1265" s="66">
        <v>10.75191</v>
      </c>
      <c r="B1265" s="67">
        <v>106.6006</v>
      </c>
      <c r="C1265" s="67">
        <v>10.78747</v>
      </c>
      <c r="D1265" s="67">
        <v>106.5981</v>
      </c>
      <c r="E1265" s="68">
        <v>6.343</v>
      </c>
    </row>
    <row r="1266" ht="22.5" customHeight="1">
      <c r="A1266" s="61">
        <v>10.75203</v>
      </c>
      <c r="B1266" s="63">
        <v>106.7284</v>
      </c>
      <c r="C1266" s="63">
        <v>10.7179</v>
      </c>
      <c r="D1266" s="63">
        <v>106.7369</v>
      </c>
      <c r="E1266" s="64">
        <v>3.932</v>
      </c>
    </row>
    <row r="1267" ht="22.5" customHeight="1">
      <c r="A1267" s="66">
        <v>10.75203</v>
      </c>
      <c r="B1267" s="67">
        <v>106.7284</v>
      </c>
      <c r="C1267" s="67">
        <v>10.73842</v>
      </c>
      <c r="D1267" s="67">
        <v>106.7164</v>
      </c>
      <c r="E1267" s="68">
        <v>3.1</v>
      </c>
    </row>
    <row r="1268" ht="22.5" customHeight="1">
      <c r="A1268" s="61">
        <v>10.75203</v>
      </c>
      <c r="B1268" s="63">
        <v>106.7284</v>
      </c>
      <c r="C1268" s="63">
        <v>10.77509</v>
      </c>
      <c r="D1268" s="63">
        <v>106.6727</v>
      </c>
      <c r="E1268" s="64">
        <v>8.2</v>
      </c>
    </row>
    <row r="1269" ht="22.5" customHeight="1">
      <c r="A1269" s="66">
        <v>10.75204</v>
      </c>
      <c r="B1269" s="67">
        <v>106.7295</v>
      </c>
      <c r="C1269" s="67">
        <v>10.73816</v>
      </c>
      <c r="D1269" s="67">
        <v>106.7211</v>
      </c>
      <c r="E1269" s="68">
        <v>2.7</v>
      </c>
    </row>
    <row r="1270" ht="22.5" customHeight="1">
      <c r="A1270" s="61">
        <v>10.75204</v>
      </c>
      <c r="B1270" s="63">
        <v>106.7295</v>
      </c>
      <c r="C1270" s="63">
        <v>10.73842</v>
      </c>
      <c r="D1270" s="63">
        <v>106.7164</v>
      </c>
      <c r="E1270" s="64">
        <v>2.848</v>
      </c>
    </row>
    <row r="1271" ht="22.5" customHeight="1">
      <c r="A1271" s="66">
        <v>10.75247</v>
      </c>
      <c r="B1271" s="67">
        <v>106.6645</v>
      </c>
      <c r="C1271" s="67">
        <v>10.75643</v>
      </c>
      <c r="D1271" s="67">
        <v>106.6734</v>
      </c>
      <c r="E1271" s="68">
        <v>1.133</v>
      </c>
    </row>
    <row r="1272" ht="22.5" customHeight="1">
      <c r="A1272" s="61">
        <v>10.75267</v>
      </c>
      <c r="B1272" s="63">
        <v>106.6789</v>
      </c>
      <c r="C1272" s="63">
        <v>10.74921</v>
      </c>
      <c r="D1272" s="63">
        <v>106.6785</v>
      </c>
      <c r="E1272" s="64">
        <v>2.6</v>
      </c>
    </row>
    <row r="1273" ht="22.5" customHeight="1">
      <c r="A1273" s="66">
        <v>10.75267</v>
      </c>
      <c r="B1273" s="67">
        <v>106.6789</v>
      </c>
      <c r="C1273" s="67">
        <v>10.75524</v>
      </c>
      <c r="D1273" s="67">
        <v>106.6645</v>
      </c>
      <c r="E1273" s="68">
        <v>2.218</v>
      </c>
    </row>
    <row r="1274" ht="22.5" customHeight="1">
      <c r="A1274" s="61">
        <v>10.75267</v>
      </c>
      <c r="B1274" s="63">
        <v>106.6789</v>
      </c>
      <c r="C1274" s="63">
        <v>10.7568</v>
      </c>
      <c r="D1274" s="63">
        <v>106.6621</v>
      </c>
      <c r="E1274" s="64">
        <v>2.691</v>
      </c>
    </row>
    <row r="1275" ht="22.5" customHeight="1">
      <c r="A1275" s="66">
        <v>10.75267</v>
      </c>
      <c r="B1275" s="67">
        <v>106.6789</v>
      </c>
      <c r="C1275" s="67">
        <v>10.75695</v>
      </c>
      <c r="D1275" s="67">
        <v>106.671</v>
      </c>
      <c r="E1275" s="68">
        <v>1.5</v>
      </c>
    </row>
    <row r="1276" ht="22.5" customHeight="1">
      <c r="A1276" s="61">
        <v>10.75267</v>
      </c>
      <c r="B1276" s="63">
        <v>106.6789</v>
      </c>
      <c r="C1276" s="63">
        <v>10.75985</v>
      </c>
      <c r="D1276" s="63">
        <v>106.677</v>
      </c>
      <c r="E1276" s="64">
        <v>1.2</v>
      </c>
    </row>
    <row r="1277" ht="22.5" customHeight="1">
      <c r="A1277" s="66">
        <v>10.75267</v>
      </c>
      <c r="B1277" s="67">
        <v>106.6789</v>
      </c>
      <c r="C1277" s="67">
        <v>10.75987</v>
      </c>
      <c r="D1277" s="67">
        <v>106.677</v>
      </c>
      <c r="E1277" s="68">
        <v>1.2</v>
      </c>
    </row>
    <row r="1278" ht="22.5" customHeight="1">
      <c r="A1278" s="61">
        <v>10.75267</v>
      </c>
      <c r="B1278" s="63">
        <v>106.6789</v>
      </c>
      <c r="C1278" s="63">
        <v>10.75998</v>
      </c>
      <c r="D1278" s="63">
        <v>106.6727</v>
      </c>
      <c r="E1278" s="64">
        <v>1.5</v>
      </c>
    </row>
    <row r="1279" ht="22.5" customHeight="1">
      <c r="A1279" s="66">
        <v>10.75267</v>
      </c>
      <c r="B1279" s="67">
        <v>106.6789</v>
      </c>
      <c r="C1279" s="67">
        <v>10.76244</v>
      </c>
      <c r="D1279" s="67">
        <v>106.6704</v>
      </c>
      <c r="E1279" s="68">
        <v>1.772</v>
      </c>
    </row>
    <row r="1280" ht="22.5" customHeight="1">
      <c r="A1280" s="61">
        <v>10.75267</v>
      </c>
      <c r="B1280" s="63">
        <v>106.6789</v>
      </c>
      <c r="C1280" s="63">
        <v>10.76486</v>
      </c>
      <c r="D1280" s="63">
        <v>106.6756</v>
      </c>
      <c r="E1280" s="64">
        <v>1.8</v>
      </c>
    </row>
    <row r="1281" ht="22.5" customHeight="1">
      <c r="A1281" s="66">
        <v>10.75267</v>
      </c>
      <c r="B1281" s="67">
        <v>106.6789</v>
      </c>
      <c r="C1281" s="67">
        <v>10.76732</v>
      </c>
      <c r="D1281" s="67">
        <v>106.6966</v>
      </c>
      <c r="E1281" s="68">
        <v>3.3</v>
      </c>
    </row>
    <row r="1282" ht="22.5" customHeight="1">
      <c r="A1282" s="61">
        <v>10.75267</v>
      </c>
      <c r="B1282" s="63">
        <v>106.6789</v>
      </c>
      <c r="C1282" s="63">
        <v>10.77476</v>
      </c>
      <c r="D1282" s="63">
        <v>106.6683</v>
      </c>
      <c r="E1282" s="64">
        <v>3.341</v>
      </c>
    </row>
    <row r="1283" ht="22.5" customHeight="1">
      <c r="A1283" s="66">
        <v>10.75267</v>
      </c>
      <c r="B1283" s="67">
        <v>106.6789</v>
      </c>
      <c r="C1283" s="67">
        <v>10.77509</v>
      </c>
      <c r="D1283" s="67">
        <v>106.6727</v>
      </c>
      <c r="E1283" s="68">
        <v>3.1</v>
      </c>
    </row>
    <row r="1284" ht="22.5" customHeight="1">
      <c r="A1284" s="61">
        <v>10.75296</v>
      </c>
      <c r="B1284" s="63">
        <v>106.6751</v>
      </c>
      <c r="C1284" s="63">
        <v>10.75643</v>
      </c>
      <c r="D1284" s="63">
        <v>106.6734</v>
      </c>
      <c r="E1284" s="64">
        <v>0.8</v>
      </c>
    </row>
    <row r="1285" ht="22.5" customHeight="1">
      <c r="A1285" s="66">
        <v>10.75296</v>
      </c>
      <c r="B1285" s="67">
        <v>106.6751</v>
      </c>
      <c r="C1285" s="67">
        <v>10.77509</v>
      </c>
      <c r="D1285" s="67">
        <v>106.6727</v>
      </c>
      <c r="E1285" s="68">
        <v>2.9</v>
      </c>
    </row>
    <row r="1286" ht="22.5" customHeight="1">
      <c r="A1286" s="61">
        <v>10.75297</v>
      </c>
      <c r="B1286" s="63">
        <v>106.6034</v>
      </c>
      <c r="C1286" s="63">
        <v>10.69376</v>
      </c>
      <c r="D1286" s="63">
        <v>106.5802</v>
      </c>
      <c r="E1286" s="64">
        <v>10.36</v>
      </c>
    </row>
    <row r="1287" ht="22.5" customHeight="1">
      <c r="A1287" s="66">
        <v>10.75297</v>
      </c>
      <c r="B1287" s="67">
        <v>106.6034</v>
      </c>
      <c r="C1287" s="67">
        <v>10.74602</v>
      </c>
      <c r="D1287" s="67">
        <v>106.6123</v>
      </c>
      <c r="E1287" s="68">
        <v>2.185</v>
      </c>
    </row>
    <row r="1288" ht="22.5" customHeight="1">
      <c r="A1288" s="61">
        <v>10.75297</v>
      </c>
      <c r="B1288" s="63">
        <v>106.6034</v>
      </c>
      <c r="C1288" s="63">
        <v>10.75168</v>
      </c>
      <c r="D1288" s="63">
        <v>106.6103</v>
      </c>
      <c r="E1288" s="64">
        <v>1.555</v>
      </c>
    </row>
    <row r="1289" ht="22.5" customHeight="1">
      <c r="A1289" s="66">
        <v>10.75297</v>
      </c>
      <c r="B1289" s="67">
        <v>106.6034</v>
      </c>
      <c r="C1289" s="67">
        <v>10.75191</v>
      </c>
      <c r="D1289" s="67">
        <v>106.6006</v>
      </c>
      <c r="E1289" s="68">
        <v>0.377</v>
      </c>
    </row>
    <row r="1290" ht="22.5" customHeight="1">
      <c r="A1290" s="61">
        <v>10.75297</v>
      </c>
      <c r="B1290" s="63">
        <v>106.6034</v>
      </c>
      <c r="C1290" s="63">
        <v>10.75347</v>
      </c>
      <c r="D1290" s="63">
        <v>106.5931</v>
      </c>
      <c r="E1290" s="64">
        <v>1.405</v>
      </c>
    </row>
    <row r="1291" ht="22.5" customHeight="1">
      <c r="A1291" s="66">
        <v>10.75297</v>
      </c>
      <c r="B1291" s="67">
        <v>106.6034</v>
      </c>
      <c r="C1291" s="67">
        <v>10.75591</v>
      </c>
      <c r="D1291" s="67">
        <v>106.611</v>
      </c>
      <c r="E1291" s="68">
        <v>2.191</v>
      </c>
    </row>
    <row r="1292" ht="22.5" customHeight="1">
      <c r="A1292" s="61">
        <v>10.75297</v>
      </c>
      <c r="B1292" s="63">
        <v>106.6034</v>
      </c>
      <c r="C1292" s="63">
        <v>10.75644</v>
      </c>
      <c r="D1292" s="63">
        <v>106.5914</v>
      </c>
      <c r="E1292" s="64">
        <v>2.743</v>
      </c>
    </row>
    <row r="1293" ht="22.5" customHeight="1">
      <c r="A1293" s="66">
        <v>10.75297</v>
      </c>
      <c r="B1293" s="67">
        <v>106.6034</v>
      </c>
      <c r="C1293" s="67">
        <v>10.75889</v>
      </c>
      <c r="D1293" s="67">
        <v>106.5791</v>
      </c>
      <c r="E1293" s="68">
        <v>3.805</v>
      </c>
    </row>
    <row r="1294" ht="22.5" customHeight="1">
      <c r="A1294" s="61">
        <v>10.75297</v>
      </c>
      <c r="B1294" s="63">
        <v>106.6034</v>
      </c>
      <c r="C1294" s="63">
        <v>10.76707</v>
      </c>
      <c r="D1294" s="63">
        <v>106.6493</v>
      </c>
      <c r="E1294" s="64">
        <v>7.317</v>
      </c>
    </row>
    <row r="1295" ht="22.5" customHeight="1">
      <c r="A1295" s="66">
        <v>10.75297</v>
      </c>
      <c r="B1295" s="67">
        <v>106.6034</v>
      </c>
      <c r="C1295" s="67">
        <v>10.76809</v>
      </c>
      <c r="D1295" s="67">
        <v>106.6092</v>
      </c>
      <c r="E1295" s="68">
        <v>2.927</v>
      </c>
    </row>
    <row r="1296" ht="22.5" customHeight="1">
      <c r="A1296" s="61">
        <v>10.7531</v>
      </c>
      <c r="B1296" s="63">
        <v>106.6508</v>
      </c>
      <c r="C1296" s="63">
        <v>10.74946</v>
      </c>
      <c r="D1296" s="63">
        <v>106.6451</v>
      </c>
      <c r="E1296" s="64">
        <v>1.239</v>
      </c>
    </row>
    <row r="1297" ht="22.5" customHeight="1">
      <c r="A1297" s="66">
        <v>10.7531</v>
      </c>
      <c r="B1297" s="67">
        <v>106.6508</v>
      </c>
      <c r="C1297" s="67">
        <v>10.75113</v>
      </c>
      <c r="D1297" s="67">
        <v>106.635</v>
      </c>
      <c r="E1297" s="68">
        <v>2.223</v>
      </c>
    </row>
    <row r="1298" ht="22.5" customHeight="1">
      <c r="A1298" s="61">
        <v>10.75317</v>
      </c>
      <c r="B1298" s="63">
        <v>106.6778</v>
      </c>
      <c r="C1298" s="63">
        <v>10.74857</v>
      </c>
      <c r="D1298" s="63">
        <v>106.6996</v>
      </c>
      <c r="E1298" s="64">
        <v>4.4</v>
      </c>
    </row>
    <row r="1299" ht="22.5" customHeight="1">
      <c r="A1299" s="66">
        <v>10.75317</v>
      </c>
      <c r="B1299" s="67">
        <v>106.6778</v>
      </c>
      <c r="C1299" s="67">
        <v>10.75728</v>
      </c>
      <c r="D1299" s="67">
        <v>106.6659</v>
      </c>
      <c r="E1299" s="68">
        <v>2.4</v>
      </c>
    </row>
    <row r="1300" ht="22.5" customHeight="1">
      <c r="A1300" s="61">
        <v>10.75317</v>
      </c>
      <c r="B1300" s="63">
        <v>106.6778</v>
      </c>
      <c r="C1300" s="63">
        <v>10.76248</v>
      </c>
      <c r="D1300" s="63">
        <v>106.6702</v>
      </c>
      <c r="E1300" s="64">
        <v>1.931</v>
      </c>
    </row>
    <row r="1301" ht="22.5" customHeight="1">
      <c r="A1301" s="66">
        <v>10.75317</v>
      </c>
      <c r="B1301" s="67">
        <v>106.6778</v>
      </c>
      <c r="C1301" s="67">
        <v>10.77641</v>
      </c>
      <c r="D1301" s="67">
        <v>106.6866</v>
      </c>
      <c r="E1301" s="68">
        <v>4.1</v>
      </c>
    </row>
    <row r="1302" ht="22.5" customHeight="1">
      <c r="A1302" s="61">
        <v>10.75327</v>
      </c>
      <c r="B1302" s="63">
        <v>106.6539</v>
      </c>
      <c r="C1302" s="63">
        <v>10.75094</v>
      </c>
      <c r="D1302" s="63">
        <v>106.6595</v>
      </c>
      <c r="E1302" s="64">
        <v>0.941</v>
      </c>
    </row>
    <row r="1303" ht="22.5" customHeight="1">
      <c r="A1303" s="66">
        <v>10.75327</v>
      </c>
      <c r="B1303" s="67">
        <v>106.6539</v>
      </c>
      <c r="C1303" s="67">
        <v>10.75247</v>
      </c>
      <c r="D1303" s="67">
        <v>106.6645</v>
      </c>
      <c r="E1303" s="68">
        <v>1.171</v>
      </c>
    </row>
    <row r="1304" ht="22.5" customHeight="1">
      <c r="A1304" s="61">
        <v>10.75327</v>
      </c>
      <c r="B1304" s="63">
        <v>106.6539</v>
      </c>
      <c r="C1304" s="63">
        <v>10.75424</v>
      </c>
      <c r="D1304" s="63">
        <v>106.6716</v>
      </c>
      <c r="E1304" s="64">
        <v>2.223</v>
      </c>
    </row>
    <row r="1305" ht="22.5" customHeight="1">
      <c r="A1305" s="66">
        <v>10.75327</v>
      </c>
      <c r="B1305" s="67">
        <v>106.6539</v>
      </c>
      <c r="C1305" s="67">
        <v>10.755</v>
      </c>
      <c r="D1305" s="67">
        <v>106.6705</v>
      </c>
      <c r="E1305" s="68">
        <v>1.884</v>
      </c>
    </row>
    <row r="1306" ht="22.5" customHeight="1">
      <c r="A1306" s="61">
        <v>10.75327</v>
      </c>
      <c r="B1306" s="63">
        <v>106.6539</v>
      </c>
      <c r="C1306" s="63">
        <v>10.75536</v>
      </c>
      <c r="D1306" s="63">
        <v>106.6645</v>
      </c>
      <c r="E1306" s="64">
        <v>1.229</v>
      </c>
    </row>
    <row r="1307" ht="22.5" customHeight="1">
      <c r="A1307" s="66">
        <v>10.75327</v>
      </c>
      <c r="B1307" s="67">
        <v>106.6539</v>
      </c>
      <c r="C1307" s="67">
        <v>10.75643</v>
      </c>
      <c r="D1307" s="67">
        <v>106.6734</v>
      </c>
      <c r="E1307" s="68">
        <v>2.325</v>
      </c>
    </row>
    <row r="1308" ht="22.5" customHeight="1">
      <c r="A1308" s="61">
        <v>10.75327</v>
      </c>
      <c r="B1308" s="63">
        <v>106.6539</v>
      </c>
      <c r="C1308" s="63">
        <v>10.7569</v>
      </c>
      <c r="D1308" s="63">
        <v>106.6739</v>
      </c>
      <c r="E1308" s="64">
        <v>2.298</v>
      </c>
    </row>
    <row r="1309" ht="22.5" customHeight="1">
      <c r="A1309" s="66">
        <v>10.75347</v>
      </c>
      <c r="B1309" s="67">
        <v>106.5931</v>
      </c>
      <c r="C1309" s="67">
        <v>10.65412</v>
      </c>
      <c r="D1309" s="67">
        <v>106.5867</v>
      </c>
      <c r="E1309" s="68">
        <v>13.326</v>
      </c>
    </row>
    <row r="1310" ht="22.5" customHeight="1">
      <c r="A1310" s="61">
        <v>10.75347</v>
      </c>
      <c r="B1310" s="63">
        <v>106.5931</v>
      </c>
      <c r="C1310" s="63">
        <v>10.65647</v>
      </c>
      <c r="D1310" s="63">
        <v>106.5841</v>
      </c>
      <c r="E1310" s="64">
        <v>13.096</v>
      </c>
    </row>
    <row r="1311" ht="22.5" customHeight="1">
      <c r="A1311" s="66">
        <v>10.75347</v>
      </c>
      <c r="B1311" s="67">
        <v>106.5931</v>
      </c>
      <c r="C1311" s="67">
        <v>10.71016</v>
      </c>
      <c r="D1311" s="67">
        <v>106.5747</v>
      </c>
      <c r="E1311" s="68">
        <v>7.3</v>
      </c>
    </row>
    <row r="1312" ht="22.5" customHeight="1">
      <c r="A1312" s="61">
        <v>10.75347</v>
      </c>
      <c r="B1312" s="63">
        <v>106.5931</v>
      </c>
      <c r="C1312" s="63">
        <v>10.7252</v>
      </c>
      <c r="D1312" s="63">
        <v>106.6094</v>
      </c>
      <c r="E1312" s="64">
        <v>5.106</v>
      </c>
    </row>
    <row r="1313" ht="22.5" customHeight="1">
      <c r="A1313" s="66">
        <v>10.75347</v>
      </c>
      <c r="B1313" s="67">
        <v>106.5931</v>
      </c>
      <c r="C1313" s="67">
        <v>10.72522</v>
      </c>
      <c r="D1313" s="67">
        <v>106.6089</v>
      </c>
      <c r="E1313" s="68">
        <v>5.064</v>
      </c>
    </row>
    <row r="1314" ht="22.5" customHeight="1">
      <c r="A1314" s="61">
        <v>10.75347</v>
      </c>
      <c r="B1314" s="63">
        <v>106.5931</v>
      </c>
      <c r="C1314" s="63">
        <v>10.73897</v>
      </c>
      <c r="D1314" s="63">
        <v>106.6149</v>
      </c>
      <c r="E1314" s="64">
        <v>4.214</v>
      </c>
    </row>
    <row r="1315" ht="22.5" customHeight="1">
      <c r="A1315" s="66">
        <v>10.75347</v>
      </c>
      <c r="B1315" s="67">
        <v>106.5931</v>
      </c>
      <c r="C1315" s="67">
        <v>10.73908</v>
      </c>
      <c r="D1315" s="67">
        <v>106.6149</v>
      </c>
      <c r="E1315" s="68">
        <v>3.783</v>
      </c>
    </row>
    <row r="1316" ht="22.5" customHeight="1">
      <c r="A1316" s="61">
        <v>10.75347</v>
      </c>
      <c r="B1316" s="63">
        <v>106.5931</v>
      </c>
      <c r="C1316" s="63">
        <v>10.7406</v>
      </c>
      <c r="D1316" s="63">
        <v>106.6072</v>
      </c>
      <c r="E1316" s="64">
        <v>3.3</v>
      </c>
    </row>
    <row r="1317" ht="22.5" customHeight="1">
      <c r="A1317" s="66">
        <v>10.75347</v>
      </c>
      <c r="B1317" s="67">
        <v>106.5931</v>
      </c>
      <c r="C1317" s="67">
        <v>10.74097</v>
      </c>
      <c r="D1317" s="67">
        <v>106.6091</v>
      </c>
      <c r="E1317" s="68">
        <v>3.3</v>
      </c>
    </row>
    <row r="1318" ht="22.5" customHeight="1">
      <c r="A1318" s="61">
        <v>10.75347</v>
      </c>
      <c r="B1318" s="63">
        <v>106.5931</v>
      </c>
      <c r="C1318" s="63">
        <v>10.74602</v>
      </c>
      <c r="D1318" s="63">
        <v>106.6123</v>
      </c>
      <c r="E1318" s="64">
        <v>2.927</v>
      </c>
    </row>
    <row r="1319" ht="22.5" customHeight="1">
      <c r="A1319" s="66">
        <v>10.75347</v>
      </c>
      <c r="B1319" s="67">
        <v>106.5931</v>
      </c>
      <c r="C1319" s="67">
        <v>10.74672</v>
      </c>
      <c r="D1319" s="67">
        <v>106.6132</v>
      </c>
      <c r="E1319" s="68">
        <v>4.717</v>
      </c>
    </row>
    <row r="1320" ht="22.5" customHeight="1">
      <c r="A1320" s="61">
        <v>10.75347</v>
      </c>
      <c r="B1320" s="63">
        <v>106.5931</v>
      </c>
      <c r="C1320" s="63">
        <v>10.7475</v>
      </c>
      <c r="D1320" s="63">
        <v>106.6353</v>
      </c>
      <c r="E1320" s="64">
        <v>6.157</v>
      </c>
    </row>
    <row r="1321" ht="22.5" customHeight="1">
      <c r="A1321" s="66">
        <v>10.75347</v>
      </c>
      <c r="B1321" s="67">
        <v>106.5931</v>
      </c>
      <c r="C1321" s="67">
        <v>10.75153</v>
      </c>
      <c r="D1321" s="67">
        <v>106.6116</v>
      </c>
      <c r="E1321" s="68">
        <v>2.444</v>
      </c>
    </row>
    <row r="1322" ht="22.5" customHeight="1">
      <c r="A1322" s="61">
        <v>10.75347</v>
      </c>
      <c r="B1322" s="63">
        <v>106.5931</v>
      </c>
      <c r="C1322" s="63">
        <v>10.75168</v>
      </c>
      <c r="D1322" s="63">
        <v>106.6103</v>
      </c>
      <c r="E1322" s="64">
        <v>2.246</v>
      </c>
    </row>
    <row r="1323" ht="22.5" customHeight="1">
      <c r="A1323" s="66">
        <v>10.75347</v>
      </c>
      <c r="B1323" s="67">
        <v>106.5931</v>
      </c>
      <c r="C1323" s="67">
        <v>10.75297</v>
      </c>
      <c r="D1323" s="67">
        <v>106.6034</v>
      </c>
      <c r="E1323" s="68">
        <v>1.415</v>
      </c>
    </row>
    <row r="1324" ht="22.5" customHeight="1">
      <c r="A1324" s="61">
        <v>10.75347</v>
      </c>
      <c r="B1324" s="63">
        <v>106.5931</v>
      </c>
      <c r="C1324" s="63">
        <v>10.75566</v>
      </c>
      <c r="D1324" s="63">
        <v>106.6098</v>
      </c>
      <c r="E1324" s="64">
        <v>2.903</v>
      </c>
    </row>
    <row r="1325" ht="22.5" customHeight="1">
      <c r="A1325" s="66">
        <v>10.75347</v>
      </c>
      <c r="B1325" s="67">
        <v>106.5931</v>
      </c>
      <c r="C1325" s="67">
        <v>10.75587</v>
      </c>
      <c r="D1325" s="67">
        <v>106.5924</v>
      </c>
      <c r="E1325" s="68">
        <v>0.325</v>
      </c>
    </row>
    <row r="1326" ht="22.5" customHeight="1">
      <c r="A1326" s="61">
        <v>10.75347</v>
      </c>
      <c r="B1326" s="63">
        <v>106.5931</v>
      </c>
      <c r="C1326" s="63">
        <v>10.75591</v>
      </c>
      <c r="D1326" s="63">
        <v>106.611</v>
      </c>
      <c r="E1326" s="64">
        <v>4.697</v>
      </c>
    </row>
    <row r="1327" ht="22.5" customHeight="1">
      <c r="A1327" s="66">
        <v>10.75347</v>
      </c>
      <c r="B1327" s="67">
        <v>106.5931</v>
      </c>
      <c r="C1327" s="67">
        <v>10.75644</v>
      </c>
      <c r="D1327" s="67">
        <v>106.5914</v>
      </c>
      <c r="E1327" s="68">
        <v>1.47</v>
      </c>
    </row>
    <row r="1328" ht="22.5" customHeight="1">
      <c r="A1328" s="61">
        <v>10.75347</v>
      </c>
      <c r="B1328" s="63">
        <v>106.5931</v>
      </c>
      <c r="C1328" s="63">
        <v>10.75889</v>
      </c>
      <c r="D1328" s="63">
        <v>106.5791</v>
      </c>
      <c r="E1328" s="64">
        <v>3.345</v>
      </c>
    </row>
    <row r="1329" ht="22.5" customHeight="1">
      <c r="A1329" s="66">
        <v>10.75347</v>
      </c>
      <c r="B1329" s="67">
        <v>106.5931</v>
      </c>
      <c r="C1329" s="67">
        <v>10.76707</v>
      </c>
      <c r="D1329" s="67">
        <v>106.6493</v>
      </c>
      <c r="E1329" s="68">
        <v>8.255</v>
      </c>
    </row>
    <row r="1330" ht="22.5" customHeight="1">
      <c r="A1330" s="61">
        <v>10.75347</v>
      </c>
      <c r="B1330" s="63">
        <v>106.5931</v>
      </c>
      <c r="C1330" s="63">
        <v>10.77167</v>
      </c>
      <c r="D1330" s="63">
        <v>106.5865</v>
      </c>
      <c r="E1330" s="64">
        <v>2.483</v>
      </c>
    </row>
    <row r="1331" ht="22.5" customHeight="1">
      <c r="A1331" s="66">
        <v>10.75347</v>
      </c>
      <c r="B1331" s="67">
        <v>106.5931</v>
      </c>
      <c r="C1331" s="67">
        <v>10.77509</v>
      </c>
      <c r="D1331" s="67">
        <v>106.6727</v>
      </c>
      <c r="E1331" s="68">
        <v>10.857</v>
      </c>
    </row>
    <row r="1332" ht="22.5" customHeight="1">
      <c r="A1332" s="61">
        <v>10.75347</v>
      </c>
      <c r="B1332" s="63">
        <v>106.5931</v>
      </c>
      <c r="C1332" s="63">
        <v>10.77584</v>
      </c>
      <c r="D1332" s="63">
        <v>106.6133</v>
      </c>
      <c r="E1332" s="64">
        <v>4.935</v>
      </c>
    </row>
    <row r="1333" ht="22.5" customHeight="1">
      <c r="A1333" s="66">
        <v>10.75347</v>
      </c>
      <c r="B1333" s="67">
        <v>106.5931</v>
      </c>
      <c r="C1333" s="67">
        <v>10.7765</v>
      </c>
      <c r="D1333" s="67">
        <v>106.6028</v>
      </c>
      <c r="E1333" s="68">
        <v>4.128</v>
      </c>
    </row>
    <row r="1334" ht="22.5" customHeight="1">
      <c r="A1334" s="61">
        <v>10.75347</v>
      </c>
      <c r="B1334" s="63">
        <v>106.5931</v>
      </c>
      <c r="C1334" s="63">
        <v>10.78747</v>
      </c>
      <c r="D1334" s="63">
        <v>106.5981</v>
      </c>
      <c r="E1334" s="64">
        <v>4.665</v>
      </c>
    </row>
    <row r="1335" ht="22.5" customHeight="1">
      <c r="A1335" s="66">
        <v>10.75347</v>
      </c>
      <c r="B1335" s="67">
        <v>106.5931</v>
      </c>
      <c r="C1335" s="67">
        <v>10.80474</v>
      </c>
      <c r="D1335" s="67">
        <v>106.642</v>
      </c>
      <c r="E1335" s="68">
        <v>10.686</v>
      </c>
    </row>
    <row r="1336" ht="22.5" customHeight="1">
      <c r="A1336" s="61">
        <v>10.75357</v>
      </c>
      <c r="B1336" s="63">
        <v>106.6546</v>
      </c>
      <c r="C1336" s="63">
        <v>10.75998</v>
      </c>
      <c r="D1336" s="63">
        <v>106.6609</v>
      </c>
      <c r="E1336" s="64">
        <v>1.355</v>
      </c>
    </row>
    <row r="1337" ht="22.5" customHeight="1">
      <c r="A1337" s="66">
        <v>10.75357</v>
      </c>
      <c r="B1337" s="67">
        <v>106.6546</v>
      </c>
      <c r="C1337" s="67">
        <v>10.76195</v>
      </c>
      <c r="D1337" s="67">
        <v>106.6569</v>
      </c>
      <c r="E1337" s="68">
        <v>1.327</v>
      </c>
    </row>
    <row r="1338" ht="22.5" customHeight="1">
      <c r="A1338" s="61">
        <v>10.75417</v>
      </c>
      <c r="B1338" s="63">
        <v>106.6783</v>
      </c>
      <c r="C1338" s="63">
        <v>10.7301</v>
      </c>
      <c r="D1338" s="63">
        <v>106.6763</v>
      </c>
      <c r="E1338" s="64">
        <v>4.063</v>
      </c>
    </row>
    <row r="1339" ht="22.5" customHeight="1">
      <c r="A1339" s="66">
        <v>10.75417</v>
      </c>
      <c r="B1339" s="67">
        <v>106.6783</v>
      </c>
      <c r="C1339" s="67">
        <v>10.73635</v>
      </c>
      <c r="D1339" s="67">
        <v>106.6714</v>
      </c>
      <c r="E1339" s="68">
        <v>3.499</v>
      </c>
    </row>
    <row r="1340" ht="22.5" customHeight="1">
      <c r="A1340" s="61">
        <v>10.75417</v>
      </c>
      <c r="B1340" s="63">
        <v>106.6783</v>
      </c>
      <c r="C1340" s="63">
        <v>10.75094</v>
      </c>
      <c r="D1340" s="63">
        <v>106.6595</v>
      </c>
      <c r="E1340" s="64">
        <v>2.608</v>
      </c>
    </row>
    <row r="1341" ht="22.5" customHeight="1">
      <c r="A1341" s="66">
        <v>10.75417</v>
      </c>
      <c r="B1341" s="67">
        <v>106.6783</v>
      </c>
      <c r="C1341" s="67">
        <v>10.75139</v>
      </c>
      <c r="D1341" s="67">
        <v>106.6713</v>
      </c>
      <c r="E1341" s="68">
        <v>0.818</v>
      </c>
    </row>
    <row r="1342" ht="22.5" customHeight="1">
      <c r="A1342" s="61">
        <v>10.75417</v>
      </c>
      <c r="B1342" s="63">
        <v>106.6783</v>
      </c>
      <c r="C1342" s="63">
        <v>10.75424</v>
      </c>
      <c r="D1342" s="63">
        <v>106.6716</v>
      </c>
      <c r="E1342" s="64">
        <v>0.987</v>
      </c>
    </row>
    <row r="1343" ht="22.5" customHeight="1">
      <c r="A1343" s="66">
        <v>10.75417</v>
      </c>
      <c r="B1343" s="67">
        <v>106.6783</v>
      </c>
      <c r="C1343" s="67">
        <v>10.755</v>
      </c>
      <c r="D1343" s="67">
        <v>106.6705</v>
      </c>
      <c r="E1343" s="68">
        <v>1.191</v>
      </c>
    </row>
    <row r="1344" ht="22.5" customHeight="1">
      <c r="A1344" s="61">
        <v>10.75417</v>
      </c>
      <c r="B1344" s="63">
        <v>106.6783</v>
      </c>
      <c r="C1344" s="63">
        <v>10.75536</v>
      </c>
      <c r="D1344" s="63">
        <v>106.6645</v>
      </c>
      <c r="E1344" s="64">
        <v>2.184</v>
      </c>
    </row>
    <row r="1345" ht="22.5" customHeight="1">
      <c r="A1345" s="66">
        <v>10.75417</v>
      </c>
      <c r="B1345" s="67">
        <v>106.6783</v>
      </c>
      <c r="C1345" s="67">
        <v>10.75599</v>
      </c>
      <c r="D1345" s="67">
        <v>106.6825</v>
      </c>
      <c r="E1345" s="68">
        <v>0.845</v>
      </c>
    </row>
    <row r="1346" ht="22.5" customHeight="1">
      <c r="A1346" s="61">
        <v>10.75417</v>
      </c>
      <c r="B1346" s="63">
        <v>106.6783</v>
      </c>
      <c r="C1346" s="63">
        <v>10.75643</v>
      </c>
      <c r="D1346" s="63">
        <v>106.6734</v>
      </c>
      <c r="E1346" s="64">
        <v>0.961</v>
      </c>
    </row>
    <row r="1347" ht="22.5" customHeight="1">
      <c r="A1347" s="66">
        <v>10.75417</v>
      </c>
      <c r="B1347" s="67">
        <v>106.6783</v>
      </c>
      <c r="C1347" s="67">
        <v>10.7569</v>
      </c>
      <c r="D1347" s="67">
        <v>106.6739</v>
      </c>
      <c r="E1347" s="68">
        <v>1.139</v>
      </c>
    </row>
    <row r="1348" ht="22.5" customHeight="1">
      <c r="A1348" s="61">
        <v>10.75417</v>
      </c>
      <c r="B1348" s="63">
        <v>106.6783</v>
      </c>
      <c r="C1348" s="63">
        <v>10.75772</v>
      </c>
      <c r="D1348" s="63">
        <v>106.6789</v>
      </c>
      <c r="E1348" s="64">
        <v>0.573</v>
      </c>
    </row>
    <row r="1349" ht="22.5" customHeight="1">
      <c r="A1349" s="66">
        <v>10.75417</v>
      </c>
      <c r="B1349" s="67">
        <v>106.6783</v>
      </c>
      <c r="C1349" s="67">
        <v>10.759</v>
      </c>
      <c r="D1349" s="67">
        <v>106.6681</v>
      </c>
      <c r="E1349" s="68">
        <v>2.152</v>
      </c>
    </row>
    <row r="1350" ht="22.5" customHeight="1">
      <c r="A1350" s="61">
        <v>10.75417</v>
      </c>
      <c r="B1350" s="63">
        <v>106.6783</v>
      </c>
      <c r="C1350" s="63">
        <v>10.75947</v>
      </c>
      <c r="D1350" s="63">
        <v>106.6805</v>
      </c>
      <c r="E1350" s="64">
        <v>0.876</v>
      </c>
    </row>
    <row r="1351" ht="22.5" customHeight="1">
      <c r="A1351" s="66">
        <v>10.75417</v>
      </c>
      <c r="B1351" s="67">
        <v>106.6783</v>
      </c>
      <c r="C1351" s="67">
        <v>10.75973</v>
      </c>
      <c r="D1351" s="67">
        <v>106.6989</v>
      </c>
      <c r="E1351" s="68">
        <v>3.255</v>
      </c>
    </row>
    <row r="1352" ht="22.5" customHeight="1">
      <c r="A1352" s="61">
        <v>10.75417</v>
      </c>
      <c r="B1352" s="63">
        <v>106.6783</v>
      </c>
      <c r="C1352" s="63">
        <v>10.76283</v>
      </c>
      <c r="D1352" s="63">
        <v>106.6684</v>
      </c>
      <c r="E1352" s="64">
        <v>2.158</v>
      </c>
    </row>
    <row r="1353" ht="22.5" customHeight="1">
      <c r="A1353" s="66">
        <v>10.75417</v>
      </c>
      <c r="B1353" s="67">
        <v>106.6783</v>
      </c>
      <c r="C1353" s="67">
        <v>10.76898</v>
      </c>
      <c r="D1353" s="67">
        <v>106.6997</v>
      </c>
      <c r="E1353" s="68">
        <v>1.536</v>
      </c>
    </row>
    <row r="1354" ht="22.5" customHeight="1">
      <c r="A1354" s="61">
        <v>10.75417</v>
      </c>
      <c r="B1354" s="63">
        <v>106.6783</v>
      </c>
      <c r="C1354" s="63">
        <v>10.7718</v>
      </c>
      <c r="D1354" s="63">
        <v>106.6714</v>
      </c>
      <c r="E1354" s="64">
        <v>2.263</v>
      </c>
    </row>
    <row r="1355" ht="22.5" customHeight="1">
      <c r="A1355" s="66">
        <v>10.75417</v>
      </c>
      <c r="B1355" s="67">
        <v>106.6783</v>
      </c>
      <c r="C1355" s="67">
        <v>10.77509</v>
      </c>
      <c r="D1355" s="67">
        <v>106.6727</v>
      </c>
      <c r="E1355" s="68">
        <v>2.732</v>
      </c>
    </row>
    <row r="1356" ht="22.5" customHeight="1">
      <c r="A1356" s="61">
        <v>10.75424</v>
      </c>
      <c r="B1356" s="63">
        <v>106.6716</v>
      </c>
      <c r="C1356" s="63">
        <v>10.7231</v>
      </c>
      <c r="D1356" s="63">
        <v>106.6556</v>
      </c>
      <c r="E1356" s="64">
        <v>5.151</v>
      </c>
    </row>
    <row r="1357" ht="22.5" customHeight="1">
      <c r="A1357" s="66">
        <v>10.75424</v>
      </c>
      <c r="B1357" s="67">
        <v>106.6716</v>
      </c>
      <c r="C1357" s="67">
        <v>10.75327</v>
      </c>
      <c r="D1357" s="67">
        <v>106.6539</v>
      </c>
      <c r="E1357" s="68">
        <v>2.461</v>
      </c>
    </row>
    <row r="1358" ht="22.5" customHeight="1">
      <c r="A1358" s="61">
        <v>10.75424</v>
      </c>
      <c r="B1358" s="63">
        <v>106.6716</v>
      </c>
      <c r="C1358" s="63">
        <v>10.75417</v>
      </c>
      <c r="D1358" s="63">
        <v>106.6783</v>
      </c>
      <c r="E1358" s="64">
        <v>0.885</v>
      </c>
    </row>
    <row r="1359" ht="22.5" customHeight="1">
      <c r="A1359" s="66">
        <v>10.75424</v>
      </c>
      <c r="B1359" s="67">
        <v>106.6716</v>
      </c>
      <c r="C1359" s="67">
        <v>10.755</v>
      </c>
      <c r="D1359" s="67">
        <v>106.6705</v>
      </c>
      <c r="E1359" s="68">
        <v>0.149</v>
      </c>
    </row>
    <row r="1360" ht="22.5" customHeight="1">
      <c r="A1360" s="61">
        <v>10.75424</v>
      </c>
      <c r="B1360" s="63">
        <v>106.6716</v>
      </c>
      <c r="C1360" s="63">
        <v>10.75505</v>
      </c>
      <c r="D1360" s="63">
        <v>106.681</v>
      </c>
      <c r="E1360" s="64">
        <v>1.482</v>
      </c>
    </row>
    <row r="1361" ht="22.5" customHeight="1">
      <c r="A1361" s="66">
        <v>10.75424</v>
      </c>
      <c r="B1361" s="67">
        <v>106.6716</v>
      </c>
      <c r="C1361" s="67">
        <v>10.75599</v>
      </c>
      <c r="D1361" s="67">
        <v>106.6825</v>
      </c>
      <c r="E1361" s="68">
        <v>1.287</v>
      </c>
    </row>
    <row r="1362" ht="22.5" customHeight="1">
      <c r="A1362" s="61">
        <v>10.75424</v>
      </c>
      <c r="B1362" s="63">
        <v>106.6716</v>
      </c>
      <c r="C1362" s="63">
        <v>10.75643</v>
      </c>
      <c r="D1362" s="63">
        <v>106.6734</v>
      </c>
      <c r="E1362" s="64">
        <v>0.25</v>
      </c>
    </row>
    <row r="1363" ht="22.5" customHeight="1">
      <c r="A1363" s="66">
        <v>10.75424</v>
      </c>
      <c r="B1363" s="67">
        <v>106.6716</v>
      </c>
      <c r="C1363" s="67">
        <v>10.76484</v>
      </c>
      <c r="D1363" s="67">
        <v>106.6907</v>
      </c>
      <c r="E1363" s="68">
        <v>2.723</v>
      </c>
    </row>
    <row r="1364" ht="22.5" customHeight="1">
      <c r="A1364" s="61">
        <v>10.75424</v>
      </c>
      <c r="B1364" s="63">
        <v>106.6716</v>
      </c>
      <c r="C1364" s="63">
        <v>10.76913</v>
      </c>
      <c r="D1364" s="63">
        <v>106.6615</v>
      </c>
      <c r="E1364" s="64">
        <v>2.613</v>
      </c>
    </row>
    <row r="1365" ht="22.5" customHeight="1">
      <c r="A1365" s="66">
        <v>10.75424</v>
      </c>
      <c r="B1365" s="67">
        <v>106.6716</v>
      </c>
      <c r="C1365" s="67">
        <v>10.77509</v>
      </c>
      <c r="D1365" s="67">
        <v>106.6727</v>
      </c>
      <c r="E1365" s="68">
        <v>2.775</v>
      </c>
    </row>
    <row r="1366" ht="22.5" customHeight="1">
      <c r="A1366" s="61">
        <v>10.75424</v>
      </c>
      <c r="B1366" s="63">
        <v>106.6716</v>
      </c>
      <c r="C1366" s="63">
        <v>10.79036</v>
      </c>
      <c r="D1366" s="63">
        <v>106.6973</v>
      </c>
      <c r="E1366" s="64">
        <v>5.62</v>
      </c>
    </row>
    <row r="1367" ht="22.5" customHeight="1">
      <c r="A1367" s="66">
        <v>10.75426</v>
      </c>
      <c r="B1367" s="67">
        <v>106.6622</v>
      </c>
      <c r="C1367" s="67">
        <v>10.76195</v>
      </c>
      <c r="D1367" s="67">
        <v>106.6569</v>
      </c>
      <c r="E1367" s="68">
        <v>1.56</v>
      </c>
    </row>
    <row r="1368" ht="22.5" customHeight="1">
      <c r="A1368" s="61">
        <v>10.75426</v>
      </c>
      <c r="B1368" s="63">
        <v>106.6716</v>
      </c>
      <c r="C1368" s="63">
        <v>10.75643</v>
      </c>
      <c r="D1368" s="63">
        <v>106.6734</v>
      </c>
      <c r="E1368" s="64">
        <v>0.318</v>
      </c>
    </row>
    <row r="1369" ht="22.5" customHeight="1">
      <c r="A1369" s="66">
        <v>10.75447</v>
      </c>
      <c r="B1369" s="67">
        <v>106.6666</v>
      </c>
      <c r="C1369" s="67">
        <v>10.75643</v>
      </c>
      <c r="D1369" s="67">
        <v>106.6734</v>
      </c>
      <c r="E1369" s="68">
        <v>0.827</v>
      </c>
    </row>
    <row r="1370" ht="22.5" customHeight="1">
      <c r="A1370" s="61">
        <v>10.75448</v>
      </c>
      <c r="B1370" s="63">
        <v>106.682</v>
      </c>
      <c r="C1370" s="63">
        <v>10.75643</v>
      </c>
      <c r="D1370" s="63">
        <v>106.6734</v>
      </c>
      <c r="E1370" s="64">
        <v>1.694</v>
      </c>
    </row>
    <row r="1371" ht="22.5" customHeight="1">
      <c r="A1371" s="66">
        <v>10.75448</v>
      </c>
      <c r="B1371" s="67">
        <v>106.682</v>
      </c>
      <c r="C1371" s="67">
        <v>10.75973</v>
      </c>
      <c r="D1371" s="67">
        <v>106.6989</v>
      </c>
      <c r="E1371" s="68">
        <v>3.233</v>
      </c>
    </row>
    <row r="1372" ht="22.5" customHeight="1">
      <c r="A1372" s="61">
        <v>10.75448</v>
      </c>
      <c r="B1372" s="63">
        <v>106.682</v>
      </c>
      <c r="C1372" s="63">
        <v>10.76743</v>
      </c>
      <c r="D1372" s="63">
        <v>106.6809</v>
      </c>
      <c r="E1372" s="64">
        <v>1.823</v>
      </c>
    </row>
    <row r="1373" ht="22.5" customHeight="1">
      <c r="A1373" s="66">
        <v>10.75448</v>
      </c>
      <c r="B1373" s="67">
        <v>106.682</v>
      </c>
      <c r="C1373" s="67">
        <v>10.77509</v>
      </c>
      <c r="D1373" s="67">
        <v>106.6727</v>
      </c>
      <c r="E1373" s="68">
        <v>3.055</v>
      </c>
    </row>
    <row r="1374" ht="22.5" customHeight="1">
      <c r="A1374" s="61">
        <v>10.75461</v>
      </c>
      <c r="B1374" s="63">
        <v>106.6838</v>
      </c>
      <c r="C1374" s="63">
        <v>10.75643</v>
      </c>
      <c r="D1374" s="63">
        <v>106.6734</v>
      </c>
      <c r="E1374" s="64">
        <v>1.841</v>
      </c>
    </row>
    <row r="1375" ht="22.5" customHeight="1">
      <c r="A1375" s="66">
        <v>10.75461</v>
      </c>
      <c r="B1375" s="67">
        <v>106.62</v>
      </c>
      <c r="C1375" s="67">
        <v>10.74602</v>
      </c>
      <c r="D1375" s="67">
        <v>106.6123</v>
      </c>
      <c r="E1375" s="68">
        <v>1.937</v>
      </c>
    </row>
    <row r="1376" ht="22.5" customHeight="1">
      <c r="A1376" s="61">
        <v>10.75491</v>
      </c>
      <c r="B1376" s="63">
        <v>106.6996</v>
      </c>
      <c r="C1376" s="63">
        <v>10.75907</v>
      </c>
      <c r="D1376" s="63">
        <v>106.6988</v>
      </c>
      <c r="E1376" s="64">
        <v>0.685</v>
      </c>
    </row>
    <row r="1377" ht="22.5" customHeight="1">
      <c r="A1377" s="66">
        <v>10.75493</v>
      </c>
      <c r="B1377" s="67">
        <v>106.6664</v>
      </c>
      <c r="C1377" s="67">
        <v>10.75417</v>
      </c>
      <c r="D1377" s="67">
        <v>106.6783</v>
      </c>
      <c r="E1377" s="68">
        <v>1.556</v>
      </c>
    </row>
    <row r="1378" ht="22.5" customHeight="1">
      <c r="A1378" s="61">
        <v>10.75493</v>
      </c>
      <c r="B1378" s="63">
        <v>106.6664</v>
      </c>
      <c r="C1378" s="63">
        <v>10.75643</v>
      </c>
      <c r="D1378" s="63">
        <v>106.6734</v>
      </c>
      <c r="E1378" s="64">
        <v>0.95</v>
      </c>
    </row>
    <row r="1379" ht="22.5" customHeight="1">
      <c r="A1379" s="66">
        <v>10.75493</v>
      </c>
      <c r="B1379" s="67">
        <v>106.6664</v>
      </c>
      <c r="C1379" s="67">
        <v>10.76668</v>
      </c>
      <c r="D1379" s="67">
        <v>106.6879</v>
      </c>
      <c r="E1379" s="68">
        <v>3.037</v>
      </c>
    </row>
    <row r="1380" ht="22.5" customHeight="1">
      <c r="A1380" s="61">
        <v>10.75493</v>
      </c>
      <c r="B1380" s="63">
        <v>106.6664</v>
      </c>
      <c r="C1380" s="63">
        <v>10.77014</v>
      </c>
      <c r="D1380" s="63">
        <v>106.7009</v>
      </c>
      <c r="E1380" s="64">
        <v>4.974</v>
      </c>
    </row>
    <row r="1381" ht="22.5" customHeight="1">
      <c r="A1381" s="66">
        <v>10.75493</v>
      </c>
      <c r="B1381" s="67">
        <v>106.6664</v>
      </c>
      <c r="C1381" s="67">
        <v>10.77509</v>
      </c>
      <c r="D1381" s="67">
        <v>106.6727</v>
      </c>
      <c r="E1381" s="68">
        <v>2.743</v>
      </c>
    </row>
    <row r="1382" ht="22.5" customHeight="1">
      <c r="A1382" s="61">
        <v>10.755</v>
      </c>
      <c r="B1382" s="63">
        <v>106.6705</v>
      </c>
      <c r="C1382" s="63">
        <v>10.72431</v>
      </c>
      <c r="D1382" s="63">
        <v>106.6452</v>
      </c>
      <c r="E1382" s="64">
        <v>6.29</v>
      </c>
    </row>
    <row r="1383" ht="22.5" customHeight="1">
      <c r="A1383" s="66">
        <v>10.755</v>
      </c>
      <c r="B1383" s="67">
        <v>106.6705</v>
      </c>
      <c r="C1383" s="67">
        <v>10.75094</v>
      </c>
      <c r="D1383" s="67">
        <v>106.6595</v>
      </c>
      <c r="E1383" s="68">
        <v>1.737</v>
      </c>
    </row>
    <row r="1384" ht="22.5" customHeight="1">
      <c r="A1384" s="61">
        <v>10.755</v>
      </c>
      <c r="B1384" s="63">
        <v>106.6705</v>
      </c>
      <c r="C1384" s="63">
        <v>10.75327</v>
      </c>
      <c r="D1384" s="63">
        <v>106.6539</v>
      </c>
      <c r="E1384" s="64">
        <v>2.032</v>
      </c>
    </row>
    <row r="1385" ht="22.5" customHeight="1">
      <c r="A1385" s="66">
        <v>10.755</v>
      </c>
      <c r="B1385" s="67">
        <v>106.6705</v>
      </c>
      <c r="C1385" s="67">
        <v>10.75417</v>
      </c>
      <c r="D1385" s="67">
        <v>106.6783</v>
      </c>
      <c r="E1385" s="68">
        <v>1.24</v>
      </c>
    </row>
    <row r="1386" ht="22.5" customHeight="1">
      <c r="A1386" s="61">
        <v>10.755</v>
      </c>
      <c r="B1386" s="63">
        <v>106.6705</v>
      </c>
      <c r="C1386" s="63">
        <v>10.75424</v>
      </c>
      <c r="D1386" s="63">
        <v>106.6716</v>
      </c>
      <c r="E1386" s="64">
        <v>0.579</v>
      </c>
    </row>
    <row r="1387" ht="22.5" customHeight="1">
      <c r="A1387" s="66">
        <v>10.755</v>
      </c>
      <c r="B1387" s="67">
        <v>106.6705</v>
      </c>
      <c r="C1387" s="67">
        <v>10.75493</v>
      </c>
      <c r="D1387" s="67">
        <v>106.6664</v>
      </c>
      <c r="E1387" s="68">
        <v>1.072</v>
      </c>
    </row>
    <row r="1388" ht="22.5" customHeight="1">
      <c r="A1388" s="61">
        <v>10.755</v>
      </c>
      <c r="B1388" s="63">
        <v>106.6705</v>
      </c>
      <c r="C1388" s="63">
        <v>10.755</v>
      </c>
      <c r="D1388" s="63">
        <v>106.6705</v>
      </c>
      <c r="E1388" s="64">
        <v>0.0</v>
      </c>
    </row>
    <row r="1389" ht="22.5" customHeight="1">
      <c r="A1389" s="66">
        <v>10.755</v>
      </c>
      <c r="B1389" s="67">
        <v>106.6705</v>
      </c>
      <c r="C1389" s="67">
        <v>10.75599</v>
      </c>
      <c r="D1389" s="67">
        <v>106.6825</v>
      </c>
      <c r="E1389" s="68">
        <v>1.797</v>
      </c>
    </row>
    <row r="1390" ht="22.5" customHeight="1">
      <c r="A1390" s="61">
        <v>10.755</v>
      </c>
      <c r="B1390" s="63">
        <v>106.6705</v>
      </c>
      <c r="C1390" s="63">
        <v>10.75643</v>
      </c>
      <c r="D1390" s="63">
        <v>106.6734</v>
      </c>
      <c r="E1390" s="64">
        <v>0.4</v>
      </c>
    </row>
    <row r="1391" ht="22.5" customHeight="1">
      <c r="A1391" s="66">
        <v>10.755</v>
      </c>
      <c r="B1391" s="67">
        <v>106.6705</v>
      </c>
      <c r="C1391" s="67">
        <v>10.7569</v>
      </c>
      <c r="D1391" s="67">
        <v>106.6739</v>
      </c>
      <c r="E1391" s="68">
        <v>0.685</v>
      </c>
    </row>
    <row r="1392" ht="22.5" customHeight="1">
      <c r="A1392" s="61">
        <v>10.755</v>
      </c>
      <c r="B1392" s="63">
        <v>106.6705</v>
      </c>
      <c r="C1392" s="63">
        <v>10.75772</v>
      </c>
      <c r="D1392" s="63">
        <v>106.6789</v>
      </c>
      <c r="E1392" s="64">
        <v>0.959</v>
      </c>
    </row>
    <row r="1393" ht="22.5" customHeight="1">
      <c r="A1393" s="66">
        <v>10.755</v>
      </c>
      <c r="B1393" s="67">
        <v>106.6705</v>
      </c>
      <c r="C1393" s="67">
        <v>10.75939</v>
      </c>
      <c r="D1393" s="67">
        <v>106.6625</v>
      </c>
      <c r="E1393" s="68">
        <v>1.282</v>
      </c>
    </row>
    <row r="1394" ht="22.5" customHeight="1">
      <c r="A1394" s="61">
        <v>10.755</v>
      </c>
      <c r="B1394" s="63">
        <v>106.6705</v>
      </c>
      <c r="C1394" s="63">
        <v>10.76163</v>
      </c>
      <c r="D1394" s="63">
        <v>106.6769</v>
      </c>
      <c r="E1394" s="64">
        <v>1.117</v>
      </c>
    </row>
    <row r="1395" ht="22.5" customHeight="1">
      <c r="A1395" s="66">
        <v>10.755</v>
      </c>
      <c r="B1395" s="67">
        <v>106.6705</v>
      </c>
      <c r="C1395" s="67">
        <v>10.76913</v>
      </c>
      <c r="D1395" s="67">
        <v>106.6615</v>
      </c>
      <c r="E1395" s="68">
        <v>2.175</v>
      </c>
    </row>
    <row r="1396" ht="22.5" customHeight="1">
      <c r="A1396" s="61">
        <v>10.755</v>
      </c>
      <c r="B1396" s="63">
        <v>106.6705</v>
      </c>
      <c r="C1396" s="63">
        <v>10.7718</v>
      </c>
      <c r="D1396" s="63">
        <v>106.6714</v>
      </c>
      <c r="E1396" s="64">
        <v>2.306</v>
      </c>
    </row>
    <row r="1397" ht="22.5" customHeight="1">
      <c r="A1397" s="66">
        <v>10.755</v>
      </c>
      <c r="B1397" s="67">
        <v>106.6705</v>
      </c>
      <c r="C1397" s="67">
        <v>10.77509</v>
      </c>
      <c r="D1397" s="67">
        <v>106.6727</v>
      </c>
      <c r="E1397" s="68">
        <v>2.8</v>
      </c>
    </row>
    <row r="1398" ht="22.5" customHeight="1">
      <c r="A1398" s="61">
        <v>10.75505</v>
      </c>
      <c r="B1398" s="63">
        <v>106.681</v>
      </c>
      <c r="C1398" s="63">
        <v>10.75417</v>
      </c>
      <c r="D1398" s="63">
        <v>106.6783</v>
      </c>
      <c r="E1398" s="64">
        <v>0.274</v>
      </c>
    </row>
    <row r="1399" ht="22.5" customHeight="1">
      <c r="A1399" s="66">
        <v>10.75505</v>
      </c>
      <c r="B1399" s="67">
        <v>106.681</v>
      </c>
      <c r="C1399" s="67">
        <v>10.75424</v>
      </c>
      <c r="D1399" s="67">
        <v>106.6716</v>
      </c>
      <c r="E1399" s="68">
        <v>1.22</v>
      </c>
    </row>
    <row r="1400" ht="22.5" customHeight="1">
      <c r="A1400" s="61">
        <v>10.75505</v>
      </c>
      <c r="B1400" s="63">
        <v>106.681</v>
      </c>
      <c r="C1400" s="63">
        <v>10.755</v>
      </c>
      <c r="D1400" s="63">
        <v>106.6705</v>
      </c>
      <c r="E1400" s="64">
        <v>1.68</v>
      </c>
    </row>
    <row r="1401" ht="22.5" customHeight="1">
      <c r="A1401" s="66">
        <v>10.75505</v>
      </c>
      <c r="B1401" s="67">
        <v>106.681</v>
      </c>
      <c r="C1401" s="67">
        <v>10.75599</v>
      </c>
      <c r="D1401" s="67">
        <v>106.6825</v>
      </c>
      <c r="E1401" s="68">
        <v>0.436</v>
      </c>
    </row>
    <row r="1402" ht="22.5" customHeight="1">
      <c r="A1402" s="61">
        <v>10.75505</v>
      </c>
      <c r="B1402" s="63">
        <v>106.681</v>
      </c>
      <c r="C1402" s="63">
        <v>10.75643</v>
      </c>
      <c r="D1402" s="63">
        <v>106.6734</v>
      </c>
      <c r="E1402" s="64">
        <v>1.42</v>
      </c>
    </row>
    <row r="1403" ht="22.5" customHeight="1">
      <c r="A1403" s="66">
        <v>10.75505</v>
      </c>
      <c r="B1403" s="67">
        <v>106.681</v>
      </c>
      <c r="C1403" s="67">
        <v>10.7569</v>
      </c>
      <c r="D1403" s="67">
        <v>106.6739</v>
      </c>
      <c r="E1403" s="68">
        <v>1.489</v>
      </c>
    </row>
    <row r="1404" ht="22.5" customHeight="1">
      <c r="A1404" s="61">
        <v>10.75505</v>
      </c>
      <c r="B1404" s="63">
        <v>106.681</v>
      </c>
      <c r="C1404" s="63">
        <v>10.77509</v>
      </c>
      <c r="D1404" s="63">
        <v>106.6727</v>
      </c>
      <c r="E1404" s="64">
        <v>2.913</v>
      </c>
    </row>
    <row r="1405" ht="22.5" customHeight="1">
      <c r="A1405" s="66">
        <v>10.7552</v>
      </c>
      <c r="B1405" s="67">
        <v>106.6985</v>
      </c>
      <c r="C1405" s="67">
        <v>10.75535</v>
      </c>
      <c r="D1405" s="67">
        <v>106.6939</v>
      </c>
      <c r="E1405" s="68">
        <v>1.204</v>
      </c>
    </row>
    <row r="1406" ht="22.5" customHeight="1">
      <c r="A1406" s="61">
        <v>10.7552</v>
      </c>
      <c r="B1406" s="63">
        <v>106.6985</v>
      </c>
      <c r="C1406" s="63">
        <v>10.75643</v>
      </c>
      <c r="D1406" s="63">
        <v>106.6734</v>
      </c>
      <c r="E1406" s="64">
        <v>4.53</v>
      </c>
    </row>
    <row r="1407" ht="22.5" customHeight="1">
      <c r="A1407" s="66">
        <v>10.75524</v>
      </c>
      <c r="B1407" s="67">
        <v>106.6645</v>
      </c>
      <c r="C1407" s="67">
        <v>10.77509</v>
      </c>
      <c r="D1407" s="67">
        <v>106.6727</v>
      </c>
      <c r="E1407" s="68">
        <v>2.8</v>
      </c>
    </row>
    <row r="1408" ht="22.5" customHeight="1">
      <c r="A1408" s="61">
        <v>10.75535</v>
      </c>
      <c r="B1408" s="63">
        <v>106.6939</v>
      </c>
      <c r="C1408" s="63">
        <v>10.7231</v>
      </c>
      <c r="D1408" s="63">
        <v>106.6556</v>
      </c>
      <c r="E1408" s="64">
        <v>7.831</v>
      </c>
    </row>
    <row r="1409" ht="22.5" customHeight="1">
      <c r="A1409" s="66">
        <v>10.75535</v>
      </c>
      <c r="B1409" s="67">
        <v>106.6939</v>
      </c>
      <c r="C1409" s="67">
        <v>10.72431</v>
      </c>
      <c r="D1409" s="67">
        <v>106.6452</v>
      </c>
      <c r="E1409" s="68">
        <v>8.787</v>
      </c>
    </row>
    <row r="1410" ht="22.5" customHeight="1">
      <c r="A1410" s="61">
        <v>10.75535</v>
      </c>
      <c r="B1410" s="63">
        <v>106.6939</v>
      </c>
      <c r="C1410" s="63">
        <v>10.7301</v>
      </c>
      <c r="D1410" s="63">
        <v>106.6763</v>
      </c>
      <c r="E1410" s="64">
        <v>5.539</v>
      </c>
    </row>
    <row r="1411" ht="22.5" customHeight="1">
      <c r="A1411" s="66">
        <v>10.75535</v>
      </c>
      <c r="B1411" s="67">
        <v>106.6939</v>
      </c>
      <c r="C1411" s="67">
        <v>10.74157</v>
      </c>
      <c r="D1411" s="67">
        <v>106.6885</v>
      </c>
      <c r="E1411" s="68">
        <v>2.562</v>
      </c>
    </row>
    <row r="1412" ht="22.5" customHeight="1">
      <c r="A1412" s="61">
        <v>10.75535</v>
      </c>
      <c r="B1412" s="63">
        <v>106.6939</v>
      </c>
      <c r="C1412" s="63">
        <v>10.75417</v>
      </c>
      <c r="D1412" s="63">
        <v>106.6783</v>
      </c>
      <c r="E1412" s="64">
        <v>2.838</v>
      </c>
    </row>
    <row r="1413" ht="22.5" customHeight="1">
      <c r="A1413" s="66">
        <v>10.75535</v>
      </c>
      <c r="B1413" s="67">
        <v>106.6939</v>
      </c>
      <c r="C1413" s="67">
        <v>10.75643</v>
      </c>
      <c r="D1413" s="67">
        <v>106.6734</v>
      </c>
      <c r="E1413" s="68">
        <v>3.567</v>
      </c>
    </row>
    <row r="1414" ht="22.5" customHeight="1">
      <c r="A1414" s="61">
        <v>10.75535</v>
      </c>
      <c r="B1414" s="63">
        <v>106.6939</v>
      </c>
      <c r="C1414" s="63">
        <v>10.75907</v>
      </c>
      <c r="D1414" s="63">
        <v>106.6988</v>
      </c>
      <c r="E1414" s="64">
        <v>1.328</v>
      </c>
    </row>
    <row r="1415" ht="22.5" customHeight="1">
      <c r="A1415" s="66">
        <v>10.75535</v>
      </c>
      <c r="B1415" s="67">
        <v>106.6939</v>
      </c>
      <c r="C1415" s="67">
        <v>10.75973</v>
      </c>
      <c r="D1415" s="67">
        <v>106.6989</v>
      </c>
      <c r="E1415" s="68">
        <v>1.313</v>
      </c>
    </row>
    <row r="1416" ht="22.5" customHeight="1">
      <c r="A1416" s="61">
        <v>10.75535</v>
      </c>
      <c r="B1416" s="63">
        <v>106.6939</v>
      </c>
      <c r="C1416" s="63">
        <v>10.77014</v>
      </c>
      <c r="D1416" s="63">
        <v>106.7009</v>
      </c>
      <c r="E1416" s="64">
        <v>3.037</v>
      </c>
    </row>
    <row r="1417" ht="22.5" customHeight="1">
      <c r="A1417" s="66">
        <v>10.75535</v>
      </c>
      <c r="B1417" s="67">
        <v>106.6939</v>
      </c>
      <c r="C1417" s="67">
        <v>10.77509</v>
      </c>
      <c r="D1417" s="67">
        <v>106.6727</v>
      </c>
      <c r="E1417" s="68">
        <v>4.614</v>
      </c>
    </row>
    <row r="1418" ht="22.5" customHeight="1">
      <c r="A1418" s="61">
        <v>10.75536</v>
      </c>
      <c r="B1418" s="63">
        <v>106.6645</v>
      </c>
      <c r="C1418" s="63">
        <v>10.75327</v>
      </c>
      <c r="D1418" s="63">
        <v>106.6539</v>
      </c>
      <c r="E1418" s="64">
        <v>1.69</v>
      </c>
    </row>
    <row r="1419" ht="22.5" customHeight="1">
      <c r="A1419" s="66">
        <v>10.75536</v>
      </c>
      <c r="B1419" s="67">
        <v>106.6645</v>
      </c>
      <c r="C1419" s="67">
        <v>10.75424</v>
      </c>
      <c r="D1419" s="67">
        <v>106.6716</v>
      </c>
      <c r="E1419" s="68">
        <v>0.958</v>
      </c>
    </row>
    <row r="1420" ht="22.5" customHeight="1">
      <c r="A1420" s="61">
        <v>10.75536</v>
      </c>
      <c r="B1420" s="63">
        <v>106.6645</v>
      </c>
      <c r="C1420" s="63">
        <v>10.755</v>
      </c>
      <c r="D1420" s="63">
        <v>106.6705</v>
      </c>
      <c r="E1420" s="64">
        <v>0.591</v>
      </c>
    </row>
    <row r="1421" ht="22.5" customHeight="1">
      <c r="A1421" s="66">
        <v>10.75536</v>
      </c>
      <c r="B1421" s="67">
        <v>106.6645</v>
      </c>
      <c r="C1421" s="67">
        <v>10.75643</v>
      </c>
      <c r="D1421" s="67">
        <v>106.6734</v>
      </c>
      <c r="E1421" s="68">
        <v>1.074</v>
      </c>
    </row>
    <row r="1422" ht="22.5" customHeight="1">
      <c r="A1422" s="61">
        <v>10.75536</v>
      </c>
      <c r="B1422" s="63">
        <v>106.6645</v>
      </c>
      <c r="C1422" s="63">
        <v>10.759</v>
      </c>
      <c r="D1422" s="63">
        <v>106.6681</v>
      </c>
      <c r="E1422" s="64">
        <v>0.504</v>
      </c>
    </row>
    <row r="1423" ht="22.5" customHeight="1">
      <c r="A1423" s="66">
        <v>10.75536</v>
      </c>
      <c r="B1423" s="67">
        <v>106.6645</v>
      </c>
      <c r="C1423" s="67">
        <v>10.77509</v>
      </c>
      <c r="D1423" s="67">
        <v>106.6727</v>
      </c>
      <c r="E1423" s="68">
        <v>2.846</v>
      </c>
    </row>
    <row r="1424" ht="22.5" customHeight="1">
      <c r="A1424" s="61">
        <v>10.75538</v>
      </c>
      <c r="B1424" s="63">
        <v>106.6433</v>
      </c>
      <c r="C1424" s="63">
        <v>10.73908</v>
      </c>
      <c r="D1424" s="63">
        <v>106.6149</v>
      </c>
      <c r="E1424" s="64">
        <v>3.906</v>
      </c>
    </row>
    <row r="1425" ht="22.5" customHeight="1">
      <c r="A1425" s="66">
        <v>10.75538</v>
      </c>
      <c r="B1425" s="67">
        <v>106.6433</v>
      </c>
      <c r="C1425" s="67">
        <v>10.74152</v>
      </c>
      <c r="D1425" s="67">
        <v>106.6251</v>
      </c>
      <c r="E1425" s="68">
        <v>3.249</v>
      </c>
    </row>
    <row r="1426" ht="22.5" customHeight="1">
      <c r="A1426" s="61">
        <v>10.75538</v>
      </c>
      <c r="B1426" s="63">
        <v>106.6433</v>
      </c>
      <c r="C1426" s="63">
        <v>10.7444</v>
      </c>
      <c r="D1426" s="63">
        <v>106.6304</v>
      </c>
      <c r="E1426" s="64">
        <v>2.62</v>
      </c>
    </row>
    <row r="1427" ht="22.5" customHeight="1">
      <c r="A1427" s="66">
        <v>10.75538</v>
      </c>
      <c r="B1427" s="67">
        <v>106.6433</v>
      </c>
      <c r="C1427" s="67">
        <v>10.74946</v>
      </c>
      <c r="D1427" s="67">
        <v>106.6451</v>
      </c>
      <c r="E1427" s="68">
        <v>0.929</v>
      </c>
    </row>
    <row r="1428" ht="22.5" customHeight="1">
      <c r="A1428" s="61">
        <v>10.75538</v>
      </c>
      <c r="B1428" s="63">
        <v>106.6433</v>
      </c>
      <c r="C1428" s="63">
        <v>10.75113</v>
      </c>
      <c r="D1428" s="63">
        <v>106.635</v>
      </c>
      <c r="E1428" s="64">
        <v>1.4</v>
      </c>
    </row>
    <row r="1429" ht="22.5" customHeight="1">
      <c r="A1429" s="66">
        <v>10.75538</v>
      </c>
      <c r="B1429" s="67">
        <v>106.6433</v>
      </c>
      <c r="C1429" s="67">
        <v>10.75998</v>
      </c>
      <c r="D1429" s="67">
        <v>106.6609</v>
      </c>
      <c r="E1429" s="68">
        <v>2.324</v>
      </c>
    </row>
    <row r="1430" ht="22.5" customHeight="1">
      <c r="A1430" s="61">
        <v>10.75538</v>
      </c>
      <c r="B1430" s="63">
        <v>106.6433</v>
      </c>
      <c r="C1430" s="63">
        <v>10.76195</v>
      </c>
      <c r="D1430" s="63">
        <v>106.6569</v>
      </c>
      <c r="E1430" s="64">
        <v>1.941</v>
      </c>
    </row>
    <row r="1431" ht="22.5" customHeight="1">
      <c r="A1431" s="66">
        <v>10.75538</v>
      </c>
      <c r="B1431" s="67">
        <v>106.6433</v>
      </c>
      <c r="C1431" s="67">
        <v>10.76707</v>
      </c>
      <c r="D1431" s="67">
        <v>106.6493</v>
      </c>
      <c r="E1431" s="68">
        <v>1.8</v>
      </c>
    </row>
    <row r="1432" ht="22.5" customHeight="1">
      <c r="A1432" s="61">
        <v>10.75538</v>
      </c>
      <c r="B1432" s="63">
        <v>106.6433</v>
      </c>
      <c r="C1432" s="63">
        <v>10.77509</v>
      </c>
      <c r="D1432" s="63">
        <v>106.6727</v>
      </c>
      <c r="E1432" s="64">
        <v>4.5</v>
      </c>
    </row>
    <row r="1433" ht="22.5" customHeight="1">
      <c r="A1433" s="66">
        <v>10.75545</v>
      </c>
      <c r="B1433" s="67">
        <v>106.7244</v>
      </c>
      <c r="C1433" s="67">
        <v>10.73786</v>
      </c>
      <c r="D1433" s="67">
        <v>106.7205</v>
      </c>
      <c r="E1433" s="68">
        <v>2.678</v>
      </c>
    </row>
    <row r="1434" ht="22.5" customHeight="1">
      <c r="A1434" s="61">
        <v>10.75545</v>
      </c>
      <c r="B1434" s="63">
        <v>106.7244</v>
      </c>
      <c r="C1434" s="63">
        <v>10.73842</v>
      </c>
      <c r="D1434" s="63">
        <v>106.7164</v>
      </c>
      <c r="E1434" s="64">
        <v>3.144</v>
      </c>
    </row>
    <row r="1435" ht="22.5" customHeight="1">
      <c r="A1435" s="66">
        <v>10.75545</v>
      </c>
      <c r="B1435" s="67">
        <v>106.7244</v>
      </c>
      <c r="C1435" s="67">
        <v>10.74504</v>
      </c>
      <c r="D1435" s="67">
        <v>106.7125</v>
      </c>
      <c r="E1435" s="68">
        <v>2.416</v>
      </c>
    </row>
    <row r="1436" ht="22.5" customHeight="1">
      <c r="A1436" s="61">
        <v>10.75566</v>
      </c>
      <c r="B1436" s="63">
        <v>106.6098</v>
      </c>
      <c r="C1436" s="63">
        <v>10.7252</v>
      </c>
      <c r="D1436" s="63">
        <v>106.6094</v>
      </c>
      <c r="E1436" s="64">
        <v>3.889</v>
      </c>
    </row>
    <row r="1437" ht="22.5" customHeight="1">
      <c r="A1437" s="66">
        <v>10.75566</v>
      </c>
      <c r="B1437" s="67">
        <v>106.6098</v>
      </c>
      <c r="C1437" s="67">
        <v>10.74602</v>
      </c>
      <c r="D1437" s="67">
        <v>106.6123</v>
      </c>
      <c r="E1437" s="68">
        <v>1.14</v>
      </c>
    </row>
    <row r="1438" ht="22.5" customHeight="1">
      <c r="A1438" s="61">
        <v>10.75566</v>
      </c>
      <c r="B1438" s="63">
        <v>106.6098</v>
      </c>
      <c r="C1438" s="63">
        <v>10.75153</v>
      </c>
      <c r="D1438" s="63">
        <v>106.6116</v>
      </c>
      <c r="E1438" s="64">
        <v>0.608</v>
      </c>
    </row>
    <row r="1439" ht="22.5" customHeight="1">
      <c r="A1439" s="66">
        <v>10.75566</v>
      </c>
      <c r="B1439" s="67">
        <v>106.6098</v>
      </c>
      <c r="C1439" s="67">
        <v>10.76707</v>
      </c>
      <c r="D1439" s="67">
        <v>106.6493</v>
      </c>
      <c r="E1439" s="68">
        <v>6.227</v>
      </c>
    </row>
    <row r="1440" ht="22.5" customHeight="1">
      <c r="A1440" s="61">
        <v>10.75566</v>
      </c>
      <c r="B1440" s="63">
        <v>106.6098</v>
      </c>
      <c r="C1440" s="63">
        <v>10.77584</v>
      </c>
      <c r="D1440" s="63">
        <v>106.6133</v>
      </c>
      <c r="E1440" s="64">
        <v>2.861</v>
      </c>
    </row>
    <row r="1441" ht="22.5" customHeight="1">
      <c r="A1441" s="66">
        <v>10.75575</v>
      </c>
      <c r="B1441" s="67">
        <v>106.6373</v>
      </c>
      <c r="C1441" s="67">
        <v>10.76707</v>
      </c>
      <c r="D1441" s="67">
        <v>106.6493</v>
      </c>
      <c r="E1441" s="68">
        <v>2.537</v>
      </c>
    </row>
    <row r="1442" ht="22.5" customHeight="1">
      <c r="A1442" s="61">
        <v>10.75579</v>
      </c>
      <c r="B1442" s="63">
        <v>106.6247</v>
      </c>
      <c r="C1442" s="63">
        <v>10.74602</v>
      </c>
      <c r="D1442" s="63">
        <v>106.6123</v>
      </c>
      <c r="E1442" s="64">
        <v>3.283</v>
      </c>
    </row>
    <row r="1443" ht="22.5" customHeight="1">
      <c r="A1443" s="66">
        <v>10.75579</v>
      </c>
      <c r="B1443" s="67">
        <v>106.6247</v>
      </c>
      <c r="C1443" s="67">
        <v>10.75113</v>
      </c>
      <c r="D1443" s="67">
        <v>106.635</v>
      </c>
      <c r="E1443" s="68">
        <v>1.408</v>
      </c>
    </row>
    <row r="1444" ht="22.5" customHeight="1">
      <c r="A1444" s="61">
        <v>10.75583</v>
      </c>
      <c r="B1444" s="63">
        <v>106.6579</v>
      </c>
      <c r="C1444" s="63">
        <v>10.76195</v>
      </c>
      <c r="D1444" s="63">
        <v>106.6569</v>
      </c>
      <c r="E1444" s="64">
        <v>1.539</v>
      </c>
    </row>
    <row r="1445" ht="22.5" customHeight="1">
      <c r="A1445" s="66">
        <v>10.75586</v>
      </c>
      <c r="B1445" s="67">
        <v>106.6724</v>
      </c>
      <c r="C1445" s="67">
        <v>10.75586</v>
      </c>
      <c r="D1445" s="67">
        <v>106.6724</v>
      </c>
      <c r="E1445" s="68">
        <v>0.0</v>
      </c>
    </row>
    <row r="1446" ht="22.5" customHeight="1">
      <c r="A1446" s="61">
        <v>10.75586</v>
      </c>
      <c r="B1446" s="63">
        <v>106.6724</v>
      </c>
      <c r="C1446" s="63">
        <v>10.75643</v>
      </c>
      <c r="D1446" s="63">
        <v>106.6734</v>
      </c>
      <c r="E1446" s="64">
        <v>0.129</v>
      </c>
    </row>
    <row r="1447" ht="22.5" customHeight="1">
      <c r="A1447" s="66">
        <v>10.75586</v>
      </c>
      <c r="B1447" s="67">
        <v>106.6724</v>
      </c>
      <c r="C1447" s="67">
        <v>10.75695</v>
      </c>
      <c r="D1447" s="67">
        <v>106.671</v>
      </c>
      <c r="E1447" s="68">
        <v>0.629</v>
      </c>
    </row>
    <row r="1448" ht="22.5" customHeight="1">
      <c r="A1448" s="61">
        <v>10.75586</v>
      </c>
      <c r="B1448" s="63">
        <v>106.6724</v>
      </c>
      <c r="C1448" s="63">
        <v>10.75947</v>
      </c>
      <c r="D1448" s="63">
        <v>106.6805</v>
      </c>
      <c r="E1448" s="64">
        <v>1.414</v>
      </c>
    </row>
    <row r="1449" ht="22.5" customHeight="1">
      <c r="A1449" s="66">
        <v>10.75586</v>
      </c>
      <c r="B1449" s="67">
        <v>106.6724</v>
      </c>
      <c r="C1449" s="67">
        <v>10.75985</v>
      </c>
      <c r="D1449" s="67">
        <v>106.677</v>
      </c>
      <c r="E1449" s="68">
        <v>0.788</v>
      </c>
    </row>
    <row r="1450" ht="22.5" customHeight="1">
      <c r="A1450" s="61">
        <v>10.75586</v>
      </c>
      <c r="B1450" s="63">
        <v>106.6724</v>
      </c>
      <c r="C1450" s="63">
        <v>10.75987</v>
      </c>
      <c r="D1450" s="63">
        <v>106.677</v>
      </c>
      <c r="E1450" s="64">
        <v>0.655</v>
      </c>
    </row>
    <row r="1451" ht="22.5" customHeight="1">
      <c r="A1451" s="66">
        <v>10.75586</v>
      </c>
      <c r="B1451" s="67">
        <v>106.6724</v>
      </c>
      <c r="C1451" s="67">
        <v>10.75998</v>
      </c>
      <c r="D1451" s="67">
        <v>106.6727</v>
      </c>
      <c r="E1451" s="68">
        <v>0.653</v>
      </c>
    </row>
    <row r="1452" ht="22.5" customHeight="1">
      <c r="A1452" s="61">
        <v>10.75586</v>
      </c>
      <c r="B1452" s="63">
        <v>106.6724</v>
      </c>
      <c r="C1452" s="63">
        <v>10.76163</v>
      </c>
      <c r="D1452" s="63">
        <v>106.6769</v>
      </c>
      <c r="E1452" s="64">
        <v>0.854</v>
      </c>
    </row>
    <row r="1453" ht="22.5" customHeight="1">
      <c r="A1453" s="66">
        <v>10.75586</v>
      </c>
      <c r="B1453" s="67">
        <v>106.6724</v>
      </c>
      <c r="C1453" s="67">
        <v>10.76283</v>
      </c>
      <c r="D1453" s="67">
        <v>106.6684</v>
      </c>
      <c r="E1453" s="68">
        <v>1.023</v>
      </c>
    </row>
    <row r="1454" ht="22.5" customHeight="1">
      <c r="A1454" s="61">
        <v>10.75586</v>
      </c>
      <c r="B1454" s="63">
        <v>106.6724</v>
      </c>
      <c r="C1454" s="63">
        <v>10.76486</v>
      </c>
      <c r="D1454" s="63">
        <v>106.6756</v>
      </c>
      <c r="E1454" s="64">
        <v>1.188</v>
      </c>
    </row>
    <row r="1455" ht="22.5" customHeight="1">
      <c r="A1455" s="66">
        <v>10.75586</v>
      </c>
      <c r="B1455" s="67">
        <v>106.6724</v>
      </c>
      <c r="C1455" s="67">
        <v>10.76493</v>
      </c>
      <c r="D1455" s="67">
        <v>106.6755</v>
      </c>
      <c r="E1455" s="68">
        <v>1.217</v>
      </c>
    </row>
    <row r="1456" ht="22.5" customHeight="1">
      <c r="A1456" s="61">
        <v>10.75586</v>
      </c>
      <c r="B1456" s="63">
        <v>106.6724</v>
      </c>
      <c r="C1456" s="63">
        <v>10.76561</v>
      </c>
      <c r="D1456" s="63">
        <v>106.6823</v>
      </c>
      <c r="E1456" s="64">
        <v>1.555</v>
      </c>
    </row>
    <row r="1457" ht="22.5" customHeight="1">
      <c r="A1457" s="66">
        <v>10.75586</v>
      </c>
      <c r="B1457" s="67">
        <v>106.6724</v>
      </c>
      <c r="C1457" s="67">
        <v>10.76668</v>
      </c>
      <c r="D1457" s="67">
        <v>106.6879</v>
      </c>
      <c r="E1457" s="68">
        <v>2.286</v>
      </c>
    </row>
    <row r="1458" ht="22.5" customHeight="1">
      <c r="A1458" s="61">
        <v>10.75586</v>
      </c>
      <c r="B1458" s="63">
        <v>106.6724</v>
      </c>
      <c r="C1458" s="63">
        <v>10.76743</v>
      </c>
      <c r="D1458" s="63">
        <v>106.6809</v>
      </c>
      <c r="E1458" s="64">
        <v>1.91</v>
      </c>
    </row>
    <row r="1459" ht="22.5" customHeight="1">
      <c r="A1459" s="66">
        <v>10.75586</v>
      </c>
      <c r="B1459" s="67">
        <v>106.6724</v>
      </c>
      <c r="C1459" s="67">
        <v>10.76878</v>
      </c>
      <c r="D1459" s="67">
        <v>106.6667</v>
      </c>
      <c r="E1459" s="68">
        <v>2.028</v>
      </c>
    </row>
    <row r="1460" ht="22.5" customHeight="1">
      <c r="A1460" s="61">
        <v>10.75586</v>
      </c>
      <c r="B1460" s="63">
        <v>106.6724</v>
      </c>
      <c r="C1460" s="63">
        <v>10.76898</v>
      </c>
      <c r="D1460" s="63">
        <v>106.6997</v>
      </c>
      <c r="E1460" s="64">
        <v>0.331</v>
      </c>
    </row>
    <row r="1461" ht="22.5" customHeight="1">
      <c r="A1461" s="66">
        <v>10.75586</v>
      </c>
      <c r="B1461" s="67">
        <v>106.6724</v>
      </c>
      <c r="C1461" s="67">
        <v>10.76913</v>
      </c>
      <c r="D1461" s="67">
        <v>106.6615</v>
      </c>
      <c r="E1461" s="68">
        <v>2.741</v>
      </c>
    </row>
    <row r="1462" ht="22.5" customHeight="1">
      <c r="A1462" s="61">
        <v>10.75586</v>
      </c>
      <c r="B1462" s="63">
        <v>106.6724</v>
      </c>
      <c r="C1462" s="63">
        <v>10.76987</v>
      </c>
      <c r="D1462" s="63">
        <v>106.6856</v>
      </c>
      <c r="E1462" s="64">
        <v>3.24</v>
      </c>
    </row>
    <row r="1463" ht="22.5" customHeight="1">
      <c r="A1463" s="66">
        <v>10.75586</v>
      </c>
      <c r="B1463" s="67">
        <v>106.6724</v>
      </c>
      <c r="C1463" s="67">
        <v>10.77014</v>
      </c>
      <c r="D1463" s="67">
        <v>106.7009</v>
      </c>
      <c r="E1463" s="68">
        <v>4.109</v>
      </c>
    </row>
    <row r="1464" ht="22.5" customHeight="1">
      <c r="A1464" s="61">
        <v>10.75586</v>
      </c>
      <c r="B1464" s="63">
        <v>106.6724</v>
      </c>
      <c r="C1464" s="63">
        <v>10.77032</v>
      </c>
      <c r="D1464" s="63">
        <v>106.6723</v>
      </c>
      <c r="E1464" s="64">
        <v>1.81</v>
      </c>
    </row>
    <row r="1465" ht="22.5" customHeight="1">
      <c r="A1465" s="66">
        <v>10.75586</v>
      </c>
      <c r="B1465" s="67">
        <v>106.6724</v>
      </c>
      <c r="C1465" s="67">
        <v>10.7733</v>
      </c>
      <c r="D1465" s="67">
        <v>106.6687</v>
      </c>
      <c r="E1465" s="68">
        <v>2.478</v>
      </c>
    </row>
    <row r="1466" ht="22.5" customHeight="1">
      <c r="A1466" s="61">
        <v>10.75586</v>
      </c>
      <c r="B1466" s="63">
        <v>106.6724</v>
      </c>
      <c r="C1466" s="63">
        <v>10.77509</v>
      </c>
      <c r="D1466" s="63">
        <v>106.6727</v>
      </c>
      <c r="E1466" s="64">
        <v>2.312</v>
      </c>
    </row>
    <row r="1467" ht="22.5" customHeight="1">
      <c r="A1467" s="66">
        <v>10.75586</v>
      </c>
      <c r="B1467" s="67">
        <v>106.6724</v>
      </c>
      <c r="C1467" s="67">
        <v>10.77641</v>
      </c>
      <c r="D1467" s="67">
        <v>106.6866</v>
      </c>
      <c r="E1467" s="68">
        <v>3.401</v>
      </c>
    </row>
    <row r="1468" ht="22.5" customHeight="1">
      <c r="A1468" s="61">
        <v>10.75586</v>
      </c>
      <c r="B1468" s="63">
        <v>106.6724</v>
      </c>
      <c r="C1468" s="63">
        <v>10.77773</v>
      </c>
      <c r="D1468" s="63">
        <v>106.6655</v>
      </c>
      <c r="E1468" s="64">
        <v>3.242</v>
      </c>
    </row>
    <row r="1469" ht="22.5" customHeight="1">
      <c r="A1469" s="66">
        <v>10.75586</v>
      </c>
      <c r="B1469" s="67">
        <v>106.6724</v>
      </c>
      <c r="C1469" s="67">
        <v>10.7785</v>
      </c>
      <c r="D1469" s="67">
        <v>106.6858</v>
      </c>
      <c r="E1469" s="68">
        <v>3.325</v>
      </c>
    </row>
    <row r="1470" ht="22.5" customHeight="1">
      <c r="A1470" s="61">
        <v>10.75587</v>
      </c>
      <c r="B1470" s="63">
        <v>106.5924</v>
      </c>
      <c r="C1470" s="63">
        <v>10.7252</v>
      </c>
      <c r="D1470" s="63">
        <v>106.6094</v>
      </c>
      <c r="E1470" s="64">
        <v>4.132</v>
      </c>
    </row>
    <row r="1471" ht="22.5" customHeight="1">
      <c r="A1471" s="66">
        <v>10.75587</v>
      </c>
      <c r="B1471" s="67">
        <v>106.5924</v>
      </c>
      <c r="C1471" s="67">
        <v>10.7406</v>
      </c>
      <c r="D1471" s="67">
        <v>106.6072</v>
      </c>
      <c r="E1471" s="68">
        <v>4.037</v>
      </c>
    </row>
    <row r="1472" ht="22.5" customHeight="1">
      <c r="A1472" s="61">
        <v>10.75587</v>
      </c>
      <c r="B1472" s="63">
        <v>106.5924</v>
      </c>
      <c r="C1472" s="63">
        <v>10.74097</v>
      </c>
      <c r="D1472" s="63">
        <v>106.6091</v>
      </c>
      <c r="E1472" s="64">
        <v>4.335</v>
      </c>
    </row>
    <row r="1473" ht="22.5" customHeight="1">
      <c r="A1473" s="66">
        <v>10.75587</v>
      </c>
      <c r="B1473" s="67">
        <v>106.5924</v>
      </c>
      <c r="C1473" s="67">
        <v>10.7444</v>
      </c>
      <c r="D1473" s="67">
        <v>106.6304</v>
      </c>
      <c r="E1473" s="68">
        <v>7.437</v>
      </c>
    </row>
    <row r="1474" ht="22.5" customHeight="1">
      <c r="A1474" s="61">
        <v>10.75587</v>
      </c>
      <c r="B1474" s="63">
        <v>106.5924</v>
      </c>
      <c r="C1474" s="63">
        <v>10.74602</v>
      </c>
      <c r="D1474" s="63">
        <v>106.6123</v>
      </c>
      <c r="E1474" s="64">
        <v>3.847</v>
      </c>
    </row>
    <row r="1475" ht="22.5" customHeight="1">
      <c r="A1475" s="66">
        <v>10.75587</v>
      </c>
      <c r="B1475" s="67">
        <v>106.5924</v>
      </c>
      <c r="C1475" s="67">
        <v>10.75191</v>
      </c>
      <c r="D1475" s="67">
        <v>106.6006</v>
      </c>
      <c r="E1475" s="68">
        <v>3.196</v>
      </c>
    </row>
    <row r="1476" ht="22.5" customHeight="1">
      <c r="A1476" s="61">
        <v>10.75587</v>
      </c>
      <c r="B1476" s="63">
        <v>106.5924</v>
      </c>
      <c r="C1476" s="63">
        <v>10.75347</v>
      </c>
      <c r="D1476" s="63">
        <v>106.5931</v>
      </c>
      <c r="E1476" s="64">
        <v>0.38</v>
      </c>
    </row>
    <row r="1477" ht="22.5" customHeight="1">
      <c r="A1477" s="66">
        <v>10.75587</v>
      </c>
      <c r="B1477" s="67">
        <v>106.5924</v>
      </c>
      <c r="C1477" s="67">
        <v>10.75591</v>
      </c>
      <c r="D1477" s="67">
        <v>106.611</v>
      </c>
      <c r="E1477" s="68">
        <v>3.05</v>
      </c>
    </row>
    <row r="1478" ht="22.5" customHeight="1">
      <c r="A1478" s="61">
        <v>10.75587</v>
      </c>
      <c r="B1478" s="63">
        <v>106.5924</v>
      </c>
      <c r="C1478" s="63">
        <v>10.76707</v>
      </c>
      <c r="D1478" s="63">
        <v>106.6493</v>
      </c>
      <c r="E1478" s="64">
        <v>9.199</v>
      </c>
    </row>
    <row r="1479" ht="22.5" customHeight="1">
      <c r="A1479" s="66">
        <v>10.75587</v>
      </c>
      <c r="B1479" s="67">
        <v>106.5924</v>
      </c>
      <c r="C1479" s="67">
        <v>10.76809</v>
      </c>
      <c r="D1479" s="67">
        <v>106.6092</v>
      </c>
      <c r="E1479" s="68">
        <v>3.137</v>
      </c>
    </row>
    <row r="1480" ht="22.5" customHeight="1">
      <c r="A1480" s="61">
        <v>10.75587</v>
      </c>
      <c r="B1480" s="63">
        <v>106.5924</v>
      </c>
      <c r="C1480" s="63">
        <v>10.77167</v>
      </c>
      <c r="D1480" s="63">
        <v>106.5865</v>
      </c>
      <c r="E1480" s="64">
        <v>2.146</v>
      </c>
    </row>
    <row r="1481" ht="22.5" customHeight="1">
      <c r="A1481" s="66">
        <v>10.75587</v>
      </c>
      <c r="B1481" s="67">
        <v>106.5924</v>
      </c>
      <c r="C1481" s="67">
        <v>10.77509</v>
      </c>
      <c r="D1481" s="67">
        <v>106.6727</v>
      </c>
      <c r="E1481" s="68">
        <v>12.837</v>
      </c>
    </row>
    <row r="1482" ht="22.5" customHeight="1">
      <c r="A1482" s="61">
        <v>10.75587</v>
      </c>
      <c r="B1482" s="63">
        <v>106.5924</v>
      </c>
      <c r="C1482" s="63">
        <v>10.77618</v>
      </c>
      <c r="D1482" s="63">
        <v>106.607</v>
      </c>
      <c r="E1482" s="64">
        <v>3.945</v>
      </c>
    </row>
    <row r="1483" ht="22.5" customHeight="1">
      <c r="A1483" s="66">
        <v>10.75588</v>
      </c>
      <c r="B1483" s="67">
        <v>106.6592</v>
      </c>
      <c r="C1483" s="67">
        <v>10.75643</v>
      </c>
      <c r="D1483" s="67">
        <v>106.6734</v>
      </c>
      <c r="E1483" s="68">
        <v>1.941</v>
      </c>
    </row>
    <row r="1484" ht="22.5" customHeight="1">
      <c r="A1484" s="61">
        <v>10.75588</v>
      </c>
      <c r="B1484" s="63">
        <v>106.6592</v>
      </c>
      <c r="C1484" s="63">
        <v>10.76195</v>
      </c>
      <c r="D1484" s="63">
        <v>106.6569</v>
      </c>
      <c r="E1484" s="64">
        <v>1.675</v>
      </c>
    </row>
    <row r="1485" ht="22.5" customHeight="1">
      <c r="A1485" s="66">
        <v>10.75588</v>
      </c>
      <c r="B1485" s="67">
        <v>106.6592</v>
      </c>
      <c r="C1485" s="67">
        <v>10.77509</v>
      </c>
      <c r="D1485" s="67">
        <v>106.6727</v>
      </c>
      <c r="E1485" s="68">
        <v>3.482</v>
      </c>
    </row>
    <row r="1486" ht="22.5" customHeight="1">
      <c r="A1486" s="61">
        <v>10.75591</v>
      </c>
      <c r="B1486" s="63">
        <v>106.611</v>
      </c>
      <c r="C1486" s="63">
        <v>10.7252</v>
      </c>
      <c r="D1486" s="63">
        <v>106.6094</v>
      </c>
      <c r="E1486" s="64">
        <v>4.107</v>
      </c>
    </row>
    <row r="1487" ht="22.5" customHeight="1">
      <c r="A1487" s="66">
        <v>10.75591</v>
      </c>
      <c r="B1487" s="67">
        <v>106.611</v>
      </c>
      <c r="C1487" s="67">
        <v>10.73897</v>
      </c>
      <c r="D1487" s="67">
        <v>106.6149</v>
      </c>
      <c r="E1487" s="68">
        <v>2.616</v>
      </c>
    </row>
    <row r="1488" ht="22.5" customHeight="1">
      <c r="A1488" s="61">
        <v>10.75591</v>
      </c>
      <c r="B1488" s="63">
        <v>106.611</v>
      </c>
      <c r="C1488" s="63">
        <v>10.74602</v>
      </c>
      <c r="D1488" s="63">
        <v>106.6123</v>
      </c>
      <c r="E1488" s="64">
        <v>1.351</v>
      </c>
    </row>
    <row r="1489" ht="22.5" customHeight="1">
      <c r="A1489" s="66">
        <v>10.75591</v>
      </c>
      <c r="B1489" s="67">
        <v>106.611</v>
      </c>
      <c r="C1489" s="67">
        <v>10.75168</v>
      </c>
      <c r="D1489" s="67">
        <v>106.6103</v>
      </c>
      <c r="E1489" s="68">
        <v>0.71</v>
      </c>
    </row>
    <row r="1490" ht="22.5" customHeight="1">
      <c r="A1490" s="61">
        <v>10.75591</v>
      </c>
      <c r="B1490" s="63">
        <v>106.611</v>
      </c>
      <c r="C1490" s="63">
        <v>10.75566</v>
      </c>
      <c r="D1490" s="63">
        <v>106.6098</v>
      </c>
      <c r="E1490" s="64">
        <v>0.187</v>
      </c>
    </row>
    <row r="1491" ht="22.5" customHeight="1">
      <c r="A1491" s="66">
        <v>10.75591</v>
      </c>
      <c r="B1491" s="67">
        <v>106.611</v>
      </c>
      <c r="C1491" s="67">
        <v>10.75644</v>
      </c>
      <c r="D1491" s="67">
        <v>106.5914</v>
      </c>
      <c r="E1491" s="68">
        <v>2.592</v>
      </c>
    </row>
    <row r="1492" ht="22.5" customHeight="1">
      <c r="A1492" s="61">
        <v>10.75591</v>
      </c>
      <c r="B1492" s="63">
        <v>106.611</v>
      </c>
      <c r="C1492" s="63">
        <v>10.76707</v>
      </c>
      <c r="D1492" s="63">
        <v>106.6493</v>
      </c>
      <c r="E1492" s="64">
        <v>6.335</v>
      </c>
    </row>
    <row r="1493" ht="22.5" customHeight="1">
      <c r="A1493" s="66">
        <v>10.75591</v>
      </c>
      <c r="B1493" s="67">
        <v>106.611</v>
      </c>
      <c r="C1493" s="67">
        <v>10.76809</v>
      </c>
      <c r="D1493" s="67">
        <v>106.6092</v>
      </c>
      <c r="E1493" s="68">
        <v>1.74</v>
      </c>
    </row>
    <row r="1494" ht="22.5" customHeight="1">
      <c r="A1494" s="61">
        <v>10.75591</v>
      </c>
      <c r="B1494" s="63">
        <v>106.611</v>
      </c>
      <c r="C1494" s="63">
        <v>10.77509</v>
      </c>
      <c r="D1494" s="63">
        <v>106.6727</v>
      </c>
      <c r="E1494" s="64">
        <v>9.031</v>
      </c>
    </row>
    <row r="1495" ht="22.5" customHeight="1">
      <c r="A1495" s="66">
        <v>10.75591</v>
      </c>
      <c r="B1495" s="67">
        <v>106.611</v>
      </c>
      <c r="C1495" s="67">
        <v>10.77584</v>
      </c>
      <c r="D1495" s="67">
        <v>106.6133</v>
      </c>
      <c r="E1495" s="68">
        <v>2.969</v>
      </c>
    </row>
    <row r="1496" ht="22.5" customHeight="1">
      <c r="A1496" s="61">
        <v>10.75591</v>
      </c>
      <c r="B1496" s="63">
        <v>106.611</v>
      </c>
      <c r="C1496" s="63">
        <v>10.78747</v>
      </c>
      <c r="D1496" s="63">
        <v>106.5981</v>
      </c>
      <c r="E1496" s="64">
        <v>5.321</v>
      </c>
    </row>
    <row r="1497" ht="22.5" customHeight="1">
      <c r="A1497" s="66">
        <v>10.75599</v>
      </c>
      <c r="B1497" s="67">
        <v>106.6825</v>
      </c>
      <c r="C1497" s="67">
        <v>10.7231</v>
      </c>
      <c r="D1497" s="67">
        <v>106.6556</v>
      </c>
      <c r="E1497" s="68">
        <v>6.536</v>
      </c>
    </row>
    <row r="1498" ht="22.5" customHeight="1">
      <c r="A1498" s="61">
        <v>10.75599</v>
      </c>
      <c r="B1498" s="63">
        <v>106.6825</v>
      </c>
      <c r="C1498" s="63">
        <v>10.7301</v>
      </c>
      <c r="D1498" s="63">
        <v>106.6763</v>
      </c>
      <c r="E1498" s="64">
        <v>4.537</v>
      </c>
    </row>
    <row r="1499" ht="22.5" customHeight="1">
      <c r="A1499" s="66">
        <v>10.75599</v>
      </c>
      <c r="B1499" s="67">
        <v>106.6825</v>
      </c>
      <c r="C1499" s="67">
        <v>10.73635</v>
      </c>
      <c r="D1499" s="67">
        <v>106.6714</v>
      </c>
      <c r="E1499" s="68">
        <v>3.616</v>
      </c>
    </row>
    <row r="1500" ht="22.5" customHeight="1">
      <c r="A1500" s="61">
        <v>10.75599</v>
      </c>
      <c r="B1500" s="63">
        <v>106.6825</v>
      </c>
      <c r="C1500" s="63">
        <v>10.75094</v>
      </c>
      <c r="D1500" s="63">
        <v>106.6595</v>
      </c>
      <c r="E1500" s="64">
        <v>3.034</v>
      </c>
    </row>
    <row r="1501" ht="22.5" customHeight="1">
      <c r="A1501" s="66">
        <v>10.75599</v>
      </c>
      <c r="B1501" s="67">
        <v>106.6825</v>
      </c>
      <c r="C1501" s="67">
        <v>10.75417</v>
      </c>
      <c r="D1501" s="67">
        <v>106.6783</v>
      </c>
      <c r="E1501" s="68">
        <v>0.875</v>
      </c>
    </row>
    <row r="1502" ht="22.5" customHeight="1">
      <c r="A1502" s="61">
        <v>10.75599</v>
      </c>
      <c r="B1502" s="63">
        <v>106.6825</v>
      </c>
      <c r="C1502" s="63">
        <v>10.75424</v>
      </c>
      <c r="D1502" s="63">
        <v>106.6716</v>
      </c>
      <c r="E1502" s="64">
        <v>1.213</v>
      </c>
    </row>
    <row r="1503" ht="22.5" customHeight="1">
      <c r="A1503" s="66">
        <v>10.75599</v>
      </c>
      <c r="B1503" s="67">
        <v>106.6825</v>
      </c>
      <c r="C1503" s="67">
        <v>10.755</v>
      </c>
      <c r="D1503" s="67">
        <v>106.6705</v>
      </c>
      <c r="E1503" s="68">
        <v>1.447</v>
      </c>
    </row>
    <row r="1504" ht="22.5" customHeight="1">
      <c r="A1504" s="61">
        <v>10.75599</v>
      </c>
      <c r="B1504" s="63">
        <v>106.6825</v>
      </c>
      <c r="C1504" s="63">
        <v>10.75505</v>
      </c>
      <c r="D1504" s="63">
        <v>106.681</v>
      </c>
      <c r="E1504" s="64">
        <v>0.446</v>
      </c>
    </row>
    <row r="1505" ht="22.5" customHeight="1">
      <c r="A1505" s="66">
        <v>10.75599</v>
      </c>
      <c r="B1505" s="67">
        <v>106.6825</v>
      </c>
      <c r="C1505" s="67">
        <v>10.7552</v>
      </c>
      <c r="D1505" s="67">
        <v>106.6985</v>
      </c>
      <c r="E1505" s="68">
        <v>3.192</v>
      </c>
    </row>
    <row r="1506" ht="22.5" customHeight="1">
      <c r="A1506" s="61">
        <v>10.75599</v>
      </c>
      <c r="B1506" s="63">
        <v>106.6825</v>
      </c>
      <c r="C1506" s="63">
        <v>10.75535</v>
      </c>
      <c r="D1506" s="63">
        <v>106.6939</v>
      </c>
      <c r="E1506" s="64">
        <v>2.268</v>
      </c>
    </row>
    <row r="1507" ht="22.5" customHeight="1">
      <c r="A1507" s="66">
        <v>10.75599</v>
      </c>
      <c r="B1507" s="67">
        <v>106.6825</v>
      </c>
      <c r="C1507" s="67">
        <v>10.75643</v>
      </c>
      <c r="D1507" s="67">
        <v>106.6734</v>
      </c>
      <c r="E1507" s="68">
        <v>1.504</v>
      </c>
    </row>
    <row r="1508" ht="22.5" customHeight="1">
      <c r="A1508" s="61">
        <v>10.75599</v>
      </c>
      <c r="B1508" s="63">
        <v>106.6825</v>
      </c>
      <c r="C1508" s="63">
        <v>10.7569</v>
      </c>
      <c r="D1508" s="63">
        <v>106.6739</v>
      </c>
      <c r="E1508" s="64">
        <v>1.704</v>
      </c>
    </row>
    <row r="1509" ht="22.5" customHeight="1">
      <c r="A1509" s="66">
        <v>10.75599</v>
      </c>
      <c r="B1509" s="67">
        <v>106.6825</v>
      </c>
      <c r="C1509" s="67">
        <v>10.75695</v>
      </c>
      <c r="D1509" s="67">
        <v>106.671</v>
      </c>
      <c r="E1509" s="68">
        <v>1.62</v>
      </c>
    </row>
    <row r="1510" ht="22.5" customHeight="1">
      <c r="A1510" s="61">
        <v>10.75599</v>
      </c>
      <c r="B1510" s="63">
        <v>106.6825</v>
      </c>
      <c r="C1510" s="63">
        <v>10.75947</v>
      </c>
      <c r="D1510" s="63">
        <v>106.6805</v>
      </c>
      <c r="E1510" s="64">
        <v>0.602</v>
      </c>
    </row>
    <row r="1511" ht="22.5" customHeight="1">
      <c r="A1511" s="66">
        <v>10.75599</v>
      </c>
      <c r="B1511" s="67">
        <v>106.6825</v>
      </c>
      <c r="C1511" s="67">
        <v>10.75973</v>
      </c>
      <c r="D1511" s="67">
        <v>106.6989</v>
      </c>
      <c r="E1511" s="68">
        <v>2.691</v>
      </c>
    </row>
    <row r="1512" ht="22.5" customHeight="1">
      <c r="A1512" s="61">
        <v>10.75599</v>
      </c>
      <c r="B1512" s="63">
        <v>106.6825</v>
      </c>
      <c r="C1512" s="63">
        <v>10.76163</v>
      </c>
      <c r="D1512" s="63">
        <v>106.6769</v>
      </c>
      <c r="E1512" s="64">
        <v>1.228</v>
      </c>
    </row>
    <row r="1513" ht="22.5" customHeight="1">
      <c r="A1513" s="66">
        <v>10.75599</v>
      </c>
      <c r="B1513" s="67">
        <v>106.6825</v>
      </c>
      <c r="C1513" s="67">
        <v>10.76561</v>
      </c>
      <c r="D1513" s="67">
        <v>106.6823</v>
      </c>
      <c r="E1513" s="68">
        <v>1.418</v>
      </c>
    </row>
    <row r="1514" ht="22.5" customHeight="1">
      <c r="A1514" s="61">
        <v>10.75599</v>
      </c>
      <c r="B1514" s="63">
        <v>106.6825</v>
      </c>
      <c r="C1514" s="63">
        <v>10.77509</v>
      </c>
      <c r="D1514" s="63">
        <v>106.6727</v>
      </c>
      <c r="E1514" s="64">
        <v>2.966</v>
      </c>
    </row>
    <row r="1515" ht="22.5" customHeight="1">
      <c r="A1515" s="66">
        <v>10.75602</v>
      </c>
      <c r="B1515" s="67">
        <v>106.6689</v>
      </c>
      <c r="C1515" s="67">
        <v>10.75643</v>
      </c>
      <c r="D1515" s="67">
        <v>106.6734</v>
      </c>
      <c r="E1515" s="68">
        <v>0.734</v>
      </c>
    </row>
    <row r="1516" ht="22.5" customHeight="1">
      <c r="A1516" s="61">
        <v>10.75618</v>
      </c>
      <c r="B1516" s="63">
        <v>106.6611</v>
      </c>
      <c r="C1516" s="63">
        <v>10.75267</v>
      </c>
      <c r="D1516" s="63">
        <v>106.6789</v>
      </c>
      <c r="E1516" s="64">
        <v>3.435</v>
      </c>
    </row>
    <row r="1517" ht="22.5" customHeight="1">
      <c r="A1517" s="66">
        <v>10.75618</v>
      </c>
      <c r="B1517" s="67">
        <v>106.6611</v>
      </c>
      <c r="C1517" s="67">
        <v>10.77509</v>
      </c>
      <c r="D1517" s="67">
        <v>106.6727</v>
      </c>
      <c r="E1517" s="68">
        <v>3.214</v>
      </c>
    </row>
    <row r="1518" ht="22.5" customHeight="1">
      <c r="A1518" s="61">
        <v>10.75627</v>
      </c>
      <c r="B1518" s="63">
        <v>106.672</v>
      </c>
      <c r="C1518" s="63">
        <v>10.75643</v>
      </c>
      <c r="D1518" s="63">
        <v>106.6734</v>
      </c>
      <c r="E1518" s="64">
        <v>0.376</v>
      </c>
    </row>
    <row r="1519" ht="22.5" customHeight="1">
      <c r="A1519" s="66">
        <v>10.75642</v>
      </c>
      <c r="B1519" s="67">
        <v>106.6734</v>
      </c>
      <c r="C1519" s="67">
        <v>10.79193</v>
      </c>
      <c r="D1519" s="67">
        <v>106.6555</v>
      </c>
      <c r="E1519" s="68">
        <v>6.15</v>
      </c>
    </row>
    <row r="1520" ht="22.5" customHeight="1">
      <c r="A1520" s="61">
        <v>10.75642</v>
      </c>
      <c r="B1520" s="63">
        <v>106.6627</v>
      </c>
      <c r="C1520" s="63">
        <v>10.75643</v>
      </c>
      <c r="D1520" s="63">
        <v>106.6734</v>
      </c>
      <c r="E1520" s="64">
        <v>2.0</v>
      </c>
    </row>
    <row r="1521" ht="22.5" customHeight="1">
      <c r="A1521" s="66">
        <v>10.75643</v>
      </c>
      <c r="B1521" s="67">
        <v>106.6734</v>
      </c>
      <c r="C1521" s="67">
        <v>10.7231</v>
      </c>
      <c r="D1521" s="67">
        <v>106.6556</v>
      </c>
      <c r="E1521" s="68">
        <v>5.6</v>
      </c>
    </row>
    <row r="1522" ht="22.5" customHeight="1">
      <c r="A1522" s="61">
        <v>10.75643</v>
      </c>
      <c r="B1522" s="63">
        <v>106.6734</v>
      </c>
      <c r="C1522" s="63">
        <v>10.72431</v>
      </c>
      <c r="D1522" s="63">
        <v>106.6452</v>
      </c>
      <c r="E1522" s="64">
        <v>6.5</v>
      </c>
    </row>
    <row r="1523" ht="22.5" customHeight="1">
      <c r="A1523" s="66">
        <v>10.75643</v>
      </c>
      <c r="B1523" s="67">
        <v>106.6734</v>
      </c>
      <c r="C1523" s="67">
        <v>10.72862</v>
      </c>
      <c r="D1523" s="67">
        <v>106.6774</v>
      </c>
      <c r="E1523" s="68">
        <v>3.9</v>
      </c>
    </row>
    <row r="1524" ht="22.5" customHeight="1">
      <c r="A1524" s="61">
        <v>10.75643</v>
      </c>
      <c r="B1524" s="63">
        <v>106.6734</v>
      </c>
      <c r="C1524" s="63">
        <v>10.73002</v>
      </c>
      <c r="D1524" s="63">
        <v>106.6559</v>
      </c>
      <c r="E1524" s="64">
        <v>4.8</v>
      </c>
    </row>
    <row r="1525" ht="22.5" customHeight="1">
      <c r="A1525" s="66">
        <v>10.75643</v>
      </c>
      <c r="B1525" s="67">
        <v>106.6734</v>
      </c>
      <c r="C1525" s="67">
        <v>10.7301</v>
      </c>
      <c r="D1525" s="67">
        <v>106.6763</v>
      </c>
      <c r="E1525" s="68">
        <v>3.7</v>
      </c>
    </row>
    <row r="1526" ht="22.5" customHeight="1">
      <c r="A1526" s="61">
        <v>10.75643</v>
      </c>
      <c r="B1526" s="63">
        <v>106.6734</v>
      </c>
      <c r="C1526" s="63">
        <v>10.73437</v>
      </c>
      <c r="D1526" s="63">
        <v>106.6595</v>
      </c>
      <c r="E1526" s="64">
        <v>4.0</v>
      </c>
    </row>
    <row r="1527" ht="22.5" customHeight="1">
      <c r="A1527" s="66">
        <v>10.75643</v>
      </c>
      <c r="B1527" s="67">
        <v>106.6734</v>
      </c>
      <c r="C1527" s="67">
        <v>10.73635</v>
      </c>
      <c r="D1527" s="67">
        <v>106.6714</v>
      </c>
      <c r="E1527" s="68">
        <v>2.8</v>
      </c>
    </row>
    <row r="1528" ht="22.5" customHeight="1">
      <c r="A1528" s="61">
        <v>10.75643</v>
      </c>
      <c r="B1528" s="63">
        <v>106.6734</v>
      </c>
      <c r="C1528" s="63">
        <v>10.73805</v>
      </c>
      <c r="D1528" s="63">
        <v>106.658</v>
      </c>
      <c r="E1528" s="64">
        <v>4.2</v>
      </c>
    </row>
    <row r="1529" ht="22.5" customHeight="1">
      <c r="A1529" s="66">
        <v>10.75643</v>
      </c>
      <c r="B1529" s="67">
        <v>106.6734</v>
      </c>
      <c r="C1529" s="67">
        <v>10.74131</v>
      </c>
      <c r="D1529" s="67">
        <v>106.6863</v>
      </c>
      <c r="E1529" s="68">
        <v>4.1</v>
      </c>
    </row>
    <row r="1530" ht="22.5" customHeight="1">
      <c r="A1530" s="61">
        <v>10.75643</v>
      </c>
      <c r="B1530" s="63">
        <v>106.6734</v>
      </c>
      <c r="C1530" s="63">
        <v>10.74167</v>
      </c>
      <c r="D1530" s="63">
        <v>106.6764</v>
      </c>
      <c r="E1530" s="64">
        <v>3.8</v>
      </c>
    </row>
    <row r="1531" ht="22.5" customHeight="1">
      <c r="A1531" s="66">
        <v>10.75643</v>
      </c>
      <c r="B1531" s="67">
        <v>106.6734</v>
      </c>
      <c r="C1531" s="67">
        <v>10.74183</v>
      </c>
      <c r="D1531" s="67">
        <v>106.6769</v>
      </c>
      <c r="E1531" s="68">
        <v>3.7</v>
      </c>
    </row>
    <row r="1532" ht="22.5" customHeight="1">
      <c r="A1532" s="61">
        <v>10.75643</v>
      </c>
      <c r="B1532" s="63">
        <v>106.6734</v>
      </c>
      <c r="C1532" s="63">
        <v>10.74627</v>
      </c>
      <c r="D1532" s="63">
        <v>106.6776</v>
      </c>
      <c r="E1532" s="64">
        <v>3.4</v>
      </c>
    </row>
    <row r="1533" ht="22.5" customHeight="1">
      <c r="A1533" s="66">
        <v>10.75643</v>
      </c>
      <c r="B1533" s="67">
        <v>106.6734</v>
      </c>
      <c r="C1533" s="67">
        <v>10.74874</v>
      </c>
      <c r="D1533" s="67">
        <v>106.6717</v>
      </c>
      <c r="E1533" s="68">
        <v>1.8</v>
      </c>
    </row>
    <row r="1534" ht="22.5" customHeight="1">
      <c r="A1534" s="61">
        <v>10.75643</v>
      </c>
      <c r="B1534" s="63">
        <v>106.6734</v>
      </c>
      <c r="C1534" s="63">
        <v>10.75094</v>
      </c>
      <c r="D1534" s="63">
        <v>106.6595</v>
      </c>
      <c r="E1534" s="64">
        <v>2.1</v>
      </c>
    </row>
    <row r="1535" ht="22.5" customHeight="1">
      <c r="A1535" s="66">
        <v>10.75643</v>
      </c>
      <c r="B1535" s="67">
        <v>106.6734</v>
      </c>
      <c r="C1535" s="67">
        <v>10.75139</v>
      </c>
      <c r="D1535" s="67">
        <v>106.6713</v>
      </c>
      <c r="E1535" s="68">
        <v>0.8</v>
      </c>
    </row>
    <row r="1536" ht="22.5" customHeight="1">
      <c r="A1536" s="61">
        <v>10.75643</v>
      </c>
      <c r="B1536" s="63">
        <v>106.6734</v>
      </c>
      <c r="C1536" s="63">
        <v>10.75296</v>
      </c>
      <c r="D1536" s="63">
        <v>106.6751</v>
      </c>
      <c r="E1536" s="64">
        <v>0.314</v>
      </c>
    </row>
    <row r="1537" ht="22.5" customHeight="1">
      <c r="A1537" s="66">
        <v>10.75643</v>
      </c>
      <c r="B1537" s="67">
        <v>106.6734</v>
      </c>
      <c r="C1537" s="67">
        <v>10.7531</v>
      </c>
      <c r="D1537" s="67">
        <v>106.6508</v>
      </c>
      <c r="E1537" s="68">
        <v>2.926</v>
      </c>
    </row>
    <row r="1538" ht="22.5" customHeight="1">
      <c r="A1538" s="61">
        <v>10.75643</v>
      </c>
      <c r="B1538" s="63">
        <v>106.6734</v>
      </c>
      <c r="C1538" s="63">
        <v>10.75327</v>
      </c>
      <c r="D1538" s="63">
        <v>106.6539</v>
      </c>
      <c r="E1538" s="64">
        <v>2.6</v>
      </c>
    </row>
    <row r="1539" ht="22.5" customHeight="1">
      <c r="A1539" s="66">
        <v>10.75643</v>
      </c>
      <c r="B1539" s="67">
        <v>106.6734</v>
      </c>
      <c r="C1539" s="67">
        <v>10.75417</v>
      </c>
      <c r="D1539" s="67">
        <v>106.6783</v>
      </c>
      <c r="E1539" s="68">
        <v>1.0</v>
      </c>
    </row>
    <row r="1540" ht="22.5" customHeight="1">
      <c r="A1540" s="61">
        <v>10.75643</v>
      </c>
      <c r="B1540" s="63">
        <v>106.6734</v>
      </c>
      <c r="C1540" s="63">
        <v>10.75424</v>
      </c>
      <c r="D1540" s="63">
        <v>106.6716</v>
      </c>
      <c r="E1540" s="64">
        <v>0.4</v>
      </c>
    </row>
    <row r="1541" ht="22.5" customHeight="1">
      <c r="A1541" s="66">
        <v>10.75643</v>
      </c>
      <c r="B1541" s="67">
        <v>106.6734</v>
      </c>
      <c r="C1541" s="67">
        <v>10.755</v>
      </c>
      <c r="D1541" s="67">
        <v>106.6705</v>
      </c>
      <c r="E1541" s="68">
        <v>0.4</v>
      </c>
    </row>
    <row r="1542" ht="22.5" customHeight="1">
      <c r="A1542" s="61">
        <v>10.75643</v>
      </c>
      <c r="B1542" s="63">
        <v>106.6734</v>
      </c>
      <c r="C1542" s="63">
        <v>10.75505</v>
      </c>
      <c r="D1542" s="63">
        <v>106.681</v>
      </c>
      <c r="E1542" s="64">
        <v>1.3</v>
      </c>
    </row>
    <row r="1543" ht="22.5" customHeight="1">
      <c r="A1543" s="66">
        <v>10.75643</v>
      </c>
      <c r="B1543" s="67">
        <v>106.6734</v>
      </c>
      <c r="C1543" s="67">
        <v>10.75536</v>
      </c>
      <c r="D1543" s="67">
        <v>106.6645</v>
      </c>
      <c r="E1543" s="68">
        <v>1.6</v>
      </c>
    </row>
    <row r="1544" ht="22.5" customHeight="1">
      <c r="A1544" s="61">
        <v>10.75643</v>
      </c>
      <c r="B1544" s="63">
        <v>106.6734</v>
      </c>
      <c r="C1544" s="63">
        <v>10.75586</v>
      </c>
      <c r="D1544" s="63">
        <v>106.6724</v>
      </c>
      <c r="E1544" s="64">
        <v>0.499</v>
      </c>
    </row>
    <row r="1545" ht="22.5" customHeight="1">
      <c r="A1545" s="66">
        <v>10.75643</v>
      </c>
      <c r="B1545" s="67">
        <v>106.6734</v>
      </c>
      <c r="C1545" s="67">
        <v>10.75599</v>
      </c>
      <c r="D1545" s="67">
        <v>106.6825</v>
      </c>
      <c r="E1545" s="68">
        <v>1.8</v>
      </c>
    </row>
    <row r="1546" ht="22.5" customHeight="1">
      <c r="A1546" s="61">
        <v>10.75643</v>
      </c>
      <c r="B1546" s="63">
        <v>106.6734</v>
      </c>
      <c r="C1546" s="63">
        <v>10.75643</v>
      </c>
      <c r="D1546" s="63">
        <v>106.6734</v>
      </c>
      <c r="E1546" s="64">
        <v>0.0</v>
      </c>
    </row>
    <row r="1547" ht="22.5" customHeight="1">
      <c r="A1547" s="66">
        <v>10.75643</v>
      </c>
      <c r="B1547" s="67">
        <v>106.6734</v>
      </c>
      <c r="C1547" s="67">
        <v>10.75695</v>
      </c>
      <c r="D1547" s="67">
        <v>106.671</v>
      </c>
      <c r="E1547" s="68">
        <v>0.486</v>
      </c>
    </row>
    <row r="1548" ht="22.5" customHeight="1">
      <c r="A1548" s="61">
        <v>10.75643</v>
      </c>
      <c r="B1548" s="63">
        <v>106.6734</v>
      </c>
      <c r="C1548" s="63">
        <v>10.75772</v>
      </c>
      <c r="D1548" s="63">
        <v>106.6789</v>
      </c>
      <c r="E1548" s="64">
        <v>0.9</v>
      </c>
    </row>
    <row r="1549" ht="22.5" customHeight="1">
      <c r="A1549" s="66">
        <v>10.75643</v>
      </c>
      <c r="B1549" s="67">
        <v>106.6734</v>
      </c>
      <c r="C1549" s="67">
        <v>10.75807</v>
      </c>
      <c r="D1549" s="67">
        <v>106.6856</v>
      </c>
      <c r="E1549" s="68">
        <v>2.17</v>
      </c>
    </row>
    <row r="1550" ht="22.5" customHeight="1">
      <c r="A1550" s="61">
        <v>10.75643</v>
      </c>
      <c r="B1550" s="63">
        <v>106.6734</v>
      </c>
      <c r="C1550" s="63">
        <v>10.759</v>
      </c>
      <c r="D1550" s="63">
        <v>106.6681</v>
      </c>
      <c r="E1550" s="64">
        <v>1.2</v>
      </c>
    </row>
    <row r="1551" ht="22.5" customHeight="1">
      <c r="A1551" s="66">
        <v>10.75643</v>
      </c>
      <c r="B1551" s="67">
        <v>106.6734</v>
      </c>
      <c r="C1551" s="67">
        <v>10.75907</v>
      </c>
      <c r="D1551" s="67">
        <v>106.6988</v>
      </c>
      <c r="E1551" s="68">
        <v>4.186</v>
      </c>
    </row>
    <row r="1552" ht="22.5" customHeight="1">
      <c r="A1552" s="61">
        <v>10.75643</v>
      </c>
      <c r="B1552" s="63">
        <v>106.6734</v>
      </c>
      <c r="C1552" s="63">
        <v>10.75947</v>
      </c>
      <c r="D1552" s="63">
        <v>106.6805</v>
      </c>
      <c r="E1552" s="64">
        <v>1.0</v>
      </c>
    </row>
    <row r="1553" ht="22.5" customHeight="1">
      <c r="A1553" s="66">
        <v>10.75643</v>
      </c>
      <c r="B1553" s="67">
        <v>106.6734</v>
      </c>
      <c r="C1553" s="67">
        <v>10.75998</v>
      </c>
      <c r="D1553" s="67">
        <v>106.6727</v>
      </c>
      <c r="E1553" s="68">
        <v>0.553</v>
      </c>
    </row>
    <row r="1554" ht="22.5" customHeight="1">
      <c r="A1554" s="61">
        <v>10.75643</v>
      </c>
      <c r="B1554" s="63">
        <v>106.6734</v>
      </c>
      <c r="C1554" s="63">
        <v>10.76163</v>
      </c>
      <c r="D1554" s="63">
        <v>106.6769</v>
      </c>
      <c r="E1554" s="64">
        <v>0.736</v>
      </c>
    </row>
    <row r="1555" ht="22.5" customHeight="1">
      <c r="A1555" s="66">
        <v>10.75643</v>
      </c>
      <c r="B1555" s="67">
        <v>106.6734</v>
      </c>
      <c r="C1555" s="67">
        <v>10.76486</v>
      </c>
      <c r="D1555" s="67">
        <v>106.6756</v>
      </c>
      <c r="E1555" s="68">
        <v>1.1</v>
      </c>
    </row>
    <row r="1556" ht="22.5" customHeight="1">
      <c r="A1556" s="61">
        <v>10.75643</v>
      </c>
      <c r="B1556" s="63">
        <v>106.6734</v>
      </c>
      <c r="C1556" s="63">
        <v>10.76668</v>
      </c>
      <c r="D1556" s="63">
        <v>106.6879</v>
      </c>
      <c r="E1556" s="64">
        <v>2.675</v>
      </c>
    </row>
    <row r="1557" ht="22.5" customHeight="1">
      <c r="A1557" s="66">
        <v>10.75643</v>
      </c>
      <c r="B1557" s="67">
        <v>106.6734</v>
      </c>
      <c r="C1557" s="67">
        <v>10.76707</v>
      </c>
      <c r="D1557" s="67">
        <v>106.6493</v>
      </c>
      <c r="E1557" s="68">
        <v>3.979</v>
      </c>
    </row>
    <row r="1558" ht="22.5" customHeight="1">
      <c r="A1558" s="61">
        <v>10.75643</v>
      </c>
      <c r="B1558" s="63">
        <v>106.6734</v>
      </c>
      <c r="C1558" s="63">
        <v>10.77014</v>
      </c>
      <c r="D1558" s="63">
        <v>106.7009</v>
      </c>
      <c r="E1558" s="64">
        <v>4.1</v>
      </c>
    </row>
    <row r="1559" ht="22.5" customHeight="1">
      <c r="A1559" s="66">
        <v>10.75643</v>
      </c>
      <c r="B1559" s="67">
        <v>106.6734</v>
      </c>
      <c r="C1559" s="67">
        <v>10.77971</v>
      </c>
      <c r="D1559" s="67">
        <v>106.7008</v>
      </c>
      <c r="E1559" s="68">
        <v>4.523</v>
      </c>
    </row>
    <row r="1560" ht="22.5" customHeight="1">
      <c r="A1560" s="61">
        <v>10.75643</v>
      </c>
      <c r="B1560" s="63">
        <v>106.6734</v>
      </c>
      <c r="C1560" s="63">
        <v>10.78348</v>
      </c>
      <c r="D1560" s="63">
        <v>106.7006</v>
      </c>
      <c r="E1560" s="64">
        <v>4.55</v>
      </c>
    </row>
    <row r="1561" ht="22.5" customHeight="1">
      <c r="A1561" s="66">
        <v>10.75643</v>
      </c>
      <c r="B1561" s="67">
        <v>106.6734</v>
      </c>
      <c r="C1561" s="67">
        <v>10.79193</v>
      </c>
      <c r="D1561" s="67">
        <v>106.6555</v>
      </c>
      <c r="E1561" s="68">
        <v>5.989</v>
      </c>
    </row>
    <row r="1562" ht="22.5" customHeight="1">
      <c r="A1562" s="61">
        <v>10.75644</v>
      </c>
      <c r="B1562" s="63">
        <v>106.5914</v>
      </c>
      <c r="C1562" s="63">
        <v>10.71016</v>
      </c>
      <c r="D1562" s="63">
        <v>106.5747</v>
      </c>
      <c r="E1562" s="64">
        <v>6.958</v>
      </c>
    </row>
    <row r="1563" ht="22.5" customHeight="1">
      <c r="A1563" s="66">
        <v>10.75644</v>
      </c>
      <c r="B1563" s="67">
        <v>106.5914</v>
      </c>
      <c r="C1563" s="67">
        <v>10.7252</v>
      </c>
      <c r="D1563" s="67">
        <v>106.6094</v>
      </c>
      <c r="E1563" s="68">
        <v>3.965</v>
      </c>
    </row>
    <row r="1564" ht="22.5" customHeight="1">
      <c r="A1564" s="61">
        <v>10.75644</v>
      </c>
      <c r="B1564" s="63">
        <v>106.5914</v>
      </c>
      <c r="C1564" s="63">
        <v>10.73897</v>
      </c>
      <c r="D1564" s="63">
        <v>106.6149</v>
      </c>
      <c r="E1564" s="64">
        <v>5.223</v>
      </c>
    </row>
    <row r="1565" ht="22.5" customHeight="1">
      <c r="A1565" s="66">
        <v>10.75644</v>
      </c>
      <c r="B1565" s="67">
        <v>106.5914</v>
      </c>
      <c r="C1565" s="67">
        <v>10.7406</v>
      </c>
      <c r="D1565" s="67">
        <v>106.6072</v>
      </c>
      <c r="E1565" s="68">
        <v>3.996</v>
      </c>
    </row>
    <row r="1566" ht="22.5" customHeight="1">
      <c r="A1566" s="61">
        <v>10.75644</v>
      </c>
      <c r="B1566" s="63">
        <v>106.5914</v>
      </c>
      <c r="C1566" s="63">
        <v>10.7444</v>
      </c>
      <c r="D1566" s="63">
        <v>106.6304</v>
      </c>
      <c r="E1566" s="64">
        <v>7.836</v>
      </c>
    </row>
    <row r="1567" ht="22.5" customHeight="1">
      <c r="A1567" s="66">
        <v>10.75644</v>
      </c>
      <c r="B1567" s="67">
        <v>106.5914</v>
      </c>
      <c r="C1567" s="67">
        <v>10.74602</v>
      </c>
      <c r="D1567" s="67">
        <v>106.6123</v>
      </c>
      <c r="E1567" s="68">
        <v>5.1</v>
      </c>
    </row>
    <row r="1568" ht="22.5" customHeight="1">
      <c r="A1568" s="61">
        <v>10.75644</v>
      </c>
      <c r="B1568" s="63">
        <v>106.5914</v>
      </c>
      <c r="C1568" s="63">
        <v>10.74672</v>
      </c>
      <c r="D1568" s="63">
        <v>106.6132</v>
      </c>
      <c r="E1568" s="64">
        <v>5.048</v>
      </c>
    </row>
    <row r="1569" ht="22.5" customHeight="1">
      <c r="A1569" s="66">
        <v>10.75644</v>
      </c>
      <c r="B1569" s="67">
        <v>106.5914</v>
      </c>
      <c r="C1569" s="67">
        <v>10.75347</v>
      </c>
      <c r="D1569" s="67">
        <v>106.5931</v>
      </c>
      <c r="E1569" s="68">
        <v>0.393</v>
      </c>
    </row>
    <row r="1570" ht="22.5" customHeight="1">
      <c r="A1570" s="61">
        <v>10.75644</v>
      </c>
      <c r="B1570" s="63">
        <v>106.5914</v>
      </c>
      <c r="C1570" s="63">
        <v>10.76707</v>
      </c>
      <c r="D1570" s="63">
        <v>106.6493</v>
      </c>
      <c r="E1570" s="64">
        <v>10.6</v>
      </c>
    </row>
    <row r="1571" ht="22.5" customHeight="1">
      <c r="A1571" s="66">
        <v>10.75644</v>
      </c>
      <c r="B1571" s="67">
        <v>106.5914</v>
      </c>
      <c r="C1571" s="67">
        <v>10.77509</v>
      </c>
      <c r="D1571" s="67">
        <v>106.6727</v>
      </c>
      <c r="E1571" s="68">
        <v>13.2</v>
      </c>
    </row>
    <row r="1572" ht="22.5" customHeight="1">
      <c r="A1572" s="61">
        <v>10.7568</v>
      </c>
      <c r="B1572" s="63">
        <v>106.6621</v>
      </c>
      <c r="C1572" s="63">
        <v>10.75267</v>
      </c>
      <c r="D1572" s="63">
        <v>106.6789</v>
      </c>
      <c r="E1572" s="64">
        <v>3.371</v>
      </c>
    </row>
    <row r="1573" ht="22.5" customHeight="1">
      <c r="A1573" s="66">
        <v>10.7568</v>
      </c>
      <c r="B1573" s="67">
        <v>106.6621</v>
      </c>
      <c r="C1573" s="67">
        <v>10.76244</v>
      </c>
      <c r="D1573" s="67">
        <v>106.6704</v>
      </c>
      <c r="E1573" s="68">
        <v>1.5</v>
      </c>
    </row>
    <row r="1574" ht="22.5" customHeight="1">
      <c r="A1574" s="61">
        <v>10.7568</v>
      </c>
      <c r="B1574" s="63">
        <v>106.6621</v>
      </c>
      <c r="C1574" s="63">
        <v>10.77509</v>
      </c>
      <c r="D1574" s="63">
        <v>106.6727</v>
      </c>
      <c r="E1574" s="64">
        <v>3.0</v>
      </c>
    </row>
    <row r="1575" ht="22.5" customHeight="1">
      <c r="A1575" s="66">
        <v>10.7569</v>
      </c>
      <c r="B1575" s="67">
        <v>106.6739</v>
      </c>
      <c r="C1575" s="67">
        <v>10.75417</v>
      </c>
      <c r="D1575" s="67">
        <v>106.6783</v>
      </c>
      <c r="E1575" s="68">
        <v>1.152</v>
      </c>
    </row>
    <row r="1576" ht="22.5" customHeight="1">
      <c r="A1576" s="61">
        <v>10.7569</v>
      </c>
      <c r="B1576" s="63">
        <v>106.6739</v>
      </c>
      <c r="C1576" s="63">
        <v>10.755</v>
      </c>
      <c r="D1576" s="63">
        <v>106.6705</v>
      </c>
      <c r="E1576" s="64">
        <v>0.485</v>
      </c>
    </row>
    <row r="1577" ht="22.5" customHeight="1">
      <c r="A1577" s="66">
        <v>10.7569</v>
      </c>
      <c r="B1577" s="67">
        <v>106.6739</v>
      </c>
      <c r="C1577" s="67">
        <v>10.75505</v>
      </c>
      <c r="D1577" s="67">
        <v>106.681</v>
      </c>
      <c r="E1577" s="68">
        <v>1.178</v>
      </c>
    </row>
    <row r="1578" ht="22.5" customHeight="1">
      <c r="A1578" s="61">
        <v>10.7569</v>
      </c>
      <c r="B1578" s="63">
        <v>106.6739</v>
      </c>
      <c r="C1578" s="63">
        <v>10.75599</v>
      </c>
      <c r="D1578" s="63">
        <v>106.6825</v>
      </c>
      <c r="E1578" s="64">
        <v>1.371</v>
      </c>
    </row>
    <row r="1579" ht="22.5" customHeight="1">
      <c r="A1579" s="66">
        <v>10.7569</v>
      </c>
      <c r="B1579" s="67">
        <v>106.6739</v>
      </c>
      <c r="C1579" s="67">
        <v>10.75643</v>
      </c>
      <c r="D1579" s="67">
        <v>106.6734</v>
      </c>
      <c r="E1579" s="68">
        <v>0.813</v>
      </c>
    </row>
    <row r="1580" ht="22.5" customHeight="1">
      <c r="A1580" s="61">
        <v>10.7569</v>
      </c>
      <c r="B1580" s="63">
        <v>106.6739</v>
      </c>
      <c r="C1580" s="63">
        <v>10.76913</v>
      </c>
      <c r="D1580" s="63">
        <v>106.6615</v>
      </c>
      <c r="E1580" s="64">
        <v>2.854</v>
      </c>
    </row>
    <row r="1581" ht="22.5" customHeight="1">
      <c r="A1581" s="66">
        <v>10.7569</v>
      </c>
      <c r="B1581" s="67">
        <v>106.6739</v>
      </c>
      <c r="C1581" s="67">
        <v>10.77509</v>
      </c>
      <c r="D1581" s="67">
        <v>106.6727</v>
      </c>
      <c r="E1581" s="68">
        <v>2.34</v>
      </c>
    </row>
    <row r="1582" ht="22.5" customHeight="1">
      <c r="A1582" s="61">
        <v>10.75695</v>
      </c>
      <c r="B1582" s="63">
        <v>106.671</v>
      </c>
      <c r="C1582" s="63">
        <v>10.755</v>
      </c>
      <c r="D1582" s="63">
        <v>106.6705</v>
      </c>
      <c r="E1582" s="64">
        <v>1.043</v>
      </c>
    </row>
    <row r="1583" ht="22.5" customHeight="1">
      <c r="A1583" s="66">
        <v>10.75695</v>
      </c>
      <c r="B1583" s="67">
        <v>106.671</v>
      </c>
      <c r="C1583" s="67">
        <v>10.75643</v>
      </c>
      <c r="D1583" s="67">
        <v>106.6734</v>
      </c>
      <c r="E1583" s="68">
        <v>0.477</v>
      </c>
    </row>
    <row r="1584" ht="22.5" customHeight="1">
      <c r="A1584" s="61">
        <v>10.75695</v>
      </c>
      <c r="B1584" s="63">
        <v>106.671</v>
      </c>
      <c r="C1584" s="63">
        <v>10.75947</v>
      </c>
      <c r="D1584" s="63">
        <v>106.6805</v>
      </c>
      <c r="E1584" s="64">
        <v>1.1</v>
      </c>
    </row>
    <row r="1585" ht="22.5" customHeight="1">
      <c r="A1585" s="66">
        <v>10.75695</v>
      </c>
      <c r="B1585" s="67">
        <v>106.671</v>
      </c>
      <c r="C1585" s="67">
        <v>10.75987</v>
      </c>
      <c r="D1585" s="67">
        <v>106.677</v>
      </c>
      <c r="E1585" s="68">
        <v>0.864</v>
      </c>
    </row>
    <row r="1586" ht="22.5" customHeight="1">
      <c r="A1586" s="61">
        <v>10.75695</v>
      </c>
      <c r="B1586" s="63">
        <v>106.671</v>
      </c>
      <c r="C1586" s="63">
        <v>10.75998</v>
      </c>
      <c r="D1586" s="63">
        <v>106.6727</v>
      </c>
      <c r="E1586" s="64">
        <v>1.053</v>
      </c>
    </row>
    <row r="1587" ht="22.5" customHeight="1">
      <c r="A1587" s="66">
        <v>10.75695</v>
      </c>
      <c r="B1587" s="67">
        <v>106.671</v>
      </c>
      <c r="C1587" s="67">
        <v>10.76163</v>
      </c>
      <c r="D1587" s="67">
        <v>106.6769</v>
      </c>
      <c r="E1587" s="68">
        <v>1.309</v>
      </c>
    </row>
    <row r="1588" ht="22.5" customHeight="1">
      <c r="A1588" s="61">
        <v>10.75695</v>
      </c>
      <c r="B1588" s="63">
        <v>106.671</v>
      </c>
      <c r="C1588" s="63">
        <v>10.76283</v>
      </c>
      <c r="D1588" s="63">
        <v>106.6684</v>
      </c>
      <c r="E1588" s="64">
        <v>0.89</v>
      </c>
    </row>
    <row r="1589" ht="22.5" customHeight="1">
      <c r="A1589" s="66">
        <v>10.75695</v>
      </c>
      <c r="B1589" s="67">
        <v>106.671</v>
      </c>
      <c r="C1589" s="67">
        <v>10.76561</v>
      </c>
      <c r="D1589" s="67">
        <v>106.6823</v>
      </c>
      <c r="E1589" s="68">
        <v>2.008</v>
      </c>
    </row>
    <row r="1590" ht="22.5" customHeight="1">
      <c r="A1590" s="61">
        <v>10.75695</v>
      </c>
      <c r="B1590" s="63">
        <v>106.671</v>
      </c>
      <c r="C1590" s="63">
        <v>10.76878</v>
      </c>
      <c r="D1590" s="63">
        <v>106.6667</v>
      </c>
      <c r="E1590" s="64">
        <v>1.562</v>
      </c>
    </row>
    <row r="1591" ht="22.5" customHeight="1">
      <c r="A1591" s="66">
        <v>10.75695</v>
      </c>
      <c r="B1591" s="67">
        <v>106.671</v>
      </c>
      <c r="C1591" s="67">
        <v>10.76913</v>
      </c>
      <c r="D1591" s="67">
        <v>106.6615</v>
      </c>
      <c r="E1591" s="68">
        <v>2.229</v>
      </c>
    </row>
    <row r="1592" ht="22.5" customHeight="1">
      <c r="A1592" s="61">
        <v>10.75695</v>
      </c>
      <c r="B1592" s="63">
        <v>106.671</v>
      </c>
      <c r="C1592" s="63">
        <v>10.77014</v>
      </c>
      <c r="D1592" s="63">
        <v>106.7009</v>
      </c>
      <c r="E1592" s="64">
        <v>4.472</v>
      </c>
    </row>
    <row r="1593" ht="22.5" customHeight="1">
      <c r="A1593" s="66">
        <v>10.75695</v>
      </c>
      <c r="B1593" s="67">
        <v>106.671</v>
      </c>
      <c r="C1593" s="67">
        <v>10.77032</v>
      </c>
      <c r="D1593" s="67">
        <v>106.6723</v>
      </c>
      <c r="E1593" s="68">
        <v>1.904</v>
      </c>
    </row>
    <row r="1594" ht="22.5" customHeight="1">
      <c r="A1594" s="61">
        <v>10.75695</v>
      </c>
      <c r="B1594" s="63">
        <v>106.671</v>
      </c>
      <c r="C1594" s="63">
        <v>10.77065</v>
      </c>
      <c r="D1594" s="63">
        <v>106.6646</v>
      </c>
      <c r="E1594" s="64">
        <v>2.125</v>
      </c>
    </row>
    <row r="1595" ht="22.5" customHeight="1">
      <c r="A1595" s="66">
        <v>10.75695</v>
      </c>
      <c r="B1595" s="67">
        <v>106.671</v>
      </c>
      <c r="C1595" s="67">
        <v>10.77509</v>
      </c>
      <c r="D1595" s="67">
        <v>106.6727</v>
      </c>
      <c r="E1595" s="68">
        <v>2.628</v>
      </c>
    </row>
    <row r="1596" ht="22.5" customHeight="1">
      <c r="A1596" s="61">
        <v>10.75695</v>
      </c>
      <c r="B1596" s="63">
        <v>106.671</v>
      </c>
      <c r="C1596" s="63">
        <v>10.78009</v>
      </c>
      <c r="D1596" s="63">
        <v>106.6638</v>
      </c>
      <c r="E1596" s="64">
        <v>3.277</v>
      </c>
    </row>
    <row r="1597" ht="22.5" customHeight="1">
      <c r="A1597" s="66">
        <v>10.75701</v>
      </c>
      <c r="B1597" s="67">
        <v>106.666</v>
      </c>
      <c r="C1597" s="67">
        <v>10.755</v>
      </c>
      <c r="D1597" s="67">
        <v>106.6705</v>
      </c>
      <c r="E1597" s="68">
        <v>0.739</v>
      </c>
    </row>
    <row r="1598" ht="22.5" customHeight="1">
      <c r="A1598" s="61">
        <v>10.75701</v>
      </c>
      <c r="B1598" s="63">
        <v>106.666</v>
      </c>
      <c r="C1598" s="63">
        <v>10.75643</v>
      </c>
      <c r="D1598" s="63">
        <v>106.6734</v>
      </c>
      <c r="E1598" s="64">
        <v>1.137</v>
      </c>
    </row>
    <row r="1599" ht="22.5" customHeight="1">
      <c r="A1599" s="66">
        <v>10.75772</v>
      </c>
      <c r="B1599" s="67">
        <v>106.6789</v>
      </c>
      <c r="C1599" s="67">
        <v>10.75417</v>
      </c>
      <c r="D1599" s="67">
        <v>106.6783</v>
      </c>
      <c r="E1599" s="68">
        <v>0.551</v>
      </c>
    </row>
    <row r="1600" ht="22.5" customHeight="1">
      <c r="A1600" s="61">
        <v>10.75772</v>
      </c>
      <c r="B1600" s="63">
        <v>106.6789</v>
      </c>
      <c r="C1600" s="63">
        <v>10.75448</v>
      </c>
      <c r="D1600" s="63">
        <v>106.682</v>
      </c>
      <c r="E1600" s="64">
        <v>0.646</v>
      </c>
    </row>
    <row r="1601" ht="22.5" customHeight="1">
      <c r="A1601" s="66">
        <v>10.75772</v>
      </c>
      <c r="B1601" s="67">
        <v>106.6789</v>
      </c>
      <c r="C1601" s="67">
        <v>10.75643</v>
      </c>
      <c r="D1601" s="67">
        <v>106.6734</v>
      </c>
      <c r="E1601" s="68">
        <v>1.1</v>
      </c>
    </row>
    <row r="1602" ht="22.5" customHeight="1">
      <c r="A1602" s="61">
        <v>10.75784</v>
      </c>
      <c r="B1602" s="63">
        <v>106.6595</v>
      </c>
      <c r="C1602" s="63">
        <v>10.75267</v>
      </c>
      <c r="D1602" s="63">
        <v>106.6789</v>
      </c>
      <c r="E1602" s="64">
        <v>3.9</v>
      </c>
    </row>
    <row r="1603" ht="22.5" customHeight="1">
      <c r="A1603" s="66">
        <v>10.75807</v>
      </c>
      <c r="B1603" s="67">
        <v>106.6592</v>
      </c>
      <c r="C1603" s="67">
        <v>10.75357</v>
      </c>
      <c r="D1603" s="67">
        <v>106.6546</v>
      </c>
      <c r="E1603" s="68">
        <v>0.799</v>
      </c>
    </row>
    <row r="1604" ht="22.5" customHeight="1">
      <c r="A1604" s="61">
        <v>10.75807</v>
      </c>
      <c r="B1604" s="63">
        <v>106.6592</v>
      </c>
      <c r="C1604" s="63">
        <v>10.75807</v>
      </c>
      <c r="D1604" s="63">
        <v>106.6592</v>
      </c>
      <c r="E1604" s="64">
        <v>0.002</v>
      </c>
    </row>
    <row r="1605" ht="22.5" customHeight="1">
      <c r="A1605" s="66">
        <v>10.75807</v>
      </c>
      <c r="B1605" s="67">
        <v>106.6592</v>
      </c>
      <c r="C1605" s="67">
        <v>10.75818</v>
      </c>
      <c r="D1605" s="67">
        <v>106.6562</v>
      </c>
      <c r="E1605" s="68">
        <v>0.552</v>
      </c>
    </row>
    <row r="1606" ht="22.5" customHeight="1">
      <c r="A1606" s="61">
        <v>10.75807</v>
      </c>
      <c r="B1606" s="63">
        <v>106.6592</v>
      </c>
      <c r="C1606" s="63">
        <v>10.75872</v>
      </c>
      <c r="D1606" s="63">
        <v>106.6577</v>
      </c>
      <c r="E1606" s="64">
        <v>0.598</v>
      </c>
    </row>
    <row r="1607" ht="22.5" customHeight="1">
      <c r="A1607" s="66">
        <v>10.75807</v>
      </c>
      <c r="B1607" s="67">
        <v>106.6592</v>
      </c>
      <c r="C1607" s="67">
        <v>10.75998</v>
      </c>
      <c r="D1607" s="67">
        <v>106.6609</v>
      </c>
      <c r="E1607" s="68">
        <v>0.434</v>
      </c>
    </row>
    <row r="1608" ht="22.5" customHeight="1">
      <c r="A1608" s="61">
        <v>10.75807</v>
      </c>
      <c r="B1608" s="63">
        <v>106.6592</v>
      </c>
      <c r="C1608" s="63">
        <v>10.76057</v>
      </c>
      <c r="D1608" s="63">
        <v>106.6481</v>
      </c>
      <c r="E1608" s="64">
        <v>1.782</v>
      </c>
    </row>
    <row r="1609" ht="22.5" customHeight="1">
      <c r="A1609" s="66">
        <v>10.75807</v>
      </c>
      <c r="B1609" s="67">
        <v>106.6592</v>
      </c>
      <c r="C1609" s="67">
        <v>10.76195</v>
      </c>
      <c r="D1609" s="67">
        <v>106.6569</v>
      </c>
      <c r="E1609" s="68">
        <v>1.392</v>
      </c>
    </row>
    <row r="1610" ht="22.5" customHeight="1">
      <c r="A1610" s="61">
        <v>10.75807</v>
      </c>
      <c r="B1610" s="63">
        <v>106.6592</v>
      </c>
      <c r="C1610" s="63">
        <v>10.76198</v>
      </c>
      <c r="D1610" s="63">
        <v>106.6539</v>
      </c>
      <c r="E1610" s="64">
        <v>0.98</v>
      </c>
    </row>
    <row r="1611" ht="22.5" customHeight="1">
      <c r="A1611" s="66">
        <v>10.75807</v>
      </c>
      <c r="B1611" s="67">
        <v>106.6592</v>
      </c>
      <c r="C1611" s="67">
        <v>10.76294</v>
      </c>
      <c r="D1611" s="67">
        <v>106.6606</v>
      </c>
      <c r="E1611" s="68">
        <v>0.906</v>
      </c>
    </row>
    <row r="1612" ht="22.5" customHeight="1">
      <c r="A1612" s="61">
        <v>10.75807</v>
      </c>
      <c r="B1612" s="63">
        <v>106.6592</v>
      </c>
      <c r="C1612" s="63">
        <v>10.76707</v>
      </c>
      <c r="D1612" s="63">
        <v>106.6493</v>
      </c>
      <c r="E1612" s="64">
        <v>2.006</v>
      </c>
    </row>
    <row r="1613" ht="22.5" customHeight="1">
      <c r="A1613" s="66">
        <v>10.75814</v>
      </c>
      <c r="B1613" s="67">
        <v>106.6623</v>
      </c>
      <c r="C1613" s="67">
        <v>10.75643</v>
      </c>
      <c r="D1613" s="67">
        <v>106.6734</v>
      </c>
      <c r="E1613" s="68">
        <v>1.838</v>
      </c>
    </row>
    <row r="1614" ht="22.5" customHeight="1">
      <c r="A1614" s="61">
        <v>10.75814</v>
      </c>
      <c r="B1614" s="63">
        <v>106.6623</v>
      </c>
      <c r="C1614" s="63">
        <v>10.76195</v>
      </c>
      <c r="D1614" s="63">
        <v>106.6569</v>
      </c>
      <c r="E1614" s="64">
        <v>1.208</v>
      </c>
    </row>
    <row r="1615" ht="22.5" customHeight="1">
      <c r="A1615" s="66">
        <v>10.75818</v>
      </c>
      <c r="B1615" s="67">
        <v>106.6562</v>
      </c>
      <c r="C1615" s="67">
        <v>10.75807</v>
      </c>
      <c r="D1615" s="67">
        <v>106.6592</v>
      </c>
      <c r="E1615" s="68">
        <v>0.456</v>
      </c>
    </row>
    <row r="1616" ht="22.5" customHeight="1">
      <c r="A1616" s="61">
        <v>10.75818</v>
      </c>
      <c r="B1616" s="63">
        <v>106.6562</v>
      </c>
      <c r="C1616" s="63">
        <v>10.75872</v>
      </c>
      <c r="D1616" s="63">
        <v>106.6577</v>
      </c>
      <c r="E1616" s="64">
        <v>0.174</v>
      </c>
    </row>
    <row r="1617" ht="22.5" customHeight="1">
      <c r="A1617" s="66">
        <v>10.75818</v>
      </c>
      <c r="B1617" s="67">
        <v>106.6562</v>
      </c>
      <c r="C1617" s="67">
        <v>10.75998</v>
      </c>
      <c r="D1617" s="67">
        <v>106.6609</v>
      </c>
      <c r="E1617" s="68">
        <v>0.669</v>
      </c>
    </row>
    <row r="1618" ht="22.5" customHeight="1">
      <c r="A1618" s="61">
        <v>10.75818</v>
      </c>
      <c r="B1618" s="63">
        <v>106.6562</v>
      </c>
      <c r="C1618" s="63">
        <v>10.76057</v>
      </c>
      <c r="D1618" s="63">
        <v>106.6481</v>
      </c>
      <c r="E1618" s="64">
        <v>1.547</v>
      </c>
    </row>
    <row r="1619" ht="22.5" customHeight="1">
      <c r="A1619" s="66">
        <v>10.75818</v>
      </c>
      <c r="B1619" s="67">
        <v>106.6562</v>
      </c>
      <c r="C1619" s="67">
        <v>10.76195</v>
      </c>
      <c r="D1619" s="67">
        <v>106.6569</v>
      </c>
      <c r="E1619" s="68">
        <v>1.034</v>
      </c>
    </row>
    <row r="1620" ht="22.5" customHeight="1">
      <c r="A1620" s="61">
        <v>10.75836</v>
      </c>
      <c r="B1620" s="63">
        <v>106.6708</v>
      </c>
      <c r="C1620" s="63">
        <v>10.75695</v>
      </c>
      <c r="D1620" s="63">
        <v>106.671</v>
      </c>
      <c r="E1620" s="64">
        <v>3.938</v>
      </c>
    </row>
    <row r="1621" ht="22.5" customHeight="1">
      <c r="A1621" s="66">
        <v>10.75836</v>
      </c>
      <c r="B1621" s="67">
        <v>106.6708</v>
      </c>
      <c r="C1621" s="67">
        <v>10.75973</v>
      </c>
      <c r="D1621" s="67">
        <v>106.6989</v>
      </c>
      <c r="E1621" s="68">
        <v>1.534</v>
      </c>
    </row>
    <row r="1622" ht="22.5" customHeight="1">
      <c r="A1622" s="61">
        <v>10.75836</v>
      </c>
      <c r="B1622" s="63">
        <v>106.6708</v>
      </c>
      <c r="C1622" s="63">
        <v>10.75998</v>
      </c>
      <c r="D1622" s="63">
        <v>106.6727</v>
      </c>
      <c r="E1622" s="64">
        <v>0.548</v>
      </c>
    </row>
    <row r="1623" ht="22.5" customHeight="1">
      <c r="A1623" s="66">
        <v>10.75836</v>
      </c>
      <c r="B1623" s="67">
        <v>106.6708</v>
      </c>
      <c r="C1623" s="67">
        <v>10.76163</v>
      </c>
      <c r="D1623" s="67">
        <v>106.6769</v>
      </c>
      <c r="E1623" s="68">
        <v>1.5</v>
      </c>
    </row>
    <row r="1624" ht="22.5" customHeight="1">
      <c r="A1624" s="61">
        <v>10.75836</v>
      </c>
      <c r="B1624" s="63">
        <v>106.6708</v>
      </c>
      <c r="C1624" s="63">
        <v>10.76484</v>
      </c>
      <c r="D1624" s="63">
        <v>106.6907</v>
      </c>
      <c r="E1624" s="64">
        <v>1.47</v>
      </c>
    </row>
    <row r="1625" ht="22.5" customHeight="1">
      <c r="A1625" s="66">
        <v>10.75836</v>
      </c>
      <c r="B1625" s="67">
        <v>106.6708</v>
      </c>
      <c r="C1625" s="67">
        <v>10.76668</v>
      </c>
      <c r="D1625" s="67">
        <v>106.6879</v>
      </c>
      <c r="E1625" s="68">
        <v>1.859</v>
      </c>
    </row>
    <row r="1626" ht="22.5" customHeight="1">
      <c r="A1626" s="61">
        <v>10.75836</v>
      </c>
      <c r="B1626" s="63">
        <v>106.6708</v>
      </c>
      <c r="C1626" s="63">
        <v>10.76743</v>
      </c>
      <c r="D1626" s="63">
        <v>106.6809</v>
      </c>
      <c r="E1626" s="64">
        <v>2.848</v>
      </c>
    </row>
    <row r="1627" ht="22.5" customHeight="1">
      <c r="A1627" s="66">
        <v>10.75836</v>
      </c>
      <c r="B1627" s="67">
        <v>106.6708</v>
      </c>
      <c r="C1627" s="67">
        <v>10.77014</v>
      </c>
      <c r="D1627" s="67">
        <v>106.7009</v>
      </c>
      <c r="E1627" s="68">
        <v>0.19</v>
      </c>
    </row>
    <row r="1628" ht="22.5" customHeight="1">
      <c r="A1628" s="61">
        <v>10.75836</v>
      </c>
      <c r="B1628" s="63">
        <v>106.6708</v>
      </c>
      <c r="C1628" s="63">
        <v>10.77509</v>
      </c>
      <c r="D1628" s="63">
        <v>106.6727</v>
      </c>
      <c r="E1628" s="64">
        <v>2.106</v>
      </c>
    </row>
    <row r="1629" ht="22.5" customHeight="1">
      <c r="A1629" s="66">
        <v>10.75836</v>
      </c>
      <c r="B1629" s="67">
        <v>106.6708</v>
      </c>
      <c r="C1629" s="67">
        <v>10.7785</v>
      </c>
      <c r="D1629" s="67">
        <v>106.6858</v>
      </c>
      <c r="E1629" s="68">
        <v>2.601</v>
      </c>
    </row>
    <row r="1630" ht="22.5" customHeight="1">
      <c r="A1630" s="61">
        <v>10.75858</v>
      </c>
      <c r="B1630" s="63">
        <v>106.6655</v>
      </c>
      <c r="C1630" s="63">
        <v>10.75643</v>
      </c>
      <c r="D1630" s="63">
        <v>106.6734</v>
      </c>
      <c r="E1630" s="64">
        <v>1.379</v>
      </c>
    </row>
    <row r="1631" ht="22.5" customHeight="1">
      <c r="A1631" s="66">
        <v>10.75858</v>
      </c>
      <c r="B1631" s="67">
        <v>106.6655</v>
      </c>
      <c r="C1631" s="67">
        <v>10.75998</v>
      </c>
      <c r="D1631" s="67">
        <v>106.6727</v>
      </c>
      <c r="E1631" s="68">
        <v>1.063</v>
      </c>
    </row>
    <row r="1632" ht="22.5" customHeight="1">
      <c r="A1632" s="61">
        <v>10.75858</v>
      </c>
      <c r="B1632" s="63">
        <v>106.6655</v>
      </c>
      <c r="C1632" s="63">
        <v>10.77509</v>
      </c>
      <c r="D1632" s="63">
        <v>106.6727</v>
      </c>
      <c r="E1632" s="64">
        <v>2.542</v>
      </c>
    </row>
    <row r="1633" ht="22.5" customHeight="1">
      <c r="A1633" s="66">
        <v>10.75872</v>
      </c>
      <c r="B1633" s="67">
        <v>106.6577</v>
      </c>
      <c r="C1633" s="67">
        <v>10.75807</v>
      </c>
      <c r="D1633" s="67">
        <v>106.6592</v>
      </c>
      <c r="E1633" s="68">
        <v>0.404</v>
      </c>
    </row>
    <row r="1634" ht="22.5" customHeight="1">
      <c r="A1634" s="61">
        <v>10.75872</v>
      </c>
      <c r="B1634" s="63">
        <v>106.6577</v>
      </c>
      <c r="C1634" s="63">
        <v>10.75998</v>
      </c>
      <c r="D1634" s="63">
        <v>106.6609</v>
      </c>
      <c r="E1634" s="64">
        <v>0.469</v>
      </c>
    </row>
    <row r="1635" ht="22.5" customHeight="1">
      <c r="A1635" s="66">
        <v>10.75872</v>
      </c>
      <c r="B1635" s="67">
        <v>106.6577</v>
      </c>
      <c r="C1635" s="67">
        <v>10.76195</v>
      </c>
      <c r="D1635" s="67">
        <v>106.6569</v>
      </c>
      <c r="E1635" s="68">
        <v>1.211</v>
      </c>
    </row>
    <row r="1636" ht="22.5" customHeight="1">
      <c r="A1636" s="61">
        <v>10.75885</v>
      </c>
      <c r="B1636" s="63">
        <v>106.6616</v>
      </c>
      <c r="C1636" s="63">
        <v>10.75643</v>
      </c>
      <c r="D1636" s="63">
        <v>106.6734</v>
      </c>
      <c r="E1636" s="64">
        <v>1.888</v>
      </c>
    </row>
    <row r="1637" ht="22.5" customHeight="1">
      <c r="A1637" s="66">
        <v>10.75885</v>
      </c>
      <c r="B1637" s="67">
        <v>106.6616</v>
      </c>
      <c r="C1637" s="67">
        <v>10.76195</v>
      </c>
      <c r="D1637" s="67">
        <v>106.6569</v>
      </c>
      <c r="E1637" s="68">
        <v>1.391</v>
      </c>
    </row>
    <row r="1638" ht="22.5" customHeight="1">
      <c r="A1638" s="61">
        <v>10.75885</v>
      </c>
      <c r="B1638" s="63">
        <v>106.6616</v>
      </c>
      <c r="C1638" s="63">
        <v>10.76707</v>
      </c>
      <c r="D1638" s="63">
        <v>106.6493</v>
      </c>
      <c r="E1638" s="64">
        <v>2.085</v>
      </c>
    </row>
    <row r="1639" ht="22.5" customHeight="1">
      <c r="A1639" s="66">
        <v>10.75889</v>
      </c>
      <c r="B1639" s="67">
        <v>106.5791</v>
      </c>
      <c r="C1639" s="67">
        <v>10.69376</v>
      </c>
      <c r="D1639" s="67">
        <v>106.5802</v>
      </c>
      <c r="E1639" s="68">
        <v>12.57</v>
      </c>
    </row>
    <row r="1640" ht="22.5" customHeight="1">
      <c r="A1640" s="61">
        <v>10.75889</v>
      </c>
      <c r="B1640" s="63">
        <v>106.5791</v>
      </c>
      <c r="C1640" s="63">
        <v>10.7252</v>
      </c>
      <c r="D1640" s="63">
        <v>106.6094</v>
      </c>
      <c r="E1640" s="64">
        <v>8.967</v>
      </c>
    </row>
    <row r="1641" ht="22.5" customHeight="1">
      <c r="A1641" s="66">
        <v>10.75889</v>
      </c>
      <c r="B1641" s="67">
        <v>106.5791</v>
      </c>
      <c r="C1641" s="67">
        <v>10.73908</v>
      </c>
      <c r="D1641" s="67">
        <v>106.6149</v>
      </c>
      <c r="E1641" s="68">
        <v>8.973</v>
      </c>
    </row>
    <row r="1642" ht="22.5" customHeight="1">
      <c r="A1642" s="61">
        <v>10.75889</v>
      </c>
      <c r="B1642" s="63">
        <v>106.5791</v>
      </c>
      <c r="C1642" s="63">
        <v>10.74602</v>
      </c>
      <c r="D1642" s="63">
        <v>106.6123</v>
      </c>
      <c r="E1642" s="64">
        <v>7.386</v>
      </c>
    </row>
    <row r="1643" ht="22.5" customHeight="1">
      <c r="A1643" s="66">
        <v>10.75889</v>
      </c>
      <c r="B1643" s="67">
        <v>106.5791</v>
      </c>
      <c r="C1643" s="67">
        <v>10.74672</v>
      </c>
      <c r="D1643" s="67">
        <v>106.6132</v>
      </c>
      <c r="E1643" s="68">
        <v>7.258</v>
      </c>
    </row>
    <row r="1644" ht="22.5" customHeight="1">
      <c r="A1644" s="61">
        <v>10.75889</v>
      </c>
      <c r="B1644" s="63">
        <v>106.5791</v>
      </c>
      <c r="C1644" s="63">
        <v>10.75347</v>
      </c>
      <c r="D1644" s="63">
        <v>106.5931</v>
      </c>
      <c r="E1644" s="64">
        <v>6.048</v>
      </c>
    </row>
    <row r="1645" ht="22.5" customHeight="1">
      <c r="A1645" s="66">
        <v>10.75889</v>
      </c>
      <c r="B1645" s="67">
        <v>106.5791</v>
      </c>
      <c r="C1645" s="67">
        <v>10.75889</v>
      </c>
      <c r="D1645" s="67">
        <v>106.5791</v>
      </c>
      <c r="E1645" s="68">
        <v>3.49</v>
      </c>
    </row>
    <row r="1646" ht="22.5" customHeight="1">
      <c r="A1646" s="61">
        <v>10.75889</v>
      </c>
      <c r="B1646" s="63">
        <v>106.5791</v>
      </c>
      <c r="C1646" s="63">
        <v>10.76707</v>
      </c>
      <c r="D1646" s="63">
        <v>106.6493</v>
      </c>
      <c r="E1646" s="64">
        <v>12.646</v>
      </c>
    </row>
    <row r="1647" ht="22.5" customHeight="1">
      <c r="A1647" s="66">
        <v>10.75889</v>
      </c>
      <c r="B1647" s="67">
        <v>106.5791</v>
      </c>
      <c r="C1647" s="67">
        <v>10.76809</v>
      </c>
      <c r="D1647" s="67">
        <v>106.6092</v>
      </c>
      <c r="E1647" s="68">
        <v>7.618</v>
      </c>
    </row>
    <row r="1648" ht="22.5" customHeight="1">
      <c r="A1648" s="61">
        <v>10.75889</v>
      </c>
      <c r="B1648" s="63">
        <v>106.5791</v>
      </c>
      <c r="C1648" s="63">
        <v>10.77167</v>
      </c>
      <c r="D1648" s="63">
        <v>106.5865</v>
      </c>
      <c r="E1648" s="64">
        <v>4.841</v>
      </c>
    </row>
    <row r="1649" ht="22.5" customHeight="1">
      <c r="A1649" s="66">
        <v>10.75889</v>
      </c>
      <c r="B1649" s="67">
        <v>106.5791</v>
      </c>
      <c r="C1649" s="67">
        <v>10.77509</v>
      </c>
      <c r="D1649" s="67">
        <v>106.6727</v>
      </c>
      <c r="E1649" s="68">
        <v>15.321</v>
      </c>
    </row>
    <row r="1650" ht="22.5" customHeight="1">
      <c r="A1650" s="61">
        <v>10.75889</v>
      </c>
      <c r="B1650" s="63">
        <v>106.5791</v>
      </c>
      <c r="C1650" s="63">
        <v>10.78747</v>
      </c>
      <c r="D1650" s="63">
        <v>106.5981</v>
      </c>
      <c r="E1650" s="64">
        <v>8.587</v>
      </c>
    </row>
    <row r="1651" ht="22.5" customHeight="1">
      <c r="A1651" s="66">
        <v>10.75896</v>
      </c>
      <c r="B1651" s="67">
        <v>106.709</v>
      </c>
      <c r="C1651" s="67">
        <v>10.75907</v>
      </c>
      <c r="D1651" s="67">
        <v>106.6988</v>
      </c>
      <c r="E1651" s="68">
        <v>1.728</v>
      </c>
    </row>
    <row r="1652" ht="22.5" customHeight="1">
      <c r="A1652" s="61">
        <v>10.75896</v>
      </c>
      <c r="B1652" s="63">
        <v>106.709</v>
      </c>
      <c r="C1652" s="63">
        <v>10.76533</v>
      </c>
      <c r="D1652" s="63">
        <v>106.7022</v>
      </c>
      <c r="E1652" s="64">
        <v>1.957</v>
      </c>
    </row>
    <row r="1653" ht="22.5" customHeight="1">
      <c r="A1653" s="66">
        <v>10.759</v>
      </c>
      <c r="B1653" s="67">
        <v>106.6681</v>
      </c>
      <c r="C1653" s="67">
        <v>10.75094</v>
      </c>
      <c r="D1653" s="67">
        <v>106.6595</v>
      </c>
      <c r="E1653" s="68">
        <v>1.622</v>
      </c>
    </row>
    <row r="1654" ht="22.5" customHeight="1">
      <c r="A1654" s="61">
        <v>10.759</v>
      </c>
      <c r="B1654" s="63">
        <v>106.6681</v>
      </c>
      <c r="C1654" s="63">
        <v>10.75327</v>
      </c>
      <c r="D1654" s="63">
        <v>106.6539</v>
      </c>
      <c r="E1654" s="64">
        <v>1.76</v>
      </c>
    </row>
    <row r="1655" ht="22.5" customHeight="1">
      <c r="A1655" s="66">
        <v>10.759</v>
      </c>
      <c r="B1655" s="67">
        <v>106.6681</v>
      </c>
      <c r="C1655" s="67">
        <v>10.75417</v>
      </c>
      <c r="D1655" s="67">
        <v>106.6783</v>
      </c>
      <c r="E1655" s="68">
        <v>2.045</v>
      </c>
    </row>
    <row r="1656" ht="22.5" customHeight="1">
      <c r="A1656" s="61">
        <v>10.759</v>
      </c>
      <c r="B1656" s="63">
        <v>106.6681</v>
      </c>
      <c r="C1656" s="63">
        <v>10.75424</v>
      </c>
      <c r="D1656" s="63">
        <v>106.6716</v>
      </c>
      <c r="E1656" s="64">
        <v>1.135</v>
      </c>
    </row>
    <row r="1657" ht="22.5" customHeight="1">
      <c r="A1657" s="66">
        <v>10.759</v>
      </c>
      <c r="B1657" s="67">
        <v>106.6681</v>
      </c>
      <c r="C1657" s="67">
        <v>10.75643</v>
      </c>
      <c r="D1657" s="67">
        <v>106.6734</v>
      </c>
      <c r="E1657" s="68">
        <v>1.186</v>
      </c>
    </row>
    <row r="1658" ht="22.5" customHeight="1">
      <c r="A1658" s="61">
        <v>10.75907</v>
      </c>
      <c r="B1658" s="63">
        <v>106.6988</v>
      </c>
      <c r="C1658" s="63">
        <v>10.73842</v>
      </c>
      <c r="D1658" s="63">
        <v>106.7164</v>
      </c>
      <c r="E1658" s="64">
        <v>4.0</v>
      </c>
    </row>
    <row r="1659" ht="22.5" customHeight="1">
      <c r="A1659" s="66">
        <v>10.75907</v>
      </c>
      <c r="B1659" s="67">
        <v>106.6988</v>
      </c>
      <c r="C1659" s="67">
        <v>10.74761</v>
      </c>
      <c r="D1659" s="67">
        <v>106.689</v>
      </c>
      <c r="E1659" s="68">
        <v>3.233</v>
      </c>
    </row>
    <row r="1660" ht="22.5" customHeight="1">
      <c r="A1660" s="61">
        <v>10.75907</v>
      </c>
      <c r="B1660" s="63">
        <v>106.6988</v>
      </c>
      <c r="C1660" s="63">
        <v>10.75836</v>
      </c>
      <c r="D1660" s="63">
        <v>106.6708</v>
      </c>
      <c r="E1660" s="64">
        <v>1.647</v>
      </c>
    </row>
    <row r="1661" ht="22.5" customHeight="1">
      <c r="A1661" s="66">
        <v>10.75907</v>
      </c>
      <c r="B1661" s="67">
        <v>106.6988</v>
      </c>
      <c r="C1661" s="67">
        <v>10.75907</v>
      </c>
      <c r="D1661" s="67">
        <v>106.6988</v>
      </c>
      <c r="E1661" s="68">
        <v>0.276</v>
      </c>
    </row>
    <row r="1662" ht="22.5" customHeight="1">
      <c r="A1662" s="61">
        <v>10.75907</v>
      </c>
      <c r="B1662" s="63">
        <v>106.6988</v>
      </c>
      <c r="C1662" s="63">
        <v>10.75973</v>
      </c>
      <c r="D1662" s="63">
        <v>106.6989</v>
      </c>
      <c r="E1662" s="64">
        <v>0.42</v>
      </c>
    </row>
    <row r="1663" ht="22.5" customHeight="1">
      <c r="A1663" s="66">
        <v>10.75907</v>
      </c>
      <c r="B1663" s="67">
        <v>106.6988</v>
      </c>
      <c r="C1663" s="67">
        <v>10.75977</v>
      </c>
      <c r="D1663" s="67">
        <v>106.6989</v>
      </c>
      <c r="E1663" s="68">
        <v>0.21</v>
      </c>
    </row>
    <row r="1664" ht="22.5" customHeight="1">
      <c r="A1664" s="61">
        <v>10.75907</v>
      </c>
      <c r="B1664" s="63">
        <v>106.6988</v>
      </c>
      <c r="C1664" s="63">
        <v>10.75998</v>
      </c>
      <c r="D1664" s="63">
        <v>106.6727</v>
      </c>
      <c r="E1664" s="64">
        <v>4.553</v>
      </c>
    </row>
    <row r="1665" ht="22.5" customHeight="1">
      <c r="A1665" s="66">
        <v>10.75907</v>
      </c>
      <c r="B1665" s="67">
        <v>106.6988</v>
      </c>
      <c r="C1665" s="67">
        <v>10.76533</v>
      </c>
      <c r="D1665" s="67">
        <v>106.7022</v>
      </c>
      <c r="E1665" s="68">
        <v>1.333</v>
      </c>
    </row>
    <row r="1666" ht="22.5" customHeight="1">
      <c r="A1666" s="61">
        <v>10.75907</v>
      </c>
      <c r="B1666" s="63">
        <v>106.6988</v>
      </c>
      <c r="C1666" s="63">
        <v>10.76732</v>
      </c>
      <c r="D1666" s="63">
        <v>106.6966</v>
      </c>
      <c r="E1666" s="64">
        <v>1.552</v>
      </c>
    </row>
    <row r="1667" ht="22.5" customHeight="1">
      <c r="A1667" s="66">
        <v>10.75939</v>
      </c>
      <c r="B1667" s="67">
        <v>106.6625</v>
      </c>
      <c r="C1667" s="67">
        <v>10.75807</v>
      </c>
      <c r="D1667" s="67">
        <v>106.6592</v>
      </c>
      <c r="E1667" s="68">
        <v>0.463</v>
      </c>
    </row>
    <row r="1668" ht="22.5" customHeight="1">
      <c r="A1668" s="61">
        <v>10.75939</v>
      </c>
      <c r="B1668" s="63">
        <v>106.6625</v>
      </c>
      <c r="C1668" s="63">
        <v>10.75998</v>
      </c>
      <c r="D1668" s="63">
        <v>106.6609</v>
      </c>
      <c r="E1668" s="64">
        <v>0.186</v>
      </c>
    </row>
    <row r="1669" ht="22.5" customHeight="1">
      <c r="A1669" s="66">
        <v>10.75939</v>
      </c>
      <c r="B1669" s="67">
        <v>106.6625</v>
      </c>
      <c r="C1669" s="67">
        <v>10.76195</v>
      </c>
      <c r="D1669" s="67">
        <v>106.6569</v>
      </c>
      <c r="E1669" s="68">
        <v>1.219</v>
      </c>
    </row>
    <row r="1670" ht="22.5" customHeight="1">
      <c r="A1670" s="61">
        <v>10.75939</v>
      </c>
      <c r="B1670" s="63">
        <v>106.6625</v>
      </c>
      <c r="C1670" s="63">
        <v>10.77509</v>
      </c>
      <c r="D1670" s="63">
        <v>106.6727</v>
      </c>
      <c r="E1670" s="64">
        <v>2.628</v>
      </c>
    </row>
    <row r="1671" ht="22.5" customHeight="1">
      <c r="A1671" s="66">
        <v>10.75939</v>
      </c>
      <c r="B1671" s="67">
        <v>106.6682</v>
      </c>
      <c r="C1671" s="67">
        <v>10.75643</v>
      </c>
      <c r="D1671" s="67">
        <v>106.6734</v>
      </c>
      <c r="E1671" s="68">
        <v>1.5</v>
      </c>
    </row>
    <row r="1672" ht="22.5" customHeight="1">
      <c r="A1672" s="61">
        <v>10.75947</v>
      </c>
      <c r="B1672" s="63">
        <v>106.6805</v>
      </c>
      <c r="C1672" s="63">
        <v>10.755</v>
      </c>
      <c r="D1672" s="63">
        <v>106.6705</v>
      </c>
      <c r="E1672" s="64">
        <v>1.289</v>
      </c>
    </row>
    <row r="1673" ht="22.5" customHeight="1">
      <c r="A1673" s="66">
        <v>10.75947</v>
      </c>
      <c r="B1673" s="67">
        <v>106.6805</v>
      </c>
      <c r="C1673" s="67">
        <v>10.75586</v>
      </c>
      <c r="D1673" s="67">
        <v>106.6724</v>
      </c>
      <c r="E1673" s="68">
        <v>0.952</v>
      </c>
    </row>
    <row r="1674" ht="22.5" customHeight="1">
      <c r="A1674" s="61">
        <v>10.75947</v>
      </c>
      <c r="B1674" s="63">
        <v>106.6805</v>
      </c>
      <c r="C1674" s="63">
        <v>10.75599</v>
      </c>
      <c r="D1674" s="63">
        <v>106.6825</v>
      </c>
      <c r="E1674" s="64">
        <v>0.795</v>
      </c>
    </row>
    <row r="1675" ht="22.5" customHeight="1">
      <c r="A1675" s="66">
        <v>10.75947</v>
      </c>
      <c r="B1675" s="67">
        <v>106.6805</v>
      </c>
      <c r="C1675" s="67">
        <v>10.75643</v>
      </c>
      <c r="D1675" s="67">
        <v>106.6734</v>
      </c>
      <c r="E1675" s="68">
        <v>1.41</v>
      </c>
    </row>
    <row r="1676" ht="22.5" customHeight="1">
      <c r="A1676" s="61">
        <v>10.75947</v>
      </c>
      <c r="B1676" s="63">
        <v>106.6805</v>
      </c>
      <c r="C1676" s="63">
        <v>10.7569</v>
      </c>
      <c r="D1676" s="63">
        <v>106.6739</v>
      </c>
      <c r="E1676" s="64">
        <v>0.919</v>
      </c>
    </row>
    <row r="1677" ht="22.5" customHeight="1">
      <c r="A1677" s="66">
        <v>10.75947</v>
      </c>
      <c r="B1677" s="67">
        <v>106.6805</v>
      </c>
      <c r="C1677" s="67">
        <v>10.75695</v>
      </c>
      <c r="D1677" s="67">
        <v>106.671</v>
      </c>
      <c r="E1677" s="68">
        <v>1.101</v>
      </c>
    </row>
    <row r="1678" ht="22.5" customHeight="1">
      <c r="A1678" s="61">
        <v>10.75947</v>
      </c>
      <c r="B1678" s="63">
        <v>106.6805</v>
      </c>
      <c r="C1678" s="63">
        <v>10.75973</v>
      </c>
      <c r="D1678" s="63">
        <v>106.6989</v>
      </c>
      <c r="E1678" s="64">
        <v>3.594</v>
      </c>
    </row>
    <row r="1679" ht="22.5" customHeight="1">
      <c r="A1679" s="66">
        <v>10.75947</v>
      </c>
      <c r="B1679" s="67">
        <v>106.6805</v>
      </c>
      <c r="C1679" s="67">
        <v>10.75985</v>
      </c>
      <c r="D1679" s="67">
        <v>106.677</v>
      </c>
      <c r="E1679" s="68">
        <v>0.949</v>
      </c>
    </row>
    <row r="1680" ht="22.5" customHeight="1">
      <c r="A1680" s="61">
        <v>10.75947</v>
      </c>
      <c r="B1680" s="63">
        <v>106.6805</v>
      </c>
      <c r="C1680" s="63">
        <v>10.75998</v>
      </c>
      <c r="D1680" s="63">
        <v>106.6727</v>
      </c>
      <c r="E1680" s="64">
        <v>1.153</v>
      </c>
    </row>
    <row r="1681" ht="22.5" customHeight="1">
      <c r="A1681" s="66">
        <v>10.75947</v>
      </c>
      <c r="B1681" s="67">
        <v>106.6805</v>
      </c>
      <c r="C1681" s="67">
        <v>10.76163</v>
      </c>
      <c r="D1681" s="67">
        <v>106.6769</v>
      </c>
      <c r="E1681" s="68">
        <v>0.684</v>
      </c>
    </row>
    <row r="1682" ht="22.5" customHeight="1">
      <c r="A1682" s="61">
        <v>10.75947</v>
      </c>
      <c r="B1682" s="63">
        <v>106.6805</v>
      </c>
      <c r="C1682" s="63">
        <v>10.76292</v>
      </c>
      <c r="D1682" s="63">
        <v>106.6706</v>
      </c>
      <c r="E1682" s="64">
        <v>1.687</v>
      </c>
    </row>
    <row r="1683" ht="22.5" customHeight="1">
      <c r="A1683" s="66">
        <v>10.75947</v>
      </c>
      <c r="B1683" s="67">
        <v>106.6805</v>
      </c>
      <c r="C1683" s="67">
        <v>10.76397</v>
      </c>
      <c r="D1683" s="67">
        <v>106.6693</v>
      </c>
      <c r="E1683" s="68">
        <v>1.805</v>
      </c>
    </row>
    <row r="1684" ht="22.5" customHeight="1">
      <c r="A1684" s="61">
        <v>10.75947</v>
      </c>
      <c r="B1684" s="63">
        <v>106.6805</v>
      </c>
      <c r="C1684" s="63">
        <v>10.76484</v>
      </c>
      <c r="D1684" s="63">
        <v>106.6907</v>
      </c>
      <c r="E1684" s="64">
        <v>1.578</v>
      </c>
    </row>
    <row r="1685" ht="22.5" customHeight="1">
      <c r="A1685" s="66">
        <v>10.75947</v>
      </c>
      <c r="B1685" s="67">
        <v>106.6805</v>
      </c>
      <c r="C1685" s="67">
        <v>10.76486</v>
      </c>
      <c r="D1685" s="67">
        <v>106.6756</v>
      </c>
      <c r="E1685" s="68">
        <v>1.197</v>
      </c>
    </row>
    <row r="1686" ht="22.5" customHeight="1">
      <c r="A1686" s="61">
        <v>10.75947</v>
      </c>
      <c r="B1686" s="63">
        <v>106.6805</v>
      </c>
      <c r="C1686" s="63">
        <v>10.76493</v>
      </c>
      <c r="D1686" s="63">
        <v>106.6755</v>
      </c>
      <c r="E1686" s="64">
        <v>1.047</v>
      </c>
    </row>
    <row r="1687" ht="22.5" customHeight="1">
      <c r="A1687" s="66">
        <v>10.75947</v>
      </c>
      <c r="B1687" s="67">
        <v>106.6805</v>
      </c>
      <c r="C1687" s="67">
        <v>10.76561</v>
      </c>
      <c r="D1687" s="67">
        <v>106.6823</v>
      </c>
      <c r="E1687" s="68">
        <v>0.883</v>
      </c>
    </row>
    <row r="1688" ht="22.5" customHeight="1">
      <c r="A1688" s="61">
        <v>10.75947</v>
      </c>
      <c r="B1688" s="63">
        <v>106.6805</v>
      </c>
      <c r="C1688" s="63">
        <v>10.76668</v>
      </c>
      <c r="D1688" s="63">
        <v>106.6879</v>
      </c>
      <c r="E1688" s="64">
        <v>1.571</v>
      </c>
    </row>
    <row r="1689" ht="22.5" customHeight="1">
      <c r="A1689" s="66">
        <v>10.75947</v>
      </c>
      <c r="B1689" s="67">
        <v>106.6805</v>
      </c>
      <c r="C1689" s="67">
        <v>10.76743</v>
      </c>
      <c r="D1689" s="67">
        <v>106.6809</v>
      </c>
      <c r="E1689" s="68">
        <v>1.242</v>
      </c>
    </row>
    <row r="1690" ht="22.5" customHeight="1">
      <c r="A1690" s="61">
        <v>10.75947</v>
      </c>
      <c r="B1690" s="63">
        <v>106.6805</v>
      </c>
      <c r="C1690" s="63">
        <v>10.76878</v>
      </c>
      <c r="D1690" s="63">
        <v>106.6667</v>
      </c>
      <c r="E1690" s="64">
        <v>2.282</v>
      </c>
    </row>
    <row r="1691" ht="22.5" customHeight="1">
      <c r="A1691" s="66">
        <v>10.75947</v>
      </c>
      <c r="B1691" s="67">
        <v>106.6805</v>
      </c>
      <c r="C1691" s="67">
        <v>10.76913</v>
      </c>
      <c r="D1691" s="67">
        <v>106.6615</v>
      </c>
      <c r="E1691" s="68">
        <v>3.07</v>
      </c>
    </row>
    <row r="1692" ht="22.5" customHeight="1">
      <c r="A1692" s="61">
        <v>10.75947</v>
      </c>
      <c r="B1692" s="63">
        <v>106.6805</v>
      </c>
      <c r="C1692" s="63">
        <v>10.76978</v>
      </c>
      <c r="D1692" s="63">
        <v>106.6909</v>
      </c>
      <c r="E1692" s="64">
        <v>1.97</v>
      </c>
    </row>
    <row r="1693" ht="22.5" customHeight="1">
      <c r="A1693" s="66">
        <v>10.75947</v>
      </c>
      <c r="B1693" s="67">
        <v>106.6805</v>
      </c>
      <c r="C1693" s="67">
        <v>10.76987</v>
      </c>
      <c r="D1693" s="67">
        <v>106.6856</v>
      </c>
      <c r="E1693" s="68">
        <v>2.38</v>
      </c>
    </row>
    <row r="1694" ht="22.5" customHeight="1">
      <c r="A1694" s="61">
        <v>10.75947</v>
      </c>
      <c r="B1694" s="63">
        <v>106.6805</v>
      </c>
      <c r="C1694" s="63">
        <v>10.77014</v>
      </c>
      <c r="D1694" s="63">
        <v>106.7009</v>
      </c>
      <c r="E1694" s="64">
        <v>3.053</v>
      </c>
    </row>
    <row r="1695" ht="22.5" customHeight="1">
      <c r="A1695" s="66">
        <v>10.75947</v>
      </c>
      <c r="B1695" s="67">
        <v>106.6805</v>
      </c>
      <c r="C1695" s="67">
        <v>10.77032</v>
      </c>
      <c r="D1695" s="67">
        <v>106.6723</v>
      </c>
      <c r="E1695" s="68">
        <v>2.13</v>
      </c>
    </row>
    <row r="1696" ht="22.5" customHeight="1">
      <c r="A1696" s="61">
        <v>10.75947</v>
      </c>
      <c r="B1696" s="63">
        <v>106.6805</v>
      </c>
      <c r="C1696" s="63">
        <v>10.7718</v>
      </c>
      <c r="D1696" s="63">
        <v>106.6714</v>
      </c>
      <c r="E1696" s="64">
        <v>2.184</v>
      </c>
    </row>
    <row r="1697" ht="22.5" customHeight="1">
      <c r="A1697" s="66">
        <v>10.75947</v>
      </c>
      <c r="B1697" s="67">
        <v>106.6805</v>
      </c>
      <c r="C1697" s="67">
        <v>10.7733</v>
      </c>
      <c r="D1697" s="67">
        <v>106.6687</v>
      </c>
      <c r="E1697" s="68">
        <v>2.834</v>
      </c>
    </row>
    <row r="1698" ht="22.5" customHeight="1">
      <c r="A1698" s="61">
        <v>10.75947</v>
      </c>
      <c r="B1698" s="63">
        <v>106.6805</v>
      </c>
      <c r="C1698" s="63">
        <v>10.77503</v>
      </c>
      <c r="D1698" s="63">
        <v>106.6737</v>
      </c>
      <c r="E1698" s="64">
        <v>2.483</v>
      </c>
    </row>
    <row r="1699" ht="22.5" customHeight="1">
      <c r="A1699" s="66">
        <v>10.75947</v>
      </c>
      <c r="B1699" s="67">
        <v>106.6805</v>
      </c>
      <c r="C1699" s="67">
        <v>10.77509</v>
      </c>
      <c r="D1699" s="67">
        <v>106.6727</v>
      </c>
      <c r="E1699" s="68">
        <v>2.396</v>
      </c>
    </row>
    <row r="1700" ht="22.5" customHeight="1">
      <c r="A1700" s="61">
        <v>10.75947</v>
      </c>
      <c r="B1700" s="63">
        <v>106.6805</v>
      </c>
      <c r="C1700" s="63">
        <v>10.77526</v>
      </c>
      <c r="D1700" s="63">
        <v>106.6823</v>
      </c>
      <c r="E1700" s="64">
        <v>2.498</v>
      </c>
    </row>
    <row r="1701" ht="22.5" customHeight="1">
      <c r="A1701" s="66">
        <v>10.75947</v>
      </c>
      <c r="B1701" s="67">
        <v>106.6805</v>
      </c>
      <c r="C1701" s="67">
        <v>10.77641</v>
      </c>
      <c r="D1701" s="67">
        <v>106.6866</v>
      </c>
      <c r="E1701" s="68">
        <v>3.01</v>
      </c>
    </row>
    <row r="1702" ht="22.5" customHeight="1">
      <c r="A1702" s="61">
        <v>10.75947</v>
      </c>
      <c r="B1702" s="63">
        <v>106.6805</v>
      </c>
      <c r="C1702" s="63">
        <v>10.77727</v>
      </c>
      <c r="D1702" s="63">
        <v>106.6795</v>
      </c>
      <c r="E1702" s="64">
        <v>2.908</v>
      </c>
    </row>
    <row r="1703" ht="22.5" customHeight="1">
      <c r="A1703" s="66">
        <v>10.75948</v>
      </c>
      <c r="B1703" s="67">
        <v>106.6922</v>
      </c>
      <c r="C1703" s="67">
        <v>10.75643</v>
      </c>
      <c r="D1703" s="67">
        <v>106.6734</v>
      </c>
      <c r="E1703" s="68">
        <v>2.897</v>
      </c>
    </row>
    <row r="1704" ht="22.5" customHeight="1">
      <c r="A1704" s="61">
        <v>10.75948</v>
      </c>
      <c r="B1704" s="63">
        <v>106.6922</v>
      </c>
      <c r="C1704" s="63">
        <v>10.77509</v>
      </c>
      <c r="D1704" s="63">
        <v>106.6727</v>
      </c>
      <c r="E1704" s="64">
        <v>3.731</v>
      </c>
    </row>
    <row r="1705" ht="22.5" customHeight="1">
      <c r="A1705" s="66">
        <v>10.75948</v>
      </c>
      <c r="B1705" s="67">
        <v>106.6922</v>
      </c>
      <c r="C1705" s="67">
        <v>10.77971</v>
      </c>
      <c r="D1705" s="67">
        <v>106.7008</v>
      </c>
      <c r="E1705" s="68">
        <v>3.337</v>
      </c>
    </row>
    <row r="1706" ht="22.5" customHeight="1">
      <c r="A1706" s="61">
        <v>10.7595</v>
      </c>
      <c r="B1706" s="63">
        <v>106.6922</v>
      </c>
      <c r="C1706" s="63">
        <v>10.75643</v>
      </c>
      <c r="D1706" s="63">
        <v>106.6734</v>
      </c>
      <c r="E1706" s="64">
        <v>2.88</v>
      </c>
    </row>
    <row r="1707" ht="22.5" customHeight="1">
      <c r="A1707" s="66">
        <v>10.7595</v>
      </c>
      <c r="B1707" s="67">
        <v>106.6922</v>
      </c>
      <c r="C1707" s="67">
        <v>10.78061</v>
      </c>
      <c r="D1707" s="67">
        <v>106.7045</v>
      </c>
      <c r="E1707" s="68">
        <v>3.522</v>
      </c>
    </row>
    <row r="1708" ht="22.5" customHeight="1">
      <c r="A1708" s="61">
        <v>10.75973</v>
      </c>
      <c r="B1708" s="63">
        <v>106.6989</v>
      </c>
      <c r="C1708" s="63">
        <v>10.7231</v>
      </c>
      <c r="D1708" s="63">
        <v>106.6556</v>
      </c>
      <c r="E1708" s="64">
        <v>8.681</v>
      </c>
    </row>
    <row r="1709" ht="22.5" customHeight="1">
      <c r="A1709" s="66">
        <v>10.75973</v>
      </c>
      <c r="B1709" s="67">
        <v>106.6989</v>
      </c>
      <c r="C1709" s="67">
        <v>10.72431</v>
      </c>
      <c r="D1709" s="67">
        <v>106.6452</v>
      </c>
      <c r="E1709" s="68">
        <v>9.34</v>
      </c>
    </row>
    <row r="1710" ht="22.5" customHeight="1">
      <c r="A1710" s="61">
        <v>10.75973</v>
      </c>
      <c r="B1710" s="63">
        <v>106.6989</v>
      </c>
      <c r="C1710" s="63">
        <v>10.7301</v>
      </c>
      <c r="D1710" s="63">
        <v>106.6763</v>
      </c>
      <c r="E1710" s="64">
        <v>6.028</v>
      </c>
    </row>
    <row r="1711" ht="22.5" customHeight="1">
      <c r="A1711" s="66">
        <v>10.75973</v>
      </c>
      <c r="B1711" s="67">
        <v>106.6989</v>
      </c>
      <c r="C1711" s="67">
        <v>10.73186</v>
      </c>
      <c r="D1711" s="67">
        <v>106.7079</v>
      </c>
      <c r="E1711" s="68">
        <v>4.966</v>
      </c>
    </row>
    <row r="1712" ht="22.5" customHeight="1">
      <c r="A1712" s="61">
        <v>10.75973</v>
      </c>
      <c r="B1712" s="63">
        <v>106.6989</v>
      </c>
      <c r="C1712" s="63">
        <v>10.73635</v>
      </c>
      <c r="D1712" s="63">
        <v>106.6714</v>
      </c>
      <c r="E1712" s="64">
        <v>5.624</v>
      </c>
    </row>
    <row r="1713" ht="22.5" customHeight="1">
      <c r="A1713" s="66">
        <v>10.75973</v>
      </c>
      <c r="B1713" s="67">
        <v>106.6989</v>
      </c>
      <c r="C1713" s="67">
        <v>10.73842</v>
      </c>
      <c r="D1713" s="67">
        <v>106.7164</v>
      </c>
      <c r="E1713" s="68">
        <v>5.67</v>
      </c>
    </row>
    <row r="1714" ht="22.5" customHeight="1">
      <c r="A1714" s="61">
        <v>10.75973</v>
      </c>
      <c r="B1714" s="63">
        <v>106.6989</v>
      </c>
      <c r="C1714" s="63">
        <v>10.74157</v>
      </c>
      <c r="D1714" s="63">
        <v>106.6885</v>
      </c>
      <c r="E1714" s="64">
        <v>3.857</v>
      </c>
    </row>
    <row r="1715" ht="22.5" customHeight="1">
      <c r="A1715" s="66">
        <v>10.75973</v>
      </c>
      <c r="B1715" s="67">
        <v>106.6989</v>
      </c>
      <c r="C1715" s="67">
        <v>10.74447</v>
      </c>
      <c r="D1715" s="67">
        <v>106.711</v>
      </c>
      <c r="E1715" s="68">
        <v>2.921</v>
      </c>
    </row>
    <row r="1716" ht="22.5" customHeight="1">
      <c r="A1716" s="61">
        <v>10.75973</v>
      </c>
      <c r="B1716" s="63">
        <v>106.6989</v>
      </c>
      <c r="C1716" s="63">
        <v>10.74504</v>
      </c>
      <c r="D1716" s="63">
        <v>106.7125</v>
      </c>
      <c r="E1716" s="64">
        <v>3.093</v>
      </c>
    </row>
    <row r="1717" ht="22.5" customHeight="1">
      <c r="A1717" s="66">
        <v>10.75973</v>
      </c>
      <c r="B1717" s="67">
        <v>106.6989</v>
      </c>
      <c r="C1717" s="67">
        <v>10.75417</v>
      </c>
      <c r="D1717" s="67">
        <v>106.6783</v>
      </c>
      <c r="E1717" s="68">
        <v>3.395</v>
      </c>
    </row>
    <row r="1718" ht="22.5" customHeight="1">
      <c r="A1718" s="61">
        <v>10.75973</v>
      </c>
      <c r="B1718" s="63">
        <v>106.6989</v>
      </c>
      <c r="C1718" s="63">
        <v>10.755</v>
      </c>
      <c r="D1718" s="63">
        <v>106.6705</v>
      </c>
      <c r="E1718" s="64">
        <v>4.271</v>
      </c>
    </row>
    <row r="1719" ht="22.5" customHeight="1">
      <c r="A1719" s="66">
        <v>10.75973</v>
      </c>
      <c r="B1719" s="67">
        <v>106.6989</v>
      </c>
      <c r="C1719" s="67">
        <v>10.75535</v>
      </c>
      <c r="D1719" s="67">
        <v>106.6939</v>
      </c>
      <c r="E1719" s="68">
        <v>1.226</v>
      </c>
    </row>
    <row r="1720" ht="22.5" customHeight="1">
      <c r="A1720" s="61">
        <v>10.75973</v>
      </c>
      <c r="B1720" s="63">
        <v>106.6989</v>
      </c>
      <c r="C1720" s="63">
        <v>10.75599</v>
      </c>
      <c r="D1720" s="63">
        <v>106.6825</v>
      </c>
      <c r="E1720" s="64">
        <v>2.809</v>
      </c>
    </row>
    <row r="1721" ht="22.5" customHeight="1">
      <c r="A1721" s="66">
        <v>10.75973</v>
      </c>
      <c r="B1721" s="67">
        <v>106.6989</v>
      </c>
      <c r="C1721" s="67">
        <v>10.75643</v>
      </c>
      <c r="D1721" s="67">
        <v>106.6734</v>
      </c>
      <c r="E1721" s="68">
        <v>4.153</v>
      </c>
    </row>
    <row r="1722" ht="22.5" customHeight="1">
      <c r="A1722" s="61">
        <v>10.75973</v>
      </c>
      <c r="B1722" s="63">
        <v>106.6989</v>
      </c>
      <c r="C1722" s="63">
        <v>10.75907</v>
      </c>
      <c r="D1722" s="63">
        <v>106.6988</v>
      </c>
      <c r="E1722" s="64">
        <v>0.58</v>
      </c>
    </row>
    <row r="1723" ht="22.5" customHeight="1">
      <c r="A1723" s="66">
        <v>10.75973</v>
      </c>
      <c r="B1723" s="67">
        <v>106.6989</v>
      </c>
      <c r="C1723" s="67">
        <v>10.75947</v>
      </c>
      <c r="D1723" s="67">
        <v>106.6805</v>
      </c>
      <c r="E1723" s="68">
        <v>3.399</v>
      </c>
    </row>
    <row r="1724" ht="22.5" customHeight="1">
      <c r="A1724" s="61">
        <v>10.75973</v>
      </c>
      <c r="B1724" s="63">
        <v>106.6989</v>
      </c>
      <c r="C1724" s="63">
        <v>10.75973</v>
      </c>
      <c r="D1724" s="63">
        <v>106.6989</v>
      </c>
      <c r="E1724" s="64">
        <v>0.119</v>
      </c>
    </row>
    <row r="1725" ht="22.5" customHeight="1">
      <c r="A1725" s="66">
        <v>10.75973</v>
      </c>
      <c r="B1725" s="67">
        <v>106.6989</v>
      </c>
      <c r="C1725" s="67">
        <v>10.75977</v>
      </c>
      <c r="D1725" s="67">
        <v>106.6989</v>
      </c>
      <c r="E1725" s="68">
        <v>0.0</v>
      </c>
    </row>
    <row r="1726" ht="22.5" customHeight="1">
      <c r="A1726" s="61">
        <v>10.75973</v>
      </c>
      <c r="B1726" s="63">
        <v>106.6989</v>
      </c>
      <c r="C1726" s="63">
        <v>10.76484</v>
      </c>
      <c r="D1726" s="63">
        <v>106.6907</v>
      </c>
      <c r="E1726" s="64">
        <v>2.394</v>
      </c>
    </row>
    <row r="1727" ht="22.5" customHeight="1">
      <c r="A1727" s="66">
        <v>10.75973</v>
      </c>
      <c r="B1727" s="67">
        <v>106.6989</v>
      </c>
      <c r="C1727" s="67">
        <v>10.76561</v>
      </c>
      <c r="D1727" s="67">
        <v>106.6823</v>
      </c>
      <c r="E1727" s="68">
        <v>3.27</v>
      </c>
    </row>
    <row r="1728" ht="22.5" customHeight="1">
      <c r="A1728" s="61">
        <v>10.75973</v>
      </c>
      <c r="B1728" s="63">
        <v>106.6989</v>
      </c>
      <c r="C1728" s="63">
        <v>10.76668</v>
      </c>
      <c r="D1728" s="63">
        <v>106.6879</v>
      </c>
      <c r="E1728" s="64">
        <v>3.009</v>
      </c>
    </row>
    <row r="1729" ht="22.5" customHeight="1">
      <c r="A1729" s="66">
        <v>10.75973</v>
      </c>
      <c r="B1729" s="67">
        <v>106.6989</v>
      </c>
      <c r="C1729" s="67">
        <v>10.77014</v>
      </c>
      <c r="D1729" s="67">
        <v>106.7009</v>
      </c>
      <c r="E1729" s="68">
        <v>2.241</v>
      </c>
    </row>
    <row r="1730" ht="22.5" customHeight="1">
      <c r="A1730" s="61">
        <v>10.75973</v>
      </c>
      <c r="B1730" s="63">
        <v>106.6989</v>
      </c>
      <c r="C1730" s="63">
        <v>10.77509</v>
      </c>
      <c r="D1730" s="63">
        <v>106.6727</v>
      </c>
      <c r="E1730" s="64">
        <v>4.367</v>
      </c>
    </row>
    <row r="1731" ht="22.5" customHeight="1">
      <c r="A1731" s="66">
        <v>10.75973</v>
      </c>
      <c r="B1731" s="67">
        <v>106.6989</v>
      </c>
      <c r="C1731" s="67">
        <v>10.79036</v>
      </c>
      <c r="D1731" s="67">
        <v>106.6973</v>
      </c>
      <c r="E1731" s="68">
        <v>4.552</v>
      </c>
    </row>
    <row r="1732" ht="22.5" customHeight="1">
      <c r="A1732" s="61">
        <v>10.75976</v>
      </c>
      <c r="B1732" s="63">
        <v>106.6656</v>
      </c>
      <c r="C1732" s="63">
        <v>10.75643</v>
      </c>
      <c r="D1732" s="63">
        <v>106.6734</v>
      </c>
      <c r="E1732" s="64">
        <v>1.501</v>
      </c>
    </row>
    <row r="1733" ht="22.5" customHeight="1">
      <c r="A1733" s="66">
        <v>10.75976</v>
      </c>
      <c r="B1733" s="67">
        <v>106.6656</v>
      </c>
      <c r="C1733" s="67">
        <v>10.76283</v>
      </c>
      <c r="D1733" s="67">
        <v>106.6684</v>
      </c>
      <c r="E1733" s="68">
        <v>0.636</v>
      </c>
    </row>
    <row r="1734" ht="22.5" customHeight="1">
      <c r="A1734" s="61">
        <v>10.75976</v>
      </c>
      <c r="B1734" s="63">
        <v>106.6656</v>
      </c>
      <c r="C1734" s="63">
        <v>10.77509</v>
      </c>
      <c r="D1734" s="63">
        <v>106.6727</v>
      </c>
      <c r="E1734" s="64">
        <v>2.443</v>
      </c>
    </row>
    <row r="1735" ht="22.5" customHeight="1">
      <c r="A1735" s="66">
        <v>10.75977</v>
      </c>
      <c r="B1735" s="67">
        <v>106.6989</v>
      </c>
      <c r="C1735" s="67">
        <v>10.73186</v>
      </c>
      <c r="D1735" s="67">
        <v>106.7079</v>
      </c>
      <c r="E1735" s="68">
        <v>4.943</v>
      </c>
    </row>
    <row r="1736" ht="22.5" customHeight="1">
      <c r="A1736" s="61">
        <v>10.75977</v>
      </c>
      <c r="B1736" s="63">
        <v>106.6989</v>
      </c>
      <c r="C1736" s="63">
        <v>10.73635</v>
      </c>
      <c r="D1736" s="63">
        <v>106.6714</v>
      </c>
      <c r="E1736" s="64">
        <v>5.622</v>
      </c>
    </row>
    <row r="1737" ht="22.5" customHeight="1">
      <c r="A1737" s="66">
        <v>10.75977</v>
      </c>
      <c r="B1737" s="67">
        <v>106.6989</v>
      </c>
      <c r="C1737" s="67">
        <v>10.73786</v>
      </c>
      <c r="D1737" s="67">
        <v>106.7205</v>
      </c>
      <c r="E1737" s="68">
        <v>4.504</v>
      </c>
    </row>
    <row r="1738" ht="22.5" customHeight="1">
      <c r="A1738" s="61">
        <v>10.75977</v>
      </c>
      <c r="B1738" s="63">
        <v>106.6989</v>
      </c>
      <c r="C1738" s="63">
        <v>10.75643</v>
      </c>
      <c r="D1738" s="63">
        <v>106.6734</v>
      </c>
      <c r="E1738" s="64">
        <v>4.5</v>
      </c>
    </row>
    <row r="1739" ht="22.5" customHeight="1">
      <c r="A1739" s="66">
        <v>10.75977</v>
      </c>
      <c r="B1739" s="67">
        <v>106.6989</v>
      </c>
      <c r="C1739" s="67">
        <v>10.75907</v>
      </c>
      <c r="D1739" s="67">
        <v>106.6988</v>
      </c>
      <c r="E1739" s="68">
        <v>0.6</v>
      </c>
    </row>
    <row r="1740" ht="22.5" customHeight="1">
      <c r="A1740" s="61">
        <v>10.75977</v>
      </c>
      <c r="B1740" s="63">
        <v>106.6989</v>
      </c>
      <c r="C1740" s="63">
        <v>10.75947</v>
      </c>
      <c r="D1740" s="63">
        <v>106.6805</v>
      </c>
      <c r="E1740" s="64">
        <v>3.023</v>
      </c>
    </row>
    <row r="1741" ht="22.5" customHeight="1">
      <c r="A1741" s="66">
        <v>10.75977</v>
      </c>
      <c r="B1741" s="67">
        <v>106.6989</v>
      </c>
      <c r="C1741" s="67">
        <v>10.75973</v>
      </c>
      <c r="D1741" s="67">
        <v>106.6989</v>
      </c>
      <c r="E1741" s="68">
        <v>0.59</v>
      </c>
    </row>
    <row r="1742" ht="22.5" customHeight="1">
      <c r="A1742" s="61">
        <v>10.75977</v>
      </c>
      <c r="B1742" s="63">
        <v>106.6989</v>
      </c>
      <c r="C1742" s="63">
        <v>10.75977</v>
      </c>
      <c r="D1742" s="63">
        <v>106.6989</v>
      </c>
      <c r="E1742" s="64">
        <v>0.0</v>
      </c>
    </row>
    <row r="1743" ht="22.5" customHeight="1">
      <c r="A1743" s="66">
        <v>10.75977</v>
      </c>
      <c r="B1743" s="67">
        <v>106.6989</v>
      </c>
      <c r="C1743" s="67">
        <v>10.77509</v>
      </c>
      <c r="D1743" s="67">
        <v>106.6727</v>
      </c>
      <c r="E1743" s="68">
        <v>5.0</v>
      </c>
    </row>
    <row r="1744" ht="22.5" customHeight="1">
      <c r="A1744" s="61">
        <v>10.75977</v>
      </c>
      <c r="B1744" s="63">
        <v>106.6989</v>
      </c>
      <c r="C1744" s="63">
        <v>10.79036</v>
      </c>
      <c r="D1744" s="63">
        <v>106.6973</v>
      </c>
      <c r="E1744" s="64">
        <v>4.59</v>
      </c>
    </row>
    <row r="1745" ht="22.5" customHeight="1">
      <c r="A1745" s="66">
        <v>10.75979</v>
      </c>
      <c r="B1745" s="67">
        <v>106.7874</v>
      </c>
      <c r="C1745" s="67">
        <v>10.75979</v>
      </c>
      <c r="D1745" s="67">
        <v>106.7874</v>
      </c>
      <c r="E1745" s="68">
        <v>0.01</v>
      </c>
    </row>
    <row r="1746" ht="22.5" customHeight="1">
      <c r="A1746" s="61">
        <v>10.75979</v>
      </c>
      <c r="B1746" s="63">
        <v>106.7874</v>
      </c>
      <c r="C1746" s="63">
        <v>10.76656</v>
      </c>
      <c r="D1746" s="63">
        <v>106.726</v>
      </c>
      <c r="E1746" s="64">
        <v>9.618</v>
      </c>
    </row>
    <row r="1747" ht="22.5" customHeight="1">
      <c r="A1747" s="66">
        <v>10.75979</v>
      </c>
      <c r="B1747" s="67">
        <v>106.7874</v>
      </c>
      <c r="C1747" s="67">
        <v>10.76666</v>
      </c>
      <c r="D1747" s="67">
        <v>106.7262</v>
      </c>
      <c r="E1747" s="68">
        <v>9.858</v>
      </c>
    </row>
    <row r="1748" ht="22.5" customHeight="1">
      <c r="A1748" s="61">
        <v>10.75979</v>
      </c>
      <c r="B1748" s="63">
        <v>106.7874</v>
      </c>
      <c r="C1748" s="63">
        <v>10.7818</v>
      </c>
      <c r="D1748" s="63">
        <v>106.7611</v>
      </c>
      <c r="E1748" s="64">
        <v>3.821</v>
      </c>
    </row>
    <row r="1749" ht="22.5" customHeight="1">
      <c r="A1749" s="66">
        <v>10.75979</v>
      </c>
      <c r="B1749" s="67">
        <v>106.7874</v>
      </c>
      <c r="C1749" s="67">
        <v>10.78752</v>
      </c>
      <c r="D1749" s="67">
        <v>106.7334</v>
      </c>
      <c r="E1749" s="68">
        <v>7.984</v>
      </c>
    </row>
    <row r="1750" ht="22.5" customHeight="1">
      <c r="A1750" s="61">
        <v>10.75979</v>
      </c>
      <c r="B1750" s="63">
        <v>106.7874</v>
      </c>
      <c r="C1750" s="63">
        <v>10.78871</v>
      </c>
      <c r="D1750" s="63">
        <v>106.7343</v>
      </c>
      <c r="E1750" s="64">
        <v>7.972</v>
      </c>
    </row>
    <row r="1751" ht="22.5" customHeight="1">
      <c r="A1751" s="66">
        <v>10.75979</v>
      </c>
      <c r="B1751" s="67">
        <v>106.7874</v>
      </c>
      <c r="C1751" s="67">
        <v>10.7907</v>
      </c>
      <c r="D1751" s="67">
        <v>106.7481</v>
      </c>
      <c r="E1751" s="68">
        <v>6.735</v>
      </c>
    </row>
    <row r="1752" ht="22.5" customHeight="1">
      <c r="A1752" s="61">
        <v>10.75979</v>
      </c>
      <c r="B1752" s="63">
        <v>106.7874</v>
      </c>
      <c r="C1752" s="63">
        <v>10.79203</v>
      </c>
      <c r="D1752" s="63">
        <v>106.7304</v>
      </c>
      <c r="E1752" s="64">
        <v>9.566</v>
      </c>
    </row>
    <row r="1753" ht="22.5" customHeight="1">
      <c r="A1753" s="66">
        <v>10.75979</v>
      </c>
      <c r="B1753" s="67">
        <v>106.7874</v>
      </c>
      <c r="C1753" s="67">
        <v>10.7938</v>
      </c>
      <c r="D1753" s="67">
        <v>106.7467</v>
      </c>
      <c r="E1753" s="68">
        <v>6.949</v>
      </c>
    </row>
    <row r="1754" ht="22.5" customHeight="1">
      <c r="A1754" s="61">
        <v>10.75979</v>
      </c>
      <c r="B1754" s="63">
        <v>106.7874</v>
      </c>
      <c r="C1754" s="63">
        <v>10.79446</v>
      </c>
      <c r="D1754" s="63">
        <v>106.731</v>
      </c>
      <c r="E1754" s="64">
        <v>9.436</v>
      </c>
    </row>
    <row r="1755" ht="22.5" customHeight="1">
      <c r="A1755" s="66">
        <v>10.75979</v>
      </c>
      <c r="B1755" s="67">
        <v>106.7874</v>
      </c>
      <c r="C1755" s="67">
        <v>10.79662</v>
      </c>
      <c r="D1755" s="67">
        <v>106.7372</v>
      </c>
      <c r="E1755" s="68">
        <v>8.617</v>
      </c>
    </row>
    <row r="1756" ht="22.5" customHeight="1">
      <c r="A1756" s="61">
        <v>10.75979</v>
      </c>
      <c r="B1756" s="63">
        <v>106.7874</v>
      </c>
      <c r="C1756" s="63">
        <v>10.80434</v>
      </c>
      <c r="D1756" s="63">
        <v>106.7445</v>
      </c>
      <c r="E1756" s="64">
        <v>9.072</v>
      </c>
    </row>
    <row r="1757" ht="22.5" customHeight="1">
      <c r="A1757" s="66">
        <v>10.75984</v>
      </c>
      <c r="B1757" s="67">
        <v>106.5999</v>
      </c>
      <c r="C1757" s="67">
        <v>10.76707</v>
      </c>
      <c r="D1757" s="67">
        <v>106.6493</v>
      </c>
      <c r="E1757" s="68">
        <v>6.702</v>
      </c>
    </row>
    <row r="1758" ht="22.5" customHeight="1">
      <c r="A1758" s="61">
        <v>10.75985</v>
      </c>
      <c r="B1758" s="63">
        <v>106.677</v>
      </c>
      <c r="C1758" s="63">
        <v>10.75643</v>
      </c>
      <c r="D1758" s="63">
        <v>106.6734</v>
      </c>
      <c r="E1758" s="64">
        <v>1.186</v>
      </c>
    </row>
    <row r="1759" ht="22.5" customHeight="1">
      <c r="A1759" s="66">
        <v>10.75985</v>
      </c>
      <c r="B1759" s="67">
        <v>106.677</v>
      </c>
      <c r="C1759" s="67">
        <v>10.75695</v>
      </c>
      <c r="D1759" s="67">
        <v>106.671</v>
      </c>
      <c r="E1759" s="68">
        <v>1.239</v>
      </c>
    </row>
    <row r="1760" ht="22.5" customHeight="1">
      <c r="A1760" s="61">
        <v>10.75985</v>
      </c>
      <c r="B1760" s="63">
        <v>106.677</v>
      </c>
      <c r="C1760" s="63">
        <v>10.75986</v>
      </c>
      <c r="D1760" s="63">
        <v>106.677</v>
      </c>
      <c r="E1760" s="64">
        <v>0.003</v>
      </c>
    </row>
    <row r="1761" ht="22.5" customHeight="1">
      <c r="A1761" s="66">
        <v>10.75985</v>
      </c>
      <c r="B1761" s="67">
        <v>106.677</v>
      </c>
      <c r="C1761" s="67">
        <v>10.75987</v>
      </c>
      <c r="D1761" s="67">
        <v>106.677</v>
      </c>
      <c r="E1761" s="68">
        <v>0.441</v>
      </c>
    </row>
    <row r="1762" ht="22.5" customHeight="1">
      <c r="A1762" s="61">
        <v>10.75985</v>
      </c>
      <c r="B1762" s="63">
        <v>106.677</v>
      </c>
      <c r="C1762" s="63">
        <v>10.75995</v>
      </c>
      <c r="D1762" s="63">
        <v>106.6774</v>
      </c>
      <c r="E1762" s="64">
        <v>0.439</v>
      </c>
    </row>
    <row r="1763" ht="22.5" customHeight="1">
      <c r="A1763" s="66">
        <v>10.75985</v>
      </c>
      <c r="B1763" s="67">
        <v>106.677</v>
      </c>
      <c r="C1763" s="67">
        <v>10.76987</v>
      </c>
      <c r="D1763" s="67">
        <v>106.6856</v>
      </c>
      <c r="E1763" s="68">
        <v>1.499</v>
      </c>
    </row>
    <row r="1764" ht="22.5" customHeight="1">
      <c r="A1764" s="61">
        <v>10.75985</v>
      </c>
      <c r="B1764" s="63">
        <v>106.677</v>
      </c>
      <c r="C1764" s="63">
        <v>10.77509</v>
      </c>
      <c r="D1764" s="63">
        <v>106.6727</v>
      </c>
      <c r="E1764" s="64">
        <v>1.818</v>
      </c>
    </row>
    <row r="1765" ht="22.5" customHeight="1">
      <c r="A1765" s="66">
        <v>10.75985</v>
      </c>
      <c r="B1765" s="67">
        <v>106.677</v>
      </c>
      <c r="C1765" s="67">
        <v>10.78607</v>
      </c>
      <c r="D1765" s="67">
        <v>106.6877</v>
      </c>
      <c r="E1765" s="68">
        <v>4.048</v>
      </c>
    </row>
    <row r="1766" ht="22.5" customHeight="1">
      <c r="A1766" s="61">
        <v>10.75986</v>
      </c>
      <c r="B1766" s="63">
        <v>106.677</v>
      </c>
      <c r="C1766" s="63">
        <v>10.75987</v>
      </c>
      <c r="D1766" s="63">
        <v>106.677</v>
      </c>
      <c r="E1766" s="64">
        <v>0.0</v>
      </c>
    </row>
    <row r="1767" ht="22.5" customHeight="1">
      <c r="A1767" s="66">
        <v>10.75986</v>
      </c>
      <c r="B1767" s="67">
        <v>106.677</v>
      </c>
      <c r="C1767" s="67">
        <v>10.77509</v>
      </c>
      <c r="D1767" s="67">
        <v>106.6727</v>
      </c>
      <c r="E1767" s="68">
        <v>1.912</v>
      </c>
    </row>
    <row r="1768" ht="22.5" customHeight="1">
      <c r="A1768" s="61">
        <v>10.75987</v>
      </c>
      <c r="B1768" s="63">
        <v>106.677</v>
      </c>
      <c r="C1768" s="63">
        <v>10.75985</v>
      </c>
      <c r="D1768" s="63">
        <v>106.677</v>
      </c>
      <c r="E1768" s="64">
        <v>0.001</v>
      </c>
    </row>
    <row r="1769" ht="22.5" customHeight="1">
      <c r="A1769" s="66">
        <v>10.75987</v>
      </c>
      <c r="B1769" s="67">
        <v>106.677</v>
      </c>
      <c r="C1769" s="67">
        <v>10.76</v>
      </c>
      <c r="D1769" s="67">
        <v>106.677</v>
      </c>
      <c r="E1769" s="68">
        <v>0.003</v>
      </c>
    </row>
    <row r="1770" ht="22.5" customHeight="1">
      <c r="A1770" s="61">
        <v>10.75987</v>
      </c>
      <c r="B1770" s="63">
        <v>106.677</v>
      </c>
      <c r="C1770" s="63">
        <v>10.76163</v>
      </c>
      <c r="D1770" s="63">
        <v>106.6769</v>
      </c>
      <c r="E1770" s="64">
        <v>0.186</v>
      </c>
    </row>
    <row r="1771" ht="22.5" customHeight="1">
      <c r="A1771" s="66">
        <v>10.75987</v>
      </c>
      <c r="B1771" s="67">
        <v>106.677</v>
      </c>
      <c r="C1771" s="67">
        <v>10.77509</v>
      </c>
      <c r="D1771" s="67">
        <v>106.6727</v>
      </c>
      <c r="E1771" s="68">
        <v>2.187</v>
      </c>
    </row>
    <row r="1772" ht="22.5" customHeight="1">
      <c r="A1772" s="61">
        <v>10.75987</v>
      </c>
      <c r="B1772" s="63">
        <v>106.677</v>
      </c>
      <c r="C1772" s="63">
        <v>10.75417</v>
      </c>
      <c r="D1772" s="63">
        <v>106.6783</v>
      </c>
      <c r="E1772" s="64">
        <v>0.74</v>
      </c>
    </row>
    <row r="1773" ht="22.5" customHeight="1">
      <c r="A1773" s="66">
        <v>10.75987</v>
      </c>
      <c r="B1773" s="67">
        <v>106.677</v>
      </c>
      <c r="C1773" s="67">
        <v>10.75643</v>
      </c>
      <c r="D1773" s="67">
        <v>106.6734</v>
      </c>
      <c r="E1773" s="68">
        <v>1.239</v>
      </c>
    </row>
    <row r="1774" ht="22.5" customHeight="1">
      <c r="A1774" s="61">
        <v>10.75992</v>
      </c>
      <c r="B1774" s="63">
        <v>106.6771</v>
      </c>
      <c r="C1774" s="63">
        <v>10.77509</v>
      </c>
      <c r="D1774" s="63">
        <v>106.6727</v>
      </c>
      <c r="E1774" s="64">
        <v>1.915</v>
      </c>
    </row>
    <row r="1775" ht="22.5" customHeight="1">
      <c r="A1775" s="66">
        <v>10.75995</v>
      </c>
      <c r="B1775" s="67">
        <v>106.6774</v>
      </c>
      <c r="C1775" s="67">
        <v>10.77509</v>
      </c>
      <c r="D1775" s="67">
        <v>106.6727</v>
      </c>
      <c r="E1775" s="68">
        <v>2.191</v>
      </c>
    </row>
    <row r="1776" ht="22.5" customHeight="1">
      <c r="A1776" s="61">
        <v>10.75998</v>
      </c>
      <c r="B1776" s="63">
        <v>106.6727</v>
      </c>
      <c r="C1776" s="63">
        <v>10.75586</v>
      </c>
      <c r="D1776" s="63">
        <v>106.6724</v>
      </c>
      <c r="E1776" s="64">
        <v>0.702</v>
      </c>
    </row>
    <row r="1777" ht="22.5" customHeight="1">
      <c r="A1777" s="66">
        <v>10.75998</v>
      </c>
      <c r="B1777" s="67">
        <v>106.6727</v>
      </c>
      <c r="C1777" s="67">
        <v>10.75643</v>
      </c>
      <c r="D1777" s="67">
        <v>106.6734</v>
      </c>
      <c r="E1777" s="68">
        <v>0.83</v>
      </c>
    </row>
    <row r="1778" ht="22.5" customHeight="1">
      <c r="A1778" s="61">
        <v>10.75998</v>
      </c>
      <c r="B1778" s="63">
        <v>106.6727</v>
      </c>
      <c r="C1778" s="63">
        <v>10.75695</v>
      </c>
      <c r="D1778" s="63">
        <v>106.671</v>
      </c>
      <c r="E1778" s="64">
        <v>0.439</v>
      </c>
    </row>
    <row r="1779" ht="22.5" customHeight="1">
      <c r="A1779" s="66">
        <v>10.75998</v>
      </c>
      <c r="B1779" s="67">
        <v>106.6727</v>
      </c>
      <c r="C1779" s="67">
        <v>10.75836</v>
      </c>
      <c r="D1779" s="67">
        <v>106.6708</v>
      </c>
      <c r="E1779" s="68">
        <v>0.0</v>
      </c>
    </row>
    <row r="1780" ht="22.5" customHeight="1">
      <c r="A1780" s="61">
        <v>10.75998</v>
      </c>
      <c r="B1780" s="63">
        <v>106.6727</v>
      </c>
      <c r="C1780" s="63">
        <v>10.75858</v>
      </c>
      <c r="D1780" s="63">
        <v>106.6655</v>
      </c>
      <c r="E1780" s="64">
        <v>0.871</v>
      </c>
    </row>
    <row r="1781" ht="22.5" customHeight="1">
      <c r="A1781" s="66">
        <v>10.75998</v>
      </c>
      <c r="B1781" s="67">
        <v>106.6727</v>
      </c>
      <c r="C1781" s="67">
        <v>10.75947</v>
      </c>
      <c r="D1781" s="67">
        <v>106.6805</v>
      </c>
      <c r="E1781" s="68">
        <v>1.075</v>
      </c>
    </row>
    <row r="1782" ht="22.5" customHeight="1">
      <c r="A1782" s="61">
        <v>10.75998</v>
      </c>
      <c r="B1782" s="63">
        <v>106.6727</v>
      </c>
      <c r="C1782" s="63">
        <v>10.75987</v>
      </c>
      <c r="D1782" s="63">
        <v>106.677</v>
      </c>
      <c r="E1782" s="64">
        <v>1.217</v>
      </c>
    </row>
    <row r="1783" ht="22.5" customHeight="1">
      <c r="A1783" s="66">
        <v>10.75998</v>
      </c>
      <c r="B1783" s="67">
        <v>106.6727</v>
      </c>
      <c r="C1783" s="67">
        <v>10.75998</v>
      </c>
      <c r="D1783" s="67">
        <v>106.6727</v>
      </c>
      <c r="E1783" s="68">
        <v>0.003</v>
      </c>
    </row>
    <row r="1784" ht="22.5" customHeight="1">
      <c r="A1784" s="61">
        <v>10.75998</v>
      </c>
      <c r="B1784" s="63">
        <v>106.6727</v>
      </c>
      <c r="C1784" s="63">
        <v>10.76163</v>
      </c>
      <c r="D1784" s="63">
        <v>106.6769</v>
      </c>
      <c r="E1784" s="64">
        <v>1.251</v>
      </c>
    </row>
    <row r="1785" ht="22.5" customHeight="1">
      <c r="A1785" s="66">
        <v>10.75998</v>
      </c>
      <c r="B1785" s="67">
        <v>106.6727</v>
      </c>
      <c r="C1785" s="67">
        <v>10.76283</v>
      </c>
      <c r="D1785" s="67">
        <v>106.6684</v>
      </c>
      <c r="E1785" s="68">
        <v>0.901</v>
      </c>
    </row>
    <row r="1786" ht="22.5" customHeight="1">
      <c r="A1786" s="61">
        <v>10.75998</v>
      </c>
      <c r="B1786" s="63">
        <v>106.6727</v>
      </c>
      <c r="C1786" s="63">
        <v>10.76484</v>
      </c>
      <c r="D1786" s="63">
        <v>106.6907</v>
      </c>
      <c r="E1786" s="64">
        <v>2.984</v>
      </c>
    </row>
    <row r="1787" ht="22.5" customHeight="1">
      <c r="A1787" s="66">
        <v>10.75998</v>
      </c>
      <c r="B1787" s="67">
        <v>106.6727</v>
      </c>
      <c r="C1787" s="67">
        <v>10.76668</v>
      </c>
      <c r="D1787" s="67">
        <v>106.6879</v>
      </c>
      <c r="E1787" s="68">
        <v>2.684</v>
      </c>
    </row>
    <row r="1788" ht="22.5" customHeight="1">
      <c r="A1788" s="61">
        <v>10.75998</v>
      </c>
      <c r="B1788" s="63">
        <v>106.6727</v>
      </c>
      <c r="C1788" s="63">
        <v>10.76878</v>
      </c>
      <c r="D1788" s="63">
        <v>106.6667</v>
      </c>
      <c r="E1788" s="64">
        <v>1.592</v>
      </c>
    </row>
    <row r="1789" ht="22.5" customHeight="1">
      <c r="A1789" s="66">
        <v>10.75998</v>
      </c>
      <c r="B1789" s="67">
        <v>106.6727</v>
      </c>
      <c r="C1789" s="67">
        <v>10.76898</v>
      </c>
      <c r="D1789" s="67">
        <v>106.6997</v>
      </c>
      <c r="E1789" s="68">
        <v>0.0</v>
      </c>
    </row>
    <row r="1790" ht="22.5" customHeight="1">
      <c r="A1790" s="61">
        <v>10.75998</v>
      </c>
      <c r="B1790" s="63">
        <v>106.6727</v>
      </c>
      <c r="C1790" s="63">
        <v>10.76913</v>
      </c>
      <c r="D1790" s="63">
        <v>106.6615</v>
      </c>
      <c r="E1790" s="64">
        <v>1.901</v>
      </c>
    </row>
    <row r="1791" ht="22.5" customHeight="1">
      <c r="A1791" s="66">
        <v>10.75998</v>
      </c>
      <c r="B1791" s="67">
        <v>106.6727</v>
      </c>
      <c r="C1791" s="67">
        <v>10.76987</v>
      </c>
      <c r="D1791" s="67">
        <v>106.6856</v>
      </c>
      <c r="E1791" s="68">
        <v>3.304</v>
      </c>
    </row>
    <row r="1792" ht="22.5" customHeight="1">
      <c r="A1792" s="61">
        <v>10.75998</v>
      </c>
      <c r="B1792" s="63">
        <v>106.6727</v>
      </c>
      <c r="C1792" s="63">
        <v>10.77014</v>
      </c>
      <c r="D1792" s="63">
        <v>106.7009</v>
      </c>
      <c r="E1792" s="64">
        <v>4.136</v>
      </c>
    </row>
    <row r="1793" ht="22.5" customHeight="1">
      <c r="A1793" s="66">
        <v>10.75998</v>
      </c>
      <c r="B1793" s="67">
        <v>106.6727</v>
      </c>
      <c r="C1793" s="67">
        <v>10.77032</v>
      </c>
      <c r="D1793" s="67">
        <v>106.6723</v>
      </c>
      <c r="E1793" s="68">
        <v>1.317</v>
      </c>
    </row>
    <row r="1794" ht="22.5" customHeight="1">
      <c r="A1794" s="61">
        <v>10.75998</v>
      </c>
      <c r="B1794" s="63">
        <v>106.6727</v>
      </c>
      <c r="C1794" s="63">
        <v>10.7718</v>
      </c>
      <c r="D1794" s="63">
        <v>106.6714</v>
      </c>
      <c r="E1794" s="64">
        <v>1.698</v>
      </c>
    </row>
    <row r="1795" ht="22.5" customHeight="1">
      <c r="A1795" s="66">
        <v>10.75998</v>
      </c>
      <c r="B1795" s="67">
        <v>106.6727</v>
      </c>
      <c r="C1795" s="67">
        <v>10.7722</v>
      </c>
      <c r="D1795" s="67">
        <v>106.6714</v>
      </c>
      <c r="E1795" s="68">
        <v>1.885</v>
      </c>
    </row>
    <row r="1796" ht="22.5" customHeight="1">
      <c r="A1796" s="61">
        <v>10.75998</v>
      </c>
      <c r="B1796" s="63">
        <v>106.6727</v>
      </c>
      <c r="C1796" s="63">
        <v>10.7733</v>
      </c>
      <c r="D1796" s="63">
        <v>106.6687</v>
      </c>
      <c r="E1796" s="64">
        <v>2.291</v>
      </c>
    </row>
    <row r="1797" ht="22.5" customHeight="1">
      <c r="A1797" s="66">
        <v>10.75998</v>
      </c>
      <c r="B1797" s="67">
        <v>106.6727</v>
      </c>
      <c r="C1797" s="67">
        <v>10.77335</v>
      </c>
      <c r="D1797" s="67">
        <v>106.6772</v>
      </c>
      <c r="E1797" s="68">
        <v>2.011</v>
      </c>
    </row>
    <row r="1798" ht="22.5" customHeight="1">
      <c r="A1798" s="61">
        <v>10.75998</v>
      </c>
      <c r="B1798" s="63">
        <v>106.6727</v>
      </c>
      <c r="C1798" s="63">
        <v>10.77509</v>
      </c>
      <c r="D1798" s="63">
        <v>106.6727</v>
      </c>
      <c r="E1798" s="64">
        <v>1.912</v>
      </c>
    </row>
    <row r="1799" ht="22.5" customHeight="1">
      <c r="A1799" s="66">
        <v>10.75998</v>
      </c>
      <c r="B1799" s="67">
        <v>106.6727</v>
      </c>
      <c r="C1799" s="67">
        <v>10.77525</v>
      </c>
      <c r="D1799" s="67">
        <v>106.6592</v>
      </c>
      <c r="E1799" s="68">
        <v>3.229</v>
      </c>
    </row>
    <row r="1800" ht="22.5" customHeight="1">
      <c r="A1800" s="61">
        <v>10.75998</v>
      </c>
      <c r="B1800" s="63">
        <v>106.6727</v>
      </c>
      <c r="C1800" s="63">
        <v>10.77918</v>
      </c>
      <c r="D1800" s="63">
        <v>106.6903</v>
      </c>
      <c r="E1800" s="64">
        <v>3.952</v>
      </c>
    </row>
    <row r="1801" ht="22.5" customHeight="1">
      <c r="A1801" s="66">
        <v>10.75998</v>
      </c>
      <c r="B1801" s="67">
        <v>106.6609</v>
      </c>
      <c r="C1801" s="67">
        <v>10.73905</v>
      </c>
      <c r="D1801" s="67">
        <v>106.6327</v>
      </c>
      <c r="E1801" s="68">
        <v>4.903</v>
      </c>
    </row>
    <row r="1802" ht="22.5" customHeight="1">
      <c r="A1802" s="61">
        <v>10.75998</v>
      </c>
      <c r="B1802" s="63">
        <v>106.6609</v>
      </c>
      <c r="C1802" s="63">
        <v>10.74152</v>
      </c>
      <c r="D1802" s="63">
        <v>106.6251</v>
      </c>
      <c r="E1802" s="64">
        <v>5.327</v>
      </c>
    </row>
    <row r="1803" ht="22.5" customHeight="1">
      <c r="A1803" s="66">
        <v>10.75998</v>
      </c>
      <c r="B1803" s="67">
        <v>106.6609</v>
      </c>
      <c r="C1803" s="67">
        <v>10.7444</v>
      </c>
      <c r="D1803" s="67">
        <v>106.6304</v>
      </c>
      <c r="E1803" s="68">
        <v>4.663</v>
      </c>
    </row>
    <row r="1804" ht="22.5" customHeight="1">
      <c r="A1804" s="61">
        <v>10.75998</v>
      </c>
      <c r="B1804" s="63">
        <v>106.6609</v>
      </c>
      <c r="C1804" s="63">
        <v>10.74946</v>
      </c>
      <c r="D1804" s="63">
        <v>106.6451</v>
      </c>
      <c r="E1804" s="64">
        <v>2.7</v>
      </c>
    </row>
    <row r="1805" ht="22.5" customHeight="1">
      <c r="A1805" s="66">
        <v>10.75998</v>
      </c>
      <c r="B1805" s="67">
        <v>106.6609</v>
      </c>
      <c r="C1805" s="67">
        <v>10.75583</v>
      </c>
      <c r="D1805" s="67">
        <v>106.6579</v>
      </c>
      <c r="E1805" s="68">
        <v>0.786</v>
      </c>
    </row>
    <row r="1806" ht="22.5" customHeight="1">
      <c r="A1806" s="61">
        <v>10.75998</v>
      </c>
      <c r="B1806" s="63">
        <v>106.6609</v>
      </c>
      <c r="C1806" s="63">
        <v>10.75807</v>
      </c>
      <c r="D1806" s="63">
        <v>106.6592</v>
      </c>
      <c r="E1806" s="64">
        <v>0.342</v>
      </c>
    </row>
    <row r="1807" ht="22.5" customHeight="1">
      <c r="A1807" s="66">
        <v>10.75998</v>
      </c>
      <c r="B1807" s="67">
        <v>106.6609</v>
      </c>
      <c r="C1807" s="67">
        <v>10.75818</v>
      </c>
      <c r="D1807" s="67">
        <v>106.6562</v>
      </c>
      <c r="E1807" s="68">
        <v>0.682</v>
      </c>
    </row>
    <row r="1808" ht="22.5" customHeight="1">
      <c r="A1808" s="61">
        <v>10.75998</v>
      </c>
      <c r="B1808" s="63">
        <v>106.6609</v>
      </c>
      <c r="C1808" s="63">
        <v>10.75872</v>
      </c>
      <c r="D1808" s="63">
        <v>106.6577</v>
      </c>
      <c r="E1808" s="64">
        <v>0.653</v>
      </c>
    </row>
    <row r="1809" ht="22.5" customHeight="1">
      <c r="A1809" s="66">
        <v>10.75998</v>
      </c>
      <c r="B1809" s="67">
        <v>106.6609</v>
      </c>
      <c r="C1809" s="67">
        <v>10.75973</v>
      </c>
      <c r="D1809" s="67">
        <v>106.6989</v>
      </c>
      <c r="E1809" s="68">
        <v>6.007</v>
      </c>
    </row>
    <row r="1810" ht="22.5" customHeight="1">
      <c r="A1810" s="61">
        <v>10.75998</v>
      </c>
      <c r="B1810" s="63">
        <v>106.6609</v>
      </c>
      <c r="C1810" s="63">
        <v>10.75998</v>
      </c>
      <c r="D1810" s="63">
        <v>106.6609</v>
      </c>
      <c r="E1810" s="64">
        <v>0.0</v>
      </c>
    </row>
    <row r="1811" ht="22.5" customHeight="1">
      <c r="A1811" s="66">
        <v>10.75998</v>
      </c>
      <c r="B1811" s="67">
        <v>106.6609</v>
      </c>
      <c r="C1811" s="67">
        <v>10.76057</v>
      </c>
      <c r="D1811" s="67">
        <v>106.6481</v>
      </c>
      <c r="E1811" s="68">
        <v>1.929</v>
      </c>
    </row>
    <row r="1812" ht="22.5" customHeight="1">
      <c r="A1812" s="61">
        <v>10.75998</v>
      </c>
      <c r="B1812" s="63">
        <v>106.6609</v>
      </c>
      <c r="C1812" s="63">
        <v>10.76195</v>
      </c>
      <c r="D1812" s="63">
        <v>106.6569</v>
      </c>
      <c r="E1812" s="64">
        <v>1.126</v>
      </c>
    </row>
    <row r="1813" ht="22.5" customHeight="1">
      <c r="A1813" s="66">
        <v>10.75998</v>
      </c>
      <c r="B1813" s="67">
        <v>106.6609</v>
      </c>
      <c r="C1813" s="67">
        <v>10.76198</v>
      </c>
      <c r="D1813" s="67">
        <v>106.6539</v>
      </c>
      <c r="E1813" s="68">
        <v>1.086</v>
      </c>
    </row>
    <row r="1814" ht="22.5" customHeight="1">
      <c r="A1814" s="61">
        <v>10.75998</v>
      </c>
      <c r="B1814" s="63">
        <v>106.6609</v>
      </c>
      <c r="C1814" s="63">
        <v>10.76878</v>
      </c>
      <c r="D1814" s="63">
        <v>106.6667</v>
      </c>
      <c r="E1814" s="64">
        <v>1.499</v>
      </c>
    </row>
    <row r="1815" ht="22.5" customHeight="1">
      <c r="A1815" s="66">
        <v>10.75998</v>
      </c>
      <c r="B1815" s="67">
        <v>106.6609</v>
      </c>
      <c r="C1815" s="67">
        <v>10.77509</v>
      </c>
      <c r="D1815" s="67">
        <v>106.6727</v>
      </c>
      <c r="E1815" s="68">
        <v>2.678</v>
      </c>
    </row>
    <row r="1816" ht="22.5" customHeight="1">
      <c r="A1816" s="61">
        <v>10.75998</v>
      </c>
      <c r="B1816" s="63">
        <v>106.6609</v>
      </c>
      <c r="C1816" s="63">
        <v>10.78747</v>
      </c>
      <c r="D1816" s="63">
        <v>106.5981</v>
      </c>
      <c r="E1816" s="64">
        <v>9.053</v>
      </c>
    </row>
    <row r="1817" ht="22.5" customHeight="1">
      <c r="A1817" s="66">
        <v>10.75999</v>
      </c>
      <c r="B1817" s="67">
        <v>106.6728</v>
      </c>
      <c r="C1817" s="67">
        <v>10.75998</v>
      </c>
      <c r="D1817" s="67">
        <v>106.6727</v>
      </c>
      <c r="E1817" s="68">
        <v>0.0</v>
      </c>
    </row>
    <row r="1818" ht="22.5" customHeight="1">
      <c r="A1818" s="61">
        <v>10.76</v>
      </c>
      <c r="B1818" s="63">
        <v>106.677</v>
      </c>
      <c r="C1818" s="63">
        <v>10.77509</v>
      </c>
      <c r="D1818" s="63">
        <v>106.6727</v>
      </c>
      <c r="E1818" s="64">
        <v>1.922</v>
      </c>
    </row>
    <row r="1819" ht="22.5" customHeight="1">
      <c r="A1819" s="66">
        <v>10.76024</v>
      </c>
      <c r="B1819" s="67">
        <v>106.671</v>
      </c>
      <c r="C1819" s="67">
        <v>10.75643</v>
      </c>
      <c r="D1819" s="67">
        <v>106.6734</v>
      </c>
      <c r="E1819" s="68">
        <v>0.99</v>
      </c>
    </row>
    <row r="1820" ht="22.5" customHeight="1">
      <c r="A1820" s="61">
        <v>10.76024</v>
      </c>
      <c r="B1820" s="63">
        <v>106.671</v>
      </c>
      <c r="C1820" s="63">
        <v>10.759</v>
      </c>
      <c r="D1820" s="63">
        <v>106.6681</v>
      </c>
      <c r="E1820" s="64">
        <v>0.882</v>
      </c>
    </row>
    <row r="1821" ht="22.5" customHeight="1">
      <c r="A1821" s="66">
        <v>10.76057</v>
      </c>
      <c r="B1821" s="67">
        <v>106.6481</v>
      </c>
      <c r="C1821" s="67">
        <v>10.75807</v>
      </c>
      <c r="D1821" s="67">
        <v>106.6592</v>
      </c>
      <c r="E1821" s="68">
        <v>1.822</v>
      </c>
    </row>
    <row r="1822" ht="22.5" customHeight="1">
      <c r="A1822" s="61">
        <v>10.76057</v>
      </c>
      <c r="B1822" s="63">
        <v>106.6481</v>
      </c>
      <c r="C1822" s="63">
        <v>10.75998</v>
      </c>
      <c r="D1822" s="63">
        <v>106.6609</v>
      </c>
      <c r="E1822" s="64">
        <v>2.141</v>
      </c>
    </row>
    <row r="1823" ht="22.5" customHeight="1">
      <c r="A1823" s="66">
        <v>10.76057</v>
      </c>
      <c r="B1823" s="67">
        <v>106.6481</v>
      </c>
      <c r="C1823" s="67">
        <v>10.76195</v>
      </c>
      <c r="D1823" s="67">
        <v>106.6569</v>
      </c>
      <c r="E1823" s="68">
        <v>1.367</v>
      </c>
    </row>
    <row r="1824" ht="22.5" customHeight="1">
      <c r="A1824" s="61">
        <v>10.76057</v>
      </c>
      <c r="B1824" s="63">
        <v>106.6481</v>
      </c>
      <c r="C1824" s="63">
        <v>10.76198</v>
      </c>
      <c r="D1824" s="63">
        <v>106.6539</v>
      </c>
      <c r="E1824" s="64">
        <v>0.972</v>
      </c>
    </row>
    <row r="1825" ht="22.5" customHeight="1">
      <c r="A1825" s="66">
        <v>10.76057</v>
      </c>
      <c r="B1825" s="67">
        <v>106.6481</v>
      </c>
      <c r="C1825" s="67">
        <v>10.76294</v>
      </c>
      <c r="D1825" s="67">
        <v>106.6606</v>
      </c>
      <c r="E1825" s="68">
        <v>1.984</v>
      </c>
    </row>
    <row r="1826" ht="22.5" customHeight="1">
      <c r="A1826" s="61">
        <v>10.76057</v>
      </c>
      <c r="B1826" s="63">
        <v>106.6481</v>
      </c>
      <c r="C1826" s="63">
        <v>10.76707</v>
      </c>
      <c r="D1826" s="63">
        <v>106.6493</v>
      </c>
      <c r="E1826" s="64">
        <v>1.041</v>
      </c>
    </row>
    <row r="1827" ht="22.5" customHeight="1">
      <c r="A1827" s="66">
        <v>10.76163</v>
      </c>
      <c r="B1827" s="67">
        <v>106.6769</v>
      </c>
      <c r="C1827" s="67">
        <v>10.75424</v>
      </c>
      <c r="D1827" s="67">
        <v>106.6716</v>
      </c>
      <c r="E1827" s="68">
        <v>1.638</v>
      </c>
    </row>
    <row r="1828" ht="22.5" customHeight="1">
      <c r="A1828" s="61">
        <v>10.76163</v>
      </c>
      <c r="B1828" s="63">
        <v>106.6769</v>
      </c>
      <c r="C1828" s="63">
        <v>10.75586</v>
      </c>
      <c r="D1828" s="63">
        <v>106.6724</v>
      </c>
      <c r="E1828" s="64">
        <v>1.072</v>
      </c>
    </row>
    <row r="1829" ht="22.5" customHeight="1">
      <c r="A1829" s="66">
        <v>10.76163</v>
      </c>
      <c r="B1829" s="67">
        <v>106.6769</v>
      </c>
      <c r="C1829" s="67">
        <v>10.75643</v>
      </c>
      <c r="D1829" s="67">
        <v>106.6734</v>
      </c>
      <c r="E1829" s="68">
        <v>1.405</v>
      </c>
    </row>
    <row r="1830" ht="22.5" customHeight="1">
      <c r="A1830" s="61">
        <v>10.76163</v>
      </c>
      <c r="B1830" s="63">
        <v>106.6769</v>
      </c>
      <c r="C1830" s="63">
        <v>10.75695</v>
      </c>
      <c r="D1830" s="63">
        <v>106.671</v>
      </c>
      <c r="E1830" s="64">
        <v>1.017</v>
      </c>
    </row>
    <row r="1831" ht="22.5" customHeight="1">
      <c r="A1831" s="66">
        <v>10.76163</v>
      </c>
      <c r="B1831" s="67">
        <v>106.6769</v>
      </c>
      <c r="C1831" s="67">
        <v>10.75836</v>
      </c>
      <c r="D1831" s="67">
        <v>106.6708</v>
      </c>
      <c r="E1831" s="68">
        <v>0.584</v>
      </c>
    </row>
    <row r="1832" ht="22.5" customHeight="1">
      <c r="A1832" s="61">
        <v>10.76163</v>
      </c>
      <c r="B1832" s="63">
        <v>106.6769</v>
      </c>
      <c r="C1832" s="63">
        <v>10.75947</v>
      </c>
      <c r="D1832" s="63">
        <v>106.6805</v>
      </c>
      <c r="E1832" s="64">
        <v>0.744</v>
      </c>
    </row>
    <row r="1833" ht="22.5" customHeight="1">
      <c r="A1833" s="66">
        <v>10.76163</v>
      </c>
      <c r="B1833" s="67">
        <v>106.6769</v>
      </c>
      <c r="C1833" s="67">
        <v>10.75973</v>
      </c>
      <c r="D1833" s="67">
        <v>106.6989</v>
      </c>
      <c r="E1833" s="68">
        <v>3.995</v>
      </c>
    </row>
    <row r="1834" ht="22.5" customHeight="1">
      <c r="A1834" s="61">
        <v>10.76163</v>
      </c>
      <c r="B1834" s="63">
        <v>106.6769</v>
      </c>
      <c r="C1834" s="63">
        <v>10.75998</v>
      </c>
      <c r="D1834" s="63">
        <v>106.6727</v>
      </c>
      <c r="E1834" s="64">
        <v>0.575</v>
      </c>
    </row>
    <row r="1835" ht="22.5" customHeight="1">
      <c r="A1835" s="66">
        <v>10.76163</v>
      </c>
      <c r="B1835" s="67">
        <v>106.6769</v>
      </c>
      <c r="C1835" s="67">
        <v>10.76484</v>
      </c>
      <c r="D1835" s="67">
        <v>106.6907</v>
      </c>
      <c r="E1835" s="68">
        <v>2.129</v>
      </c>
    </row>
    <row r="1836" ht="22.5" customHeight="1">
      <c r="A1836" s="61">
        <v>10.76163</v>
      </c>
      <c r="B1836" s="63">
        <v>106.6769</v>
      </c>
      <c r="C1836" s="63">
        <v>10.76561</v>
      </c>
      <c r="D1836" s="63">
        <v>106.6823</v>
      </c>
      <c r="E1836" s="64">
        <v>1.174</v>
      </c>
    </row>
    <row r="1837" ht="22.5" customHeight="1">
      <c r="A1837" s="66">
        <v>10.76163</v>
      </c>
      <c r="B1837" s="67">
        <v>106.6769</v>
      </c>
      <c r="C1837" s="67">
        <v>10.76668</v>
      </c>
      <c r="D1837" s="67">
        <v>106.6879</v>
      </c>
      <c r="E1837" s="68">
        <v>1.767</v>
      </c>
    </row>
    <row r="1838" ht="22.5" customHeight="1">
      <c r="A1838" s="61">
        <v>10.76163</v>
      </c>
      <c r="B1838" s="63">
        <v>106.6769</v>
      </c>
      <c r="C1838" s="63">
        <v>10.76878</v>
      </c>
      <c r="D1838" s="63">
        <v>106.6667</v>
      </c>
      <c r="E1838" s="64">
        <v>1.684</v>
      </c>
    </row>
    <row r="1839" ht="22.5" customHeight="1">
      <c r="A1839" s="66">
        <v>10.76163</v>
      </c>
      <c r="B1839" s="67">
        <v>106.6769</v>
      </c>
      <c r="C1839" s="67">
        <v>10.76898</v>
      </c>
      <c r="D1839" s="67">
        <v>106.6997</v>
      </c>
      <c r="E1839" s="68">
        <v>0.591</v>
      </c>
    </row>
    <row r="1840" ht="22.5" customHeight="1">
      <c r="A1840" s="61">
        <v>10.76163</v>
      </c>
      <c r="B1840" s="63">
        <v>106.6769</v>
      </c>
      <c r="C1840" s="63">
        <v>10.76913</v>
      </c>
      <c r="D1840" s="63">
        <v>106.6615</v>
      </c>
      <c r="E1840" s="64">
        <v>2.373</v>
      </c>
    </row>
    <row r="1841" ht="22.5" customHeight="1">
      <c r="A1841" s="66">
        <v>10.76163</v>
      </c>
      <c r="B1841" s="67">
        <v>106.6769</v>
      </c>
      <c r="C1841" s="67">
        <v>10.76987</v>
      </c>
      <c r="D1841" s="67">
        <v>106.6856</v>
      </c>
      <c r="E1841" s="68">
        <v>2.381</v>
      </c>
    </row>
    <row r="1842" ht="22.5" customHeight="1">
      <c r="A1842" s="61">
        <v>10.76163</v>
      </c>
      <c r="B1842" s="63">
        <v>106.6769</v>
      </c>
      <c r="C1842" s="63">
        <v>10.77014</v>
      </c>
      <c r="D1842" s="63">
        <v>106.7009</v>
      </c>
      <c r="E1842" s="64">
        <v>3.132</v>
      </c>
    </row>
    <row r="1843" ht="22.5" customHeight="1">
      <c r="A1843" s="66">
        <v>10.76163</v>
      </c>
      <c r="B1843" s="67">
        <v>106.6769</v>
      </c>
      <c r="C1843" s="67">
        <v>10.77032</v>
      </c>
      <c r="D1843" s="67">
        <v>106.6723</v>
      </c>
      <c r="E1843" s="68">
        <v>1.119</v>
      </c>
    </row>
    <row r="1844" ht="22.5" customHeight="1">
      <c r="A1844" s="61">
        <v>10.76163</v>
      </c>
      <c r="B1844" s="63">
        <v>106.6769</v>
      </c>
      <c r="C1844" s="63">
        <v>10.7733</v>
      </c>
      <c r="D1844" s="63">
        <v>106.6687</v>
      </c>
      <c r="E1844" s="64">
        <v>1.798</v>
      </c>
    </row>
    <row r="1845" ht="22.5" customHeight="1">
      <c r="A1845" s="66">
        <v>10.76163</v>
      </c>
      <c r="B1845" s="67">
        <v>106.6769</v>
      </c>
      <c r="C1845" s="67">
        <v>10.77335</v>
      </c>
      <c r="D1845" s="67">
        <v>106.6772</v>
      </c>
      <c r="E1845" s="68">
        <v>1.613</v>
      </c>
    </row>
    <row r="1846" ht="22.5" customHeight="1">
      <c r="A1846" s="61">
        <v>10.76163</v>
      </c>
      <c r="B1846" s="63">
        <v>106.6769</v>
      </c>
      <c r="C1846" s="63">
        <v>10.77503</v>
      </c>
      <c r="D1846" s="63">
        <v>106.6737</v>
      </c>
      <c r="E1846" s="64">
        <v>1.828</v>
      </c>
    </row>
    <row r="1847" ht="22.5" customHeight="1">
      <c r="A1847" s="66">
        <v>10.76163</v>
      </c>
      <c r="B1847" s="67">
        <v>106.6769</v>
      </c>
      <c r="C1847" s="67">
        <v>10.77509</v>
      </c>
      <c r="D1847" s="67">
        <v>106.6727</v>
      </c>
      <c r="E1847" s="68">
        <v>1.671</v>
      </c>
    </row>
    <row r="1848" ht="22.5" customHeight="1">
      <c r="A1848" s="61">
        <v>10.76163</v>
      </c>
      <c r="B1848" s="63">
        <v>106.6769</v>
      </c>
      <c r="C1848" s="63">
        <v>10.77773</v>
      </c>
      <c r="D1848" s="63">
        <v>106.6655</v>
      </c>
      <c r="E1848" s="64">
        <v>2.551</v>
      </c>
    </row>
    <row r="1849" ht="22.5" customHeight="1">
      <c r="A1849" s="66">
        <v>10.76163</v>
      </c>
      <c r="B1849" s="67">
        <v>106.6769</v>
      </c>
      <c r="C1849" s="67">
        <v>10.7785</v>
      </c>
      <c r="D1849" s="67">
        <v>106.6858</v>
      </c>
      <c r="E1849" s="68">
        <v>2.466</v>
      </c>
    </row>
    <row r="1850" ht="22.5" customHeight="1">
      <c r="A1850" s="61">
        <v>10.76163</v>
      </c>
      <c r="B1850" s="63">
        <v>106.6769</v>
      </c>
      <c r="C1850" s="63">
        <v>10.7825</v>
      </c>
      <c r="D1850" s="63">
        <v>106.7054</v>
      </c>
      <c r="E1850" s="64">
        <v>4.734</v>
      </c>
    </row>
    <row r="1851" ht="22.5" customHeight="1">
      <c r="A1851" s="66">
        <v>10.76163</v>
      </c>
      <c r="B1851" s="67">
        <v>106.6769</v>
      </c>
      <c r="C1851" s="67">
        <v>10.78438</v>
      </c>
      <c r="D1851" s="67">
        <v>106.6829</v>
      </c>
      <c r="E1851" s="68">
        <v>3.302</v>
      </c>
    </row>
    <row r="1852" ht="22.5" customHeight="1">
      <c r="A1852" s="61">
        <v>10.76191</v>
      </c>
      <c r="B1852" s="63">
        <v>106.6669</v>
      </c>
      <c r="C1852" s="63">
        <v>10.77509</v>
      </c>
      <c r="D1852" s="63">
        <v>106.6727</v>
      </c>
      <c r="E1852" s="64">
        <v>1.928</v>
      </c>
    </row>
    <row r="1853" ht="22.5" customHeight="1">
      <c r="A1853" s="66">
        <v>10.76195</v>
      </c>
      <c r="B1853" s="67">
        <v>106.6569</v>
      </c>
      <c r="C1853" s="67">
        <v>10.75807</v>
      </c>
      <c r="D1853" s="67">
        <v>106.6592</v>
      </c>
      <c r="E1853" s="68">
        <v>0.8</v>
      </c>
    </row>
    <row r="1854" ht="22.5" customHeight="1">
      <c r="A1854" s="61">
        <v>10.76195</v>
      </c>
      <c r="B1854" s="63">
        <v>106.6569</v>
      </c>
      <c r="C1854" s="63">
        <v>10.76057</v>
      </c>
      <c r="D1854" s="63">
        <v>106.6481</v>
      </c>
      <c r="E1854" s="64">
        <v>1.5</v>
      </c>
    </row>
    <row r="1855" ht="22.5" customHeight="1">
      <c r="A1855" s="66">
        <v>10.76195</v>
      </c>
      <c r="B1855" s="67">
        <v>106.6569</v>
      </c>
      <c r="C1855" s="67">
        <v>10.76195</v>
      </c>
      <c r="D1855" s="67">
        <v>106.6569</v>
      </c>
      <c r="E1855" s="68">
        <v>0.0</v>
      </c>
    </row>
    <row r="1856" ht="22.5" customHeight="1">
      <c r="A1856" s="61">
        <v>10.76195</v>
      </c>
      <c r="B1856" s="63">
        <v>106.6569</v>
      </c>
      <c r="C1856" s="63">
        <v>10.76707</v>
      </c>
      <c r="D1856" s="63">
        <v>106.6493</v>
      </c>
      <c r="E1856" s="64">
        <v>1.604</v>
      </c>
    </row>
    <row r="1857" ht="22.5" customHeight="1">
      <c r="A1857" s="66">
        <v>10.76195</v>
      </c>
      <c r="B1857" s="67">
        <v>106.6569</v>
      </c>
      <c r="C1857" s="67">
        <v>10.76878</v>
      </c>
      <c r="D1857" s="67">
        <v>106.6667</v>
      </c>
      <c r="E1857" s="68">
        <v>1.417</v>
      </c>
    </row>
    <row r="1858" ht="22.5" customHeight="1">
      <c r="A1858" s="61">
        <v>10.76198</v>
      </c>
      <c r="B1858" s="63">
        <v>106.6539</v>
      </c>
      <c r="C1858" s="63">
        <v>10.74152</v>
      </c>
      <c r="D1858" s="63">
        <v>106.6251</v>
      </c>
      <c r="E1858" s="64">
        <v>4.66</v>
      </c>
    </row>
    <row r="1859" ht="22.5" customHeight="1">
      <c r="A1859" s="66">
        <v>10.76198</v>
      </c>
      <c r="B1859" s="67">
        <v>106.6539</v>
      </c>
      <c r="C1859" s="67">
        <v>10.75889</v>
      </c>
      <c r="D1859" s="67">
        <v>106.6703</v>
      </c>
      <c r="E1859" s="68">
        <v>2.715</v>
      </c>
    </row>
    <row r="1860" ht="22.5" customHeight="1">
      <c r="A1860" s="61">
        <v>10.76198</v>
      </c>
      <c r="B1860" s="63">
        <v>106.6539</v>
      </c>
      <c r="C1860" s="63">
        <v>10.76195</v>
      </c>
      <c r="D1860" s="63">
        <v>106.6569</v>
      </c>
      <c r="E1860" s="64">
        <v>0.834</v>
      </c>
    </row>
    <row r="1861" ht="22.5" customHeight="1">
      <c r="A1861" s="66">
        <v>10.76198</v>
      </c>
      <c r="B1861" s="67">
        <v>106.6539</v>
      </c>
      <c r="C1861" s="67">
        <v>10.76198</v>
      </c>
      <c r="D1861" s="67">
        <v>106.6539</v>
      </c>
      <c r="E1861" s="68">
        <v>0.015</v>
      </c>
    </row>
    <row r="1862" ht="22.5" customHeight="1">
      <c r="A1862" s="61">
        <v>10.76198</v>
      </c>
      <c r="B1862" s="63">
        <v>106.6539</v>
      </c>
      <c r="C1862" s="63">
        <v>10.76707</v>
      </c>
      <c r="D1862" s="63">
        <v>106.6493</v>
      </c>
      <c r="E1862" s="64">
        <v>1.29</v>
      </c>
    </row>
    <row r="1863" ht="22.5" customHeight="1">
      <c r="A1863" s="66">
        <v>10.76216</v>
      </c>
      <c r="B1863" s="67">
        <v>106.6892</v>
      </c>
      <c r="C1863" s="67">
        <v>10.77509</v>
      </c>
      <c r="D1863" s="67">
        <v>106.6727</v>
      </c>
      <c r="E1863" s="68">
        <v>3.358</v>
      </c>
    </row>
    <row r="1864" ht="22.5" customHeight="1">
      <c r="A1864" s="61">
        <v>10.76237</v>
      </c>
      <c r="B1864" s="63">
        <v>106.6614</v>
      </c>
      <c r="C1864" s="63">
        <v>10.77509</v>
      </c>
      <c r="D1864" s="63">
        <v>106.6727</v>
      </c>
      <c r="E1864" s="64">
        <v>2.383</v>
      </c>
    </row>
    <row r="1865" ht="22.5" customHeight="1">
      <c r="A1865" s="66">
        <v>10.76244</v>
      </c>
      <c r="B1865" s="67">
        <v>106.6704</v>
      </c>
      <c r="C1865" s="67">
        <v>10.75267</v>
      </c>
      <c r="D1865" s="67">
        <v>106.6789</v>
      </c>
      <c r="E1865" s="68">
        <v>2.8</v>
      </c>
    </row>
    <row r="1866" ht="22.5" customHeight="1">
      <c r="A1866" s="61">
        <v>10.76244</v>
      </c>
      <c r="B1866" s="63">
        <v>106.6704</v>
      </c>
      <c r="C1866" s="63">
        <v>10.75317</v>
      </c>
      <c r="D1866" s="63">
        <v>106.6778</v>
      </c>
      <c r="E1866" s="64">
        <v>2.1</v>
      </c>
    </row>
    <row r="1867" ht="22.5" customHeight="1">
      <c r="A1867" s="66">
        <v>10.76244</v>
      </c>
      <c r="B1867" s="67">
        <v>106.6704</v>
      </c>
      <c r="C1867" s="67">
        <v>10.75524</v>
      </c>
      <c r="D1867" s="67">
        <v>106.6645</v>
      </c>
      <c r="E1867" s="68">
        <v>1.4</v>
      </c>
    </row>
    <row r="1868" ht="22.5" customHeight="1">
      <c r="A1868" s="61">
        <v>10.76244</v>
      </c>
      <c r="B1868" s="63">
        <v>106.6704</v>
      </c>
      <c r="C1868" s="63">
        <v>10.75586</v>
      </c>
      <c r="D1868" s="63">
        <v>106.6724</v>
      </c>
      <c r="E1868" s="64">
        <v>0.9</v>
      </c>
    </row>
    <row r="1869" ht="22.5" customHeight="1">
      <c r="A1869" s="66">
        <v>10.76244</v>
      </c>
      <c r="B1869" s="67">
        <v>106.6704</v>
      </c>
      <c r="C1869" s="67">
        <v>10.75618</v>
      </c>
      <c r="D1869" s="67">
        <v>106.6611</v>
      </c>
      <c r="E1869" s="68">
        <v>1.6</v>
      </c>
    </row>
    <row r="1870" ht="22.5" customHeight="1">
      <c r="A1870" s="61">
        <v>10.76244</v>
      </c>
      <c r="B1870" s="63">
        <v>106.6704</v>
      </c>
      <c r="C1870" s="63">
        <v>10.7568</v>
      </c>
      <c r="D1870" s="63">
        <v>106.6621</v>
      </c>
      <c r="E1870" s="64">
        <v>1.385</v>
      </c>
    </row>
    <row r="1871" ht="22.5" customHeight="1">
      <c r="A1871" s="66">
        <v>10.76244</v>
      </c>
      <c r="B1871" s="67">
        <v>106.6704</v>
      </c>
      <c r="C1871" s="67">
        <v>10.75695</v>
      </c>
      <c r="D1871" s="67">
        <v>106.671</v>
      </c>
      <c r="E1871" s="68">
        <v>0.8</v>
      </c>
    </row>
    <row r="1872" ht="22.5" customHeight="1">
      <c r="A1872" s="61">
        <v>10.76244</v>
      </c>
      <c r="B1872" s="63">
        <v>106.6704</v>
      </c>
      <c r="C1872" s="63">
        <v>10.75784</v>
      </c>
      <c r="D1872" s="63">
        <v>106.6595</v>
      </c>
      <c r="E1872" s="64">
        <v>2.0</v>
      </c>
    </row>
    <row r="1873" ht="22.5" customHeight="1">
      <c r="A1873" s="66">
        <v>10.76244</v>
      </c>
      <c r="B1873" s="67">
        <v>106.6704</v>
      </c>
      <c r="C1873" s="67">
        <v>10.75836</v>
      </c>
      <c r="D1873" s="67">
        <v>106.6708</v>
      </c>
      <c r="E1873" s="68">
        <v>0.9</v>
      </c>
    </row>
    <row r="1874" ht="22.5" customHeight="1">
      <c r="A1874" s="61">
        <v>10.76244</v>
      </c>
      <c r="B1874" s="63">
        <v>106.6704</v>
      </c>
      <c r="C1874" s="63">
        <v>10.75947</v>
      </c>
      <c r="D1874" s="63">
        <v>106.6805</v>
      </c>
      <c r="E1874" s="64">
        <v>1.7</v>
      </c>
    </row>
    <row r="1875" ht="22.5" customHeight="1">
      <c r="A1875" s="66">
        <v>10.76244</v>
      </c>
      <c r="B1875" s="67">
        <v>106.6704</v>
      </c>
      <c r="C1875" s="67">
        <v>10.75987</v>
      </c>
      <c r="D1875" s="67">
        <v>106.677</v>
      </c>
      <c r="E1875" s="68">
        <v>1.4</v>
      </c>
    </row>
    <row r="1876" ht="22.5" customHeight="1">
      <c r="A1876" s="61">
        <v>10.76244</v>
      </c>
      <c r="B1876" s="63">
        <v>106.6704</v>
      </c>
      <c r="C1876" s="63">
        <v>10.75998</v>
      </c>
      <c r="D1876" s="63">
        <v>106.6727</v>
      </c>
      <c r="E1876" s="64">
        <v>0.7</v>
      </c>
    </row>
    <row r="1877" ht="22.5" customHeight="1">
      <c r="A1877" s="66">
        <v>10.76244</v>
      </c>
      <c r="B1877" s="67">
        <v>106.6704</v>
      </c>
      <c r="C1877" s="67">
        <v>10.76163</v>
      </c>
      <c r="D1877" s="67">
        <v>106.6769</v>
      </c>
      <c r="E1877" s="68">
        <v>1.4</v>
      </c>
    </row>
    <row r="1878" ht="22.5" customHeight="1">
      <c r="A1878" s="61">
        <v>10.76244</v>
      </c>
      <c r="B1878" s="63">
        <v>106.6704</v>
      </c>
      <c r="C1878" s="63">
        <v>10.76283</v>
      </c>
      <c r="D1878" s="63">
        <v>106.6684</v>
      </c>
      <c r="E1878" s="64">
        <v>0.5</v>
      </c>
    </row>
    <row r="1879" ht="22.5" customHeight="1">
      <c r="A1879" s="66">
        <v>10.76244</v>
      </c>
      <c r="B1879" s="67">
        <v>106.6704</v>
      </c>
      <c r="C1879" s="67">
        <v>10.76345</v>
      </c>
      <c r="D1879" s="67">
        <v>106.6596</v>
      </c>
      <c r="E1879" s="68">
        <v>1.751</v>
      </c>
    </row>
    <row r="1880" ht="22.5" customHeight="1">
      <c r="A1880" s="61">
        <v>10.76244</v>
      </c>
      <c r="B1880" s="63">
        <v>106.6704</v>
      </c>
      <c r="C1880" s="63">
        <v>10.76484</v>
      </c>
      <c r="D1880" s="63">
        <v>106.6907</v>
      </c>
      <c r="E1880" s="64">
        <v>3.0</v>
      </c>
    </row>
    <row r="1881" ht="22.5" customHeight="1">
      <c r="A1881" s="66">
        <v>10.76244</v>
      </c>
      <c r="B1881" s="67">
        <v>106.6704</v>
      </c>
      <c r="C1881" s="67">
        <v>10.76486</v>
      </c>
      <c r="D1881" s="67">
        <v>106.6756</v>
      </c>
      <c r="E1881" s="68">
        <v>1.0</v>
      </c>
    </row>
    <row r="1882" ht="22.5" customHeight="1">
      <c r="A1882" s="61">
        <v>10.76244</v>
      </c>
      <c r="B1882" s="63">
        <v>106.6704</v>
      </c>
      <c r="C1882" s="63">
        <v>10.76668</v>
      </c>
      <c r="D1882" s="63">
        <v>106.6879</v>
      </c>
      <c r="E1882" s="64">
        <v>2.6</v>
      </c>
    </row>
    <row r="1883" ht="22.5" customHeight="1">
      <c r="A1883" s="66">
        <v>10.76244</v>
      </c>
      <c r="B1883" s="67">
        <v>106.6704</v>
      </c>
      <c r="C1883" s="67">
        <v>10.76878</v>
      </c>
      <c r="D1883" s="67">
        <v>106.6667</v>
      </c>
      <c r="E1883" s="68">
        <v>1.0</v>
      </c>
    </row>
    <row r="1884" ht="22.5" customHeight="1">
      <c r="A1884" s="61">
        <v>10.76244</v>
      </c>
      <c r="B1884" s="63">
        <v>106.6704</v>
      </c>
      <c r="C1884" s="63">
        <v>10.76898</v>
      </c>
      <c r="D1884" s="63">
        <v>106.6997</v>
      </c>
      <c r="E1884" s="64">
        <v>4.4</v>
      </c>
    </row>
    <row r="1885" ht="22.5" customHeight="1">
      <c r="A1885" s="66">
        <v>10.76244</v>
      </c>
      <c r="B1885" s="67">
        <v>106.6704</v>
      </c>
      <c r="C1885" s="67">
        <v>10.76913</v>
      </c>
      <c r="D1885" s="67">
        <v>106.6615</v>
      </c>
      <c r="E1885" s="68">
        <v>1.7</v>
      </c>
    </row>
    <row r="1886" ht="22.5" customHeight="1">
      <c r="A1886" s="61">
        <v>10.76244</v>
      </c>
      <c r="B1886" s="63">
        <v>106.6704</v>
      </c>
      <c r="C1886" s="63">
        <v>10.76987</v>
      </c>
      <c r="D1886" s="63">
        <v>106.6856</v>
      </c>
      <c r="E1886" s="64">
        <v>2.5</v>
      </c>
    </row>
    <row r="1887" ht="22.5" customHeight="1">
      <c r="A1887" s="66">
        <v>10.76244</v>
      </c>
      <c r="B1887" s="67">
        <v>106.6704</v>
      </c>
      <c r="C1887" s="67">
        <v>10.77014</v>
      </c>
      <c r="D1887" s="67">
        <v>106.7009</v>
      </c>
      <c r="E1887" s="68">
        <v>4.4</v>
      </c>
    </row>
    <row r="1888" ht="22.5" customHeight="1">
      <c r="A1888" s="61">
        <v>10.76244</v>
      </c>
      <c r="B1888" s="63">
        <v>106.6704</v>
      </c>
      <c r="C1888" s="63">
        <v>10.77032</v>
      </c>
      <c r="D1888" s="63">
        <v>106.6723</v>
      </c>
      <c r="E1888" s="64">
        <v>1.2</v>
      </c>
    </row>
    <row r="1889" ht="22.5" customHeight="1">
      <c r="A1889" s="66">
        <v>10.76244</v>
      </c>
      <c r="B1889" s="67">
        <v>106.6704</v>
      </c>
      <c r="C1889" s="67">
        <v>10.77163</v>
      </c>
      <c r="D1889" s="67">
        <v>106.6776</v>
      </c>
      <c r="E1889" s="68">
        <v>1.33</v>
      </c>
    </row>
    <row r="1890" ht="22.5" customHeight="1">
      <c r="A1890" s="61">
        <v>10.76244</v>
      </c>
      <c r="B1890" s="63">
        <v>106.6704</v>
      </c>
      <c r="C1890" s="63">
        <v>10.7718</v>
      </c>
      <c r="D1890" s="63">
        <v>106.6714</v>
      </c>
      <c r="E1890" s="64">
        <v>1.4</v>
      </c>
    </row>
    <row r="1891" ht="22.5" customHeight="1">
      <c r="A1891" s="66">
        <v>10.76244</v>
      </c>
      <c r="B1891" s="67">
        <v>106.6704</v>
      </c>
      <c r="C1891" s="67">
        <v>10.7733</v>
      </c>
      <c r="D1891" s="67">
        <v>106.6687</v>
      </c>
      <c r="E1891" s="68">
        <v>1.5</v>
      </c>
    </row>
    <row r="1892" ht="22.5" customHeight="1">
      <c r="A1892" s="61">
        <v>10.76244</v>
      </c>
      <c r="B1892" s="63">
        <v>106.6704</v>
      </c>
      <c r="C1892" s="63">
        <v>10.77476</v>
      </c>
      <c r="D1892" s="63">
        <v>106.6683</v>
      </c>
      <c r="E1892" s="64">
        <v>2.2</v>
      </c>
    </row>
    <row r="1893" ht="22.5" customHeight="1">
      <c r="A1893" s="66">
        <v>10.76244</v>
      </c>
      <c r="B1893" s="67">
        <v>106.6704</v>
      </c>
      <c r="C1893" s="67">
        <v>10.77503</v>
      </c>
      <c r="D1893" s="67">
        <v>106.6737</v>
      </c>
      <c r="E1893" s="68">
        <v>1.9</v>
      </c>
    </row>
    <row r="1894" ht="22.5" customHeight="1">
      <c r="A1894" s="61">
        <v>10.76244</v>
      </c>
      <c r="B1894" s="63">
        <v>106.6704</v>
      </c>
      <c r="C1894" s="63">
        <v>10.77509</v>
      </c>
      <c r="D1894" s="63">
        <v>106.6727</v>
      </c>
      <c r="E1894" s="64">
        <v>1.8</v>
      </c>
    </row>
    <row r="1895" ht="22.5" customHeight="1">
      <c r="A1895" s="66">
        <v>10.76244</v>
      </c>
      <c r="B1895" s="67">
        <v>106.6704</v>
      </c>
      <c r="C1895" s="67">
        <v>10.77525</v>
      </c>
      <c r="D1895" s="67">
        <v>106.6592</v>
      </c>
      <c r="E1895" s="68">
        <v>2.7</v>
      </c>
    </row>
    <row r="1896" ht="22.5" customHeight="1">
      <c r="A1896" s="61">
        <v>10.76244</v>
      </c>
      <c r="B1896" s="63">
        <v>106.6704</v>
      </c>
      <c r="C1896" s="63">
        <v>10.77526</v>
      </c>
      <c r="D1896" s="63">
        <v>106.6823</v>
      </c>
      <c r="E1896" s="64">
        <v>2.0</v>
      </c>
    </row>
    <row r="1897" ht="22.5" customHeight="1">
      <c r="A1897" s="66">
        <v>10.76244</v>
      </c>
      <c r="B1897" s="67">
        <v>106.6704</v>
      </c>
      <c r="C1897" s="67">
        <v>10.77641</v>
      </c>
      <c r="D1897" s="67">
        <v>106.6866</v>
      </c>
      <c r="E1897" s="68">
        <v>2.7</v>
      </c>
    </row>
    <row r="1898" ht="22.5" customHeight="1">
      <c r="A1898" s="61">
        <v>10.76244</v>
      </c>
      <c r="B1898" s="63">
        <v>106.6704</v>
      </c>
      <c r="C1898" s="63">
        <v>10.77658</v>
      </c>
      <c r="D1898" s="63">
        <v>106.6719</v>
      </c>
      <c r="E1898" s="64">
        <v>1.9</v>
      </c>
    </row>
    <row r="1899" ht="22.5" customHeight="1">
      <c r="A1899" s="66">
        <v>10.76244</v>
      </c>
      <c r="B1899" s="67">
        <v>106.6704</v>
      </c>
      <c r="C1899" s="67">
        <v>10.77674</v>
      </c>
      <c r="D1899" s="67">
        <v>106.6841</v>
      </c>
      <c r="E1899" s="68">
        <v>2.6</v>
      </c>
    </row>
    <row r="1900" ht="22.5" customHeight="1">
      <c r="A1900" s="61">
        <v>10.76244</v>
      </c>
      <c r="B1900" s="63">
        <v>106.6704</v>
      </c>
      <c r="C1900" s="63">
        <v>10.77727</v>
      </c>
      <c r="D1900" s="63">
        <v>106.6795</v>
      </c>
      <c r="E1900" s="64">
        <v>2.6</v>
      </c>
    </row>
    <row r="1901" ht="22.5" customHeight="1">
      <c r="A1901" s="66">
        <v>10.76244</v>
      </c>
      <c r="B1901" s="67">
        <v>106.6704</v>
      </c>
      <c r="C1901" s="67">
        <v>10.77995</v>
      </c>
      <c r="D1901" s="67">
        <v>106.6498</v>
      </c>
      <c r="E1901" s="68">
        <v>4.5</v>
      </c>
    </row>
    <row r="1902" ht="22.5" customHeight="1">
      <c r="A1902" s="61">
        <v>10.76244</v>
      </c>
      <c r="B1902" s="63">
        <v>106.6704</v>
      </c>
      <c r="C1902" s="63">
        <v>10.7805</v>
      </c>
      <c r="D1902" s="63">
        <v>106.6611</v>
      </c>
      <c r="E1902" s="64">
        <v>2.6</v>
      </c>
    </row>
    <row r="1903" ht="22.5" customHeight="1">
      <c r="A1903" s="66">
        <v>10.76244</v>
      </c>
      <c r="B1903" s="67">
        <v>106.6704</v>
      </c>
      <c r="C1903" s="67">
        <v>10.78213</v>
      </c>
      <c r="D1903" s="67">
        <v>106.6678</v>
      </c>
      <c r="E1903" s="68">
        <v>2.9</v>
      </c>
    </row>
    <row r="1904" ht="22.5" customHeight="1">
      <c r="A1904" s="61">
        <v>10.76244</v>
      </c>
      <c r="B1904" s="63">
        <v>106.6704</v>
      </c>
      <c r="C1904" s="63">
        <v>10.79588</v>
      </c>
      <c r="D1904" s="63">
        <v>106.6411</v>
      </c>
      <c r="E1904" s="64">
        <v>6.5</v>
      </c>
    </row>
    <row r="1905" ht="22.5" customHeight="1">
      <c r="A1905" s="66">
        <v>10.76248</v>
      </c>
      <c r="B1905" s="67">
        <v>106.6705</v>
      </c>
      <c r="C1905" s="67">
        <v>10.77509</v>
      </c>
      <c r="D1905" s="67">
        <v>106.6727</v>
      </c>
      <c r="E1905" s="68">
        <v>1.746</v>
      </c>
    </row>
    <row r="1906" ht="22.5" customHeight="1">
      <c r="A1906" s="61">
        <v>10.76248</v>
      </c>
      <c r="B1906" s="63">
        <v>106.6702</v>
      </c>
      <c r="C1906" s="63">
        <v>10.71016</v>
      </c>
      <c r="D1906" s="63">
        <v>106.5747</v>
      </c>
      <c r="E1906" s="64">
        <v>15.3</v>
      </c>
    </row>
    <row r="1907" ht="22.5" customHeight="1">
      <c r="A1907" s="66">
        <v>10.76248</v>
      </c>
      <c r="B1907" s="67">
        <v>106.6702</v>
      </c>
      <c r="C1907" s="67">
        <v>10.74857</v>
      </c>
      <c r="D1907" s="67">
        <v>106.6996</v>
      </c>
      <c r="E1907" s="68">
        <v>5.311</v>
      </c>
    </row>
    <row r="1908" ht="22.5" customHeight="1">
      <c r="A1908" s="61">
        <v>10.76248</v>
      </c>
      <c r="B1908" s="63">
        <v>106.6702</v>
      </c>
      <c r="C1908" s="63">
        <v>10.75728</v>
      </c>
      <c r="D1908" s="63">
        <v>106.6659</v>
      </c>
      <c r="E1908" s="64">
        <v>0.923</v>
      </c>
    </row>
    <row r="1909" ht="22.5" customHeight="1">
      <c r="A1909" s="66">
        <v>10.76283</v>
      </c>
      <c r="B1909" s="67">
        <v>106.6684</v>
      </c>
      <c r="C1909" s="67">
        <v>10.7231</v>
      </c>
      <c r="D1909" s="67">
        <v>106.6556</v>
      </c>
      <c r="E1909" s="68">
        <v>6.051</v>
      </c>
    </row>
    <row r="1910" ht="22.5" customHeight="1">
      <c r="A1910" s="61">
        <v>10.76283</v>
      </c>
      <c r="B1910" s="63">
        <v>106.6684</v>
      </c>
      <c r="C1910" s="63">
        <v>10.755</v>
      </c>
      <c r="D1910" s="63">
        <v>106.6705</v>
      </c>
      <c r="E1910" s="64">
        <v>1.588</v>
      </c>
    </row>
    <row r="1911" ht="22.5" customHeight="1">
      <c r="A1911" s="66">
        <v>10.76283</v>
      </c>
      <c r="B1911" s="67">
        <v>106.6684</v>
      </c>
      <c r="C1911" s="67">
        <v>10.75643</v>
      </c>
      <c r="D1911" s="67">
        <v>106.6734</v>
      </c>
      <c r="E1911" s="68">
        <v>1.6</v>
      </c>
    </row>
    <row r="1912" ht="22.5" customHeight="1">
      <c r="A1912" s="61">
        <v>10.76283</v>
      </c>
      <c r="B1912" s="63">
        <v>106.6684</v>
      </c>
      <c r="C1912" s="63">
        <v>10.76195</v>
      </c>
      <c r="D1912" s="63">
        <v>106.6569</v>
      </c>
      <c r="E1912" s="64">
        <v>1.638</v>
      </c>
    </row>
    <row r="1913" ht="22.5" customHeight="1">
      <c r="A1913" s="66">
        <v>10.76283</v>
      </c>
      <c r="B1913" s="67">
        <v>106.6684</v>
      </c>
      <c r="C1913" s="67">
        <v>10.76493</v>
      </c>
      <c r="D1913" s="67">
        <v>106.6755</v>
      </c>
      <c r="E1913" s="68">
        <v>0.98</v>
      </c>
    </row>
    <row r="1914" ht="22.5" customHeight="1">
      <c r="A1914" s="61">
        <v>10.76283</v>
      </c>
      <c r="B1914" s="63">
        <v>106.6684</v>
      </c>
      <c r="C1914" s="63">
        <v>10.76561</v>
      </c>
      <c r="D1914" s="63">
        <v>106.6823</v>
      </c>
      <c r="E1914" s="64">
        <v>1.922</v>
      </c>
    </row>
    <row r="1915" ht="22.5" customHeight="1">
      <c r="A1915" s="66">
        <v>10.76283</v>
      </c>
      <c r="B1915" s="67">
        <v>106.6684</v>
      </c>
      <c r="C1915" s="67">
        <v>10.76878</v>
      </c>
      <c r="D1915" s="67">
        <v>106.6667</v>
      </c>
      <c r="E1915" s="68">
        <v>0.687</v>
      </c>
    </row>
    <row r="1916" ht="22.5" customHeight="1">
      <c r="A1916" s="61">
        <v>10.76283</v>
      </c>
      <c r="B1916" s="63">
        <v>106.6684</v>
      </c>
      <c r="C1916" s="63">
        <v>10.76898</v>
      </c>
      <c r="D1916" s="63">
        <v>106.6997</v>
      </c>
      <c r="E1916" s="64">
        <v>0.748</v>
      </c>
    </row>
    <row r="1917" ht="22.5" customHeight="1">
      <c r="A1917" s="66">
        <v>10.76283</v>
      </c>
      <c r="B1917" s="67">
        <v>106.6684</v>
      </c>
      <c r="C1917" s="67">
        <v>10.76913</v>
      </c>
      <c r="D1917" s="67">
        <v>106.6615</v>
      </c>
      <c r="E1917" s="68">
        <v>1.358</v>
      </c>
    </row>
    <row r="1918" ht="22.5" customHeight="1">
      <c r="A1918" s="61">
        <v>10.76283</v>
      </c>
      <c r="B1918" s="63">
        <v>106.6684</v>
      </c>
      <c r="C1918" s="63">
        <v>10.77032</v>
      </c>
      <c r="D1918" s="63">
        <v>106.6723</v>
      </c>
      <c r="E1918" s="64">
        <v>1.183</v>
      </c>
    </row>
    <row r="1919" ht="22.5" customHeight="1">
      <c r="A1919" s="66">
        <v>10.76283</v>
      </c>
      <c r="B1919" s="67">
        <v>106.6684</v>
      </c>
      <c r="C1919" s="67">
        <v>10.7733</v>
      </c>
      <c r="D1919" s="67">
        <v>106.6687</v>
      </c>
      <c r="E1919" s="68">
        <v>1.418</v>
      </c>
    </row>
    <row r="1920" ht="22.5" customHeight="1">
      <c r="A1920" s="61">
        <v>10.76283</v>
      </c>
      <c r="B1920" s="63">
        <v>106.6684</v>
      </c>
      <c r="C1920" s="63">
        <v>10.77509</v>
      </c>
      <c r="D1920" s="63">
        <v>106.6727</v>
      </c>
      <c r="E1920" s="64">
        <v>2.2</v>
      </c>
    </row>
    <row r="1921" ht="22.5" customHeight="1">
      <c r="A1921" s="66">
        <v>10.76283</v>
      </c>
      <c r="B1921" s="67">
        <v>106.6684</v>
      </c>
      <c r="C1921" s="67">
        <v>10.77525</v>
      </c>
      <c r="D1921" s="67">
        <v>106.6592</v>
      </c>
      <c r="E1921" s="68">
        <v>2.285</v>
      </c>
    </row>
    <row r="1922" ht="22.5" customHeight="1">
      <c r="A1922" s="61">
        <v>10.76283</v>
      </c>
      <c r="B1922" s="63">
        <v>106.6684</v>
      </c>
      <c r="C1922" s="63">
        <v>10.77674</v>
      </c>
      <c r="D1922" s="63">
        <v>106.6841</v>
      </c>
      <c r="E1922" s="64">
        <v>2.995</v>
      </c>
    </row>
    <row r="1923" ht="22.5" customHeight="1">
      <c r="A1923" s="66">
        <v>10.76283</v>
      </c>
      <c r="B1923" s="67">
        <v>106.6684</v>
      </c>
      <c r="C1923" s="67">
        <v>10.77727</v>
      </c>
      <c r="D1923" s="67">
        <v>106.6795</v>
      </c>
      <c r="E1923" s="68">
        <v>2.325</v>
      </c>
    </row>
    <row r="1924" ht="22.5" customHeight="1">
      <c r="A1924" s="61">
        <v>10.76283</v>
      </c>
      <c r="B1924" s="63">
        <v>106.6684</v>
      </c>
      <c r="C1924" s="63">
        <v>10.77773</v>
      </c>
      <c r="D1924" s="63">
        <v>106.6655</v>
      </c>
      <c r="E1924" s="64">
        <v>1.852</v>
      </c>
    </row>
    <row r="1925" ht="22.5" customHeight="1">
      <c r="A1925" s="66">
        <v>10.76292</v>
      </c>
      <c r="B1925" s="67">
        <v>106.6706</v>
      </c>
      <c r="C1925" s="67">
        <v>10.76283</v>
      </c>
      <c r="D1925" s="67">
        <v>106.6684</v>
      </c>
      <c r="E1925" s="68">
        <v>0.407</v>
      </c>
    </row>
    <row r="1926" ht="22.5" customHeight="1">
      <c r="A1926" s="61">
        <v>10.76292</v>
      </c>
      <c r="B1926" s="63">
        <v>106.6706</v>
      </c>
      <c r="C1926" s="63">
        <v>10.77032</v>
      </c>
      <c r="D1926" s="63">
        <v>106.6723</v>
      </c>
      <c r="E1926" s="64">
        <v>1.098</v>
      </c>
    </row>
    <row r="1927" ht="22.5" customHeight="1">
      <c r="A1927" s="66">
        <v>10.76292</v>
      </c>
      <c r="B1927" s="67">
        <v>106.6706</v>
      </c>
      <c r="C1927" s="67">
        <v>10.77509</v>
      </c>
      <c r="D1927" s="67">
        <v>106.6727</v>
      </c>
      <c r="E1927" s="68">
        <v>1.8</v>
      </c>
    </row>
    <row r="1928" ht="22.5" customHeight="1">
      <c r="A1928" s="61">
        <v>10.76292</v>
      </c>
      <c r="B1928" s="63">
        <v>106.6706</v>
      </c>
      <c r="C1928" s="63">
        <v>10.77658</v>
      </c>
      <c r="D1928" s="63">
        <v>106.6719</v>
      </c>
      <c r="E1928" s="64">
        <v>1.895</v>
      </c>
    </row>
    <row r="1929" ht="22.5" customHeight="1">
      <c r="A1929" s="66">
        <v>10.76294</v>
      </c>
      <c r="B1929" s="67">
        <v>106.6606</v>
      </c>
      <c r="C1929" s="67">
        <v>10.75807</v>
      </c>
      <c r="D1929" s="67">
        <v>106.6592</v>
      </c>
      <c r="E1929" s="68">
        <v>1.254</v>
      </c>
    </row>
    <row r="1930" ht="22.5" customHeight="1">
      <c r="A1930" s="61">
        <v>10.76294</v>
      </c>
      <c r="B1930" s="63">
        <v>106.6606</v>
      </c>
      <c r="C1930" s="63">
        <v>10.75872</v>
      </c>
      <c r="D1930" s="63">
        <v>106.6577</v>
      </c>
      <c r="E1930" s="64">
        <v>0.975</v>
      </c>
    </row>
    <row r="1931" ht="22.5" customHeight="1">
      <c r="A1931" s="66">
        <v>10.76294</v>
      </c>
      <c r="B1931" s="67">
        <v>106.6606</v>
      </c>
      <c r="C1931" s="67">
        <v>10.75998</v>
      </c>
      <c r="D1931" s="67">
        <v>106.6609</v>
      </c>
      <c r="E1931" s="68">
        <v>0.403</v>
      </c>
    </row>
    <row r="1932" ht="22.5" customHeight="1">
      <c r="A1932" s="61">
        <v>10.76294</v>
      </c>
      <c r="B1932" s="63">
        <v>106.6606</v>
      </c>
      <c r="C1932" s="63">
        <v>10.76057</v>
      </c>
      <c r="D1932" s="63">
        <v>106.6481</v>
      </c>
      <c r="E1932" s="64">
        <v>1.717</v>
      </c>
    </row>
    <row r="1933" ht="22.5" customHeight="1">
      <c r="A1933" s="66">
        <v>10.76294</v>
      </c>
      <c r="B1933" s="67">
        <v>106.6606</v>
      </c>
      <c r="C1933" s="67">
        <v>10.76195</v>
      </c>
      <c r="D1933" s="67">
        <v>106.6569</v>
      </c>
      <c r="E1933" s="68">
        <v>0.874</v>
      </c>
    </row>
    <row r="1934" ht="22.5" customHeight="1">
      <c r="A1934" s="61">
        <v>10.76345</v>
      </c>
      <c r="B1934" s="63">
        <v>106.6596</v>
      </c>
      <c r="C1934" s="63">
        <v>10.75267</v>
      </c>
      <c r="D1934" s="63">
        <v>106.6789</v>
      </c>
      <c r="E1934" s="64">
        <v>4.297</v>
      </c>
    </row>
    <row r="1935" ht="22.5" customHeight="1">
      <c r="A1935" s="66">
        <v>10.76345</v>
      </c>
      <c r="B1935" s="67">
        <v>106.6596</v>
      </c>
      <c r="C1935" s="67">
        <v>10.76244</v>
      </c>
      <c r="D1935" s="67">
        <v>106.6704</v>
      </c>
      <c r="E1935" s="68">
        <v>1.58</v>
      </c>
    </row>
    <row r="1936" ht="22.5" customHeight="1">
      <c r="A1936" s="61">
        <v>10.76345</v>
      </c>
      <c r="B1936" s="63">
        <v>106.6596</v>
      </c>
      <c r="C1936" s="63">
        <v>10.77509</v>
      </c>
      <c r="D1936" s="63">
        <v>106.6727</v>
      </c>
      <c r="E1936" s="64">
        <v>2.3</v>
      </c>
    </row>
    <row r="1937" ht="22.5" customHeight="1">
      <c r="A1937" s="66">
        <v>10.76349</v>
      </c>
      <c r="B1937" s="67">
        <v>106.6598</v>
      </c>
      <c r="C1937" s="67">
        <v>10.76195</v>
      </c>
      <c r="D1937" s="67">
        <v>106.6569</v>
      </c>
      <c r="E1937" s="68">
        <v>0.848</v>
      </c>
    </row>
    <row r="1938" ht="22.5" customHeight="1">
      <c r="A1938" s="61">
        <v>10.76397</v>
      </c>
      <c r="B1938" s="63">
        <v>106.6693</v>
      </c>
      <c r="C1938" s="63">
        <v>10.77509</v>
      </c>
      <c r="D1938" s="63">
        <v>106.6727</v>
      </c>
      <c r="E1938" s="64">
        <v>1.8</v>
      </c>
    </row>
    <row r="1939" ht="22.5" customHeight="1">
      <c r="A1939" s="66">
        <v>10.76397</v>
      </c>
      <c r="B1939" s="67">
        <v>106.6693</v>
      </c>
      <c r="C1939" s="67">
        <v>10.77525</v>
      </c>
      <c r="D1939" s="67">
        <v>106.6592</v>
      </c>
      <c r="E1939" s="68">
        <v>2.191</v>
      </c>
    </row>
    <row r="1940" ht="22.5" customHeight="1">
      <c r="A1940" s="61">
        <v>10.76442</v>
      </c>
      <c r="B1940" s="63">
        <v>106.6721</v>
      </c>
      <c r="C1940" s="63">
        <v>10.76898</v>
      </c>
      <c r="D1940" s="63">
        <v>106.6997</v>
      </c>
      <c r="E1940" s="64">
        <v>1.413</v>
      </c>
    </row>
    <row r="1941" ht="22.5" customHeight="1">
      <c r="A1941" s="66">
        <v>10.76442</v>
      </c>
      <c r="B1941" s="67">
        <v>106.6721</v>
      </c>
      <c r="C1941" s="67">
        <v>10.77509</v>
      </c>
      <c r="D1941" s="67">
        <v>106.6727</v>
      </c>
      <c r="E1941" s="68">
        <v>1.508</v>
      </c>
    </row>
    <row r="1942" ht="22.5" customHeight="1">
      <c r="A1942" s="61">
        <v>10.76444</v>
      </c>
      <c r="B1942" s="63">
        <v>106.6033</v>
      </c>
      <c r="C1942" s="63">
        <v>10.74602</v>
      </c>
      <c r="D1942" s="63">
        <v>106.6123</v>
      </c>
      <c r="E1942" s="64">
        <v>2.835</v>
      </c>
    </row>
    <row r="1943" ht="22.5" customHeight="1">
      <c r="A1943" s="66">
        <v>10.76484</v>
      </c>
      <c r="B1943" s="67">
        <v>106.6907</v>
      </c>
      <c r="C1943" s="67">
        <v>10.75586</v>
      </c>
      <c r="D1943" s="67">
        <v>106.6724</v>
      </c>
      <c r="E1943" s="68">
        <v>2.535</v>
      </c>
    </row>
    <row r="1944" ht="22.5" customHeight="1">
      <c r="A1944" s="61">
        <v>10.76484</v>
      </c>
      <c r="B1944" s="63">
        <v>106.6907</v>
      </c>
      <c r="C1944" s="63">
        <v>10.75599</v>
      </c>
      <c r="D1944" s="63">
        <v>106.6825</v>
      </c>
      <c r="E1944" s="64">
        <v>1.688</v>
      </c>
    </row>
    <row r="1945" ht="22.5" customHeight="1">
      <c r="A1945" s="66">
        <v>10.76484</v>
      </c>
      <c r="B1945" s="67">
        <v>106.6907</v>
      </c>
      <c r="C1945" s="67">
        <v>10.75643</v>
      </c>
      <c r="D1945" s="67">
        <v>106.6734</v>
      </c>
      <c r="E1945" s="68">
        <v>2.67</v>
      </c>
    </row>
    <row r="1946" ht="22.5" customHeight="1">
      <c r="A1946" s="61">
        <v>10.76484</v>
      </c>
      <c r="B1946" s="63">
        <v>106.6907</v>
      </c>
      <c r="C1946" s="63">
        <v>10.75836</v>
      </c>
      <c r="D1946" s="63">
        <v>106.6708</v>
      </c>
      <c r="E1946" s="64">
        <v>1.509</v>
      </c>
    </row>
    <row r="1947" ht="22.5" customHeight="1">
      <c r="A1947" s="66">
        <v>10.76484</v>
      </c>
      <c r="B1947" s="67">
        <v>106.6907</v>
      </c>
      <c r="C1947" s="67">
        <v>10.75947</v>
      </c>
      <c r="D1947" s="67">
        <v>106.6805</v>
      </c>
      <c r="E1947" s="68">
        <v>1.574</v>
      </c>
    </row>
    <row r="1948" ht="22.5" customHeight="1">
      <c r="A1948" s="61">
        <v>10.76484</v>
      </c>
      <c r="B1948" s="63">
        <v>106.6907</v>
      </c>
      <c r="C1948" s="63">
        <v>10.75977</v>
      </c>
      <c r="D1948" s="63">
        <v>106.6989</v>
      </c>
      <c r="E1948" s="64">
        <v>2.053</v>
      </c>
    </row>
    <row r="1949" ht="22.5" customHeight="1">
      <c r="A1949" s="66">
        <v>10.76484</v>
      </c>
      <c r="B1949" s="67">
        <v>106.6907</v>
      </c>
      <c r="C1949" s="67">
        <v>10.75998</v>
      </c>
      <c r="D1949" s="67">
        <v>106.6727</v>
      </c>
      <c r="E1949" s="68">
        <v>2.442</v>
      </c>
    </row>
    <row r="1950" ht="22.5" customHeight="1">
      <c r="A1950" s="61">
        <v>10.76484</v>
      </c>
      <c r="B1950" s="63">
        <v>106.6907</v>
      </c>
      <c r="C1950" s="63">
        <v>10.76163</v>
      </c>
      <c r="D1950" s="63">
        <v>106.6769</v>
      </c>
      <c r="E1950" s="64">
        <v>2.226</v>
      </c>
    </row>
    <row r="1951" ht="22.5" customHeight="1">
      <c r="A1951" s="66">
        <v>10.76484</v>
      </c>
      <c r="B1951" s="67">
        <v>106.6907</v>
      </c>
      <c r="C1951" s="67">
        <v>10.76561</v>
      </c>
      <c r="D1951" s="67">
        <v>106.6823</v>
      </c>
      <c r="E1951" s="68">
        <v>1.429</v>
      </c>
    </row>
    <row r="1952" ht="22.5" customHeight="1">
      <c r="A1952" s="61">
        <v>10.76484</v>
      </c>
      <c r="B1952" s="63">
        <v>106.6907</v>
      </c>
      <c r="C1952" s="63">
        <v>10.76668</v>
      </c>
      <c r="D1952" s="63">
        <v>106.6879</v>
      </c>
      <c r="E1952" s="64">
        <v>0.383</v>
      </c>
    </row>
    <row r="1953" ht="22.5" customHeight="1">
      <c r="A1953" s="66">
        <v>10.76484</v>
      </c>
      <c r="B1953" s="67">
        <v>106.6907</v>
      </c>
      <c r="C1953" s="67">
        <v>10.76743</v>
      </c>
      <c r="D1953" s="67">
        <v>106.6809</v>
      </c>
      <c r="E1953" s="68">
        <v>1.381</v>
      </c>
    </row>
    <row r="1954" ht="22.5" customHeight="1">
      <c r="A1954" s="61">
        <v>10.76484</v>
      </c>
      <c r="B1954" s="63">
        <v>106.6907</v>
      </c>
      <c r="C1954" s="63">
        <v>10.76878</v>
      </c>
      <c r="D1954" s="63">
        <v>106.6667</v>
      </c>
      <c r="E1954" s="64">
        <v>3.043</v>
      </c>
    </row>
    <row r="1955" ht="22.5" customHeight="1">
      <c r="A1955" s="66">
        <v>10.76484</v>
      </c>
      <c r="B1955" s="67">
        <v>106.6907</v>
      </c>
      <c r="C1955" s="67">
        <v>10.76898</v>
      </c>
      <c r="D1955" s="67">
        <v>106.6997</v>
      </c>
      <c r="E1955" s="68">
        <v>2.687</v>
      </c>
    </row>
    <row r="1956" ht="22.5" customHeight="1">
      <c r="A1956" s="61">
        <v>10.76484</v>
      </c>
      <c r="B1956" s="63">
        <v>106.6907</v>
      </c>
      <c r="C1956" s="63">
        <v>10.76913</v>
      </c>
      <c r="D1956" s="63">
        <v>106.6615</v>
      </c>
      <c r="E1956" s="64">
        <v>3.694</v>
      </c>
    </row>
    <row r="1957" ht="22.5" customHeight="1">
      <c r="A1957" s="66">
        <v>10.76484</v>
      </c>
      <c r="B1957" s="67">
        <v>106.6907</v>
      </c>
      <c r="C1957" s="67">
        <v>10.76978</v>
      </c>
      <c r="D1957" s="67">
        <v>106.6909</v>
      </c>
      <c r="E1957" s="68">
        <v>0.758</v>
      </c>
    </row>
    <row r="1958" ht="22.5" customHeight="1">
      <c r="A1958" s="61">
        <v>10.76484</v>
      </c>
      <c r="B1958" s="63">
        <v>106.6907</v>
      </c>
      <c r="C1958" s="63">
        <v>10.76987</v>
      </c>
      <c r="D1958" s="63">
        <v>106.6856</v>
      </c>
      <c r="E1958" s="64">
        <v>1.224</v>
      </c>
    </row>
    <row r="1959" ht="22.5" customHeight="1">
      <c r="A1959" s="66">
        <v>10.76484</v>
      </c>
      <c r="B1959" s="67">
        <v>106.6907</v>
      </c>
      <c r="C1959" s="67">
        <v>10.77014</v>
      </c>
      <c r="D1959" s="67">
        <v>106.7009</v>
      </c>
      <c r="E1959" s="68">
        <v>1.708</v>
      </c>
    </row>
    <row r="1960" ht="22.5" customHeight="1">
      <c r="A1960" s="61">
        <v>10.76484</v>
      </c>
      <c r="B1960" s="63">
        <v>106.6907</v>
      </c>
      <c r="C1960" s="63">
        <v>10.7718</v>
      </c>
      <c r="D1960" s="63">
        <v>106.6714</v>
      </c>
      <c r="E1960" s="64">
        <v>2.904</v>
      </c>
    </row>
    <row r="1961" ht="22.5" customHeight="1">
      <c r="A1961" s="66">
        <v>10.76484</v>
      </c>
      <c r="B1961" s="67">
        <v>106.6907</v>
      </c>
      <c r="C1961" s="67">
        <v>10.77479</v>
      </c>
      <c r="D1961" s="67">
        <v>106.6885</v>
      </c>
      <c r="E1961" s="68">
        <v>2.226</v>
      </c>
    </row>
    <row r="1962" ht="22.5" customHeight="1">
      <c r="A1962" s="61">
        <v>10.76484</v>
      </c>
      <c r="B1962" s="63">
        <v>106.6907</v>
      </c>
      <c r="C1962" s="63">
        <v>10.775</v>
      </c>
      <c r="D1962" s="63">
        <v>106.6647</v>
      </c>
      <c r="E1962" s="64">
        <v>3.819</v>
      </c>
    </row>
    <row r="1963" ht="22.5" customHeight="1">
      <c r="A1963" s="66">
        <v>10.76484</v>
      </c>
      <c r="B1963" s="67">
        <v>106.6907</v>
      </c>
      <c r="C1963" s="67">
        <v>10.77509</v>
      </c>
      <c r="D1963" s="67">
        <v>106.6727</v>
      </c>
      <c r="E1963" s="68">
        <v>2.909</v>
      </c>
    </row>
    <row r="1964" ht="22.5" customHeight="1">
      <c r="A1964" s="61">
        <v>10.76484</v>
      </c>
      <c r="B1964" s="63">
        <v>106.6907</v>
      </c>
      <c r="C1964" s="63">
        <v>10.77674</v>
      </c>
      <c r="D1964" s="63">
        <v>106.6841</v>
      </c>
      <c r="E1964" s="64">
        <v>2.292</v>
      </c>
    </row>
    <row r="1965" ht="22.5" customHeight="1">
      <c r="A1965" s="66">
        <v>10.76484</v>
      </c>
      <c r="B1965" s="67">
        <v>106.6907</v>
      </c>
      <c r="C1965" s="67">
        <v>10.7785</v>
      </c>
      <c r="D1965" s="67">
        <v>106.6858</v>
      </c>
      <c r="E1965" s="68">
        <v>2.258</v>
      </c>
    </row>
    <row r="1966" ht="22.5" customHeight="1">
      <c r="A1966" s="61">
        <v>10.76484</v>
      </c>
      <c r="B1966" s="63">
        <v>106.6907</v>
      </c>
      <c r="C1966" s="63">
        <v>10.77918</v>
      </c>
      <c r="D1966" s="63">
        <v>106.6903</v>
      </c>
      <c r="E1966" s="64">
        <v>2.811</v>
      </c>
    </row>
    <row r="1967" ht="22.5" customHeight="1">
      <c r="A1967" s="66">
        <v>10.76484</v>
      </c>
      <c r="B1967" s="67">
        <v>106.6907</v>
      </c>
      <c r="C1967" s="67">
        <v>10.77971</v>
      </c>
      <c r="D1967" s="67">
        <v>106.7008</v>
      </c>
      <c r="E1967" s="68">
        <v>2.632</v>
      </c>
    </row>
    <row r="1968" ht="22.5" customHeight="1">
      <c r="A1968" s="61">
        <v>10.76484</v>
      </c>
      <c r="B1968" s="63">
        <v>106.6907</v>
      </c>
      <c r="C1968" s="63">
        <v>10.78115</v>
      </c>
      <c r="D1968" s="63">
        <v>106.7005</v>
      </c>
      <c r="E1968" s="64">
        <v>2.833</v>
      </c>
    </row>
    <row r="1969" ht="22.5" customHeight="1">
      <c r="A1969" s="66">
        <v>10.76484</v>
      </c>
      <c r="B1969" s="67">
        <v>106.6907</v>
      </c>
      <c r="C1969" s="67">
        <v>10.78485</v>
      </c>
      <c r="D1969" s="67">
        <v>106.6942</v>
      </c>
      <c r="E1969" s="68">
        <v>3.328</v>
      </c>
    </row>
    <row r="1970" ht="22.5" customHeight="1">
      <c r="A1970" s="61">
        <v>10.76484</v>
      </c>
      <c r="B1970" s="63">
        <v>106.6907</v>
      </c>
      <c r="C1970" s="63">
        <v>10.79036</v>
      </c>
      <c r="D1970" s="63">
        <v>106.6973</v>
      </c>
      <c r="E1970" s="64">
        <v>4.095</v>
      </c>
    </row>
    <row r="1971" ht="22.5" customHeight="1">
      <c r="A1971" s="66">
        <v>10.76486</v>
      </c>
      <c r="B1971" s="67">
        <v>106.6756</v>
      </c>
      <c r="C1971" s="67">
        <v>10.75586</v>
      </c>
      <c r="D1971" s="67">
        <v>106.6724</v>
      </c>
      <c r="E1971" s="68">
        <v>1.658</v>
      </c>
    </row>
    <row r="1972" ht="22.5" customHeight="1">
      <c r="A1972" s="61">
        <v>10.76486</v>
      </c>
      <c r="B1972" s="63">
        <v>106.6756</v>
      </c>
      <c r="C1972" s="63">
        <v>10.75947</v>
      </c>
      <c r="D1972" s="63">
        <v>106.6805</v>
      </c>
      <c r="E1972" s="64">
        <v>1.044</v>
      </c>
    </row>
    <row r="1973" ht="22.5" customHeight="1">
      <c r="A1973" s="66">
        <v>10.76486</v>
      </c>
      <c r="B1973" s="67">
        <v>106.6756</v>
      </c>
      <c r="C1973" s="67">
        <v>10.76987</v>
      </c>
      <c r="D1973" s="67">
        <v>106.6856</v>
      </c>
      <c r="E1973" s="68">
        <v>1.849</v>
      </c>
    </row>
    <row r="1974" ht="22.5" customHeight="1">
      <c r="A1974" s="61">
        <v>10.76486</v>
      </c>
      <c r="B1974" s="63">
        <v>106.6756</v>
      </c>
      <c r="C1974" s="63">
        <v>10.77509</v>
      </c>
      <c r="D1974" s="63">
        <v>106.6727</v>
      </c>
      <c r="E1974" s="64">
        <v>1.326</v>
      </c>
    </row>
    <row r="1975" ht="22.5" customHeight="1">
      <c r="A1975" s="66">
        <v>10.76486</v>
      </c>
      <c r="B1975" s="67">
        <v>106.6756</v>
      </c>
      <c r="C1975" s="67">
        <v>10.77674</v>
      </c>
      <c r="D1975" s="67">
        <v>106.6841</v>
      </c>
      <c r="E1975" s="68">
        <v>2.142</v>
      </c>
    </row>
    <row r="1976" ht="22.5" customHeight="1">
      <c r="A1976" s="61">
        <v>10.76493</v>
      </c>
      <c r="B1976" s="63">
        <v>106.6755</v>
      </c>
      <c r="C1976" s="63">
        <v>10.75947</v>
      </c>
      <c r="D1976" s="63">
        <v>106.6805</v>
      </c>
      <c r="E1976" s="64">
        <v>1.214</v>
      </c>
    </row>
    <row r="1977" ht="22.5" customHeight="1">
      <c r="A1977" s="66">
        <v>10.76493</v>
      </c>
      <c r="B1977" s="67">
        <v>106.6755</v>
      </c>
      <c r="C1977" s="67">
        <v>10.77032</v>
      </c>
      <c r="D1977" s="67">
        <v>106.6723</v>
      </c>
      <c r="E1977" s="68">
        <v>1.597</v>
      </c>
    </row>
    <row r="1978" ht="22.5" customHeight="1">
      <c r="A1978" s="61">
        <v>10.76493</v>
      </c>
      <c r="B1978" s="63">
        <v>106.6755</v>
      </c>
      <c r="C1978" s="63">
        <v>10.77509</v>
      </c>
      <c r="D1978" s="63">
        <v>106.6727</v>
      </c>
      <c r="E1978" s="64">
        <v>1.109</v>
      </c>
    </row>
    <row r="1979" ht="22.5" customHeight="1">
      <c r="A1979" s="66">
        <v>10.76493</v>
      </c>
      <c r="B1979" s="67">
        <v>106.6755</v>
      </c>
      <c r="C1979" s="67">
        <v>10.77526</v>
      </c>
      <c r="D1979" s="67">
        <v>106.6823</v>
      </c>
      <c r="E1979" s="68">
        <v>2.281</v>
      </c>
    </row>
    <row r="1980" ht="22.5" customHeight="1">
      <c r="A1980" s="61">
        <v>10.76493</v>
      </c>
      <c r="B1980" s="63">
        <v>106.6755</v>
      </c>
      <c r="C1980" s="63">
        <v>10.77674</v>
      </c>
      <c r="D1980" s="63">
        <v>106.6841</v>
      </c>
      <c r="E1980" s="64">
        <v>2.074</v>
      </c>
    </row>
    <row r="1981" ht="22.5" customHeight="1">
      <c r="A1981" s="66">
        <v>10.76525</v>
      </c>
      <c r="B1981" s="67">
        <v>106.702</v>
      </c>
      <c r="C1981" s="67">
        <v>10.75907</v>
      </c>
      <c r="D1981" s="67">
        <v>106.6988</v>
      </c>
      <c r="E1981" s="68">
        <v>1.277</v>
      </c>
    </row>
    <row r="1982" ht="22.5" customHeight="1">
      <c r="A1982" s="61">
        <v>10.76525</v>
      </c>
      <c r="B1982" s="63">
        <v>106.702</v>
      </c>
      <c r="C1982" s="63">
        <v>10.75973</v>
      </c>
      <c r="D1982" s="63">
        <v>106.6989</v>
      </c>
      <c r="E1982" s="64">
        <v>1.651</v>
      </c>
    </row>
    <row r="1983" ht="22.5" customHeight="1">
      <c r="A1983" s="66">
        <v>10.76533</v>
      </c>
      <c r="B1983" s="67">
        <v>106.7022</v>
      </c>
      <c r="C1983" s="67">
        <v>10.75907</v>
      </c>
      <c r="D1983" s="67">
        <v>106.6988</v>
      </c>
      <c r="E1983" s="68">
        <v>1.208</v>
      </c>
    </row>
    <row r="1984" ht="22.5" customHeight="1">
      <c r="A1984" s="61">
        <v>10.76533</v>
      </c>
      <c r="B1984" s="63">
        <v>106.7022</v>
      </c>
      <c r="C1984" s="63">
        <v>10.77509</v>
      </c>
      <c r="D1984" s="63">
        <v>106.6727</v>
      </c>
      <c r="E1984" s="64">
        <v>4.921</v>
      </c>
    </row>
    <row r="1985" ht="22.5" customHeight="1">
      <c r="A1985" s="66">
        <v>10.7654</v>
      </c>
      <c r="B1985" s="67">
        <v>106.7021</v>
      </c>
      <c r="C1985" s="67">
        <v>10.75907</v>
      </c>
      <c r="D1985" s="67">
        <v>106.6988</v>
      </c>
      <c r="E1985" s="68">
        <v>1.034</v>
      </c>
    </row>
    <row r="1986" ht="22.5" customHeight="1">
      <c r="A1986" s="61">
        <v>10.76546</v>
      </c>
      <c r="B1986" s="63">
        <v>106.669</v>
      </c>
      <c r="C1986" s="63">
        <v>10.77509</v>
      </c>
      <c r="D1986" s="63">
        <v>106.6727</v>
      </c>
      <c r="E1986" s="64">
        <v>1.579</v>
      </c>
    </row>
    <row r="1987" ht="22.5" customHeight="1">
      <c r="A1987" s="66">
        <v>10.76561</v>
      </c>
      <c r="B1987" s="67">
        <v>106.6823</v>
      </c>
      <c r="C1987" s="67">
        <v>10.7301</v>
      </c>
      <c r="D1987" s="67">
        <v>106.6763</v>
      </c>
      <c r="E1987" s="68">
        <v>6.157</v>
      </c>
    </row>
    <row r="1988" ht="22.5" customHeight="1">
      <c r="A1988" s="61">
        <v>10.76561</v>
      </c>
      <c r="B1988" s="63">
        <v>106.6823</v>
      </c>
      <c r="C1988" s="63">
        <v>10.755</v>
      </c>
      <c r="D1988" s="63">
        <v>106.6705</v>
      </c>
      <c r="E1988" s="64">
        <v>3.356</v>
      </c>
    </row>
    <row r="1989" ht="22.5" customHeight="1">
      <c r="A1989" s="66">
        <v>10.76561</v>
      </c>
      <c r="B1989" s="67">
        <v>106.6823</v>
      </c>
      <c r="C1989" s="67">
        <v>10.75643</v>
      </c>
      <c r="D1989" s="67">
        <v>106.6734</v>
      </c>
      <c r="E1989" s="68">
        <v>3.091</v>
      </c>
    </row>
    <row r="1990" ht="22.5" customHeight="1">
      <c r="A1990" s="61">
        <v>10.76561</v>
      </c>
      <c r="B1990" s="63">
        <v>106.6823</v>
      </c>
      <c r="C1990" s="63">
        <v>10.75695</v>
      </c>
      <c r="D1990" s="63">
        <v>106.671</v>
      </c>
      <c r="E1990" s="64">
        <v>2.759</v>
      </c>
    </row>
    <row r="1991" ht="22.5" customHeight="1">
      <c r="A1991" s="66">
        <v>10.76561</v>
      </c>
      <c r="B1991" s="67">
        <v>106.6823</v>
      </c>
      <c r="C1991" s="67">
        <v>10.75947</v>
      </c>
      <c r="D1991" s="67">
        <v>106.6805</v>
      </c>
      <c r="E1991" s="68">
        <v>1.915</v>
      </c>
    </row>
    <row r="1992" ht="22.5" customHeight="1">
      <c r="A1992" s="61">
        <v>10.76561</v>
      </c>
      <c r="B1992" s="63">
        <v>106.6823</v>
      </c>
      <c r="C1992" s="63">
        <v>10.75977</v>
      </c>
      <c r="D1992" s="63">
        <v>106.6989</v>
      </c>
      <c r="E1992" s="64">
        <v>3.087</v>
      </c>
    </row>
    <row r="1993" ht="22.5" customHeight="1">
      <c r="A1993" s="66">
        <v>10.76561</v>
      </c>
      <c r="B1993" s="67">
        <v>106.6823</v>
      </c>
      <c r="C1993" s="67">
        <v>10.76283</v>
      </c>
      <c r="D1993" s="67">
        <v>106.6684</v>
      </c>
      <c r="E1993" s="68">
        <v>2.942</v>
      </c>
    </row>
    <row r="1994" ht="22.5" customHeight="1">
      <c r="A1994" s="61">
        <v>10.76561</v>
      </c>
      <c r="B1994" s="63">
        <v>106.6823</v>
      </c>
      <c r="C1994" s="63">
        <v>10.76292</v>
      </c>
      <c r="D1994" s="63">
        <v>106.6706</v>
      </c>
      <c r="E1994" s="64">
        <v>2.611</v>
      </c>
    </row>
    <row r="1995" ht="22.5" customHeight="1">
      <c r="A1995" s="66">
        <v>10.76561</v>
      </c>
      <c r="B1995" s="67">
        <v>106.6823</v>
      </c>
      <c r="C1995" s="67">
        <v>10.76484</v>
      </c>
      <c r="D1995" s="67">
        <v>106.6907</v>
      </c>
      <c r="E1995" s="68">
        <v>1.094</v>
      </c>
    </row>
    <row r="1996" ht="22.5" customHeight="1">
      <c r="A1996" s="61">
        <v>10.76561</v>
      </c>
      <c r="B1996" s="63">
        <v>106.6823</v>
      </c>
      <c r="C1996" s="63">
        <v>10.76668</v>
      </c>
      <c r="D1996" s="63">
        <v>106.6879</v>
      </c>
      <c r="E1996" s="64">
        <v>0.711</v>
      </c>
    </row>
    <row r="1997" ht="22.5" customHeight="1">
      <c r="A1997" s="66">
        <v>10.76561</v>
      </c>
      <c r="B1997" s="67">
        <v>106.6823</v>
      </c>
      <c r="C1997" s="67">
        <v>10.76978</v>
      </c>
      <c r="D1997" s="67">
        <v>106.6909</v>
      </c>
      <c r="E1997" s="68">
        <v>1.215</v>
      </c>
    </row>
    <row r="1998" ht="22.5" customHeight="1">
      <c r="A1998" s="61">
        <v>10.76561</v>
      </c>
      <c r="B1998" s="63">
        <v>106.6823</v>
      </c>
      <c r="C1998" s="63">
        <v>10.76987</v>
      </c>
      <c r="D1998" s="63">
        <v>106.6856</v>
      </c>
      <c r="E1998" s="64">
        <v>1.349</v>
      </c>
    </row>
    <row r="1999" ht="22.5" customHeight="1">
      <c r="A1999" s="66">
        <v>10.76561</v>
      </c>
      <c r="B1999" s="67">
        <v>106.6823</v>
      </c>
      <c r="C1999" s="67">
        <v>10.76994</v>
      </c>
      <c r="D1999" s="67">
        <v>106.6855</v>
      </c>
      <c r="E1999" s="68">
        <v>1.768</v>
      </c>
    </row>
    <row r="2000" ht="22.5" customHeight="1">
      <c r="A2000" s="61">
        <v>10.76561</v>
      </c>
      <c r="B2000" s="63">
        <v>106.6823</v>
      </c>
      <c r="C2000" s="63">
        <v>10.77509</v>
      </c>
      <c r="D2000" s="63">
        <v>106.6727</v>
      </c>
      <c r="E2000" s="64">
        <v>1.793</v>
      </c>
    </row>
    <row r="2001" ht="22.5" customHeight="1">
      <c r="A2001" s="66">
        <v>10.76561</v>
      </c>
      <c r="B2001" s="67">
        <v>106.6823</v>
      </c>
      <c r="C2001" s="67">
        <v>10.77674</v>
      </c>
      <c r="D2001" s="67">
        <v>106.6841</v>
      </c>
      <c r="E2001" s="68">
        <v>1.594</v>
      </c>
    </row>
    <row r="2002" ht="22.5" customHeight="1">
      <c r="A2002" s="61">
        <v>10.76561</v>
      </c>
      <c r="B2002" s="63">
        <v>106.6823</v>
      </c>
      <c r="C2002" s="63">
        <v>10.7785</v>
      </c>
      <c r="D2002" s="63">
        <v>106.6858</v>
      </c>
      <c r="E2002" s="64">
        <v>1.856</v>
      </c>
    </row>
    <row r="2003" ht="22.5" customHeight="1">
      <c r="A2003" s="66">
        <v>10.76561</v>
      </c>
      <c r="B2003" s="67">
        <v>106.6823</v>
      </c>
      <c r="C2003" s="67">
        <v>10.78115</v>
      </c>
      <c r="D2003" s="67">
        <v>106.7005</v>
      </c>
      <c r="E2003" s="68">
        <v>3.022</v>
      </c>
    </row>
    <row r="2004" ht="22.5" customHeight="1">
      <c r="A2004" s="61">
        <v>10.76561</v>
      </c>
      <c r="B2004" s="63">
        <v>106.6823</v>
      </c>
      <c r="C2004" s="63">
        <v>10.79036</v>
      </c>
      <c r="D2004" s="63">
        <v>106.6973</v>
      </c>
      <c r="E2004" s="64">
        <v>3.914</v>
      </c>
    </row>
    <row r="2005" ht="22.5" customHeight="1">
      <c r="A2005" s="66">
        <v>10.76591</v>
      </c>
      <c r="B2005" s="67">
        <v>106.6683</v>
      </c>
      <c r="C2005" s="67">
        <v>10.77509</v>
      </c>
      <c r="D2005" s="67">
        <v>106.6727</v>
      </c>
      <c r="E2005" s="68">
        <v>1.582</v>
      </c>
    </row>
    <row r="2006" ht="22.5" customHeight="1">
      <c r="A2006" s="61">
        <v>10.76617</v>
      </c>
      <c r="B2006" s="63">
        <v>106.6679</v>
      </c>
      <c r="C2006" s="63">
        <v>10.77509</v>
      </c>
      <c r="D2006" s="63">
        <v>106.6727</v>
      </c>
      <c r="E2006" s="64">
        <v>1.513</v>
      </c>
    </row>
    <row r="2007" ht="22.5" customHeight="1">
      <c r="A2007" s="66">
        <v>10.76651</v>
      </c>
      <c r="B2007" s="67">
        <v>106.6431</v>
      </c>
      <c r="C2007" s="67">
        <v>10.76707</v>
      </c>
      <c r="D2007" s="67">
        <v>106.6493</v>
      </c>
      <c r="E2007" s="68">
        <v>0.61</v>
      </c>
    </row>
    <row r="2008" ht="22.5" customHeight="1">
      <c r="A2008" s="61">
        <v>10.76656</v>
      </c>
      <c r="B2008" s="63">
        <v>106.726</v>
      </c>
      <c r="C2008" s="63">
        <v>10.75047</v>
      </c>
      <c r="D2008" s="63">
        <v>106.7916</v>
      </c>
      <c r="E2008" s="64">
        <v>12.2</v>
      </c>
    </row>
    <row r="2009" ht="22.5" customHeight="1">
      <c r="A2009" s="66">
        <v>10.76656</v>
      </c>
      <c r="B2009" s="67">
        <v>106.726</v>
      </c>
      <c r="C2009" s="67">
        <v>10.7818</v>
      </c>
      <c r="D2009" s="67">
        <v>106.7611</v>
      </c>
      <c r="E2009" s="68">
        <v>6.2</v>
      </c>
    </row>
    <row r="2010" ht="22.5" customHeight="1">
      <c r="A2010" s="61">
        <v>10.76656</v>
      </c>
      <c r="B2010" s="63">
        <v>106.726</v>
      </c>
      <c r="C2010" s="63">
        <v>10.7845</v>
      </c>
      <c r="D2010" s="63">
        <v>106.7477</v>
      </c>
      <c r="E2010" s="64">
        <v>5.443</v>
      </c>
    </row>
    <row r="2011" ht="22.5" customHeight="1">
      <c r="A2011" s="66">
        <v>10.76656</v>
      </c>
      <c r="B2011" s="67">
        <v>106.726</v>
      </c>
      <c r="C2011" s="67">
        <v>10.78624</v>
      </c>
      <c r="D2011" s="67">
        <v>106.7313</v>
      </c>
      <c r="E2011" s="68">
        <v>4.793</v>
      </c>
    </row>
    <row r="2012" ht="22.5" customHeight="1">
      <c r="A2012" s="61">
        <v>10.76656</v>
      </c>
      <c r="B2012" s="63">
        <v>106.726</v>
      </c>
      <c r="C2012" s="63">
        <v>10.78759</v>
      </c>
      <c r="D2012" s="63">
        <v>106.7337</v>
      </c>
      <c r="E2012" s="64">
        <v>3.4</v>
      </c>
    </row>
    <row r="2013" ht="22.5" customHeight="1">
      <c r="A2013" s="66">
        <v>10.76656</v>
      </c>
      <c r="B2013" s="67">
        <v>106.726</v>
      </c>
      <c r="C2013" s="67">
        <v>10.78851</v>
      </c>
      <c r="D2013" s="67">
        <v>106.777</v>
      </c>
      <c r="E2013" s="68">
        <v>9.356</v>
      </c>
    </row>
    <row r="2014" ht="22.5" customHeight="1">
      <c r="A2014" s="61">
        <v>10.76656</v>
      </c>
      <c r="B2014" s="63">
        <v>106.726</v>
      </c>
      <c r="C2014" s="63">
        <v>10.78871</v>
      </c>
      <c r="D2014" s="63">
        <v>106.7343</v>
      </c>
      <c r="E2014" s="64">
        <v>4.889</v>
      </c>
    </row>
    <row r="2015" ht="22.5" customHeight="1">
      <c r="A2015" s="66">
        <v>10.76656</v>
      </c>
      <c r="B2015" s="67">
        <v>106.726</v>
      </c>
      <c r="C2015" s="67">
        <v>10.7907</v>
      </c>
      <c r="D2015" s="67">
        <v>106.7481</v>
      </c>
      <c r="E2015" s="68">
        <v>6.282</v>
      </c>
    </row>
    <row r="2016" ht="22.5" customHeight="1">
      <c r="A2016" s="61">
        <v>10.76656</v>
      </c>
      <c r="B2016" s="63">
        <v>106.726</v>
      </c>
      <c r="C2016" s="63">
        <v>10.79203</v>
      </c>
      <c r="D2016" s="63">
        <v>106.7304</v>
      </c>
      <c r="E2016" s="64">
        <v>3.789</v>
      </c>
    </row>
    <row r="2017" ht="22.5" customHeight="1">
      <c r="A2017" s="66">
        <v>10.76656</v>
      </c>
      <c r="B2017" s="67">
        <v>106.726</v>
      </c>
      <c r="C2017" s="67">
        <v>10.7938</v>
      </c>
      <c r="D2017" s="67">
        <v>106.7467</v>
      </c>
      <c r="E2017" s="68">
        <v>5.084</v>
      </c>
    </row>
    <row r="2018" ht="22.5" customHeight="1">
      <c r="A2018" s="61">
        <v>10.76656</v>
      </c>
      <c r="B2018" s="63">
        <v>106.726</v>
      </c>
      <c r="C2018" s="63">
        <v>10.79662</v>
      </c>
      <c r="D2018" s="63">
        <v>106.7372</v>
      </c>
      <c r="E2018" s="64">
        <v>5.213</v>
      </c>
    </row>
    <row r="2019" ht="22.5" customHeight="1">
      <c r="A2019" s="66">
        <v>10.76656</v>
      </c>
      <c r="B2019" s="67">
        <v>106.726</v>
      </c>
      <c r="C2019" s="67">
        <v>10.80271</v>
      </c>
      <c r="D2019" s="67">
        <v>106.7355</v>
      </c>
      <c r="E2019" s="68">
        <v>5.648</v>
      </c>
    </row>
    <row r="2020" ht="22.5" customHeight="1">
      <c r="A2020" s="61">
        <v>10.76656</v>
      </c>
      <c r="B2020" s="63">
        <v>106.726</v>
      </c>
      <c r="C2020" s="63">
        <v>10.80434</v>
      </c>
      <c r="D2020" s="63">
        <v>106.7445</v>
      </c>
      <c r="E2020" s="64">
        <v>6.558</v>
      </c>
    </row>
    <row r="2021" ht="22.5" customHeight="1">
      <c r="A2021" s="66">
        <v>10.76666</v>
      </c>
      <c r="B2021" s="67">
        <v>106.7262</v>
      </c>
      <c r="C2021" s="67">
        <v>10.77509</v>
      </c>
      <c r="D2021" s="67">
        <v>106.6727</v>
      </c>
      <c r="E2021" s="68">
        <v>8.8</v>
      </c>
    </row>
    <row r="2022" ht="22.5" customHeight="1">
      <c r="A2022" s="61">
        <v>10.76666</v>
      </c>
      <c r="B2022" s="63">
        <v>106.7262</v>
      </c>
      <c r="C2022" s="63">
        <v>10.77662</v>
      </c>
      <c r="D2022" s="63">
        <v>106.7654</v>
      </c>
      <c r="E2022" s="64">
        <v>8.35</v>
      </c>
    </row>
    <row r="2023" ht="22.5" customHeight="1">
      <c r="A2023" s="66">
        <v>10.76666</v>
      </c>
      <c r="B2023" s="67">
        <v>106.7262</v>
      </c>
      <c r="C2023" s="67">
        <v>10.77693</v>
      </c>
      <c r="D2023" s="67">
        <v>106.7516</v>
      </c>
      <c r="E2023" s="68">
        <v>6.12</v>
      </c>
    </row>
    <row r="2024" ht="22.5" customHeight="1">
      <c r="A2024" s="61">
        <v>10.76666</v>
      </c>
      <c r="B2024" s="63">
        <v>106.7262</v>
      </c>
      <c r="C2024" s="63">
        <v>10.77744</v>
      </c>
      <c r="D2024" s="63">
        <v>106.7646</v>
      </c>
      <c r="E2024" s="64">
        <v>8.423</v>
      </c>
    </row>
    <row r="2025" ht="22.5" customHeight="1">
      <c r="A2025" s="66">
        <v>10.76666</v>
      </c>
      <c r="B2025" s="67">
        <v>106.7262</v>
      </c>
      <c r="C2025" s="67">
        <v>10.78624</v>
      </c>
      <c r="D2025" s="67">
        <v>106.7313</v>
      </c>
      <c r="E2025" s="68">
        <v>4.516</v>
      </c>
    </row>
    <row r="2026" ht="22.5" customHeight="1">
      <c r="A2026" s="61">
        <v>10.76666</v>
      </c>
      <c r="B2026" s="63">
        <v>106.7262</v>
      </c>
      <c r="C2026" s="63">
        <v>10.78752</v>
      </c>
      <c r="D2026" s="63">
        <v>106.7334</v>
      </c>
      <c r="E2026" s="64">
        <v>4.948</v>
      </c>
    </row>
    <row r="2027" ht="22.5" customHeight="1">
      <c r="A2027" s="66">
        <v>10.76666</v>
      </c>
      <c r="B2027" s="67">
        <v>106.7262</v>
      </c>
      <c r="C2027" s="67">
        <v>10.78759</v>
      </c>
      <c r="D2027" s="67">
        <v>106.7337</v>
      </c>
      <c r="E2027" s="68">
        <v>3.37</v>
      </c>
    </row>
    <row r="2028" ht="22.5" customHeight="1">
      <c r="A2028" s="61">
        <v>10.76666</v>
      </c>
      <c r="B2028" s="63">
        <v>106.7262</v>
      </c>
      <c r="C2028" s="63">
        <v>10.78802</v>
      </c>
      <c r="D2028" s="63">
        <v>106.7609</v>
      </c>
      <c r="E2028" s="64">
        <v>8.583</v>
      </c>
    </row>
    <row r="2029" ht="22.5" customHeight="1">
      <c r="A2029" s="66">
        <v>10.76666</v>
      </c>
      <c r="B2029" s="67">
        <v>106.7262</v>
      </c>
      <c r="C2029" s="67">
        <v>10.78851</v>
      </c>
      <c r="D2029" s="67">
        <v>106.777</v>
      </c>
      <c r="E2029" s="68">
        <v>10.405</v>
      </c>
    </row>
    <row r="2030" ht="22.5" customHeight="1">
      <c r="A2030" s="61">
        <v>10.76666</v>
      </c>
      <c r="B2030" s="63">
        <v>106.7262</v>
      </c>
      <c r="C2030" s="63">
        <v>10.78871</v>
      </c>
      <c r="D2030" s="63">
        <v>106.7343</v>
      </c>
      <c r="E2030" s="64">
        <v>3.383</v>
      </c>
    </row>
    <row r="2031" ht="22.5" customHeight="1">
      <c r="A2031" s="66">
        <v>10.76666</v>
      </c>
      <c r="B2031" s="67">
        <v>106.7262</v>
      </c>
      <c r="C2031" s="67">
        <v>10.79036</v>
      </c>
      <c r="D2031" s="67">
        <v>106.6973</v>
      </c>
      <c r="E2031" s="68">
        <v>5.597</v>
      </c>
    </row>
    <row r="2032" ht="22.5" customHeight="1">
      <c r="A2032" s="61">
        <v>10.76666</v>
      </c>
      <c r="B2032" s="63">
        <v>106.7262</v>
      </c>
      <c r="C2032" s="63">
        <v>10.7907</v>
      </c>
      <c r="D2032" s="63">
        <v>106.7481</v>
      </c>
      <c r="E2032" s="64">
        <v>4.7</v>
      </c>
    </row>
    <row r="2033" ht="22.5" customHeight="1">
      <c r="A2033" s="66">
        <v>10.76666</v>
      </c>
      <c r="B2033" s="67">
        <v>106.7262</v>
      </c>
      <c r="C2033" s="67">
        <v>10.79203</v>
      </c>
      <c r="D2033" s="67">
        <v>106.7304</v>
      </c>
      <c r="E2033" s="68">
        <v>3.7</v>
      </c>
    </row>
    <row r="2034" ht="22.5" customHeight="1">
      <c r="A2034" s="61">
        <v>10.76666</v>
      </c>
      <c r="B2034" s="63">
        <v>106.7262</v>
      </c>
      <c r="C2034" s="63">
        <v>10.79446</v>
      </c>
      <c r="D2034" s="63">
        <v>106.731</v>
      </c>
      <c r="E2034" s="64">
        <v>5.216</v>
      </c>
    </row>
    <row r="2035" ht="22.5" customHeight="1">
      <c r="A2035" s="66">
        <v>10.76666</v>
      </c>
      <c r="B2035" s="67">
        <v>106.7262</v>
      </c>
      <c r="C2035" s="67">
        <v>10.79662</v>
      </c>
      <c r="D2035" s="67">
        <v>106.7372</v>
      </c>
      <c r="E2035" s="68">
        <v>6.655</v>
      </c>
    </row>
    <row r="2036" ht="22.5" customHeight="1">
      <c r="A2036" s="61">
        <v>10.76666</v>
      </c>
      <c r="B2036" s="63">
        <v>106.7262</v>
      </c>
      <c r="C2036" s="63">
        <v>10.80434</v>
      </c>
      <c r="D2036" s="63">
        <v>106.7445</v>
      </c>
      <c r="E2036" s="64">
        <v>8.932</v>
      </c>
    </row>
    <row r="2037" ht="22.5" customHeight="1">
      <c r="A2037" s="66">
        <v>10.76666</v>
      </c>
      <c r="B2037" s="67">
        <v>106.7262</v>
      </c>
      <c r="C2037" s="67">
        <v>10.80576</v>
      </c>
      <c r="D2037" s="67">
        <v>106.7346</v>
      </c>
      <c r="E2037" s="68">
        <v>7.716</v>
      </c>
    </row>
    <row r="2038" ht="22.5" customHeight="1">
      <c r="A2038" s="61">
        <v>10.76668</v>
      </c>
      <c r="B2038" s="63">
        <v>106.6879</v>
      </c>
      <c r="C2038" s="63">
        <v>10.755</v>
      </c>
      <c r="D2038" s="63">
        <v>106.6705</v>
      </c>
      <c r="E2038" s="64">
        <v>2.805</v>
      </c>
    </row>
    <row r="2039" ht="22.5" customHeight="1">
      <c r="A2039" s="66">
        <v>10.76668</v>
      </c>
      <c r="B2039" s="67">
        <v>106.6879</v>
      </c>
      <c r="C2039" s="67">
        <v>10.75535</v>
      </c>
      <c r="D2039" s="67">
        <v>106.6939</v>
      </c>
      <c r="E2039" s="68">
        <v>3.175</v>
      </c>
    </row>
    <row r="2040" ht="22.5" customHeight="1">
      <c r="A2040" s="61">
        <v>10.76668</v>
      </c>
      <c r="B2040" s="63">
        <v>106.6879</v>
      </c>
      <c r="C2040" s="63">
        <v>10.75599</v>
      </c>
      <c r="D2040" s="63">
        <v>106.6825</v>
      </c>
      <c r="E2040" s="64">
        <v>1.682</v>
      </c>
    </row>
    <row r="2041" ht="22.5" customHeight="1">
      <c r="A2041" s="66">
        <v>10.76668</v>
      </c>
      <c r="B2041" s="67">
        <v>106.6879</v>
      </c>
      <c r="C2041" s="67">
        <v>10.75643</v>
      </c>
      <c r="D2041" s="67">
        <v>106.6734</v>
      </c>
      <c r="E2041" s="68">
        <v>2.9</v>
      </c>
    </row>
    <row r="2042" ht="22.5" customHeight="1">
      <c r="A2042" s="61">
        <v>10.76668</v>
      </c>
      <c r="B2042" s="63">
        <v>106.6879</v>
      </c>
      <c r="C2042" s="63">
        <v>10.75695</v>
      </c>
      <c r="D2042" s="63">
        <v>106.671</v>
      </c>
      <c r="E2042" s="64">
        <v>2.562</v>
      </c>
    </row>
    <row r="2043" ht="22.5" customHeight="1">
      <c r="A2043" s="66">
        <v>10.76668</v>
      </c>
      <c r="B2043" s="67">
        <v>106.6879</v>
      </c>
      <c r="C2043" s="67">
        <v>10.75947</v>
      </c>
      <c r="D2043" s="67">
        <v>106.6805</v>
      </c>
      <c r="E2043" s="68">
        <v>1.51</v>
      </c>
    </row>
    <row r="2044" ht="22.5" customHeight="1">
      <c r="A2044" s="61">
        <v>10.76668</v>
      </c>
      <c r="B2044" s="63">
        <v>106.6879</v>
      </c>
      <c r="C2044" s="63">
        <v>10.75998</v>
      </c>
      <c r="D2044" s="63">
        <v>106.6727</v>
      </c>
      <c r="E2044" s="64">
        <v>2.212</v>
      </c>
    </row>
    <row r="2045" ht="22.5" customHeight="1">
      <c r="A2045" s="66">
        <v>10.76668</v>
      </c>
      <c r="B2045" s="67">
        <v>106.6879</v>
      </c>
      <c r="C2045" s="67">
        <v>10.76484</v>
      </c>
      <c r="D2045" s="67">
        <v>106.6907</v>
      </c>
      <c r="E2045" s="68">
        <v>0.226</v>
      </c>
    </row>
    <row r="2046" ht="22.5" customHeight="1">
      <c r="A2046" s="61">
        <v>10.76668</v>
      </c>
      <c r="B2046" s="63">
        <v>106.6879</v>
      </c>
      <c r="C2046" s="63">
        <v>10.76561</v>
      </c>
      <c r="D2046" s="63">
        <v>106.6823</v>
      </c>
      <c r="E2046" s="64">
        <v>1.051</v>
      </c>
    </row>
    <row r="2047" ht="22.5" customHeight="1">
      <c r="A2047" s="66">
        <v>10.76668</v>
      </c>
      <c r="B2047" s="67">
        <v>106.6879</v>
      </c>
      <c r="C2047" s="67">
        <v>10.76732</v>
      </c>
      <c r="D2047" s="67">
        <v>106.6966</v>
      </c>
      <c r="E2047" s="68">
        <v>1.317</v>
      </c>
    </row>
    <row r="2048" ht="22.5" customHeight="1">
      <c r="A2048" s="61">
        <v>10.76668</v>
      </c>
      <c r="B2048" s="63">
        <v>106.6879</v>
      </c>
      <c r="C2048" s="63">
        <v>10.76743</v>
      </c>
      <c r="D2048" s="63">
        <v>106.6809</v>
      </c>
      <c r="E2048" s="64">
        <v>1.012</v>
      </c>
    </row>
    <row r="2049" ht="22.5" customHeight="1">
      <c r="A2049" s="66">
        <v>10.76668</v>
      </c>
      <c r="B2049" s="67">
        <v>106.6879</v>
      </c>
      <c r="C2049" s="67">
        <v>10.76878</v>
      </c>
      <c r="D2049" s="67">
        <v>106.6667</v>
      </c>
      <c r="E2049" s="68">
        <v>2.628</v>
      </c>
    </row>
    <row r="2050" ht="22.5" customHeight="1">
      <c r="A2050" s="61">
        <v>10.76668</v>
      </c>
      <c r="B2050" s="63">
        <v>106.6879</v>
      </c>
      <c r="C2050" s="63">
        <v>10.76978</v>
      </c>
      <c r="D2050" s="63">
        <v>106.6909</v>
      </c>
      <c r="E2050" s="64">
        <v>0.53</v>
      </c>
    </row>
    <row r="2051" ht="22.5" customHeight="1">
      <c r="A2051" s="66">
        <v>10.76668</v>
      </c>
      <c r="B2051" s="67">
        <v>106.6879</v>
      </c>
      <c r="C2051" s="67">
        <v>10.76987</v>
      </c>
      <c r="D2051" s="67">
        <v>106.6856</v>
      </c>
      <c r="E2051" s="68">
        <v>1.0</v>
      </c>
    </row>
    <row r="2052" ht="22.5" customHeight="1">
      <c r="A2052" s="61">
        <v>10.76668</v>
      </c>
      <c r="B2052" s="63">
        <v>106.6879</v>
      </c>
      <c r="C2052" s="63">
        <v>10.77014</v>
      </c>
      <c r="D2052" s="63">
        <v>106.7009</v>
      </c>
      <c r="E2052" s="64">
        <v>1.519</v>
      </c>
    </row>
    <row r="2053" ht="22.5" customHeight="1">
      <c r="A2053" s="66">
        <v>10.76668</v>
      </c>
      <c r="B2053" s="67">
        <v>106.6879</v>
      </c>
      <c r="C2053" s="67">
        <v>10.7718</v>
      </c>
      <c r="D2053" s="67">
        <v>106.6714</v>
      </c>
      <c r="E2053" s="68">
        <v>2.451</v>
      </c>
    </row>
    <row r="2054" ht="22.5" customHeight="1">
      <c r="A2054" s="61">
        <v>10.76668</v>
      </c>
      <c r="B2054" s="63">
        <v>106.6879</v>
      </c>
      <c r="C2054" s="63">
        <v>10.7733</v>
      </c>
      <c r="D2054" s="63">
        <v>106.6687</v>
      </c>
      <c r="E2054" s="64">
        <v>2.9</v>
      </c>
    </row>
    <row r="2055" ht="22.5" customHeight="1">
      <c r="A2055" s="66">
        <v>10.76668</v>
      </c>
      <c r="B2055" s="67">
        <v>106.6879</v>
      </c>
      <c r="C2055" s="67">
        <v>10.77509</v>
      </c>
      <c r="D2055" s="67">
        <v>106.6727</v>
      </c>
      <c r="E2055" s="68">
        <v>2.7</v>
      </c>
    </row>
    <row r="2056" ht="22.5" customHeight="1">
      <c r="A2056" s="61">
        <v>10.76668</v>
      </c>
      <c r="B2056" s="63">
        <v>106.6879</v>
      </c>
      <c r="C2056" s="63">
        <v>10.77526</v>
      </c>
      <c r="D2056" s="63">
        <v>106.6823</v>
      </c>
      <c r="E2056" s="64">
        <v>1.441</v>
      </c>
    </row>
    <row r="2057" ht="22.5" customHeight="1">
      <c r="A2057" s="66">
        <v>10.76668</v>
      </c>
      <c r="B2057" s="67">
        <v>106.6879</v>
      </c>
      <c r="C2057" s="67">
        <v>10.77641</v>
      </c>
      <c r="D2057" s="67">
        <v>106.6866</v>
      </c>
      <c r="E2057" s="68">
        <v>1.821</v>
      </c>
    </row>
    <row r="2058" ht="22.5" customHeight="1">
      <c r="A2058" s="61">
        <v>10.76668</v>
      </c>
      <c r="B2058" s="63">
        <v>106.6879</v>
      </c>
      <c r="C2058" s="63">
        <v>10.77674</v>
      </c>
      <c r="D2058" s="63">
        <v>106.6841</v>
      </c>
      <c r="E2058" s="64">
        <v>1.713</v>
      </c>
    </row>
    <row r="2059" ht="22.5" customHeight="1">
      <c r="A2059" s="66">
        <v>10.76668</v>
      </c>
      <c r="B2059" s="67">
        <v>106.6879</v>
      </c>
      <c r="C2059" s="67">
        <v>10.7785</v>
      </c>
      <c r="D2059" s="67">
        <v>106.6858</v>
      </c>
      <c r="E2059" s="68">
        <v>1.882</v>
      </c>
    </row>
    <row r="2060" ht="22.5" customHeight="1">
      <c r="A2060" s="61">
        <v>10.76668</v>
      </c>
      <c r="B2060" s="63">
        <v>106.6879</v>
      </c>
      <c r="C2060" s="63">
        <v>10.77918</v>
      </c>
      <c r="D2060" s="63">
        <v>106.6903</v>
      </c>
      <c r="E2060" s="64">
        <v>2.462</v>
      </c>
    </row>
    <row r="2061" ht="22.5" customHeight="1">
      <c r="A2061" s="66">
        <v>10.76668</v>
      </c>
      <c r="B2061" s="67">
        <v>106.6879</v>
      </c>
      <c r="C2061" s="67">
        <v>10.7805</v>
      </c>
      <c r="D2061" s="67">
        <v>106.6611</v>
      </c>
      <c r="E2061" s="68">
        <v>4.211</v>
      </c>
    </row>
    <row r="2062" ht="22.5" customHeight="1">
      <c r="A2062" s="61">
        <v>10.76668</v>
      </c>
      <c r="B2062" s="63">
        <v>106.6879</v>
      </c>
      <c r="C2062" s="63">
        <v>10.78115</v>
      </c>
      <c r="D2062" s="63">
        <v>106.7005</v>
      </c>
      <c r="E2062" s="64">
        <v>2.787</v>
      </c>
    </row>
    <row r="2063" ht="22.5" customHeight="1">
      <c r="A2063" s="66">
        <v>10.76707</v>
      </c>
      <c r="B2063" s="67">
        <v>106.6493</v>
      </c>
      <c r="C2063" s="67">
        <v>10.76707</v>
      </c>
      <c r="D2063" s="67">
        <v>106.6493</v>
      </c>
      <c r="E2063" s="68">
        <v>0.0</v>
      </c>
    </row>
    <row r="2064" ht="22.5" customHeight="1">
      <c r="A2064" s="61">
        <v>10.76707</v>
      </c>
      <c r="B2064" s="63">
        <v>106.6493</v>
      </c>
      <c r="C2064" s="63">
        <v>10.76913</v>
      </c>
      <c r="D2064" s="63">
        <v>106.6615</v>
      </c>
      <c r="E2064" s="64">
        <v>2.056</v>
      </c>
    </row>
    <row r="2065" ht="22.5" customHeight="1">
      <c r="A2065" s="66">
        <v>10.76707</v>
      </c>
      <c r="B2065" s="67">
        <v>106.6493</v>
      </c>
      <c r="C2065" s="67">
        <v>10.77525</v>
      </c>
      <c r="D2065" s="67">
        <v>106.6592</v>
      </c>
      <c r="E2065" s="68">
        <v>1.848</v>
      </c>
    </row>
    <row r="2066" ht="22.5" customHeight="1">
      <c r="A2066" s="61">
        <v>10.76707</v>
      </c>
      <c r="B2066" s="63">
        <v>106.6493</v>
      </c>
      <c r="C2066" s="63">
        <v>10.77995</v>
      </c>
      <c r="D2066" s="63">
        <v>106.6498</v>
      </c>
      <c r="E2066" s="64">
        <v>1.874</v>
      </c>
    </row>
    <row r="2067" ht="22.5" customHeight="1">
      <c r="A2067" s="66">
        <v>10.76707</v>
      </c>
      <c r="B2067" s="67">
        <v>106.6493</v>
      </c>
      <c r="C2067" s="67">
        <v>10.78025</v>
      </c>
      <c r="D2067" s="67">
        <v>106.6684</v>
      </c>
      <c r="E2067" s="68">
        <v>2.842</v>
      </c>
    </row>
    <row r="2068" ht="22.5" customHeight="1">
      <c r="A2068" s="61">
        <v>10.76707</v>
      </c>
      <c r="B2068" s="63">
        <v>106.6493</v>
      </c>
      <c r="C2068" s="63">
        <v>10.78213</v>
      </c>
      <c r="D2068" s="63">
        <v>106.6678</v>
      </c>
      <c r="E2068" s="64">
        <v>3.2</v>
      </c>
    </row>
    <row r="2069" ht="22.5" customHeight="1">
      <c r="A2069" s="66">
        <v>10.76708</v>
      </c>
      <c r="B2069" s="67">
        <v>106.6836</v>
      </c>
      <c r="C2069" s="67">
        <v>10.76987</v>
      </c>
      <c r="D2069" s="67">
        <v>106.6856</v>
      </c>
      <c r="E2069" s="68">
        <v>1.802</v>
      </c>
    </row>
    <row r="2070" ht="22.5" customHeight="1">
      <c r="A2070" s="61">
        <v>10.76708</v>
      </c>
      <c r="B2070" s="63">
        <v>106.6836</v>
      </c>
      <c r="C2070" s="63">
        <v>10.77509</v>
      </c>
      <c r="D2070" s="63">
        <v>106.6727</v>
      </c>
      <c r="E2070" s="64">
        <v>2.079</v>
      </c>
    </row>
    <row r="2071" ht="22.5" customHeight="1">
      <c r="A2071" s="66">
        <v>10.76708</v>
      </c>
      <c r="B2071" s="67">
        <v>106.6836</v>
      </c>
      <c r="C2071" s="67">
        <v>10.77727</v>
      </c>
      <c r="D2071" s="67">
        <v>106.6795</v>
      </c>
      <c r="E2071" s="68">
        <v>2.079</v>
      </c>
    </row>
    <row r="2072" ht="22.5" customHeight="1">
      <c r="A2072" s="61">
        <v>10.76732</v>
      </c>
      <c r="B2072" s="63">
        <v>106.6966</v>
      </c>
      <c r="C2072" s="63">
        <v>10.75586</v>
      </c>
      <c r="D2072" s="63">
        <v>106.6724</v>
      </c>
      <c r="E2072" s="64">
        <v>4.074</v>
      </c>
    </row>
    <row r="2073" ht="22.5" customHeight="1">
      <c r="A2073" s="66">
        <v>10.76732</v>
      </c>
      <c r="B2073" s="67">
        <v>106.6966</v>
      </c>
      <c r="C2073" s="67">
        <v>10.75907</v>
      </c>
      <c r="D2073" s="67">
        <v>106.6988</v>
      </c>
      <c r="E2073" s="68">
        <v>1.521</v>
      </c>
    </row>
    <row r="2074" ht="22.5" customHeight="1">
      <c r="A2074" s="61">
        <v>10.76732</v>
      </c>
      <c r="B2074" s="63">
        <v>106.6966</v>
      </c>
      <c r="C2074" s="63">
        <v>10.75985</v>
      </c>
      <c r="D2074" s="63">
        <v>106.677</v>
      </c>
      <c r="E2074" s="64">
        <v>2.88</v>
      </c>
    </row>
    <row r="2075" ht="22.5" customHeight="1">
      <c r="A2075" s="66">
        <v>10.76732</v>
      </c>
      <c r="B2075" s="67">
        <v>106.6966</v>
      </c>
      <c r="C2075" s="67">
        <v>10.76484</v>
      </c>
      <c r="D2075" s="67">
        <v>106.6907</v>
      </c>
      <c r="E2075" s="68">
        <v>0.974</v>
      </c>
    </row>
    <row r="2076" ht="22.5" customHeight="1">
      <c r="A2076" s="61">
        <v>10.76732</v>
      </c>
      <c r="B2076" s="63">
        <v>106.6966</v>
      </c>
      <c r="C2076" s="63">
        <v>10.76493</v>
      </c>
      <c r="D2076" s="63">
        <v>106.6755</v>
      </c>
      <c r="E2076" s="64">
        <v>3.312</v>
      </c>
    </row>
    <row r="2077" ht="22.5" customHeight="1">
      <c r="A2077" s="66">
        <v>10.76732</v>
      </c>
      <c r="B2077" s="67">
        <v>106.6966</v>
      </c>
      <c r="C2077" s="67">
        <v>10.76668</v>
      </c>
      <c r="D2077" s="67">
        <v>106.6879</v>
      </c>
      <c r="E2077" s="68">
        <v>1.323</v>
      </c>
    </row>
    <row r="2078" ht="22.5" customHeight="1">
      <c r="A2078" s="61">
        <v>10.76732</v>
      </c>
      <c r="B2078" s="63">
        <v>106.6966</v>
      </c>
      <c r="C2078" s="63">
        <v>10.76732</v>
      </c>
      <c r="D2078" s="63">
        <v>106.6966</v>
      </c>
      <c r="E2078" s="64">
        <v>0.001</v>
      </c>
    </row>
    <row r="2079" ht="22.5" customHeight="1">
      <c r="A2079" s="66">
        <v>10.76732</v>
      </c>
      <c r="B2079" s="67">
        <v>106.6966</v>
      </c>
      <c r="C2079" s="67">
        <v>10.76978</v>
      </c>
      <c r="D2079" s="67">
        <v>106.6909</v>
      </c>
      <c r="E2079" s="68">
        <v>1.138</v>
      </c>
    </row>
    <row r="2080" ht="22.5" customHeight="1">
      <c r="A2080" s="61">
        <v>10.76732</v>
      </c>
      <c r="B2080" s="63">
        <v>106.6966</v>
      </c>
      <c r="C2080" s="63">
        <v>10.77014</v>
      </c>
      <c r="D2080" s="63">
        <v>106.7009</v>
      </c>
      <c r="E2080" s="64">
        <v>0.498</v>
      </c>
    </row>
    <row r="2081" ht="22.5" customHeight="1">
      <c r="A2081" s="66">
        <v>10.76732</v>
      </c>
      <c r="B2081" s="67">
        <v>106.6966</v>
      </c>
      <c r="C2081" s="67">
        <v>10.77479</v>
      </c>
      <c r="D2081" s="67">
        <v>106.6885</v>
      </c>
      <c r="E2081" s="68">
        <v>1.842</v>
      </c>
    </row>
    <row r="2082" ht="22.5" customHeight="1">
      <c r="A2082" s="61">
        <v>10.76732</v>
      </c>
      <c r="B2082" s="63">
        <v>106.6966</v>
      </c>
      <c r="C2082" s="63">
        <v>10.77509</v>
      </c>
      <c r="D2082" s="63">
        <v>106.6727</v>
      </c>
      <c r="E2082" s="64">
        <v>3.383</v>
      </c>
    </row>
    <row r="2083" ht="22.5" customHeight="1">
      <c r="A2083" s="66">
        <v>10.76732</v>
      </c>
      <c r="B2083" s="67">
        <v>106.6966</v>
      </c>
      <c r="C2083" s="67">
        <v>10.77525</v>
      </c>
      <c r="D2083" s="67">
        <v>106.6592</v>
      </c>
      <c r="E2083" s="68">
        <v>5.196</v>
      </c>
    </row>
    <row r="2084" ht="22.5" customHeight="1">
      <c r="A2084" s="61">
        <v>10.76732</v>
      </c>
      <c r="B2084" s="63">
        <v>106.6966</v>
      </c>
      <c r="C2084" s="63">
        <v>10.77918</v>
      </c>
      <c r="D2084" s="63">
        <v>106.6903</v>
      </c>
      <c r="E2084" s="64">
        <v>2.427</v>
      </c>
    </row>
    <row r="2085" ht="22.5" customHeight="1">
      <c r="A2085" s="66">
        <v>10.76732</v>
      </c>
      <c r="B2085" s="67">
        <v>106.6966</v>
      </c>
      <c r="C2085" s="67">
        <v>10.77971</v>
      </c>
      <c r="D2085" s="67">
        <v>106.7008</v>
      </c>
      <c r="E2085" s="68">
        <v>1.782</v>
      </c>
    </row>
    <row r="2086" ht="22.5" customHeight="1">
      <c r="A2086" s="61">
        <v>10.76732</v>
      </c>
      <c r="B2086" s="63">
        <v>106.6966</v>
      </c>
      <c r="C2086" s="63">
        <v>10.78115</v>
      </c>
      <c r="D2086" s="63">
        <v>106.7005</v>
      </c>
      <c r="E2086" s="64">
        <v>1.952</v>
      </c>
    </row>
    <row r="2087" ht="22.5" customHeight="1">
      <c r="A2087" s="66">
        <v>10.76732</v>
      </c>
      <c r="B2087" s="67">
        <v>106.6966</v>
      </c>
      <c r="C2087" s="67">
        <v>10.78607</v>
      </c>
      <c r="D2087" s="67">
        <v>106.6877</v>
      </c>
      <c r="E2087" s="68">
        <v>3.195</v>
      </c>
    </row>
    <row r="2088" ht="22.5" customHeight="1">
      <c r="A2088" s="61">
        <v>10.76732</v>
      </c>
      <c r="B2088" s="63">
        <v>106.6966</v>
      </c>
      <c r="C2088" s="63">
        <v>10.78624</v>
      </c>
      <c r="D2088" s="63">
        <v>106.7313</v>
      </c>
      <c r="E2088" s="64">
        <v>5.544</v>
      </c>
    </row>
    <row r="2089" ht="22.5" customHeight="1">
      <c r="A2089" s="66">
        <v>10.76743</v>
      </c>
      <c r="B2089" s="67">
        <v>106.6809</v>
      </c>
      <c r="C2089" s="67">
        <v>10.75643</v>
      </c>
      <c r="D2089" s="67">
        <v>106.6734</v>
      </c>
      <c r="E2089" s="68">
        <v>2.35</v>
      </c>
    </row>
    <row r="2090" ht="22.5" customHeight="1">
      <c r="A2090" s="61">
        <v>10.76743</v>
      </c>
      <c r="B2090" s="63">
        <v>106.6809</v>
      </c>
      <c r="C2090" s="63">
        <v>10.75977</v>
      </c>
      <c r="D2090" s="63">
        <v>106.6989</v>
      </c>
      <c r="E2090" s="64">
        <v>3.503</v>
      </c>
    </row>
    <row r="2091" ht="22.5" customHeight="1">
      <c r="A2091" s="66">
        <v>10.76743</v>
      </c>
      <c r="B2091" s="67">
        <v>106.6809</v>
      </c>
      <c r="C2091" s="67">
        <v>10.76561</v>
      </c>
      <c r="D2091" s="67">
        <v>106.6823</v>
      </c>
      <c r="E2091" s="68">
        <v>0.488</v>
      </c>
    </row>
    <row r="2092" ht="22.5" customHeight="1">
      <c r="A2092" s="61">
        <v>10.76743</v>
      </c>
      <c r="B2092" s="63">
        <v>106.6809</v>
      </c>
      <c r="C2092" s="63">
        <v>10.76668</v>
      </c>
      <c r="D2092" s="63">
        <v>106.6879</v>
      </c>
      <c r="E2092" s="64">
        <v>1.231</v>
      </c>
    </row>
    <row r="2093" ht="22.5" customHeight="1">
      <c r="A2093" s="66">
        <v>10.76743</v>
      </c>
      <c r="B2093" s="67">
        <v>106.6809</v>
      </c>
      <c r="C2093" s="67">
        <v>10.76913</v>
      </c>
      <c r="D2093" s="67">
        <v>106.6615</v>
      </c>
      <c r="E2093" s="68">
        <v>2.416</v>
      </c>
    </row>
    <row r="2094" ht="22.5" customHeight="1">
      <c r="A2094" s="61">
        <v>10.76743</v>
      </c>
      <c r="B2094" s="63">
        <v>106.6809</v>
      </c>
      <c r="C2094" s="63">
        <v>10.77509</v>
      </c>
      <c r="D2094" s="63">
        <v>106.6727</v>
      </c>
      <c r="E2094" s="64">
        <v>1.69</v>
      </c>
    </row>
    <row r="2095" ht="22.5" customHeight="1">
      <c r="A2095" s="66">
        <v>10.76743</v>
      </c>
      <c r="B2095" s="67">
        <v>106.6809</v>
      </c>
      <c r="C2095" s="67">
        <v>10.7785</v>
      </c>
      <c r="D2095" s="67">
        <v>106.6858</v>
      </c>
      <c r="E2095" s="68">
        <v>1.897</v>
      </c>
    </row>
    <row r="2096" ht="22.5" customHeight="1">
      <c r="A2096" s="61">
        <v>10.76809</v>
      </c>
      <c r="B2096" s="63">
        <v>106.6092</v>
      </c>
      <c r="C2096" s="63">
        <v>10.7252</v>
      </c>
      <c r="D2096" s="63">
        <v>106.6094</v>
      </c>
      <c r="E2096" s="64">
        <v>5.339</v>
      </c>
    </row>
    <row r="2097" ht="22.5" customHeight="1">
      <c r="A2097" s="66">
        <v>10.76809</v>
      </c>
      <c r="B2097" s="67">
        <v>106.6092</v>
      </c>
      <c r="C2097" s="67">
        <v>10.73897</v>
      </c>
      <c r="D2097" s="67">
        <v>106.6149</v>
      </c>
      <c r="E2097" s="68">
        <v>3.392</v>
      </c>
    </row>
    <row r="2098" ht="22.5" customHeight="1">
      <c r="A2098" s="61">
        <v>10.76809</v>
      </c>
      <c r="B2098" s="63">
        <v>106.6092</v>
      </c>
      <c r="C2098" s="63">
        <v>10.73905</v>
      </c>
      <c r="D2098" s="63">
        <v>106.6327</v>
      </c>
      <c r="E2098" s="64">
        <v>5.535</v>
      </c>
    </row>
    <row r="2099" ht="22.5" customHeight="1">
      <c r="A2099" s="66">
        <v>10.76809</v>
      </c>
      <c r="B2099" s="67">
        <v>106.6092</v>
      </c>
      <c r="C2099" s="67">
        <v>10.74672</v>
      </c>
      <c r="D2099" s="67">
        <v>106.6132</v>
      </c>
      <c r="E2099" s="68">
        <v>2.806</v>
      </c>
    </row>
    <row r="2100" ht="22.5" customHeight="1">
      <c r="A2100" s="61">
        <v>10.76809</v>
      </c>
      <c r="B2100" s="63">
        <v>106.6092</v>
      </c>
      <c r="C2100" s="63">
        <v>10.75191</v>
      </c>
      <c r="D2100" s="63">
        <v>106.6006</v>
      </c>
      <c r="E2100" s="64">
        <v>2.722</v>
      </c>
    </row>
    <row r="2101" ht="22.5" customHeight="1">
      <c r="A2101" s="66">
        <v>10.76809</v>
      </c>
      <c r="B2101" s="67">
        <v>106.6092</v>
      </c>
      <c r="C2101" s="67">
        <v>10.75889</v>
      </c>
      <c r="D2101" s="67">
        <v>106.5791</v>
      </c>
      <c r="E2101" s="68">
        <v>6.074</v>
      </c>
    </row>
    <row r="2102" ht="22.5" customHeight="1">
      <c r="A2102" s="61">
        <v>10.76809</v>
      </c>
      <c r="B2102" s="63">
        <v>106.6092</v>
      </c>
      <c r="C2102" s="63">
        <v>10.76707</v>
      </c>
      <c r="D2102" s="63">
        <v>106.6493</v>
      </c>
      <c r="E2102" s="64">
        <v>4.8</v>
      </c>
    </row>
    <row r="2103" ht="22.5" customHeight="1">
      <c r="A2103" s="66">
        <v>10.76809</v>
      </c>
      <c r="B2103" s="67">
        <v>106.6092</v>
      </c>
      <c r="C2103" s="67">
        <v>10.77167</v>
      </c>
      <c r="D2103" s="67">
        <v>106.5865</v>
      </c>
      <c r="E2103" s="68">
        <v>4.7</v>
      </c>
    </row>
    <row r="2104" ht="22.5" customHeight="1">
      <c r="A2104" s="61">
        <v>10.76809</v>
      </c>
      <c r="B2104" s="63">
        <v>106.6092</v>
      </c>
      <c r="C2104" s="63">
        <v>10.77584</v>
      </c>
      <c r="D2104" s="63">
        <v>106.6133</v>
      </c>
      <c r="E2104" s="64">
        <v>1.399</v>
      </c>
    </row>
    <row r="2105" ht="22.5" customHeight="1">
      <c r="A2105" s="66">
        <v>10.76809</v>
      </c>
      <c r="B2105" s="67">
        <v>106.6092</v>
      </c>
      <c r="C2105" s="67">
        <v>10.77618</v>
      </c>
      <c r="D2105" s="67">
        <v>106.607</v>
      </c>
      <c r="E2105" s="68">
        <v>1.8</v>
      </c>
    </row>
    <row r="2106" ht="22.5" customHeight="1">
      <c r="A2106" s="61">
        <v>10.76809</v>
      </c>
      <c r="B2106" s="63">
        <v>106.6092</v>
      </c>
      <c r="C2106" s="63">
        <v>10.77656</v>
      </c>
      <c r="D2106" s="63">
        <v>106.6049</v>
      </c>
      <c r="E2106" s="64">
        <v>1.257</v>
      </c>
    </row>
    <row r="2107" ht="22.5" customHeight="1">
      <c r="A2107" s="66">
        <v>10.76809</v>
      </c>
      <c r="B2107" s="67">
        <v>106.6092</v>
      </c>
      <c r="C2107" s="67">
        <v>10.78747</v>
      </c>
      <c r="D2107" s="67">
        <v>106.5981</v>
      </c>
      <c r="E2107" s="68">
        <v>3.777</v>
      </c>
    </row>
    <row r="2108" ht="22.5" customHeight="1">
      <c r="A2108" s="61">
        <v>10.76856</v>
      </c>
      <c r="B2108" s="63">
        <v>106.6702</v>
      </c>
      <c r="C2108" s="63">
        <v>10.71016</v>
      </c>
      <c r="D2108" s="63">
        <v>106.5747</v>
      </c>
      <c r="E2108" s="64">
        <v>15.5</v>
      </c>
    </row>
    <row r="2109" ht="22.5" customHeight="1">
      <c r="A2109" s="66">
        <v>10.76856</v>
      </c>
      <c r="B2109" s="67">
        <v>106.6702</v>
      </c>
      <c r="C2109" s="67">
        <v>10.76248</v>
      </c>
      <c r="D2109" s="67">
        <v>106.6702</v>
      </c>
      <c r="E2109" s="68">
        <v>0.891</v>
      </c>
    </row>
    <row r="2110" ht="22.5" customHeight="1">
      <c r="A2110" s="61">
        <v>10.76856</v>
      </c>
      <c r="B2110" s="63">
        <v>106.6702</v>
      </c>
      <c r="C2110" s="63">
        <v>10.76886</v>
      </c>
      <c r="D2110" s="63">
        <v>106.6859</v>
      </c>
      <c r="E2110" s="64">
        <v>1.9</v>
      </c>
    </row>
    <row r="2111" ht="22.5" customHeight="1">
      <c r="A2111" s="66">
        <v>10.76856</v>
      </c>
      <c r="B2111" s="67">
        <v>106.6702</v>
      </c>
      <c r="C2111" s="67">
        <v>10.77509</v>
      </c>
      <c r="D2111" s="67">
        <v>106.6727</v>
      </c>
      <c r="E2111" s="68">
        <v>0.923</v>
      </c>
    </row>
    <row r="2112" ht="22.5" customHeight="1">
      <c r="A2112" s="61">
        <v>10.76856</v>
      </c>
      <c r="B2112" s="63">
        <v>106.6702</v>
      </c>
      <c r="C2112" s="63">
        <v>10.78624</v>
      </c>
      <c r="D2112" s="63">
        <v>106.6887</v>
      </c>
      <c r="E2112" s="64">
        <v>3.983</v>
      </c>
    </row>
    <row r="2113" ht="22.5" customHeight="1">
      <c r="A2113" s="66">
        <v>10.76866</v>
      </c>
      <c r="B2113" s="67">
        <v>106.6702</v>
      </c>
      <c r="C2113" s="67">
        <v>10.77509</v>
      </c>
      <c r="D2113" s="67">
        <v>106.6727</v>
      </c>
      <c r="E2113" s="68">
        <v>0.935</v>
      </c>
    </row>
    <row r="2114" ht="22.5" customHeight="1">
      <c r="A2114" s="61">
        <v>10.76878</v>
      </c>
      <c r="B2114" s="63">
        <v>106.6667</v>
      </c>
      <c r="C2114" s="63">
        <v>10.75586</v>
      </c>
      <c r="D2114" s="63">
        <v>106.6724</v>
      </c>
      <c r="E2114" s="64">
        <v>1.953</v>
      </c>
    </row>
    <row r="2115" ht="22.5" customHeight="1">
      <c r="A2115" s="66">
        <v>10.76878</v>
      </c>
      <c r="B2115" s="67">
        <v>106.6667</v>
      </c>
      <c r="C2115" s="67">
        <v>10.75987</v>
      </c>
      <c r="D2115" s="67">
        <v>106.677</v>
      </c>
      <c r="E2115" s="68">
        <v>2.124</v>
      </c>
    </row>
    <row r="2116" ht="22.5" customHeight="1">
      <c r="A2116" s="61">
        <v>10.76878</v>
      </c>
      <c r="B2116" s="63">
        <v>106.6667</v>
      </c>
      <c r="C2116" s="63">
        <v>10.75998</v>
      </c>
      <c r="D2116" s="63">
        <v>106.6727</v>
      </c>
      <c r="E2116" s="64">
        <v>1.588</v>
      </c>
    </row>
    <row r="2117" ht="22.5" customHeight="1">
      <c r="A2117" s="66">
        <v>10.76878</v>
      </c>
      <c r="B2117" s="67">
        <v>106.6667</v>
      </c>
      <c r="C2117" s="67">
        <v>10.76195</v>
      </c>
      <c r="D2117" s="67">
        <v>106.6569</v>
      </c>
      <c r="E2117" s="68">
        <v>1.39</v>
      </c>
    </row>
    <row r="2118" ht="22.5" customHeight="1">
      <c r="A2118" s="61">
        <v>10.76878</v>
      </c>
      <c r="B2118" s="63">
        <v>106.6667</v>
      </c>
      <c r="C2118" s="63">
        <v>10.76283</v>
      </c>
      <c r="D2118" s="63">
        <v>106.6684</v>
      </c>
      <c r="E2118" s="64">
        <v>0.908</v>
      </c>
    </row>
    <row r="2119" ht="22.5" customHeight="1">
      <c r="A2119" s="66">
        <v>10.76878</v>
      </c>
      <c r="B2119" s="67">
        <v>106.6667</v>
      </c>
      <c r="C2119" s="67">
        <v>10.76561</v>
      </c>
      <c r="D2119" s="67">
        <v>106.6823</v>
      </c>
      <c r="E2119" s="68">
        <v>1.91</v>
      </c>
    </row>
    <row r="2120" ht="22.5" customHeight="1">
      <c r="A2120" s="61">
        <v>10.76878</v>
      </c>
      <c r="B2120" s="63">
        <v>106.6667</v>
      </c>
      <c r="C2120" s="63">
        <v>10.76707</v>
      </c>
      <c r="D2120" s="63">
        <v>106.6493</v>
      </c>
      <c r="E2120" s="64">
        <v>2.663</v>
      </c>
    </row>
    <row r="2121" ht="22.5" customHeight="1">
      <c r="A2121" s="66">
        <v>10.76878</v>
      </c>
      <c r="B2121" s="67">
        <v>106.6667</v>
      </c>
      <c r="C2121" s="67">
        <v>10.76743</v>
      </c>
      <c r="D2121" s="67">
        <v>106.6809</v>
      </c>
      <c r="E2121" s="68">
        <v>2.001</v>
      </c>
    </row>
    <row r="2122" ht="22.5" customHeight="1">
      <c r="A2122" s="61">
        <v>10.76878</v>
      </c>
      <c r="B2122" s="63">
        <v>106.6667</v>
      </c>
      <c r="C2122" s="63">
        <v>10.76913</v>
      </c>
      <c r="D2122" s="63">
        <v>106.6615</v>
      </c>
      <c r="E2122" s="64">
        <v>0.678</v>
      </c>
    </row>
    <row r="2123" ht="22.5" customHeight="1">
      <c r="A2123" s="66">
        <v>10.76878</v>
      </c>
      <c r="B2123" s="67">
        <v>106.6667</v>
      </c>
      <c r="C2123" s="67">
        <v>10.7692</v>
      </c>
      <c r="D2123" s="67">
        <v>106.6516</v>
      </c>
      <c r="E2123" s="68">
        <v>2.298</v>
      </c>
    </row>
    <row r="2124" ht="22.5" customHeight="1">
      <c r="A2124" s="61">
        <v>10.76878</v>
      </c>
      <c r="B2124" s="63">
        <v>106.6667</v>
      </c>
      <c r="C2124" s="63">
        <v>10.77014</v>
      </c>
      <c r="D2124" s="63">
        <v>106.7009</v>
      </c>
      <c r="E2124" s="64">
        <v>4.592</v>
      </c>
    </row>
    <row r="2125" ht="22.5" customHeight="1">
      <c r="A2125" s="66">
        <v>10.76878</v>
      </c>
      <c r="B2125" s="67">
        <v>106.6667</v>
      </c>
      <c r="C2125" s="67">
        <v>10.77032</v>
      </c>
      <c r="D2125" s="67">
        <v>106.6723</v>
      </c>
      <c r="E2125" s="68">
        <v>0.78</v>
      </c>
    </row>
    <row r="2126" ht="22.5" customHeight="1">
      <c r="A2126" s="61">
        <v>10.76878</v>
      </c>
      <c r="B2126" s="63">
        <v>106.6667</v>
      </c>
      <c r="C2126" s="63">
        <v>10.7718</v>
      </c>
      <c r="D2126" s="63">
        <v>106.6714</v>
      </c>
      <c r="E2126" s="64">
        <v>1.179</v>
      </c>
    </row>
    <row r="2127" ht="22.5" customHeight="1">
      <c r="A2127" s="66">
        <v>10.76878</v>
      </c>
      <c r="B2127" s="67">
        <v>106.6667</v>
      </c>
      <c r="C2127" s="67">
        <v>10.7733</v>
      </c>
      <c r="D2127" s="67">
        <v>106.6687</v>
      </c>
      <c r="E2127" s="68">
        <v>0.718</v>
      </c>
    </row>
    <row r="2128" ht="22.5" customHeight="1">
      <c r="A2128" s="61">
        <v>10.76878</v>
      </c>
      <c r="B2128" s="63">
        <v>106.6667</v>
      </c>
      <c r="C2128" s="63">
        <v>10.77509</v>
      </c>
      <c r="D2128" s="63">
        <v>106.6727</v>
      </c>
      <c r="E2128" s="64">
        <v>1.487</v>
      </c>
    </row>
    <row r="2129" ht="22.5" customHeight="1">
      <c r="A2129" s="66">
        <v>10.76878</v>
      </c>
      <c r="B2129" s="67">
        <v>106.6667</v>
      </c>
      <c r="C2129" s="67">
        <v>10.77525</v>
      </c>
      <c r="D2129" s="67">
        <v>106.6592</v>
      </c>
      <c r="E2129" s="68">
        <v>1.625</v>
      </c>
    </row>
    <row r="2130" ht="22.5" customHeight="1">
      <c r="A2130" s="61">
        <v>10.76878</v>
      </c>
      <c r="B2130" s="63">
        <v>106.6667</v>
      </c>
      <c r="C2130" s="63">
        <v>10.7805</v>
      </c>
      <c r="D2130" s="63">
        <v>106.6611</v>
      </c>
      <c r="E2130" s="64">
        <v>1.635</v>
      </c>
    </row>
    <row r="2131" ht="22.5" customHeight="1">
      <c r="A2131" s="66">
        <v>10.76878</v>
      </c>
      <c r="B2131" s="67">
        <v>106.6667</v>
      </c>
      <c r="C2131" s="67">
        <v>10.78213</v>
      </c>
      <c r="D2131" s="67">
        <v>106.6678</v>
      </c>
      <c r="E2131" s="68">
        <v>1.955</v>
      </c>
    </row>
    <row r="2132" ht="22.5" customHeight="1">
      <c r="A2132" s="61">
        <v>10.76886</v>
      </c>
      <c r="B2132" s="63">
        <v>106.6859</v>
      </c>
      <c r="C2132" s="63">
        <v>10.71016</v>
      </c>
      <c r="D2132" s="63">
        <v>106.5747</v>
      </c>
      <c r="E2132" s="64">
        <v>17.5</v>
      </c>
    </row>
    <row r="2133" ht="22.5" customHeight="1">
      <c r="A2133" s="66">
        <v>10.76886</v>
      </c>
      <c r="B2133" s="67">
        <v>106.6859</v>
      </c>
      <c r="C2133" s="67">
        <v>10.75728</v>
      </c>
      <c r="D2133" s="67">
        <v>106.6659</v>
      </c>
      <c r="E2133" s="68">
        <v>3.043</v>
      </c>
    </row>
    <row r="2134" ht="22.5" customHeight="1">
      <c r="A2134" s="61">
        <v>10.76898</v>
      </c>
      <c r="B2134" s="63">
        <v>106.6997</v>
      </c>
      <c r="C2134" s="63">
        <v>10.75947</v>
      </c>
      <c r="D2134" s="63">
        <v>106.6805</v>
      </c>
      <c r="E2134" s="64">
        <v>0.877</v>
      </c>
    </row>
    <row r="2135" ht="22.5" customHeight="1">
      <c r="A2135" s="66">
        <v>10.76898</v>
      </c>
      <c r="B2135" s="67">
        <v>106.6997</v>
      </c>
      <c r="C2135" s="67">
        <v>10.75998</v>
      </c>
      <c r="D2135" s="67">
        <v>106.6727</v>
      </c>
      <c r="E2135" s="68">
        <v>1.014</v>
      </c>
    </row>
    <row r="2136" ht="22.5" customHeight="1">
      <c r="A2136" s="61">
        <v>10.76898</v>
      </c>
      <c r="B2136" s="63">
        <v>106.6997</v>
      </c>
      <c r="C2136" s="63">
        <v>10.76163</v>
      </c>
      <c r="D2136" s="63">
        <v>106.6769</v>
      </c>
      <c r="E2136" s="64">
        <v>1.292</v>
      </c>
    </row>
    <row r="2137" ht="22.5" customHeight="1">
      <c r="A2137" s="66">
        <v>10.76898</v>
      </c>
      <c r="B2137" s="67">
        <v>106.6997</v>
      </c>
      <c r="C2137" s="67">
        <v>10.76484</v>
      </c>
      <c r="D2137" s="67">
        <v>106.6907</v>
      </c>
      <c r="E2137" s="68">
        <v>3.147</v>
      </c>
    </row>
    <row r="2138" ht="22.5" customHeight="1">
      <c r="A2138" s="61">
        <v>10.76898</v>
      </c>
      <c r="B2138" s="63">
        <v>106.6997</v>
      </c>
      <c r="C2138" s="63">
        <v>10.76617</v>
      </c>
      <c r="D2138" s="63">
        <v>106.6679</v>
      </c>
      <c r="E2138" s="64">
        <v>1.166</v>
      </c>
    </row>
    <row r="2139" ht="22.5" customHeight="1">
      <c r="A2139" s="66">
        <v>10.76898</v>
      </c>
      <c r="B2139" s="67">
        <v>106.6997</v>
      </c>
      <c r="C2139" s="67">
        <v>10.77509</v>
      </c>
      <c r="D2139" s="67">
        <v>106.6727</v>
      </c>
      <c r="E2139" s="68">
        <v>2.106</v>
      </c>
    </row>
    <row r="2140" ht="22.5" customHeight="1">
      <c r="A2140" s="61">
        <v>10.76902</v>
      </c>
      <c r="B2140" s="63">
        <v>106.6711</v>
      </c>
      <c r="C2140" s="63">
        <v>10.77509</v>
      </c>
      <c r="D2140" s="63">
        <v>106.6727</v>
      </c>
      <c r="E2140" s="64">
        <v>0.882</v>
      </c>
    </row>
    <row r="2141" ht="22.5" customHeight="1">
      <c r="A2141" s="66">
        <v>10.76902</v>
      </c>
      <c r="B2141" s="67">
        <v>106.6711</v>
      </c>
      <c r="C2141" s="67">
        <v>10.78213</v>
      </c>
      <c r="D2141" s="67">
        <v>106.6678</v>
      </c>
      <c r="E2141" s="68">
        <v>2.496</v>
      </c>
    </row>
    <row r="2142" ht="22.5" customHeight="1">
      <c r="A2142" s="61">
        <v>10.76912</v>
      </c>
      <c r="B2142" s="63">
        <v>106.6594</v>
      </c>
      <c r="C2142" s="63">
        <v>10.76195</v>
      </c>
      <c r="D2142" s="63">
        <v>106.6569</v>
      </c>
      <c r="E2142" s="64">
        <v>1.081</v>
      </c>
    </row>
    <row r="2143" ht="22.5" customHeight="1">
      <c r="A2143" s="66">
        <v>10.76912</v>
      </c>
      <c r="B2143" s="67">
        <v>106.6594</v>
      </c>
      <c r="C2143" s="67">
        <v>10.76707</v>
      </c>
      <c r="D2143" s="67">
        <v>106.6493</v>
      </c>
      <c r="E2143" s="68">
        <v>1.504</v>
      </c>
    </row>
    <row r="2144" ht="22.5" customHeight="1">
      <c r="A2144" s="61">
        <v>10.76912</v>
      </c>
      <c r="B2144" s="63">
        <v>106.6594</v>
      </c>
      <c r="C2144" s="63">
        <v>10.77509</v>
      </c>
      <c r="D2144" s="63">
        <v>106.6727</v>
      </c>
      <c r="E2144" s="64">
        <v>2.925</v>
      </c>
    </row>
    <row r="2145" ht="22.5" customHeight="1">
      <c r="A2145" s="66">
        <v>10.76913</v>
      </c>
      <c r="B2145" s="67">
        <v>106.6615</v>
      </c>
      <c r="C2145" s="67">
        <v>10.75424</v>
      </c>
      <c r="D2145" s="67">
        <v>106.6716</v>
      </c>
      <c r="E2145" s="68">
        <v>3.459</v>
      </c>
    </row>
    <row r="2146" ht="22.5" customHeight="1">
      <c r="A2146" s="61">
        <v>10.76913</v>
      </c>
      <c r="B2146" s="63">
        <v>106.6615</v>
      </c>
      <c r="C2146" s="63">
        <v>10.75695</v>
      </c>
      <c r="D2146" s="63">
        <v>106.671</v>
      </c>
      <c r="E2146" s="64">
        <v>2.406</v>
      </c>
    </row>
    <row r="2147" ht="22.5" customHeight="1">
      <c r="A2147" s="66">
        <v>10.76913</v>
      </c>
      <c r="B2147" s="67">
        <v>106.6615</v>
      </c>
      <c r="C2147" s="67">
        <v>10.75836</v>
      </c>
      <c r="D2147" s="67">
        <v>106.6708</v>
      </c>
      <c r="E2147" s="68">
        <v>4.805</v>
      </c>
    </row>
    <row r="2148" ht="22.5" customHeight="1">
      <c r="A2148" s="61">
        <v>10.76913</v>
      </c>
      <c r="B2148" s="63">
        <v>106.6615</v>
      </c>
      <c r="C2148" s="63">
        <v>10.75998</v>
      </c>
      <c r="D2148" s="63">
        <v>106.6727</v>
      </c>
      <c r="E2148" s="64">
        <v>2.242</v>
      </c>
    </row>
    <row r="2149" ht="22.5" customHeight="1">
      <c r="A2149" s="66">
        <v>10.76913</v>
      </c>
      <c r="B2149" s="67">
        <v>106.6615</v>
      </c>
      <c r="C2149" s="67">
        <v>10.75998</v>
      </c>
      <c r="D2149" s="67">
        <v>106.6609</v>
      </c>
      <c r="E2149" s="68">
        <v>1.447</v>
      </c>
    </row>
    <row r="2150" ht="22.5" customHeight="1">
      <c r="A2150" s="61">
        <v>10.76913</v>
      </c>
      <c r="B2150" s="63">
        <v>106.6615</v>
      </c>
      <c r="C2150" s="63">
        <v>10.76163</v>
      </c>
      <c r="D2150" s="63">
        <v>106.6769</v>
      </c>
      <c r="E2150" s="64">
        <v>2.597</v>
      </c>
    </row>
    <row r="2151" ht="22.5" customHeight="1">
      <c r="A2151" s="66">
        <v>10.76913</v>
      </c>
      <c r="B2151" s="67">
        <v>106.6615</v>
      </c>
      <c r="C2151" s="67">
        <v>10.76195</v>
      </c>
      <c r="D2151" s="67">
        <v>106.6569</v>
      </c>
      <c r="E2151" s="68">
        <v>1.207</v>
      </c>
    </row>
    <row r="2152" ht="22.5" customHeight="1">
      <c r="A2152" s="61">
        <v>10.76913</v>
      </c>
      <c r="B2152" s="63">
        <v>106.6615</v>
      </c>
      <c r="C2152" s="63">
        <v>10.76283</v>
      </c>
      <c r="D2152" s="63">
        <v>106.6684</v>
      </c>
      <c r="E2152" s="64">
        <v>1.578</v>
      </c>
    </row>
    <row r="2153" ht="22.5" customHeight="1">
      <c r="A2153" s="66">
        <v>10.76913</v>
      </c>
      <c r="B2153" s="67">
        <v>106.6615</v>
      </c>
      <c r="C2153" s="67">
        <v>10.76484</v>
      </c>
      <c r="D2153" s="67">
        <v>106.6907</v>
      </c>
      <c r="E2153" s="68">
        <v>3.687</v>
      </c>
    </row>
    <row r="2154" ht="22.5" customHeight="1">
      <c r="A2154" s="61">
        <v>10.76913</v>
      </c>
      <c r="B2154" s="63">
        <v>106.6615</v>
      </c>
      <c r="C2154" s="63">
        <v>10.76561</v>
      </c>
      <c r="D2154" s="63">
        <v>106.6823</v>
      </c>
      <c r="E2154" s="64">
        <v>2.583</v>
      </c>
    </row>
    <row r="2155" ht="22.5" customHeight="1">
      <c r="A2155" s="66">
        <v>10.76913</v>
      </c>
      <c r="B2155" s="67">
        <v>106.6615</v>
      </c>
      <c r="C2155" s="67">
        <v>10.76707</v>
      </c>
      <c r="D2155" s="67">
        <v>106.6493</v>
      </c>
      <c r="E2155" s="68">
        <v>2.019</v>
      </c>
    </row>
    <row r="2156" ht="22.5" customHeight="1">
      <c r="A2156" s="61">
        <v>10.76913</v>
      </c>
      <c r="B2156" s="63">
        <v>106.6615</v>
      </c>
      <c r="C2156" s="63">
        <v>10.76743</v>
      </c>
      <c r="D2156" s="63">
        <v>106.6809</v>
      </c>
      <c r="E2156" s="64">
        <v>2.672</v>
      </c>
    </row>
    <row r="2157" ht="22.5" customHeight="1">
      <c r="A2157" s="66">
        <v>10.76913</v>
      </c>
      <c r="B2157" s="67">
        <v>106.6615</v>
      </c>
      <c r="C2157" s="67">
        <v>10.76878</v>
      </c>
      <c r="D2157" s="67">
        <v>106.6667</v>
      </c>
      <c r="E2157" s="68">
        <v>0.666</v>
      </c>
    </row>
    <row r="2158" ht="22.5" customHeight="1">
      <c r="A2158" s="61">
        <v>10.76913</v>
      </c>
      <c r="B2158" s="63">
        <v>106.6615</v>
      </c>
      <c r="C2158" s="63">
        <v>10.76913</v>
      </c>
      <c r="D2158" s="63">
        <v>106.6615</v>
      </c>
      <c r="E2158" s="64">
        <v>0.0</v>
      </c>
    </row>
    <row r="2159" ht="22.5" customHeight="1">
      <c r="A2159" s="66">
        <v>10.76913</v>
      </c>
      <c r="B2159" s="67">
        <v>106.6615</v>
      </c>
      <c r="C2159" s="67">
        <v>10.7692</v>
      </c>
      <c r="D2159" s="67">
        <v>106.6516</v>
      </c>
      <c r="E2159" s="68">
        <v>1.677</v>
      </c>
    </row>
    <row r="2160" ht="22.5" customHeight="1">
      <c r="A2160" s="61">
        <v>10.76913</v>
      </c>
      <c r="B2160" s="63">
        <v>106.6615</v>
      </c>
      <c r="C2160" s="63">
        <v>10.76978</v>
      </c>
      <c r="D2160" s="63">
        <v>106.6909</v>
      </c>
      <c r="E2160" s="64">
        <v>3.863</v>
      </c>
    </row>
    <row r="2161" ht="22.5" customHeight="1">
      <c r="A2161" s="66">
        <v>10.76913</v>
      </c>
      <c r="B2161" s="67">
        <v>106.6615</v>
      </c>
      <c r="C2161" s="67">
        <v>10.76987</v>
      </c>
      <c r="D2161" s="67">
        <v>106.6856</v>
      </c>
      <c r="E2161" s="68">
        <v>3.204</v>
      </c>
    </row>
    <row r="2162" ht="22.5" customHeight="1">
      <c r="A2162" s="61">
        <v>10.76913</v>
      </c>
      <c r="B2162" s="63">
        <v>106.6615</v>
      </c>
      <c r="C2162" s="63">
        <v>10.77014</v>
      </c>
      <c r="D2162" s="63">
        <v>106.7009</v>
      </c>
      <c r="E2162" s="64">
        <v>5.268</v>
      </c>
    </row>
    <row r="2163" ht="22.5" customHeight="1">
      <c r="A2163" s="66">
        <v>10.76913</v>
      </c>
      <c r="B2163" s="67">
        <v>106.6615</v>
      </c>
      <c r="C2163" s="67">
        <v>10.77032</v>
      </c>
      <c r="D2163" s="67">
        <v>106.6723</v>
      </c>
      <c r="E2163" s="68">
        <v>1.458</v>
      </c>
    </row>
    <row r="2164" ht="22.5" customHeight="1">
      <c r="A2164" s="61">
        <v>10.76913</v>
      </c>
      <c r="B2164" s="63">
        <v>106.6615</v>
      </c>
      <c r="C2164" s="63">
        <v>10.77074</v>
      </c>
      <c r="D2164" s="63">
        <v>106.6594</v>
      </c>
      <c r="E2164" s="64">
        <v>0.879</v>
      </c>
    </row>
    <row r="2165" ht="22.5" customHeight="1">
      <c r="A2165" s="66">
        <v>10.76913</v>
      </c>
      <c r="B2165" s="67">
        <v>106.6615</v>
      </c>
      <c r="C2165" s="67">
        <v>10.7718</v>
      </c>
      <c r="D2165" s="67">
        <v>106.6714</v>
      </c>
      <c r="E2165" s="68">
        <v>1.603</v>
      </c>
    </row>
    <row r="2166" ht="22.5" customHeight="1">
      <c r="A2166" s="61">
        <v>10.76913</v>
      </c>
      <c r="B2166" s="63">
        <v>106.6615</v>
      </c>
      <c r="C2166" s="63">
        <v>10.7733</v>
      </c>
      <c r="D2166" s="63">
        <v>106.6687</v>
      </c>
      <c r="E2166" s="64">
        <v>1.129</v>
      </c>
    </row>
    <row r="2167" ht="22.5" customHeight="1">
      <c r="A2167" s="66">
        <v>10.76913</v>
      </c>
      <c r="B2167" s="67">
        <v>106.6615</v>
      </c>
      <c r="C2167" s="67">
        <v>10.775</v>
      </c>
      <c r="D2167" s="67">
        <v>106.6647</v>
      </c>
      <c r="E2167" s="68">
        <v>1.032</v>
      </c>
    </row>
    <row r="2168" ht="22.5" customHeight="1">
      <c r="A2168" s="61">
        <v>10.76913</v>
      </c>
      <c r="B2168" s="63">
        <v>106.6615</v>
      </c>
      <c r="C2168" s="63">
        <v>10.77509</v>
      </c>
      <c r="D2168" s="63">
        <v>106.6727</v>
      </c>
      <c r="E2168" s="64">
        <v>2.086</v>
      </c>
    </row>
    <row r="2169" ht="22.5" customHeight="1">
      <c r="A2169" s="66">
        <v>10.76913</v>
      </c>
      <c r="B2169" s="67">
        <v>106.6615</v>
      </c>
      <c r="C2169" s="67">
        <v>10.77525</v>
      </c>
      <c r="D2169" s="67">
        <v>106.6592</v>
      </c>
      <c r="E2169" s="68">
        <v>1.249</v>
      </c>
    </row>
    <row r="2170" ht="22.5" customHeight="1">
      <c r="A2170" s="61">
        <v>10.76913</v>
      </c>
      <c r="B2170" s="63">
        <v>106.6615</v>
      </c>
      <c r="C2170" s="63">
        <v>10.77674</v>
      </c>
      <c r="D2170" s="63">
        <v>106.6841</v>
      </c>
      <c r="E2170" s="64">
        <v>3.293</v>
      </c>
    </row>
    <row r="2171" ht="22.5" customHeight="1">
      <c r="A2171" s="66">
        <v>10.76913</v>
      </c>
      <c r="B2171" s="67">
        <v>106.6615</v>
      </c>
      <c r="C2171" s="67">
        <v>10.77773</v>
      </c>
      <c r="D2171" s="67">
        <v>106.6655</v>
      </c>
      <c r="E2171" s="68">
        <v>1.362</v>
      </c>
    </row>
    <row r="2172" ht="22.5" customHeight="1">
      <c r="A2172" s="61">
        <v>10.76913</v>
      </c>
      <c r="B2172" s="63">
        <v>106.6615</v>
      </c>
      <c r="C2172" s="63">
        <v>10.78025</v>
      </c>
      <c r="D2172" s="63">
        <v>106.6684</v>
      </c>
      <c r="E2172" s="64">
        <v>1.792</v>
      </c>
    </row>
    <row r="2173" ht="22.5" customHeight="1">
      <c r="A2173" s="66">
        <v>10.76913</v>
      </c>
      <c r="B2173" s="67">
        <v>106.6615</v>
      </c>
      <c r="C2173" s="67">
        <v>10.7805</v>
      </c>
      <c r="D2173" s="67">
        <v>106.6611</v>
      </c>
      <c r="E2173" s="68">
        <v>1.799</v>
      </c>
    </row>
    <row r="2174" ht="22.5" customHeight="1">
      <c r="A2174" s="61">
        <v>10.76913</v>
      </c>
      <c r="B2174" s="63">
        <v>106.6615</v>
      </c>
      <c r="C2174" s="63">
        <v>10.78213</v>
      </c>
      <c r="D2174" s="63">
        <v>106.6678</v>
      </c>
      <c r="E2174" s="64">
        <v>1.971</v>
      </c>
    </row>
    <row r="2175" ht="22.5" customHeight="1">
      <c r="A2175" s="66">
        <v>10.76913</v>
      </c>
      <c r="B2175" s="67">
        <v>106.671</v>
      </c>
      <c r="C2175" s="67">
        <v>10.77509</v>
      </c>
      <c r="D2175" s="67">
        <v>106.6727</v>
      </c>
      <c r="E2175" s="68">
        <v>1.348</v>
      </c>
    </row>
    <row r="2176" ht="22.5" customHeight="1">
      <c r="A2176" s="61">
        <v>10.7692</v>
      </c>
      <c r="B2176" s="63">
        <v>106.6516</v>
      </c>
      <c r="C2176" s="63">
        <v>10.75998</v>
      </c>
      <c r="D2176" s="63">
        <v>106.6609</v>
      </c>
      <c r="E2176" s="64">
        <v>1.755</v>
      </c>
    </row>
    <row r="2177" ht="22.5" customHeight="1">
      <c r="A2177" s="66">
        <v>10.7692</v>
      </c>
      <c r="B2177" s="67">
        <v>106.6516</v>
      </c>
      <c r="C2177" s="67">
        <v>10.76651</v>
      </c>
      <c r="D2177" s="67">
        <v>106.6431</v>
      </c>
      <c r="E2177" s="68">
        <v>2.217</v>
      </c>
    </row>
    <row r="2178" ht="22.5" customHeight="1">
      <c r="A2178" s="61">
        <v>10.7692</v>
      </c>
      <c r="B2178" s="63">
        <v>106.6516</v>
      </c>
      <c r="C2178" s="63">
        <v>10.76707</v>
      </c>
      <c r="D2178" s="63">
        <v>106.6493</v>
      </c>
      <c r="E2178" s="64">
        <v>0.294</v>
      </c>
    </row>
    <row r="2179" ht="22.5" customHeight="1">
      <c r="A2179" s="66">
        <v>10.7692</v>
      </c>
      <c r="B2179" s="67">
        <v>106.6516</v>
      </c>
      <c r="C2179" s="67">
        <v>10.76878</v>
      </c>
      <c r="D2179" s="67">
        <v>106.6667</v>
      </c>
      <c r="E2179" s="68">
        <v>4.018</v>
      </c>
    </row>
    <row r="2180" ht="22.5" customHeight="1">
      <c r="A2180" s="61">
        <v>10.7692</v>
      </c>
      <c r="B2180" s="63">
        <v>106.6516</v>
      </c>
      <c r="C2180" s="63">
        <v>10.76913</v>
      </c>
      <c r="D2180" s="63">
        <v>106.6615</v>
      </c>
      <c r="E2180" s="64">
        <v>3.24</v>
      </c>
    </row>
    <row r="2181" ht="22.5" customHeight="1">
      <c r="A2181" s="66">
        <v>10.7692</v>
      </c>
      <c r="B2181" s="67">
        <v>106.6516</v>
      </c>
      <c r="C2181" s="67">
        <v>10.7692</v>
      </c>
      <c r="D2181" s="67">
        <v>106.6516</v>
      </c>
      <c r="E2181" s="68">
        <v>0.009</v>
      </c>
    </row>
    <row r="2182" ht="22.5" customHeight="1">
      <c r="A2182" s="61">
        <v>10.7692</v>
      </c>
      <c r="B2182" s="63">
        <v>106.6516</v>
      </c>
      <c r="C2182" s="63">
        <v>10.77009</v>
      </c>
      <c r="D2182" s="63">
        <v>106.7005</v>
      </c>
      <c r="E2182" s="64">
        <v>6.863</v>
      </c>
    </row>
    <row r="2183" ht="22.5" customHeight="1">
      <c r="A2183" s="66">
        <v>10.7692</v>
      </c>
      <c r="B2183" s="67">
        <v>106.6516</v>
      </c>
      <c r="C2183" s="67">
        <v>10.7748</v>
      </c>
      <c r="D2183" s="67">
        <v>106.6483</v>
      </c>
      <c r="E2183" s="68">
        <v>0.728</v>
      </c>
    </row>
    <row r="2184" ht="22.5" customHeight="1">
      <c r="A2184" s="61">
        <v>10.7692</v>
      </c>
      <c r="B2184" s="63">
        <v>106.6516</v>
      </c>
      <c r="C2184" s="63">
        <v>10.77509</v>
      </c>
      <c r="D2184" s="63">
        <v>106.6727</v>
      </c>
      <c r="E2184" s="64">
        <v>4.865</v>
      </c>
    </row>
    <row r="2185" ht="22.5" customHeight="1">
      <c r="A2185" s="66">
        <v>10.7692</v>
      </c>
      <c r="B2185" s="67">
        <v>106.6516</v>
      </c>
      <c r="C2185" s="67">
        <v>10.77584</v>
      </c>
      <c r="D2185" s="67">
        <v>106.6133</v>
      </c>
      <c r="E2185" s="68">
        <v>5.474</v>
      </c>
    </row>
    <row r="2186" ht="22.5" customHeight="1">
      <c r="A2186" s="61">
        <v>10.7692</v>
      </c>
      <c r="B2186" s="63">
        <v>106.6516</v>
      </c>
      <c r="C2186" s="63">
        <v>10.78294</v>
      </c>
      <c r="D2186" s="63">
        <v>106.6506</v>
      </c>
      <c r="E2186" s="64">
        <v>1.736</v>
      </c>
    </row>
    <row r="2187" ht="22.5" customHeight="1">
      <c r="A2187" s="66">
        <v>10.76925</v>
      </c>
      <c r="B2187" s="67">
        <v>106.626</v>
      </c>
      <c r="C2187" s="67">
        <v>10.77231</v>
      </c>
      <c r="D2187" s="67">
        <v>106.6319</v>
      </c>
      <c r="E2187" s="68">
        <v>1.542</v>
      </c>
    </row>
    <row r="2188" ht="22.5" customHeight="1">
      <c r="A2188" s="61">
        <v>10.76925</v>
      </c>
      <c r="B2188" s="63">
        <v>106.626</v>
      </c>
      <c r="C2188" s="63">
        <v>10.7724</v>
      </c>
      <c r="D2188" s="63">
        <v>106.6248</v>
      </c>
      <c r="E2188" s="64">
        <v>0.629</v>
      </c>
    </row>
    <row r="2189" ht="22.5" customHeight="1">
      <c r="A2189" s="66">
        <v>10.76925</v>
      </c>
      <c r="B2189" s="67">
        <v>106.626</v>
      </c>
      <c r="C2189" s="67">
        <v>10.77509</v>
      </c>
      <c r="D2189" s="67">
        <v>106.6727</v>
      </c>
      <c r="E2189" s="68">
        <v>6.764</v>
      </c>
    </row>
    <row r="2190" ht="22.5" customHeight="1">
      <c r="A2190" s="61">
        <v>10.76925</v>
      </c>
      <c r="B2190" s="63">
        <v>106.626</v>
      </c>
      <c r="C2190" s="63">
        <v>10.77995</v>
      </c>
      <c r="D2190" s="63">
        <v>106.6498</v>
      </c>
      <c r="E2190" s="64">
        <v>3.953</v>
      </c>
    </row>
    <row r="2191" ht="22.5" customHeight="1">
      <c r="A2191" s="66">
        <v>10.76925</v>
      </c>
      <c r="B2191" s="67">
        <v>106.626</v>
      </c>
      <c r="C2191" s="67">
        <v>10.78099</v>
      </c>
      <c r="D2191" s="67">
        <v>106.6261</v>
      </c>
      <c r="E2191" s="68">
        <v>1.758</v>
      </c>
    </row>
    <row r="2192" ht="22.5" customHeight="1">
      <c r="A2192" s="61">
        <v>10.76925</v>
      </c>
      <c r="B2192" s="63">
        <v>106.626</v>
      </c>
      <c r="C2192" s="63">
        <v>10.78175</v>
      </c>
      <c r="D2192" s="63">
        <v>106.6306</v>
      </c>
      <c r="E2192" s="64">
        <v>2.463</v>
      </c>
    </row>
    <row r="2193" ht="22.5" customHeight="1">
      <c r="A2193" s="66">
        <v>10.76925</v>
      </c>
      <c r="B2193" s="67">
        <v>106.626</v>
      </c>
      <c r="C2193" s="67">
        <v>10.78264</v>
      </c>
      <c r="D2193" s="67">
        <v>106.6267</v>
      </c>
      <c r="E2193" s="68">
        <v>1.983</v>
      </c>
    </row>
    <row r="2194" ht="22.5" customHeight="1">
      <c r="A2194" s="61">
        <v>10.76925</v>
      </c>
      <c r="B2194" s="63">
        <v>106.626</v>
      </c>
      <c r="C2194" s="63">
        <v>10.78294</v>
      </c>
      <c r="D2194" s="63">
        <v>106.6506</v>
      </c>
      <c r="E2194" s="64">
        <v>4.362</v>
      </c>
    </row>
    <row r="2195" ht="22.5" customHeight="1">
      <c r="A2195" s="66">
        <v>10.76925</v>
      </c>
      <c r="B2195" s="67">
        <v>106.626</v>
      </c>
      <c r="C2195" s="67">
        <v>10.78954</v>
      </c>
      <c r="D2195" s="67">
        <v>106.6431</v>
      </c>
      <c r="E2195" s="68">
        <v>3.576</v>
      </c>
    </row>
    <row r="2196" ht="22.5" customHeight="1">
      <c r="A2196" s="61">
        <v>10.76925</v>
      </c>
      <c r="B2196" s="63">
        <v>106.626</v>
      </c>
      <c r="C2196" s="63">
        <v>10.79193</v>
      </c>
      <c r="D2196" s="63">
        <v>106.6555</v>
      </c>
      <c r="E2196" s="64">
        <v>5.707</v>
      </c>
    </row>
    <row r="2197" ht="22.5" customHeight="1">
      <c r="A2197" s="66">
        <v>10.76925</v>
      </c>
      <c r="B2197" s="67">
        <v>106.626</v>
      </c>
      <c r="C2197" s="67">
        <v>10.79212</v>
      </c>
      <c r="D2197" s="67">
        <v>106.6427</v>
      </c>
      <c r="E2197" s="68">
        <v>3.98</v>
      </c>
    </row>
    <row r="2198" ht="22.5" customHeight="1">
      <c r="A2198" s="61">
        <v>10.76925</v>
      </c>
      <c r="B2198" s="63">
        <v>106.626</v>
      </c>
      <c r="C2198" s="63">
        <v>10.79435</v>
      </c>
      <c r="D2198" s="63">
        <v>106.6382</v>
      </c>
      <c r="E2198" s="64">
        <v>3.495</v>
      </c>
    </row>
    <row r="2199" ht="22.5" customHeight="1">
      <c r="A2199" s="66">
        <v>10.76925</v>
      </c>
      <c r="B2199" s="67">
        <v>106.626</v>
      </c>
      <c r="C2199" s="67">
        <v>10.7972</v>
      </c>
      <c r="D2199" s="67">
        <v>106.6307</v>
      </c>
      <c r="E2199" s="68">
        <v>4.428</v>
      </c>
    </row>
    <row r="2200" ht="22.5" customHeight="1">
      <c r="A2200" s="61">
        <v>10.76925</v>
      </c>
      <c r="B2200" s="63">
        <v>106.626</v>
      </c>
      <c r="C2200" s="63">
        <v>10.79841</v>
      </c>
      <c r="D2200" s="63">
        <v>106.6587</v>
      </c>
      <c r="E2200" s="64">
        <v>5.841</v>
      </c>
    </row>
    <row r="2201" ht="22.5" customHeight="1">
      <c r="A2201" s="66">
        <v>10.76925</v>
      </c>
      <c r="B2201" s="67">
        <v>106.626</v>
      </c>
      <c r="C2201" s="67">
        <v>10.80141</v>
      </c>
      <c r="D2201" s="67">
        <v>106.6495</v>
      </c>
      <c r="E2201" s="68">
        <v>5.7</v>
      </c>
    </row>
    <row r="2202" ht="22.5" customHeight="1">
      <c r="A2202" s="61">
        <v>10.76925</v>
      </c>
      <c r="B2202" s="63">
        <v>106.626</v>
      </c>
      <c r="C2202" s="63">
        <v>10.81094</v>
      </c>
      <c r="D2202" s="63">
        <v>106.611</v>
      </c>
      <c r="E2202" s="64">
        <v>6.143</v>
      </c>
    </row>
    <row r="2203" ht="22.5" customHeight="1">
      <c r="A2203" s="66">
        <v>10.76925</v>
      </c>
      <c r="B2203" s="67">
        <v>106.626</v>
      </c>
      <c r="C2203" s="67">
        <v>10.81147</v>
      </c>
      <c r="D2203" s="67">
        <v>106.6107</v>
      </c>
      <c r="E2203" s="68">
        <v>6.24</v>
      </c>
    </row>
    <row r="2204" ht="22.5" customHeight="1">
      <c r="A2204" s="61">
        <v>10.76925</v>
      </c>
      <c r="B2204" s="63">
        <v>106.626</v>
      </c>
      <c r="C2204" s="63">
        <v>10.81494</v>
      </c>
      <c r="D2204" s="63">
        <v>106.5854</v>
      </c>
      <c r="E2204" s="64">
        <v>10.699</v>
      </c>
    </row>
    <row r="2205" ht="22.5" customHeight="1">
      <c r="A2205" s="66">
        <v>10.76945</v>
      </c>
      <c r="B2205" s="67">
        <v>106.692</v>
      </c>
      <c r="C2205" s="67">
        <v>10.77971</v>
      </c>
      <c r="D2205" s="67">
        <v>106.7008</v>
      </c>
      <c r="E2205" s="68">
        <v>1.895</v>
      </c>
    </row>
    <row r="2206" ht="22.5" customHeight="1">
      <c r="A2206" s="61">
        <v>10.76975</v>
      </c>
      <c r="B2206" s="63">
        <v>106.6886</v>
      </c>
      <c r="C2206" s="63">
        <v>10.77509</v>
      </c>
      <c r="D2206" s="63">
        <v>106.6727</v>
      </c>
      <c r="E2206" s="64">
        <v>2.623</v>
      </c>
    </row>
    <row r="2207" ht="22.5" customHeight="1">
      <c r="A2207" s="66">
        <v>10.76978</v>
      </c>
      <c r="B2207" s="67">
        <v>106.6909</v>
      </c>
      <c r="C2207" s="67">
        <v>10.75836</v>
      </c>
      <c r="D2207" s="67">
        <v>106.6708</v>
      </c>
      <c r="E2207" s="68">
        <v>1.225</v>
      </c>
    </row>
    <row r="2208" ht="22.5" customHeight="1">
      <c r="A2208" s="61">
        <v>10.76978</v>
      </c>
      <c r="B2208" s="63">
        <v>106.6909</v>
      </c>
      <c r="C2208" s="63">
        <v>10.75947</v>
      </c>
      <c r="D2208" s="63">
        <v>106.6805</v>
      </c>
      <c r="E2208" s="64">
        <v>1.942</v>
      </c>
    </row>
    <row r="2209" ht="22.5" customHeight="1">
      <c r="A2209" s="66">
        <v>10.76978</v>
      </c>
      <c r="B2209" s="67">
        <v>106.6909</v>
      </c>
      <c r="C2209" s="67">
        <v>10.75998</v>
      </c>
      <c r="D2209" s="67">
        <v>106.6727</v>
      </c>
      <c r="E2209" s="68">
        <v>2.508</v>
      </c>
    </row>
    <row r="2210" ht="22.5" customHeight="1">
      <c r="A2210" s="61">
        <v>10.76978</v>
      </c>
      <c r="B2210" s="63">
        <v>106.6909</v>
      </c>
      <c r="C2210" s="63">
        <v>10.76283</v>
      </c>
      <c r="D2210" s="63">
        <v>106.6684</v>
      </c>
      <c r="E2210" s="64">
        <v>3.251</v>
      </c>
    </row>
    <row r="2211" ht="22.5" customHeight="1">
      <c r="A2211" s="66">
        <v>10.76978</v>
      </c>
      <c r="B2211" s="67">
        <v>106.6909</v>
      </c>
      <c r="C2211" s="67">
        <v>10.76484</v>
      </c>
      <c r="D2211" s="67">
        <v>106.6907</v>
      </c>
      <c r="E2211" s="68">
        <v>0.838</v>
      </c>
    </row>
    <row r="2212" ht="22.5" customHeight="1">
      <c r="A2212" s="61">
        <v>10.76978</v>
      </c>
      <c r="B2212" s="63">
        <v>106.6909</v>
      </c>
      <c r="C2212" s="63">
        <v>10.76561</v>
      </c>
      <c r="D2212" s="63">
        <v>106.6823</v>
      </c>
      <c r="E2212" s="64">
        <v>1.545</v>
      </c>
    </row>
    <row r="2213" ht="22.5" customHeight="1">
      <c r="A2213" s="66">
        <v>10.76978</v>
      </c>
      <c r="B2213" s="67">
        <v>106.6909</v>
      </c>
      <c r="C2213" s="67">
        <v>10.76668</v>
      </c>
      <c r="D2213" s="67">
        <v>106.6879</v>
      </c>
      <c r="E2213" s="68">
        <v>0.423</v>
      </c>
    </row>
    <row r="2214" ht="22.5" customHeight="1">
      <c r="A2214" s="61">
        <v>10.76978</v>
      </c>
      <c r="B2214" s="63">
        <v>106.6909</v>
      </c>
      <c r="C2214" s="63">
        <v>10.76732</v>
      </c>
      <c r="D2214" s="63">
        <v>106.6966</v>
      </c>
      <c r="E2214" s="64">
        <v>0.944</v>
      </c>
    </row>
    <row r="2215" ht="22.5" customHeight="1">
      <c r="A2215" s="66">
        <v>10.76978</v>
      </c>
      <c r="B2215" s="67">
        <v>106.6909</v>
      </c>
      <c r="C2215" s="67">
        <v>10.76878</v>
      </c>
      <c r="D2215" s="67">
        <v>106.6667</v>
      </c>
      <c r="E2215" s="68">
        <v>3.12</v>
      </c>
    </row>
    <row r="2216" ht="22.5" customHeight="1">
      <c r="A2216" s="61">
        <v>10.76978</v>
      </c>
      <c r="B2216" s="63">
        <v>106.6909</v>
      </c>
      <c r="C2216" s="63">
        <v>10.76898</v>
      </c>
      <c r="D2216" s="63">
        <v>106.6997</v>
      </c>
      <c r="E2216" s="64">
        <v>2.657</v>
      </c>
    </row>
    <row r="2217" ht="22.5" customHeight="1">
      <c r="A2217" s="66">
        <v>10.76978</v>
      </c>
      <c r="B2217" s="67">
        <v>106.6909</v>
      </c>
      <c r="C2217" s="67">
        <v>10.76913</v>
      </c>
      <c r="D2217" s="67">
        <v>106.6615</v>
      </c>
      <c r="E2217" s="68">
        <v>3.804</v>
      </c>
    </row>
    <row r="2218" ht="22.5" customHeight="1">
      <c r="A2218" s="61">
        <v>10.76978</v>
      </c>
      <c r="B2218" s="63">
        <v>106.6909</v>
      </c>
      <c r="C2218" s="63">
        <v>10.76975</v>
      </c>
      <c r="D2218" s="63">
        <v>106.6886</v>
      </c>
      <c r="E2218" s="64">
        <v>0.343</v>
      </c>
    </row>
    <row r="2219" ht="22.5" customHeight="1">
      <c r="A2219" s="66">
        <v>10.76978</v>
      </c>
      <c r="B2219" s="67">
        <v>106.6909</v>
      </c>
      <c r="C2219" s="67">
        <v>10.76987</v>
      </c>
      <c r="D2219" s="67">
        <v>106.6856</v>
      </c>
      <c r="E2219" s="68">
        <v>0.805</v>
      </c>
    </row>
    <row r="2220" ht="22.5" customHeight="1">
      <c r="A2220" s="61">
        <v>10.76978</v>
      </c>
      <c r="B2220" s="63">
        <v>106.6909</v>
      </c>
      <c r="C2220" s="63">
        <v>10.77014</v>
      </c>
      <c r="D2220" s="63">
        <v>106.7009</v>
      </c>
      <c r="E2220" s="64">
        <v>1.29</v>
      </c>
    </row>
    <row r="2221" ht="22.5" customHeight="1">
      <c r="A2221" s="66">
        <v>10.76978</v>
      </c>
      <c r="B2221" s="67">
        <v>106.6909</v>
      </c>
      <c r="C2221" s="67">
        <v>10.77032</v>
      </c>
      <c r="D2221" s="67">
        <v>106.6723</v>
      </c>
      <c r="E2221" s="68">
        <v>2.88</v>
      </c>
    </row>
    <row r="2222" ht="22.5" customHeight="1">
      <c r="A2222" s="61">
        <v>10.76978</v>
      </c>
      <c r="B2222" s="63">
        <v>106.6909</v>
      </c>
      <c r="C2222" s="63">
        <v>10.77221</v>
      </c>
      <c r="D2222" s="63">
        <v>106.6885</v>
      </c>
      <c r="E2222" s="64">
        <v>1.746</v>
      </c>
    </row>
    <row r="2223" ht="22.5" customHeight="1">
      <c r="A2223" s="66">
        <v>10.76978</v>
      </c>
      <c r="B2223" s="67">
        <v>106.6909</v>
      </c>
      <c r="C2223" s="67">
        <v>10.7733</v>
      </c>
      <c r="D2223" s="67">
        <v>106.6687</v>
      </c>
      <c r="E2223" s="68">
        <v>3.823</v>
      </c>
    </row>
    <row r="2224" ht="22.5" customHeight="1">
      <c r="A2224" s="61">
        <v>10.76978</v>
      </c>
      <c r="B2224" s="63">
        <v>106.6909</v>
      </c>
      <c r="C2224" s="63">
        <v>10.77479</v>
      </c>
      <c r="D2224" s="63">
        <v>106.6885</v>
      </c>
      <c r="E2224" s="64">
        <v>1.536</v>
      </c>
    </row>
    <row r="2225" ht="22.5" customHeight="1">
      <c r="A2225" s="66">
        <v>10.76978</v>
      </c>
      <c r="B2225" s="67">
        <v>106.6909</v>
      </c>
      <c r="C2225" s="67">
        <v>10.77509</v>
      </c>
      <c r="D2225" s="67">
        <v>106.6727</v>
      </c>
      <c r="E2225" s="68">
        <v>3.088</v>
      </c>
    </row>
    <row r="2226" ht="22.5" customHeight="1">
      <c r="A2226" s="61">
        <v>10.76978</v>
      </c>
      <c r="B2226" s="63">
        <v>106.6909</v>
      </c>
      <c r="C2226" s="63">
        <v>10.77526</v>
      </c>
      <c r="D2226" s="63">
        <v>106.6823</v>
      </c>
      <c r="E2226" s="64">
        <v>1.614</v>
      </c>
    </row>
    <row r="2227" ht="22.5" customHeight="1">
      <c r="A2227" s="66">
        <v>10.76978</v>
      </c>
      <c r="B2227" s="67">
        <v>106.6909</v>
      </c>
      <c r="C2227" s="67">
        <v>10.77641</v>
      </c>
      <c r="D2227" s="67">
        <v>106.6866</v>
      </c>
      <c r="E2227" s="68">
        <v>1.386</v>
      </c>
    </row>
    <row r="2228" ht="22.5" customHeight="1">
      <c r="A2228" s="61">
        <v>10.76978</v>
      </c>
      <c r="B2228" s="63">
        <v>106.6909</v>
      </c>
      <c r="C2228" s="63">
        <v>10.77674</v>
      </c>
      <c r="D2228" s="63">
        <v>106.6841</v>
      </c>
      <c r="E2228" s="64">
        <v>1.526</v>
      </c>
    </row>
    <row r="2229" ht="22.5" customHeight="1">
      <c r="A2229" s="66">
        <v>10.76978</v>
      </c>
      <c r="B2229" s="67">
        <v>106.6909</v>
      </c>
      <c r="C2229" s="67">
        <v>10.7785</v>
      </c>
      <c r="D2229" s="67">
        <v>106.6858</v>
      </c>
      <c r="E2229" s="68">
        <v>1.788</v>
      </c>
    </row>
    <row r="2230" ht="22.5" customHeight="1">
      <c r="A2230" s="61">
        <v>10.76978</v>
      </c>
      <c r="B2230" s="63">
        <v>106.6909</v>
      </c>
      <c r="C2230" s="63">
        <v>10.77918</v>
      </c>
      <c r="D2230" s="63">
        <v>106.6903</v>
      </c>
      <c r="E2230" s="64">
        <v>1.981</v>
      </c>
    </row>
    <row r="2231" ht="22.5" customHeight="1">
      <c r="A2231" s="66">
        <v>10.76978</v>
      </c>
      <c r="B2231" s="67">
        <v>106.6909</v>
      </c>
      <c r="C2231" s="67">
        <v>10.77971</v>
      </c>
      <c r="D2231" s="67">
        <v>106.7008</v>
      </c>
      <c r="E2231" s="68">
        <v>1.856</v>
      </c>
    </row>
    <row r="2232" ht="22.5" customHeight="1">
      <c r="A2232" s="61">
        <v>10.76978</v>
      </c>
      <c r="B2232" s="63">
        <v>106.6909</v>
      </c>
      <c r="C2232" s="63">
        <v>10.78115</v>
      </c>
      <c r="D2232" s="63">
        <v>106.7005</v>
      </c>
      <c r="E2232" s="64">
        <v>1.932</v>
      </c>
    </row>
    <row r="2233" ht="22.5" customHeight="1">
      <c r="A2233" s="66">
        <v>10.76978</v>
      </c>
      <c r="B2233" s="67">
        <v>106.6909</v>
      </c>
      <c r="C2233" s="67">
        <v>10.78213</v>
      </c>
      <c r="D2233" s="67">
        <v>106.6678</v>
      </c>
      <c r="E2233" s="68">
        <v>3.624</v>
      </c>
    </row>
    <row r="2234" ht="22.5" customHeight="1">
      <c r="A2234" s="61">
        <v>10.76978</v>
      </c>
      <c r="B2234" s="63">
        <v>106.6909</v>
      </c>
      <c r="C2234" s="63">
        <v>10.78607</v>
      </c>
      <c r="D2234" s="63">
        <v>106.6877</v>
      </c>
      <c r="E2234" s="64">
        <v>2.837</v>
      </c>
    </row>
    <row r="2235" ht="22.5" customHeight="1">
      <c r="A2235" s="66">
        <v>10.76978</v>
      </c>
      <c r="B2235" s="67">
        <v>106.6585</v>
      </c>
      <c r="C2235" s="67">
        <v>10.76195</v>
      </c>
      <c r="D2235" s="67">
        <v>106.6569</v>
      </c>
      <c r="E2235" s="68">
        <v>1.402</v>
      </c>
    </row>
    <row r="2236" ht="22.5" customHeight="1">
      <c r="A2236" s="61">
        <v>10.76978</v>
      </c>
      <c r="B2236" s="63">
        <v>106.6585</v>
      </c>
      <c r="C2236" s="63">
        <v>10.76707</v>
      </c>
      <c r="D2236" s="63">
        <v>106.6493</v>
      </c>
      <c r="E2236" s="64">
        <v>1.282</v>
      </c>
    </row>
    <row r="2237" ht="22.5" customHeight="1">
      <c r="A2237" s="66">
        <v>10.76978</v>
      </c>
      <c r="B2237" s="67">
        <v>106.6585</v>
      </c>
      <c r="C2237" s="67">
        <v>10.77509</v>
      </c>
      <c r="D2237" s="67">
        <v>106.6727</v>
      </c>
      <c r="E2237" s="68">
        <v>2.549</v>
      </c>
    </row>
    <row r="2238" ht="22.5" customHeight="1">
      <c r="A2238" s="61">
        <v>10.76987</v>
      </c>
      <c r="B2238" s="63">
        <v>106.6856</v>
      </c>
      <c r="C2238" s="63">
        <v>10.75643</v>
      </c>
      <c r="D2238" s="63">
        <v>106.6734</v>
      </c>
      <c r="E2238" s="64">
        <v>2.661</v>
      </c>
    </row>
    <row r="2239" ht="22.5" customHeight="1">
      <c r="A2239" s="66">
        <v>10.76987</v>
      </c>
      <c r="B2239" s="67">
        <v>106.6856</v>
      </c>
      <c r="C2239" s="67">
        <v>10.7569</v>
      </c>
      <c r="D2239" s="67">
        <v>106.6739</v>
      </c>
      <c r="E2239" s="68">
        <v>2.688</v>
      </c>
    </row>
    <row r="2240" ht="22.5" customHeight="1">
      <c r="A2240" s="61">
        <v>10.76987</v>
      </c>
      <c r="B2240" s="63">
        <v>106.6856</v>
      </c>
      <c r="C2240" s="63">
        <v>10.75836</v>
      </c>
      <c r="D2240" s="63">
        <v>106.6708</v>
      </c>
      <c r="E2240" s="64">
        <v>3.147</v>
      </c>
    </row>
    <row r="2241" ht="22.5" customHeight="1">
      <c r="A2241" s="66">
        <v>10.76987</v>
      </c>
      <c r="B2241" s="67">
        <v>106.6856</v>
      </c>
      <c r="C2241" s="67">
        <v>10.75947</v>
      </c>
      <c r="D2241" s="67">
        <v>106.6805</v>
      </c>
      <c r="E2241" s="68">
        <v>1.527</v>
      </c>
    </row>
    <row r="2242" ht="22.5" customHeight="1">
      <c r="A2242" s="61">
        <v>10.76987</v>
      </c>
      <c r="B2242" s="63">
        <v>106.6856</v>
      </c>
      <c r="C2242" s="63">
        <v>10.75998</v>
      </c>
      <c r="D2242" s="63">
        <v>106.6727</v>
      </c>
      <c r="E2242" s="64">
        <v>1.813</v>
      </c>
    </row>
    <row r="2243" ht="22.5" customHeight="1">
      <c r="A2243" s="66">
        <v>10.76987</v>
      </c>
      <c r="B2243" s="67">
        <v>106.6856</v>
      </c>
      <c r="C2243" s="67">
        <v>10.76484</v>
      </c>
      <c r="D2243" s="67">
        <v>106.6907</v>
      </c>
      <c r="E2243" s="68">
        <v>1.976</v>
      </c>
    </row>
    <row r="2244" ht="22.5" customHeight="1">
      <c r="A2244" s="61">
        <v>10.76987</v>
      </c>
      <c r="B2244" s="63">
        <v>106.6856</v>
      </c>
      <c r="C2244" s="63">
        <v>10.76668</v>
      </c>
      <c r="D2244" s="63">
        <v>106.6879</v>
      </c>
      <c r="E2244" s="64">
        <v>1.569</v>
      </c>
    </row>
    <row r="2245" ht="22.5" customHeight="1">
      <c r="A2245" s="66">
        <v>10.76987</v>
      </c>
      <c r="B2245" s="67">
        <v>106.6856</v>
      </c>
      <c r="C2245" s="67">
        <v>10.76878</v>
      </c>
      <c r="D2245" s="67">
        <v>106.6667</v>
      </c>
      <c r="E2245" s="68">
        <v>2.402</v>
      </c>
    </row>
    <row r="2246" ht="22.5" customHeight="1">
      <c r="A2246" s="61">
        <v>10.76987</v>
      </c>
      <c r="B2246" s="63">
        <v>106.6856</v>
      </c>
      <c r="C2246" s="63">
        <v>10.76913</v>
      </c>
      <c r="D2246" s="63">
        <v>106.6615</v>
      </c>
      <c r="E2246" s="64">
        <v>3.531</v>
      </c>
    </row>
    <row r="2247" ht="22.5" customHeight="1">
      <c r="A2247" s="66">
        <v>10.76987</v>
      </c>
      <c r="B2247" s="67">
        <v>106.6856</v>
      </c>
      <c r="C2247" s="67">
        <v>10.76978</v>
      </c>
      <c r="D2247" s="67">
        <v>106.6909</v>
      </c>
      <c r="E2247" s="68">
        <v>2.102</v>
      </c>
    </row>
    <row r="2248" ht="22.5" customHeight="1">
      <c r="A2248" s="61">
        <v>10.76987</v>
      </c>
      <c r="B2248" s="63">
        <v>106.6856</v>
      </c>
      <c r="C2248" s="63">
        <v>10.77014</v>
      </c>
      <c r="D2248" s="63">
        <v>106.7009</v>
      </c>
      <c r="E2248" s="64">
        <v>3.297</v>
      </c>
    </row>
    <row r="2249" ht="22.5" customHeight="1">
      <c r="A2249" s="66">
        <v>10.76987</v>
      </c>
      <c r="B2249" s="67">
        <v>106.6856</v>
      </c>
      <c r="C2249" s="67">
        <v>10.77032</v>
      </c>
      <c r="D2249" s="67">
        <v>106.6723</v>
      </c>
      <c r="E2249" s="68">
        <v>2.171</v>
      </c>
    </row>
    <row r="2250" ht="22.5" customHeight="1">
      <c r="A2250" s="61">
        <v>10.76987</v>
      </c>
      <c r="B2250" s="63">
        <v>106.6856</v>
      </c>
      <c r="C2250" s="63">
        <v>10.7718</v>
      </c>
      <c r="D2250" s="63">
        <v>106.6714</v>
      </c>
      <c r="E2250" s="64">
        <v>2.65</v>
      </c>
    </row>
    <row r="2251" ht="22.5" customHeight="1">
      <c r="A2251" s="66">
        <v>10.76987</v>
      </c>
      <c r="B2251" s="67">
        <v>106.6856</v>
      </c>
      <c r="C2251" s="67">
        <v>10.77479</v>
      </c>
      <c r="D2251" s="67">
        <v>106.6885</v>
      </c>
      <c r="E2251" s="68">
        <v>1.437</v>
      </c>
    </row>
    <row r="2252" ht="22.5" customHeight="1">
      <c r="A2252" s="61">
        <v>10.76987</v>
      </c>
      <c r="B2252" s="63">
        <v>106.6856</v>
      </c>
      <c r="C2252" s="63">
        <v>10.77509</v>
      </c>
      <c r="D2252" s="63">
        <v>106.6727</v>
      </c>
      <c r="E2252" s="64">
        <v>2.336</v>
      </c>
    </row>
    <row r="2253" ht="22.5" customHeight="1">
      <c r="A2253" s="66">
        <v>10.76987</v>
      </c>
      <c r="B2253" s="67">
        <v>106.6856</v>
      </c>
      <c r="C2253" s="67">
        <v>10.77525</v>
      </c>
      <c r="D2253" s="67">
        <v>106.6592</v>
      </c>
      <c r="E2253" s="68">
        <v>4.329</v>
      </c>
    </row>
    <row r="2254" ht="22.5" customHeight="1">
      <c r="A2254" s="61">
        <v>10.76987</v>
      </c>
      <c r="B2254" s="63">
        <v>106.6856</v>
      </c>
      <c r="C2254" s="63">
        <v>10.77641</v>
      </c>
      <c r="D2254" s="63">
        <v>106.6866</v>
      </c>
      <c r="E2254" s="64">
        <v>2.627</v>
      </c>
    </row>
    <row r="2255" ht="22.5" customHeight="1">
      <c r="A2255" s="66">
        <v>10.76987</v>
      </c>
      <c r="B2255" s="67">
        <v>106.6856</v>
      </c>
      <c r="C2255" s="67">
        <v>10.77674</v>
      </c>
      <c r="D2255" s="67">
        <v>106.6841</v>
      </c>
      <c r="E2255" s="68">
        <v>1.069</v>
      </c>
    </row>
    <row r="2256" ht="22.5" customHeight="1">
      <c r="A2256" s="61">
        <v>10.76987</v>
      </c>
      <c r="B2256" s="63">
        <v>106.6856</v>
      </c>
      <c r="C2256" s="63">
        <v>10.77727</v>
      </c>
      <c r="D2256" s="63">
        <v>106.6795</v>
      </c>
      <c r="E2256" s="64">
        <v>2.322</v>
      </c>
    </row>
    <row r="2257" ht="22.5" customHeight="1">
      <c r="A2257" s="66">
        <v>10.76987</v>
      </c>
      <c r="B2257" s="67">
        <v>106.6856</v>
      </c>
      <c r="C2257" s="67">
        <v>10.7785</v>
      </c>
      <c r="D2257" s="67">
        <v>106.6858</v>
      </c>
      <c r="E2257" s="68">
        <v>2.66</v>
      </c>
    </row>
    <row r="2258" ht="22.5" customHeight="1">
      <c r="A2258" s="61">
        <v>10.76987</v>
      </c>
      <c r="B2258" s="63">
        <v>106.6856</v>
      </c>
      <c r="C2258" s="63">
        <v>10.77918</v>
      </c>
      <c r="D2258" s="63">
        <v>106.6903</v>
      </c>
      <c r="E2258" s="64">
        <v>1.666</v>
      </c>
    </row>
    <row r="2259" ht="22.5" customHeight="1">
      <c r="A2259" s="66">
        <v>10.76987</v>
      </c>
      <c r="B2259" s="67">
        <v>106.6856</v>
      </c>
      <c r="C2259" s="67">
        <v>10.78607</v>
      </c>
      <c r="D2259" s="67">
        <v>106.6877</v>
      </c>
      <c r="E2259" s="68">
        <v>3.806</v>
      </c>
    </row>
    <row r="2260" ht="22.5" customHeight="1">
      <c r="A2260" s="61">
        <v>10.76994</v>
      </c>
      <c r="B2260" s="63">
        <v>106.6855</v>
      </c>
      <c r="C2260" s="63">
        <v>10.77509</v>
      </c>
      <c r="D2260" s="63">
        <v>106.6727</v>
      </c>
      <c r="E2260" s="64">
        <v>2.394</v>
      </c>
    </row>
    <row r="2261" ht="22.5" customHeight="1">
      <c r="A2261" s="66">
        <v>10.77</v>
      </c>
      <c r="B2261" s="67">
        <v>106.7018</v>
      </c>
      <c r="C2261" s="67">
        <v>10.7721</v>
      </c>
      <c r="D2261" s="67">
        <v>106.7021</v>
      </c>
      <c r="E2261" s="68">
        <v>0.501</v>
      </c>
    </row>
    <row r="2262" ht="22.5" customHeight="1">
      <c r="A2262" s="61">
        <v>10.77</v>
      </c>
      <c r="B2262" s="63">
        <v>106.7018</v>
      </c>
      <c r="C2262" s="63">
        <v>10.77509</v>
      </c>
      <c r="D2262" s="63">
        <v>106.6727</v>
      </c>
      <c r="E2262" s="64">
        <v>4.086</v>
      </c>
    </row>
    <row r="2263" ht="22.5" customHeight="1">
      <c r="A2263" s="66">
        <v>10.77</v>
      </c>
      <c r="B2263" s="67">
        <v>106.7018</v>
      </c>
      <c r="C2263" s="67">
        <v>10.77971</v>
      </c>
      <c r="D2263" s="67">
        <v>106.7008</v>
      </c>
      <c r="E2263" s="68">
        <v>1.665</v>
      </c>
    </row>
    <row r="2264" ht="22.5" customHeight="1">
      <c r="A2264" s="61">
        <v>10.77</v>
      </c>
      <c r="B2264" s="63">
        <v>106.7018</v>
      </c>
      <c r="C2264" s="63">
        <v>10.7825</v>
      </c>
      <c r="D2264" s="63">
        <v>106.7054</v>
      </c>
      <c r="E2264" s="64">
        <v>2.779</v>
      </c>
    </row>
    <row r="2265" ht="22.5" customHeight="1">
      <c r="A2265" s="66">
        <v>10.77</v>
      </c>
      <c r="B2265" s="67">
        <v>106.7018</v>
      </c>
      <c r="C2265" s="67">
        <v>10.78348</v>
      </c>
      <c r="D2265" s="67">
        <v>106.7006</v>
      </c>
      <c r="E2265" s="68">
        <v>2.465</v>
      </c>
    </row>
    <row r="2266" ht="22.5" customHeight="1">
      <c r="A2266" s="61">
        <v>10.77009</v>
      </c>
      <c r="B2266" s="63">
        <v>106.7005</v>
      </c>
      <c r="C2266" s="63">
        <v>10.76707</v>
      </c>
      <c r="D2266" s="63">
        <v>106.6493</v>
      </c>
      <c r="E2266" s="64">
        <v>7.3</v>
      </c>
    </row>
    <row r="2267" ht="22.5" customHeight="1">
      <c r="A2267" s="66">
        <v>10.77009</v>
      </c>
      <c r="B2267" s="67">
        <v>106.7005</v>
      </c>
      <c r="C2267" s="67">
        <v>10.7692</v>
      </c>
      <c r="D2267" s="67">
        <v>106.6516</v>
      </c>
      <c r="E2267" s="68">
        <v>7.0</v>
      </c>
    </row>
    <row r="2268" ht="22.5" customHeight="1">
      <c r="A2268" s="61">
        <v>10.77009</v>
      </c>
      <c r="B2268" s="63">
        <v>106.7005</v>
      </c>
      <c r="C2268" s="63">
        <v>10.77918</v>
      </c>
      <c r="D2268" s="63">
        <v>106.6903</v>
      </c>
      <c r="E2268" s="64">
        <v>2.5</v>
      </c>
    </row>
    <row r="2269" ht="22.5" customHeight="1">
      <c r="A2269" s="66">
        <v>10.77009</v>
      </c>
      <c r="B2269" s="67">
        <v>106.7005</v>
      </c>
      <c r="C2269" s="67">
        <v>10.77971</v>
      </c>
      <c r="D2269" s="67">
        <v>106.7008</v>
      </c>
      <c r="E2269" s="68">
        <v>1.861</v>
      </c>
    </row>
    <row r="2270" ht="22.5" customHeight="1">
      <c r="A2270" s="61">
        <v>10.77014</v>
      </c>
      <c r="B2270" s="63">
        <v>106.7009</v>
      </c>
      <c r="C2270" s="63">
        <v>10.03708</v>
      </c>
      <c r="D2270" s="63">
        <v>105.7543</v>
      </c>
      <c r="E2270" s="64">
        <v>3.533</v>
      </c>
    </row>
    <row r="2271" ht="22.5" customHeight="1">
      <c r="A2271" s="66">
        <v>10.77014</v>
      </c>
      <c r="B2271" s="67">
        <v>106.7009</v>
      </c>
      <c r="C2271" s="67">
        <v>10.755</v>
      </c>
      <c r="D2271" s="67">
        <v>106.6705</v>
      </c>
      <c r="E2271" s="68">
        <v>5.108</v>
      </c>
    </row>
    <row r="2272" ht="22.5" customHeight="1">
      <c r="A2272" s="61">
        <v>10.77014</v>
      </c>
      <c r="B2272" s="63">
        <v>106.7009</v>
      </c>
      <c r="C2272" s="63">
        <v>10.75643</v>
      </c>
      <c r="D2272" s="63">
        <v>106.6734</v>
      </c>
      <c r="E2272" s="64">
        <v>4.546</v>
      </c>
    </row>
    <row r="2273" ht="22.5" customHeight="1">
      <c r="A2273" s="66">
        <v>10.77014</v>
      </c>
      <c r="B2273" s="67">
        <v>106.7009</v>
      </c>
      <c r="C2273" s="67">
        <v>10.75695</v>
      </c>
      <c r="D2273" s="67">
        <v>106.671</v>
      </c>
      <c r="E2273" s="68">
        <v>4.17</v>
      </c>
    </row>
    <row r="2274" ht="22.5" customHeight="1">
      <c r="A2274" s="61">
        <v>10.77014</v>
      </c>
      <c r="B2274" s="63">
        <v>106.7009</v>
      </c>
      <c r="C2274" s="63">
        <v>10.75907</v>
      </c>
      <c r="D2274" s="63">
        <v>106.6988</v>
      </c>
      <c r="E2274" s="64">
        <v>1.72</v>
      </c>
    </row>
    <row r="2275" ht="22.5" customHeight="1">
      <c r="A2275" s="66">
        <v>10.77014</v>
      </c>
      <c r="B2275" s="67">
        <v>106.7009</v>
      </c>
      <c r="C2275" s="67">
        <v>10.75947</v>
      </c>
      <c r="D2275" s="67">
        <v>106.6805</v>
      </c>
      <c r="E2275" s="68">
        <v>3.079</v>
      </c>
    </row>
    <row r="2276" ht="22.5" customHeight="1">
      <c r="A2276" s="61">
        <v>10.77014</v>
      </c>
      <c r="B2276" s="63">
        <v>106.7009</v>
      </c>
      <c r="C2276" s="63">
        <v>10.75998</v>
      </c>
      <c r="D2276" s="63">
        <v>106.6727</v>
      </c>
      <c r="E2276" s="64">
        <v>4.097</v>
      </c>
    </row>
    <row r="2277" ht="22.5" customHeight="1">
      <c r="A2277" s="66">
        <v>10.77014</v>
      </c>
      <c r="B2277" s="67">
        <v>106.7009</v>
      </c>
      <c r="C2277" s="67">
        <v>10.76163</v>
      </c>
      <c r="D2277" s="67">
        <v>106.6769</v>
      </c>
      <c r="E2277" s="68">
        <v>3.743</v>
      </c>
    </row>
    <row r="2278" ht="22.5" customHeight="1">
      <c r="A2278" s="61">
        <v>10.77014</v>
      </c>
      <c r="B2278" s="63">
        <v>106.7009</v>
      </c>
      <c r="C2278" s="63">
        <v>10.76561</v>
      </c>
      <c r="D2278" s="63">
        <v>106.6823</v>
      </c>
      <c r="E2278" s="64">
        <v>3.285</v>
      </c>
    </row>
    <row r="2279" ht="22.5" customHeight="1">
      <c r="A2279" s="66">
        <v>10.77014</v>
      </c>
      <c r="B2279" s="67">
        <v>106.7009</v>
      </c>
      <c r="C2279" s="67">
        <v>10.76743</v>
      </c>
      <c r="D2279" s="67">
        <v>106.6809</v>
      </c>
      <c r="E2279" s="68">
        <v>3.034</v>
      </c>
    </row>
    <row r="2280" ht="22.5" customHeight="1">
      <c r="A2280" s="61">
        <v>10.77014</v>
      </c>
      <c r="B2280" s="63">
        <v>106.7009</v>
      </c>
      <c r="C2280" s="63">
        <v>10.76913</v>
      </c>
      <c r="D2280" s="63">
        <v>106.6615</v>
      </c>
      <c r="E2280" s="64">
        <v>5.368</v>
      </c>
    </row>
    <row r="2281" ht="22.5" customHeight="1">
      <c r="A2281" s="66">
        <v>10.77014</v>
      </c>
      <c r="B2281" s="67">
        <v>106.7009</v>
      </c>
      <c r="C2281" s="67">
        <v>10.76978</v>
      </c>
      <c r="D2281" s="67">
        <v>106.6909</v>
      </c>
      <c r="E2281" s="68">
        <v>1.649</v>
      </c>
    </row>
    <row r="2282" ht="22.5" customHeight="1">
      <c r="A2282" s="61">
        <v>10.77014</v>
      </c>
      <c r="B2282" s="63">
        <v>106.7009</v>
      </c>
      <c r="C2282" s="63">
        <v>10.77509</v>
      </c>
      <c r="D2282" s="63">
        <v>106.6727</v>
      </c>
      <c r="E2282" s="64">
        <v>3.922</v>
      </c>
    </row>
    <row r="2283" ht="22.5" customHeight="1">
      <c r="A2283" s="66">
        <v>10.77014</v>
      </c>
      <c r="B2283" s="67">
        <v>106.7009</v>
      </c>
      <c r="C2283" s="67">
        <v>10.77641</v>
      </c>
      <c r="D2283" s="67">
        <v>106.6866</v>
      </c>
      <c r="E2283" s="68">
        <v>2.57</v>
      </c>
    </row>
    <row r="2284" ht="22.5" customHeight="1">
      <c r="A2284" s="61">
        <v>10.77014</v>
      </c>
      <c r="B2284" s="63">
        <v>106.7009</v>
      </c>
      <c r="C2284" s="63">
        <v>10.7785</v>
      </c>
      <c r="D2284" s="63">
        <v>106.6858</v>
      </c>
      <c r="E2284" s="64">
        <v>2.795</v>
      </c>
    </row>
    <row r="2285" ht="22.5" customHeight="1">
      <c r="A2285" s="66">
        <v>10.77014</v>
      </c>
      <c r="B2285" s="67">
        <v>106.7009</v>
      </c>
      <c r="C2285" s="67">
        <v>10.77971</v>
      </c>
      <c r="D2285" s="67">
        <v>106.7008</v>
      </c>
      <c r="E2285" s="68">
        <v>1.854</v>
      </c>
    </row>
    <row r="2286" ht="22.5" customHeight="1">
      <c r="A2286" s="61">
        <v>10.77014</v>
      </c>
      <c r="B2286" s="63">
        <v>106.7009</v>
      </c>
      <c r="C2286" s="63">
        <v>10.78319</v>
      </c>
      <c r="D2286" s="63">
        <v>106.6717</v>
      </c>
      <c r="E2286" s="64">
        <v>3.962</v>
      </c>
    </row>
    <row r="2287" ht="22.5" customHeight="1">
      <c r="A2287" s="66">
        <v>10.77014</v>
      </c>
      <c r="B2287" s="67">
        <v>106.7009</v>
      </c>
      <c r="C2287" s="67">
        <v>10.79061</v>
      </c>
      <c r="D2287" s="67">
        <v>106.6883</v>
      </c>
      <c r="E2287" s="68">
        <v>3.547</v>
      </c>
    </row>
    <row r="2288" ht="22.5" customHeight="1">
      <c r="A2288" s="61">
        <v>10.77018</v>
      </c>
      <c r="B2288" s="63">
        <v>106.7017</v>
      </c>
      <c r="C2288" s="63">
        <v>10.77509</v>
      </c>
      <c r="D2288" s="63">
        <v>106.6727</v>
      </c>
      <c r="E2288" s="64">
        <v>4.167</v>
      </c>
    </row>
    <row r="2289" ht="22.5" customHeight="1">
      <c r="A2289" s="66">
        <v>10.77032</v>
      </c>
      <c r="B2289" s="67">
        <v>106.6723</v>
      </c>
      <c r="C2289" s="67">
        <v>10.71016</v>
      </c>
      <c r="D2289" s="67">
        <v>106.5747</v>
      </c>
      <c r="E2289" s="68">
        <v>15.775</v>
      </c>
    </row>
    <row r="2290" ht="22.5" customHeight="1">
      <c r="A2290" s="61">
        <v>10.77032</v>
      </c>
      <c r="B2290" s="63">
        <v>106.6723</v>
      </c>
      <c r="C2290" s="63">
        <v>10.76283</v>
      </c>
      <c r="D2290" s="63">
        <v>106.6684</v>
      </c>
      <c r="E2290" s="64">
        <v>1.438</v>
      </c>
    </row>
    <row r="2291" ht="22.5" customHeight="1">
      <c r="A2291" s="66">
        <v>10.77032</v>
      </c>
      <c r="B2291" s="67">
        <v>106.6723</v>
      </c>
      <c r="C2291" s="67">
        <v>10.76486</v>
      </c>
      <c r="D2291" s="67">
        <v>106.6756</v>
      </c>
      <c r="E2291" s="68">
        <v>1.764</v>
      </c>
    </row>
    <row r="2292" ht="22.5" customHeight="1">
      <c r="A2292" s="61">
        <v>10.77032</v>
      </c>
      <c r="B2292" s="63">
        <v>106.6723</v>
      </c>
      <c r="C2292" s="63">
        <v>10.76913</v>
      </c>
      <c r="D2292" s="63">
        <v>106.6615</v>
      </c>
      <c r="E2292" s="64">
        <v>1.403</v>
      </c>
    </row>
    <row r="2293" ht="22.5" customHeight="1">
      <c r="A2293" s="66">
        <v>10.77032</v>
      </c>
      <c r="B2293" s="67">
        <v>106.6723</v>
      </c>
      <c r="C2293" s="67">
        <v>10.7733</v>
      </c>
      <c r="D2293" s="67">
        <v>106.6687</v>
      </c>
      <c r="E2293" s="68">
        <v>0.876</v>
      </c>
    </row>
    <row r="2294" ht="22.5" customHeight="1">
      <c r="A2294" s="61">
        <v>10.77032</v>
      </c>
      <c r="B2294" s="63">
        <v>106.6723</v>
      </c>
      <c r="C2294" s="63">
        <v>10.77391</v>
      </c>
      <c r="D2294" s="63">
        <v>106.6782</v>
      </c>
      <c r="E2294" s="64">
        <v>0.759</v>
      </c>
    </row>
    <row r="2295" ht="22.5" customHeight="1">
      <c r="A2295" s="66">
        <v>10.77032</v>
      </c>
      <c r="B2295" s="67">
        <v>106.6723</v>
      </c>
      <c r="C2295" s="67">
        <v>10.77479</v>
      </c>
      <c r="D2295" s="67">
        <v>106.6885</v>
      </c>
      <c r="E2295" s="68">
        <v>3.16</v>
      </c>
    </row>
    <row r="2296" ht="22.5" customHeight="1">
      <c r="A2296" s="61">
        <v>10.77032</v>
      </c>
      <c r="B2296" s="63">
        <v>106.6723</v>
      </c>
      <c r="C2296" s="63">
        <v>10.77503</v>
      </c>
      <c r="D2296" s="63">
        <v>106.6737</v>
      </c>
      <c r="E2296" s="64">
        <v>1.002</v>
      </c>
    </row>
    <row r="2297" ht="22.5" customHeight="1">
      <c r="A2297" s="66">
        <v>10.77032</v>
      </c>
      <c r="B2297" s="67">
        <v>106.6723</v>
      </c>
      <c r="C2297" s="67">
        <v>10.77509</v>
      </c>
      <c r="D2297" s="67">
        <v>106.6727</v>
      </c>
      <c r="E2297" s="68">
        <v>0.882</v>
      </c>
    </row>
    <row r="2298" ht="22.5" customHeight="1">
      <c r="A2298" s="61">
        <v>10.77032</v>
      </c>
      <c r="B2298" s="63">
        <v>106.6723</v>
      </c>
      <c r="C2298" s="63">
        <v>10.77525</v>
      </c>
      <c r="D2298" s="63">
        <v>106.6592</v>
      </c>
      <c r="E2298" s="64">
        <v>2.276</v>
      </c>
    </row>
    <row r="2299" ht="22.5" customHeight="1">
      <c r="A2299" s="66">
        <v>10.77032</v>
      </c>
      <c r="B2299" s="67">
        <v>106.6723</v>
      </c>
      <c r="C2299" s="67">
        <v>10.77641</v>
      </c>
      <c r="D2299" s="67">
        <v>106.6866</v>
      </c>
      <c r="E2299" s="68">
        <v>2.65</v>
      </c>
    </row>
    <row r="2300" ht="22.5" customHeight="1">
      <c r="A2300" s="61">
        <v>10.77032</v>
      </c>
      <c r="B2300" s="63">
        <v>106.6723</v>
      </c>
      <c r="C2300" s="63">
        <v>10.77727</v>
      </c>
      <c r="D2300" s="63">
        <v>106.6795</v>
      </c>
      <c r="E2300" s="64">
        <v>1.168</v>
      </c>
    </row>
    <row r="2301" ht="22.5" customHeight="1">
      <c r="A2301" s="66">
        <v>10.77032</v>
      </c>
      <c r="B2301" s="67">
        <v>106.6723</v>
      </c>
      <c r="C2301" s="67">
        <v>10.77918</v>
      </c>
      <c r="D2301" s="67">
        <v>106.6903</v>
      </c>
      <c r="E2301" s="68">
        <v>3.185</v>
      </c>
    </row>
    <row r="2302" ht="22.5" customHeight="1">
      <c r="A2302" s="61">
        <v>10.77051</v>
      </c>
      <c r="B2302" s="63">
        <v>106.6594</v>
      </c>
      <c r="C2302" s="63">
        <v>10.76913</v>
      </c>
      <c r="D2302" s="63">
        <v>106.6615</v>
      </c>
      <c r="E2302" s="64">
        <v>0.934</v>
      </c>
    </row>
    <row r="2303" ht="22.5" customHeight="1">
      <c r="A2303" s="66">
        <v>10.77051</v>
      </c>
      <c r="B2303" s="67">
        <v>106.6594</v>
      </c>
      <c r="C2303" s="67">
        <v>10.77525</v>
      </c>
      <c r="D2303" s="67">
        <v>106.6592</v>
      </c>
      <c r="E2303" s="68">
        <v>0.806</v>
      </c>
    </row>
    <row r="2304" ht="22.5" customHeight="1">
      <c r="A2304" s="61">
        <v>10.77065</v>
      </c>
      <c r="B2304" s="63">
        <v>106.6646</v>
      </c>
      <c r="C2304" s="63">
        <v>10.75695</v>
      </c>
      <c r="D2304" s="63">
        <v>106.671</v>
      </c>
      <c r="E2304" s="64">
        <v>2.143</v>
      </c>
    </row>
    <row r="2305" ht="22.5" customHeight="1">
      <c r="A2305" s="66">
        <v>10.77065</v>
      </c>
      <c r="B2305" s="67">
        <v>106.6646</v>
      </c>
      <c r="C2305" s="67">
        <v>10.75986</v>
      </c>
      <c r="D2305" s="67">
        <v>106.677</v>
      </c>
      <c r="E2305" s="68">
        <v>2.695</v>
      </c>
    </row>
    <row r="2306" ht="22.5" customHeight="1">
      <c r="A2306" s="61">
        <v>10.77065</v>
      </c>
      <c r="B2306" s="63">
        <v>106.6646</v>
      </c>
      <c r="C2306" s="63">
        <v>10.77509</v>
      </c>
      <c r="D2306" s="63">
        <v>106.6727</v>
      </c>
      <c r="E2306" s="64">
        <v>1.529</v>
      </c>
    </row>
    <row r="2307" ht="22.5" customHeight="1">
      <c r="A2307" s="66">
        <v>10.77074</v>
      </c>
      <c r="B2307" s="67">
        <v>106.6594</v>
      </c>
      <c r="C2307" s="67">
        <v>10.76707</v>
      </c>
      <c r="D2307" s="67">
        <v>106.6493</v>
      </c>
      <c r="E2307" s="68">
        <v>1.513</v>
      </c>
    </row>
    <row r="2308" ht="22.5" customHeight="1">
      <c r="A2308" s="61">
        <v>10.77074</v>
      </c>
      <c r="B2308" s="63">
        <v>106.6594</v>
      </c>
      <c r="C2308" s="63">
        <v>10.77509</v>
      </c>
      <c r="D2308" s="63">
        <v>106.6727</v>
      </c>
      <c r="E2308" s="64">
        <v>2.442</v>
      </c>
    </row>
    <row r="2309" ht="22.5" customHeight="1">
      <c r="A2309" s="66">
        <v>10.77159</v>
      </c>
      <c r="B2309" s="67">
        <v>106.6526</v>
      </c>
      <c r="C2309" s="67">
        <v>10.76651</v>
      </c>
      <c r="D2309" s="67">
        <v>106.6431</v>
      </c>
      <c r="E2309" s="68">
        <v>1.392</v>
      </c>
    </row>
    <row r="2310" ht="22.5" customHeight="1">
      <c r="A2310" s="61">
        <v>10.77159</v>
      </c>
      <c r="B2310" s="63">
        <v>106.6526</v>
      </c>
      <c r="C2310" s="63">
        <v>10.76707</v>
      </c>
      <c r="D2310" s="63">
        <v>106.6493</v>
      </c>
      <c r="E2310" s="64">
        <v>0.7</v>
      </c>
    </row>
    <row r="2311" ht="22.5" customHeight="1">
      <c r="A2311" s="66">
        <v>10.77159</v>
      </c>
      <c r="B2311" s="67">
        <v>106.6526</v>
      </c>
      <c r="C2311" s="67">
        <v>10.7692</v>
      </c>
      <c r="D2311" s="67">
        <v>106.6516</v>
      </c>
      <c r="E2311" s="68">
        <v>0.28</v>
      </c>
    </row>
    <row r="2312" ht="22.5" customHeight="1">
      <c r="A2312" s="61">
        <v>10.77159</v>
      </c>
      <c r="B2312" s="63">
        <v>106.6526</v>
      </c>
      <c r="C2312" s="63">
        <v>10.77509</v>
      </c>
      <c r="D2312" s="63">
        <v>106.6727</v>
      </c>
      <c r="E2312" s="64">
        <v>3.6</v>
      </c>
    </row>
    <row r="2313" ht="22.5" customHeight="1">
      <c r="A2313" s="66">
        <v>10.77159</v>
      </c>
      <c r="B2313" s="67">
        <v>106.6526</v>
      </c>
      <c r="C2313" s="67">
        <v>10.80369</v>
      </c>
      <c r="D2313" s="67">
        <v>106.6323</v>
      </c>
      <c r="E2313" s="68">
        <v>5.611</v>
      </c>
    </row>
    <row r="2314" ht="22.5" customHeight="1">
      <c r="A2314" s="61">
        <v>10.7716</v>
      </c>
      <c r="B2314" s="63">
        <v>106.6285</v>
      </c>
      <c r="C2314" s="63">
        <v>10.76925</v>
      </c>
      <c r="D2314" s="63">
        <v>106.626</v>
      </c>
      <c r="E2314" s="64">
        <v>1.483</v>
      </c>
    </row>
    <row r="2315" ht="22.5" customHeight="1">
      <c r="A2315" s="66">
        <v>10.7716</v>
      </c>
      <c r="B2315" s="67">
        <v>106.6285</v>
      </c>
      <c r="C2315" s="67">
        <v>10.77231</v>
      </c>
      <c r="D2315" s="67">
        <v>106.6319</v>
      </c>
      <c r="E2315" s="68">
        <v>1.285</v>
      </c>
    </row>
    <row r="2316" ht="22.5" customHeight="1">
      <c r="A2316" s="61">
        <v>10.7716</v>
      </c>
      <c r="B2316" s="63">
        <v>106.6285</v>
      </c>
      <c r="C2316" s="63">
        <v>10.77995</v>
      </c>
      <c r="D2316" s="63">
        <v>106.6498</v>
      </c>
      <c r="E2316" s="64">
        <v>3.799</v>
      </c>
    </row>
    <row r="2317" ht="22.5" customHeight="1">
      <c r="A2317" s="66">
        <v>10.7716</v>
      </c>
      <c r="B2317" s="67">
        <v>106.6285</v>
      </c>
      <c r="C2317" s="67">
        <v>10.78099</v>
      </c>
      <c r="D2317" s="67">
        <v>106.6261</v>
      </c>
      <c r="E2317" s="68">
        <v>2.164</v>
      </c>
    </row>
    <row r="2318" ht="22.5" customHeight="1">
      <c r="A2318" s="61">
        <v>10.7716</v>
      </c>
      <c r="B2318" s="63">
        <v>106.6285</v>
      </c>
      <c r="C2318" s="63">
        <v>10.78175</v>
      </c>
      <c r="D2318" s="63">
        <v>106.6306</v>
      </c>
      <c r="E2318" s="64">
        <v>2.106</v>
      </c>
    </row>
    <row r="2319" ht="22.5" customHeight="1">
      <c r="A2319" s="66">
        <v>10.7716</v>
      </c>
      <c r="B2319" s="67">
        <v>106.6285</v>
      </c>
      <c r="C2319" s="67">
        <v>10.78264</v>
      </c>
      <c r="D2319" s="67">
        <v>106.6267</v>
      </c>
      <c r="E2319" s="68">
        <v>2.383</v>
      </c>
    </row>
    <row r="2320" ht="22.5" customHeight="1">
      <c r="A2320" s="61">
        <v>10.7716</v>
      </c>
      <c r="B2320" s="63">
        <v>106.6285</v>
      </c>
      <c r="C2320" s="63">
        <v>10.78294</v>
      </c>
      <c r="D2320" s="63">
        <v>106.6506</v>
      </c>
      <c r="E2320" s="64">
        <v>3.932</v>
      </c>
    </row>
    <row r="2321" ht="22.5" customHeight="1">
      <c r="A2321" s="66">
        <v>10.7716</v>
      </c>
      <c r="B2321" s="67">
        <v>106.6285</v>
      </c>
      <c r="C2321" s="67">
        <v>10.79435</v>
      </c>
      <c r="D2321" s="67">
        <v>106.6382</v>
      </c>
      <c r="E2321" s="68">
        <v>3.225</v>
      </c>
    </row>
    <row r="2322" ht="22.5" customHeight="1">
      <c r="A2322" s="61">
        <v>10.7716</v>
      </c>
      <c r="B2322" s="63">
        <v>106.6285</v>
      </c>
      <c r="C2322" s="63">
        <v>10.79525</v>
      </c>
      <c r="D2322" s="63">
        <v>106.6294</v>
      </c>
      <c r="E2322" s="64">
        <v>4.1</v>
      </c>
    </row>
    <row r="2323" ht="22.5" customHeight="1">
      <c r="A2323" s="66">
        <v>10.7716</v>
      </c>
      <c r="B2323" s="67">
        <v>106.587</v>
      </c>
      <c r="C2323" s="67">
        <v>10.7252</v>
      </c>
      <c r="D2323" s="67">
        <v>106.6094</v>
      </c>
      <c r="E2323" s="68">
        <v>6.148</v>
      </c>
    </row>
    <row r="2324" ht="22.5" customHeight="1">
      <c r="A2324" s="61">
        <v>10.7716</v>
      </c>
      <c r="B2324" s="63">
        <v>106.587</v>
      </c>
      <c r="C2324" s="63">
        <v>10.73905</v>
      </c>
      <c r="D2324" s="63">
        <v>106.6327</v>
      </c>
      <c r="E2324" s="64">
        <v>7.958</v>
      </c>
    </row>
    <row r="2325" ht="22.5" customHeight="1">
      <c r="A2325" s="66">
        <v>10.7716</v>
      </c>
      <c r="B2325" s="67">
        <v>106.587</v>
      </c>
      <c r="C2325" s="67">
        <v>10.74602</v>
      </c>
      <c r="D2325" s="67">
        <v>106.6123</v>
      </c>
      <c r="E2325" s="68">
        <v>4.8</v>
      </c>
    </row>
    <row r="2326" ht="22.5" customHeight="1">
      <c r="A2326" s="61">
        <v>10.7716</v>
      </c>
      <c r="B2326" s="63">
        <v>106.587</v>
      </c>
      <c r="C2326" s="63">
        <v>10.75168</v>
      </c>
      <c r="D2326" s="63">
        <v>106.6103</v>
      </c>
      <c r="E2326" s="64">
        <v>4.664</v>
      </c>
    </row>
    <row r="2327" ht="22.5" customHeight="1">
      <c r="A2327" s="66">
        <v>10.7716</v>
      </c>
      <c r="B2327" s="67">
        <v>106.587</v>
      </c>
      <c r="C2327" s="67">
        <v>10.75191</v>
      </c>
      <c r="D2327" s="67">
        <v>106.6006</v>
      </c>
      <c r="E2327" s="68">
        <v>4.138</v>
      </c>
    </row>
    <row r="2328" ht="22.5" customHeight="1">
      <c r="A2328" s="61">
        <v>10.7716</v>
      </c>
      <c r="B2328" s="63">
        <v>106.587</v>
      </c>
      <c r="C2328" s="63">
        <v>10.75347</v>
      </c>
      <c r="D2328" s="63">
        <v>106.5931</v>
      </c>
      <c r="E2328" s="64">
        <v>5.293</v>
      </c>
    </row>
    <row r="2329" ht="22.5" customHeight="1">
      <c r="A2329" s="66">
        <v>10.7716</v>
      </c>
      <c r="B2329" s="67">
        <v>106.587</v>
      </c>
      <c r="C2329" s="67">
        <v>10.76707</v>
      </c>
      <c r="D2329" s="67">
        <v>106.6493</v>
      </c>
      <c r="E2329" s="68">
        <v>8.4</v>
      </c>
    </row>
    <row r="2330" ht="22.5" customHeight="1">
      <c r="A2330" s="61">
        <v>10.7716</v>
      </c>
      <c r="B2330" s="63">
        <v>106.587</v>
      </c>
      <c r="C2330" s="63">
        <v>10.76809</v>
      </c>
      <c r="D2330" s="63">
        <v>106.6092</v>
      </c>
      <c r="E2330" s="64">
        <v>2.725</v>
      </c>
    </row>
    <row r="2331" ht="22.5" customHeight="1">
      <c r="A2331" s="66">
        <v>10.7716</v>
      </c>
      <c r="B2331" s="67">
        <v>106.587</v>
      </c>
      <c r="C2331" s="67">
        <v>10.77167</v>
      </c>
      <c r="D2331" s="67">
        <v>106.5865</v>
      </c>
      <c r="E2331" s="68">
        <v>0.007</v>
      </c>
    </row>
    <row r="2332" ht="22.5" customHeight="1">
      <c r="A2332" s="61">
        <v>10.7716</v>
      </c>
      <c r="B2332" s="63">
        <v>106.587</v>
      </c>
      <c r="C2332" s="63">
        <v>10.77509</v>
      </c>
      <c r="D2332" s="63">
        <v>106.6727</v>
      </c>
      <c r="E2332" s="64">
        <v>11.2</v>
      </c>
    </row>
    <row r="2333" ht="22.5" customHeight="1">
      <c r="A2333" s="66">
        <v>10.7716</v>
      </c>
      <c r="B2333" s="67">
        <v>106.587</v>
      </c>
      <c r="C2333" s="67">
        <v>10.77552</v>
      </c>
      <c r="D2333" s="67">
        <v>106.6091</v>
      </c>
      <c r="E2333" s="68">
        <v>3.591</v>
      </c>
    </row>
    <row r="2334" ht="22.5" customHeight="1">
      <c r="A2334" s="61">
        <v>10.7716</v>
      </c>
      <c r="B2334" s="63">
        <v>106.587</v>
      </c>
      <c r="C2334" s="63">
        <v>10.77584</v>
      </c>
      <c r="D2334" s="63">
        <v>106.6133</v>
      </c>
      <c r="E2334" s="64">
        <v>3.987</v>
      </c>
    </row>
    <row r="2335" ht="22.5" customHeight="1">
      <c r="A2335" s="66">
        <v>10.7716</v>
      </c>
      <c r="B2335" s="67">
        <v>106.587</v>
      </c>
      <c r="C2335" s="67">
        <v>10.77618</v>
      </c>
      <c r="D2335" s="67">
        <v>106.607</v>
      </c>
      <c r="E2335" s="68">
        <v>3.3</v>
      </c>
    </row>
    <row r="2336" ht="22.5" customHeight="1">
      <c r="A2336" s="61">
        <v>10.7716</v>
      </c>
      <c r="B2336" s="63">
        <v>106.587</v>
      </c>
      <c r="C2336" s="63">
        <v>10.78747</v>
      </c>
      <c r="D2336" s="63">
        <v>106.5981</v>
      </c>
      <c r="E2336" s="64">
        <v>4.461</v>
      </c>
    </row>
    <row r="2337" ht="22.5" customHeight="1">
      <c r="A2337" s="66">
        <v>10.7716</v>
      </c>
      <c r="B2337" s="67">
        <v>106.587</v>
      </c>
      <c r="C2337" s="67">
        <v>10.79435</v>
      </c>
      <c r="D2337" s="67">
        <v>106.6382</v>
      </c>
      <c r="E2337" s="68">
        <v>8.134</v>
      </c>
    </row>
    <row r="2338" ht="22.5" customHeight="1">
      <c r="A2338" s="61">
        <v>10.77163</v>
      </c>
      <c r="B2338" s="63">
        <v>106.6776</v>
      </c>
      <c r="C2338" s="63">
        <v>10.75267</v>
      </c>
      <c r="D2338" s="63">
        <v>106.6789</v>
      </c>
      <c r="E2338" s="64">
        <v>3.214</v>
      </c>
    </row>
    <row r="2339" ht="22.5" customHeight="1">
      <c r="A2339" s="66">
        <v>10.77163</v>
      </c>
      <c r="B2339" s="67">
        <v>106.6776</v>
      </c>
      <c r="C2339" s="67">
        <v>10.76244</v>
      </c>
      <c r="D2339" s="67">
        <v>106.6704</v>
      </c>
      <c r="E2339" s="68">
        <v>2.119</v>
      </c>
    </row>
    <row r="2340" ht="22.5" customHeight="1">
      <c r="A2340" s="61">
        <v>10.77163</v>
      </c>
      <c r="B2340" s="63">
        <v>106.6776</v>
      </c>
      <c r="C2340" s="63">
        <v>10.76978</v>
      </c>
      <c r="D2340" s="63">
        <v>106.6909</v>
      </c>
      <c r="E2340" s="64">
        <v>1.9</v>
      </c>
    </row>
    <row r="2341" ht="22.5" customHeight="1">
      <c r="A2341" s="66">
        <v>10.77163</v>
      </c>
      <c r="B2341" s="67">
        <v>106.6776</v>
      </c>
      <c r="C2341" s="67">
        <v>10.76987</v>
      </c>
      <c r="D2341" s="67">
        <v>106.6856</v>
      </c>
      <c r="E2341" s="68">
        <v>1.3</v>
      </c>
    </row>
    <row r="2342" ht="22.5" customHeight="1">
      <c r="A2342" s="61">
        <v>10.77163</v>
      </c>
      <c r="B2342" s="63">
        <v>106.6776</v>
      </c>
      <c r="C2342" s="63">
        <v>10.77476</v>
      </c>
      <c r="D2342" s="63">
        <v>106.6683</v>
      </c>
      <c r="E2342" s="64">
        <v>1.972</v>
      </c>
    </row>
    <row r="2343" ht="22.5" customHeight="1">
      <c r="A2343" s="66">
        <v>10.77163</v>
      </c>
      <c r="B2343" s="67">
        <v>106.6776</v>
      </c>
      <c r="C2343" s="67">
        <v>10.77509</v>
      </c>
      <c r="D2343" s="67">
        <v>106.6727</v>
      </c>
      <c r="E2343" s="68">
        <v>1.0</v>
      </c>
    </row>
    <row r="2344" ht="22.5" customHeight="1">
      <c r="A2344" s="61">
        <v>10.77163</v>
      </c>
      <c r="B2344" s="63">
        <v>106.6776</v>
      </c>
      <c r="C2344" s="63">
        <v>10.77525</v>
      </c>
      <c r="D2344" s="63">
        <v>106.6592</v>
      </c>
      <c r="E2344" s="64">
        <v>3.4</v>
      </c>
    </row>
    <row r="2345" ht="22.5" customHeight="1">
      <c r="A2345" s="66">
        <v>10.77163</v>
      </c>
      <c r="B2345" s="67">
        <v>106.6776</v>
      </c>
      <c r="C2345" s="67">
        <v>10.77526</v>
      </c>
      <c r="D2345" s="67">
        <v>106.6823</v>
      </c>
      <c r="E2345" s="68">
        <v>0.7</v>
      </c>
    </row>
    <row r="2346" ht="22.5" customHeight="1">
      <c r="A2346" s="61">
        <v>10.77163</v>
      </c>
      <c r="B2346" s="63">
        <v>106.6776</v>
      </c>
      <c r="C2346" s="63">
        <v>10.78607</v>
      </c>
      <c r="D2346" s="63">
        <v>106.6877</v>
      </c>
      <c r="E2346" s="64">
        <v>2.5</v>
      </c>
    </row>
    <row r="2347" ht="22.5" customHeight="1">
      <c r="A2347" s="66">
        <v>10.77167</v>
      </c>
      <c r="B2347" s="67">
        <v>106.5865</v>
      </c>
      <c r="C2347" s="67">
        <v>10.71016</v>
      </c>
      <c r="D2347" s="67">
        <v>106.5747</v>
      </c>
      <c r="E2347" s="68">
        <v>8.361</v>
      </c>
    </row>
    <row r="2348" ht="22.5" customHeight="1">
      <c r="A2348" s="61">
        <v>10.77167</v>
      </c>
      <c r="B2348" s="63">
        <v>106.5865</v>
      </c>
      <c r="C2348" s="63">
        <v>10.7252</v>
      </c>
      <c r="D2348" s="63">
        <v>106.6094</v>
      </c>
      <c r="E2348" s="64">
        <v>6.139</v>
      </c>
    </row>
    <row r="2349" ht="22.5" customHeight="1">
      <c r="A2349" s="66">
        <v>10.77167</v>
      </c>
      <c r="B2349" s="67">
        <v>106.5865</v>
      </c>
      <c r="C2349" s="67">
        <v>10.73897</v>
      </c>
      <c r="D2349" s="67">
        <v>106.6149</v>
      </c>
      <c r="E2349" s="68">
        <v>6.068</v>
      </c>
    </row>
    <row r="2350" ht="22.5" customHeight="1">
      <c r="A2350" s="61">
        <v>10.77167</v>
      </c>
      <c r="B2350" s="63">
        <v>106.5865</v>
      </c>
      <c r="C2350" s="63">
        <v>10.73908</v>
      </c>
      <c r="D2350" s="63">
        <v>106.6149</v>
      </c>
      <c r="E2350" s="64">
        <v>6.058</v>
      </c>
    </row>
    <row r="2351" ht="22.5" customHeight="1">
      <c r="A2351" s="66">
        <v>10.77167</v>
      </c>
      <c r="B2351" s="67">
        <v>106.5865</v>
      </c>
      <c r="C2351" s="67">
        <v>10.7406</v>
      </c>
      <c r="D2351" s="67">
        <v>106.6072</v>
      </c>
      <c r="E2351" s="68">
        <v>5.919</v>
      </c>
    </row>
    <row r="2352" ht="22.5" customHeight="1">
      <c r="A2352" s="61">
        <v>10.77167</v>
      </c>
      <c r="B2352" s="63">
        <v>106.5865</v>
      </c>
      <c r="C2352" s="63">
        <v>10.7444</v>
      </c>
      <c r="D2352" s="63">
        <v>106.6304</v>
      </c>
      <c r="E2352" s="64">
        <v>7.515</v>
      </c>
    </row>
    <row r="2353" ht="22.5" customHeight="1">
      <c r="A2353" s="66">
        <v>10.77167</v>
      </c>
      <c r="B2353" s="67">
        <v>106.5865</v>
      </c>
      <c r="C2353" s="67">
        <v>10.74602</v>
      </c>
      <c r="D2353" s="67">
        <v>106.6123</v>
      </c>
      <c r="E2353" s="68">
        <v>4.795</v>
      </c>
    </row>
    <row r="2354" ht="22.5" customHeight="1">
      <c r="A2354" s="61">
        <v>10.77167</v>
      </c>
      <c r="B2354" s="63">
        <v>106.5865</v>
      </c>
      <c r="C2354" s="63">
        <v>10.75168</v>
      </c>
      <c r="D2354" s="63">
        <v>106.6103</v>
      </c>
      <c r="E2354" s="64">
        <v>4.161</v>
      </c>
    </row>
    <row r="2355" ht="22.5" customHeight="1">
      <c r="A2355" s="66">
        <v>10.77167</v>
      </c>
      <c r="B2355" s="67">
        <v>106.5865</v>
      </c>
      <c r="C2355" s="67">
        <v>10.75347</v>
      </c>
      <c r="D2355" s="67">
        <v>106.5931</v>
      </c>
      <c r="E2355" s="68">
        <v>2.498</v>
      </c>
    </row>
    <row r="2356" ht="22.5" customHeight="1">
      <c r="A2356" s="61">
        <v>10.77167</v>
      </c>
      <c r="B2356" s="63">
        <v>106.5865</v>
      </c>
      <c r="C2356" s="63">
        <v>10.75587</v>
      </c>
      <c r="D2356" s="63">
        <v>106.5924</v>
      </c>
      <c r="E2356" s="64">
        <v>5.732</v>
      </c>
    </row>
    <row r="2357" ht="22.5" customHeight="1">
      <c r="A2357" s="66">
        <v>10.77167</v>
      </c>
      <c r="B2357" s="67">
        <v>106.5865</v>
      </c>
      <c r="C2357" s="67">
        <v>10.75591</v>
      </c>
      <c r="D2357" s="67">
        <v>106.611</v>
      </c>
      <c r="E2357" s="68">
        <v>3.969</v>
      </c>
    </row>
    <row r="2358" ht="22.5" customHeight="1">
      <c r="A2358" s="61">
        <v>10.77167</v>
      </c>
      <c r="B2358" s="63">
        <v>106.5865</v>
      </c>
      <c r="C2358" s="63">
        <v>10.76707</v>
      </c>
      <c r="D2358" s="63">
        <v>106.6493</v>
      </c>
      <c r="E2358" s="64">
        <v>7.502</v>
      </c>
    </row>
    <row r="2359" ht="22.5" customHeight="1">
      <c r="A2359" s="66">
        <v>10.77167</v>
      </c>
      <c r="B2359" s="67">
        <v>106.5865</v>
      </c>
      <c r="C2359" s="67">
        <v>10.76809</v>
      </c>
      <c r="D2359" s="67">
        <v>106.6092</v>
      </c>
      <c r="E2359" s="68">
        <v>2.737</v>
      </c>
    </row>
    <row r="2360" ht="22.5" customHeight="1">
      <c r="A2360" s="61">
        <v>10.77167</v>
      </c>
      <c r="B2360" s="63">
        <v>106.5865</v>
      </c>
      <c r="C2360" s="63">
        <v>10.7716</v>
      </c>
      <c r="D2360" s="63">
        <v>106.587</v>
      </c>
      <c r="E2360" s="64">
        <v>0.005</v>
      </c>
    </row>
    <row r="2361" ht="22.5" customHeight="1">
      <c r="A2361" s="66">
        <v>10.77167</v>
      </c>
      <c r="B2361" s="67">
        <v>106.5865</v>
      </c>
      <c r="C2361" s="67">
        <v>10.77509</v>
      </c>
      <c r="D2361" s="67">
        <v>106.6727</v>
      </c>
      <c r="E2361" s="68">
        <v>11.916</v>
      </c>
    </row>
    <row r="2362" ht="22.5" customHeight="1">
      <c r="A2362" s="61">
        <v>10.77167</v>
      </c>
      <c r="B2362" s="63">
        <v>106.5865</v>
      </c>
      <c r="C2362" s="63">
        <v>10.77618</v>
      </c>
      <c r="D2362" s="63">
        <v>106.607</v>
      </c>
      <c r="E2362" s="64">
        <v>3.194</v>
      </c>
    </row>
    <row r="2363" ht="22.5" customHeight="1">
      <c r="A2363" s="66">
        <v>10.77167</v>
      </c>
      <c r="B2363" s="67">
        <v>106.5865</v>
      </c>
      <c r="C2363" s="67">
        <v>10.7765</v>
      </c>
      <c r="D2363" s="67">
        <v>106.6028</v>
      </c>
      <c r="E2363" s="68">
        <v>2.82</v>
      </c>
    </row>
    <row r="2364" ht="22.5" customHeight="1">
      <c r="A2364" s="61">
        <v>10.77167</v>
      </c>
      <c r="B2364" s="63">
        <v>106.5865</v>
      </c>
      <c r="C2364" s="63">
        <v>10.77656</v>
      </c>
      <c r="D2364" s="63">
        <v>106.6049</v>
      </c>
      <c r="E2364" s="64">
        <v>3.2</v>
      </c>
    </row>
    <row r="2365" ht="22.5" customHeight="1">
      <c r="A2365" s="66">
        <v>10.77167</v>
      </c>
      <c r="B2365" s="67">
        <v>106.5865</v>
      </c>
      <c r="C2365" s="67">
        <v>10.78747</v>
      </c>
      <c r="D2365" s="67">
        <v>106.5981</v>
      </c>
      <c r="E2365" s="68">
        <v>4.453</v>
      </c>
    </row>
    <row r="2366" ht="22.5" customHeight="1">
      <c r="A2366" s="61">
        <v>10.77167</v>
      </c>
      <c r="B2366" s="63">
        <v>106.5865</v>
      </c>
      <c r="C2366" s="63">
        <v>10.79435</v>
      </c>
      <c r="D2366" s="63">
        <v>106.6382</v>
      </c>
      <c r="E2366" s="64">
        <v>8.134</v>
      </c>
    </row>
    <row r="2367" ht="22.5" customHeight="1">
      <c r="A2367" s="66">
        <v>10.77167</v>
      </c>
      <c r="B2367" s="67">
        <v>106.5865</v>
      </c>
      <c r="C2367" s="67">
        <v>10.7972</v>
      </c>
      <c r="D2367" s="67">
        <v>106.6307</v>
      </c>
      <c r="E2367" s="68">
        <v>7.347</v>
      </c>
    </row>
    <row r="2368" ht="22.5" customHeight="1">
      <c r="A2368" s="61">
        <v>10.77167</v>
      </c>
      <c r="B2368" s="63">
        <v>106.5865</v>
      </c>
      <c r="C2368" s="63">
        <v>10.81494</v>
      </c>
      <c r="D2368" s="63">
        <v>106.5854</v>
      </c>
      <c r="E2368" s="64">
        <v>5.913</v>
      </c>
    </row>
    <row r="2369" ht="22.5" customHeight="1">
      <c r="A2369" s="66">
        <v>10.77169</v>
      </c>
      <c r="B2369" s="67">
        <v>106.6287</v>
      </c>
      <c r="C2369" s="67">
        <v>10.7748</v>
      </c>
      <c r="D2369" s="67">
        <v>106.6483</v>
      </c>
      <c r="E2369" s="68">
        <v>3.774</v>
      </c>
    </row>
    <row r="2370" ht="22.5" customHeight="1">
      <c r="A2370" s="61">
        <v>10.77169</v>
      </c>
      <c r="B2370" s="63">
        <v>106.6287</v>
      </c>
      <c r="C2370" s="63">
        <v>10.79435</v>
      </c>
      <c r="D2370" s="63">
        <v>106.6382</v>
      </c>
      <c r="E2370" s="64">
        <v>3.103</v>
      </c>
    </row>
    <row r="2371" ht="22.5" customHeight="1">
      <c r="A2371" s="66">
        <v>10.7718</v>
      </c>
      <c r="B2371" s="67">
        <v>106.6714</v>
      </c>
      <c r="C2371" s="67">
        <v>10.75947</v>
      </c>
      <c r="D2371" s="67">
        <v>106.6805</v>
      </c>
      <c r="E2371" s="68">
        <v>2.156</v>
      </c>
    </row>
    <row r="2372" ht="22.5" customHeight="1">
      <c r="A2372" s="61">
        <v>10.7718</v>
      </c>
      <c r="B2372" s="63">
        <v>106.6714</v>
      </c>
      <c r="C2372" s="63">
        <v>10.76283</v>
      </c>
      <c r="D2372" s="63">
        <v>106.6684</v>
      </c>
      <c r="E2372" s="64">
        <v>1.577</v>
      </c>
    </row>
    <row r="2373" ht="22.5" customHeight="1">
      <c r="A2373" s="66">
        <v>10.7718</v>
      </c>
      <c r="B2373" s="67">
        <v>106.6714</v>
      </c>
      <c r="C2373" s="67">
        <v>10.76484</v>
      </c>
      <c r="D2373" s="67">
        <v>106.6907</v>
      </c>
      <c r="E2373" s="68">
        <v>2.815</v>
      </c>
    </row>
    <row r="2374" ht="22.5" customHeight="1">
      <c r="A2374" s="61">
        <v>10.7718</v>
      </c>
      <c r="B2374" s="63">
        <v>106.6714</v>
      </c>
      <c r="C2374" s="63">
        <v>10.76978</v>
      </c>
      <c r="D2374" s="63">
        <v>106.6909</v>
      </c>
      <c r="E2374" s="64">
        <v>2.996</v>
      </c>
    </row>
    <row r="2375" ht="22.5" customHeight="1">
      <c r="A2375" s="66">
        <v>10.7718</v>
      </c>
      <c r="B2375" s="67">
        <v>106.6714</v>
      </c>
      <c r="C2375" s="67">
        <v>10.77065</v>
      </c>
      <c r="D2375" s="67">
        <v>106.6646</v>
      </c>
      <c r="E2375" s="68">
        <v>1.014</v>
      </c>
    </row>
    <row r="2376" ht="22.5" customHeight="1">
      <c r="A2376" s="61">
        <v>10.7718</v>
      </c>
      <c r="B2376" s="63">
        <v>106.6714</v>
      </c>
      <c r="C2376" s="63">
        <v>10.77509</v>
      </c>
      <c r="D2376" s="63">
        <v>106.6727</v>
      </c>
      <c r="E2376" s="64">
        <v>0.507</v>
      </c>
    </row>
    <row r="2377" ht="22.5" customHeight="1">
      <c r="A2377" s="66">
        <v>10.7718</v>
      </c>
      <c r="B2377" s="67">
        <v>106.6714</v>
      </c>
      <c r="C2377" s="67">
        <v>10.77525</v>
      </c>
      <c r="D2377" s="67">
        <v>106.6592</v>
      </c>
      <c r="E2377" s="68">
        <v>2.012</v>
      </c>
    </row>
    <row r="2378" ht="22.5" customHeight="1">
      <c r="A2378" s="61">
        <v>10.7718</v>
      </c>
      <c r="B2378" s="63">
        <v>106.6714</v>
      </c>
      <c r="C2378" s="63">
        <v>10.77641</v>
      </c>
      <c r="D2378" s="63">
        <v>106.6866</v>
      </c>
      <c r="E2378" s="64">
        <v>2.284</v>
      </c>
    </row>
    <row r="2379" ht="22.5" customHeight="1">
      <c r="A2379" s="66">
        <v>10.7718</v>
      </c>
      <c r="B2379" s="67">
        <v>106.6714</v>
      </c>
      <c r="C2379" s="67">
        <v>10.77674</v>
      </c>
      <c r="D2379" s="67">
        <v>106.6841</v>
      </c>
      <c r="E2379" s="68">
        <v>2.203</v>
      </c>
    </row>
    <row r="2380" ht="22.5" customHeight="1">
      <c r="A2380" s="61">
        <v>10.77198</v>
      </c>
      <c r="B2380" s="63">
        <v>106.6722</v>
      </c>
      <c r="C2380" s="63">
        <v>10.77509</v>
      </c>
      <c r="D2380" s="63">
        <v>106.6727</v>
      </c>
      <c r="E2380" s="64">
        <v>0.756</v>
      </c>
    </row>
    <row r="2381" ht="22.5" customHeight="1">
      <c r="A2381" s="66">
        <v>10.77203</v>
      </c>
      <c r="B2381" s="67">
        <v>106.6322</v>
      </c>
      <c r="C2381" s="67">
        <v>10.79212</v>
      </c>
      <c r="D2381" s="67">
        <v>106.6427</v>
      </c>
      <c r="E2381" s="68">
        <v>3.834</v>
      </c>
    </row>
    <row r="2382" ht="22.5" customHeight="1">
      <c r="A2382" s="61">
        <v>10.77203</v>
      </c>
      <c r="B2382" s="63">
        <v>106.6322</v>
      </c>
      <c r="C2382" s="63">
        <v>10.79435</v>
      </c>
      <c r="D2382" s="63">
        <v>106.6382</v>
      </c>
      <c r="E2382" s="64">
        <v>2.599</v>
      </c>
    </row>
    <row r="2383" ht="22.5" customHeight="1">
      <c r="A2383" s="66">
        <v>10.7721</v>
      </c>
      <c r="B2383" s="67">
        <v>106.7021</v>
      </c>
      <c r="C2383" s="67">
        <v>10.77509</v>
      </c>
      <c r="D2383" s="67">
        <v>106.6727</v>
      </c>
      <c r="E2383" s="68">
        <v>4.01</v>
      </c>
    </row>
    <row r="2384" ht="22.5" customHeight="1">
      <c r="A2384" s="61">
        <v>10.7721</v>
      </c>
      <c r="B2384" s="63">
        <v>106.7021</v>
      </c>
      <c r="C2384" s="63">
        <v>10.77826</v>
      </c>
      <c r="D2384" s="63">
        <v>106.7029</v>
      </c>
      <c r="E2384" s="64">
        <v>0.895</v>
      </c>
    </row>
    <row r="2385" ht="22.5" customHeight="1">
      <c r="A2385" s="66">
        <v>10.7721</v>
      </c>
      <c r="B2385" s="67">
        <v>106.7021</v>
      </c>
      <c r="C2385" s="67">
        <v>10.77971</v>
      </c>
      <c r="D2385" s="67">
        <v>106.7008</v>
      </c>
      <c r="E2385" s="68">
        <v>1.139</v>
      </c>
    </row>
    <row r="2386" ht="22.5" customHeight="1">
      <c r="A2386" s="61">
        <v>10.77212</v>
      </c>
      <c r="B2386" s="63">
        <v>106.6497</v>
      </c>
      <c r="C2386" s="63">
        <v>10.76707</v>
      </c>
      <c r="D2386" s="63">
        <v>106.6493</v>
      </c>
      <c r="E2386" s="64">
        <v>0.767</v>
      </c>
    </row>
    <row r="2387" ht="22.5" customHeight="1">
      <c r="A2387" s="66">
        <v>10.77212</v>
      </c>
      <c r="B2387" s="67">
        <v>106.6497</v>
      </c>
      <c r="C2387" s="67">
        <v>10.77212</v>
      </c>
      <c r="D2387" s="67">
        <v>106.6497</v>
      </c>
      <c r="E2387" s="68">
        <v>0.0</v>
      </c>
    </row>
    <row r="2388" ht="22.5" customHeight="1">
      <c r="A2388" s="61">
        <v>10.77217</v>
      </c>
      <c r="B2388" s="63">
        <v>106.6994</v>
      </c>
      <c r="C2388" s="63">
        <v>10.77971</v>
      </c>
      <c r="D2388" s="63">
        <v>106.7008</v>
      </c>
      <c r="E2388" s="64">
        <v>1.012</v>
      </c>
    </row>
    <row r="2389" ht="22.5" customHeight="1">
      <c r="A2389" s="66">
        <v>10.7722</v>
      </c>
      <c r="B2389" s="67">
        <v>106.6714</v>
      </c>
      <c r="C2389" s="67">
        <v>10.75643</v>
      </c>
      <c r="D2389" s="67">
        <v>106.6734</v>
      </c>
      <c r="E2389" s="68">
        <v>2.32</v>
      </c>
    </row>
    <row r="2390" ht="22.5" customHeight="1">
      <c r="A2390" s="61">
        <v>10.7722</v>
      </c>
      <c r="B2390" s="63">
        <v>106.6714</v>
      </c>
      <c r="C2390" s="63">
        <v>10.77509</v>
      </c>
      <c r="D2390" s="63">
        <v>106.6727</v>
      </c>
      <c r="E2390" s="64">
        <v>0.502</v>
      </c>
    </row>
    <row r="2391" ht="22.5" customHeight="1">
      <c r="A2391" s="66">
        <v>10.77221</v>
      </c>
      <c r="B2391" s="67">
        <v>106.6885</v>
      </c>
      <c r="C2391" s="67">
        <v>10.76732</v>
      </c>
      <c r="D2391" s="67">
        <v>106.6966</v>
      </c>
      <c r="E2391" s="68">
        <v>1.769</v>
      </c>
    </row>
    <row r="2392" ht="22.5" customHeight="1">
      <c r="A2392" s="61">
        <v>10.77221</v>
      </c>
      <c r="B2392" s="63">
        <v>106.6885</v>
      </c>
      <c r="C2392" s="63">
        <v>10.77509</v>
      </c>
      <c r="D2392" s="63">
        <v>106.6727</v>
      </c>
      <c r="E2392" s="64">
        <v>2.044</v>
      </c>
    </row>
    <row r="2393" ht="22.5" customHeight="1">
      <c r="A2393" s="66">
        <v>10.77221</v>
      </c>
      <c r="B2393" s="67">
        <v>106.6885</v>
      </c>
      <c r="C2393" s="67">
        <v>10.77526</v>
      </c>
      <c r="D2393" s="67">
        <v>106.6823</v>
      </c>
      <c r="E2393" s="68">
        <v>1.474</v>
      </c>
    </row>
    <row r="2394" ht="22.5" customHeight="1">
      <c r="A2394" s="61">
        <v>10.77221</v>
      </c>
      <c r="B2394" s="63">
        <v>106.6885</v>
      </c>
      <c r="C2394" s="63">
        <v>10.78213</v>
      </c>
      <c r="D2394" s="63">
        <v>106.6678</v>
      </c>
      <c r="E2394" s="64">
        <v>3.424</v>
      </c>
    </row>
    <row r="2395" ht="22.5" customHeight="1">
      <c r="A2395" s="66">
        <v>10.77231</v>
      </c>
      <c r="B2395" s="67">
        <v>106.6319</v>
      </c>
      <c r="C2395" s="67">
        <v>10.75575</v>
      </c>
      <c r="D2395" s="67">
        <v>106.6373</v>
      </c>
      <c r="E2395" s="68">
        <v>2.962</v>
      </c>
    </row>
    <row r="2396" ht="22.5" customHeight="1">
      <c r="A2396" s="61">
        <v>10.77231</v>
      </c>
      <c r="B2396" s="63">
        <v>106.6319</v>
      </c>
      <c r="C2396" s="63">
        <v>10.76925</v>
      </c>
      <c r="D2396" s="63">
        <v>106.626</v>
      </c>
      <c r="E2396" s="64">
        <v>1.514</v>
      </c>
    </row>
    <row r="2397" ht="22.5" customHeight="1">
      <c r="A2397" s="66">
        <v>10.77231</v>
      </c>
      <c r="B2397" s="67">
        <v>106.6319</v>
      </c>
      <c r="C2397" s="67">
        <v>10.7716</v>
      </c>
      <c r="D2397" s="67">
        <v>106.6285</v>
      </c>
      <c r="E2397" s="68">
        <v>0.584</v>
      </c>
    </row>
    <row r="2398" ht="22.5" customHeight="1">
      <c r="A2398" s="61">
        <v>10.77231</v>
      </c>
      <c r="B2398" s="63">
        <v>106.6319</v>
      </c>
      <c r="C2398" s="63">
        <v>10.77203</v>
      </c>
      <c r="D2398" s="63">
        <v>106.6322</v>
      </c>
      <c r="E2398" s="64">
        <v>1.219</v>
      </c>
    </row>
    <row r="2399" ht="22.5" customHeight="1">
      <c r="A2399" s="66">
        <v>10.77231</v>
      </c>
      <c r="B2399" s="67">
        <v>106.6319</v>
      </c>
      <c r="C2399" s="67">
        <v>10.77509</v>
      </c>
      <c r="D2399" s="67">
        <v>106.6727</v>
      </c>
      <c r="E2399" s="68">
        <v>6.035</v>
      </c>
    </row>
    <row r="2400" ht="22.5" customHeight="1">
      <c r="A2400" s="61">
        <v>10.77231</v>
      </c>
      <c r="B2400" s="63">
        <v>106.6319</v>
      </c>
      <c r="C2400" s="63">
        <v>10.77995</v>
      </c>
      <c r="D2400" s="63">
        <v>106.6498</v>
      </c>
      <c r="E2400" s="64">
        <v>3.223</v>
      </c>
    </row>
    <row r="2401" ht="22.5" customHeight="1">
      <c r="A2401" s="66">
        <v>10.77231</v>
      </c>
      <c r="B2401" s="67">
        <v>106.6319</v>
      </c>
      <c r="C2401" s="67">
        <v>10.78264</v>
      </c>
      <c r="D2401" s="67">
        <v>106.6267</v>
      </c>
      <c r="E2401" s="68">
        <v>2.569</v>
      </c>
    </row>
    <row r="2402" ht="22.5" customHeight="1">
      <c r="A2402" s="61">
        <v>10.77231</v>
      </c>
      <c r="B2402" s="63">
        <v>106.6319</v>
      </c>
      <c r="C2402" s="63">
        <v>10.78294</v>
      </c>
      <c r="D2402" s="63">
        <v>106.6506</v>
      </c>
      <c r="E2402" s="64">
        <v>3.18</v>
      </c>
    </row>
    <row r="2403" ht="22.5" customHeight="1">
      <c r="A2403" s="66">
        <v>10.77231</v>
      </c>
      <c r="B2403" s="67">
        <v>106.6319</v>
      </c>
      <c r="C2403" s="67">
        <v>10.78954</v>
      </c>
      <c r="D2403" s="67">
        <v>106.6431</v>
      </c>
      <c r="E2403" s="68">
        <v>2.353</v>
      </c>
    </row>
    <row r="2404" ht="22.5" customHeight="1">
      <c r="A2404" s="61">
        <v>10.77231</v>
      </c>
      <c r="B2404" s="63">
        <v>106.6319</v>
      </c>
      <c r="C2404" s="63">
        <v>10.79193</v>
      </c>
      <c r="D2404" s="63">
        <v>106.6555</v>
      </c>
      <c r="E2404" s="64">
        <v>4.956</v>
      </c>
    </row>
    <row r="2405" ht="22.5" customHeight="1">
      <c r="A2405" s="66">
        <v>10.77231</v>
      </c>
      <c r="B2405" s="67">
        <v>106.6319</v>
      </c>
      <c r="C2405" s="67">
        <v>10.79212</v>
      </c>
      <c r="D2405" s="67">
        <v>106.6427</v>
      </c>
      <c r="E2405" s="68">
        <v>3.126</v>
      </c>
    </row>
    <row r="2406" ht="22.5" customHeight="1">
      <c r="A2406" s="61">
        <v>10.77231</v>
      </c>
      <c r="B2406" s="63">
        <v>106.6319</v>
      </c>
      <c r="C2406" s="63">
        <v>10.79435</v>
      </c>
      <c r="D2406" s="63">
        <v>106.6382</v>
      </c>
      <c r="E2406" s="64">
        <v>2.58</v>
      </c>
    </row>
    <row r="2407" ht="22.5" customHeight="1">
      <c r="A2407" s="66">
        <v>10.77231</v>
      </c>
      <c r="B2407" s="67">
        <v>106.6319</v>
      </c>
      <c r="C2407" s="67">
        <v>10.79464</v>
      </c>
      <c r="D2407" s="67">
        <v>106.6355</v>
      </c>
      <c r="E2407" s="68">
        <v>2.84</v>
      </c>
    </row>
    <row r="2408" ht="22.5" customHeight="1">
      <c r="A2408" s="61">
        <v>10.77231</v>
      </c>
      <c r="B2408" s="63">
        <v>106.6319</v>
      </c>
      <c r="C2408" s="63">
        <v>10.79525</v>
      </c>
      <c r="D2408" s="63">
        <v>106.6294</v>
      </c>
      <c r="E2408" s="64">
        <v>3.55</v>
      </c>
    </row>
    <row r="2409" ht="22.5" customHeight="1">
      <c r="A2409" s="66">
        <v>10.77231</v>
      </c>
      <c r="B2409" s="67">
        <v>106.6319</v>
      </c>
      <c r="C2409" s="67">
        <v>10.7972</v>
      </c>
      <c r="D2409" s="67">
        <v>106.6307</v>
      </c>
      <c r="E2409" s="68">
        <v>3.513</v>
      </c>
    </row>
    <row r="2410" ht="22.5" customHeight="1">
      <c r="A2410" s="61">
        <v>10.77231</v>
      </c>
      <c r="B2410" s="63">
        <v>106.6319</v>
      </c>
      <c r="C2410" s="63">
        <v>10.79841</v>
      </c>
      <c r="D2410" s="63">
        <v>106.6587</v>
      </c>
      <c r="E2410" s="64">
        <v>4.509</v>
      </c>
    </row>
    <row r="2411" ht="22.5" customHeight="1">
      <c r="A2411" s="66">
        <v>10.77231</v>
      </c>
      <c r="B2411" s="67">
        <v>106.6319</v>
      </c>
      <c r="C2411" s="67">
        <v>10.80079</v>
      </c>
      <c r="D2411" s="67">
        <v>106.6572</v>
      </c>
      <c r="E2411" s="68">
        <v>5.425</v>
      </c>
    </row>
    <row r="2412" ht="22.5" customHeight="1">
      <c r="A2412" s="61">
        <v>10.77231</v>
      </c>
      <c r="B2412" s="63">
        <v>106.6319</v>
      </c>
      <c r="C2412" s="63">
        <v>10.80141</v>
      </c>
      <c r="D2412" s="63">
        <v>106.6495</v>
      </c>
      <c r="E2412" s="64">
        <v>5.409</v>
      </c>
    </row>
    <row r="2413" ht="22.5" customHeight="1">
      <c r="A2413" s="66">
        <v>10.77231</v>
      </c>
      <c r="B2413" s="67">
        <v>106.6319</v>
      </c>
      <c r="C2413" s="67">
        <v>10.80474</v>
      </c>
      <c r="D2413" s="67">
        <v>106.642</v>
      </c>
      <c r="E2413" s="68">
        <v>5.121</v>
      </c>
    </row>
    <row r="2414" ht="22.5" customHeight="1">
      <c r="A2414" s="61">
        <v>10.77231</v>
      </c>
      <c r="B2414" s="63">
        <v>106.6319</v>
      </c>
      <c r="C2414" s="63">
        <v>10.81094</v>
      </c>
      <c r="D2414" s="63">
        <v>106.611</v>
      </c>
      <c r="E2414" s="64">
        <v>6.371</v>
      </c>
    </row>
    <row r="2415" ht="22.5" customHeight="1">
      <c r="A2415" s="66">
        <v>10.77231</v>
      </c>
      <c r="B2415" s="67">
        <v>106.6319</v>
      </c>
      <c r="C2415" s="67">
        <v>10.81494</v>
      </c>
      <c r="D2415" s="67">
        <v>106.5854</v>
      </c>
      <c r="E2415" s="68">
        <v>11.108</v>
      </c>
    </row>
    <row r="2416" ht="22.5" customHeight="1">
      <c r="A2416" s="61">
        <v>10.7724</v>
      </c>
      <c r="B2416" s="63">
        <v>106.6248</v>
      </c>
      <c r="C2416" s="63">
        <v>10.77618</v>
      </c>
      <c r="D2416" s="63">
        <v>106.607</v>
      </c>
      <c r="E2416" s="64">
        <v>2.3</v>
      </c>
    </row>
    <row r="2417" ht="22.5" customHeight="1">
      <c r="A2417" s="66">
        <v>10.7724</v>
      </c>
      <c r="B2417" s="67">
        <v>106.6248</v>
      </c>
      <c r="C2417" s="67">
        <v>10.77995</v>
      </c>
      <c r="D2417" s="67">
        <v>106.6498</v>
      </c>
      <c r="E2417" s="68">
        <v>3.772</v>
      </c>
    </row>
    <row r="2418" ht="22.5" customHeight="1">
      <c r="A2418" s="61">
        <v>10.7724</v>
      </c>
      <c r="B2418" s="63">
        <v>106.6248</v>
      </c>
      <c r="C2418" s="63">
        <v>10.78264</v>
      </c>
      <c r="D2418" s="63">
        <v>106.6267</v>
      </c>
      <c r="E2418" s="64">
        <v>1.691</v>
      </c>
    </row>
    <row r="2419" ht="22.5" customHeight="1">
      <c r="A2419" s="66">
        <v>10.7724</v>
      </c>
      <c r="B2419" s="67">
        <v>106.6248</v>
      </c>
      <c r="C2419" s="67">
        <v>10.78954</v>
      </c>
      <c r="D2419" s="67">
        <v>106.6431</v>
      </c>
      <c r="E2419" s="68">
        <v>3.31</v>
      </c>
    </row>
    <row r="2420" ht="22.5" customHeight="1">
      <c r="A2420" s="61">
        <v>10.7724</v>
      </c>
      <c r="B2420" s="63">
        <v>106.6248</v>
      </c>
      <c r="C2420" s="63">
        <v>10.79193</v>
      </c>
      <c r="D2420" s="63">
        <v>106.6555</v>
      </c>
      <c r="E2420" s="64">
        <v>5.55</v>
      </c>
    </row>
    <row r="2421" ht="22.5" customHeight="1">
      <c r="A2421" s="66">
        <v>10.7724</v>
      </c>
      <c r="B2421" s="67">
        <v>106.6248</v>
      </c>
      <c r="C2421" s="67">
        <v>10.79435</v>
      </c>
      <c r="D2421" s="67">
        <v>106.6382</v>
      </c>
      <c r="E2421" s="68">
        <v>4.4</v>
      </c>
    </row>
    <row r="2422" ht="22.5" customHeight="1">
      <c r="A2422" s="61">
        <v>10.7724</v>
      </c>
      <c r="B2422" s="63">
        <v>106.6248</v>
      </c>
      <c r="C2422" s="63">
        <v>10.79525</v>
      </c>
      <c r="D2422" s="63">
        <v>106.6294</v>
      </c>
      <c r="E2422" s="64">
        <v>3.733</v>
      </c>
    </row>
    <row r="2423" ht="22.5" customHeight="1">
      <c r="A2423" s="66">
        <v>10.7724</v>
      </c>
      <c r="B2423" s="67">
        <v>106.6248</v>
      </c>
      <c r="C2423" s="67">
        <v>10.81094</v>
      </c>
      <c r="D2423" s="67">
        <v>106.611</v>
      </c>
      <c r="E2423" s="68">
        <v>5.66</v>
      </c>
    </row>
    <row r="2424" ht="22.5" customHeight="1">
      <c r="A2424" s="61">
        <v>10.77248</v>
      </c>
      <c r="B2424" s="63">
        <v>106.6899</v>
      </c>
      <c r="C2424" s="63">
        <v>10.77826</v>
      </c>
      <c r="D2424" s="63">
        <v>106.7029</v>
      </c>
      <c r="E2424" s="64">
        <v>1.993</v>
      </c>
    </row>
    <row r="2425" ht="22.5" customHeight="1">
      <c r="A2425" s="66">
        <v>10.77248</v>
      </c>
      <c r="B2425" s="67">
        <v>106.6899</v>
      </c>
      <c r="C2425" s="67">
        <v>10.77971</v>
      </c>
      <c r="D2425" s="67">
        <v>106.7008</v>
      </c>
      <c r="E2425" s="68">
        <v>2.065</v>
      </c>
    </row>
    <row r="2426" ht="22.5" customHeight="1">
      <c r="A2426" s="61">
        <v>10.77248</v>
      </c>
      <c r="B2426" s="63">
        <v>106.6899</v>
      </c>
      <c r="C2426" s="63">
        <v>10.78485</v>
      </c>
      <c r="D2426" s="63">
        <v>106.6942</v>
      </c>
      <c r="E2426" s="64">
        <v>2.76</v>
      </c>
    </row>
    <row r="2427" ht="22.5" customHeight="1">
      <c r="A2427" s="66">
        <v>10.77267</v>
      </c>
      <c r="B2427" s="67">
        <v>106.6826</v>
      </c>
      <c r="C2427" s="67">
        <v>10.77509</v>
      </c>
      <c r="D2427" s="67">
        <v>106.6727</v>
      </c>
      <c r="E2427" s="68">
        <v>2.045</v>
      </c>
    </row>
    <row r="2428" ht="22.5" customHeight="1">
      <c r="A2428" s="61">
        <v>10.77267</v>
      </c>
      <c r="B2428" s="63">
        <v>106.6826</v>
      </c>
      <c r="C2428" s="63">
        <v>10.77918</v>
      </c>
      <c r="D2428" s="63">
        <v>106.6903</v>
      </c>
      <c r="E2428" s="64">
        <v>1.653</v>
      </c>
    </row>
    <row r="2429" ht="22.5" customHeight="1">
      <c r="A2429" s="66">
        <v>10.7733</v>
      </c>
      <c r="B2429" s="67">
        <v>106.6687</v>
      </c>
      <c r="C2429" s="67">
        <v>10.75858</v>
      </c>
      <c r="D2429" s="67">
        <v>106.6655</v>
      </c>
      <c r="E2429" s="68">
        <v>2.039</v>
      </c>
    </row>
    <row r="2430" ht="22.5" customHeight="1">
      <c r="A2430" s="61">
        <v>10.7733</v>
      </c>
      <c r="B2430" s="63">
        <v>106.6687</v>
      </c>
      <c r="C2430" s="63">
        <v>10.75947</v>
      </c>
      <c r="D2430" s="63">
        <v>106.6805</v>
      </c>
      <c r="E2430" s="64">
        <v>2.562</v>
      </c>
    </row>
    <row r="2431" ht="22.5" customHeight="1">
      <c r="A2431" s="66">
        <v>10.7733</v>
      </c>
      <c r="B2431" s="67">
        <v>106.6687</v>
      </c>
      <c r="C2431" s="67">
        <v>10.75987</v>
      </c>
      <c r="D2431" s="67">
        <v>106.677</v>
      </c>
      <c r="E2431" s="68">
        <v>2.071</v>
      </c>
    </row>
    <row r="2432" ht="22.5" customHeight="1">
      <c r="A2432" s="61">
        <v>10.7733</v>
      </c>
      <c r="B2432" s="63">
        <v>106.6687</v>
      </c>
      <c r="C2432" s="63">
        <v>10.75998</v>
      </c>
      <c r="D2432" s="63">
        <v>106.6727</v>
      </c>
      <c r="E2432" s="64">
        <v>1.525</v>
      </c>
    </row>
    <row r="2433" ht="22.5" customHeight="1">
      <c r="A2433" s="66">
        <v>10.7733</v>
      </c>
      <c r="B2433" s="67">
        <v>106.6687</v>
      </c>
      <c r="C2433" s="67">
        <v>10.76292</v>
      </c>
      <c r="D2433" s="67">
        <v>106.6706</v>
      </c>
      <c r="E2433" s="68">
        <v>1.496</v>
      </c>
    </row>
    <row r="2434" ht="22.5" customHeight="1">
      <c r="A2434" s="61">
        <v>10.7733</v>
      </c>
      <c r="B2434" s="63">
        <v>106.6687</v>
      </c>
      <c r="C2434" s="63">
        <v>10.76484</v>
      </c>
      <c r="D2434" s="63">
        <v>106.6907</v>
      </c>
      <c r="E2434" s="64">
        <v>3.154</v>
      </c>
    </row>
    <row r="2435" ht="22.5" customHeight="1">
      <c r="A2435" s="66">
        <v>10.7733</v>
      </c>
      <c r="B2435" s="67">
        <v>106.6687</v>
      </c>
      <c r="C2435" s="67">
        <v>10.76486</v>
      </c>
      <c r="D2435" s="67">
        <v>106.6756</v>
      </c>
      <c r="E2435" s="68">
        <v>2.23</v>
      </c>
    </row>
    <row r="2436" ht="22.5" customHeight="1">
      <c r="A2436" s="61">
        <v>10.7733</v>
      </c>
      <c r="B2436" s="63">
        <v>106.6687</v>
      </c>
      <c r="C2436" s="63">
        <v>10.76878</v>
      </c>
      <c r="D2436" s="63">
        <v>106.6667</v>
      </c>
      <c r="E2436" s="64">
        <v>0.718</v>
      </c>
    </row>
    <row r="2437" ht="22.5" customHeight="1">
      <c r="A2437" s="66">
        <v>10.7733</v>
      </c>
      <c r="B2437" s="67">
        <v>106.6687</v>
      </c>
      <c r="C2437" s="67">
        <v>10.76913</v>
      </c>
      <c r="D2437" s="67">
        <v>106.6615</v>
      </c>
      <c r="E2437" s="68">
        <v>1.129</v>
      </c>
    </row>
    <row r="2438" ht="22.5" customHeight="1">
      <c r="A2438" s="61">
        <v>10.7733</v>
      </c>
      <c r="B2438" s="63">
        <v>106.6687</v>
      </c>
      <c r="C2438" s="63">
        <v>10.76978</v>
      </c>
      <c r="D2438" s="63">
        <v>106.6909</v>
      </c>
      <c r="E2438" s="64">
        <v>3.305</v>
      </c>
    </row>
    <row r="2439" ht="22.5" customHeight="1">
      <c r="A2439" s="66">
        <v>10.7733</v>
      </c>
      <c r="B2439" s="67">
        <v>106.6687</v>
      </c>
      <c r="C2439" s="67">
        <v>10.77032</v>
      </c>
      <c r="D2439" s="67">
        <v>106.6723</v>
      </c>
      <c r="E2439" s="68">
        <v>0.654</v>
      </c>
    </row>
    <row r="2440" ht="22.5" customHeight="1">
      <c r="A2440" s="61">
        <v>10.7733</v>
      </c>
      <c r="B2440" s="63">
        <v>106.6687</v>
      </c>
      <c r="C2440" s="63">
        <v>10.7718</v>
      </c>
      <c r="D2440" s="63">
        <v>106.6714</v>
      </c>
      <c r="E2440" s="64">
        <v>0.455</v>
      </c>
    </row>
    <row r="2441" ht="22.5" customHeight="1">
      <c r="A2441" s="66">
        <v>10.7733</v>
      </c>
      <c r="B2441" s="67">
        <v>106.6687</v>
      </c>
      <c r="C2441" s="67">
        <v>10.77221</v>
      </c>
      <c r="D2441" s="67">
        <v>106.6885</v>
      </c>
      <c r="E2441" s="68">
        <v>2.346</v>
      </c>
    </row>
    <row r="2442" ht="22.5" customHeight="1">
      <c r="A2442" s="61">
        <v>10.7733</v>
      </c>
      <c r="B2442" s="63">
        <v>106.6687</v>
      </c>
      <c r="C2442" s="63">
        <v>10.77357</v>
      </c>
      <c r="D2442" s="63">
        <v>106.689</v>
      </c>
      <c r="E2442" s="64">
        <v>3.102</v>
      </c>
    </row>
    <row r="2443" ht="22.5" customHeight="1">
      <c r="A2443" s="66">
        <v>10.7733</v>
      </c>
      <c r="B2443" s="67">
        <v>106.6687</v>
      </c>
      <c r="C2443" s="67">
        <v>10.77479</v>
      </c>
      <c r="D2443" s="67">
        <v>106.6885</v>
      </c>
      <c r="E2443" s="68">
        <v>3.277</v>
      </c>
    </row>
    <row r="2444" ht="22.5" customHeight="1">
      <c r="A2444" s="61">
        <v>10.7733</v>
      </c>
      <c r="B2444" s="63">
        <v>106.6687</v>
      </c>
      <c r="C2444" s="63">
        <v>10.77503</v>
      </c>
      <c r="D2444" s="63">
        <v>106.6737</v>
      </c>
      <c r="E2444" s="64">
        <v>0.8</v>
      </c>
    </row>
    <row r="2445" ht="22.5" customHeight="1">
      <c r="A2445" s="66">
        <v>10.7733</v>
      </c>
      <c r="B2445" s="67">
        <v>106.6687</v>
      </c>
      <c r="C2445" s="67">
        <v>10.77509</v>
      </c>
      <c r="D2445" s="67">
        <v>106.6727</v>
      </c>
      <c r="E2445" s="68">
        <v>0.788</v>
      </c>
    </row>
    <row r="2446" ht="22.5" customHeight="1">
      <c r="A2446" s="61">
        <v>10.7733</v>
      </c>
      <c r="B2446" s="63">
        <v>106.6687</v>
      </c>
      <c r="C2446" s="63">
        <v>10.77525</v>
      </c>
      <c r="D2446" s="63">
        <v>106.6592</v>
      </c>
      <c r="E2446" s="64">
        <v>1.578</v>
      </c>
    </row>
    <row r="2447" ht="22.5" customHeight="1">
      <c r="A2447" s="66">
        <v>10.7733</v>
      </c>
      <c r="B2447" s="67">
        <v>106.6687</v>
      </c>
      <c r="C2447" s="67">
        <v>10.77641</v>
      </c>
      <c r="D2447" s="67">
        <v>106.6866</v>
      </c>
      <c r="E2447" s="68">
        <v>2.693</v>
      </c>
    </row>
    <row r="2448" ht="22.5" customHeight="1">
      <c r="A2448" s="61">
        <v>10.7733</v>
      </c>
      <c r="B2448" s="63">
        <v>106.6687</v>
      </c>
      <c r="C2448" s="63">
        <v>10.77658</v>
      </c>
      <c r="D2448" s="63">
        <v>106.6719</v>
      </c>
      <c r="E2448" s="64">
        <v>1.043</v>
      </c>
    </row>
    <row r="2449" ht="22.5" customHeight="1">
      <c r="A2449" s="66">
        <v>10.7733</v>
      </c>
      <c r="B2449" s="67">
        <v>106.6687</v>
      </c>
      <c r="C2449" s="67">
        <v>10.7785</v>
      </c>
      <c r="D2449" s="67">
        <v>106.6858</v>
      </c>
      <c r="E2449" s="68">
        <v>2.67</v>
      </c>
    </row>
    <row r="2450" ht="22.5" customHeight="1">
      <c r="A2450" s="61">
        <v>10.7733</v>
      </c>
      <c r="B2450" s="63">
        <v>106.6687</v>
      </c>
      <c r="C2450" s="63">
        <v>10.78025</v>
      </c>
      <c r="D2450" s="63">
        <v>106.6684</v>
      </c>
      <c r="E2450" s="64">
        <v>0.976</v>
      </c>
    </row>
    <row r="2451" ht="22.5" customHeight="1">
      <c r="A2451" s="66">
        <v>10.7733</v>
      </c>
      <c r="B2451" s="67">
        <v>106.6687</v>
      </c>
      <c r="C2451" s="67">
        <v>10.7805</v>
      </c>
      <c r="D2451" s="67">
        <v>106.6611</v>
      </c>
      <c r="E2451" s="68">
        <v>1.329</v>
      </c>
    </row>
    <row r="2452" ht="22.5" customHeight="1">
      <c r="A2452" s="61">
        <v>10.7733</v>
      </c>
      <c r="B2452" s="63">
        <v>106.6687</v>
      </c>
      <c r="C2452" s="63">
        <v>10.78213</v>
      </c>
      <c r="D2452" s="63">
        <v>106.6678</v>
      </c>
      <c r="E2452" s="64">
        <v>1.351</v>
      </c>
    </row>
    <row r="2453" ht="22.5" customHeight="1">
      <c r="A2453" s="66">
        <v>10.7733</v>
      </c>
      <c r="B2453" s="67">
        <v>106.6687</v>
      </c>
      <c r="C2453" s="67">
        <v>10.78607</v>
      </c>
      <c r="D2453" s="67">
        <v>106.6877</v>
      </c>
      <c r="E2453" s="68">
        <v>3.773</v>
      </c>
    </row>
    <row r="2454" ht="22.5" customHeight="1">
      <c r="A2454" s="61">
        <v>10.77335</v>
      </c>
      <c r="B2454" s="63">
        <v>106.6772</v>
      </c>
      <c r="C2454" s="63">
        <v>10.76978</v>
      </c>
      <c r="D2454" s="63">
        <v>106.6909</v>
      </c>
      <c r="E2454" s="64">
        <v>2.019</v>
      </c>
    </row>
    <row r="2455" ht="22.5" customHeight="1">
      <c r="A2455" s="66">
        <v>10.77335</v>
      </c>
      <c r="B2455" s="67">
        <v>106.6772</v>
      </c>
      <c r="C2455" s="67">
        <v>10.77509</v>
      </c>
      <c r="D2455" s="67">
        <v>106.6727</v>
      </c>
      <c r="E2455" s="68">
        <v>0.685</v>
      </c>
    </row>
    <row r="2456" ht="22.5" customHeight="1">
      <c r="A2456" s="61">
        <v>10.77357</v>
      </c>
      <c r="B2456" s="63">
        <v>106.689</v>
      </c>
      <c r="C2456" s="63">
        <v>10.76987</v>
      </c>
      <c r="D2456" s="63">
        <v>106.6856</v>
      </c>
      <c r="E2456" s="64">
        <v>1.24</v>
      </c>
    </row>
    <row r="2457" ht="22.5" customHeight="1">
      <c r="A2457" s="66">
        <v>10.77357</v>
      </c>
      <c r="B2457" s="67">
        <v>106.689</v>
      </c>
      <c r="C2457" s="67">
        <v>10.77509</v>
      </c>
      <c r="D2457" s="67">
        <v>106.6727</v>
      </c>
      <c r="E2457" s="68">
        <v>2.689</v>
      </c>
    </row>
    <row r="2458" ht="22.5" customHeight="1">
      <c r="A2458" s="61">
        <v>10.77357</v>
      </c>
      <c r="B2458" s="63">
        <v>106.689</v>
      </c>
      <c r="C2458" s="63">
        <v>10.77526</v>
      </c>
      <c r="D2458" s="63">
        <v>106.6823</v>
      </c>
      <c r="E2458" s="64">
        <v>1.343</v>
      </c>
    </row>
    <row r="2459" ht="22.5" customHeight="1">
      <c r="A2459" s="66">
        <v>10.77391</v>
      </c>
      <c r="B2459" s="67">
        <v>106.6782</v>
      </c>
      <c r="C2459" s="67">
        <v>10.77509</v>
      </c>
      <c r="D2459" s="67">
        <v>106.6727</v>
      </c>
      <c r="E2459" s="68">
        <v>0.434</v>
      </c>
    </row>
    <row r="2460" ht="22.5" customHeight="1">
      <c r="A2460" s="61">
        <v>10.77405</v>
      </c>
      <c r="B2460" s="63">
        <v>106.6564</v>
      </c>
      <c r="C2460" s="63">
        <v>10.76707</v>
      </c>
      <c r="D2460" s="63">
        <v>106.6493</v>
      </c>
      <c r="E2460" s="64">
        <v>1.371</v>
      </c>
    </row>
    <row r="2461" ht="22.5" customHeight="1">
      <c r="A2461" s="66">
        <v>10.77446</v>
      </c>
      <c r="B2461" s="67">
        <v>106.6776</v>
      </c>
      <c r="C2461" s="67">
        <v>10.77509</v>
      </c>
      <c r="D2461" s="67">
        <v>106.6727</v>
      </c>
      <c r="E2461" s="68">
        <v>0.508</v>
      </c>
    </row>
    <row r="2462" ht="22.5" customHeight="1">
      <c r="A2462" s="61">
        <v>10.77446</v>
      </c>
      <c r="B2462" s="63">
        <v>106.6776</v>
      </c>
      <c r="C2462" s="63">
        <v>10.77641</v>
      </c>
      <c r="D2462" s="63">
        <v>106.6866</v>
      </c>
      <c r="E2462" s="64">
        <v>1.385</v>
      </c>
    </row>
    <row r="2463" ht="22.5" customHeight="1">
      <c r="A2463" s="66">
        <v>10.77451</v>
      </c>
      <c r="B2463" s="67">
        <v>106.6791</v>
      </c>
      <c r="C2463" s="67">
        <v>10.77509</v>
      </c>
      <c r="D2463" s="67">
        <v>106.6727</v>
      </c>
      <c r="E2463" s="68">
        <v>0.749</v>
      </c>
    </row>
    <row r="2464" ht="22.5" customHeight="1">
      <c r="A2464" s="61">
        <v>10.77476</v>
      </c>
      <c r="B2464" s="63">
        <v>106.6683</v>
      </c>
      <c r="C2464" s="63">
        <v>10.75267</v>
      </c>
      <c r="D2464" s="63">
        <v>106.6789</v>
      </c>
      <c r="E2464" s="64">
        <v>4.2</v>
      </c>
    </row>
    <row r="2465" ht="22.5" customHeight="1">
      <c r="A2465" s="66">
        <v>10.77476</v>
      </c>
      <c r="B2465" s="67">
        <v>106.6683</v>
      </c>
      <c r="C2465" s="67">
        <v>10.76244</v>
      </c>
      <c r="D2465" s="67">
        <v>106.6704</v>
      </c>
      <c r="E2465" s="68">
        <v>1.7</v>
      </c>
    </row>
    <row r="2466" ht="22.5" customHeight="1">
      <c r="A2466" s="61">
        <v>10.77476</v>
      </c>
      <c r="B2466" s="63">
        <v>106.6683</v>
      </c>
      <c r="C2466" s="63">
        <v>10.76345</v>
      </c>
      <c r="D2466" s="63">
        <v>106.6596</v>
      </c>
      <c r="E2466" s="64">
        <v>2.359</v>
      </c>
    </row>
    <row r="2467" ht="22.5" customHeight="1">
      <c r="A2467" s="66">
        <v>10.77476</v>
      </c>
      <c r="B2467" s="67">
        <v>106.6683</v>
      </c>
      <c r="C2467" s="67">
        <v>10.76898</v>
      </c>
      <c r="D2467" s="67">
        <v>106.6997</v>
      </c>
      <c r="E2467" s="68">
        <v>4.7</v>
      </c>
    </row>
    <row r="2468" ht="22.5" customHeight="1">
      <c r="A2468" s="61">
        <v>10.77476</v>
      </c>
      <c r="B2468" s="63">
        <v>106.6683</v>
      </c>
      <c r="C2468" s="63">
        <v>10.77163</v>
      </c>
      <c r="D2468" s="63">
        <v>106.6776</v>
      </c>
      <c r="E2468" s="64">
        <v>1.538</v>
      </c>
    </row>
    <row r="2469" ht="22.5" customHeight="1">
      <c r="A2469" s="66">
        <v>10.77476</v>
      </c>
      <c r="B2469" s="67">
        <v>106.6683</v>
      </c>
      <c r="C2469" s="67">
        <v>10.77503</v>
      </c>
      <c r="D2469" s="67">
        <v>106.6737</v>
      </c>
      <c r="E2469" s="68">
        <v>1.1</v>
      </c>
    </row>
    <row r="2470" ht="22.5" customHeight="1">
      <c r="A2470" s="61">
        <v>10.77476</v>
      </c>
      <c r="B2470" s="63">
        <v>106.6683</v>
      </c>
      <c r="C2470" s="63">
        <v>10.77509</v>
      </c>
      <c r="D2470" s="63">
        <v>106.6727</v>
      </c>
      <c r="E2470" s="64">
        <v>1.0</v>
      </c>
    </row>
    <row r="2471" ht="22.5" customHeight="1">
      <c r="A2471" s="66">
        <v>10.77479</v>
      </c>
      <c r="B2471" s="67">
        <v>106.6885</v>
      </c>
      <c r="C2471" s="67">
        <v>10.76484</v>
      </c>
      <c r="D2471" s="67">
        <v>106.6907</v>
      </c>
      <c r="E2471" s="68">
        <v>1.725</v>
      </c>
    </row>
    <row r="2472" ht="22.5" customHeight="1">
      <c r="A2472" s="61">
        <v>10.77479</v>
      </c>
      <c r="B2472" s="63">
        <v>106.6885</v>
      </c>
      <c r="C2472" s="63">
        <v>10.76668</v>
      </c>
      <c r="D2472" s="63">
        <v>106.6879</v>
      </c>
      <c r="E2472" s="64">
        <v>1.328</v>
      </c>
    </row>
    <row r="2473" ht="22.5" customHeight="1">
      <c r="A2473" s="66">
        <v>10.77479</v>
      </c>
      <c r="B2473" s="67">
        <v>106.6885</v>
      </c>
      <c r="C2473" s="67">
        <v>10.76732</v>
      </c>
      <c r="D2473" s="67">
        <v>106.6966</v>
      </c>
      <c r="E2473" s="68">
        <v>1.357</v>
      </c>
    </row>
    <row r="2474" ht="22.5" customHeight="1">
      <c r="A2474" s="61">
        <v>10.77479</v>
      </c>
      <c r="B2474" s="63">
        <v>106.6885</v>
      </c>
      <c r="C2474" s="63">
        <v>10.76878</v>
      </c>
      <c r="D2474" s="63">
        <v>106.6667</v>
      </c>
      <c r="E2474" s="64">
        <v>2.958</v>
      </c>
    </row>
    <row r="2475" ht="22.5" customHeight="1">
      <c r="A2475" s="66">
        <v>10.77479</v>
      </c>
      <c r="B2475" s="67">
        <v>106.6885</v>
      </c>
      <c r="C2475" s="67">
        <v>10.76978</v>
      </c>
      <c r="D2475" s="67">
        <v>106.6909</v>
      </c>
      <c r="E2475" s="68">
        <v>1.021</v>
      </c>
    </row>
    <row r="2476" ht="22.5" customHeight="1">
      <c r="A2476" s="61">
        <v>10.77479</v>
      </c>
      <c r="B2476" s="63">
        <v>106.6885</v>
      </c>
      <c r="C2476" s="63">
        <v>10.76987</v>
      </c>
      <c r="D2476" s="63">
        <v>106.6856</v>
      </c>
      <c r="E2476" s="64">
        <v>0.72</v>
      </c>
    </row>
    <row r="2477" ht="22.5" customHeight="1">
      <c r="A2477" s="66">
        <v>10.77479</v>
      </c>
      <c r="B2477" s="67">
        <v>106.6885</v>
      </c>
      <c r="C2477" s="67">
        <v>10.77509</v>
      </c>
      <c r="D2477" s="67">
        <v>106.6727</v>
      </c>
      <c r="E2477" s="68">
        <v>2.153</v>
      </c>
    </row>
    <row r="2478" ht="22.5" customHeight="1">
      <c r="A2478" s="61">
        <v>10.77479</v>
      </c>
      <c r="B2478" s="63">
        <v>106.6885</v>
      </c>
      <c r="C2478" s="63">
        <v>10.77526</v>
      </c>
      <c r="D2478" s="63">
        <v>106.6823</v>
      </c>
      <c r="E2478" s="64">
        <v>1.096</v>
      </c>
    </row>
    <row r="2479" ht="22.5" customHeight="1">
      <c r="A2479" s="66">
        <v>10.77479</v>
      </c>
      <c r="B2479" s="67">
        <v>106.6885</v>
      </c>
      <c r="C2479" s="67">
        <v>10.77641</v>
      </c>
      <c r="D2479" s="67">
        <v>106.6866</v>
      </c>
      <c r="E2479" s="68">
        <v>0.59</v>
      </c>
    </row>
    <row r="2480" ht="22.5" customHeight="1">
      <c r="A2480" s="61">
        <v>10.77479</v>
      </c>
      <c r="B2480" s="63">
        <v>106.6885</v>
      </c>
      <c r="C2480" s="63">
        <v>10.77663</v>
      </c>
      <c r="D2480" s="63">
        <v>106.6901</v>
      </c>
      <c r="E2480" s="64">
        <v>0.797</v>
      </c>
    </row>
    <row r="2481" ht="22.5" customHeight="1">
      <c r="A2481" s="66">
        <v>10.77479</v>
      </c>
      <c r="B2481" s="67">
        <v>106.6885</v>
      </c>
      <c r="C2481" s="67">
        <v>10.77674</v>
      </c>
      <c r="D2481" s="67">
        <v>106.6841</v>
      </c>
      <c r="E2481" s="68">
        <v>0.578</v>
      </c>
    </row>
    <row r="2482" ht="22.5" customHeight="1">
      <c r="A2482" s="61">
        <v>10.77479</v>
      </c>
      <c r="B2482" s="63">
        <v>106.6885</v>
      </c>
      <c r="C2482" s="63">
        <v>10.77727</v>
      </c>
      <c r="D2482" s="63">
        <v>106.6795</v>
      </c>
      <c r="E2482" s="64">
        <v>1.526</v>
      </c>
    </row>
    <row r="2483" ht="22.5" customHeight="1">
      <c r="A2483" s="66">
        <v>10.77479</v>
      </c>
      <c r="B2483" s="67">
        <v>106.6885</v>
      </c>
      <c r="C2483" s="67">
        <v>10.7785</v>
      </c>
      <c r="D2483" s="67">
        <v>106.6858</v>
      </c>
      <c r="E2483" s="68">
        <v>0.671</v>
      </c>
    </row>
    <row r="2484" ht="22.5" customHeight="1">
      <c r="A2484" s="61">
        <v>10.77479</v>
      </c>
      <c r="B2484" s="63">
        <v>106.6885</v>
      </c>
      <c r="C2484" s="63">
        <v>10.77918</v>
      </c>
      <c r="D2484" s="63">
        <v>106.6903</v>
      </c>
      <c r="E2484" s="64">
        <v>1.168</v>
      </c>
    </row>
    <row r="2485" ht="22.5" customHeight="1">
      <c r="A2485" s="66">
        <v>10.77479</v>
      </c>
      <c r="B2485" s="67">
        <v>106.6885</v>
      </c>
      <c r="C2485" s="67">
        <v>10.78115</v>
      </c>
      <c r="D2485" s="67">
        <v>106.7005</v>
      </c>
      <c r="E2485" s="68">
        <v>2.035</v>
      </c>
    </row>
    <row r="2486" ht="22.5" customHeight="1">
      <c r="A2486" s="61">
        <v>10.77479</v>
      </c>
      <c r="B2486" s="63">
        <v>106.6885</v>
      </c>
      <c r="C2486" s="63">
        <v>10.78485</v>
      </c>
      <c r="D2486" s="63">
        <v>106.6942</v>
      </c>
      <c r="E2486" s="64">
        <v>2.175</v>
      </c>
    </row>
    <row r="2487" ht="22.5" customHeight="1">
      <c r="A2487" s="66">
        <v>10.77479</v>
      </c>
      <c r="B2487" s="67">
        <v>106.6885</v>
      </c>
      <c r="C2487" s="67">
        <v>10.78607</v>
      </c>
      <c r="D2487" s="67">
        <v>106.6877</v>
      </c>
      <c r="E2487" s="68">
        <v>1.605</v>
      </c>
    </row>
    <row r="2488" ht="22.5" customHeight="1">
      <c r="A2488" s="61">
        <v>10.77479</v>
      </c>
      <c r="B2488" s="63">
        <v>106.6385</v>
      </c>
      <c r="C2488" s="63">
        <v>10.77509</v>
      </c>
      <c r="D2488" s="63">
        <v>106.6727</v>
      </c>
      <c r="E2488" s="64">
        <v>5.612</v>
      </c>
    </row>
    <row r="2489" ht="22.5" customHeight="1">
      <c r="A2489" s="66">
        <v>10.77479</v>
      </c>
      <c r="B2489" s="67">
        <v>106.6385</v>
      </c>
      <c r="C2489" s="67">
        <v>10.79435</v>
      </c>
      <c r="D2489" s="67">
        <v>106.6382</v>
      </c>
      <c r="E2489" s="68">
        <v>2.588</v>
      </c>
    </row>
    <row r="2490" ht="22.5" customHeight="1">
      <c r="A2490" s="61">
        <v>10.7748</v>
      </c>
      <c r="B2490" s="63">
        <v>106.6483</v>
      </c>
      <c r="C2490" s="63">
        <v>10.76707</v>
      </c>
      <c r="D2490" s="63">
        <v>106.6493</v>
      </c>
      <c r="E2490" s="64">
        <v>1.8</v>
      </c>
    </row>
    <row r="2491" ht="22.5" customHeight="1">
      <c r="A2491" s="66">
        <v>10.7748</v>
      </c>
      <c r="B2491" s="67">
        <v>106.6483</v>
      </c>
      <c r="C2491" s="67">
        <v>10.77509</v>
      </c>
      <c r="D2491" s="67">
        <v>106.6727</v>
      </c>
      <c r="E2491" s="68">
        <v>4.1</v>
      </c>
    </row>
    <row r="2492" ht="22.5" customHeight="1">
      <c r="A2492" s="61">
        <v>10.7748</v>
      </c>
      <c r="B2492" s="63">
        <v>106.6483</v>
      </c>
      <c r="C2492" s="63">
        <v>10.77995</v>
      </c>
      <c r="D2492" s="63">
        <v>106.6498</v>
      </c>
      <c r="E2492" s="64">
        <v>0.61</v>
      </c>
    </row>
    <row r="2493" ht="22.5" customHeight="1">
      <c r="A2493" s="66">
        <v>10.7748</v>
      </c>
      <c r="B2493" s="67">
        <v>106.6483</v>
      </c>
      <c r="C2493" s="67">
        <v>10.78954</v>
      </c>
      <c r="D2493" s="67">
        <v>106.6431</v>
      </c>
      <c r="E2493" s="68">
        <v>2.015</v>
      </c>
    </row>
    <row r="2494" ht="22.5" customHeight="1">
      <c r="A2494" s="61">
        <v>10.7748</v>
      </c>
      <c r="B2494" s="63">
        <v>106.6483</v>
      </c>
      <c r="C2494" s="63">
        <v>10.79193</v>
      </c>
      <c r="D2494" s="63">
        <v>106.6555</v>
      </c>
      <c r="E2494" s="64">
        <v>2.4</v>
      </c>
    </row>
    <row r="2495" ht="22.5" customHeight="1">
      <c r="A2495" s="66">
        <v>10.7748</v>
      </c>
      <c r="B2495" s="67">
        <v>106.6483</v>
      </c>
      <c r="C2495" s="67">
        <v>10.79435</v>
      </c>
      <c r="D2495" s="67">
        <v>106.6382</v>
      </c>
      <c r="E2495" s="68">
        <v>3.4</v>
      </c>
    </row>
    <row r="2496" ht="22.5" customHeight="1">
      <c r="A2496" s="61">
        <v>10.77485</v>
      </c>
      <c r="B2496" s="63">
        <v>106.6797</v>
      </c>
      <c r="C2496" s="63">
        <v>10.77509</v>
      </c>
      <c r="D2496" s="63">
        <v>106.6727</v>
      </c>
      <c r="E2496" s="64">
        <v>1.639</v>
      </c>
    </row>
    <row r="2497" ht="22.5" customHeight="1">
      <c r="A2497" s="66">
        <v>10.775</v>
      </c>
      <c r="B2497" s="67">
        <v>106.6647</v>
      </c>
      <c r="C2497" s="67">
        <v>10.76707</v>
      </c>
      <c r="D2497" s="67">
        <v>106.6493</v>
      </c>
      <c r="E2497" s="68">
        <v>2.406</v>
      </c>
    </row>
    <row r="2498" ht="22.5" customHeight="1">
      <c r="A2498" s="61">
        <v>10.775</v>
      </c>
      <c r="B2498" s="63">
        <v>106.6647</v>
      </c>
      <c r="C2498" s="63">
        <v>10.76913</v>
      </c>
      <c r="D2498" s="63">
        <v>106.6615</v>
      </c>
      <c r="E2498" s="64">
        <v>1.027</v>
      </c>
    </row>
    <row r="2499" ht="22.5" customHeight="1">
      <c r="A2499" s="66">
        <v>10.775</v>
      </c>
      <c r="B2499" s="67">
        <v>106.6647</v>
      </c>
      <c r="C2499" s="67">
        <v>10.77509</v>
      </c>
      <c r="D2499" s="67">
        <v>106.6727</v>
      </c>
      <c r="E2499" s="68">
        <v>1.689</v>
      </c>
    </row>
    <row r="2500" ht="22.5" customHeight="1">
      <c r="A2500" s="61">
        <v>10.77503</v>
      </c>
      <c r="B2500" s="63">
        <v>106.6737</v>
      </c>
      <c r="C2500" s="63">
        <v>10.7733</v>
      </c>
      <c r="D2500" s="63">
        <v>106.6687</v>
      </c>
      <c r="E2500" s="64">
        <v>0.833</v>
      </c>
    </row>
    <row r="2501" ht="22.5" customHeight="1">
      <c r="A2501" s="66">
        <v>10.77503</v>
      </c>
      <c r="B2501" s="67">
        <v>106.6737</v>
      </c>
      <c r="C2501" s="67">
        <v>10.77509</v>
      </c>
      <c r="D2501" s="67">
        <v>106.6727</v>
      </c>
      <c r="E2501" s="68">
        <v>0.063</v>
      </c>
    </row>
    <row r="2502" ht="22.5" customHeight="1">
      <c r="A2502" s="61">
        <v>10.77509</v>
      </c>
      <c r="B2502" s="63">
        <v>106.6727</v>
      </c>
      <c r="C2502" s="63">
        <v>10.01713</v>
      </c>
      <c r="D2502" s="63">
        <v>105.7392</v>
      </c>
      <c r="E2502" s="64">
        <v>166.3</v>
      </c>
    </row>
    <row r="2503" ht="22.5" customHeight="1">
      <c r="A2503" s="66">
        <v>10.77509</v>
      </c>
      <c r="B2503" s="67">
        <v>106.6727</v>
      </c>
      <c r="C2503" s="67">
        <v>10.03708</v>
      </c>
      <c r="D2503" s="67">
        <v>105.7543</v>
      </c>
      <c r="E2503" s="68">
        <v>163.7</v>
      </c>
    </row>
    <row r="2504" ht="22.5" customHeight="1">
      <c r="A2504" s="61">
        <v>10.77509</v>
      </c>
      <c r="B2504" s="63">
        <v>106.6727</v>
      </c>
      <c r="C2504" s="63">
        <v>10.0519</v>
      </c>
      <c r="D2504" s="63">
        <v>105.7741</v>
      </c>
      <c r="E2504" s="64">
        <v>160.8</v>
      </c>
    </row>
    <row r="2505" ht="22.5" customHeight="1">
      <c r="A2505" s="66">
        <v>10.77509</v>
      </c>
      <c r="B2505" s="67">
        <v>106.6727</v>
      </c>
      <c r="C2505" s="67">
        <v>10.68689</v>
      </c>
      <c r="D2505" s="67">
        <v>106.7435</v>
      </c>
      <c r="E2505" s="68">
        <v>16.2</v>
      </c>
    </row>
    <row r="2506" ht="22.5" customHeight="1">
      <c r="A2506" s="61">
        <v>10.77509</v>
      </c>
      <c r="B2506" s="63">
        <v>106.6727</v>
      </c>
      <c r="C2506" s="63">
        <v>10.70167</v>
      </c>
      <c r="D2506" s="63">
        <v>106.7382</v>
      </c>
      <c r="E2506" s="64">
        <v>13.6</v>
      </c>
    </row>
    <row r="2507" ht="22.5" customHeight="1">
      <c r="A2507" s="66">
        <v>10.77509</v>
      </c>
      <c r="B2507" s="67">
        <v>106.6727</v>
      </c>
      <c r="C2507" s="67">
        <v>10.70929</v>
      </c>
      <c r="D2507" s="67">
        <v>106.576</v>
      </c>
      <c r="E2507" s="68">
        <v>15.571</v>
      </c>
    </row>
    <row r="2508" ht="22.5" customHeight="1">
      <c r="A2508" s="61">
        <v>10.77509</v>
      </c>
      <c r="B2508" s="63">
        <v>106.6727</v>
      </c>
      <c r="C2508" s="63">
        <v>10.711</v>
      </c>
      <c r="D2508" s="63">
        <v>106.5765</v>
      </c>
      <c r="E2508" s="64">
        <v>15.667</v>
      </c>
    </row>
    <row r="2509" ht="22.5" customHeight="1">
      <c r="A2509" s="66">
        <v>10.77509</v>
      </c>
      <c r="B2509" s="67">
        <v>106.6727</v>
      </c>
      <c r="C2509" s="67">
        <v>10.71544</v>
      </c>
      <c r="D2509" s="67">
        <v>106.7371</v>
      </c>
      <c r="E2509" s="68">
        <v>12.4</v>
      </c>
    </row>
    <row r="2510" ht="22.5" customHeight="1">
      <c r="A2510" s="61">
        <v>10.77509</v>
      </c>
      <c r="B2510" s="63">
        <v>106.6727</v>
      </c>
      <c r="C2510" s="63">
        <v>10.7231</v>
      </c>
      <c r="D2510" s="63">
        <v>106.6556</v>
      </c>
      <c r="E2510" s="64">
        <v>7.5</v>
      </c>
    </row>
    <row r="2511" ht="22.5" customHeight="1">
      <c r="A2511" s="66">
        <v>10.77509</v>
      </c>
      <c r="B2511" s="67">
        <v>106.6727</v>
      </c>
      <c r="C2511" s="67">
        <v>10.73002</v>
      </c>
      <c r="D2511" s="67">
        <v>106.6559</v>
      </c>
      <c r="E2511" s="68">
        <v>6.8</v>
      </c>
    </row>
    <row r="2512" ht="22.5" customHeight="1">
      <c r="A2512" s="61">
        <v>10.77509</v>
      </c>
      <c r="B2512" s="63">
        <v>106.6727</v>
      </c>
      <c r="C2512" s="63">
        <v>10.7301</v>
      </c>
      <c r="D2512" s="63">
        <v>106.6763</v>
      </c>
      <c r="E2512" s="64">
        <v>5.8</v>
      </c>
    </row>
    <row r="2513" ht="22.5" customHeight="1">
      <c r="A2513" s="66">
        <v>10.77509</v>
      </c>
      <c r="B2513" s="67">
        <v>106.6727</v>
      </c>
      <c r="C2513" s="67">
        <v>10.73437</v>
      </c>
      <c r="D2513" s="67">
        <v>106.6595</v>
      </c>
      <c r="E2513" s="68">
        <v>6.9</v>
      </c>
    </row>
    <row r="2514" ht="22.5" customHeight="1">
      <c r="A2514" s="61">
        <v>10.77509</v>
      </c>
      <c r="B2514" s="63">
        <v>106.6727</v>
      </c>
      <c r="C2514" s="63">
        <v>10.73611</v>
      </c>
      <c r="D2514" s="63">
        <v>106.6908</v>
      </c>
      <c r="E2514" s="64">
        <v>5.6</v>
      </c>
    </row>
    <row r="2515" ht="22.5" customHeight="1">
      <c r="A2515" s="66">
        <v>10.77509</v>
      </c>
      <c r="B2515" s="67">
        <v>106.6727</v>
      </c>
      <c r="C2515" s="67">
        <v>10.73635</v>
      </c>
      <c r="D2515" s="67">
        <v>106.6714</v>
      </c>
      <c r="E2515" s="68">
        <v>4.9</v>
      </c>
    </row>
    <row r="2516" ht="22.5" customHeight="1">
      <c r="A2516" s="61">
        <v>10.77509</v>
      </c>
      <c r="B2516" s="63">
        <v>106.6727</v>
      </c>
      <c r="C2516" s="63">
        <v>10.73842</v>
      </c>
      <c r="D2516" s="63">
        <v>106.7164</v>
      </c>
      <c r="E2516" s="64">
        <v>8.8</v>
      </c>
    </row>
    <row r="2517" ht="22.5" customHeight="1">
      <c r="A2517" s="66">
        <v>10.77509</v>
      </c>
      <c r="B2517" s="67">
        <v>106.6727</v>
      </c>
      <c r="C2517" s="67">
        <v>10.7389</v>
      </c>
      <c r="D2517" s="67">
        <v>106.67</v>
      </c>
      <c r="E2517" s="68">
        <v>5.1</v>
      </c>
    </row>
    <row r="2518" ht="22.5" customHeight="1">
      <c r="A2518" s="61">
        <v>10.77509</v>
      </c>
      <c r="B2518" s="63">
        <v>106.6727</v>
      </c>
      <c r="C2518" s="63">
        <v>10.73905</v>
      </c>
      <c r="D2518" s="63">
        <v>106.6327</v>
      </c>
      <c r="E2518" s="64">
        <v>6.8</v>
      </c>
    </row>
    <row r="2519" ht="22.5" customHeight="1">
      <c r="A2519" s="66">
        <v>10.77509</v>
      </c>
      <c r="B2519" s="67">
        <v>106.6727</v>
      </c>
      <c r="C2519" s="67">
        <v>10.73942</v>
      </c>
      <c r="D2519" s="67">
        <v>106.6755</v>
      </c>
      <c r="E2519" s="68">
        <v>5.4</v>
      </c>
    </row>
    <row r="2520" ht="22.5" customHeight="1">
      <c r="A2520" s="61">
        <v>10.77509</v>
      </c>
      <c r="B2520" s="63">
        <v>106.6727</v>
      </c>
      <c r="C2520" s="63">
        <v>10.74131</v>
      </c>
      <c r="D2520" s="63">
        <v>106.6863</v>
      </c>
      <c r="E2520" s="64">
        <v>5.2</v>
      </c>
    </row>
    <row r="2521" ht="22.5" customHeight="1">
      <c r="A2521" s="66">
        <v>10.77509</v>
      </c>
      <c r="B2521" s="67">
        <v>106.6727</v>
      </c>
      <c r="C2521" s="67">
        <v>10.74152</v>
      </c>
      <c r="D2521" s="67">
        <v>106.6251</v>
      </c>
      <c r="E2521" s="68">
        <v>7.5</v>
      </c>
    </row>
    <row r="2522" ht="22.5" customHeight="1">
      <c r="A2522" s="61">
        <v>10.77509</v>
      </c>
      <c r="B2522" s="63">
        <v>106.6727</v>
      </c>
      <c r="C2522" s="63">
        <v>10.74157</v>
      </c>
      <c r="D2522" s="63">
        <v>106.6885</v>
      </c>
      <c r="E2522" s="64">
        <v>5.4</v>
      </c>
    </row>
    <row r="2523" ht="22.5" customHeight="1">
      <c r="A2523" s="66">
        <v>10.77509</v>
      </c>
      <c r="B2523" s="67">
        <v>106.6727</v>
      </c>
      <c r="C2523" s="67">
        <v>10.74167</v>
      </c>
      <c r="D2523" s="67">
        <v>106.6764</v>
      </c>
      <c r="E2523" s="68">
        <v>5.7</v>
      </c>
    </row>
    <row r="2524" ht="22.5" customHeight="1">
      <c r="A2524" s="61">
        <v>10.77509</v>
      </c>
      <c r="B2524" s="63">
        <v>106.6727</v>
      </c>
      <c r="C2524" s="63">
        <v>10.74183</v>
      </c>
      <c r="D2524" s="63">
        <v>106.6769</v>
      </c>
      <c r="E2524" s="64">
        <v>5.5</v>
      </c>
    </row>
    <row r="2525" ht="22.5" customHeight="1">
      <c r="A2525" s="66">
        <v>10.77509</v>
      </c>
      <c r="B2525" s="67">
        <v>106.6727</v>
      </c>
      <c r="C2525" s="67">
        <v>10.7444</v>
      </c>
      <c r="D2525" s="67">
        <v>106.6304</v>
      </c>
      <c r="E2525" s="68">
        <v>6.4</v>
      </c>
    </row>
    <row r="2526" ht="22.5" customHeight="1">
      <c r="A2526" s="61">
        <v>10.77509</v>
      </c>
      <c r="B2526" s="63">
        <v>106.6727</v>
      </c>
      <c r="C2526" s="63">
        <v>10.74602</v>
      </c>
      <c r="D2526" s="63">
        <v>106.6123</v>
      </c>
      <c r="E2526" s="64">
        <v>8.5</v>
      </c>
    </row>
    <row r="2527" ht="22.5" customHeight="1">
      <c r="A2527" s="66">
        <v>10.77509</v>
      </c>
      <c r="B2527" s="67">
        <v>106.6727</v>
      </c>
      <c r="C2527" s="67">
        <v>10.74627</v>
      </c>
      <c r="D2527" s="67">
        <v>106.6776</v>
      </c>
      <c r="E2527" s="68">
        <v>4.9</v>
      </c>
    </row>
    <row r="2528" ht="22.5" customHeight="1">
      <c r="A2528" s="61">
        <v>10.77509</v>
      </c>
      <c r="B2528" s="63">
        <v>106.6727</v>
      </c>
      <c r="C2528" s="63">
        <v>10.74761</v>
      </c>
      <c r="D2528" s="63">
        <v>106.689</v>
      </c>
      <c r="E2528" s="64">
        <v>4.1</v>
      </c>
    </row>
    <row r="2529" ht="22.5" customHeight="1">
      <c r="A2529" s="66">
        <v>10.77509</v>
      </c>
      <c r="B2529" s="67">
        <v>106.6727</v>
      </c>
      <c r="C2529" s="67">
        <v>10.74878</v>
      </c>
      <c r="D2529" s="67">
        <v>106.6995</v>
      </c>
      <c r="E2529" s="68">
        <v>6.242</v>
      </c>
    </row>
    <row r="2530" ht="22.5" customHeight="1">
      <c r="A2530" s="61">
        <v>10.77509</v>
      </c>
      <c r="B2530" s="63">
        <v>106.6727</v>
      </c>
      <c r="C2530" s="63">
        <v>10.74946</v>
      </c>
      <c r="D2530" s="63">
        <v>106.6451</v>
      </c>
      <c r="E2530" s="64">
        <v>5.2</v>
      </c>
    </row>
    <row r="2531" ht="22.5" customHeight="1">
      <c r="A2531" s="66">
        <v>10.77509</v>
      </c>
      <c r="B2531" s="67">
        <v>106.6727</v>
      </c>
      <c r="C2531" s="67">
        <v>10.75113</v>
      </c>
      <c r="D2531" s="67">
        <v>106.635</v>
      </c>
      <c r="E2531" s="68">
        <v>5.7</v>
      </c>
    </row>
    <row r="2532" ht="22.5" customHeight="1">
      <c r="A2532" s="61">
        <v>10.77509</v>
      </c>
      <c r="B2532" s="63">
        <v>106.6727</v>
      </c>
      <c r="C2532" s="63">
        <v>10.7518</v>
      </c>
      <c r="D2532" s="63">
        <v>106.6273</v>
      </c>
      <c r="E2532" s="64">
        <v>6.4</v>
      </c>
    </row>
    <row r="2533" ht="22.5" customHeight="1">
      <c r="A2533" s="66">
        <v>10.77509</v>
      </c>
      <c r="B2533" s="67">
        <v>106.6727</v>
      </c>
      <c r="C2533" s="67">
        <v>10.75191</v>
      </c>
      <c r="D2533" s="67">
        <v>106.6006</v>
      </c>
      <c r="E2533" s="68">
        <v>9.6</v>
      </c>
    </row>
    <row r="2534" ht="22.5" customHeight="1">
      <c r="A2534" s="61">
        <v>10.77509</v>
      </c>
      <c r="B2534" s="63">
        <v>106.6727</v>
      </c>
      <c r="C2534" s="63">
        <v>10.75267</v>
      </c>
      <c r="D2534" s="63">
        <v>106.6789</v>
      </c>
      <c r="E2534" s="64">
        <v>3.7</v>
      </c>
    </row>
    <row r="2535" ht="22.5" customHeight="1">
      <c r="A2535" s="66">
        <v>10.77509</v>
      </c>
      <c r="B2535" s="67">
        <v>106.6727</v>
      </c>
      <c r="C2535" s="67">
        <v>10.7531</v>
      </c>
      <c r="D2535" s="67">
        <v>106.6508</v>
      </c>
      <c r="E2535" s="68">
        <v>4.1</v>
      </c>
    </row>
    <row r="2536" ht="22.5" customHeight="1">
      <c r="A2536" s="61">
        <v>10.77509</v>
      </c>
      <c r="B2536" s="63">
        <v>106.6727</v>
      </c>
      <c r="C2536" s="63">
        <v>10.75317</v>
      </c>
      <c r="D2536" s="63">
        <v>106.6778</v>
      </c>
      <c r="E2536" s="64">
        <v>3.7</v>
      </c>
    </row>
    <row r="2537" ht="22.5" customHeight="1">
      <c r="A2537" s="66">
        <v>10.77509</v>
      </c>
      <c r="B2537" s="67">
        <v>106.6727</v>
      </c>
      <c r="C2537" s="67">
        <v>10.75347</v>
      </c>
      <c r="D2537" s="67">
        <v>106.5931</v>
      </c>
      <c r="E2537" s="68">
        <v>10.6</v>
      </c>
    </row>
    <row r="2538" ht="22.5" customHeight="1">
      <c r="A2538" s="61">
        <v>10.77509</v>
      </c>
      <c r="B2538" s="63">
        <v>106.6727</v>
      </c>
      <c r="C2538" s="63">
        <v>10.755</v>
      </c>
      <c r="D2538" s="63">
        <v>106.6705</v>
      </c>
      <c r="E2538" s="64">
        <v>2.8</v>
      </c>
    </row>
    <row r="2539" ht="22.5" customHeight="1">
      <c r="A2539" s="66">
        <v>10.77509</v>
      </c>
      <c r="B2539" s="67">
        <v>106.6727</v>
      </c>
      <c r="C2539" s="67">
        <v>10.75524</v>
      </c>
      <c r="D2539" s="67">
        <v>106.6645</v>
      </c>
      <c r="E2539" s="68">
        <v>3.1</v>
      </c>
    </row>
    <row r="2540" ht="22.5" customHeight="1">
      <c r="A2540" s="61">
        <v>10.77509</v>
      </c>
      <c r="B2540" s="63">
        <v>106.6727</v>
      </c>
      <c r="C2540" s="63">
        <v>10.75538</v>
      </c>
      <c r="D2540" s="63">
        <v>106.6433</v>
      </c>
      <c r="E2540" s="64">
        <v>4.3</v>
      </c>
    </row>
    <row r="2541" ht="22.5" customHeight="1">
      <c r="A2541" s="66">
        <v>10.77509</v>
      </c>
      <c r="B2541" s="67">
        <v>106.6727</v>
      </c>
      <c r="C2541" s="67">
        <v>10.75579</v>
      </c>
      <c r="D2541" s="67">
        <v>106.6247</v>
      </c>
      <c r="E2541" s="68">
        <v>6.4</v>
      </c>
    </row>
    <row r="2542" ht="22.5" customHeight="1">
      <c r="A2542" s="61">
        <v>10.77509</v>
      </c>
      <c r="B2542" s="63">
        <v>106.6727</v>
      </c>
      <c r="C2542" s="63">
        <v>10.75586</v>
      </c>
      <c r="D2542" s="63">
        <v>106.6724</v>
      </c>
      <c r="E2542" s="64">
        <v>2.5</v>
      </c>
    </row>
    <row r="2543" ht="22.5" customHeight="1">
      <c r="A2543" s="66">
        <v>10.77509</v>
      </c>
      <c r="B2543" s="67">
        <v>106.6727</v>
      </c>
      <c r="C2543" s="67">
        <v>10.75588</v>
      </c>
      <c r="D2543" s="67">
        <v>106.6592</v>
      </c>
      <c r="E2543" s="68">
        <v>3.4</v>
      </c>
    </row>
    <row r="2544" ht="22.5" customHeight="1">
      <c r="A2544" s="61">
        <v>10.77509</v>
      </c>
      <c r="B2544" s="63">
        <v>106.6727</v>
      </c>
      <c r="C2544" s="63">
        <v>10.75642</v>
      </c>
      <c r="D2544" s="63">
        <v>106.6734</v>
      </c>
      <c r="E2544" s="64">
        <v>2.4</v>
      </c>
    </row>
    <row r="2545" ht="22.5" customHeight="1">
      <c r="A2545" s="66">
        <v>10.77509</v>
      </c>
      <c r="B2545" s="67">
        <v>106.6727</v>
      </c>
      <c r="C2545" s="67">
        <v>10.75643</v>
      </c>
      <c r="D2545" s="67">
        <v>106.6734</v>
      </c>
      <c r="E2545" s="68">
        <v>2.4</v>
      </c>
    </row>
    <row r="2546" ht="22.5" customHeight="1">
      <c r="A2546" s="61">
        <v>10.77509</v>
      </c>
      <c r="B2546" s="63">
        <v>106.6727</v>
      </c>
      <c r="C2546" s="63">
        <v>10.7568</v>
      </c>
      <c r="D2546" s="63">
        <v>106.6621</v>
      </c>
      <c r="E2546" s="64">
        <v>3.1</v>
      </c>
    </row>
    <row r="2547" ht="22.5" customHeight="1">
      <c r="A2547" s="66">
        <v>10.77509</v>
      </c>
      <c r="B2547" s="67">
        <v>106.6727</v>
      </c>
      <c r="C2547" s="67">
        <v>10.75695</v>
      </c>
      <c r="D2547" s="67">
        <v>106.671</v>
      </c>
      <c r="E2547" s="68">
        <v>2.4</v>
      </c>
    </row>
    <row r="2548" ht="22.5" customHeight="1">
      <c r="A2548" s="61">
        <v>10.77509</v>
      </c>
      <c r="B2548" s="63">
        <v>106.6727</v>
      </c>
      <c r="C2548" s="63">
        <v>10.75784</v>
      </c>
      <c r="D2548" s="63">
        <v>106.6595</v>
      </c>
      <c r="E2548" s="64">
        <v>3.591</v>
      </c>
    </row>
    <row r="2549" ht="22.5" customHeight="1">
      <c r="A2549" s="66">
        <v>10.77509</v>
      </c>
      <c r="B2549" s="67">
        <v>106.6727</v>
      </c>
      <c r="C2549" s="67">
        <v>10.75807</v>
      </c>
      <c r="D2549" s="67">
        <v>106.6592</v>
      </c>
      <c r="E2549" s="68">
        <v>3.1</v>
      </c>
    </row>
    <row r="2550" ht="22.5" customHeight="1">
      <c r="A2550" s="61">
        <v>10.77509</v>
      </c>
      <c r="B2550" s="63">
        <v>106.6727</v>
      </c>
      <c r="C2550" s="63">
        <v>10.75818</v>
      </c>
      <c r="D2550" s="63">
        <v>106.6562</v>
      </c>
      <c r="E2550" s="64">
        <v>3.1</v>
      </c>
    </row>
    <row r="2551" ht="22.5" customHeight="1">
      <c r="A2551" s="66">
        <v>10.77509</v>
      </c>
      <c r="B2551" s="67">
        <v>106.6727</v>
      </c>
      <c r="C2551" s="67">
        <v>10.75836</v>
      </c>
      <c r="D2551" s="67">
        <v>106.6708</v>
      </c>
      <c r="E2551" s="68">
        <v>2.5</v>
      </c>
    </row>
    <row r="2552" ht="22.5" customHeight="1">
      <c r="A2552" s="61">
        <v>10.77509</v>
      </c>
      <c r="B2552" s="63">
        <v>106.6727</v>
      </c>
      <c r="C2552" s="63">
        <v>10.75872</v>
      </c>
      <c r="D2552" s="63">
        <v>106.6577</v>
      </c>
      <c r="E2552" s="64">
        <v>3.1</v>
      </c>
    </row>
    <row r="2553" ht="22.5" customHeight="1">
      <c r="A2553" s="66">
        <v>10.77509</v>
      </c>
      <c r="B2553" s="67">
        <v>106.6727</v>
      </c>
      <c r="C2553" s="67">
        <v>10.759</v>
      </c>
      <c r="D2553" s="67">
        <v>106.6681</v>
      </c>
      <c r="E2553" s="68">
        <v>2.2</v>
      </c>
    </row>
    <row r="2554" ht="22.5" customHeight="1">
      <c r="A2554" s="61">
        <v>10.77509</v>
      </c>
      <c r="B2554" s="63">
        <v>106.6727</v>
      </c>
      <c r="C2554" s="63">
        <v>10.75907</v>
      </c>
      <c r="D2554" s="63">
        <v>106.6988</v>
      </c>
      <c r="E2554" s="64">
        <v>4.4</v>
      </c>
    </row>
    <row r="2555" ht="22.5" customHeight="1">
      <c r="A2555" s="66">
        <v>10.77509</v>
      </c>
      <c r="B2555" s="67">
        <v>106.6727</v>
      </c>
      <c r="C2555" s="67">
        <v>10.75947</v>
      </c>
      <c r="D2555" s="67">
        <v>106.6805</v>
      </c>
      <c r="E2555" s="68">
        <v>2.4</v>
      </c>
    </row>
    <row r="2556" ht="22.5" customHeight="1">
      <c r="A2556" s="61">
        <v>10.77509</v>
      </c>
      <c r="B2556" s="63">
        <v>106.6727</v>
      </c>
      <c r="C2556" s="63">
        <v>10.75973</v>
      </c>
      <c r="D2556" s="63">
        <v>106.6989</v>
      </c>
      <c r="E2556" s="64">
        <v>4.4</v>
      </c>
    </row>
    <row r="2557" ht="22.5" customHeight="1">
      <c r="A2557" s="66">
        <v>10.77509</v>
      </c>
      <c r="B2557" s="67">
        <v>106.6727</v>
      </c>
      <c r="C2557" s="67">
        <v>10.75977</v>
      </c>
      <c r="D2557" s="67">
        <v>106.6989</v>
      </c>
      <c r="E2557" s="68">
        <v>4.4</v>
      </c>
    </row>
    <row r="2558" ht="22.5" customHeight="1">
      <c r="A2558" s="61">
        <v>10.77509</v>
      </c>
      <c r="B2558" s="63">
        <v>106.6727</v>
      </c>
      <c r="C2558" s="63">
        <v>10.75985</v>
      </c>
      <c r="D2558" s="63">
        <v>106.677</v>
      </c>
      <c r="E2558" s="64">
        <v>1.9</v>
      </c>
    </row>
    <row r="2559" ht="22.5" customHeight="1">
      <c r="A2559" s="66">
        <v>10.77509</v>
      </c>
      <c r="B2559" s="67">
        <v>106.6727</v>
      </c>
      <c r="C2559" s="67">
        <v>10.75998</v>
      </c>
      <c r="D2559" s="67">
        <v>106.6727</v>
      </c>
      <c r="E2559" s="68">
        <v>2.0</v>
      </c>
    </row>
    <row r="2560" ht="22.5" customHeight="1">
      <c r="A2560" s="61">
        <v>10.77509</v>
      </c>
      <c r="B2560" s="63">
        <v>106.6727</v>
      </c>
      <c r="C2560" s="63">
        <v>10.75998</v>
      </c>
      <c r="D2560" s="63">
        <v>106.6609</v>
      </c>
      <c r="E2560" s="64">
        <v>2.7</v>
      </c>
    </row>
    <row r="2561" ht="22.5" customHeight="1">
      <c r="A2561" s="66">
        <v>10.77509</v>
      </c>
      <c r="B2561" s="67">
        <v>106.6727</v>
      </c>
      <c r="C2561" s="67">
        <v>10.75999</v>
      </c>
      <c r="D2561" s="67">
        <v>106.6728</v>
      </c>
      <c r="E2561" s="68">
        <v>1.943</v>
      </c>
    </row>
    <row r="2562" ht="22.5" customHeight="1">
      <c r="A2562" s="61">
        <v>10.77509</v>
      </c>
      <c r="B2562" s="63">
        <v>106.6727</v>
      </c>
      <c r="C2562" s="63">
        <v>10.76057</v>
      </c>
      <c r="D2562" s="63">
        <v>106.6481</v>
      </c>
      <c r="E2562" s="64">
        <v>3.8</v>
      </c>
    </row>
    <row r="2563" ht="22.5" customHeight="1">
      <c r="A2563" s="66">
        <v>10.77509</v>
      </c>
      <c r="B2563" s="67">
        <v>106.6727</v>
      </c>
      <c r="C2563" s="67">
        <v>10.76163</v>
      </c>
      <c r="D2563" s="67">
        <v>106.6769</v>
      </c>
      <c r="E2563" s="68">
        <v>2.0</v>
      </c>
    </row>
    <row r="2564" ht="22.5" customHeight="1">
      <c r="A2564" s="61">
        <v>10.77509</v>
      </c>
      <c r="B2564" s="63">
        <v>106.6727</v>
      </c>
      <c r="C2564" s="63">
        <v>10.76195</v>
      </c>
      <c r="D2564" s="63">
        <v>106.6569</v>
      </c>
      <c r="E2564" s="64">
        <v>2.6</v>
      </c>
    </row>
    <row r="2565" ht="22.5" customHeight="1">
      <c r="A2565" s="66">
        <v>10.77509</v>
      </c>
      <c r="B2565" s="67">
        <v>106.6727</v>
      </c>
      <c r="C2565" s="67">
        <v>10.76244</v>
      </c>
      <c r="D2565" s="67">
        <v>106.6704</v>
      </c>
      <c r="E2565" s="68">
        <v>1.7</v>
      </c>
    </row>
    <row r="2566" ht="22.5" customHeight="1">
      <c r="A2566" s="61">
        <v>10.77509</v>
      </c>
      <c r="B2566" s="63">
        <v>106.6727</v>
      </c>
      <c r="C2566" s="63">
        <v>10.76283</v>
      </c>
      <c r="D2566" s="63">
        <v>106.6684</v>
      </c>
      <c r="E2566" s="64">
        <v>2.1</v>
      </c>
    </row>
    <row r="2567" ht="22.5" customHeight="1">
      <c r="A2567" s="66">
        <v>10.77509</v>
      </c>
      <c r="B2567" s="67">
        <v>106.6727</v>
      </c>
      <c r="C2567" s="67">
        <v>10.76345</v>
      </c>
      <c r="D2567" s="67">
        <v>106.6596</v>
      </c>
      <c r="E2567" s="68">
        <v>2.638</v>
      </c>
    </row>
    <row r="2568" ht="22.5" customHeight="1">
      <c r="A2568" s="61">
        <v>10.77509</v>
      </c>
      <c r="B2568" s="63">
        <v>106.6727</v>
      </c>
      <c r="C2568" s="63">
        <v>10.76397</v>
      </c>
      <c r="D2568" s="63">
        <v>106.6693</v>
      </c>
      <c r="E2568" s="64">
        <v>1.7</v>
      </c>
    </row>
    <row r="2569" ht="22.5" customHeight="1">
      <c r="A2569" s="66">
        <v>10.77509</v>
      </c>
      <c r="B2569" s="67">
        <v>106.6727</v>
      </c>
      <c r="C2569" s="67">
        <v>10.76442</v>
      </c>
      <c r="D2569" s="67">
        <v>106.6721</v>
      </c>
      <c r="E2569" s="68">
        <v>1.4</v>
      </c>
    </row>
    <row r="2570" ht="22.5" customHeight="1">
      <c r="A2570" s="61">
        <v>10.77509</v>
      </c>
      <c r="B2570" s="63">
        <v>106.6727</v>
      </c>
      <c r="C2570" s="63">
        <v>10.76484</v>
      </c>
      <c r="D2570" s="63">
        <v>106.6907</v>
      </c>
      <c r="E2570" s="64">
        <v>2.4</v>
      </c>
    </row>
    <row r="2571" ht="22.5" customHeight="1">
      <c r="A2571" s="66">
        <v>10.77509</v>
      </c>
      <c r="B2571" s="67">
        <v>106.6727</v>
      </c>
      <c r="C2571" s="67">
        <v>10.76486</v>
      </c>
      <c r="D2571" s="67">
        <v>106.6756</v>
      </c>
      <c r="E2571" s="68">
        <v>1.6</v>
      </c>
    </row>
    <row r="2572" ht="22.5" customHeight="1">
      <c r="A2572" s="61">
        <v>10.77509</v>
      </c>
      <c r="B2572" s="63">
        <v>106.6727</v>
      </c>
      <c r="C2572" s="63">
        <v>10.76525</v>
      </c>
      <c r="D2572" s="63">
        <v>106.702</v>
      </c>
      <c r="E2572" s="64">
        <v>4.8</v>
      </c>
    </row>
    <row r="2573" ht="22.5" customHeight="1">
      <c r="A2573" s="66">
        <v>10.77509</v>
      </c>
      <c r="B2573" s="67">
        <v>106.6727</v>
      </c>
      <c r="C2573" s="67">
        <v>10.76533</v>
      </c>
      <c r="D2573" s="67">
        <v>106.7022</v>
      </c>
      <c r="E2573" s="68">
        <v>4.8</v>
      </c>
    </row>
    <row r="2574" ht="22.5" customHeight="1">
      <c r="A2574" s="61">
        <v>10.77509</v>
      </c>
      <c r="B2574" s="63">
        <v>106.6727</v>
      </c>
      <c r="C2574" s="63">
        <v>10.76656</v>
      </c>
      <c r="D2574" s="63">
        <v>106.726</v>
      </c>
      <c r="E2574" s="64">
        <v>7.4</v>
      </c>
    </row>
    <row r="2575" ht="22.5" customHeight="1">
      <c r="A2575" s="66">
        <v>10.77509</v>
      </c>
      <c r="B2575" s="67">
        <v>106.6727</v>
      </c>
      <c r="C2575" s="67">
        <v>10.76668</v>
      </c>
      <c r="D2575" s="67">
        <v>106.6879</v>
      </c>
      <c r="E2575" s="68">
        <v>2.0</v>
      </c>
    </row>
    <row r="2576" ht="22.5" customHeight="1">
      <c r="A2576" s="61">
        <v>10.77509</v>
      </c>
      <c r="B2576" s="63">
        <v>106.6727</v>
      </c>
      <c r="C2576" s="63">
        <v>10.76707</v>
      </c>
      <c r="D2576" s="63">
        <v>106.6493</v>
      </c>
      <c r="E2576" s="64">
        <v>3.9</v>
      </c>
    </row>
    <row r="2577" ht="22.5" customHeight="1">
      <c r="A2577" s="66">
        <v>10.77509</v>
      </c>
      <c r="B2577" s="67">
        <v>106.6727</v>
      </c>
      <c r="C2577" s="67">
        <v>10.76708</v>
      </c>
      <c r="D2577" s="67">
        <v>106.6836</v>
      </c>
      <c r="E2577" s="68">
        <v>2.2</v>
      </c>
    </row>
    <row r="2578" ht="22.5" customHeight="1">
      <c r="A2578" s="61">
        <v>10.77509</v>
      </c>
      <c r="B2578" s="63">
        <v>106.6727</v>
      </c>
      <c r="C2578" s="63">
        <v>10.76732</v>
      </c>
      <c r="D2578" s="63">
        <v>106.6966</v>
      </c>
      <c r="E2578" s="64">
        <v>3.3</v>
      </c>
    </row>
    <row r="2579" ht="22.5" customHeight="1">
      <c r="A2579" s="66">
        <v>10.77509</v>
      </c>
      <c r="B2579" s="67">
        <v>106.6727</v>
      </c>
      <c r="C2579" s="67">
        <v>10.76743</v>
      </c>
      <c r="D2579" s="67">
        <v>106.6809</v>
      </c>
      <c r="E2579" s="68">
        <v>1.6</v>
      </c>
    </row>
    <row r="2580" ht="22.5" customHeight="1">
      <c r="A2580" s="61">
        <v>10.77509</v>
      </c>
      <c r="B2580" s="63">
        <v>106.6727</v>
      </c>
      <c r="C2580" s="63">
        <v>10.76809</v>
      </c>
      <c r="D2580" s="63">
        <v>106.6092</v>
      </c>
      <c r="E2580" s="64">
        <v>8.8</v>
      </c>
    </row>
    <row r="2581" ht="22.5" customHeight="1">
      <c r="A2581" s="66">
        <v>10.77509</v>
      </c>
      <c r="B2581" s="67">
        <v>106.6727</v>
      </c>
      <c r="C2581" s="67">
        <v>10.76878</v>
      </c>
      <c r="D2581" s="67">
        <v>106.6667</v>
      </c>
      <c r="E2581" s="68">
        <v>1.4</v>
      </c>
    </row>
    <row r="2582" ht="22.5" customHeight="1">
      <c r="A2582" s="61">
        <v>10.77509</v>
      </c>
      <c r="B2582" s="63">
        <v>106.6727</v>
      </c>
      <c r="C2582" s="63">
        <v>10.76898</v>
      </c>
      <c r="D2582" s="63">
        <v>106.6997</v>
      </c>
      <c r="E2582" s="64">
        <v>3.6</v>
      </c>
    </row>
    <row r="2583" ht="22.5" customHeight="1">
      <c r="A2583" s="66">
        <v>10.77509</v>
      </c>
      <c r="B2583" s="67">
        <v>106.6727</v>
      </c>
      <c r="C2583" s="67">
        <v>10.76913</v>
      </c>
      <c r="D2583" s="67">
        <v>106.6615</v>
      </c>
      <c r="E2583" s="68">
        <v>2.2</v>
      </c>
    </row>
    <row r="2584" ht="22.5" customHeight="1">
      <c r="A2584" s="61">
        <v>10.77509</v>
      </c>
      <c r="B2584" s="63">
        <v>106.6727</v>
      </c>
      <c r="C2584" s="63">
        <v>10.7692</v>
      </c>
      <c r="D2584" s="63">
        <v>106.6516</v>
      </c>
      <c r="E2584" s="64">
        <v>3.6</v>
      </c>
    </row>
    <row r="2585" ht="22.5" customHeight="1">
      <c r="A2585" s="66">
        <v>10.77509</v>
      </c>
      <c r="B2585" s="67">
        <v>106.6727</v>
      </c>
      <c r="C2585" s="67">
        <v>10.76925</v>
      </c>
      <c r="D2585" s="67">
        <v>106.626</v>
      </c>
      <c r="E2585" s="68">
        <v>6.5</v>
      </c>
    </row>
    <row r="2586" ht="22.5" customHeight="1">
      <c r="A2586" s="61">
        <v>10.77509</v>
      </c>
      <c r="B2586" s="63">
        <v>106.6727</v>
      </c>
      <c r="C2586" s="63">
        <v>10.76978</v>
      </c>
      <c r="D2586" s="63">
        <v>106.6909</v>
      </c>
      <c r="E2586" s="64">
        <v>2.5</v>
      </c>
    </row>
    <row r="2587" ht="22.5" customHeight="1">
      <c r="A2587" s="66">
        <v>10.77509</v>
      </c>
      <c r="B2587" s="67">
        <v>106.6727</v>
      </c>
      <c r="C2587" s="67">
        <v>10.76987</v>
      </c>
      <c r="D2587" s="67">
        <v>106.6856</v>
      </c>
      <c r="E2587" s="68">
        <v>1.9</v>
      </c>
    </row>
    <row r="2588" ht="22.5" customHeight="1">
      <c r="A2588" s="61">
        <v>10.77509</v>
      </c>
      <c r="B2588" s="63">
        <v>106.6727</v>
      </c>
      <c r="C2588" s="63">
        <v>10.77</v>
      </c>
      <c r="D2588" s="63">
        <v>106.7018</v>
      </c>
      <c r="E2588" s="64">
        <v>3.7</v>
      </c>
    </row>
    <row r="2589" ht="22.5" customHeight="1">
      <c r="A2589" s="66">
        <v>10.77509</v>
      </c>
      <c r="B2589" s="67">
        <v>106.6727</v>
      </c>
      <c r="C2589" s="67">
        <v>10.77009</v>
      </c>
      <c r="D2589" s="67">
        <v>106.7005</v>
      </c>
      <c r="E2589" s="68">
        <v>3.7</v>
      </c>
    </row>
    <row r="2590" ht="22.5" customHeight="1">
      <c r="A2590" s="61">
        <v>10.77509</v>
      </c>
      <c r="B2590" s="63">
        <v>106.6727</v>
      </c>
      <c r="C2590" s="63">
        <v>10.77014</v>
      </c>
      <c r="D2590" s="63">
        <v>106.7009</v>
      </c>
      <c r="E2590" s="64">
        <v>3.7</v>
      </c>
    </row>
    <row r="2591" ht="22.5" customHeight="1">
      <c r="A2591" s="66">
        <v>10.77509</v>
      </c>
      <c r="B2591" s="67">
        <v>106.6727</v>
      </c>
      <c r="C2591" s="67">
        <v>10.77032</v>
      </c>
      <c r="D2591" s="67">
        <v>106.6723</v>
      </c>
      <c r="E2591" s="68">
        <v>1.0</v>
      </c>
    </row>
    <row r="2592" ht="22.5" customHeight="1">
      <c r="A2592" s="61">
        <v>10.77509</v>
      </c>
      <c r="B2592" s="63">
        <v>106.6727</v>
      </c>
      <c r="C2592" s="63">
        <v>10.77163</v>
      </c>
      <c r="D2592" s="63">
        <v>106.6776</v>
      </c>
      <c r="E2592" s="64">
        <v>1.107</v>
      </c>
    </row>
    <row r="2593" ht="22.5" customHeight="1">
      <c r="A2593" s="66">
        <v>10.77509</v>
      </c>
      <c r="B2593" s="67">
        <v>106.6727</v>
      </c>
      <c r="C2593" s="67">
        <v>10.77167</v>
      </c>
      <c r="D2593" s="67">
        <v>106.5865</v>
      </c>
      <c r="E2593" s="68">
        <v>11.3</v>
      </c>
    </row>
    <row r="2594" ht="22.5" customHeight="1">
      <c r="A2594" s="61">
        <v>10.77509</v>
      </c>
      <c r="B2594" s="63">
        <v>106.6727</v>
      </c>
      <c r="C2594" s="63">
        <v>10.7718</v>
      </c>
      <c r="D2594" s="63">
        <v>106.6714</v>
      </c>
      <c r="E2594" s="64">
        <v>0.5</v>
      </c>
    </row>
    <row r="2595" ht="22.5" customHeight="1">
      <c r="A2595" s="66">
        <v>10.77509</v>
      </c>
      <c r="B2595" s="67">
        <v>106.6727</v>
      </c>
      <c r="C2595" s="67">
        <v>10.7721</v>
      </c>
      <c r="D2595" s="67">
        <v>106.7021</v>
      </c>
      <c r="E2595" s="68">
        <v>4.2</v>
      </c>
    </row>
    <row r="2596" ht="22.5" customHeight="1">
      <c r="A2596" s="61">
        <v>10.77509</v>
      </c>
      <c r="B2596" s="63">
        <v>106.6727</v>
      </c>
      <c r="C2596" s="63">
        <v>10.77221</v>
      </c>
      <c r="D2596" s="63">
        <v>106.6885</v>
      </c>
      <c r="E2596" s="64">
        <v>2.2</v>
      </c>
    </row>
    <row r="2597" ht="22.5" customHeight="1">
      <c r="A2597" s="66">
        <v>10.77509</v>
      </c>
      <c r="B2597" s="67">
        <v>106.6727</v>
      </c>
      <c r="C2597" s="67">
        <v>10.77231</v>
      </c>
      <c r="D2597" s="67">
        <v>106.6319</v>
      </c>
      <c r="E2597" s="68">
        <v>5.8</v>
      </c>
    </row>
    <row r="2598" ht="22.5" customHeight="1">
      <c r="A2598" s="61">
        <v>10.77509</v>
      </c>
      <c r="B2598" s="63">
        <v>106.6727</v>
      </c>
      <c r="C2598" s="63">
        <v>10.7724</v>
      </c>
      <c r="D2598" s="63">
        <v>106.6248</v>
      </c>
      <c r="E2598" s="64">
        <v>6.6</v>
      </c>
    </row>
    <row r="2599" ht="22.5" customHeight="1">
      <c r="A2599" s="66">
        <v>10.77509</v>
      </c>
      <c r="B2599" s="67">
        <v>106.6727</v>
      </c>
      <c r="C2599" s="67">
        <v>10.77248</v>
      </c>
      <c r="D2599" s="67">
        <v>106.6899</v>
      </c>
      <c r="E2599" s="68">
        <v>2.4</v>
      </c>
    </row>
    <row r="2600" ht="22.5" customHeight="1">
      <c r="A2600" s="61">
        <v>10.77509</v>
      </c>
      <c r="B2600" s="63">
        <v>106.6727</v>
      </c>
      <c r="C2600" s="63">
        <v>10.7733</v>
      </c>
      <c r="D2600" s="63">
        <v>106.6687</v>
      </c>
      <c r="E2600" s="64">
        <v>0.7</v>
      </c>
    </row>
    <row r="2601" ht="22.5" customHeight="1">
      <c r="A2601" s="66">
        <v>10.77509</v>
      </c>
      <c r="B2601" s="67">
        <v>106.6727</v>
      </c>
      <c r="C2601" s="67">
        <v>10.77357</v>
      </c>
      <c r="D2601" s="67">
        <v>106.689</v>
      </c>
      <c r="E2601" s="68">
        <v>2.2</v>
      </c>
    </row>
    <row r="2602" ht="22.5" customHeight="1">
      <c r="A2602" s="61">
        <v>10.77509</v>
      </c>
      <c r="B2602" s="63">
        <v>106.6727</v>
      </c>
      <c r="C2602" s="63">
        <v>10.77476</v>
      </c>
      <c r="D2602" s="63">
        <v>106.6683</v>
      </c>
      <c r="E2602" s="64">
        <v>2.7</v>
      </c>
    </row>
    <row r="2603" ht="22.5" customHeight="1">
      <c r="A2603" s="66">
        <v>10.77509</v>
      </c>
      <c r="B2603" s="67">
        <v>106.6727</v>
      </c>
      <c r="C2603" s="67">
        <v>10.77479</v>
      </c>
      <c r="D2603" s="67">
        <v>106.6885</v>
      </c>
      <c r="E2603" s="68">
        <v>2.4</v>
      </c>
    </row>
    <row r="2604" ht="22.5" customHeight="1">
      <c r="A2604" s="61">
        <v>10.77509</v>
      </c>
      <c r="B2604" s="63">
        <v>106.6727</v>
      </c>
      <c r="C2604" s="63">
        <v>10.775</v>
      </c>
      <c r="D2604" s="63">
        <v>106.6647</v>
      </c>
      <c r="E2604" s="64">
        <v>1.5</v>
      </c>
    </row>
    <row r="2605" ht="22.5" customHeight="1">
      <c r="A2605" s="66">
        <v>10.77509</v>
      </c>
      <c r="B2605" s="67">
        <v>106.6727</v>
      </c>
      <c r="C2605" s="67">
        <v>10.77503</v>
      </c>
      <c r="D2605" s="67">
        <v>106.6737</v>
      </c>
      <c r="E2605" s="68">
        <v>0.1</v>
      </c>
    </row>
    <row r="2606" ht="22.5" customHeight="1">
      <c r="A2606" s="61">
        <v>10.77509</v>
      </c>
      <c r="B2606" s="63">
        <v>106.6727</v>
      </c>
      <c r="C2606" s="63">
        <v>10.77509</v>
      </c>
      <c r="D2606" s="63">
        <v>106.6727</v>
      </c>
      <c r="E2606" s="64">
        <v>0.154</v>
      </c>
    </row>
    <row r="2607" ht="22.5" customHeight="1">
      <c r="A2607" s="66">
        <v>10.77509</v>
      </c>
      <c r="B2607" s="67">
        <v>106.6727</v>
      </c>
      <c r="C2607" s="67">
        <v>10.77525</v>
      </c>
      <c r="D2607" s="67">
        <v>106.6592</v>
      </c>
      <c r="E2607" s="68">
        <v>2.3</v>
      </c>
    </row>
    <row r="2608" ht="22.5" customHeight="1">
      <c r="A2608" s="61">
        <v>10.77509</v>
      </c>
      <c r="B2608" s="63">
        <v>106.6727</v>
      </c>
      <c r="C2608" s="63">
        <v>10.77526</v>
      </c>
      <c r="D2608" s="63">
        <v>106.6823</v>
      </c>
      <c r="E2608" s="64">
        <v>1.2</v>
      </c>
    </row>
    <row r="2609" ht="22.5" customHeight="1">
      <c r="A2609" s="66">
        <v>10.77509</v>
      </c>
      <c r="B2609" s="67">
        <v>106.6727</v>
      </c>
      <c r="C2609" s="67">
        <v>10.77584</v>
      </c>
      <c r="D2609" s="67">
        <v>106.6133</v>
      </c>
      <c r="E2609" s="68">
        <v>8.0</v>
      </c>
    </row>
    <row r="2610" ht="22.5" customHeight="1">
      <c r="A2610" s="61">
        <v>10.77509</v>
      </c>
      <c r="B2610" s="63">
        <v>106.6727</v>
      </c>
      <c r="C2610" s="63">
        <v>10.77605</v>
      </c>
      <c r="D2610" s="63">
        <v>106.6718</v>
      </c>
      <c r="E2610" s="64">
        <v>0.2</v>
      </c>
    </row>
    <row r="2611" ht="22.5" customHeight="1">
      <c r="A2611" s="66">
        <v>10.77509</v>
      </c>
      <c r="B2611" s="67">
        <v>106.6727</v>
      </c>
      <c r="C2611" s="67">
        <v>10.77618</v>
      </c>
      <c r="D2611" s="67">
        <v>106.607</v>
      </c>
      <c r="E2611" s="68">
        <v>8.5</v>
      </c>
    </row>
    <row r="2612" ht="22.5" customHeight="1">
      <c r="A2612" s="61">
        <v>10.77509</v>
      </c>
      <c r="B2612" s="63">
        <v>106.6727</v>
      </c>
      <c r="C2612" s="63">
        <v>10.77641</v>
      </c>
      <c r="D2612" s="63">
        <v>106.6866</v>
      </c>
      <c r="E2612" s="64">
        <v>1.9</v>
      </c>
    </row>
    <row r="2613" ht="22.5" customHeight="1">
      <c r="A2613" s="66">
        <v>10.77509</v>
      </c>
      <c r="B2613" s="67">
        <v>106.6727</v>
      </c>
      <c r="C2613" s="67">
        <v>10.7765</v>
      </c>
      <c r="D2613" s="67">
        <v>106.6028</v>
      </c>
      <c r="E2613" s="68">
        <v>8.8</v>
      </c>
    </row>
    <row r="2614" ht="22.5" customHeight="1">
      <c r="A2614" s="61">
        <v>10.77509</v>
      </c>
      <c r="B2614" s="63">
        <v>106.6727</v>
      </c>
      <c r="C2614" s="63">
        <v>10.77656</v>
      </c>
      <c r="D2614" s="63">
        <v>106.6049</v>
      </c>
      <c r="E2614" s="64">
        <v>8.6</v>
      </c>
    </row>
    <row r="2615" ht="22.5" customHeight="1">
      <c r="A2615" s="66">
        <v>10.77509</v>
      </c>
      <c r="B2615" s="67">
        <v>106.6727</v>
      </c>
      <c r="C2615" s="67">
        <v>10.77658</v>
      </c>
      <c r="D2615" s="67">
        <v>106.6719</v>
      </c>
      <c r="E2615" s="68">
        <v>0.3</v>
      </c>
    </row>
    <row r="2616" ht="22.5" customHeight="1">
      <c r="A2616" s="61">
        <v>10.77509</v>
      </c>
      <c r="B2616" s="63">
        <v>106.6727</v>
      </c>
      <c r="C2616" s="63">
        <v>10.77674</v>
      </c>
      <c r="D2616" s="63">
        <v>106.6841</v>
      </c>
      <c r="E2616" s="64">
        <v>1.8</v>
      </c>
    </row>
    <row r="2617" ht="22.5" customHeight="1">
      <c r="A2617" s="66">
        <v>10.77509</v>
      </c>
      <c r="B2617" s="67">
        <v>106.6727</v>
      </c>
      <c r="C2617" s="67">
        <v>10.77727</v>
      </c>
      <c r="D2617" s="67">
        <v>106.6795</v>
      </c>
      <c r="E2617" s="68">
        <v>0.9</v>
      </c>
    </row>
    <row r="2618" ht="22.5" customHeight="1">
      <c r="A2618" s="61">
        <v>10.77509</v>
      </c>
      <c r="B2618" s="63">
        <v>106.6727</v>
      </c>
      <c r="C2618" s="63">
        <v>10.77846</v>
      </c>
      <c r="D2618" s="63">
        <v>106.6797</v>
      </c>
      <c r="E2618" s="64">
        <v>0.762</v>
      </c>
    </row>
    <row r="2619" ht="22.5" customHeight="1">
      <c r="A2619" s="66">
        <v>10.77509</v>
      </c>
      <c r="B2619" s="67">
        <v>106.6727</v>
      </c>
      <c r="C2619" s="67">
        <v>10.7785</v>
      </c>
      <c r="D2619" s="67">
        <v>106.6858</v>
      </c>
      <c r="E2619" s="68">
        <v>1.8</v>
      </c>
    </row>
    <row r="2620" ht="22.5" customHeight="1">
      <c r="A2620" s="61">
        <v>10.77509</v>
      </c>
      <c r="B2620" s="63">
        <v>106.6727</v>
      </c>
      <c r="C2620" s="63">
        <v>10.77918</v>
      </c>
      <c r="D2620" s="63">
        <v>106.6903</v>
      </c>
      <c r="E2620" s="64">
        <v>2.5</v>
      </c>
    </row>
    <row r="2621" ht="22.5" customHeight="1">
      <c r="A2621" s="66">
        <v>10.77509</v>
      </c>
      <c r="B2621" s="67">
        <v>106.6727</v>
      </c>
      <c r="C2621" s="67">
        <v>10.77971</v>
      </c>
      <c r="D2621" s="67">
        <v>106.7008</v>
      </c>
      <c r="E2621" s="68">
        <v>4.1</v>
      </c>
    </row>
    <row r="2622" ht="22.5" customHeight="1">
      <c r="A2622" s="61">
        <v>10.77509</v>
      </c>
      <c r="B2622" s="63">
        <v>106.6727</v>
      </c>
      <c r="C2622" s="63">
        <v>10.77995</v>
      </c>
      <c r="D2622" s="63">
        <v>106.6498</v>
      </c>
      <c r="E2622" s="64">
        <v>3.8</v>
      </c>
    </row>
    <row r="2623" ht="22.5" customHeight="1">
      <c r="A2623" s="66">
        <v>10.77509</v>
      </c>
      <c r="B2623" s="67">
        <v>106.6727</v>
      </c>
      <c r="C2623" s="67">
        <v>10.78009</v>
      </c>
      <c r="D2623" s="67">
        <v>106.6638</v>
      </c>
      <c r="E2623" s="68">
        <v>2.0</v>
      </c>
    </row>
    <row r="2624" ht="22.5" customHeight="1">
      <c r="A2624" s="61">
        <v>10.77509</v>
      </c>
      <c r="B2624" s="63">
        <v>106.6727</v>
      </c>
      <c r="C2624" s="63">
        <v>10.78025</v>
      </c>
      <c r="D2624" s="63">
        <v>106.6684</v>
      </c>
      <c r="E2624" s="64">
        <v>1.1</v>
      </c>
    </row>
    <row r="2625" ht="22.5" customHeight="1">
      <c r="A2625" s="66">
        <v>10.77509</v>
      </c>
      <c r="B2625" s="67">
        <v>106.6727</v>
      </c>
      <c r="C2625" s="67">
        <v>10.7805</v>
      </c>
      <c r="D2625" s="67">
        <v>106.6611</v>
      </c>
      <c r="E2625" s="68">
        <v>2.0</v>
      </c>
    </row>
    <row r="2626" ht="22.5" customHeight="1">
      <c r="A2626" s="61">
        <v>10.77509</v>
      </c>
      <c r="B2626" s="63">
        <v>106.6727</v>
      </c>
      <c r="C2626" s="63">
        <v>10.78115</v>
      </c>
      <c r="D2626" s="63">
        <v>106.7005</v>
      </c>
      <c r="E2626" s="64">
        <v>4.0</v>
      </c>
    </row>
    <row r="2627" ht="22.5" customHeight="1">
      <c r="A2627" s="66">
        <v>10.77509</v>
      </c>
      <c r="B2627" s="67">
        <v>106.6727</v>
      </c>
      <c r="C2627" s="67">
        <v>10.78175</v>
      </c>
      <c r="D2627" s="67">
        <v>106.6306</v>
      </c>
      <c r="E2627" s="68">
        <v>7.0</v>
      </c>
    </row>
    <row r="2628" ht="22.5" customHeight="1">
      <c r="A2628" s="61">
        <v>10.77509</v>
      </c>
      <c r="B2628" s="63">
        <v>106.6727</v>
      </c>
      <c r="C2628" s="63">
        <v>10.78213</v>
      </c>
      <c r="D2628" s="63">
        <v>106.6678</v>
      </c>
      <c r="E2628" s="64">
        <v>1.2</v>
      </c>
    </row>
    <row r="2629" ht="22.5" customHeight="1">
      <c r="A2629" s="66">
        <v>10.77509</v>
      </c>
      <c r="B2629" s="67">
        <v>106.6727</v>
      </c>
      <c r="C2629" s="67">
        <v>10.7825</v>
      </c>
      <c r="D2629" s="67">
        <v>106.7054</v>
      </c>
      <c r="E2629" s="68">
        <v>4.8</v>
      </c>
    </row>
    <row r="2630" ht="22.5" customHeight="1">
      <c r="A2630" s="61">
        <v>10.77509</v>
      </c>
      <c r="B2630" s="63">
        <v>106.6727</v>
      </c>
      <c r="C2630" s="63">
        <v>10.78264</v>
      </c>
      <c r="D2630" s="63">
        <v>106.6267</v>
      </c>
      <c r="E2630" s="64">
        <v>7.6</v>
      </c>
    </row>
    <row r="2631" ht="22.5" customHeight="1">
      <c r="A2631" s="66">
        <v>10.77509</v>
      </c>
      <c r="B2631" s="67">
        <v>106.6727</v>
      </c>
      <c r="C2631" s="67">
        <v>10.78348</v>
      </c>
      <c r="D2631" s="67">
        <v>106.7006</v>
      </c>
      <c r="E2631" s="68">
        <v>4.0</v>
      </c>
    </row>
    <row r="2632" ht="22.5" customHeight="1">
      <c r="A2632" s="61">
        <v>10.77509</v>
      </c>
      <c r="B2632" s="63">
        <v>106.6727</v>
      </c>
      <c r="C2632" s="63">
        <v>10.78392</v>
      </c>
      <c r="D2632" s="63">
        <v>106.6808</v>
      </c>
      <c r="E2632" s="64">
        <v>2.2</v>
      </c>
    </row>
    <row r="2633" ht="22.5" customHeight="1">
      <c r="A2633" s="66">
        <v>10.77509</v>
      </c>
      <c r="B2633" s="67">
        <v>106.6727</v>
      </c>
      <c r="C2633" s="67">
        <v>10.78438</v>
      </c>
      <c r="D2633" s="67">
        <v>106.6829</v>
      </c>
      <c r="E2633" s="68">
        <v>2.2</v>
      </c>
    </row>
    <row r="2634" ht="22.5" customHeight="1">
      <c r="A2634" s="61">
        <v>10.77509</v>
      </c>
      <c r="B2634" s="63">
        <v>106.6727</v>
      </c>
      <c r="C2634" s="63">
        <v>10.78485</v>
      </c>
      <c r="D2634" s="63">
        <v>106.6942</v>
      </c>
      <c r="E2634" s="64">
        <v>3.1</v>
      </c>
    </row>
    <row r="2635" ht="22.5" customHeight="1">
      <c r="A2635" s="66">
        <v>10.77509</v>
      </c>
      <c r="B2635" s="67">
        <v>106.6727</v>
      </c>
      <c r="C2635" s="67">
        <v>10.78564</v>
      </c>
      <c r="D2635" s="67">
        <v>106.6786</v>
      </c>
      <c r="E2635" s="68">
        <v>2.1</v>
      </c>
    </row>
    <row r="2636" ht="22.5" customHeight="1">
      <c r="A2636" s="61">
        <v>10.77509</v>
      </c>
      <c r="B2636" s="63">
        <v>106.6727</v>
      </c>
      <c r="C2636" s="63">
        <v>10.78577</v>
      </c>
      <c r="D2636" s="63">
        <v>106.6562</v>
      </c>
      <c r="E2636" s="64">
        <v>3.12</v>
      </c>
    </row>
    <row r="2637" ht="22.5" customHeight="1">
      <c r="A2637" s="66">
        <v>10.77509</v>
      </c>
      <c r="B2637" s="67">
        <v>106.6727</v>
      </c>
      <c r="C2637" s="67">
        <v>10.78607</v>
      </c>
      <c r="D2637" s="67">
        <v>106.6877</v>
      </c>
      <c r="E2637" s="68">
        <v>2.6</v>
      </c>
    </row>
    <row r="2638" ht="22.5" customHeight="1">
      <c r="A2638" s="61">
        <v>10.77509</v>
      </c>
      <c r="B2638" s="63">
        <v>106.6727</v>
      </c>
      <c r="C2638" s="63">
        <v>10.78681</v>
      </c>
      <c r="D2638" s="63">
        <v>106.6794</v>
      </c>
      <c r="E2638" s="64">
        <v>2.4</v>
      </c>
    </row>
    <row r="2639" ht="22.5" customHeight="1">
      <c r="A2639" s="66">
        <v>10.77509</v>
      </c>
      <c r="B2639" s="67">
        <v>106.6727</v>
      </c>
      <c r="C2639" s="67">
        <v>10.78714</v>
      </c>
      <c r="D2639" s="67">
        <v>106.6965</v>
      </c>
      <c r="E2639" s="68">
        <v>3.4</v>
      </c>
    </row>
    <row r="2640" ht="22.5" customHeight="1">
      <c r="A2640" s="61">
        <v>10.77509</v>
      </c>
      <c r="B2640" s="63">
        <v>106.6727</v>
      </c>
      <c r="C2640" s="63">
        <v>10.78747</v>
      </c>
      <c r="D2640" s="63">
        <v>106.5981</v>
      </c>
      <c r="E2640" s="64">
        <v>10.3</v>
      </c>
    </row>
    <row r="2641" ht="22.5" customHeight="1">
      <c r="A2641" s="66">
        <v>10.77509</v>
      </c>
      <c r="B2641" s="67">
        <v>106.6727</v>
      </c>
      <c r="C2641" s="67">
        <v>10.7881</v>
      </c>
      <c r="D2641" s="67">
        <v>106.7662</v>
      </c>
      <c r="E2641" s="68">
        <v>12.4</v>
      </c>
    </row>
    <row r="2642" ht="22.5" customHeight="1">
      <c r="A2642" s="61">
        <v>10.77509</v>
      </c>
      <c r="B2642" s="63">
        <v>106.6727</v>
      </c>
      <c r="C2642" s="63">
        <v>10.78851</v>
      </c>
      <c r="D2642" s="63">
        <v>106.777</v>
      </c>
      <c r="E2642" s="64">
        <v>13.6</v>
      </c>
    </row>
    <row r="2643" ht="22.5" customHeight="1">
      <c r="A2643" s="66">
        <v>10.77509</v>
      </c>
      <c r="B2643" s="67">
        <v>106.6727</v>
      </c>
      <c r="C2643" s="67">
        <v>10.78935</v>
      </c>
      <c r="D2643" s="67">
        <v>106.6755</v>
      </c>
      <c r="E2643" s="68">
        <v>2.6</v>
      </c>
    </row>
    <row r="2644" ht="22.5" customHeight="1">
      <c r="A2644" s="61">
        <v>10.77509</v>
      </c>
      <c r="B2644" s="63">
        <v>106.6727</v>
      </c>
      <c r="C2644" s="63">
        <v>10.78954</v>
      </c>
      <c r="D2644" s="63">
        <v>106.6431</v>
      </c>
      <c r="E2644" s="64">
        <v>5.1</v>
      </c>
    </row>
    <row r="2645" ht="22.5" customHeight="1">
      <c r="A2645" s="66">
        <v>10.77509</v>
      </c>
      <c r="B2645" s="67">
        <v>106.6727</v>
      </c>
      <c r="C2645" s="67">
        <v>10.7901</v>
      </c>
      <c r="D2645" s="67">
        <v>106.6583</v>
      </c>
      <c r="E2645" s="68">
        <v>3.0</v>
      </c>
    </row>
    <row r="2646" ht="22.5" customHeight="1">
      <c r="A2646" s="61">
        <v>10.77509</v>
      </c>
      <c r="B2646" s="63">
        <v>106.6727</v>
      </c>
      <c r="C2646" s="63">
        <v>10.79036</v>
      </c>
      <c r="D2646" s="63">
        <v>106.6973</v>
      </c>
      <c r="E2646" s="64">
        <v>3.6</v>
      </c>
    </row>
    <row r="2647" ht="22.5" customHeight="1">
      <c r="A2647" s="66">
        <v>10.77509</v>
      </c>
      <c r="B2647" s="67">
        <v>106.6727</v>
      </c>
      <c r="C2647" s="67">
        <v>10.79061</v>
      </c>
      <c r="D2647" s="67">
        <v>106.6883</v>
      </c>
      <c r="E2647" s="68">
        <v>3.1</v>
      </c>
    </row>
    <row r="2648" ht="22.5" customHeight="1">
      <c r="A2648" s="61">
        <v>10.77509</v>
      </c>
      <c r="B2648" s="63">
        <v>106.6727</v>
      </c>
      <c r="C2648" s="63">
        <v>10.79121</v>
      </c>
      <c r="D2648" s="63">
        <v>106.7227</v>
      </c>
      <c r="E2648" s="64">
        <v>7.6</v>
      </c>
    </row>
    <row r="2649" ht="22.5" customHeight="1">
      <c r="A2649" s="66">
        <v>10.77509</v>
      </c>
      <c r="B2649" s="67">
        <v>106.6727</v>
      </c>
      <c r="C2649" s="67">
        <v>10.79193</v>
      </c>
      <c r="D2649" s="67">
        <v>106.6555</v>
      </c>
      <c r="E2649" s="68">
        <v>3.3</v>
      </c>
    </row>
    <row r="2650" ht="22.5" customHeight="1">
      <c r="A2650" s="61">
        <v>10.77509</v>
      </c>
      <c r="B2650" s="63">
        <v>106.6727</v>
      </c>
      <c r="C2650" s="63">
        <v>10.79203</v>
      </c>
      <c r="D2650" s="63">
        <v>106.7304</v>
      </c>
      <c r="E2650" s="64">
        <v>9.1</v>
      </c>
    </row>
    <row r="2651" ht="22.5" customHeight="1">
      <c r="A2651" s="66">
        <v>10.77509</v>
      </c>
      <c r="B2651" s="67">
        <v>106.6727</v>
      </c>
      <c r="C2651" s="67">
        <v>10.79222</v>
      </c>
      <c r="D2651" s="67">
        <v>106.7229</v>
      </c>
      <c r="E2651" s="68">
        <v>7.5</v>
      </c>
    </row>
    <row r="2652" ht="22.5" customHeight="1">
      <c r="A2652" s="61">
        <v>10.77509</v>
      </c>
      <c r="B2652" s="63">
        <v>106.6727</v>
      </c>
      <c r="C2652" s="63">
        <v>10.79255</v>
      </c>
      <c r="D2652" s="63">
        <v>106.6625</v>
      </c>
      <c r="E2652" s="64">
        <v>3.2</v>
      </c>
    </row>
    <row r="2653" ht="22.5" customHeight="1">
      <c r="A2653" s="66">
        <v>10.77509</v>
      </c>
      <c r="B2653" s="67">
        <v>106.6727</v>
      </c>
      <c r="C2653" s="67">
        <v>10.79295</v>
      </c>
      <c r="D2653" s="67">
        <v>106.6858</v>
      </c>
      <c r="E2653" s="68">
        <v>3.2</v>
      </c>
    </row>
    <row r="2654" ht="22.5" customHeight="1">
      <c r="A2654" s="61">
        <v>10.77509</v>
      </c>
      <c r="B2654" s="63">
        <v>106.6727</v>
      </c>
      <c r="C2654" s="63">
        <v>10.79407</v>
      </c>
      <c r="D2654" s="63">
        <v>106.6839</v>
      </c>
      <c r="E2654" s="64">
        <v>3.5</v>
      </c>
    </row>
    <row r="2655" ht="22.5" customHeight="1">
      <c r="A2655" s="66">
        <v>10.77509</v>
      </c>
      <c r="B2655" s="67">
        <v>106.6727</v>
      </c>
      <c r="C2655" s="67">
        <v>10.79435</v>
      </c>
      <c r="D2655" s="67">
        <v>106.6382</v>
      </c>
      <c r="E2655" s="68">
        <v>6.2</v>
      </c>
    </row>
    <row r="2656" ht="22.5" customHeight="1">
      <c r="A2656" s="61">
        <v>10.77509</v>
      </c>
      <c r="B2656" s="63">
        <v>106.6727</v>
      </c>
      <c r="C2656" s="63">
        <v>10.79588</v>
      </c>
      <c r="D2656" s="63">
        <v>106.6411</v>
      </c>
      <c r="E2656" s="64">
        <v>6.1</v>
      </c>
    </row>
    <row r="2657" ht="22.5" customHeight="1">
      <c r="A2657" s="66">
        <v>10.77509</v>
      </c>
      <c r="B2657" s="67">
        <v>106.6727</v>
      </c>
      <c r="C2657" s="67">
        <v>10.79658</v>
      </c>
      <c r="D2657" s="67">
        <v>106.6776</v>
      </c>
      <c r="E2657" s="68">
        <v>4.2</v>
      </c>
    </row>
    <row r="2658" ht="22.5" customHeight="1">
      <c r="A2658" s="61">
        <v>10.77509</v>
      </c>
      <c r="B2658" s="63">
        <v>106.6727</v>
      </c>
      <c r="C2658" s="63">
        <v>10.79679</v>
      </c>
      <c r="D2658" s="63">
        <v>106.6778</v>
      </c>
      <c r="E2658" s="64">
        <v>4.2</v>
      </c>
    </row>
    <row r="2659" ht="22.5" customHeight="1">
      <c r="A2659" s="66">
        <v>10.77509</v>
      </c>
      <c r="B2659" s="67">
        <v>106.6727</v>
      </c>
      <c r="C2659" s="67">
        <v>10.7972</v>
      </c>
      <c r="D2659" s="67">
        <v>106.6307</v>
      </c>
      <c r="E2659" s="68">
        <v>7.4</v>
      </c>
    </row>
    <row r="2660" ht="22.5" customHeight="1">
      <c r="A2660" s="61">
        <v>10.77509</v>
      </c>
      <c r="B2660" s="63">
        <v>106.6727</v>
      </c>
      <c r="C2660" s="63">
        <v>10.79771</v>
      </c>
      <c r="D2660" s="63">
        <v>106.6714</v>
      </c>
      <c r="E2660" s="64">
        <v>4.5</v>
      </c>
    </row>
    <row r="2661" ht="22.5" customHeight="1">
      <c r="A2661" s="66">
        <v>10.77509</v>
      </c>
      <c r="B2661" s="67">
        <v>106.6727</v>
      </c>
      <c r="C2661" s="67">
        <v>10.79841</v>
      </c>
      <c r="D2661" s="67">
        <v>106.6587</v>
      </c>
      <c r="E2661" s="68">
        <v>5.0</v>
      </c>
    </row>
    <row r="2662" ht="22.5" customHeight="1">
      <c r="A2662" s="61">
        <v>10.77509</v>
      </c>
      <c r="B2662" s="63">
        <v>106.6727</v>
      </c>
      <c r="C2662" s="63">
        <v>10.79841</v>
      </c>
      <c r="D2662" s="63">
        <v>106.7342</v>
      </c>
      <c r="E2662" s="64">
        <v>9.117</v>
      </c>
    </row>
    <row r="2663" ht="22.5" customHeight="1">
      <c r="A2663" s="66">
        <v>10.77509</v>
      </c>
      <c r="B2663" s="67">
        <v>106.6727</v>
      </c>
      <c r="C2663" s="67">
        <v>10.79865</v>
      </c>
      <c r="D2663" s="67">
        <v>106.682</v>
      </c>
      <c r="E2663" s="68">
        <v>4.2</v>
      </c>
    </row>
    <row r="2664" ht="22.5" customHeight="1">
      <c r="A2664" s="61">
        <v>10.77509</v>
      </c>
      <c r="B2664" s="63">
        <v>106.6727</v>
      </c>
      <c r="C2664" s="63">
        <v>10.79889</v>
      </c>
      <c r="D2664" s="63">
        <v>106.6803</v>
      </c>
      <c r="E2664" s="64">
        <v>4.1</v>
      </c>
    </row>
    <row r="2665" ht="22.5" customHeight="1">
      <c r="A2665" s="66">
        <v>10.77509</v>
      </c>
      <c r="B2665" s="67">
        <v>106.6727</v>
      </c>
      <c r="C2665" s="67">
        <v>10.79975</v>
      </c>
      <c r="D2665" s="67">
        <v>106.6696</v>
      </c>
      <c r="E2665" s="68">
        <v>4.9</v>
      </c>
    </row>
    <row r="2666" ht="22.5" customHeight="1">
      <c r="A2666" s="61">
        <v>10.77509</v>
      </c>
      <c r="B2666" s="63">
        <v>106.6727</v>
      </c>
      <c r="C2666" s="63">
        <v>10.80027</v>
      </c>
      <c r="D2666" s="63">
        <v>106.7109</v>
      </c>
      <c r="E2666" s="64">
        <v>5.7</v>
      </c>
    </row>
    <row r="2667" ht="22.5" customHeight="1">
      <c r="A2667" s="66">
        <v>10.77509</v>
      </c>
      <c r="B2667" s="67">
        <v>106.6727</v>
      </c>
      <c r="C2667" s="67">
        <v>10.80141</v>
      </c>
      <c r="D2667" s="67">
        <v>106.6495</v>
      </c>
      <c r="E2667" s="68">
        <v>5.2</v>
      </c>
    </row>
    <row r="2668" ht="22.5" customHeight="1">
      <c r="A2668" s="61">
        <v>10.77509</v>
      </c>
      <c r="B2668" s="63">
        <v>106.6727</v>
      </c>
      <c r="C2668" s="63">
        <v>10.80312</v>
      </c>
      <c r="D2668" s="63">
        <v>106.7097</v>
      </c>
      <c r="E2668" s="64">
        <v>6.0</v>
      </c>
    </row>
    <row r="2669" ht="22.5" customHeight="1">
      <c r="A2669" s="66">
        <v>10.77509</v>
      </c>
      <c r="B2669" s="67">
        <v>106.6727</v>
      </c>
      <c r="C2669" s="67">
        <v>10.80325</v>
      </c>
      <c r="D2669" s="67">
        <v>106.6842</v>
      </c>
      <c r="E2669" s="68">
        <v>4.8</v>
      </c>
    </row>
    <row r="2670" ht="22.5" customHeight="1">
      <c r="A2670" s="61">
        <v>10.77509</v>
      </c>
      <c r="B2670" s="63">
        <v>106.6727</v>
      </c>
      <c r="C2670" s="63">
        <v>10.80357</v>
      </c>
      <c r="D2670" s="63">
        <v>106.7181</v>
      </c>
      <c r="E2670" s="64">
        <v>6.8</v>
      </c>
    </row>
    <row r="2671" ht="22.5" customHeight="1">
      <c r="A2671" s="66">
        <v>10.77509</v>
      </c>
      <c r="B2671" s="67">
        <v>106.6727</v>
      </c>
      <c r="C2671" s="67">
        <v>10.80393</v>
      </c>
      <c r="D2671" s="67">
        <v>106.7092</v>
      </c>
      <c r="E2671" s="68">
        <v>6.2</v>
      </c>
    </row>
    <row r="2672" ht="22.5" customHeight="1">
      <c r="A2672" s="61">
        <v>10.77509</v>
      </c>
      <c r="B2672" s="63">
        <v>106.6727</v>
      </c>
      <c r="C2672" s="63">
        <v>10.80458</v>
      </c>
      <c r="D2672" s="63">
        <v>106.6759</v>
      </c>
      <c r="E2672" s="64">
        <v>5.4</v>
      </c>
    </row>
    <row r="2673" ht="22.5" customHeight="1">
      <c r="A2673" s="66">
        <v>10.77509</v>
      </c>
      <c r="B2673" s="67">
        <v>106.6727</v>
      </c>
      <c r="C2673" s="67">
        <v>10.80617</v>
      </c>
      <c r="D2673" s="67">
        <v>106.6814</v>
      </c>
      <c r="E2673" s="68">
        <v>5.627</v>
      </c>
    </row>
    <row r="2674" ht="22.5" customHeight="1">
      <c r="A2674" s="61">
        <v>10.77509</v>
      </c>
      <c r="B2674" s="63">
        <v>106.6727</v>
      </c>
      <c r="C2674" s="63">
        <v>10.80944</v>
      </c>
      <c r="D2674" s="63">
        <v>106.695</v>
      </c>
      <c r="E2674" s="64">
        <v>6.0</v>
      </c>
    </row>
    <row r="2675" ht="22.5" customHeight="1">
      <c r="A2675" s="66">
        <v>10.77509</v>
      </c>
      <c r="B2675" s="67">
        <v>106.6727</v>
      </c>
      <c r="C2675" s="67">
        <v>10.80953</v>
      </c>
      <c r="D2675" s="67">
        <v>106.6857</v>
      </c>
      <c r="E2675" s="68">
        <v>6.0</v>
      </c>
    </row>
    <row r="2676" ht="22.5" customHeight="1">
      <c r="A2676" s="61">
        <v>10.77509</v>
      </c>
      <c r="B2676" s="63">
        <v>106.6727</v>
      </c>
      <c r="C2676" s="63">
        <v>10.81094</v>
      </c>
      <c r="D2676" s="63">
        <v>106.611</v>
      </c>
      <c r="E2676" s="64">
        <v>9.9</v>
      </c>
    </row>
    <row r="2677" ht="22.5" customHeight="1">
      <c r="A2677" s="66">
        <v>10.77509</v>
      </c>
      <c r="B2677" s="67">
        <v>106.6727</v>
      </c>
      <c r="C2677" s="67">
        <v>10.81147</v>
      </c>
      <c r="D2677" s="67">
        <v>106.6107</v>
      </c>
      <c r="E2677" s="68">
        <v>9.6</v>
      </c>
    </row>
    <row r="2678" ht="22.5" customHeight="1">
      <c r="A2678" s="61">
        <v>10.77509</v>
      </c>
      <c r="B2678" s="63">
        <v>106.6727</v>
      </c>
      <c r="C2678" s="63">
        <v>10.81322</v>
      </c>
      <c r="D2678" s="63">
        <v>106.6874</v>
      </c>
      <c r="E2678" s="64">
        <v>6.4</v>
      </c>
    </row>
    <row r="2679" ht="22.5" customHeight="1">
      <c r="A2679" s="66">
        <v>10.77509</v>
      </c>
      <c r="B2679" s="67">
        <v>106.6727</v>
      </c>
      <c r="C2679" s="67">
        <v>10.81365</v>
      </c>
      <c r="D2679" s="67">
        <v>106.7089</v>
      </c>
      <c r="E2679" s="68">
        <v>7.9</v>
      </c>
    </row>
    <row r="2680" ht="22.5" customHeight="1">
      <c r="A2680" s="61">
        <v>10.77509</v>
      </c>
      <c r="B2680" s="63">
        <v>106.6727</v>
      </c>
      <c r="C2680" s="63">
        <v>10.81464</v>
      </c>
      <c r="D2680" s="63">
        <v>106.5842</v>
      </c>
      <c r="E2680" s="64">
        <v>12.6</v>
      </c>
    </row>
    <row r="2681" ht="22.5" customHeight="1">
      <c r="A2681" s="66">
        <v>10.77509</v>
      </c>
      <c r="B2681" s="67">
        <v>106.6727</v>
      </c>
      <c r="C2681" s="67">
        <v>10.81494</v>
      </c>
      <c r="D2681" s="67">
        <v>106.5854</v>
      </c>
      <c r="E2681" s="68">
        <v>12.5</v>
      </c>
    </row>
    <row r="2682" ht="22.5" customHeight="1">
      <c r="A2682" s="61">
        <v>10.77509</v>
      </c>
      <c r="B2682" s="63">
        <v>106.6727</v>
      </c>
      <c r="C2682" s="63">
        <v>10.81586</v>
      </c>
      <c r="D2682" s="63">
        <v>106.5985</v>
      </c>
      <c r="E2682" s="64">
        <v>11.1</v>
      </c>
    </row>
    <row r="2683" ht="22.5" customHeight="1">
      <c r="A2683" s="66">
        <v>10.77509</v>
      </c>
      <c r="B2683" s="67">
        <v>106.6727</v>
      </c>
      <c r="C2683" s="67">
        <v>10.81679</v>
      </c>
      <c r="D2683" s="67">
        <v>106.675</v>
      </c>
      <c r="E2683" s="68">
        <v>6.4</v>
      </c>
    </row>
    <row r="2684" ht="22.5" customHeight="1">
      <c r="A2684" s="61">
        <v>10.77509</v>
      </c>
      <c r="B2684" s="63">
        <v>106.6727</v>
      </c>
      <c r="C2684" s="63">
        <v>10.81724</v>
      </c>
      <c r="D2684" s="63">
        <v>106.689</v>
      </c>
      <c r="E2684" s="64">
        <v>7.0</v>
      </c>
    </row>
    <row r="2685" ht="22.5" customHeight="1">
      <c r="A2685" s="66">
        <v>10.77509</v>
      </c>
      <c r="B2685" s="67">
        <v>106.6727</v>
      </c>
      <c r="C2685" s="67">
        <v>10.81819</v>
      </c>
      <c r="D2685" s="67">
        <v>106.7731</v>
      </c>
      <c r="E2685" s="68">
        <v>14.8</v>
      </c>
    </row>
    <row r="2686" ht="22.5" customHeight="1">
      <c r="A2686" s="61">
        <v>10.77509</v>
      </c>
      <c r="B2686" s="63">
        <v>106.6727</v>
      </c>
      <c r="C2686" s="63">
        <v>10.81863</v>
      </c>
      <c r="D2686" s="63">
        <v>106.6787</v>
      </c>
      <c r="E2686" s="64">
        <v>7.4</v>
      </c>
    </row>
    <row r="2687" ht="22.5" customHeight="1">
      <c r="A2687" s="66">
        <v>10.77509</v>
      </c>
      <c r="B2687" s="67">
        <v>106.6727</v>
      </c>
      <c r="C2687" s="67">
        <v>10.82082</v>
      </c>
      <c r="D2687" s="67">
        <v>106.7046</v>
      </c>
      <c r="E2687" s="68">
        <v>7.8</v>
      </c>
    </row>
    <row r="2688" ht="22.5" customHeight="1">
      <c r="A2688" s="61">
        <v>10.77509</v>
      </c>
      <c r="B2688" s="63">
        <v>106.6727</v>
      </c>
      <c r="C2688" s="63">
        <v>10.82084</v>
      </c>
      <c r="D2688" s="63">
        <v>106.6837</v>
      </c>
      <c r="E2688" s="64">
        <v>7.0</v>
      </c>
    </row>
    <row r="2689" ht="22.5" customHeight="1">
      <c r="A2689" s="66">
        <v>10.77509</v>
      </c>
      <c r="B2689" s="67">
        <v>106.6727</v>
      </c>
      <c r="C2689" s="67">
        <v>10.82166</v>
      </c>
      <c r="D2689" s="67">
        <v>106.7034</v>
      </c>
      <c r="E2689" s="68">
        <v>8.8</v>
      </c>
    </row>
    <row r="2690" ht="22.5" customHeight="1">
      <c r="A2690" s="61">
        <v>10.77509</v>
      </c>
      <c r="B2690" s="63">
        <v>106.6727</v>
      </c>
      <c r="C2690" s="63">
        <v>10.82721</v>
      </c>
      <c r="D2690" s="63">
        <v>106.6247</v>
      </c>
      <c r="E2690" s="64">
        <v>10.0</v>
      </c>
    </row>
    <row r="2691" ht="22.5" customHeight="1">
      <c r="A2691" s="66">
        <v>10.77509</v>
      </c>
      <c r="B2691" s="67">
        <v>106.6727</v>
      </c>
      <c r="C2691" s="67">
        <v>10.82729</v>
      </c>
      <c r="D2691" s="67">
        <v>106.769</v>
      </c>
      <c r="E2691" s="68">
        <v>13.9</v>
      </c>
    </row>
    <row r="2692" ht="22.5" customHeight="1">
      <c r="A2692" s="61">
        <v>10.77509</v>
      </c>
      <c r="B2692" s="63">
        <v>106.6727</v>
      </c>
      <c r="C2692" s="63">
        <v>10.8279</v>
      </c>
      <c r="D2692" s="63">
        <v>106.6796</v>
      </c>
      <c r="E2692" s="64">
        <v>7.6</v>
      </c>
    </row>
    <row r="2693" ht="22.5" customHeight="1">
      <c r="A2693" s="66">
        <v>10.77509</v>
      </c>
      <c r="B2693" s="67">
        <v>106.6727</v>
      </c>
      <c r="C2693" s="67">
        <v>10.82848</v>
      </c>
      <c r="D2693" s="67">
        <v>106.7685</v>
      </c>
      <c r="E2693" s="68">
        <v>14.4</v>
      </c>
    </row>
    <row r="2694" ht="22.5" customHeight="1">
      <c r="A2694" s="61">
        <v>10.77509</v>
      </c>
      <c r="B2694" s="63">
        <v>106.6727</v>
      </c>
      <c r="C2694" s="63">
        <v>10.82927</v>
      </c>
      <c r="D2694" s="63">
        <v>106.6816</v>
      </c>
      <c r="E2694" s="64">
        <v>8.3</v>
      </c>
    </row>
    <row r="2695" ht="22.5" customHeight="1">
      <c r="A2695" s="66">
        <v>10.77509</v>
      </c>
      <c r="B2695" s="67">
        <v>106.6727</v>
      </c>
      <c r="C2695" s="67">
        <v>10.8303</v>
      </c>
      <c r="D2695" s="67">
        <v>106.6778</v>
      </c>
      <c r="E2695" s="68">
        <v>8.1</v>
      </c>
    </row>
    <row r="2696" ht="22.5" customHeight="1">
      <c r="A2696" s="61">
        <v>10.77509</v>
      </c>
      <c r="B2696" s="63">
        <v>106.6727</v>
      </c>
      <c r="C2696" s="63">
        <v>10.8322</v>
      </c>
      <c r="D2696" s="63">
        <v>106.6337</v>
      </c>
      <c r="E2696" s="64">
        <v>10.0</v>
      </c>
    </row>
    <row r="2697" ht="22.5" customHeight="1">
      <c r="A2697" s="66">
        <v>10.77509</v>
      </c>
      <c r="B2697" s="67">
        <v>106.6727</v>
      </c>
      <c r="C2697" s="67">
        <v>10.83375</v>
      </c>
      <c r="D2697" s="67">
        <v>106.7288</v>
      </c>
      <c r="E2697" s="68">
        <v>10.3</v>
      </c>
    </row>
    <row r="2698" ht="22.5" customHeight="1">
      <c r="A2698" s="61">
        <v>10.77509</v>
      </c>
      <c r="B2698" s="63">
        <v>106.6727</v>
      </c>
      <c r="C2698" s="63">
        <v>10.83497</v>
      </c>
      <c r="D2698" s="63">
        <v>106.6655</v>
      </c>
      <c r="E2698" s="64">
        <v>9.6</v>
      </c>
    </row>
    <row r="2699" ht="22.5" customHeight="1">
      <c r="A2699" s="66">
        <v>10.77509</v>
      </c>
      <c r="B2699" s="67">
        <v>106.6727</v>
      </c>
      <c r="C2699" s="67">
        <v>10.83538</v>
      </c>
      <c r="D2699" s="67">
        <v>106.6689</v>
      </c>
      <c r="E2699" s="68">
        <v>9.1</v>
      </c>
    </row>
    <row r="2700" ht="22.5" customHeight="1">
      <c r="A2700" s="61">
        <v>10.77509</v>
      </c>
      <c r="B2700" s="63">
        <v>106.6727</v>
      </c>
      <c r="C2700" s="63">
        <v>10.838</v>
      </c>
      <c r="D2700" s="63">
        <v>106.6702</v>
      </c>
      <c r="E2700" s="64">
        <v>9.5</v>
      </c>
    </row>
    <row r="2701" ht="22.5" customHeight="1">
      <c r="A2701" s="66">
        <v>10.77509</v>
      </c>
      <c r="B2701" s="67">
        <v>106.6727</v>
      </c>
      <c r="C2701" s="67">
        <v>10.84172</v>
      </c>
      <c r="D2701" s="67">
        <v>106.6764</v>
      </c>
      <c r="E2701" s="68">
        <v>9.3</v>
      </c>
    </row>
    <row r="2702" ht="22.5" customHeight="1">
      <c r="A2702" s="61">
        <v>10.77509</v>
      </c>
      <c r="B2702" s="63">
        <v>106.6727</v>
      </c>
      <c r="C2702" s="63">
        <v>10.84253</v>
      </c>
      <c r="D2702" s="63">
        <v>106.6427</v>
      </c>
      <c r="E2702" s="64">
        <v>11.8</v>
      </c>
    </row>
    <row r="2703" ht="22.5" customHeight="1">
      <c r="A2703" s="66">
        <v>10.77509</v>
      </c>
      <c r="B2703" s="67">
        <v>106.6727</v>
      </c>
      <c r="C2703" s="67">
        <v>10.843</v>
      </c>
      <c r="D2703" s="67">
        <v>106.7308</v>
      </c>
      <c r="E2703" s="68">
        <v>11.5</v>
      </c>
    </row>
    <row r="2704" ht="22.5" customHeight="1">
      <c r="A2704" s="61">
        <v>10.77509</v>
      </c>
      <c r="B2704" s="63">
        <v>106.6727</v>
      </c>
      <c r="C2704" s="63">
        <v>10.84317</v>
      </c>
      <c r="D2704" s="63">
        <v>106.6767</v>
      </c>
      <c r="E2704" s="64">
        <v>9.6</v>
      </c>
    </row>
    <row r="2705" ht="22.5" customHeight="1">
      <c r="A2705" s="66">
        <v>10.77509</v>
      </c>
      <c r="B2705" s="67">
        <v>106.6727</v>
      </c>
      <c r="C2705" s="67">
        <v>10.84737</v>
      </c>
      <c r="D2705" s="67">
        <v>106.7766</v>
      </c>
      <c r="E2705" s="68">
        <v>16.2</v>
      </c>
    </row>
    <row r="2706" ht="22.5" customHeight="1">
      <c r="A2706" s="61">
        <v>10.77509</v>
      </c>
      <c r="B2706" s="63">
        <v>106.6727</v>
      </c>
      <c r="C2706" s="63">
        <v>10.85548</v>
      </c>
      <c r="D2706" s="63">
        <v>106.6391</v>
      </c>
      <c r="E2706" s="64">
        <v>13.1</v>
      </c>
    </row>
    <row r="2707" ht="22.5" customHeight="1">
      <c r="A2707" s="66">
        <v>10.77509</v>
      </c>
      <c r="B2707" s="67">
        <v>106.6727</v>
      </c>
      <c r="C2707" s="67">
        <v>10.85846</v>
      </c>
      <c r="D2707" s="67">
        <v>106.7487</v>
      </c>
      <c r="E2707" s="68">
        <v>14.3</v>
      </c>
    </row>
    <row r="2708" ht="22.5" customHeight="1">
      <c r="A2708" s="61">
        <v>10.77509</v>
      </c>
      <c r="B2708" s="63">
        <v>106.6727</v>
      </c>
      <c r="C2708" s="63">
        <v>10.86052</v>
      </c>
      <c r="D2708" s="63">
        <v>106.7606</v>
      </c>
      <c r="E2708" s="64">
        <v>15.3</v>
      </c>
    </row>
    <row r="2709" ht="22.5" customHeight="1">
      <c r="A2709" s="66">
        <v>10.77509</v>
      </c>
      <c r="B2709" s="67">
        <v>106.6727</v>
      </c>
      <c r="C2709" s="67">
        <v>10.87116</v>
      </c>
      <c r="D2709" s="67">
        <v>106.7635</v>
      </c>
      <c r="E2709" s="68">
        <v>16.4</v>
      </c>
    </row>
    <row r="2710" ht="22.5" customHeight="1">
      <c r="A2710" s="61">
        <v>10.77509</v>
      </c>
      <c r="B2710" s="63">
        <v>106.6727</v>
      </c>
      <c r="C2710" s="63">
        <v>10.87371</v>
      </c>
      <c r="D2710" s="63">
        <v>106.6217</v>
      </c>
      <c r="E2710" s="64">
        <v>15.8</v>
      </c>
    </row>
    <row r="2711" ht="22.5" customHeight="1">
      <c r="A2711" s="66">
        <v>10.77509</v>
      </c>
      <c r="B2711" s="67">
        <v>106.6727</v>
      </c>
      <c r="C2711" s="67">
        <v>10.8789</v>
      </c>
      <c r="D2711" s="67">
        <v>106.7779</v>
      </c>
      <c r="E2711" s="68">
        <v>18.8</v>
      </c>
    </row>
    <row r="2712" ht="22.5" customHeight="1">
      <c r="A2712" s="61">
        <v>10.77525</v>
      </c>
      <c r="B2712" s="63">
        <v>106.6592</v>
      </c>
      <c r="C2712" s="63">
        <v>10.75947</v>
      </c>
      <c r="D2712" s="63">
        <v>106.6805</v>
      </c>
      <c r="E2712" s="64">
        <v>3.94</v>
      </c>
    </row>
    <row r="2713" ht="22.5" customHeight="1">
      <c r="A2713" s="66">
        <v>10.77525</v>
      </c>
      <c r="B2713" s="67">
        <v>106.6592</v>
      </c>
      <c r="C2713" s="67">
        <v>10.76283</v>
      </c>
      <c r="D2713" s="67">
        <v>106.6684</v>
      </c>
      <c r="E2713" s="68">
        <v>2.512</v>
      </c>
    </row>
    <row r="2714" ht="22.5" customHeight="1">
      <c r="A2714" s="61">
        <v>10.77525</v>
      </c>
      <c r="B2714" s="63">
        <v>106.6592</v>
      </c>
      <c r="C2714" s="63">
        <v>10.76707</v>
      </c>
      <c r="D2714" s="63">
        <v>106.6493</v>
      </c>
      <c r="E2714" s="64">
        <v>1.808</v>
      </c>
    </row>
    <row r="2715" ht="22.5" customHeight="1">
      <c r="A2715" s="66">
        <v>10.77525</v>
      </c>
      <c r="B2715" s="67">
        <v>106.6592</v>
      </c>
      <c r="C2715" s="67">
        <v>10.76878</v>
      </c>
      <c r="D2715" s="67">
        <v>106.6667</v>
      </c>
      <c r="E2715" s="68">
        <v>1.58</v>
      </c>
    </row>
    <row r="2716" ht="22.5" customHeight="1">
      <c r="A2716" s="61">
        <v>10.77525</v>
      </c>
      <c r="B2716" s="63">
        <v>106.6592</v>
      </c>
      <c r="C2716" s="63">
        <v>10.76913</v>
      </c>
      <c r="D2716" s="63">
        <v>106.6615</v>
      </c>
      <c r="E2716" s="64">
        <v>1.226</v>
      </c>
    </row>
    <row r="2717" ht="22.5" customHeight="1">
      <c r="A2717" s="66">
        <v>10.77525</v>
      </c>
      <c r="B2717" s="67">
        <v>106.6592</v>
      </c>
      <c r="C2717" s="67">
        <v>10.77032</v>
      </c>
      <c r="D2717" s="67">
        <v>106.6723</v>
      </c>
      <c r="E2717" s="68">
        <v>2.43</v>
      </c>
    </row>
    <row r="2718" ht="22.5" customHeight="1">
      <c r="A2718" s="61">
        <v>10.77525</v>
      </c>
      <c r="B2718" s="63">
        <v>106.6592</v>
      </c>
      <c r="C2718" s="63">
        <v>10.7733</v>
      </c>
      <c r="D2718" s="63">
        <v>106.6687</v>
      </c>
      <c r="E2718" s="64">
        <v>1.462</v>
      </c>
    </row>
    <row r="2719" ht="22.5" customHeight="1">
      <c r="A2719" s="66">
        <v>10.77525</v>
      </c>
      <c r="B2719" s="67">
        <v>106.6592</v>
      </c>
      <c r="C2719" s="67">
        <v>10.77479</v>
      </c>
      <c r="D2719" s="67">
        <v>106.6885</v>
      </c>
      <c r="E2719" s="68">
        <v>4.537</v>
      </c>
    </row>
    <row r="2720" ht="22.5" customHeight="1">
      <c r="A2720" s="61">
        <v>10.77525</v>
      </c>
      <c r="B2720" s="63">
        <v>106.6592</v>
      </c>
      <c r="C2720" s="63">
        <v>10.77503</v>
      </c>
      <c r="D2720" s="63">
        <v>106.6737</v>
      </c>
      <c r="E2720" s="64">
        <v>2.626</v>
      </c>
    </row>
    <row r="2721" ht="22.5" customHeight="1">
      <c r="A2721" s="66">
        <v>10.77525</v>
      </c>
      <c r="B2721" s="67">
        <v>106.6592</v>
      </c>
      <c r="C2721" s="67">
        <v>10.77509</v>
      </c>
      <c r="D2721" s="67">
        <v>106.6727</v>
      </c>
      <c r="E2721" s="68">
        <v>2.352</v>
      </c>
    </row>
    <row r="2722" ht="22.5" customHeight="1">
      <c r="A2722" s="61">
        <v>10.77525</v>
      </c>
      <c r="B2722" s="63">
        <v>106.6592</v>
      </c>
      <c r="C2722" s="63">
        <v>10.77525</v>
      </c>
      <c r="D2722" s="63">
        <v>106.6592</v>
      </c>
      <c r="E2722" s="64">
        <v>0.0</v>
      </c>
    </row>
    <row r="2723" ht="22.5" customHeight="1">
      <c r="A2723" s="66">
        <v>10.77525</v>
      </c>
      <c r="B2723" s="67">
        <v>106.6592</v>
      </c>
      <c r="C2723" s="67">
        <v>10.77526</v>
      </c>
      <c r="D2723" s="67">
        <v>106.6823</v>
      </c>
      <c r="E2723" s="68">
        <v>3.729</v>
      </c>
    </row>
    <row r="2724" ht="22.5" customHeight="1">
      <c r="A2724" s="61">
        <v>10.77525</v>
      </c>
      <c r="B2724" s="63">
        <v>106.6592</v>
      </c>
      <c r="C2724" s="63">
        <v>10.77658</v>
      </c>
      <c r="D2724" s="63">
        <v>106.6719</v>
      </c>
      <c r="E2724" s="64">
        <v>2.444</v>
      </c>
    </row>
    <row r="2725" ht="22.5" customHeight="1">
      <c r="A2725" s="66">
        <v>10.77525</v>
      </c>
      <c r="B2725" s="67">
        <v>106.6592</v>
      </c>
      <c r="C2725" s="67">
        <v>10.77674</v>
      </c>
      <c r="D2725" s="67">
        <v>106.6841</v>
      </c>
      <c r="E2725" s="68">
        <v>3.858</v>
      </c>
    </row>
    <row r="2726" ht="22.5" customHeight="1">
      <c r="A2726" s="61">
        <v>10.77525</v>
      </c>
      <c r="B2726" s="63">
        <v>106.6592</v>
      </c>
      <c r="C2726" s="63">
        <v>10.77918</v>
      </c>
      <c r="D2726" s="63">
        <v>106.6903</v>
      </c>
      <c r="E2726" s="64">
        <v>4.522</v>
      </c>
    </row>
    <row r="2727" ht="22.5" customHeight="1">
      <c r="A2727" s="66">
        <v>10.77525</v>
      </c>
      <c r="B2727" s="67">
        <v>106.6592</v>
      </c>
      <c r="C2727" s="67">
        <v>10.78025</v>
      </c>
      <c r="D2727" s="67">
        <v>106.6684</v>
      </c>
      <c r="E2727" s="68">
        <v>1.276</v>
      </c>
    </row>
    <row r="2728" ht="22.5" customHeight="1">
      <c r="A2728" s="61">
        <v>10.77525</v>
      </c>
      <c r="B2728" s="63">
        <v>106.6592</v>
      </c>
      <c r="C2728" s="63">
        <v>10.7805</v>
      </c>
      <c r="D2728" s="63">
        <v>106.6611</v>
      </c>
      <c r="E2728" s="64">
        <v>0.76</v>
      </c>
    </row>
    <row r="2729" ht="22.5" customHeight="1">
      <c r="A2729" s="66">
        <v>10.77525</v>
      </c>
      <c r="B2729" s="67">
        <v>106.6592</v>
      </c>
      <c r="C2729" s="67">
        <v>10.78213</v>
      </c>
      <c r="D2729" s="67">
        <v>106.6678</v>
      </c>
      <c r="E2729" s="68">
        <v>1.507</v>
      </c>
    </row>
    <row r="2730" ht="22.5" customHeight="1">
      <c r="A2730" s="61">
        <v>10.77525</v>
      </c>
      <c r="B2730" s="63">
        <v>106.6592</v>
      </c>
      <c r="C2730" s="63">
        <v>10.78607</v>
      </c>
      <c r="D2730" s="63">
        <v>106.6877</v>
      </c>
      <c r="E2730" s="64">
        <v>4.705</v>
      </c>
    </row>
    <row r="2731" ht="22.5" customHeight="1">
      <c r="A2731" s="66">
        <v>10.77525</v>
      </c>
      <c r="B2731" s="67">
        <v>106.6592</v>
      </c>
      <c r="C2731" s="67">
        <v>10.79193</v>
      </c>
      <c r="D2731" s="67">
        <v>106.6555</v>
      </c>
      <c r="E2731" s="68">
        <v>2.595</v>
      </c>
    </row>
    <row r="2732" ht="22.5" customHeight="1">
      <c r="A2732" s="61">
        <v>10.77525</v>
      </c>
      <c r="B2732" s="63">
        <v>106.6592</v>
      </c>
      <c r="C2732" s="63">
        <v>10.7938</v>
      </c>
      <c r="D2732" s="63">
        <v>106.7467</v>
      </c>
      <c r="E2732" s="64">
        <v>13.086</v>
      </c>
    </row>
    <row r="2733" ht="22.5" customHeight="1">
      <c r="A2733" s="66">
        <v>10.77526</v>
      </c>
      <c r="B2733" s="67">
        <v>106.6823</v>
      </c>
      <c r="C2733" s="67">
        <v>10.75998</v>
      </c>
      <c r="D2733" s="67">
        <v>106.6727</v>
      </c>
      <c r="E2733" s="68">
        <v>2.702</v>
      </c>
    </row>
    <row r="2734" ht="22.5" customHeight="1">
      <c r="A2734" s="61">
        <v>10.77526</v>
      </c>
      <c r="B2734" s="63">
        <v>106.6823</v>
      </c>
      <c r="C2734" s="63">
        <v>10.76486</v>
      </c>
      <c r="D2734" s="63">
        <v>106.6756</v>
      </c>
      <c r="E2734" s="64">
        <v>2.652</v>
      </c>
    </row>
    <row r="2735" ht="22.5" customHeight="1">
      <c r="A2735" s="66">
        <v>10.77526</v>
      </c>
      <c r="B2735" s="67">
        <v>106.6823</v>
      </c>
      <c r="C2735" s="67">
        <v>10.76978</v>
      </c>
      <c r="D2735" s="67">
        <v>106.6909</v>
      </c>
      <c r="E2735" s="68">
        <v>1.741</v>
      </c>
    </row>
    <row r="2736" ht="22.5" customHeight="1">
      <c r="A2736" s="61">
        <v>10.77526</v>
      </c>
      <c r="B2736" s="63">
        <v>106.6823</v>
      </c>
      <c r="C2736" s="63">
        <v>10.76987</v>
      </c>
      <c r="D2736" s="63">
        <v>106.6856</v>
      </c>
      <c r="E2736" s="64">
        <v>0.871</v>
      </c>
    </row>
    <row r="2737" ht="22.5" customHeight="1">
      <c r="A2737" s="66">
        <v>10.77526</v>
      </c>
      <c r="B2737" s="67">
        <v>106.6823</v>
      </c>
      <c r="C2737" s="67">
        <v>10.77479</v>
      </c>
      <c r="D2737" s="67">
        <v>106.6885</v>
      </c>
      <c r="E2737" s="68">
        <v>1.177</v>
      </c>
    </row>
    <row r="2738" ht="22.5" customHeight="1">
      <c r="A2738" s="61">
        <v>10.77526</v>
      </c>
      <c r="B2738" s="63">
        <v>106.6823</v>
      </c>
      <c r="C2738" s="63">
        <v>10.77509</v>
      </c>
      <c r="D2738" s="63">
        <v>106.6727</v>
      </c>
      <c r="E2738" s="64">
        <v>1.645</v>
      </c>
    </row>
    <row r="2739" ht="22.5" customHeight="1">
      <c r="A2739" s="66">
        <v>10.77526</v>
      </c>
      <c r="B2739" s="67">
        <v>106.6823</v>
      </c>
      <c r="C2739" s="67">
        <v>10.77641</v>
      </c>
      <c r="D2739" s="67">
        <v>106.6866</v>
      </c>
      <c r="E2739" s="68">
        <v>0.627</v>
      </c>
    </row>
    <row r="2740" ht="22.5" customHeight="1">
      <c r="A2740" s="61">
        <v>10.77526</v>
      </c>
      <c r="B2740" s="63">
        <v>106.6823</v>
      </c>
      <c r="C2740" s="63">
        <v>10.77674</v>
      </c>
      <c r="D2740" s="63">
        <v>106.6841</v>
      </c>
      <c r="E2740" s="64">
        <v>0.572</v>
      </c>
    </row>
    <row r="2741" ht="22.5" customHeight="1">
      <c r="A2741" s="66">
        <v>10.77526</v>
      </c>
      <c r="B2741" s="67">
        <v>106.6823</v>
      </c>
      <c r="C2741" s="67">
        <v>10.77727</v>
      </c>
      <c r="D2741" s="67">
        <v>106.6795</v>
      </c>
      <c r="E2741" s="68">
        <v>1.017</v>
      </c>
    </row>
    <row r="2742" ht="22.5" customHeight="1">
      <c r="A2742" s="61">
        <v>10.77526</v>
      </c>
      <c r="B2742" s="63">
        <v>106.6823</v>
      </c>
      <c r="C2742" s="63">
        <v>10.7785</v>
      </c>
      <c r="D2742" s="63">
        <v>106.6858</v>
      </c>
      <c r="E2742" s="64">
        <v>0.539</v>
      </c>
    </row>
    <row r="2743" ht="22.5" customHeight="1">
      <c r="A2743" s="66">
        <v>10.77526</v>
      </c>
      <c r="B2743" s="67">
        <v>106.6823</v>
      </c>
      <c r="C2743" s="67">
        <v>10.77918</v>
      </c>
      <c r="D2743" s="67">
        <v>106.6903</v>
      </c>
      <c r="E2743" s="68">
        <v>1.223</v>
      </c>
    </row>
    <row r="2744" ht="22.5" customHeight="1">
      <c r="A2744" s="61">
        <v>10.77526</v>
      </c>
      <c r="B2744" s="63">
        <v>106.6823</v>
      </c>
      <c r="C2744" s="63">
        <v>10.78485</v>
      </c>
      <c r="D2744" s="63">
        <v>106.6942</v>
      </c>
      <c r="E2744" s="64">
        <v>1.779</v>
      </c>
    </row>
    <row r="2745" ht="22.5" customHeight="1">
      <c r="A2745" s="66">
        <v>10.77552</v>
      </c>
      <c r="B2745" s="67">
        <v>106.6091</v>
      </c>
      <c r="C2745" s="67">
        <v>10.74602</v>
      </c>
      <c r="D2745" s="67">
        <v>106.6123</v>
      </c>
      <c r="E2745" s="68">
        <v>3.259</v>
      </c>
    </row>
    <row r="2746" ht="22.5" customHeight="1">
      <c r="A2746" s="61">
        <v>10.77552</v>
      </c>
      <c r="B2746" s="63">
        <v>106.6091</v>
      </c>
      <c r="C2746" s="63">
        <v>10.75191</v>
      </c>
      <c r="D2746" s="63">
        <v>106.6006</v>
      </c>
      <c r="E2746" s="64">
        <v>3.553</v>
      </c>
    </row>
    <row r="2747" ht="22.5" customHeight="1">
      <c r="A2747" s="66">
        <v>10.77552</v>
      </c>
      <c r="B2747" s="67">
        <v>106.6091</v>
      </c>
      <c r="C2747" s="67">
        <v>10.77509</v>
      </c>
      <c r="D2747" s="67">
        <v>106.6727</v>
      </c>
      <c r="E2747" s="68">
        <v>8.466</v>
      </c>
    </row>
    <row r="2748" ht="22.5" customHeight="1">
      <c r="A2748" s="61">
        <v>10.77552</v>
      </c>
      <c r="B2748" s="63">
        <v>106.6091</v>
      </c>
      <c r="C2748" s="63">
        <v>10.77618</v>
      </c>
      <c r="D2748" s="63">
        <v>106.607</v>
      </c>
      <c r="E2748" s="64">
        <v>0.481</v>
      </c>
    </row>
    <row r="2749" ht="22.5" customHeight="1">
      <c r="A2749" s="66">
        <v>10.77552</v>
      </c>
      <c r="B2749" s="67">
        <v>106.6091</v>
      </c>
      <c r="C2749" s="67">
        <v>10.7765</v>
      </c>
      <c r="D2749" s="67">
        <v>106.6028</v>
      </c>
      <c r="E2749" s="68">
        <v>0.759</v>
      </c>
    </row>
    <row r="2750" ht="22.5" customHeight="1">
      <c r="A2750" s="61">
        <v>10.77584</v>
      </c>
      <c r="B2750" s="63">
        <v>106.6133</v>
      </c>
      <c r="C2750" s="63">
        <v>10.7252</v>
      </c>
      <c r="D2750" s="63">
        <v>106.6094</v>
      </c>
      <c r="E2750" s="64">
        <v>6.642</v>
      </c>
    </row>
    <row r="2751" ht="22.5" customHeight="1">
      <c r="A2751" s="66">
        <v>10.77584</v>
      </c>
      <c r="B2751" s="67">
        <v>106.6133</v>
      </c>
      <c r="C2751" s="67">
        <v>10.73897</v>
      </c>
      <c r="D2751" s="67">
        <v>106.6149</v>
      </c>
      <c r="E2751" s="68">
        <v>5.14</v>
      </c>
    </row>
    <row r="2752" ht="22.5" customHeight="1">
      <c r="A2752" s="61">
        <v>10.77584</v>
      </c>
      <c r="B2752" s="63">
        <v>106.6133</v>
      </c>
      <c r="C2752" s="63">
        <v>10.73905</v>
      </c>
      <c r="D2752" s="63">
        <v>106.6327</v>
      </c>
      <c r="E2752" s="64">
        <v>5.712</v>
      </c>
    </row>
    <row r="2753" ht="22.5" customHeight="1">
      <c r="A2753" s="66">
        <v>10.77584</v>
      </c>
      <c r="B2753" s="67">
        <v>106.6133</v>
      </c>
      <c r="C2753" s="67">
        <v>10.7444</v>
      </c>
      <c r="D2753" s="67">
        <v>106.6304</v>
      </c>
      <c r="E2753" s="68">
        <v>5.346</v>
      </c>
    </row>
    <row r="2754" ht="22.5" customHeight="1">
      <c r="A2754" s="61">
        <v>10.77584</v>
      </c>
      <c r="B2754" s="63">
        <v>106.6133</v>
      </c>
      <c r="C2754" s="63">
        <v>10.7518</v>
      </c>
      <c r="D2754" s="63">
        <v>106.6273</v>
      </c>
      <c r="E2754" s="64">
        <v>3.819</v>
      </c>
    </row>
    <row r="2755" ht="22.5" customHeight="1">
      <c r="A2755" s="66">
        <v>10.77584</v>
      </c>
      <c r="B2755" s="67">
        <v>106.6133</v>
      </c>
      <c r="C2755" s="67">
        <v>10.75191</v>
      </c>
      <c r="D2755" s="67">
        <v>106.6006</v>
      </c>
      <c r="E2755" s="68">
        <v>4.039</v>
      </c>
    </row>
    <row r="2756" ht="22.5" customHeight="1">
      <c r="A2756" s="61">
        <v>10.77584</v>
      </c>
      <c r="B2756" s="63">
        <v>106.6133</v>
      </c>
      <c r="C2756" s="63">
        <v>10.75587</v>
      </c>
      <c r="D2756" s="63">
        <v>106.5924</v>
      </c>
      <c r="E2756" s="64">
        <v>5.474</v>
      </c>
    </row>
    <row r="2757" ht="22.5" customHeight="1">
      <c r="A2757" s="66">
        <v>10.77584</v>
      </c>
      <c r="B2757" s="67">
        <v>106.6133</v>
      </c>
      <c r="C2757" s="67">
        <v>10.75644</v>
      </c>
      <c r="D2757" s="67">
        <v>106.5914</v>
      </c>
      <c r="E2757" s="68">
        <v>5.564</v>
      </c>
    </row>
    <row r="2758" ht="22.5" customHeight="1">
      <c r="A2758" s="61">
        <v>10.77584</v>
      </c>
      <c r="B2758" s="63">
        <v>106.6133</v>
      </c>
      <c r="C2758" s="63">
        <v>10.76195</v>
      </c>
      <c r="D2758" s="63">
        <v>106.6569</v>
      </c>
      <c r="E2758" s="64">
        <v>5.543</v>
      </c>
    </row>
    <row r="2759" ht="22.5" customHeight="1">
      <c r="A2759" s="66">
        <v>10.77584</v>
      </c>
      <c r="B2759" s="67">
        <v>106.6133</v>
      </c>
      <c r="C2759" s="67">
        <v>10.76707</v>
      </c>
      <c r="D2759" s="67">
        <v>106.6493</v>
      </c>
      <c r="E2759" s="68">
        <v>4.228</v>
      </c>
    </row>
    <row r="2760" ht="22.5" customHeight="1">
      <c r="A2760" s="61">
        <v>10.77584</v>
      </c>
      <c r="B2760" s="63">
        <v>106.6133</v>
      </c>
      <c r="C2760" s="63">
        <v>10.76809</v>
      </c>
      <c r="D2760" s="63">
        <v>106.6092</v>
      </c>
      <c r="E2760" s="64">
        <v>1.322</v>
      </c>
    </row>
    <row r="2761" ht="22.5" customHeight="1">
      <c r="A2761" s="66">
        <v>10.77584</v>
      </c>
      <c r="B2761" s="67">
        <v>106.6133</v>
      </c>
      <c r="C2761" s="67">
        <v>10.7692</v>
      </c>
      <c r="D2761" s="67">
        <v>106.6516</v>
      </c>
      <c r="E2761" s="68">
        <v>5.087</v>
      </c>
    </row>
    <row r="2762" ht="22.5" customHeight="1">
      <c r="A2762" s="61">
        <v>10.77584</v>
      </c>
      <c r="B2762" s="63">
        <v>106.6133</v>
      </c>
      <c r="C2762" s="63">
        <v>10.7716</v>
      </c>
      <c r="D2762" s="63">
        <v>106.587</v>
      </c>
      <c r="E2762" s="64">
        <v>5.423</v>
      </c>
    </row>
    <row r="2763" ht="22.5" customHeight="1">
      <c r="A2763" s="66">
        <v>10.77584</v>
      </c>
      <c r="B2763" s="67">
        <v>106.6133</v>
      </c>
      <c r="C2763" s="67">
        <v>10.77167</v>
      </c>
      <c r="D2763" s="67">
        <v>106.5865</v>
      </c>
      <c r="E2763" s="68">
        <v>5.362</v>
      </c>
    </row>
    <row r="2764" ht="22.5" customHeight="1">
      <c r="A2764" s="61">
        <v>10.77584</v>
      </c>
      <c r="B2764" s="63">
        <v>106.6133</v>
      </c>
      <c r="C2764" s="63">
        <v>10.77509</v>
      </c>
      <c r="D2764" s="63">
        <v>106.6727</v>
      </c>
      <c r="E2764" s="64">
        <v>7.966</v>
      </c>
    </row>
    <row r="2765" ht="22.5" customHeight="1">
      <c r="A2765" s="66">
        <v>10.77584</v>
      </c>
      <c r="B2765" s="67">
        <v>106.6133</v>
      </c>
      <c r="C2765" s="67">
        <v>10.77584</v>
      </c>
      <c r="D2765" s="67">
        <v>106.6133</v>
      </c>
      <c r="E2765" s="68">
        <v>0.305</v>
      </c>
    </row>
    <row r="2766" ht="22.5" customHeight="1">
      <c r="A2766" s="61">
        <v>10.77584</v>
      </c>
      <c r="B2766" s="63">
        <v>106.6133</v>
      </c>
      <c r="C2766" s="63">
        <v>10.77618</v>
      </c>
      <c r="D2766" s="63">
        <v>106.607</v>
      </c>
      <c r="E2766" s="64">
        <v>0.691</v>
      </c>
    </row>
    <row r="2767" ht="22.5" customHeight="1">
      <c r="A2767" s="66">
        <v>10.77584</v>
      </c>
      <c r="B2767" s="67">
        <v>106.6133</v>
      </c>
      <c r="C2767" s="67">
        <v>10.7765</v>
      </c>
      <c r="D2767" s="67">
        <v>106.6028</v>
      </c>
      <c r="E2767" s="68">
        <v>1.143</v>
      </c>
    </row>
    <row r="2768" ht="22.5" customHeight="1">
      <c r="A2768" s="61">
        <v>10.77584</v>
      </c>
      <c r="B2768" s="63">
        <v>106.6133</v>
      </c>
      <c r="C2768" s="63">
        <v>10.77656</v>
      </c>
      <c r="D2768" s="63">
        <v>106.6049</v>
      </c>
      <c r="E2768" s="64">
        <v>0.806</v>
      </c>
    </row>
    <row r="2769" ht="22.5" customHeight="1">
      <c r="A2769" s="66">
        <v>10.77584</v>
      </c>
      <c r="B2769" s="67">
        <v>106.6133</v>
      </c>
      <c r="C2769" s="67">
        <v>10.78747</v>
      </c>
      <c r="D2769" s="67">
        <v>106.5981</v>
      </c>
      <c r="E2769" s="68">
        <v>3.138</v>
      </c>
    </row>
    <row r="2770" ht="22.5" customHeight="1">
      <c r="A2770" s="61">
        <v>10.77605</v>
      </c>
      <c r="B2770" s="63">
        <v>106.6718</v>
      </c>
      <c r="C2770" s="63">
        <v>10.77509</v>
      </c>
      <c r="D2770" s="63">
        <v>106.6727</v>
      </c>
      <c r="E2770" s="64">
        <v>0.164</v>
      </c>
    </row>
    <row r="2771" ht="22.5" customHeight="1">
      <c r="A2771" s="66">
        <v>10.77605</v>
      </c>
      <c r="B2771" s="67">
        <v>106.6718</v>
      </c>
      <c r="C2771" s="67">
        <v>10.78213</v>
      </c>
      <c r="D2771" s="67">
        <v>106.6678</v>
      </c>
      <c r="E2771" s="68">
        <v>2.09</v>
      </c>
    </row>
    <row r="2772" ht="22.5" customHeight="1">
      <c r="A2772" s="61">
        <v>10.77618</v>
      </c>
      <c r="B2772" s="63">
        <v>106.607</v>
      </c>
      <c r="C2772" s="63">
        <v>10.711</v>
      </c>
      <c r="D2772" s="63">
        <v>106.5765</v>
      </c>
      <c r="E2772" s="64">
        <v>11.212</v>
      </c>
    </row>
    <row r="2773" ht="22.5" customHeight="1">
      <c r="A2773" s="66">
        <v>10.77618</v>
      </c>
      <c r="B2773" s="67">
        <v>106.607</v>
      </c>
      <c r="C2773" s="67">
        <v>10.72522</v>
      </c>
      <c r="D2773" s="67">
        <v>106.6089</v>
      </c>
      <c r="E2773" s="68">
        <v>6.4</v>
      </c>
    </row>
    <row r="2774" ht="22.5" customHeight="1">
      <c r="A2774" s="61">
        <v>10.77618</v>
      </c>
      <c r="B2774" s="63">
        <v>106.607</v>
      </c>
      <c r="C2774" s="63">
        <v>10.74602</v>
      </c>
      <c r="D2774" s="63">
        <v>106.6123</v>
      </c>
      <c r="E2774" s="64">
        <v>3.6</v>
      </c>
    </row>
    <row r="2775" ht="22.5" customHeight="1">
      <c r="A2775" s="66">
        <v>10.77618</v>
      </c>
      <c r="B2775" s="67">
        <v>106.607</v>
      </c>
      <c r="C2775" s="67">
        <v>10.74857</v>
      </c>
      <c r="D2775" s="67">
        <v>106.6996</v>
      </c>
      <c r="E2775" s="68">
        <v>13.177</v>
      </c>
    </row>
    <row r="2776" ht="22.5" customHeight="1">
      <c r="A2776" s="61">
        <v>10.77618</v>
      </c>
      <c r="B2776" s="63">
        <v>106.607</v>
      </c>
      <c r="C2776" s="63">
        <v>10.75317</v>
      </c>
      <c r="D2776" s="63">
        <v>106.6778</v>
      </c>
      <c r="E2776" s="64">
        <v>10.772</v>
      </c>
    </row>
    <row r="2777" ht="22.5" customHeight="1">
      <c r="A2777" s="66">
        <v>10.77618</v>
      </c>
      <c r="B2777" s="67">
        <v>106.607</v>
      </c>
      <c r="C2777" s="67">
        <v>10.75579</v>
      </c>
      <c r="D2777" s="67">
        <v>106.6247</v>
      </c>
      <c r="E2777" s="68">
        <v>3.7</v>
      </c>
    </row>
    <row r="2778" ht="22.5" customHeight="1">
      <c r="A2778" s="61">
        <v>10.77618</v>
      </c>
      <c r="B2778" s="63">
        <v>106.607</v>
      </c>
      <c r="C2778" s="63">
        <v>10.75728</v>
      </c>
      <c r="D2778" s="63">
        <v>106.6659</v>
      </c>
      <c r="E2778" s="64">
        <v>7.444</v>
      </c>
    </row>
    <row r="2779" ht="22.5" customHeight="1">
      <c r="A2779" s="66">
        <v>10.77618</v>
      </c>
      <c r="B2779" s="67">
        <v>106.607</v>
      </c>
      <c r="C2779" s="67">
        <v>10.76707</v>
      </c>
      <c r="D2779" s="67">
        <v>106.6493</v>
      </c>
      <c r="E2779" s="68">
        <v>4.888</v>
      </c>
    </row>
    <row r="2780" ht="22.5" customHeight="1">
      <c r="A2780" s="61">
        <v>10.77618</v>
      </c>
      <c r="B2780" s="63">
        <v>106.607</v>
      </c>
      <c r="C2780" s="63">
        <v>10.76856</v>
      </c>
      <c r="D2780" s="63">
        <v>106.6702</v>
      </c>
      <c r="E2780" s="64">
        <v>8.144</v>
      </c>
    </row>
    <row r="2781" ht="22.5" customHeight="1">
      <c r="A2781" s="66">
        <v>10.77618</v>
      </c>
      <c r="B2781" s="67">
        <v>106.607</v>
      </c>
      <c r="C2781" s="67">
        <v>10.76886</v>
      </c>
      <c r="D2781" s="67">
        <v>106.6859</v>
      </c>
      <c r="E2781" s="68">
        <v>10.064</v>
      </c>
    </row>
    <row r="2782" ht="22.5" customHeight="1">
      <c r="A2782" s="61">
        <v>10.77618</v>
      </c>
      <c r="B2782" s="63">
        <v>106.607</v>
      </c>
      <c r="C2782" s="63">
        <v>10.77509</v>
      </c>
      <c r="D2782" s="63">
        <v>106.6727</v>
      </c>
      <c r="E2782" s="64">
        <v>8.9</v>
      </c>
    </row>
    <row r="2783" ht="22.5" customHeight="1">
      <c r="A2783" s="66">
        <v>10.77618</v>
      </c>
      <c r="B2783" s="67">
        <v>106.607</v>
      </c>
      <c r="C2783" s="67">
        <v>10.77552</v>
      </c>
      <c r="D2783" s="67">
        <v>106.6091</v>
      </c>
      <c r="E2783" s="68">
        <v>0.283</v>
      </c>
    </row>
    <row r="2784" ht="22.5" customHeight="1">
      <c r="A2784" s="61">
        <v>10.77618</v>
      </c>
      <c r="B2784" s="63">
        <v>106.607</v>
      </c>
      <c r="C2784" s="63">
        <v>10.77584</v>
      </c>
      <c r="D2784" s="63">
        <v>106.6133</v>
      </c>
      <c r="E2784" s="64">
        <v>0.651</v>
      </c>
    </row>
    <row r="2785" ht="22.5" customHeight="1">
      <c r="A2785" s="66">
        <v>10.77618</v>
      </c>
      <c r="B2785" s="67">
        <v>106.607</v>
      </c>
      <c r="C2785" s="67">
        <v>10.77618</v>
      </c>
      <c r="D2785" s="67">
        <v>106.607</v>
      </c>
      <c r="E2785" s="68">
        <v>0.009</v>
      </c>
    </row>
    <row r="2786" ht="22.5" customHeight="1">
      <c r="A2786" s="61">
        <v>10.77618</v>
      </c>
      <c r="B2786" s="63">
        <v>106.607</v>
      </c>
      <c r="C2786" s="63">
        <v>10.7765</v>
      </c>
      <c r="D2786" s="63">
        <v>106.6028</v>
      </c>
      <c r="E2786" s="64">
        <v>0.62</v>
      </c>
    </row>
    <row r="2787" ht="22.5" customHeight="1">
      <c r="A2787" s="66">
        <v>10.77618</v>
      </c>
      <c r="B2787" s="67">
        <v>106.607</v>
      </c>
      <c r="C2787" s="67">
        <v>10.77656</v>
      </c>
      <c r="D2787" s="67">
        <v>106.6049</v>
      </c>
      <c r="E2787" s="68">
        <v>0.203</v>
      </c>
    </row>
    <row r="2788" ht="22.5" customHeight="1">
      <c r="A2788" s="61">
        <v>10.77618</v>
      </c>
      <c r="B2788" s="63">
        <v>106.607</v>
      </c>
      <c r="C2788" s="63">
        <v>10.78747</v>
      </c>
      <c r="D2788" s="63">
        <v>106.5981</v>
      </c>
      <c r="E2788" s="64">
        <v>2.734</v>
      </c>
    </row>
    <row r="2789" ht="22.5" customHeight="1">
      <c r="A2789" s="66">
        <v>10.77618</v>
      </c>
      <c r="B2789" s="67">
        <v>106.607</v>
      </c>
      <c r="C2789" s="67">
        <v>10.79435</v>
      </c>
      <c r="D2789" s="67">
        <v>106.6382</v>
      </c>
      <c r="E2789" s="68">
        <v>5.099</v>
      </c>
    </row>
    <row r="2790" ht="22.5" customHeight="1">
      <c r="A2790" s="61">
        <v>10.77618</v>
      </c>
      <c r="B2790" s="63">
        <v>106.607</v>
      </c>
      <c r="C2790" s="63">
        <v>10.81094</v>
      </c>
      <c r="D2790" s="63">
        <v>106.611</v>
      </c>
      <c r="E2790" s="64">
        <v>5.802</v>
      </c>
    </row>
    <row r="2791" ht="22.5" customHeight="1">
      <c r="A2791" s="66">
        <v>10.77641</v>
      </c>
      <c r="B2791" s="67">
        <v>106.6866</v>
      </c>
      <c r="C2791" s="67">
        <v>10.75836</v>
      </c>
      <c r="D2791" s="67">
        <v>106.6708</v>
      </c>
      <c r="E2791" s="68">
        <v>2.192</v>
      </c>
    </row>
    <row r="2792" ht="22.5" customHeight="1">
      <c r="A2792" s="61">
        <v>10.77641</v>
      </c>
      <c r="B2792" s="63">
        <v>106.6866</v>
      </c>
      <c r="C2792" s="63">
        <v>10.75947</v>
      </c>
      <c r="D2792" s="63">
        <v>106.6805</v>
      </c>
      <c r="E2792" s="64">
        <v>2.79</v>
      </c>
    </row>
    <row r="2793" ht="22.5" customHeight="1">
      <c r="A2793" s="66">
        <v>10.77641</v>
      </c>
      <c r="B2793" s="67">
        <v>106.6866</v>
      </c>
      <c r="C2793" s="67">
        <v>10.76743</v>
      </c>
      <c r="D2793" s="67">
        <v>106.6809</v>
      </c>
      <c r="E2793" s="68">
        <v>1.597</v>
      </c>
    </row>
    <row r="2794" ht="22.5" customHeight="1">
      <c r="A2794" s="61">
        <v>10.77641</v>
      </c>
      <c r="B2794" s="63">
        <v>106.6866</v>
      </c>
      <c r="C2794" s="63">
        <v>10.76913</v>
      </c>
      <c r="D2794" s="63">
        <v>106.6615</v>
      </c>
      <c r="E2794" s="64">
        <v>3.441</v>
      </c>
    </row>
    <row r="2795" ht="22.5" customHeight="1">
      <c r="A2795" s="66">
        <v>10.77641</v>
      </c>
      <c r="B2795" s="67">
        <v>106.6866</v>
      </c>
      <c r="C2795" s="67">
        <v>10.76978</v>
      </c>
      <c r="D2795" s="67">
        <v>106.6909</v>
      </c>
      <c r="E2795" s="68">
        <v>1.493</v>
      </c>
    </row>
    <row r="2796" ht="22.5" customHeight="1">
      <c r="A2796" s="61">
        <v>10.77641</v>
      </c>
      <c r="B2796" s="63">
        <v>106.6866</v>
      </c>
      <c r="C2796" s="63">
        <v>10.76987</v>
      </c>
      <c r="D2796" s="63">
        <v>106.6856</v>
      </c>
      <c r="E2796" s="64">
        <v>1.186</v>
      </c>
    </row>
    <row r="2797" ht="22.5" customHeight="1">
      <c r="A2797" s="66">
        <v>10.77641</v>
      </c>
      <c r="B2797" s="67">
        <v>106.6866</v>
      </c>
      <c r="C2797" s="67">
        <v>10.77479</v>
      </c>
      <c r="D2797" s="67">
        <v>106.6885</v>
      </c>
      <c r="E2797" s="68">
        <v>0.654</v>
      </c>
    </row>
    <row r="2798" ht="22.5" customHeight="1">
      <c r="A2798" s="61">
        <v>10.77641</v>
      </c>
      <c r="B2798" s="63">
        <v>106.6866</v>
      </c>
      <c r="C2798" s="63">
        <v>10.77503</v>
      </c>
      <c r="D2798" s="63">
        <v>106.6737</v>
      </c>
      <c r="E2798" s="64">
        <v>1.837</v>
      </c>
    </row>
    <row r="2799" ht="22.5" customHeight="1">
      <c r="A2799" s="66">
        <v>10.77641</v>
      </c>
      <c r="B2799" s="67">
        <v>106.6866</v>
      </c>
      <c r="C2799" s="67">
        <v>10.77509</v>
      </c>
      <c r="D2799" s="67">
        <v>106.6727</v>
      </c>
      <c r="E2799" s="68">
        <v>1.84</v>
      </c>
    </row>
    <row r="2800" ht="22.5" customHeight="1">
      <c r="A2800" s="61">
        <v>10.77641</v>
      </c>
      <c r="B2800" s="63">
        <v>106.6866</v>
      </c>
      <c r="C2800" s="63">
        <v>10.77526</v>
      </c>
      <c r="D2800" s="63">
        <v>106.6823</v>
      </c>
      <c r="E2800" s="64">
        <v>1.343</v>
      </c>
    </row>
    <row r="2801" ht="22.5" customHeight="1">
      <c r="A2801" s="66">
        <v>10.77641</v>
      </c>
      <c r="B2801" s="67">
        <v>106.6866</v>
      </c>
      <c r="C2801" s="67">
        <v>10.77674</v>
      </c>
      <c r="D2801" s="67">
        <v>106.6841</v>
      </c>
      <c r="E2801" s="68">
        <v>0.403</v>
      </c>
    </row>
    <row r="2802" ht="22.5" customHeight="1">
      <c r="A2802" s="61">
        <v>10.77641</v>
      </c>
      <c r="B2802" s="63">
        <v>106.6866</v>
      </c>
      <c r="C2802" s="63">
        <v>10.7785</v>
      </c>
      <c r="D2802" s="63">
        <v>106.6858</v>
      </c>
      <c r="E2802" s="64">
        <v>0.402</v>
      </c>
    </row>
    <row r="2803" ht="22.5" customHeight="1">
      <c r="A2803" s="66">
        <v>10.77641</v>
      </c>
      <c r="B2803" s="67">
        <v>106.6866</v>
      </c>
      <c r="C2803" s="67">
        <v>10.77918</v>
      </c>
      <c r="D2803" s="67">
        <v>106.6903</v>
      </c>
      <c r="E2803" s="68">
        <v>0.787</v>
      </c>
    </row>
    <row r="2804" ht="22.5" customHeight="1">
      <c r="A2804" s="61">
        <v>10.77641</v>
      </c>
      <c r="B2804" s="63">
        <v>106.6866</v>
      </c>
      <c r="C2804" s="63">
        <v>10.78213</v>
      </c>
      <c r="D2804" s="63">
        <v>106.6678</v>
      </c>
      <c r="E2804" s="64">
        <v>2.45</v>
      </c>
    </row>
    <row r="2805" ht="22.5" customHeight="1">
      <c r="A2805" s="66">
        <v>10.77641</v>
      </c>
      <c r="B2805" s="67">
        <v>106.6866</v>
      </c>
      <c r="C2805" s="67">
        <v>10.78485</v>
      </c>
      <c r="D2805" s="67">
        <v>106.6942</v>
      </c>
      <c r="E2805" s="68">
        <v>1.55</v>
      </c>
    </row>
    <row r="2806" ht="22.5" customHeight="1">
      <c r="A2806" s="61">
        <v>10.77641</v>
      </c>
      <c r="B2806" s="63">
        <v>106.6866</v>
      </c>
      <c r="C2806" s="63">
        <v>10.78624</v>
      </c>
      <c r="D2806" s="63">
        <v>106.6887</v>
      </c>
      <c r="E2806" s="64">
        <v>1.782</v>
      </c>
    </row>
    <row r="2807" ht="22.5" customHeight="1">
      <c r="A2807" s="66">
        <v>10.7765</v>
      </c>
      <c r="B2807" s="67">
        <v>106.6028</v>
      </c>
      <c r="C2807" s="67">
        <v>10.7444</v>
      </c>
      <c r="D2807" s="67">
        <v>106.6304</v>
      </c>
      <c r="E2807" s="68">
        <v>6.481</v>
      </c>
    </row>
    <row r="2808" ht="22.5" customHeight="1">
      <c r="A2808" s="61">
        <v>10.7765</v>
      </c>
      <c r="B2808" s="63">
        <v>106.6028</v>
      </c>
      <c r="C2808" s="63">
        <v>10.74602</v>
      </c>
      <c r="D2808" s="63">
        <v>106.6123</v>
      </c>
      <c r="E2808" s="64">
        <v>4.214</v>
      </c>
    </row>
    <row r="2809" ht="22.5" customHeight="1">
      <c r="A2809" s="66">
        <v>10.7765</v>
      </c>
      <c r="B2809" s="67">
        <v>106.6028</v>
      </c>
      <c r="C2809" s="67">
        <v>10.75191</v>
      </c>
      <c r="D2809" s="67">
        <v>106.6006</v>
      </c>
      <c r="E2809" s="68">
        <v>3.553</v>
      </c>
    </row>
    <row r="2810" ht="22.5" customHeight="1">
      <c r="A2810" s="61">
        <v>10.7765</v>
      </c>
      <c r="B2810" s="63">
        <v>106.6028</v>
      </c>
      <c r="C2810" s="63">
        <v>10.76707</v>
      </c>
      <c r="D2810" s="63">
        <v>106.6493</v>
      </c>
      <c r="E2810" s="64">
        <v>5.444</v>
      </c>
    </row>
    <row r="2811" ht="22.5" customHeight="1">
      <c r="A2811" s="66">
        <v>10.7765</v>
      </c>
      <c r="B2811" s="67">
        <v>106.6028</v>
      </c>
      <c r="C2811" s="67">
        <v>10.76809</v>
      </c>
      <c r="D2811" s="67">
        <v>106.6092</v>
      </c>
      <c r="E2811" s="68">
        <v>1.731</v>
      </c>
    </row>
    <row r="2812" ht="22.5" customHeight="1">
      <c r="A2812" s="61">
        <v>10.7765</v>
      </c>
      <c r="B2812" s="63">
        <v>106.6028</v>
      </c>
      <c r="C2812" s="63">
        <v>10.7716</v>
      </c>
      <c r="D2812" s="63">
        <v>106.587</v>
      </c>
      <c r="E2812" s="64">
        <v>4.141</v>
      </c>
    </row>
    <row r="2813" ht="22.5" customHeight="1">
      <c r="A2813" s="66">
        <v>10.7765</v>
      </c>
      <c r="B2813" s="67">
        <v>106.6028</v>
      </c>
      <c r="C2813" s="67">
        <v>10.77167</v>
      </c>
      <c r="D2813" s="67">
        <v>106.5865</v>
      </c>
      <c r="E2813" s="68">
        <v>4.132</v>
      </c>
    </row>
    <row r="2814" ht="22.5" customHeight="1">
      <c r="A2814" s="61">
        <v>10.7765</v>
      </c>
      <c r="B2814" s="63">
        <v>106.6028</v>
      </c>
      <c r="C2814" s="63">
        <v>10.77509</v>
      </c>
      <c r="D2814" s="63">
        <v>106.6727</v>
      </c>
      <c r="E2814" s="64">
        <v>9.097</v>
      </c>
    </row>
    <row r="2815" ht="22.5" customHeight="1">
      <c r="A2815" s="66">
        <v>10.7765</v>
      </c>
      <c r="B2815" s="67">
        <v>106.6028</v>
      </c>
      <c r="C2815" s="67">
        <v>10.77584</v>
      </c>
      <c r="D2815" s="67">
        <v>106.6133</v>
      </c>
      <c r="E2815" s="68">
        <v>1.138</v>
      </c>
    </row>
    <row r="2816" ht="22.5" customHeight="1">
      <c r="A2816" s="61">
        <v>10.7765</v>
      </c>
      <c r="B2816" s="63">
        <v>106.6028</v>
      </c>
      <c r="C2816" s="63">
        <v>10.77618</v>
      </c>
      <c r="D2816" s="63">
        <v>106.607</v>
      </c>
      <c r="E2816" s="64">
        <v>0.552</v>
      </c>
    </row>
    <row r="2817" ht="22.5" customHeight="1">
      <c r="A2817" s="66">
        <v>10.7765</v>
      </c>
      <c r="B2817" s="67">
        <v>106.6028</v>
      </c>
      <c r="C2817" s="67">
        <v>10.7765</v>
      </c>
      <c r="D2817" s="67">
        <v>106.6028</v>
      </c>
      <c r="E2817" s="68">
        <v>0.0</v>
      </c>
    </row>
    <row r="2818" ht="22.5" customHeight="1">
      <c r="A2818" s="61">
        <v>10.7765</v>
      </c>
      <c r="B2818" s="63">
        <v>106.6028</v>
      </c>
      <c r="C2818" s="63">
        <v>10.77656</v>
      </c>
      <c r="D2818" s="63">
        <v>106.6049</v>
      </c>
      <c r="E2818" s="64">
        <v>0.459</v>
      </c>
    </row>
    <row r="2819" ht="22.5" customHeight="1">
      <c r="A2819" s="66">
        <v>10.7765</v>
      </c>
      <c r="B2819" s="67">
        <v>106.6028</v>
      </c>
      <c r="C2819" s="67">
        <v>10.78747</v>
      </c>
      <c r="D2819" s="67">
        <v>106.5981</v>
      </c>
      <c r="E2819" s="68">
        <v>2.294</v>
      </c>
    </row>
    <row r="2820" ht="22.5" customHeight="1">
      <c r="A2820" s="61">
        <v>10.77655</v>
      </c>
      <c r="B2820" s="63">
        <v>106.6913</v>
      </c>
      <c r="C2820" s="63">
        <v>10.77509</v>
      </c>
      <c r="D2820" s="63">
        <v>106.6727</v>
      </c>
      <c r="E2820" s="64">
        <v>2.53</v>
      </c>
    </row>
    <row r="2821" ht="22.5" customHeight="1">
      <c r="A2821" s="66">
        <v>10.77656</v>
      </c>
      <c r="B2821" s="67">
        <v>106.6049</v>
      </c>
      <c r="C2821" s="67">
        <v>10.7252</v>
      </c>
      <c r="D2821" s="67">
        <v>106.6094</v>
      </c>
      <c r="E2821" s="68">
        <v>6.548</v>
      </c>
    </row>
    <row r="2822" ht="22.5" customHeight="1">
      <c r="A2822" s="61">
        <v>10.77656</v>
      </c>
      <c r="B2822" s="63">
        <v>106.6049</v>
      </c>
      <c r="C2822" s="63">
        <v>10.73905</v>
      </c>
      <c r="D2822" s="63">
        <v>106.6327</v>
      </c>
      <c r="E2822" s="64">
        <v>6.48</v>
      </c>
    </row>
    <row r="2823" ht="22.5" customHeight="1">
      <c r="A2823" s="66">
        <v>10.77656</v>
      </c>
      <c r="B2823" s="67">
        <v>106.6049</v>
      </c>
      <c r="C2823" s="67">
        <v>10.7444</v>
      </c>
      <c r="D2823" s="67">
        <v>106.6304</v>
      </c>
      <c r="E2823" s="68">
        <v>6.081</v>
      </c>
    </row>
    <row r="2824" ht="22.5" customHeight="1">
      <c r="A2824" s="61">
        <v>10.77656</v>
      </c>
      <c r="B2824" s="63">
        <v>106.6049</v>
      </c>
      <c r="C2824" s="63">
        <v>10.74602</v>
      </c>
      <c r="D2824" s="63">
        <v>106.6123</v>
      </c>
      <c r="E2824" s="64">
        <v>4.9</v>
      </c>
    </row>
    <row r="2825" ht="22.5" customHeight="1">
      <c r="A2825" s="66">
        <v>10.77656</v>
      </c>
      <c r="B2825" s="67">
        <v>106.6049</v>
      </c>
      <c r="C2825" s="67">
        <v>10.75191</v>
      </c>
      <c r="D2825" s="67">
        <v>106.6006</v>
      </c>
      <c r="E2825" s="68">
        <v>3.959</v>
      </c>
    </row>
    <row r="2826" ht="22.5" customHeight="1">
      <c r="A2826" s="61">
        <v>10.77656</v>
      </c>
      <c r="B2826" s="63">
        <v>106.6049</v>
      </c>
      <c r="C2826" s="63">
        <v>10.76707</v>
      </c>
      <c r="D2826" s="63">
        <v>106.6493</v>
      </c>
      <c r="E2826" s="64">
        <v>5.0</v>
      </c>
    </row>
    <row r="2827" ht="22.5" customHeight="1">
      <c r="A2827" s="66">
        <v>10.77656</v>
      </c>
      <c r="B2827" s="67">
        <v>106.6049</v>
      </c>
      <c r="C2827" s="67">
        <v>10.76809</v>
      </c>
      <c r="D2827" s="67">
        <v>106.6092</v>
      </c>
      <c r="E2827" s="68">
        <v>1.287</v>
      </c>
    </row>
    <row r="2828" ht="22.5" customHeight="1">
      <c r="A2828" s="61">
        <v>10.77656</v>
      </c>
      <c r="B2828" s="63">
        <v>106.6049</v>
      </c>
      <c r="C2828" s="63">
        <v>10.77167</v>
      </c>
      <c r="D2828" s="63">
        <v>106.5865</v>
      </c>
      <c r="E2828" s="64">
        <v>4.537</v>
      </c>
    </row>
    <row r="2829" ht="22.5" customHeight="1">
      <c r="A2829" s="66">
        <v>10.77656</v>
      </c>
      <c r="B2829" s="67">
        <v>106.6049</v>
      </c>
      <c r="C2829" s="67">
        <v>10.77509</v>
      </c>
      <c r="D2829" s="67">
        <v>106.6727</v>
      </c>
      <c r="E2829" s="68">
        <v>8.8</v>
      </c>
    </row>
    <row r="2830" ht="22.5" customHeight="1">
      <c r="A2830" s="61">
        <v>10.77656</v>
      </c>
      <c r="B2830" s="63">
        <v>106.6049</v>
      </c>
      <c r="C2830" s="63">
        <v>10.77584</v>
      </c>
      <c r="D2830" s="63">
        <v>106.6133</v>
      </c>
      <c r="E2830" s="64">
        <v>0.766</v>
      </c>
    </row>
    <row r="2831" ht="22.5" customHeight="1">
      <c r="A2831" s="66">
        <v>10.77656</v>
      </c>
      <c r="B2831" s="67">
        <v>106.6049</v>
      </c>
      <c r="C2831" s="67">
        <v>10.77618</v>
      </c>
      <c r="D2831" s="67">
        <v>106.607</v>
      </c>
      <c r="E2831" s="68">
        <v>0.25</v>
      </c>
    </row>
    <row r="2832" ht="22.5" customHeight="1">
      <c r="A2832" s="61">
        <v>10.77656</v>
      </c>
      <c r="B2832" s="63">
        <v>106.6049</v>
      </c>
      <c r="C2832" s="63">
        <v>10.7765</v>
      </c>
      <c r="D2832" s="63">
        <v>106.6028</v>
      </c>
      <c r="E2832" s="64">
        <v>0.398</v>
      </c>
    </row>
    <row r="2833" ht="22.5" customHeight="1">
      <c r="A2833" s="66">
        <v>10.77656</v>
      </c>
      <c r="B2833" s="67">
        <v>106.6049</v>
      </c>
      <c r="C2833" s="67">
        <v>10.77656</v>
      </c>
      <c r="D2833" s="67">
        <v>106.6049</v>
      </c>
      <c r="E2833" s="68">
        <v>0.294</v>
      </c>
    </row>
    <row r="2834" ht="22.5" customHeight="1">
      <c r="A2834" s="61">
        <v>10.77656</v>
      </c>
      <c r="B2834" s="63">
        <v>106.6049</v>
      </c>
      <c r="C2834" s="63">
        <v>10.78747</v>
      </c>
      <c r="D2834" s="63">
        <v>106.5981</v>
      </c>
      <c r="E2834" s="64">
        <v>2.743</v>
      </c>
    </row>
    <row r="2835" ht="22.5" customHeight="1">
      <c r="A2835" s="66">
        <v>10.77658</v>
      </c>
      <c r="B2835" s="67">
        <v>106.6719</v>
      </c>
      <c r="C2835" s="67">
        <v>10.76913</v>
      </c>
      <c r="D2835" s="67">
        <v>106.6615</v>
      </c>
      <c r="E2835" s="68">
        <v>1.938</v>
      </c>
    </row>
    <row r="2836" ht="22.5" customHeight="1">
      <c r="A2836" s="61">
        <v>10.77658</v>
      </c>
      <c r="B2836" s="63">
        <v>106.6719</v>
      </c>
      <c r="C2836" s="63">
        <v>10.77032</v>
      </c>
      <c r="D2836" s="63">
        <v>106.6723</v>
      </c>
      <c r="E2836" s="64">
        <v>0.768</v>
      </c>
    </row>
    <row r="2837" ht="22.5" customHeight="1">
      <c r="A2837" s="66">
        <v>10.77658</v>
      </c>
      <c r="B2837" s="67">
        <v>106.6719</v>
      </c>
      <c r="C2837" s="67">
        <v>10.7733</v>
      </c>
      <c r="D2837" s="67">
        <v>106.6687</v>
      </c>
      <c r="E2837" s="68">
        <v>0.808</v>
      </c>
    </row>
    <row r="2838" ht="22.5" customHeight="1">
      <c r="A2838" s="61">
        <v>10.77658</v>
      </c>
      <c r="B2838" s="63">
        <v>106.6719</v>
      </c>
      <c r="C2838" s="63">
        <v>10.77509</v>
      </c>
      <c r="D2838" s="63">
        <v>106.6727</v>
      </c>
      <c r="E2838" s="64">
        <v>0.262</v>
      </c>
    </row>
    <row r="2839" ht="22.5" customHeight="1">
      <c r="A2839" s="66">
        <v>10.77662</v>
      </c>
      <c r="B2839" s="67">
        <v>106.7654</v>
      </c>
      <c r="C2839" s="67">
        <v>10.75047</v>
      </c>
      <c r="D2839" s="67">
        <v>106.7916</v>
      </c>
      <c r="E2839" s="68">
        <v>4.259</v>
      </c>
    </row>
    <row r="2840" ht="22.5" customHeight="1">
      <c r="A2840" s="61">
        <v>10.77662</v>
      </c>
      <c r="B2840" s="63">
        <v>106.7654</v>
      </c>
      <c r="C2840" s="63">
        <v>10.76656</v>
      </c>
      <c r="D2840" s="63">
        <v>106.726</v>
      </c>
      <c r="E2840" s="64">
        <v>7.508</v>
      </c>
    </row>
    <row r="2841" ht="22.5" customHeight="1">
      <c r="A2841" s="66">
        <v>10.77662</v>
      </c>
      <c r="B2841" s="67">
        <v>106.7654</v>
      </c>
      <c r="C2841" s="67">
        <v>10.77509</v>
      </c>
      <c r="D2841" s="67">
        <v>106.6727</v>
      </c>
      <c r="E2841" s="68">
        <v>12.6</v>
      </c>
    </row>
    <row r="2842" ht="22.5" customHeight="1">
      <c r="A2842" s="61">
        <v>10.77662</v>
      </c>
      <c r="B2842" s="63">
        <v>106.7654</v>
      </c>
      <c r="C2842" s="63">
        <v>10.7818</v>
      </c>
      <c r="D2842" s="63">
        <v>106.7611</v>
      </c>
      <c r="E2842" s="64">
        <v>0.755</v>
      </c>
    </row>
    <row r="2843" ht="22.5" customHeight="1">
      <c r="A2843" s="66">
        <v>10.77662</v>
      </c>
      <c r="B2843" s="67">
        <v>106.7654</v>
      </c>
      <c r="C2843" s="67">
        <v>10.78624</v>
      </c>
      <c r="D2843" s="67">
        <v>106.7313</v>
      </c>
      <c r="E2843" s="68">
        <v>6.156</v>
      </c>
    </row>
    <row r="2844" ht="22.5" customHeight="1">
      <c r="A2844" s="61">
        <v>10.77662</v>
      </c>
      <c r="B2844" s="63">
        <v>106.7654</v>
      </c>
      <c r="C2844" s="63">
        <v>10.78759</v>
      </c>
      <c r="D2844" s="63">
        <v>106.7337</v>
      </c>
      <c r="E2844" s="64">
        <v>5.868</v>
      </c>
    </row>
    <row r="2845" ht="22.5" customHeight="1">
      <c r="A2845" s="66">
        <v>10.77662</v>
      </c>
      <c r="B2845" s="67">
        <v>106.7654</v>
      </c>
      <c r="C2845" s="67">
        <v>10.7881</v>
      </c>
      <c r="D2845" s="67">
        <v>106.7662</v>
      </c>
      <c r="E2845" s="68">
        <v>1.97</v>
      </c>
    </row>
    <row r="2846" ht="22.5" customHeight="1">
      <c r="A2846" s="61">
        <v>10.77662</v>
      </c>
      <c r="B2846" s="63">
        <v>106.7654</v>
      </c>
      <c r="C2846" s="63">
        <v>10.78851</v>
      </c>
      <c r="D2846" s="63">
        <v>106.777</v>
      </c>
      <c r="E2846" s="64">
        <v>2.279</v>
      </c>
    </row>
    <row r="2847" ht="22.5" customHeight="1">
      <c r="A2847" s="66">
        <v>10.77662</v>
      </c>
      <c r="B2847" s="67">
        <v>106.7654</v>
      </c>
      <c r="C2847" s="67">
        <v>10.78864</v>
      </c>
      <c r="D2847" s="67">
        <v>106.7561</v>
      </c>
      <c r="E2847" s="68">
        <v>1.911</v>
      </c>
    </row>
    <row r="2848" ht="22.5" customHeight="1">
      <c r="A2848" s="61">
        <v>10.77662</v>
      </c>
      <c r="B2848" s="63">
        <v>106.7654</v>
      </c>
      <c r="C2848" s="63">
        <v>10.79121</v>
      </c>
      <c r="D2848" s="63">
        <v>106.7227</v>
      </c>
      <c r="E2848" s="64">
        <v>10.747</v>
      </c>
    </row>
    <row r="2849" ht="22.5" customHeight="1">
      <c r="A2849" s="66">
        <v>10.77662</v>
      </c>
      <c r="B2849" s="67">
        <v>106.7654</v>
      </c>
      <c r="C2849" s="67">
        <v>10.79203</v>
      </c>
      <c r="D2849" s="67">
        <v>106.7304</v>
      </c>
      <c r="E2849" s="68">
        <v>6.7</v>
      </c>
    </row>
    <row r="2850" ht="22.5" customHeight="1">
      <c r="A2850" s="61">
        <v>10.77663</v>
      </c>
      <c r="B2850" s="63">
        <v>106.6901</v>
      </c>
      <c r="C2850" s="63">
        <v>10.75998</v>
      </c>
      <c r="D2850" s="63">
        <v>106.6727</v>
      </c>
      <c r="E2850" s="64">
        <v>2.827</v>
      </c>
    </row>
    <row r="2851" ht="22.5" customHeight="1">
      <c r="A2851" s="66">
        <v>10.77663</v>
      </c>
      <c r="B2851" s="67">
        <v>106.6901</v>
      </c>
      <c r="C2851" s="67">
        <v>10.77479</v>
      </c>
      <c r="D2851" s="67">
        <v>106.6885</v>
      </c>
      <c r="E2851" s="68">
        <v>0.291</v>
      </c>
    </row>
    <row r="2852" ht="22.5" customHeight="1">
      <c r="A2852" s="61">
        <v>10.77663</v>
      </c>
      <c r="B2852" s="63">
        <v>106.6901</v>
      </c>
      <c r="C2852" s="63">
        <v>10.77509</v>
      </c>
      <c r="D2852" s="63">
        <v>106.6727</v>
      </c>
      <c r="E2852" s="64">
        <v>2.441</v>
      </c>
    </row>
    <row r="2853" ht="22.5" customHeight="1">
      <c r="A2853" s="66">
        <v>10.77674</v>
      </c>
      <c r="B2853" s="67">
        <v>106.6841</v>
      </c>
      <c r="C2853" s="67">
        <v>10.76668</v>
      </c>
      <c r="D2853" s="67">
        <v>106.6879</v>
      </c>
      <c r="E2853" s="68">
        <v>2.207</v>
      </c>
    </row>
    <row r="2854" ht="22.5" customHeight="1">
      <c r="A2854" s="61">
        <v>10.77674</v>
      </c>
      <c r="B2854" s="63">
        <v>106.6841</v>
      </c>
      <c r="C2854" s="63">
        <v>10.76878</v>
      </c>
      <c r="D2854" s="63">
        <v>106.6667</v>
      </c>
      <c r="E2854" s="64">
        <v>2.416</v>
      </c>
    </row>
    <row r="2855" ht="22.5" customHeight="1">
      <c r="A2855" s="66">
        <v>10.77674</v>
      </c>
      <c r="B2855" s="67">
        <v>106.6841</v>
      </c>
      <c r="C2855" s="67">
        <v>10.76978</v>
      </c>
      <c r="D2855" s="67">
        <v>106.6909</v>
      </c>
      <c r="E2855" s="68">
        <v>1.824</v>
      </c>
    </row>
    <row r="2856" ht="22.5" customHeight="1">
      <c r="A2856" s="61">
        <v>10.77674</v>
      </c>
      <c r="B2856" s="63">
        <v>106.6841</v>
      </c>
      <c r="C2856" s="63">
        <v>10.76987</v>
      </c>
      <c r="D2856" s="63">
        <v>106.6856</v>
      </c>
      <c r="E2856" s="64">
        <v>1.446</v>
      </c>
    </row>
    <row r="2857" ht="22.5" customHeight="1">
      <c r="A2857" s="66">
        <v>10.77674</v>
      </c>
      <c r="B2857" s="67">
        <v>106.6841</v>
      </c>
      <c r="C2857" s="67">
        <v>10.7718</v>
      </c>
      <c r="D2857" s="67">
        <v>106.6714</v>
      </c>
      <c r="E2857" s="68">
        <v>1.894</v>
      </c>
    </row>
    <row r="2858" ht="22.5" customHeight="1">
      <c r="A2858" s="61">
        <v>10.77674</v>
      </c>
      <c r="B2858" s="63">
        <v>106.6841</v>
      </c>
      <c r="C2858" s="63">
        <v>10.7733</v>
      </c>
      <c r="D2858" s="63">
        <v>106.6687</v>
      </c>
      <c r="E2858" s="64">
        <v>2.585</v>
      </c>
    </row>
    <row r="2859" ht="22.5" customHeight="1">
      <c r="A2859" s="66">
        <v>10.77674</v>
      </c>
      <c r="B2859" s="67">
        <v>106.6841</v>
      </c>
      <c r="C2859" s="67">
        <v>10.77479</v>
      </c>
      <c r="D2859" s="67">
        <v>106.6885</v>
      </c>
      <c r="E2859" s="68">
        <v>1.011</v>
      </c>
    </row>
    <row r="2860" ht="22.5" customHeight="1">
      <c r="A2860" s="61">
        <v>10.77674</v>
      </c>
      <c r="B2860" s="63">
        <v>106.6841</v>
      </c>
      <c r="C2860" s="63">
        <v>10.77503</v>
      </c>
      <c r="D2860" s="63">
        <v>106.6737</v>
      </c>
      <c r="E2860" s="64">
        <v>1.47</v>
      </c>
    </row>
    <row r="2861" ht="22.5" customHeight="1">
      <c r="A2861" s="66">
        <v>10.77674</v>
      </c>
      <c r="B2861" s="67">
        <v>106.6841</v>
      </c>
      <c r="C2861" s="67">
        <v>10.77509</v>
      </c>
      <c r="D2861" s="67">
        <v>106.6727</v>
      </c>
      <c r="E2861" s="68">
        <v>1.482</v>
      </c>
    </row>
    <row r="2862" ht="22.5" customHeight="1">
      <c r="A2862" s="61">
        <v>10.77674</v>
      </c>
      <c r="B2862" s="63">
        <v>106.6841</v>
      </c>
      <c r="C2862" s="63">
        <v>10.77525</v>
      </c>
      <c r="D2862" s="63">
        <v>106.6592</v>
      </c>
      <c r="E2862" s="64">
        <v>3.391</v>
      </c>
    </row>
    <row r="2863" ht="22.5" customHeight="1">
      <c r="A2863" s="66">
        <v>10.77674</v>
      </c>
      <c r="B2863" s="67">
        <v>106.6841</v>
      </c>
      <c r="C2863" s="67">
        <v>10.77526</v>
      </c>
      <c r="D2863" s="67">
        <v>106.6823</v>
      </c>
      <c r="E2863" s="68">
        <v>1.626</v>
      </c>
    </row>
    <row r="2864" ht="22.5" customHeight="1">
      <c r="A2864" s="61">
        <v>10.77674</v>
      </c>
      <c r="B2864" s="63">
        <v>106.6841</v>
      </c>
      <c r="C2864" s="63">
        <v>10.77641</v>
      </c>
      <c r="D2864" s="63">
        <v>106.6866</v>
      </c>
      <c r="E2864" s="64">
        <v>0.399</v>
      </c>
    </row>
    <row r="2865" ht="22.5" customHeight="1">
      <c r="A2865" s="66">
        <v>10.77674</v>
      </c>
      <c r="B2865" s="67">
        <v>106.6841</v>
      </c>
      <c r="C2865" s="67">
        <v>10.77658</v>
      </c>
      <c r="D2865" s="67">
        <v>106.6719</v>
      </c>
      <c r="E2865" s="68">
        <v>1.475</v>
      </c>
    </row>
    <row r="2866" ht="22.5" customHeight="1">
      <c r="A2866" s="61">
        <v>10.77674</v>
      </c>
      <c r="B2866" s="63">
        <v>106.6841</v>
      </c>
      <c r="C2866" s="63">
        <v>10.77727</v>
      </c>
      <c r="D2866" s="63">
        <v>106.6795</v>
      </c>
      <c r="E2866" s="64">
        <v>1.14</v>
      </c>
    </row>
    <row r="2867" ht="22.5" customHeight="1">
      <c r="A2867" s="66">
        <v>10.77674</v>
      </c>
      <c r="B2867" s="67">
        <v>106.6841</v>
      </c>
      <c r="C2867" s="67">
        <v>10.7785</v>
      </c>
      <c r="D2867" s="67">
        <v>106.6858</v>
      </c>
      <c r="E2867" s="68">
        <v>0.149</v>
      </c>
    </row>
    <row r="2868" ht="22.5" customHeight="1">
      <c r="A2868" s="61">
        <v>10.77674</v>
      </c>
      <c r="B2868" s="63">
        <v>106.6841</v>
      </c>
      <c r="C2868" s="63">
        <v>10.77918</v>
      </c>
      <c r="D2868" s="63">
        <v>106.6903</v>
      </c>
      <c r="E2868" s="64">
        <v>0.992</v>
      </c>
    </row>
    <row r="2869" ht="22.5" customHeight="1">
      <c r="A2869" s="66">
        <v>10.77674</v>
      </c>
      <c r="B2869" s="67">
        <v>106.6841</v>
      </c>
      <c r="C2869" s="67">
        <v>10.78115</v>
      </c>
      <c r="D2869" s="67">
        <v>106.7005</v>
      </c>
      <c r="E2869" s="68">
        <v>2.458</v>
      </c>
    </row>
    <row r="2870" ht="22.5" customHeight="1">
      <c r="A2870" s="61">
        <v>10.77674</v>
      </c>
      <c r="B2870" s="63">
        <v>106.6841</v>
      </c>
      <c r="C2870" s="63">
        <v>10.78319</v>
      </c>
      <c r="D2870" s="63">
        <v>106.6717</v>
      </c>
      <c r="E2870" s="64">
        <v>1.576</v>
      </c>
    </row>
    <row r="2871" ht="22.5" customHeight="1">
      <c r="A2871" s="66">
        <v>10.77674</v>
      </c>
      <c r="B2871" s="67">
        <v>106.6841</v>
      </c>
      <c r="C2871" s="67">
        <v>10.78485</v>
      </c>
      <c r="D2871" s="67">
        <v>106.6942</v>
      </c>
      <c r="E2871" s="68">
        <v>1.601</v>
      </c>
    </row>
    <row r="2872" ht="22.5" customHeight="1">
      <c r="A2872" s="61">
        <v>10.77693</v>
      </c>
      <c r="B2872" s="63">
        <v>106.7516</v>
      </c>
      <c r="C2872" s="63">
        <v>10.77744</v>
      </c>
      <c r="D2872" s="63">
        <v>106.7646</v>
      </c>
      <c r="E2872" s="64">
        <v>2.379</v>
      </c>
    </row>
    <row r="2873" ht="22.5" customHeight="1">
      <c r="A2873" s="66">
        <v>10.77693</v>
      </c>
      <c r="B2873" s="67">
        <v>106.7516</v>
      </c>
      <c r="C2873" s="67">
        <v>10.7845</v>
      </c>
      <c r="D2873" s="67">
        <v>106.7477</v>
      </c>
      <c r="E2873" s="68">
        <v>2.624</v>
      </c>
    </row>
    <row r="2874" ht="22.5" customHeight="1">
      <c r="A2874" s="61">
        <v>10.77693</v>
      </c>
      <c r="B2874" s="63">
        <v>106.7516</v>
      </c>
      <c r="C2874" s="63">
        <v>10.78759</v>
      </c>
      <c r="D2874" s="63">
        <v>106.7337</v>
      </c>
      <c r="E2874" s="64">
        <v>3.064</v>
      </c>
    </row>
    <row r="2875" ht="22.5" customHeight="1">
      <c r="A2875" s="66">
        <v>10.77693</v>
      </c>
      <c r="B2875" s="67">
        <v>106.7516</v>
      </c>
      <c r="C2875" s="67">
        <v>10.7881</v>
      </c>
      <c r="D2875" s="67">
        <v>106.7662</v>
      </c>
      <c r="E2875" s="68">
        <v>4.305</v>
      </c>
    </row>
    <row r="2876" ht="22.5" customHeight="1">
      <c r="A2876" s="61">
        <v>10.77693</v>
      </c>
      <c r="B2876" s="63">
        <v>106.7516</v>
      </c>
      <c r="C2876" s="63">
        <v>10.7907</v>
      </c>
      <c r="D2876" s="63">
        <v>106.7481</v>
      </c>
      <c r="E2876" s="64">
        <v>4.363</v>
      </c>
    </row>
    <row r="2877" ht="22.5" customHeight="1">
      <c r="A2877" s="66">
        <v>10.77693</v>
      </c>
      <c r="B2877" s="67">
        <v>106.7516</v>
      </c>
      <c r="C2877" s="67">
        <v>10.79203</v>
      </c>
      <c r="D2877" s="67">
        <v>106.7304</v>
      </c>
      <c r="E2877" s="68">
        <v>4.579</v>
      </c>
    </row>
    <row r="2878" ht="22.5" customHeight="1">
      <c r="A2878" s="61">
        <v>10.77722</v>
      </c>
      <c r="B2878" s="63">
        <v>106.6875</v>
      </c>
      <c r="C2878" s="63">
        <v>10.77509</v>
      </c>
      <c r="D2878" s="63">
        <v>106.6727</v>
      </c>
      <c r="E2878" s="64">
        <v>2.099</v>
      </c>
    </row>
    <row r="2879" ht="22.5" customHeight="1">
      <c r="A2879" s="66">
        <v>10.77722</v>
      </c>
      <c r="B2879" s="67">
        <v>106.6875</v>
      </c>
      <c r="C2879" s="67">
        <v>10.77971</v>
      </c>
      <c r="D2879" s="67">
        <v>106.7008</v>
      </c>
      <c r="E2879" s="68">
        <v>2.204</v>
      </c>
    </row>
    <row r="2880" ht="22.5" customHeight="1">
      <c r="A2880" s="61">
        <v>10.77727</v>
      </c>
      <c r="B2880" s="63">
        <v>106.6795</v>
      </c>
      <c r="C2880" s="63">
        <v>10.76878</v>
      </c>
      <c r="D2880" s="63">
        <v>106.6667</v>
      </c>
      <c r="E2880" s="64">
        <v>2.026</v>
      </c>
    </row>
    <row r="2881" ht="22.5" customHeight="1">
      <c r="A2881" s="66">
        <v>10.77727</v>
      </c>
      <c r="B2881" s="67">
        <v>106.6795</v>
      </c>
      <c r="C2881" s="67">
        <v>10.76987</v>
      </c>
      <c r="D2881" s="67">
        <v>106.6856</v>
      </c>
      <c r="E2881" s="68">
        <v>1.536</v>
      </c>
    </row>
    <row r="2882" ht="22.5" customHeight="1">
      <c r="A2882" s="61">
        <v>10.77727</v>
      </c>
      <c r="B2882" s="63">
        <v>106.6795</v>
      </c>
      <c r="C2882" s="63">
        <v>10.7733</v>
      </c>
      <c r="D2882" s="63">
        <v>106.6687</v>
      </c>
      <c r="E2882" s="64">
        <v>1.607</v>
      </c>
    </row>
    <row r="2883" ht="22.5" customHeight="1">
      <c r="A2883" s="66">
        <v>10.77727</v>
      </c>
      <c r="B2883" s="67">
        <v>106.6795</v>
      </c>
      <c r="C2883" s="67">
        <v>10.77509</v>
      </c>
      <c r="D2883" s="67">
        <v>106.6727</v>
      </c>
      <c r="E2883" s="68">
        <v>0.811</v>
      </c>
    </row>
    <row r="2884" ht="22.5" customHeight="1">
      <c r="A2884" s="61">
        <v>10.77744</v>
      </c>
      <c r="B2884" s="63">
        <v>106.7646</v>
      </c>
      <c r="C2884" s="63">
        <v>10.76656</v>
      </c>
      <c r="D2884" s="63">
        <v>106.726</v>
      </c>
      <c r="E2884" s="64">
        <v>6.929</v>
      </c>
    </row>
    <row r="2885" ht="22.5" customHeight="1">
      <c r="A2885" s="66">
        <v>10.77744</v>
      </c>
      <c r="B2885" s="67">
        <v>106.7646</v>
      </c>
      <c r="C2885" s="67">
        <v>10.76666</v>
      </c>
      <c r="D2885" s="67">
        <v>106.7262</v>
      </c>
      <c r="E2885" s="68">
        <v>6.904</v>
      </c>
    </row>
    <row r="2886" ht="22.5" customHeight="1">
      <c r="A2886" s="61">
        <v>10.77744</v>
      </c>
      <c r="B2886" s="63">
        <v>106.7646</v>
      </c>
      <c r="C2886" s="63">
        <v>10.77509</v>
      </c>
      <c r="D2886" s="63">
        <v>106.6727</v>
      </c>
      <c r="E2886" s="64">
        <v>12.728</v>
      </c>
    </row>
    <row r="2887" ht="22.5" customHeight="1">
      <c r="A2887" s="66">
        <v>10.77744</v>
      </c>
      <c r="B2887" s="67">
        <v>106.7646</v>
      </c>
      <c r="C2887" s="67">
        <v>10.77662</v>
      </c>
      <c r="D2887" s="67">
        <v>106.7654</v>
      </c>
      <c r="E2887" s="68">
        <v>0.119</v>
      </c>
    </row>
    <row r="2888" ht="22.5" customHeight="1">
      <c r="A2888" s="61">
        <v>10.77744</v>
      </c>
      <c r="B2888" s="63">
        <v>106.7646</v>
      </c>
      <c r="C2888" s="63">
        <v>10.77744</v>
      </c>
      <c r="D2888" s="63">
        <v>106.7646</v>
      </c>
      <c r="E2888" s="64">
        <v>0.002</v>
      </c>
    </row>
    <row r="2889" ht="22.5" customHeight="1">
      <c r="A2889" s="66">
        <v>10.77744</v>
      </c>
      <c r="B2889" s="67">
        <v>106.7646</v>
      </c>
      <c r="C2889" s="67">
        <v>10.7818</v>
      </c>
      <c r="D2889" s="67">
        <v>106.7611</v>
      </c>
      <c r="E2889" s="68">
        <v>0.61</v>
      </c>
    </row>
    <row r="2890" ht="22.5" customHeight="1">
      <c r="A2890" s="61">
        <v>10.77744</v>
      </c>
      <c r="B2890" s="63">
        <v>106.7646</v>
      </c>
      <c r="C2890" s="63">
        <v>10.78624</v>
      </c>
      <c r="D2890" s="63">
        <v>106.7313</v>
      </c>
      <c r="E2890" s="64">
        <v>5.555</v>
      </c>
    </row>
    <row r="2891" ht="22.5" customHeight="1">
      <c r="A2891" s="66">
        <v>10.77744</v>
      </c>
      <c r="B2891" s="67">
        <v>106.7646</v>
      </c>
      <c r="C2891" s="67">
        <v>10.78759</v>
      </c>
      <c r="D2891" s="67">
        <v>106.7337</v>
      </c>
      <c r="E2891" s="68">
        <v>5.248</v>
      </c>
    </row>
    <row r="2892" ht="22.5" customHeight="1">
      <c r="A2892" s="61">
        <v>10.77744</v>
      </c>
      <c r="B2892" s="63">
        <v>106.7646</v>
      </c>
      <c r="C2892" s="63">
        <v>10.78802</v>
      </c>
      <c r="D2892" s="63">
        <v>106.7609</v>
      </c>
      <c r="E2892" s="64">
        <v>2.137</v>
      </c>
    </row>
    <row r="2893" ht="22.5" customHeight="1">
      <c r="A2893" s="66">
        <v>10.77744</v>
      </c>
      <c r="B2893" s="67">
        <v>106.7646</v>
      </c>
      <c r="C2893" s="67">
        <v>10.7881</v>
      </c>
      <c r="D2893" s="67">
        <v>106.7662</v>
      </c>
      <c r="E2893" s="68">
        <v>1.963</v>
      </c>
    </row>
    <row r="2894" ht="22.5" customHeight="1">
      <c r="A2894" s="61">
        <v>10.77744</v>
      </c>
      <c r="B2894" s="63">
        <v>106.7646</v>
      </c>
      <c r="C2894" s="63">
        <v>10.78851</v>
      </c>
      <c r="D2894" s="63">
        <v>106.777</v>
      </c>
      <c r="E2894" s="64">
        <v>2.397</v>
      </c>
    </row>
    <row r="2895" ht="22.5" customHeight="1">
      <c r="A2895" s="66">
        <v>10.77744</v>
      </c>
      <c r="B2895" s="67">
        <v>106.7646</v>
      </c>
      <c r="C2895" s="67">
        <v>10.78864</v>
      </c>
      <c r="D2895" s="67">
        <v>106.7561</v>
      </c>
      <c r="E2895" s="68">
        <v>1.776</v>
      </c>
    </row>
    <row r="2896" ht="22.5" customHeight="1">
      <c r="A2896" s="61">
        <v>10.77744</v>
      </c>
      <c r="B2896" s="63">
        <v>106.7646</v>
      </c>
      <c r="C2896" s="63">
        <v>10.78871</v>
      </c>
      <c r="D2896" s="63">
        <v>106.7343</v>
      </c>
      <c r="E2896" s="64">
        <v>5.06</v>
      </c>
    </row>
    <row r="2897" ht="22.5" customHeight="1">
      <c r="A2897" s="66">
        <v>10.77744</v>
      </c>
      <c r="B2897" s="67">
        <v>106.7646</v>
      </c>
      <c r="C2897" s="67">
        <v>10.79036</v>
      </c>
      <c r="D2897" s="67">
        <v>106.6973</v>
      </c>
      <c r="E2897" s="68">
        <v>10.818</v>
      </c>
    </row>
    <row r="2898" ht="22.5" customHeight="1">
      <c r="A2898" s="61">
        <v>10.77744</v>
      </c>
      <c r="B2898" s="63">
        <v>106.7646</v>
      </c>
      <c r="C2898" s="63">
        <v>10.79203</v>
      </c>
      <c r="D2898" s="63">
        <v>106.7304</v>
      </c>
      <c r="E2898" s="64">
        <v>6.679</v>
      </c>
    </row>
    <row r="2899" ht="22.5" customHeight="1">
      <c r="A2899" s="66">
        <v>10.77744</v>
      </c>
      <c r="B2899" s="67">
        <v>106.7646</v>
      </c>
      <c r="C2899" s="67">
        <v>10.82166</v>
      </c>
      <c r="D2899" s="67">
        <v>106.7034</v>
      </c>
      <c r="E2899" s="68">
        <v>13.971</v>
      </c>
    </row>
    <row r="2900" ht="22.5" customHeight="1">
      <c r="A2900" s="61">
        <v>10.77773</v>
      </c>
      <c r="B2900" s="63">
        <v>106.6655</v>
      </c>
      <c r="C2900" s="63">
        <v>10.76743</v>
      </c>
      <c r="D2900" s="63">
        <v>106.6809</v>
      </c>
      <c r="E2900" s="64">
        <v>2.532</v>
      </c>
    </row>
    <row r="2901" ht="22.5" customHeight="1">
      <c r="A2901" s="66">
        <v>10.77773</v>
      </c>
      <c r="B2901" s="67">
        <v>106.6655</v>
      </c>
      <c r="C2901" s="67">
        <v>10.76878</v>
      </c>
      <c r="D2901" s="67">
        <v>106.6667</v>
      </c>
      <c r="E2901" s="68">
        <v>1.172</v>
      </c>
    </row>
    <row r="2902" ht="22.5" customHeight="1">
      <c r="A2902" s="61">
        <v>10.77773</v>
      </c>
      <c r="B2902" s="63">
        <v>106.6655</v>
      </c>
      <c r="C2902" s="63">
        <v>10.76913</v>
      </c>
      <c r="D2902" s="63">
        <v>106.6615</v>
      </c>
      <c r="E2902" s="64">
        <v>1.392</v>
      </c>
    </row>
    <row r="2903" ht="22.5" customHeight="1">
      <c r="A2903" s="66">
        <v>10.77773</v>
      </c>
      <c r="B2903" s="67">
        <v>106.6655</v>
      </c>
      <c r="C2903" s="67">
        <v>10.77509</v>
      </c>
      <c r="D2903" s="67">
        <v>106.6727</v>
      </c>
      <c r="E2903" s="68">
        <v>1.6</v>
      </c>
    </row>
    <row r="2904" ht="22.5" customHeight="1">
      <c r="A2904" s="61">
        <v>10.77773</v>
      </c>
      <c r="B2904" s="63">
        <v>106.6655</v>
      </c>
      <c r="C2904" s="63">
        <v>10.77727</v>
      </c>
      <c r="D2904" s="63">
        <v>106.6795</v>
      </c>
      <c r="E2904" s="64">
        <v>2.455</v>
      </c>
    </row>
    <row r="2905" ht="22.5" customHeight="1">
      <c r="A2905" s="66">
        <v>10.77773</v>
      </c>
      <c r="B2905" s="67">
        <v>106.6655</v>
      </c>
      <c r="C2905" s="67">
        <v>10.79193</v>
      </c>
      <c r="D2905" s="67">
        <v>106.6555</v>
      </c>
      <c r="E2905" s="68">
        <v>2.7</v>
      </c>
    </row>
    <row r="2906" ht="22.5" customHeight="1">
      <c r="A2906" s="61">
        <v>10.77826</v>
      </c>
      <c r="B2906" s="63">
        <v>106.7029</v>
      </c>
      <c r="C2906" s="63">
        <v>10.77971</v>
      </c>
      <c r="D2906" s="63">
        <v>106.7008</v>
      </c>
      <c r="E2906" s="64">
        <v>0.368</v>
      </c>
    </row>
    <row r="2907" ht="22.5" customHeight="1">
      <c r="A2907" s="66">
        <v>10.77846</v>
      </c>
      <c r="B2907" s="67">
        <v>106.6797</v>
      </c>
      <c r="C2907" s="67">
        <v>10.75586</v>
      </c>
      <c r="D2907" s="67">
        <v>106.6724</v>
      </c>
      <c r="E2907" s="68">
        <v>3.3</v>
      </c>
    </row>
    <row r="2908" ht="22.5" customHeight="1">
      <c r="A2908" s="61">
        <v>10.77846</v>
      </c>
      <c r="B2908" s="63">
        <v>106.6797</v>
      </c>
      <c r="C2908" s="63">
        <v>10.76878</v>
      </c>
      <c r="D2908" s="63">
        <v>106.6667</v>
      </c>
      <c r="E2908" s="64">
        <v>2.3</v>
      </c>
    </row>
    <row r="2909" ht="22.5" customHeight="1">
      <c r="A2909" s="66">
        <v>10.77846</v>
      </c>
      <c r="B2909" s="67">
        <v>106.6797</v>
      </c>
      <c r="C2909" s="67">
        <v>10.76913</v>
      </c>
      <c r="D2909" s="67">
        <v>106.6615</v>
      </c>
      <c r="E2909" s="68">
        <v>3.1</v>
      </c>
    </row>
    <row r="2910" ht="22.5" customHeight="1">
      <c r="A2910" s="61">
        <v>10.77846</v>
      </c>
      <c r="B2910" s="63">
        <v>106.6797</v>
      </c>
      <c r="C2910" s="63">
        <v>10.76978</v>
      </c>
      <c r="D2910" s="63">
        <v>106.6909</v>
      </c>
      <c r="E2910" s="64">
        <v>2.1</v>
      </c>
    </row>
    <row r="2911" ht="22.5" customHeight="1">
      <c r="A2911" s="66">
        <v>10.77846</v>
      </c>
      <c r="B2911" s="67">
        <v>106.6797</v>
      </c>
      <c r="C2911" s="67">
        <v>10.77509</v>
      </c>
      <c r="D2911" s="67">
        <v>106.6727</v>
      </c>
      <c r="E2911" s="68">
        <v>1.0</v>
      </c>
    </row>
    <row r="2912" ht="22.5" customHeight="1">
      <c r="A2912" s="61">
        <v>10.77846</v>
      </c>
      <c r="B2912" s="63">
        <v>106.6797</v>
      </c>
      <c r="C2912" s="63">
        <v>10.77526</v>
      </c>
      <c r="D2912" s="63">
        <v>106.6823</v>
      </c>
      <c r="E2912" s="64">
        <v>1.5</v>
      </c>
    </row>
    <row r="2913" ht="22.5" customHeight="1">
      <c r="A2913" s="66">
        <v>10.7785</v>
      </c>
      <c r="B2913" s="67">
        <v>106.6858</v>
      </c>
      <c r="C2913" s="67">
        <v>10.76668</v>
      </c>
      <c r="D2913" s="67">
        <v>106.6879</v>
      </c>
      <c r="E2913" s="68">
        <v>2.023</v>
      </c>
    </row>
    <row r="2914" ht="22.5" customHeight="1">
      <c r="A2914" s="61">
        <v>10.7785</v>
      </c>
      <c r="B2914" s="63">
        <v>106.6858</v>
      </c>
      <c r="C2914" s="63">
        <v>10.76743</v>
      </c>
      <c r="D2914" s="63">
        <v>106.6809</v>
      </c>
      <c r="E2914" s="64">
        <v>1.612</v>
      </c>
    </row>
    <row r="2915" ht="22.5" customHeight="1">
      <c r="A2915" s="66">
        <v>10.7785</v>
      </c>
      <c r="B2915" s="67">
        <v>106.6858</v>
      </c>
      <c r="C2915" s="67">
        <v>10.76913</v>
      </c>
      <c r="D2915" s="67">
        <v>106.6615</v>
      </c>
      <c r="E2915" s="68">
        <v>3.781</v>
      </c>
    </row>
    <row r="2916" ht="22.5" customHeight="1">
      <c r="A2916" s="61">
        <v>10.7785</v>
      </c>
      <c r="B2916" s="63">
        <v>106.6858</v>
      </c>
      <c r="C2916" s="63">
        <v>10.76978</v>
      </c>
      <c r="D2916" s="63">
        <v>106.6909</v>
      </c>
      <c r="E2916" s="64">
        <v>0.091</v>
      </c>
    </row>
    <row r="2917" ht="22.5" customHeight="1">
      <c r="A2917" s="66">
        <v>10.7785</v>
      </c>
      <c r="B2917" s="67">
        <v>106.6858</v>
      </c>
      <c r="C2917" s="67">
        <v>10.76987</v>
      </c>
      <c r="D2917" s="67">
        <v>106.6856</v>
      </c>
      <c r="E2917" s="68">
        <v>1.952</v>
      </c>
    </row>
    <row r="2918" ht="22.5" customHeight="1">
      <c r="A2918" s="61">
        <v>10.7785</v>
      </c>
      <c r="B2918" s="63">
        <v>106.6858</v>
      </c>
      <c r="C2918" s="63">
        <v>10.77479</v>
      </c>
      <c r="D2918" s="63">
        <v>106.6885</v>
      </c>
      <c r="E2918" s="64">
        <v>0.732</v>
      </c>
    </row>
    <row r="2919" ht="22.5" customHeight="1">
      <c r="A2919" s="66">
        <v>10.7785</v>
      </c>
      <c r="B2919" s="67">
        <v>106.6858</v>
      </c>
      <c r="C2919" s="67">
        <v>10.77509</v>
      </c>
      <c r="D2919" s="67">
        <v>106.6727</v>
      </c>
      <c r="E2919" s="68">
        <v>1.677</v>
      </c>
    </row>
    <row r="2920" ht="22.5" customHeight="1">
      <c r="A2920" s="61">
        <v>10.7785</v>
      </c>
      <c r="B2920" s="63">
        <v>106.6858</v>
      </c>
      <c r="C2920" s="63">
        <v>10.77674</v>
      </c>
      <c r="D2920" s="63">
        <v>106.6841</v>
      </c>
      <c r="E2920" s="64">
        <v>0.607</v>
      </c>
    </row>
    <row r="2921" ht="22.5" customHeight="1">
      <c r="A2921" s="66">
        <v>10.7785</v>
      </c>
      <c r="B2921" s="67">
        <v>106.6858</v>
      </c>
      <c r="C2921" s="67">
        <v>10.77918</v>
      </c>
      <c r="D2921" s="67">
        <v>106.6903</v>
      </c>
      <c r="E2921" s="68">
        <v>0.717</v>
      </c>
    </row>
    <row r="2922" ht="22.5" customHeight="1">
      <c r="A2922" s="61">
        <v>10.7785</v>
      </c>
      <c r="B2922" s="63">
        <v>106.6858</v>
      </c>
      <c r="C2922" s="63">
        <v>10.78485</v>
      </c>
      <c r="D2922" s="63">
        <v>106.6942</v>
      </c>
      <c r="E2922" s="64">
        <v>1.333</v>
      </c>
    </row>
    <row r="2923" ht="22.5" customHeight="1">
      <c r="A2923" s="66">
        <v>10.7785</v>
      </c>
      <c r="B2923" s="67">
        <v>106.6858</v>
      </c>
      <c r="C2923" s="67">
        <v>10.79358</v>
      </c>
      <c r="D2923" s="67">
        <v>106.7179</v>
      </c>
      <c r="E2923" s="68">
        <v>5.621</v>
      </c>
    </row>
    <row r="2924" ht="22.5" customHeight="1">
      <c r="A2924" s="61">
        <v>10.77918</v>
      </c>
      <c r="B2924" s="63">
        <v>106.6903</v>
      </c>
      <c r="C2924" s="63">
        <v>10.75836</v>
      </c>
      <c r="D2924" s="63">
        <v>106.6708</v>
      </c>
      <c r="E2924" s="64">
        <v>2.418</v>
      </c>
    </row>
    <row r="2925" ht="22.5" customHeight="1">
      <c r="A2925" s="66">
        <v>10.77918</v>
      </c>
      <c r="B2925" s="67">
        <v>106.6903</v>
      </c>
      <c r="C2925" s="67">
        <v>10.75947</v>
      </c>
      <c r="D2925" s="67">
        <v>106.6805</v>
      </c>
      <c r="E2925" s="68">
        <v>2.963</v>
      </c>
    </row>
    <row r="2926" ht="22.5" customHeight="1">
      <c r="A2926" s="61">
        <v>10.77918</v>
      </c>
      <c r="B2926" s="63">
        <v>106.6903</v>
      </c>
      <c r="C2926" s="63">
        <v>10.76484</v>
      </c>
      <c r="D2926" s="63">
        <v>106.6907</v>
      </c>
      <c r="E2926" s="64">
        <v>2.258</v>
      </c>
    </row>
    <row r="2927" ht="22.5" customHeight="1">
      <c r="A2927" s="66">
        <v>10.77918</v>
      </c>
      <c r="B2927" s="67">
        <v>106.6903</v>
      </c>
      <c r="C2927" s="67">
        <v>10.76561</v>
      </c>
      <c r="D2927" s="67">
        <v>106.6823</v>
      </c>
      <c r="E2927" s="68">
        <v>2.178</v>
      </c>
    </row>
    <row r="2928" ht="22.5" customHeight="1">
      <c r="A2928" s="61">
        <v>10.77918</v>
      </c>
      <c r="B2928" s="63">
        <v>106.6903</v>
      </c>
      <c r="C2928" s="63">
        <v>10.76668</v>
      </c>
      <c r="D2928" s="63">
        <v>106.6879</v>
      </c>
      <c r="E2928" s="64">
        <v>1.879</v>
      </c>
    </row>
    <row r="2929" ht="22.5" customHeight="1">
      <c r="A2929" s="66">
        <v>10.77918</v>
      </c>
      <c r="B2929" s="67">
        <v>106.6903</v>
      </c>
      <c r="C2929" s="67">
        <v>10.76732</v>
      </c>
      <c r="D2929" s="67">
        <v>106.6966</v>
      </c>
      <c r="E2929" s="68">
        <v>2.08</v>
      </c>
    </row>
    <row r="2930" ht="22.5" customHeight="1">
      <c r="A2930" s="61">
        <v>10.77918</v>
      </c>
      <c r="B2930" s="63">
        <v>106.6903</v>
      </c>
      <c r="C2930" s="63">
        <v>10.76743</v>
      </c>
      <c r="D2930" s="63">
        <v>106.6809</v>
      </c>
      <c r="E2930" s="64">
        <v>1.826</v>
      </c>
    </row>
    <row r="2931" ht="22.5" customHeight="1">
      <c r="A2931" s="66">
        <v>10.77918</v>
      </c>
      <c r="B2931" s="67">
        <v>106.6903</v>
      </c>
      <c r="C2931" s="67">
        <v>10.76978</v>
      </c>
      <c r="D2931" s="67">
        <v>106.6909</v>
      </c>
      <c r="E2931" s="68">
        <v>1.643</v>
      </c>
    </row>
    <row r="2932" ht="22.5" customHeight="1">
      <c r="A2932" s="61">
        <v>10.77918</v>
      </c>
      <c r="B2932" s="63">
        <v>106.6903</v>
      </c>
      <c r="C2932" s="63">
        <v>10.76987</v>
      </c>
      <c r="D2932" s="63">
        <v>106.6856</v>
      </c>
      <c r="E2932" s="64">
        <v>1.346</v>
      </c>
    </row>
    <row r="2933" ht="22.5" customHeight="1">
      <c r="A2933" s="66">
        <v>10.77918</v>
      </c>
      <c r="B2933" s="67">
        <v>106.6903</v>
      </c>
      <c r="C2933" s="67">
        <v>10.77032</v>
      </c>
      <c r="D2933" s="67">
        <v>106.6723</v>
      </c>
      <c r="E2933" s="68">
        <v>2.639</v>
      </c>
    </row>
    <row r="2934" ht="22.5" customHeight="1">
      <c r="A2934" s="61">
        <v>10.77918</v>
      </c>
      <c r="B2934" s="63">
        <v>106.6903</v>
      </c>
      <c r="C2934" s="63">
        <v>10.7733</v>
      </c>
      <c r="D2934" s="63">
        <v>106.6687</v>
      </c>
      <c r="E2934" s="64">
        <v>3.269</v>
      </c>
    </row>
    <row r="2935" ht="22.5" customHeight="1">
      <c r="A2935" s="66">
        <v>10.77918</v>
      </c>
      <c r="B2935" s="67">
        <v>106.6903</v>
      </c>
      <c r="C2935" s="67">
        <v>10.77479</v>
      </c>
      <c r="D2935" s="67">
        <v>106.6885</v>
      </c>
      <c r="E2935" s="68">
        <v>0.655</v>
      </c>
    </row>
    <row r="2936" ht="22.5" customHeight="1">
      <c r="A2936" s="61">
        <v>10.77918</v>
      </c>
      <c r="B2936" s="63">
        <v>106.6903</v>
      </c>
      <c r="C2936" s="63">
        <v>10.77509</v>
      </c>
      <c r="D2936" s="63">
        <v>106.6727</v>
      </c>
      <c r="E2936" s="64">
        <v>2.381</v>
      </c>
    </row>
    <row r="2937" ht="22.5" customHeight="1">
      <c r="A2937" s="66">
        <v>10.77918</v>
      </c>
      <c r="B2937" s="67">
        <v>106.6903</v>
      </c>
      <c r="C2937" s="67">
        <v>10.77641</v>
      </c>
      <c r="D2937" s="67">
        <v>106.6866</v>
      </c>
      <c r="E2937" s="68">
        <v>0.753</v>
      </c>
    </row>
    <row r="2938" ht="22.5" customHeight="1">
      <c r="A2938" s="61">
        <v>10.77918</v>
      </c>
      <c r="B2938" s="63">
        <v>106.6903</v>
      </c>
      <c r="C2938" s="63">
        <v>10.77674</v>
      </c>
      <c r="D2938" s="63">
        <v>106.6841</v>
      </c>
      <c r="E2938" s="64">
        <v>1.059</v>
      </c>
    </row>
    <row r="2939" ht="22.5" customHeight="1">
      <c r="A2939" s="66">
        <v>10.77918</v>
      </c>
      <c r="B2939" s="67">
        <v>106.6903</v>
      </c>
      <c r="C2939" s="67">
        <v>10.77727</v>
      </c>
      <c r="D2939" s="67">
        <v>106.6795</v>
      </c>
      <c r="E2939" s="68">
        <v>1.888</v>
      </c>
    </row>
    <row r="2940" ht="22.5" customHeight="1">
      <c r="A2940" s="61">
        <v>10.77918</v>
      </c>
      <c r="B2940" s="63">
        <v>106.6903</v>
      </c>
      <c r="C2940" s="63">
        <v>10.7785</v>
      </c>
      <c r="D2940" s="63">
        <v>106.6858</v>
      </c>
      <c r="E2940" s="64">
        <v>0.985</v>
      </c>
    </row>
    <row r="2941" ht="22.5" customHeight="1">
      <c r="A2941" s="66">
        <v>10.77918</v>
      </c>
      <c r="B2941" s="67">
        <v>106.6903</v>
      </c>
      <c r="C2941" s="67">
        <v>10.78485</v>
      </c>
      <c r="D2941" s="67">
        <v>106.6942</v>
      </c>
      <c r="E2941" s="68">
        <v>1.59</v>
      </c>
    </row>
    <row r="2942" ht="22.5" customHeight="1">
      <c r="A2942" s="61">
        <v>10.77918</v>
      </c>
      <c r="B2942" s="63">
        <v>106.6903</v>
      </c>
      <c r="C2942" s="63">
        <v>10.78607</v>
      </c>
      <c r="D2942" s="63">
        <v>106.6877</v>
      </c>
      <c r="E2942" s="64">
        <v>1.436</v>
      </c>
    </row>
    <row r="2943" ht="22.5" customHeight="1">
      <c r="A2943" s="66">
        <v>10.77971</v>
      </c>
      <c r="B2943" s="67">
        <v>106.7008</v>
      </c>
      <c r="C2943" s="67">
        <v>10.75998</v>
      </c>
      <c r="D2943" s="67">
        <v>106.6727</v>
      </c>
      <c r="E2943" s="68">
        <v>4.027</v>
      </c>
    </row>
    <row r="2944" ht="22.5" customHeight="1">
      <c r="A2944" s="61">
        <v>10.77971</v>
      </c>
      <c r="B2944" s="63">
        <v>106.7008</v>
      </c>
      <c r="C2944" s="63">
        <v>10.76978</v>
      </c>
      <c r="D2944" s="63">
        <v>106.6909</v>
      </c>
      <c r="E2944" s="64">
        <v>1.932</v>
      </c>
    </row>
    <row r="2945" ht="22.5" customHeight="1">
      <c r="A2945" s="66">
        <v>10.77971</v>
      </c>
      <c r="B2945" s="67">
        <v>106.7008</v>
      </c>
      <c r="C2945" s="67">
        <v>10.77722</v>
      </c>
      <c r="D2945" s="67">
        <v>106.6875</v>
      </c>
      <c r="E2945" s="68">
        <v>2.322</v>
      </c>
    </row>
    <row r="2946" ht="22.5" customHeight="1">
      <c r="A2946" s="61">
        <v>10.77971</v>
      </c>
      <c r="B2946" s="63">
        <v>106.7008</v>
      </c>
      <c r="C2946" s="63">
        <v>10.7785</v>
      </c>
      <c r="D2946" s="63">
        <v>106.6858</v>
      </c>
      <c r="E2946" s="64">
        <v>2.562</v>
      </c>
    </row>
    <row r="2947" ht="22.5" customHeight="1">
      <c r="A2947" s="66">
        <v>10.77971</v>
      </c>
      <c r="B2947" s="67">
        <v>106.7008</v>
      </c>
      <c r="C2947" s="67">
        <v>10.77971</v>
      </c>
      <c r="D2947" s="67">
        <v>106.7008</v>
      </c>
      <c r="E2947" s="68">
        <v>0.0</v>
      </c>
    </row>
    <row r="2948" ht="22.5" customHeight="1">
      <c r="A2948" s="61">
        <v>10.77971</v>
      </c>
      <c r="B2948" s="63">
        <v>106.7008</v>
      </c>
      <c r="C2948" s="63">
        <v>10.78115</v>
      </c>
      <c r="D2948" s="63">
        <v>106.7005</v>
      </c>
      <c r="E2948" s="64">
        <v>0.616</v>
      </c>
    </row>
    <row r="2949" ht="22.5" customHeight="1">
      <c r="A2949" s="66">
        <v>10.77971</v>
      </c>
      <c r="B2949" s="67">
        <v>106.7008</v>
      </c>
      <c r="C2949" s="67">
        <v>10.78348</v>
      </c>
      <c r="D2949" s="67">
        <v>106.7006</v>
      </c>
      <c r="E2949" s="68">
        <v>0.8</v>
      </c>
    </row>
    <row r="2950" ht="22.5" customHeight="1">
      <c r="A2950" s="61">
        <v>10.77971</v>
      </c>
      <c r="B2950" s="63">
        <v>106.7008</v>
      </c>
      <c r="C2950" s="63">
        <v>10.78485</v>
      </c>
      <c r="D2950" s="63">
        <v>106.6942</v>
      </c>
      <c r="E2950" s="64">
        <v>1.05</v>
      </c>
    </row>
    <row r="2951" ht="22.5" customHeight="1">
      <c r="A2951" s="66">
        <v>10.77995</v>
      </c>
      <c r="B2951" s="67">
        <v>106.6498</v>
      </c>
      <c r="C2951" s="67">
        <v>10.76707</v>
      </c>
      <c r="D2951" s="67">
        <v>106.6493</v>
      </c>
      <c r="E2951" s="68">
        <v>1.8</v>
      </c>
    </row>
    <row r="2952" ht="22.5" customHeight="1">
      <c r="A2952" s="61">
        <v>10.77995</v>
      </c>
      <c r="B2952" s="63">
        <v>106.6498</v>
      </c>
      <c r="C2952" s="63">
        <v>10.77231</v>
      </c>
      <c r="D2952" s="63">
        <v>106.6319</v>
      </c>
      <c r="E2952" s="64">
        <v>3.2</v>
      </c>
    </row>
    <row r="2953" ht="22.5" customHeight="1">
      <c r="A2953" s="66">
        <v>10.77995</v>
      </c>
      <c r="B2953" s="67">
        <v>106.6498</v>
      </c>
      <c r="C2953" s="67">
        <v>10.77509</v>
      </c>
      <c r="D2953" s="67">
        <v>106.6727</v>
      </c>
      <c r="E2953" s="68">
        <v>3.963</v>
      </c>
    </row>
    <row r="2954" ht="22.5" customHeight="1">
      <c r="A2954" s="61">
        <v>10.77995</v>
      </c>
      <c r="B2954" s="63">
        <v>106.6498</v>
      </c>
      <c r="C2954" s="63">
        <v>10.77995</v>
      </c>
      <c r="D2954" s="63">
        <v>106.6498</v>
      </c>
      <c r="E2954" s="64">
        <v>0.0</v>
      </c>
    </row>
    <row r="2955" ht="22.5" customHeight="1">
      <c r="A2955" s="66">
        <v>10.77995</v>
      </c>
      <c r="B2955" s="67">
        <v>106.6498</v>
      </c>
      <c r="C2955" s="67">
        <v>10.78769</v>
      </c>
      <c r="D2955" s="67">
        <v>106.6634</v>
      </c>
      <c r="E2955" s="68">
        <v>2.7</v>
      </c>
    </row>
    <row r="2956" ht="22.5" customHeight="1">
      <c r="A2956" s="61">
        <v>10.77995</v>
      </c>
      <c r="B2956" s="63">
        <v>106.6498</v>
      </c>
      <c r="C2956" s="63">
        <v>10.7901</v>
      </c>
      <c r="D2956" s="63">
        <v>106.6583</v>
      </c>
      <c r="E2956" s="64">
        <v>2.1</v>
      </c>
    </row>
    <row r="2957" ht="22.5" customHeight="1">
      <c r="A2957" s="66">
        <v>10.77995</v>
      </c>
      <c r="B2957" s="67">
        <v>106.6498</v>
      </c>
      <c r="C2957" s="67">
        <v>10.79193</v>
      </c>
      <c r="D2957" s="67">
        <v>106.6555</v>
      </c>
      <c r="E2957" s="68">
        <v>1.817</v>
      </c>
    </row>
    <row r="2958" ht="22.5" customHeight="1">
      <c r="A2958" s="61">
        <v>10.77995</v>
      </c>
      <c r="B2958" s="63">
        <v>106.6498</v>
      </c>
      <c r="C2958" s="63">
        <v>10.79588</v>
      </c>
      <c r="D2958" s="63">
        <v>106.6411</v>
      </c>
      <c r="E2958" s="64">
        <v>2.7</v>
      </c>
    </row>
    <row r="2959" ht="22.5" customHeight="1">
      <c r="A2959" s="66">
        <v>10.77995</v>
      </c>
      <c r="B2959" s="67">
        <v>106.6498</v>
      </c>
      <c r="C2959" s="67">
        <v>10.79841</v>
      </c>
      <c r="D2959" s="67">
        <v>106.6587</v>
      </c>
      <c r="E2959" s="68">
        <v>2.9</v>
      </c>
    </row>
    <row r="2960" ht="22.5" customHeight="1">
      <c r="A2960" s="61">
        <v>10.77995</v>
      </c>
      <c r="B2960" s="63">
        <v>106.6498</v>
      </c>
      <c r="C2960" s="63">
        <v>10.80141</v>
      </c>
      <c r="D2960" s="63">
        <v>106.6495</v>
      </c>
      <c r="E2960" s="64">
        <v>3.2</v>
      </c>
    </row>
    <row r="2961" ht="22.5" customHeight="1">
      <c r="A2961" s="66">
        <v>10.77995</v>
      </c>
      <c r="B2961" s="67">
        <v>106.6498</v>
      </c>
      <c r="C2961" s="67">
        <v>10.81094</v>
      </c>
      <c r="D2961" s="67">
        <v>106.611</v>
      </c>
      <c r="E2961" s="68">
        <v>6.7</v>
      </c>
    </row>
    <row r="2962" ht="22.5" customHeight="1">
      <c r="A2962" s="61">
        <v>10.78002</v>
      </c>
      <c r="B2962" s="63">
        <v>106.6498</v>
      </c>
      <c r="C2962" s="63">
        <v>10.77995</v>
      </c>
      <c r="D2962" s="63">
        <v>106.6498</v>
      </c>
      <c r="E2962" s="64">
        <v>0.0</v>
      </c>
    </row>
    <row r="2963" ht="22.5" customHeight="1">
      <c r="A2963" s="66">
        <v>10.78007</v>
      </c>
      <c r="B2963" s="67">
        <v>106.6637</v>
      </c>
      <c r="C2963" s="67">
        <v>10.76195</v>
      </c>
      <c r="D2963" s="67">
        <v>106.6569</v>
      </c>
      <c r="E2963" s="68">
        <v>2.706</v>
      </c>
    </row>
    <row r="2964" ht="22.5" customHeight="1">
      <c r="A2964" s="61">
        <v>10.78007</v>
      </c>
      <c r="B2964" s="63">
        <v>106.6637</v>
      </c>
      <c r="C2964" s="63">
        <v>10.77509</v>
      </c>
      <c r="D2964" s="63">
        <v>106.6727</v>
      </c>
      <c r="E2964" s="64">
        <v>2.211</v>
      </c>
    </row>
    <row r="2965" ht="22.5" customHeight="1">
      <c r="A2965" s="66">
        <v>10.78009</v>
      </c>
      <c r="B2965" s="67">
        <v>106.6638</v>
      </c>
      <c r="C2965" s="67">
        <v>10.76668</v>
      </c>
      <c r="D2965" s="67">
        <v>106.6879</v>
      </c>
      <c r="E2965" s="68">
        <v>4.214</v>
      </c>
    </row>
    <row r="2966" ht="22.5" customHeight="1">
      <c r="A2966" s="61">
        <v>10.78009</v>
      </c>
      <c r="B2966" s="63">
        <v>106.6638</v>
      </c>
      <c r="C2966" s="63">
        <v>10.76743</v>
      </c>
      <c r="D2966" s="63">
        <v>106.6809</v>
      </c>
      <c r="E2966" s="64">
        <v>3.124</v>
      </c>
    </row>
    <row r="2967" ht="22.5" customHeight="1">
      <c r="A2967" s="66">
        <v>10.78009</v>
      </c>
      <c r="B2967" s="67">
        <v>106.6638</v>
      </c>
      <c r="C2967" s="67">
        <v>10.7692</v>
      </c>
      <c r="D2967" s="67">
        <v>106.6516</v>
      </c>
      <c r="E2967" s="68">
        <v>2.345</v>
      </c>
    </row>
    <row r="2968" ht="22.5" customHeight="1">
      <c r="A2968" s="61">
        <v>10.78009</v>
      </c>
      <c r="B2968" s="63">
        <v>106.6638</v>
      </c>
      <c r="C2968" s="63">
        <v>10.77451</v>
      </c>
      <c r="D2968" s="63">
        <v>106.6791</v>
      </c>
      <c r="E2968" s="64">
        <v>3.306</v>
      </c>
    </row>
    <row r="2969" ht="22.5" customHeight="1">
      <c r="A2969" s="66">
        <v>10.78009</v>
      </c>
      <c r="B2969" s="67">
        <v>106.6638</v>
      </c>
      <c r="C2969" s="67">
        <v>10.77509</v>
      </c>
      <c r="D2969" s="67">
        <v>106.6727</v>
      </c>
      <c r="E2969" s="68">
        <v>2.101</v>
      </c>
    </row>
    <row r="2970" ht="22.5" customHeight="1">
      <c r="A2970" s="61">
        <v>10.78025</v>
      </c>
      <c r="B2970" s="63">
        <v>106.6684</v>
      </c>
      <c r="C2970" s="63">
        <v>10.75947</v>
      </c>
      <c r="D2970" s="63">
        <v>106.6805</v>
      </c>
      <c r="E2970" s="64">
        <v>3.67</v>
      </c>
    </row>
    <row r="2971" ht="22.5" customHeight="1">
      <c r="A2971" s="66">
        <v>10.78025</v>
      </c>
      <c r="B2971" s="67">
        <v>106.6684</v>
      </c>
      <c r="C2971" s="67">
        <v>10.76913</v>
      </c>
      <c r="D2971" s="67">
        <v>106.6615</v>
      </c>
      <c r="E2971" s="68">
        <v>1.785</v>
      </c>
    </row>
    <row r="2972" ht="22.5" customHeight="1">
      <c r="A2972" s="61">
        <v>10.78025</v>
      </c>
      <c r="B2972" s="63">
        <v>106.6684</v>
      </c>
      <c r="C2972" s="63">
        <v>10.7733</v>
      </c>
      <c r="D2972" s="63">
        <v>106.6687</v>
      </c>
      <c r="E2972" s="64">
        <v>1.023</v>
      </c>
    </row>
    <row r="2973" ht="22.5" customHeight="1">
      <c r="A2973" s="66">
        <v>10.78025</v>
      </c>
      <c r="B2973" s="67">
        <v>106.6684</v>
      </c>
      <c r="C2973" s="67">
        <v>10.77509</v>
      </c>
      <c r="D2973" s="67">
        <v>106.6727</v>
      </c>
      <c r="E2973" s="68">
        <v>1.956</v>
      </c>
    </row>
    <row r="2974" ht="22.5" customHeight="1">
      <c r="A2974" s="61">
        <v>10.78025</v>
      </c>
      <c r="B2974" s="63">
        <v>106.6684</v>
      </c>
      <c r="C2974" s="63">
        <v>10.77525</v>
      </c>
      <c r="D2974" s="63">
        <v>106.6592</v>
      </c>
      <c r="E2974" s="64">
        <v>1.387</v>
      </c>
    </row>
    <row r="2975" ht="22.5" customHeight="1">
      <c r="A2975" s="66">
        <v>10.78025</v>
      </c>
      <c r="B2975" s="67">
        <v>106.6684</v>
      </c>
      <c r="C2975" s="67">
        <v>10.77674</v>
      </c>
      <c r="D2975" s="67">
        <v>106.6841</v>
      </c>
      <c r="E2975" s="68">
        <v>2.494</v>
      </c>
    </row>
    <row r="2976" ht="22.5" customHeight="1">
      <c r="A2976" s="61">
        <v>10.78025</v>
      </c>
      <c r="B2976" s="63">
        <v>106.6684</v>
      </c>
      <c r="C2976" s="63">
        <v>10.77773</v>
      </c>
      <c r="D2976" s="63">
        <v>106.6655</v>
      </c>
      <c r="E2976" s="64">
        <v>0.432</v>
      </c>
    </row>
    <row r="2977" ht="22.5" customHeight="1">
      <c r="A2977" s="66">
        <v>10.78025</v>
      </c>
      <c r="B2977" s="67">
        <v>106.6684</v>
      </c>
      <c r="C2977" s="67">
        <v>10.78213</v>
      </c>
      <c r="D2977" s="67">
        <v>106.6678</v>
      </c>
      <c r="E2977" s="68">
        <v>0.359</v>
      </c>
    </row>
    <row r="2978" ht="22.5" customHeight="1">
      <c r="A2978" s="61">
        <v>10.78027</v>
      </c>
      <c r="B2978" s="63">
        <v>106.6605</v>
      </c>
      <c r="C2978" s="63">
        <v>10.7692</v>
      </c>
      <c r="D2978" s="63">
        <v>106.6516</v>
      </c>
      <c r="E2978" s="64">
        <v>2.987</v>
      </c>
    </row>
    <row r="2979" ht="22.5" customHeight="1">
      <c r="A2979" s="66">
        <v>10.78034</v>
      </c>
      <c r="B2979" s="67">
        <v>106.6618</v>
      </c>
      <c r="C2979" s="67">
        <v>10.77509</v>
      </c>
      <c r="D2979" s="67">
        <v>106.6727</v>
      </c>
      <c r="E2979" s="68">
        <v>2.148</v>
      </c>
    </row>
    <row r="2980" ht="22.5" customHeight="1">
      <c r="A2980" s="61">
        <v>10.78034</v>
      </c>
      <c r="B2980" s="63">
        <v>106.6618</v>
      </c>
      <c r="C2980" s="63">
        <v>10.79193</v>
      </c>
      <c r="D2980" s="63">
        <v>106.6555</v>
      </c>
      <c r="E2980" s="64">
        <v>2.312</v>
      </c>
    </row>
    <row r="2981" ht="22.5" customHeight="1">
      <c r="A2981" s="66">
        <v>10.7805</v>
      </c>
      <c r="B2981" s="67">
        <v>106.6611</v>
      </c>
      <c r="C2981" s="67">
        <v>10.75998</v>
      </c>
      <c r="D2981" s="67">
        <v>106.6727</v>
      </c>
      <c r="E2981" s="68">
        <v>3.13</v>
      </c>
    </row>
    <row r="2982" ht="22.5" customHeight="1">
      <c r="A2982" s="61">
        <v>10.7805</v>
      </c>
      <c r="B2982" s="63">
        <v>106.6611</v>
      </c>
      <c r="C2982" s="63">
        <v>10.76913</v>
      </c>
      <c r="D2982" s="63">
        <v>106.6615</v>
      </c>
      <c r="E2982" s="64">
        <v>1.834</v>
      </c>
    </row>
    <row r="2983" ht="22.5" customHeight="1">
      <c r="A2983" s="66">
        <v>10.7805</v>
      </c>
      <c r="B2983" s="67">
        <v>106.6611</v>
      </c>
      <c r="C2983" s="67">
        <v>10.7733</v>
      </c>
      <c r="D2983" s="67">
        <v>106.6687</v>
      </c>
      <c r="E2983" s="68">
        <v>1.452</v>
      </c>
    </row>
    <row r="2984" ht="22.5" customHeight="1">
      <c r="A2984" s="61">
        <v>10.7805</v>
      </c>
      <c r="B2984" s="63">
        <v>106.6611</v>
      </c>
      <c r="C2984" s="63">
        <v>10.77509</v>
      </c>
      <c r="D2984" s="63">
        <v>106.6727</v>
      </c>
      <c r="E2984" s="64">
        <v>2.283</v>
      </c>
    </row>
    <row r="2985" ht="22.5" customHeight="1">
      <c r="A2985" s="66">
        <v>10.7805</v>
      </c>
      <c r="B2985" s="67">
        <v>106.6611</v>
      </c>
      <c r="C2985" s="67">
        <v>10.77525</v>
      </c>
      <c r="D2985" s="67">
        <v>106.6592</v>
      </c>
      <c r="E2985" s="68">
        <v>1.413</v>
      </c>
    </row>
    <row r="2986" ht="22.5" customHeight="1">
      <c r="A2986" s="61">
        <v>10.7805</v>
      </c>
      <c r="B2986" s="63">
        <v>106.6611</v>
      </c>
      <c r="C2986" s="63">
        <v>10.77641</v>
      </c>
      <c r="D2986" s="63">
        <v>106.6866</v>
      </c>
      <c r="E2986" s="64">
        <v>3.661</v>
      </c>
    </row>
    <row r="2987" ht="22.5" customHeight="1">
      <c r="A2987" s="66">
        <v>10.7805</v>
      </c>
      <c r="B2987" s="67">
        <v>106.6611</v>
      </c>
      <c r="C2987" s="67">
        <v>10.77727</v>
      </c>
      <c r="D2987" s="67">
        <v>106.6795</v>
      </c>
      <c r="E2987" s="68">
        <v>3.168</v>
      </c>
    </row>
    <row r="2988" ht="22.5" customHeight="1">
      <c r="A2988" s="61">
        <v>10.7805</v>
      </c>
      <c r="B2988" s="63">
        <v>106.6611</v>
      </c>
      <c r="C2988" s="63">
        <v>10.78009</v>
      </c>
      <c r="D2988" s="63">
        <v>106.6638</v>
      </c>
      <c r="E2988" s="64">
        <v>0.389</v>
      </c>
    </row>
    <row r="2989" ht="22.5" customHeight="1">
      <c r="A2989" s="66">
        <v>10.7805</v>
      </c>
      <c r="B2989" s="67">
        <v>106.6611</v>
      </c>
      <c r="C2989" s="67">
        <v>10.78025</v>
      </c>
      <c r="D2989" s="67">
        <v>106.6684</v>
      </c>
      <c r="E2989" s="68">
        <v>1.094</v>
      </c>
    </row>
    <row r="2990" ht="22.5" customHeight="1">
      <c r="A2990" s="61">
        <v>10.7805</v>
      </c>
      <c r="B2990" s="63">
        <v>106.6611</v>
      </c>
      <c r="C2990" s="63">
        <v>10.78213</v>
      </c>
      <c r="D2990" s="63">
        <v>106.6678</v>
      </c>
      <c r="E2990" s="64">
        <v>1.037</v>
      </c>
    </row>
    <row r="2991" ht="22.5" customHeight="1">
      <c r="A2991" s="66">
        <v>10.78061</v>
      </c>
      <c r="B2991" s="67">
        <v>106.7045</v>
      </c>
      <c r="C2991" s="67">
        <v>10.77971</v>
      </c>
      <c r="D2991" s="67">
        <v>106.7008</v>
      </c>
      <c r="E2991" s="68">
        <v>0.694</v>
      </c>
    </row>
    <row r="2992" ht="22.5" customHeight="1">
      <c r="A2992" s="61">
        <v>10.78084</v>
      </c>
      <c r="B2992" s="63">
        <v>106.7023</v>
      </c>
      <c r="C2992" s="63">
        <v>10.75317</v>
      </c>
      <c r="D2992" s="63">
        <v>106.6778</v>
      </c>
      <c r="E2992" s="64">
        <v>5.635</v>
      </c>
    </row>
    <row r="2993" ht="22.5" customHeight="1">
      <c r="A2993" s="66">
        <v>10.78099</v>
      </c>
      <c r="B2993" s="67">
        <v>106.6261</v>
      </c>
      <c r="C2993" s="67">
        <v>10.79435</v>
      </c>
      <c r="D2993" s="67">
        <v>106.6382</v>
      </c>
      <c r="E2993" s="68">
        <v>2.7</v>
      </c>
    </row>
    <row r="2994" ht="22.5" customHeight="1">
      <c r="A2994" s="61">
        <v>10.78115</v>
      </c>
      <c r="B2994" s="63">
        <v>106.7005</v>
      </c>
      <c r="C2994" s="63">
        <v>10.755</v>
      </c>
      <c r="D2994" s="63">
        <v>106.6705</v>
      </c>
      <c r="E2994" s="64">
        <v>4.83</v>
      </c>
    </row>
    <row r="2995" ht="22.5" customHeight="1">
      <c r="A2995" s="66">
        <v>10.78115</v>
      </c>
      <c r="B2995" s="67">
        <v>106.7005</v>
      </c>
      <c r="C2995" s="67">
        <v>10.76668</v>
      </c>
      <c r="D2995" s="67">
        <v>106.6879</v>
      </c>
      <c r="E2995" s="68">
        <v>2.576</v>
      </c>
    </row>
    <row r="2996" ht="22.5" customHeight="1">
      <c r="A2996" s="61">
        <v>10.78115</v>
      </c>
      <c r="B2996" s="63">
        <v>106.7005</v>
      </c>
      <c r="C2996" s="63">
        <v>10.76732</v>
      </c>
      <c r="D2996" s="63">
        <v>106.6966</v>
      </c>
      <c r="E2996" s="64">
        <v>2.054</v>
      </c>
    </row>
    <row r="2997" ht="22.5" customHeight="1">
      <c r="A2997" s="66">
        <v>10.78115</v>
      </c>
      <c r="B2997" s="67">
        <v>106.7005</v>
      </c>
      <c r="C2997" s="67">
        <v>10.76987</v>
      </c>
      <c r="D2997" s="67">
        <v>106.6856</v>
      </c>
      <c r="E2997" s="68">
        <v>2.922</v>
      </c>
    </row>
    <row r="2998" ht="22.5" customHeight="1">
      <c r="A2998" s="61">
        <v>10.78115</v>
      </c>
      <c r="B2998" s="63">
        <v>106.7005</v>
      </c>
      <c r="C2998" s="63">
        <v>10.77479</v>
      </c>
      <c r="D2998" s="63">
        <v>106.6885</v>
      </c>
      <c r="E2998" s="64">
        <v>1.764</v>
      </c>
    </row>
    <row r="2999" ht="22.5" customHeight="1">
      <c r="A2999" s="66">
        <v>10.78115</v>
      </c>
      <c r="B2999" s="67">
        <v>106.7005</v>
      </c>
      <c r="C2999" s="67">
        <v>10.77509</v>
      </c>
      <c r="D2999" s="67">
        <v>106.6727</v>
      </c>
      <c r="E2999" s="68">
        <v>4.132</v>
      </c>
    </row>
    <row r="3000" ht="22.5" customHeight="1">
      <c r="A3000" s="61">
        <v>10.78115</v>
      </c>
      <c r="B3000" s="63">
        <v>106.7005</v>
      </c>
      <c r="C3000" s="63">
        <v>10.77674</v>
      </c>
      <c r="D3000" s="63">
        <v>106.6841</v>
      </c>
      <c r="E3000" s="64">
        <v>2.537</v>
      </c>
    </row>
    <row r="3001" ht="22.5" customHeight="1">
      <c r="A3001" s="66">
        <v>10.78115</v>
      </c>
      <c r="B3001" s="67">
        <v>106.7005</v>
      </c>
      <c r="C3001" s="67">
        <v>10.7785</v>
      </c>
      <c r="D3001" s="67">
        <v>106.6858</v>
      </c>
      <c r="E3001" s="68">
        <v>2.628</v>
      </c>
    </row>
    <row r="3002" ht="22.5" customHeight="1">
      <c r="A3002" s="61">
        <v>10.78115</v>
      </c>
      <c r="B3002" s="63">
        <v>106.7005</v>
      </c>
      <c r="C3002" s="63">
        <v>10.77918</v>
      </c>
      <c r="D3002" s="63">
        <v>106.6903</v>
      </c>
      <c r="E3002" s="64">
        <v>1.543</v>
      </c>
    </row>
    <row r="3003" ht="22.5" customHeight="1">
      <c r="A3003" s="66">
        <v>10.78115</v>
      </c>
      <c r="B3003" s="67">
        <v>106.7005</v>
      </c>
      <c r="C3003" s="67">
        <v>10.77971</v>
      </c>
      <c r="D3003" s="67">
        <v>106.7008</v>
      </c>
      <c r="E3003" s="68">
        <v>0.213</v>
      </c>
    </row>
    <row r="3004" ht="22.5" customHeight="1">
      <c r="A3004" s="61">
        <v>10.78115</v>
      </c>
      <c r="B3004" s="63">
        <v>106.7005</v>
      </c>
      <c r="C3004" s="63">
        <v>10.78115</v>
      </c>
      <c r="D3004" s="63">
        <v>106.7005</v>
      </c>
      <c r="E3004" s="64">
        <v>0.0</v>
      </c>
    </row>
    <row r="3005" ht="22.5" customHeight="1">
      <c r="A3005" s="66">
        <v>10.78115</v>
      </c>
      <c r="B3005" s="67">
        <v>106.7005</v>
      </c>
      <c r="C3005" s="67">
        <v>10.78485</v>
      </c>
      <c r="D3005" s="67">
        <v>106.6942</v>
      </c>
      <c r="E3005" s="68">
        <v>0.805</v>
      </c>
    </row>
    <row r="3006" ht="22.5" customHeight="1">
      <c r="A3006" s="61">
        <v>10.78115</v>
      </c>
      <c r="B3006" s="63">
        <v>106.7005</v>
      </c>
      <c r="C3006" s="63">
        <v>10.78607</v>
      </c>
      <c r="D3006" s="63">
        <v>106.6877</v>
      </c>
      <c r="E3006" s="64">
        <v>1.762</v>
      </c>
    </row>
    <row r="3007" ht="22.5" customHeight="1">
      <c r="A3007" s="66">
        <v>10.78115</v>
      </c>
      <c r="B3007" s="67">
        <v>106.7005</v>
      </c>
      <c r="C3007" s="67">
        <v>10.78624</v>
      </c>
      <c r="D3007" s="67">
        <v>106.7313</v>
      </c>
      <c r="E3007" s="68">
        <v>5.001</v>
      </c>
    </row>
    <row r="3008" ht="22.5" customHeight="1">
      <c r="A3008" s="61">
        <v>10.78115</v>
      </c>
      <c r="B3008" s="63">
        <v>106.7005</v>
      </c>
      <c r="C3008" s="63">
        <v>10.79036</v>
      </c>
      <c r="D3008" s="63">
        <v>106.6973</v>
      </c>
      <c r="E3008" s="64">
        <v>1.473</v>
      </c>
    </row>
    <row r="3009" ht="22.5" customHeight="1">
      <c r="A3009" s="66">
        <v>10.78115</v>
      </c>
      <c r="B3009" s="67">
        <v>106.7005</v>
      </c>
      <c r="C3009" s="67">
        <v>10.79358</v>
      </c>
      <c r="D3009" s="67">
        <v>106.7179</v>
      </c>
      <c r="E3009" s="68">
        <v>4.353</v>
      </c>
    </row>
    <row r="3010" ht="22.5" customHeight="1">
      <c r="A3010" s="61">
        <v>10.78144</v>
      </c>
      <c r="B3010" s="63">
        <v>106.6985</v>
      </c>
      <c r="C3010" s="63">
        <v>10.77509</v>
      </c>
      <c r="D3010" s="63">
        <v>106.6727</v>
      </c>
      <c r="E3010" s="64">
        <v>3.791</v>
      </c>
    </row>
    <row r="3011" ht="22.5" customHeight="1">
      <c r="A3011" s="66">
        <v>10.78144</v>
      </c>
      <c r="B3011" s="67">
        <v>106.6985</v>
      </c>
      <c r="C3011" s="67">
        <v>10.78115</v>
      </c>
      <c r="D3011" s="67">
        <v>106.7005</v>
      </c>
      <c r="E3011" s="68">
        <v>0.355</v>
      </c>
    </row>
    <row r="3012" ht="22.5" customHeight="1">
      <c r="A3012" s="61">
        <v>10.78175</v>
      </c>
      <c r="B3012" s="63">
        <v>106.6306</v>
      </c>
      <c r="C3012" s="63">
        <v>10.76925</v>
      </c>
      <c r="D3012" s="63">
        <v>106.626</v>
      </c>
      <c r="E3012" s="64">
        <v>2.244</v>
      </c>
    </row>
    <row r="3013" ht="22.5" customHeight="1">
      <c r="A3013" s="66">
        <v>10.78175</v>
      </c>
      <c r="B3013" s="67">
        <v>106.6306</v>
      </c>
      <c r="C3013" s="67">
        <v>10.77231</v>
      </c>
      <c r="D3013" s="67">
        <v>106.6319</v>
      </c>
      <c r="E3013" s="68">
        <v>1.559</v>
      </c>
    </row>
    <row r="3014" ht="22.5" customHeight="1">
      <c r="A3014" s="61">
        <v>10.78175</v>
      </c>
      <c r="B3014" s="63">
        <v>106.6306</v>
      </c>
      <c r="C3014" s="63">
        <v>10.7724</v>
      </c>
      <c r="D3014" s="63">
        <v>106.6248</v>
      </c>
      <c r="E3014" s="64">
        <v>2.158</v>
      </c>
    </row>
    <row r="3015" ht="22.5" customHeight="1">
      <c r="A3015" s="66">
        <v>10.78175</v>
      </c>
      <c r="B3015" s="67">
        <v>106.6306</v>
      </c>
      <c r="C3015" s="67">
        <v>10.77509</v>
      </c>
      <c r="D3015" s="67">
        <v>106.6727</v>
      </c>
      <c r="E3015" s="68">
        <v>7.9</v>
      </c>
    </row>
    <row r="3016" ht="22.5" customHeight="1">
      <c r="A3016" s="61">
        <v>10.78175</v>
      </c>
      <c r="B3016" s="63">
        <v>106.6306</v>
      </c>
      <c r="C3016" s="63">
        <v>10.77995</v>
      </c>
      <c r="D3016" s="63">
        <v>106.6498</v>
      </c>
      <c r="E3016" s="64">
        <v>2.668</v>
      </c>
    </row>
    <row r="3017" ht="22.5" customHeight="1">
      <c r="A3017" s="66">
        <v>10.78175</v>
      </c>
      <c r="B3017" s="67">
        <v>106.6306</v>
      </c>
      <c r="C3017" s="67">
        <v>10.78175</v>
      </c>
      <c r="D3017" s="67">
        <v>106.6306</v>
      </c>
      <c r="E3017" s="68">
        <v>1.914</v>
      </c>
    </row>
    <row r="3018" ht="22.5" customHeight="1">
      <c r="A3018" s="61">
        <v>10.78175</v>
      </c>
      <c r="B3018" s="63">
        <v>106.6306</v>
      </c>
      <c r="C3018" s="63">
        <v>10.78264</v>
      </c>
      <c r="D3018" s="63">
        <v>106.6267</v>
      </c>
      <c r="E3018" s="64">
        <v>0.43</v>
      </c>
    </row>
    <row r="3019" ht="22.5" customHeight="1">
      <c r="A3019" s="66">
        <v>10.78175</v>
      </c>
      <c r="B3019" s="67">
        <v>106.6306</v>
      </c>
      <c r="C3019" s="67">
        <v>10.78954</v>
      </c>
      <c r="D3019" s="67">
        <v>106.6431</v>
      </c>
      <c r="E3019" s="68">
        <v>1.986</v>
      </c>
    </row>
    <row r="3020" ht="22.5" customHeight="1">
      <c r="A3020" s="61">
        <v>10.78175</v>
      </c>
      <c r="B3020" s="63">
        <v>106.6306</v>
      </c>
      <c r="C3020" s="63">
        <v>10.79193</v>
      </c>
      <c r="D3020" s="63">
        <v>106.6555</v>
      </c>
      <c r="E3020" s="64">
        <v>4.1</v>
      </c>
    </row>
    <row r="3021" ht="22.5" customHeight="1">
      <c r="A3021" s="66">
        <v>10.78175</v>
      </c>
      <c r="B3021" s="67">
        <v>106.6306</v>
      </c>
      <c r="C3021" s="67">
        <v>10.79435</v>
      </c>
      <c r="D3021" s="67">
        <v>106.6382</v>
      </c>
      <c r="E3021" s="68">
        <v>2.7</v>
      </c>
    </row>
    <row r="3022" ht="22.5" customHeight="1">
      <c r="A3022" s="61">
        <v>10.78175</v>
      </c>
      <c r="B3022" s="63">
        <v>106.6306</v>
      </c>
      <c r="C3022" s="63">
        <v>10.79525</v>
      </c>
      <c r="D3022" s="63">
        <v>106.6294</v>
      </c>
      <c r="E3022" s="64">
        <v>2.939</v>
      </c>
    </row>
    <row r="3023" ht="22.5" customHeight="1">
      <c r="A3023" s="66">
        <v>10.78175</v>
      </c>
      <c r="B3023" s="67">
        <v>106.6306</v>
      </c>
      <c r="C3023" s="67">
        <v>10.79588</v>
      </c>
      <c r="D3023" s="67">
        <v>106.6411</v>
      </c>
      <c r="E3023" s="68">
        <v>2.607</v>
      </c>
    </row>
    <row r="3024" ht="22.5" customHeight="1">
      <c r="A3024" s="61">
        <v>10.78175</v>
      </c>
      <c r="B3024" s="63">
        <v>106.6306</v>
      </c>
      <c r="C3024" s="63">
        <v>10.7972</v>
      </c>
      <c r="D3024" s="63">
        <v>106.6307</v>
      </c>
      <c r="E3024" s="64">
        <v>3.177</v>
      </c>
    </row>
    <row r="3025" ht="22.5" customHeight="1">
      <c r="A3025" s="66">
        <v>10.78175</v>
      </c>
      <c r="B3025" s="67">
        <v>106.6306</v>
      </c>
      <c r="C3025" s="67">
        <v>10.79991</v>
      </c>
      <c r="D3025" s="67">
        <v>106.6207</v>
      </c>
      <c r="E3025" s="68">
        <v>3.304</v>
      </c>
    </row>
    <row r="3026" ht="22.5" customHeight="1">
      <c r="A3026" s="61">
        <v>10.78175</v>
      </c>
      <c r="B3026" s="63">
        <v>106.6306</v>
      </c>
      <c r="C3026" s="63">
        <v>10.80474</v>
      </c>
      <c r="D3026" s="63">
        <v>106.642</v>
      </c>
      <c r="E3026" s="64">
        <v>5.023</v>
      </c>
    </row>
    <row r="3027" ht="22.5" customHeight="1">
      <c r="A3027" s="66">
        <v>10.78175</v>
      </c>
      <c r="B3027" s="67">
        <v>106.6306</v>
      </c>
      <c r="C3027" s="67">
        <v>10.81094</v>
      </c>
      <c r="D3027" s="67">
        <v>106.611</v>
      </c>
      <c r="E3027" s="68">
        <v>6.425</v>
      </c>
    </row>
    <row r="3028" ht="22.5" customHeight="1">
      <c r="A3028" s="61">
        <v>10.7818</v>
      </c>
      <c r="B3028" s="63">
        <v>106.7611</v>
      </c>
      <c r="C3028" s="63">
        <v>10.75047</v>
      </c>
      <c r="D3028" s="63">
        <v>106.7916</v>
      </c>
      <c r="E3028" s="64">
        <v>5.006</v>
      </c>
    </row>
    <row r="3029" ht="22.5" customHeight="1">
      <c r="A3029" s="66">
        <v>10.7818</v>
      </c>
      <c r="B3029" s="67">
        <v>106.7611</v>
      </c>
      <c r="C3029" s="67">
        <v>10.76656</v>
      </c>
      <c r="D3029" s="67">
        <v>106.726</v>
      </c>
      <c r="E3029" s="68">
        <v>6.378</v>
      </c>
    </row>
    <row r="3030" ht="22.5" customHeight="1">
      <c r="A3030" s="61">
        <v>10.7818</v>
      </c>
      <c r="B3030" s="63">
        <v>106.7611</v>
      </c>
      <c r="C3030" s="63">
        <v>10.76666</v>
      </c>
      <c r="D3030" s="63">
        <v>106.7262</v>
      </c>
      <c r="E3030" s="64">
        <v>6.278</v>
      </c>
    </row>
    <row r="3031" ht="22.5" customHeight="1">
      <c r="A3031" s="66">
        <v>10.7818</v>
      </c>
      <c r="B3031" s="67">
        <v>106.7611</v>
      </c>
      <c r="C3031" s="67">
        <v>10.77509</v>
      </c>
      <c r="D3031" s="67">
        <v>106.6727</v>
      </c>
      <c r="E3031" s="68">
        <v>12.146</v>
      </c>
    </row>
    <row r="3032" ht="22.5" customHeight="1">
      <c r="A3032" s="61">
        <v>10.7818</v>
      </c>
      <c r="B3032" s="63">
        <v>106.7611</v>
      </c>
      <c r="C3032" s="63">
        <v>10.77662</v>
      </c>
      <c r="D3032" s="63">
        <v>106.7654</v>
      </c>
      <c r="E3032" s="64">
        <v>0.729</v>
      </c>
    </row>
    <row r="3033" ht="22.5" customHeight="1">
      <c r="A3033" s="66">
        <v>10.7818</v>
      </c>
      <c r="B3033" s="67">
        <v>106.7611</v>
      </c>
      <c r="C3033" s="67">
        <v>10.77744</v>
      </c>
      <c r="D3033" s="67">
        <v>106.7646</v>
      </c>
      <c r="E3033" s="68">
        <v>0.628</v>
      </c>
    </row>
    <row r="3034" ht="22.5" customHeight="1">
      <c r="A3034" s="61">
        <v>10.7818</v>
      </c>
      <c r="B3034" s="63">
        <v>106.7611</v>
      </c>
      <c r="C3034" s="63">
        <v>10.7818</v>
      </c>
      <c r="D3034" s="63">
        <v>106.7611</v>
      </c>
      <c r="E3034" s="64">
        <v>0.001</v>
      </c>
    </row>
    <row r="3035" ht="22.5" customHeight="1">
      <c r="A3035" s="66">
        <v>10.7818</v>
      </c>
      <c r="B3035" s="67">
        <v>106.7611</v>
      </c>
      <c r="C3035" s="67">
        <v>10.78624</v>
      </c>
      <c r="D3035" s="67">
        <v>106.7313</v>
      </c>
      <c r="E3035" s="68">
        <v>4.918</v>
      </c>
    </row>
    <row r="3036" ht="22.5" customHeight="1">
      <c r="A3036" s="61">
        <v>10.7818</v>
      </c>
      <c r="B3036" s="63">
        <v>106.7611</v>
      </c>
      <c r="C3036" s="63">
        <v>10.78759</v>
      </c>
      <c r="D3036" s="63">
        <v>106.7337</v>
      </c>
      <c r="E3036" s="64">
        <v>4.47</v>
      </c>
    </row>
    <row r="3037" ht="22.5" customHeight="1">
      <c r="A3037" s="66">
        <v>10.7818</v>
      </c>
      <c r="B3037" s="67">
        <v>106.7611</v>
      </c>
      <c r="C3037" s="67">
        <v>10.78802</v>
      </c>
      <c r="D3037" s="67">
        <v>106.7609</v>
      </c>
      <c r="E3037" s="68">
        <v>1.383</v>
      </c>
    </row>
    <row r="3038" ht="22.5" customHeight="1">
      <c r="A3038" s="61">
        <v>10.7818</v>
      </c>
      <c r="B3038" s="63">
        <v>106.7611</v>
      </c>
      <c r="C3038" s="63">
        <v>10.7881</v>
      </c>
      <c r="D3038" s="63">
        <v>106.7662</v>
      </c>
      <c r="E3038" s="64">
        <v>1.355</v>
      </c>
    </row>
    <row r="3039" ht="22.5" customHeight="1">
      <c r="A3039" s="66">
        <v>10.7818</v>
      </c>
      <c r="B3039" s="67">
        <v>106.7611</v>
      </c>
      <c r="C3039" s="67">
        <v>10.78851</v>
      </c>
      <c r="D3039" s="67">
        <v>106.777</v>
      </c>
      <c r="E3039" s="68">
        <v>2.285</v>
      </c>
    </row>
    <row r="3040" ht="22.5" customHeight="1">
      <c r="A3040" s="61">
        <v>10.7818</v>
      </c>
      <c r="B3040" s="63">
        <v>106.7611</v>
      </c>
      <c r="C3040" s="63">
        <v>10.78864</v>
      </c>
      <c r="D3040" s="63">
        <v>106.7561</v>
      </c>
      <c r="E3040" s="64">
        <v>1.156</v>
      </c>
    </row>
    <row r="3041" ht="22.5" customHeight="1">
      <c r="A3041" s="66">
        <v>10.7818</v>
      </c>
      <c r="B3041" s="67">
        <v>106.7611</v>
      </c>
      <c r="C3041" s="67">
        <v>10.78871</v>
      </c>
      <c r="D3041" s="67">
        <v>106.7343</v>
      </c>
      <c r="E3041" s="68">
        <v>4.43</v>
      </c>
    </row>
    <row r="3042" ht="22.5" customHeight="1">
      <c r="A3042" s="61">
        <v>10.7818</v>
      </c>
      <c r="B3042" s="63">
        <v>106.7611</v>
      </c>
      <c r="C3042" s="63">
        <v>10.79036</v>
      </c>
      <c r="D3042" s="63">
        <v>106.6973</v>
      </c>
      <c r="E3042" s="64">
        <v>10.153</v>
      </c>
    </row>
    <row r="3043" ht="22.5" customHeight="1">
      <c r="A3043" s="66">
        <v>10.7818</v>
      </c>
      <c r="B3043" s="67">
        <v>106.7611</v>
      </c>
      <c r="C3043" s="67">
        <v>10.7907</v>
      </c>
      <c r="D3043" s="67">
        <v>106.7481</v>
      </c>
      <c r="E3043" s="68">
        <v>3.257</v>
      </c>
    </row>
    <row r="3044" ht="22.5" customHeight="1">
      <c r="A3044" s="61">
        <v>10.7818</v>
      </c>
      <c r="B3044" s="63">
        <v>106.7611</v>
      </c>
      <c r="C3044" s="63">
        <v>10.79203</v>
      </c>
      <c r="D3044" s="63">
        <v>106.7304</v>
      </c>
      <c r="E3044" s="64">
        <v>6.061</v>
      </c>
    </row>
    <row r="3045" ht="22.5" customHeight="1">
      <c r="A3045" s="66">
        <v>10.7818</v>
      </c>
      <c r="B3045" s="67">
        <v>106.7611</v>
      </c>
      <c r="C3045" s="67">
        <v>10.79662</v>
      </c>
      <c r="D3045" s="67">
        <v>106.7372</v>
      </c>
      <c r="E3045" s="68">
        <v>5.099</v>
      </c>
    </row>
    <row r="3046" ht="22.5" customHeight="1">
      <c r="A3046" s="61">
        <v>10.7818</v>
      </c>
      <c r="B3046" s="63">
        <v>106.7611</v>
      </c>
      <c r="C3046" s="63">
        <v>10.80393</v>
      </c>
      <c r="D3046" s="63">
        <v>106.7092</v>
      </c>
      <c r="E3046" s="64">
        <v>9.519</v>
      </c>
    </row>
    <row r="3047" ht="22.5" customHeight="1">
      <c r="A3047" s="66">
        <v>10.7818</v>
      </c>
      <c r="B3047" s="67">
        <v>106.7611</v>
      </c>
      <c r="C3047" s="67">
        <v>10.80434</v>
      </c>
      <c r="D3047" s="67">
        <v>106.7445</v>
      </c>
      <c r="E3047" s="68">
        <v>5.404</v>
      </c>
    </row>
    <row r="3048" ht="22.5" customHeight="1">
      <c r="A3048" s="61">
        <v>10.7818</v>
      </c>
      <c r="B3048" s="63">
        <v>106.7611</v>
      </c>
      <c r="C3048" s="63">
        <v>10.80543</v>
      </c>
      <c r="D3048" s="63">
        <v>106.7324</v>
      </c>
      <c r="E3048" s="64">
        <v>7.079</v>
      </c>
    </row>
    <row r="3049" ht="22.5" customHeight="1">
      <c r="A3049" s="66">
        <v>10.7818</v>
      </c>
      <c r="B3049" s="67">
        <v>106.7611</v>
      </c>
      <c r="C3049" s="67">
        <v>10.82166</v>
      </c>
      <c r="D3049" s="67">
        <v>106.7034</v>
      </c>
      <c r="E3049" s="68">
        <v>12.834</v>
      </c>
    </row>
    <row r="3050" ht="22.5" customHeight="1">
      <c r="A3050" s="61">
        <v>10.7818</v>
      </c>
      <c r="B3050" s="63">
        <v>106.7611</v>
      </c>
      <c r="C3050" s="63">
        <v>10.84737</v>
      </c>
      <c r="D3050" s="63">
        <v>106.7766</v>
      </c>
      <c r="E3050" s="64">
        <v>0.033</v>
      </c>
    </row>
    <row r="3051" ht="22.5" customHeight="1">
      <c r="A3051" s="66">
        <v>10.78213</v>
      </c>
      <c r="B3051" s="67">
        <v>106.6678</v>
      </c>
      <c r="C3051" s="67">
        <v>10.75947</v>
      </c>
      <c r="D3051" s="67">
        <v>106.6805</v>
      </c>
      <c r="E3051" s="68">
        <v>3.932</v>
      </c>
    </row>
    <row r="3052" ht="22.5" customHeight="1">
      <c r="A3052" s="61">
        <v>10.78213</v>
      </c>
      <c r="B3052" s="63">
        <v>106.6678</v>
      </c>
      <c r="C3052" s="63">
        <v>10.76913</v>
      </c>
      <c r="D3052" s="63">
        <v>106.6615</v>
      </c>
      <c r="E3052" s="64">
        <v>2.148</v>
      </c>
    </row>
    <row r="3053" ht="22.5" customHeight="1">
      <c r="A3053" s="66">
        <v>10.78213</v>
      </c>
      <c r="B3053" s="67">
        <v>106.6678</v>
      </c>
      <c r="C3053" s="67">
        <v>10.77032</v>
      </c>
      <c r="D3053" s="67">
        <v>106.6723</v>
      </c>
      <c r="E3053" s="68">
        <v>2.213</v>
      </c>
    </row>
    <row r="3054" ht="22.5" customHeight="1">
      <c r="A3054" s="61">
        <v>10.78213</v>
      </c>
      <c r="B3054" s="63">
        <v>106.6678</v>
      </c>
      <c r="C3054" s="63">
        <v>10.7733</v>
      </c>
      <c r="D3054" s="63">
        <v>106.6687</v>
      </c>
      <c r="E3054" s="64">
        <v>1.334</v>
      </c>
    </row>
    <row r="3055" ht="22.5" customHeight="1">
      <c r="A3055" s="66">
        <v>10.78213</v>
      </c>
      <c r="B3055" s="67">
        <v>106.6678</v>
      </c>
      <c r="C3055" s="67">
        <v>10.77503</v>
      </c>
      <c r="D3055" s="67">
        <v>106.6737</v>
      </c>
      <c r="E3055" s="68">
        <v>2.389</v>
      </c>
    </row>
    <row r="3056" ht="22.5" customHeight="1">
      <c r="A3056" s="61">
        <v>10.78213</v>
      </c>
      <c r="B3056" s="63">
        <v>106.6678</v>
      </c>
      <c r="C3056" s="63">
        <v>10.77509</v>
      </c>
      <c r="D3056" s="63">
        <v>106.6727</v>
      </c>
      <c r="E3056" s="64">
        <v>2.18</v>
      </c>
    </row>
    <row r="3057" ht="22.5" customHeight="1">
      <c r="A3057" s="66">
        <v>10.78213</v>
      </c>
      <c r="B3057" s="67">
        <v>106.6678</v>
      </c>
      <c r="C3057" s="67">
        <v>10.77525</v>
      </c>
      <c r="D3057" s="67">
        <v>106.6592</v>
      </c>
      <c r="E3057" s="68">
        <v>1.735</v>
      </c>
    </row>
    <row r="3058" ht="22.5" customHeight="1">
      <c r="A3058" s="61">
        <v>10.78213</v>
      </c>
      <c r="B3058" s="63">
        <v>106.6678</v>
      </c>
      <c r="C3058" s="63">
        <v>10.77605</v>
      </c>
      <c r="D3058" s="63">
        <v>106.6718</v>
      </c>
      <c r="E3058" s="64">
        <v>2.094</v>
      </c>
    </row>
    <row r="3059" ht="22.5" customHeight="1">
      <c r="A3059" s="66">
        <v>10.78213</v>
      </c>
      <c r="B3059" s="67">
        <v>106.6678</v>
      </c>
      <c r="C3059" s="67">
        <v>10.77641</v>
      </c>
      <c r="D3059" s="67">
        <v>106.6866</v>
      </c>
      <c r="E3059" s="68">
        <v>2.467</v>
      </c>
    </row>
    <row r="3060" ht="22.5" customHeight="1">
      <c r="A3060" s="61">
        <v>10.78213</v>
      </c>
      <c r="B3060" s="63">
        <v>106.6678</v>
      </c>
      <c r="C3060" s="63">
        <v>10.77658</v>
      </c>
      <c r="D3060" s="63">
        <v>106.6719</v>
      </c>
      <c r="E3060" s="64">
        <v>2.027</v>
      </c>
    </row>
    <row r="3061" ht="22.5" customHeight="1">
      <c r="A3061" s="66">
        <v>10.78213</v>
      </c>
      <c r="B3061" s="67">
        <v>106.6678</v>
      </c>
      <c r="C3061" s="67">
        <v>10.77674</v>
      </c>
      <c r="D3061" s="67">
        <v>106.6841</v>
      </c>
      <c r="E3061" s="68">
        <v>2.591</v>
      </c>
    </row>
    <row r="3062" ht="22.5" customHeight="1">
      <c r="A3062" s="61">
        <v>10.78213</v>
      </c>
      <c r="B3062" s="63">
        <v>106.6678</v>
      </c>
      <c r="C3062" s="63">
        <v>10.77727</v>
      </c>
      <c r="D3062" s="63">
        <v>106.6795</v>
      </c>
      <c r="E3062" s="64">
        <v>2.511</v>
      </c>
    </row>
    <row r="3063" ht="22.5" customHeight="1">
      <c r="A3063" s="66">
        <v>10.78213</v>
      </c>
      <c r="B3063" s="67">
        <v>106.6678</v>
      </c>
      <c r="C3063" s="67">
        <v>10.77918</v>
      </c>
      <c r="D3063" s="67">
        <v>106.6903</v>
      </c>
      <c r="E3063" s="68">
        <v>3.248</v>
      </c>
    </row>
    <row r="3064" ht="22.5" customHeight="1">
      <c r="A3064" s="61">
        <v>10.78213</v>
      </c>
      <c r="B3064" s="63">
        <v>106.6678</v>
      </c>
      <c r="C3064" s="63">
        <v>10.79193</v>
      </c>
      <c r="D3064" s="63">
        <v>106.6555</v>
      </c>
      <c r="E3064" s="64">
        <v>2.285</v>
      </c>
    </row>
    <row r="3065" ht="22.5" customHeight="1">
      <c r="A3065" s="66">
        <v>10.78247</v>
      </c>
      <c r="B3065" s="67">
        <v>106.6214</v>
      </c>
      <c r="C3065" s="67">
        <v>10.7972</v>
      </c>
      <c r="D3065" s="67">
        <v>106.6307</v>
      </c>
      <c r="E3065" s="68">
        <v>2.348</v>
      </c>
    </row>
    <row r="3066" ht="22.5" customHeight="1">
      <c r="A3066" s="61">
        <v>10.7825</v>
      </c>
      <c r="B3066" s="63">
        <v>106.7054</v>
      </c>
      <c r="C3066" s="63">
        <v>10.75973</v>
      </c>
      <c r="D3066" s="63">
        <v>106.6989</v>
      </c>
      <c r="E3066" s="64">
        <v>3.305</v>
      </c>
    </row>
    <row r="3067" ht="22.5" customHeight="1">
      <c r="A3067" s="66">
        <v>10.7825</v>
      </c>
      <c r="B3067" s="67">
        <v>106.7054</v>
      </c>
      <c r="C3067" s="67">
        <v>10.77</v>
      </c>
      <c r="D3067" s="67">
        <v>106.7018</v>
      </c>
      <c r="E3067" s="68">
        <v>1.805</v>
      </c>
    </row>
    <row r="3068" ht="22.5" customHeight="1">
      <c r="A3068" s="61">
        <v>10.7825</v>
      </c>
      <c r="B3068" s="63">
        <v>106.7054</v>
      </c>
      <c r="C3068" s="63">
        <v>10.77971</v>
      </c>
      <c r="D3068" s="63">
        <v>106.7008</v>
      </c>
      <c r="E3068" s="64">
        <v>0.975</v>
      </c>
    </row>
    <row r="3069" ht="22.5" customHeight="1">
      <c r="A3069" s="66">
        <v>10.7825</v>
      </c>
      <c r="B3069" s="67">
        <v>106.7054</v>
      </c>
      <c r="C3069" s="67">
        <v>10.78115</v>
      </c>
      <c r="D3069" s="67">
        <v>106.7005</v>
      </c>
      <c r="E3069" s="68">
        <v>1.059</v>
      </c>
    </row>
    <row r="3070" ht="22.5" customHeight="1">
      <c r="A3070" s="61">
        <v>10.7825</v>
      </c>
      <c r="B3070" s="63">
        <v>106.7054</v>
      </c>
      <c r="C3070" s="63">
        <v>10.78348</v>
      </c>
      <c r="D3070" s="63">
        <v>106.7006</v>
      </c>
      <c r="E3070" s="64">
        <v>1.747</v>
      </c>
    </row>
    <row r="3071" ht="22.5" customHeight="1">
      <c r="A3071" s="66">
        <v>10.78257</v>
      </c>
      <c r="B3071" s="67">
        <v>106.7691</v>
      </c>
      <c r="C3071" s="67">
        <v>10.7881</v>
      </c>
      <c r="D3071" s="67">
        <v>106.7662</v>
      </c>
      <c r="E3071" s="68">
        <v>0.995</v>
      </c>
    </row>
    <row r="3072" ht="22.5" customHeight="1">
      <c r="A3072" s="61">
        <v>10.78264</v>
      </c>
      <c r="B3072" s="63">
        <v>106.6267</v>
      </c>
      <c r="C3072" s="63">
        <v>10.77231</v>
      </c>
      <c r="D3072" s="63">
        <v>106.6319</v>
      </c>
      <c r="E3072" s="64">
        <v>2.114</v>
      </c>
    </row>
    <row r="3073" ht="22.5" customHeight="1">
      <c r="A3073" s="66">
        <v>10.78264</v>
      </c>
      <c r="B3073" s="67">
        <v>106.6267</v>
      </c>
      <c r="C3073" s="67">
        <v>10.77995</v>
      </c>
      <c r="D3073" s="67">
        <v>106.6498</v>
      </c>
      <c r="E3073" s="68">
        <v>3.867</v>
      </c>
    </row>
    <row r="3074" ht="22.5" customHeight="1">
      <c r="A3074" s="61">
        <v>10.78264</v>
      </c>
      <c r="B3074" s="63">
        <v>106.6267</v>
      </c>
      <c r="C3074" s="63">
        <v>10.78175</v>
      </c>
      <c r="D3074" s="63">
        <v>106.6306</v>
      </c>
      <c r="E3074" s="64">
        <v>1.297</v>
      </c>
    </row>
    <row r="3075" ht="22.5" customHeight="1">
      <c r="A3075" s="66">
        <v>10.78264</v>
      </c>
      <c r="B3075" s="67">
        <v>106.6267</v>
      </c>
      <c r="C3075" s="67">
        <v>10.78954</v>
      </c>
      <c r="D3075" s="67">
        <v>106.6431</v>
      </c>
      <c r="E3075" s="68">
        <v>2.419</v>
      </c>
    </row>
    <row r="3076" ht="22.5" customHeight="1">
      <c r="A3076" s="61">
        <v>10.78264</v>
      </c>
      <c r="B3076" s="63">
        <v>106.6267</v>
      </c>
      <c r="C3076" s="63">
        <v>10.79193</v>
      </c>
      <c r="D3076" s="63">
        <v>106.6555</v>
      </c>
      <c r="E3076" s="64">
        <v>3.943</v>
      </c>
    </row>
    <row r="3077" ht="22.5" customHeight="1">
      <c r="A3077" s="66">
        <v>10.78264</v>
      </c>
      <c r="B3077" s="67">
        <v>106.6267</v>
      </c>
      <c r="C3077" s="67">
        <v>10.79435</v>
      </c>
      <c r="D3077" s="67">
        <v>106.6382</v>
      </c>
      <c r="E3077" s="68">
        <v>2.418</v>
      </c>
    </row>
    <row r="3078" ht="22.5" customHeight="1">
      <c r="A3078" s="61">
        <v>10.78264</v>
      </c>
      <c r="B3078" s="63">
        <v>106.6267</v>
      </c>
      <c r="C3078" s="63">
        <v>10.79525</v>
      </c>
      <c r="D3078" s="63">
        <v>106.6294</v>
      </c>
      <c r="E3078" s="64">
        <v>2.322</v>
      </c>
    </row>
    <row r="3079" ht="22.5" customHeight="1">
      <c r="A3079" s="66">
        <v>10.78264</v>
      </c>
      <c r="B3079" s="67">
        <v>106.6267</v>
      </c>
      <c r="C3079" s="67">
        <v>10.7972</v>
      </c>
      <c r="D3079" s="67">
        <v>106.6307</v>
      </c>
      <c r="E3079" s="68">
        <v>2.515</v>
      </c>
    </row>
    <row r="3080" ht="22.5" customHeight="1">
      <c r="A3080" s="61">
        <v>10.78264</v>
      </c>
      <c r="B3080" s="63">
        <v>106.6267</v>
      </c>
      <c r="C3080" s="63">
        <v>10.81094</v>
      </c>
      <c r="D3080" s="63">
        <v>106.611</v>
      </c>
      <c r="E3080" s="64">
        <v>4.968</v>
      </c>
    </row>
    <row r="3081" ht="22.5" customHeight="1">
      <c r="A3081" s="66">
        <v>10.78264</v>
      </c>
      <c r="B3081" s="67">
        <v>106.6267</v>
      </c>
      <c r="C3081" s="67">
        <v>10.81147</v>
      </c>
      <c r="D3081" s="67">
        <v>106.6107</v>
      </c>
      <c r="E3081" s="68">
        <v>5.182</v>
      </c>
    </row>
    <row r="3082" ht="22.5" customHeight="1">
      <c r="A3082" s="61">
        <v>10.78276</v>
      </c>
      <c r="B3082" s="63">
        <v>106.7692</v>
      </c>
      <c r="C3082" s="63">
        <v>10.7881</v>
      </c>
      <c r="D3082" s="63">
        <v>106.7662</v>
      </c>
      <c r="E3082" s="64">
        <v>0.878</v>
      </c>
    </row>
    <row r="3083" ht="22.5" customHeight="1">
      <c r="A3083" s="66">
        <v>10.78286</v>
      </c>
      <c r="B3083" s="67">
        <v>106.6624</v>
      </c>
      <c r="C3083" s="67">
        <v>10.77509</v>
      </c>
      <c r="D3083" s="67">
        <v>106.6727</v>
      </c>
      <c r="E3083" s="68">
        <v>2.55</v>
      </c>
    </row>
    <row r="3084" ht="22.5" customHeight="1">
      <c r="A3084" s="61">
        <v>10.78294</v>
      </c>
      <c r="B3084" s="63">
        <v>106.6506</v>
      </c>
      <c r="C3084" s="63">
        <v>10.76707</v>
      </c>
      <c r="D3084" s="63">
        <v>106.6493</v>
      </c>
      <c r="E3084" s="64">
        <v>2.106</v>
      </c>
    </row>
    <row r="3085" ht="22.5" customHeight="1">
      <c r="A3085" s="66">
        <v>10.78294</v>
      </c>
      <c r="B3085" s="67">
        <v>106.6506</v>
      </c>
      <c r="C3085" s="67">
        <v>10.76878</v>
      </c>
      <c r="D3085" s="67">
        <v>106.6667</v>
      </c>
      <c r="E3085" s="68">
        <v>3.738</v>
      </c>
    </row>
    <row r="3086" ht="22.5" customHeight="1">
      <c r="A3086" s="61">
        <v>10.78294</v>
      </c>
      <c r="B3086" s="63">
        <v>106.6506</v>
      </c>
      <c r="C3086" s="63">
        <v>10.7692</v>
      </c>
      <c r="D3086" s="63">
        <v>106.6516</v>
      </c>
      <c r="E3086" s="64">
        <v>1.845</v>
      </c>
    </row>
    <row r="3087" ht="22.5" customHeight="1">
      <c r="A3087" s="66">
        <v>10.78294</v>
      </c>
      <c r="B3087" s="67">
        <v>106.6506</v>
      </c>
      <c r="C3087" s="67">
        <v>10.76925</v>
      </c>
      <c r="D3087" s="67">
        <v>106.626</v>
      </c>
      <c r="E3087" s="68">
        <v>4.496</v>
      </c>
    </row>
    <row r="3088" ht="22.5" customHeight="1">
      <c r="A3088" s="61">
        <v>10.78294</v>
      </c>
      <c r="B3088" s="63">
        <v>106.6506</v>
      </c>
      <c r="C3088" s="63">
        <v>10.77231</v>
      </c>
      <c r="D3088" s="63">
        <v>106.6319</v>
      </c>
      <c r="E3088" s="64">
        <v>3.491</v>
      </c>
    </row>
    <row r="3089" ht="22.5" customHeight="1">
      <c r="A3089" s="66">
        <v>10.78294</v>
      </c>
      <c r="B3089" s="67">
        <v>106.6506</v>
      </c>
      <c r="C3089" s="67">
        <v>10.77509</v>
      </c>
      <c r="D3089" s="67">
        <v>106.6727</v>
      </c>
      <c r="E3089" s="68">
        <v>4.389</v>
      </c>
    </row>
    <row r="3090" ht="22.5" customHeight="1">
      <c r="A3090" s="61">
        <v>10.78294</v>
      </c>
      <c r="B3090" s="63">
        <v>106.6506</v>
      </c>
      <c r="C3090" s="63">
        <v>10.77995</v>
      </c>
      <c r="D3090" s="63">
        <v>106.6498</v>
      </c>
      <c r="E3090" s="64">
        <v>0.248</v>
      </c>
    </row>
    <row r="3091" ht="22.5" customHeight="1">
      <c r="A3091" s="66">
        <v>10.78294</v>
      </c>
      <c r="B3091" s="67">
        <v>106.6506</v>
      </c>
      <c r="C3091" s="67">
        <v>10.79152</v>
      </c>
      <c r="D3091" s="67">
        <v>106.6535</v>
      </c>
      <c r="E3091" s="68">
        <v>1.069</v>
      </c>
    </row>
    <row r="3092" ht="22.5" customHeight="1">
      <c r="A3092" s="61">
        <v>10.78294</v>
      </c>
      <c r="B3092" s="63">
        <v>106.6506</v>
      </c>
      <c r="C3092" s="63">
        <v>10.79193</v>
      </c>
      <c r="D3092" s="63">
        <v>106.6555</v>
      </c>
      <c r="E3092" s="64">
        <v>1.42</v>
      </c>
    </row>
    <row r="3093" ht="22.5" customHeight="1">
      <c r="A3093" s="66">
        <v>10.78294</v>
      </c>
      <c r="B3093" s="67">
        <v>106.6506</v>
      </c>
      <c r="C3093" s="67">
        <v>10.79212</v>
      </c>
      <c r="D3093" s="67">
        <v>106.6427</v>
      </c>
      <c r="E3093" s="68">
        <v>1.753</v>
      </c>
    </row>
    <row r="3094" ht="22.5" customHeight="1">
      <c r="A3094" s="61">
        <v>10.78294</v>
      </c>
      <c r="B3094" s="63">
        <v>106.6506</v>
      </c>
      <c r="C3094" s="63">
        <v>10.79435</v>
      </c>
      <c r="D3094" s="63">
        <v>106.6382</v>
      </c>
      <c r="E3094" s="64">
        <v>2.759</v>
      </c>
    </row>
    <row r="3095" ht="22.5" customHeight="1">
      <c r="A3095" s="66">
        <v>10.78294</v>
      </c>
      <c r="B3095" s="67">
        <v>106.6506</v>
      </c>
      <c r="C3095" s="67">
        <v>10.7972</v>
      </c>
      <c r="D3095" s="67">
        <v>106.6307</v>
      </c>
      <c r="E3095" s="68">
        <v>3.48</v>
      </c>
    </row>
    <row r="3096" ht="22.5" customHeight="1">
      <c r="A3096" s="61">
        <v>10.78294</v>
      </c>
      <c r="B3096" s="63">
        <v>106.6506</v>
      </c>
      <c r="C3096" s="63">
        <v>10.80474</v>
      </c>
      <c r="D3096" s="63">
        <v>106.642</v>
      </c>
      <c r="E3096" s="64">
        <v>3.48</v>
      </c>
    </row>
    <row r="3097" ht="22.5" customHeight="1">
      <c r="A3097" s="66">
        <v>10.78318</v>
      </c>
      <c r="B3097" s="67">
        <v>106.7691</v>
      </c>
      <c r="C3097" s="67">
        <v>10.7881</v>
      </c>
      <c r="D3097" s="67">
        <v>106.7662</v>
      </c>
      <c r="E3097" s="68">
        <v>1.056</v>
      </c>
    </row>
    <row r="3098" ht="22.5" customHeight="1">
      <c r="A3098" s="61">
        <v>10.78319</v>
      </c>
      <c r="B3098" s="63">
        <v>106.6717</v>
      </c>
      <c r="C3098" s="63">
        <v>10.75695</v>
      </c>
      <c r="D3098" s="63">
        <v>106.671</v>
      </c>
      <c r="E3098" s="64">
        <v>3.745</v>
      </c>
    </row>
    <row r="3099" ht="22.5" customHeight="1">
      <c r="A3099" s="66">
        <v>10.78319</v>
      </c>
      <c r="B3099" s="67">
        <v>106.6717</v>
      </c>
      <c r="C3099" s="67">
        <v>10.77509</v>
      </c>
      <c r="D3099" s="67">
        <v>106.6727</v>
      </c>
      <c r="E3099" s="68">
        <v>1.754</v>
      </c>
    </row>
    <row r="3100" ht="22.5" customHeight="1">
      <c r="A3100" s="61">
        <v>10.78348</v>
      </c>
      <c r="B3100" s="63">
        <v>106.7006</v>
      </c>
      <c r="C3100" s="63">
        <v>10.77</v>
      </c>
      <c r="D3100" s="63">
        <v>106.7018</v>
      </c>
      <c r="E3100" s="64">
        <v>1.851</v>
      </c>
    </row>
    <row r="3101" ht="22.5" customHeight="1">
      <c r="A3101" s="66">
        <v>10.78348</v>
      </c>
      <c r="B3101" s="67">
        <v>106.7006</v>
      </c>
      <c r="C3101" s="67">
        <v>10.7721</v>
      </c>
      <c r="D3101" s="67">
        <v>106.7021</v>
      </c>
      <c r="E3101" s="68">
        <v>2.08</v>
      </c>
    </row>
    <row r="3102" ht="22.5" customHeight="1">
      <c r="A3102" s="61">
        <v>10.78348</v>
      </c>
      <c r="B3102" s="63">
        <v>106.7006</v>
      </c>
      <c r="C3102" s="63">
        <v>10.77509</v>
      </c>
      <c r="D3102" s="63">
        <v>106.6727</v>
      </c>
      <c r="E3102" s="64">
        <v>4.229</v>
      </c>
    </row>
    <row r="3103" ht="22.5" customHeight="1">
      <c r="A3103" s="66">
        <v>10.78348</v>
      </c>
      <c r="B3103" s="67">
        <v>106.7006</v>
      </c>
      <c r="C3103" s="67">
        <v>10.77971</v>
      </c>
      <c r="D3103" s="67">
        <v>106.7008</v>
      </c>
      <c r="E3103" s="68">
        <v>0.481</v>
      </c>
    </row>
    <row r="3104" ht="22.5" customHeight="1">
      <c r="A3104" s="61">
        <v>10.78348</v>
      </c>
      <c r="B3104" s="63">
        <v>106.7006</v>
      </c>
      <c r="C3104" s="63">
        <v>10.78061</v>
      </c>
      <c r="D3104" s="63">
        <v>106.7045</v>
      </c>
      <c r="E3104" s="64">
        <v>1.119</v>
      </c>
    </row>
    <row r="3105" ht="22.5" customHeight="1">
      <c r="A3105" s="66">
        <v>10.78348</v>
      </c>
      <c r="B3105" s="67">
        <v>106.7006</v>
      </c>
      <c r="C3105" s="67">
        <v>10.7825</v>
      </c>
      <c r="D3105" s="67">
        <v>106.7054</v>
      </c>
      <c r="E3105" s="68">
        <v>1.016</v>
      </c>
    </row>
    <row r="3106" ht="22.5" customHeight="1">
      <c r="A3106" s="61">
        <v>10.78362</v>
      </c>
      <c r="B3106" s="63">
        <v>106.639</v>
      </c>
      <c r="C3106" s="63">
        <v>10.77995</v>
      </c>
      <c r="D3106" s="63">
        <v>106.6498</v>
      </c>
      <c r="E3106" s="64">
        <v>1.784</v>
      </c>
    </row>
    <row r="3107" ht="22.5" customHeight="1">
      <c r="A3107" s="66">
        <v>10.78392</v>
      </c>
      <c r="B3107" s="67">
        <v>106.6808</v>
      </c>
      <c r="C3107" s="67">
        <v>10.77509</v>
      </c>
      <c r="D3107" s="67">
        <v>106.6727</v>
      </c>
      <c r="E3107" s="68">
        <v>1.92</v>
      </c>
    </row>
    <row r="3108" ht="22.5" customHeight="1">
      <c r="A3108" s="61">
        <v>10.78392</v>
      </c>
      <c r="B3108" s="63">
        <v>106.6808</v>
      </c>
      <c r="C3108" s="63">
        <v>10.78438</v>
      </c>
      <c r="D3108" s="63">
        <v>106.6829</v>
      </c>
      <c r="E3108" s="64">
        <v>0.543</v>
      </c>
    </row>
    <row r="3109" ht="22.5" customHeight="1">
      <c r="A3109" s="66">
        <v>10.78392</v>
      </c>
      <c r="B3109" s="67">
        <v>106.6808</v>
      </c>
      <c r="C3109" s="67">
        <v>10.78564</v>
      </c>
      <c r="D3109" s="67">
        <v>106.6786</v>
      </c>
      <c r="E3109" s="68">
        <v>0.528</v>
      </c>
    </row>
    <row r="3110" ht="22.5" customHeight="1">
      <c r="A3110" s="61">
        <v>10.78392</v>
      </c>
      <c r="B3110" s="63">
        <v>106.6808</v>
      </c>
      <c r="C3110" s="63">
        <v>10.78681</v>
      </c>
      <c r="D3110" s="63">
        <v>106.6794</v>
      </c>
      <c r="E3110" s="64">
        <v>0.881</v>
      </c>
    </row>
    <row r="3111" ht="22.5" customHeight="1">
      <c r="A3111" s="66">
        <v>10.78392</v>
      </c>
      <c r="B3111" s="67">
        <v>106.6808</v>
      </c>
      <c r="C3111" s="67">
        <v>10.78935</v>
      </c>
      <c r="D3111" s="67">
        <v>106.6755</v>
      </c>
      <c r="E3111" s="68">
        <v>1.265</v>
      </c>
    </row>
    <row r="3112" ht="22.5" customHeight="1">
      <c r="A3112" s="61">
        <v>10.78392</v>
      </c>
      <c r="B3112" s="63">
        <v>106.6808</v>
      </c>
      <c r="C3112" s="63">
        <v>10.79061</v>
      </c>
      <c r="D3112" s="63">
        <v>106.6883</v>
      </c>
      <c r="E3112" s="64">
        <v>1.703</v>
      </c>
    </row>
    <row r="3113" ht="22.5" customHeight="1">
      <c r="A3113" s="66">
        <v>10.78392</v>
      </c>
      <c r="B3113" s="67">
        <v>106.6808</v>
      </c>
      <c r="C3113" s="67">
        <v>10.79295</v>
      </c>
      <c r="D3113" s="67">
        <v>106.6858</v>
      </c>
      <c r="E3113" s="68">
        <v>1.845</v>
      </c>
    </row>
    <row r="3114" ht="22.5" customHeight="1">
      <c r="A3114" s="61">
        <v>10.78392</v>
      </c>
      <c r="B3114" s="63">
        <v>106.6808</v>
      </c>
      <c r="C3114" s="63">
        <v>10.79407</v>
      </c>
      <c r="D3114" s="63">
        <v>106.6839</v>
      </c>
      <c r="E3114" s="64">
        <v>2.182</v>
      </c>
    </row>
    <row r="3115" ht="22.5" customHeight="1">
      <c r="A3115" s="66">
        <v>10.78392</v>
      </c>
      <c r="B3115" s="67">
        <v>106.6808</v>
      </c>
      <c r="C3115" s="67">
        <v>10.7965</v>
      </c>
      <c r="D3115" s="67">
        <v>106.6881</v>
      </c>
      <c r="E3115" s="68">
        <v>2.835</v>
      </c>
    </row>
    <row r="3116" ht="22.5" customHeight="1">
      <c r="A3116" s="61">
        <v>10.78392</v>
      </c>
      <c r="B3116" s="63">
        <v>106.6808</v>
      </c>
      <c r="C3116" s="63">
        <v>10.79658</v>
      </c>
      <c r="D3116" s="63">
        <v>106.6776</v>
      </c>
      <c r="E3116" s="64">
        <v>2.649</v>
      </c>
    </row>
    <row r="3117" ht="22.5" customHeight="1">
      <c r="A3117" s="66">
        <v>10.78392</v>
      </c>
      <c r="B3117" s="67">
        <v>106.6808</v>
      </c>
      <c r="C3117" s="67">
        <v>10.79865</v>
      </c>
      <c r="D3117" s="67">
        <v>106.682</v>
      </c>
      <c r="E3117" s="68">
        <v>2.948</v>
      </c>
    </row>
    <row r="3118" ht="22.5" customHeight="1">
      <c r="A3118" s="61">
        <v>10.78392</v>
      </c>
      <c r="B3118" s="63">
        <v>106.6808</v>
      </c>
      <c r="C3118" s="63">
        <v>10.79889</v>
      </c>
      <c r="D3118" s="63">
        <v>106.6803</v>
      </c>
      <c r="E3118" s="64">
        <v>2.291</v>
      </c>
    </row>
    <row r="3119" ht="22.5" customHeight="1">
      <c r="A3119" s="66">
        <v>10.78438</v>
      </c>
      <c r="B3119" s="67">
        <v>106.6829</v>
      </c>
      <c r="C3119" s="67">
        <v>10.77014</v>
      </c>
      <c r="D3119" s="67">
        <v>106.7009</v>
      </c>
      <c r="E3119" s="68">
        <v>3.163</v>
      </c>
    </row>
    <row r="3120" ht="22.5" customHeight="1">
      <c r="A3120" s="61">
        <v>10.78438</v>
      </c>
      <c r="B3120" s="63">
        <v>106.6829</v>
      </c>
      <c r="C3120" s="63">
        <v>10.77509</v>
      </c>
      <c r="D3120" s="63">
        <v>106.6727</v>
      </c>
      <c r="E3120" s="64">
        <v>2.266</v>
      </c>
    </row>
    <row r="3121" ht="22.5" customHeight="1">
      <c r="A3121" s="66">
        <v>10.78438</v>
      </c>
      <c r="B3121" s="67">
        <v>106.6829</v>
      </c>
      <c r="C3121" s="67">
        <v>10.78025</v>
      </c>
      <c r="D3121" s="67">
        <v>106.6684</v>
      </c>
      <c r="E3121" s="68">
        <v>2.315</v>
      </c>
    </row>
    <row r="3122" ht="22.5" customHeight="1">
      <c r="A3122" s="61">
        <v>10.78438</v>
      </c>
      <c r="B3122" s="63">
        <v>106.6829</v>
      </c>
      <c r="C3122" s="63">
        <v>10.78392</v>
      </c>
      <c r="D3122" s="63">
        <v>106.6808</v>
      </c>
      <c r="E3122" s="64">
        <v>0.361</v>
      </c>
    </row>
    <row r="3123" ht="22.5" customHeight="1">
      <c r="A3123" s="66">
        <v>10.78438</v>
      </c>
      <c r="B3123" s="67">
        <v>106.6829</v>
      </c>
      <c r="C3123" s="67">
        <v>10.78564</v>
      </c>
      <c r="D3123" s="67">
        <v>106.6786</v>
      </c>
      <c r="E3123" s="68">
        <v>0.888</v>
      </c>
    </row>
    <row r="3124" ht="22.5" customHeight="1">
      <c r="A3124" s="61">
        <v>10.78438</v>
      </c>
      <c r="B3124" s="63">
        <v>106.6829</v>
      </c>
      <c r="C3124" s="63">
        <v>10.78681</v>
      </c>
      <c r="D3124" s="63">
        <v>106.6794</v>
      </c>
      <c r="E3124" s="64">
        <v>0.829</v>
      </c>
    </row>
    <row r="3125" ht="22.5" customHeight="1">
      <c r="A3125" s="66">
        <v>10.78438</v>
      </c>
      <c r="B3125" s="67">
        <v>106.6829</v>
      </c>
      <c r="C3125" s="67">
        <v>10.79036</v>
      </c>
      <c r="D3125" s="67">
        <v>106.6973</v>
      </c>
      <c r="E3125" s="68">
        <v>2.253</v>
      </c>
    </row>
    <row r="3126" ht="22.5" customHeight="1">
      <c r="A3126" s="61">
        <v>10.78438</v>
      </c>
      <c r="B3126" s="63">
        <v>106.6829</v>
      </c>
      <c r="C3126" s="63">
        <v>10.79061</v>
      </c>
      <c r="D3126" s="63">
        <v>106.6883</v>
      </c>
      <c r="E3126" s="64">
        <v>1.259</v>
      </c>
    </row>
    <row r="3127" ht="22.5" customHeight="1">
      <c r="A3127" s="66">
        <v>10.78438</v>
      </c>
      <c r="B3127" s="67">
        <v>106.6829</v>
      </c>
      <c r="C3127" s="67">
        <v>10.79295</v>
      </c>
      <c r="D3127" s="67">
        <v>106.6858</v>
      </c>
      <c r="E3127" s="68">
        <v>1.796</v>
      </c>
    </row>
    <row r="3128" ht="22.5" customHeight="1">
      <c r="A3128" s="61">
        <v>10.78438</v>
      </c>
      <c r="B3128" s="63">
        <v>106.6829</v>
      </c>
      <c r="C3128" s="63">
        <v>10.7965</v>
      </c>
      <c r="D3128" s="63">
        <v>106.6881</v>
      </c>
      <c r="E3128" s="64">
        <v>2.795</v>
      </c>
    </row>
    <row r="3129" ht="22.5" customHeight="1">
      <c r="A3129" s="66">
        <v>10.78438</v>
      </c>
      <c r="B3129" s="67">
        <v>106.6829</v>
      </c>
      <c r="C3129" s="67">
        <v>10.79865</v>
      </c>
      <c r="D3129" s="67">
        <v>106.682</v>
      </c>
      <c r="E3129" s="68">
        <v>2.2</v>
      </c>
    </row>
    <row r="3130" ht="22.5" customHeight="1">
      <c r="A3130" s="61">
        <v>10.78438</v>
      </c>
      <c r="B3130" s="63">
        <v>106.6829</v>
      </c>
      <c r="C3130" s="63">
        <v>10.79889</v>
      </c>
      <c r="D3130" s="63">
        <v>106.6803</v>
      </c>
      <c r="E3130" s="64">
        <v>2.19</v>
      </c>
    </row>
    <row r="3131" ht="22.5" customHeight="1">
      <c r="A3131" s="66">
        <v>10.78438</v>
      </c>
      <c r="B3131" s="67">
        <v>106.6829</v>
      </c>
      <c r="C3131" s="67">
        <v>10.79975</v>
      </c>
      <c r="D3131" s="67">
        <v>106.6696</v>
      </c>
      <c r="E3131" s="68">
        <v>2.755</v>
      </c>
    </row>
    <row r="3132" ht="22.5" customHeight="1">
      <c r="A3132" s="61">
        <v>10.78438</v>
      </c>
      <c r="B3132" s="63">
        <v>106.6829</v>
      </c>
      <c r="C3132" s="63">
        <v>10.80325</v>
      </c>
      <c r="D3132" s="63">
        <v>106.6842</v>
      </c>
      <c r="E3132" s="64">
        <v>2.893</v>
      </c>
    </row>
    <row r="3133" ht="22.5" customHeight="1">
      <c r="A3133" s="66">
        <v>10.78438</v>
      </c>
      <c r="B3133" s="67">
        <v>106.6993</v>
      </c>
      <c r="C3133" s="67">
        <v>10.77971</v>
      </c>
      <c r="D3133" s="67">
        <v>106.7008</v>
      </c>
      <c r="E3133" s="68">
        <v>0.709</v>
      </c>
    </row>
    <row r="3134" ht="22.5" customHeight="1">
      <c r="A3134" s="61">
        <v>10.78438</v>
      </c>
      <c r="B3134" s="63">
        <v>106.6993</v>
      </c>
      <c r="C3134" s="63">
        <v>10.79036</v>
      </c>
      <c r="D3134" s="63">
        <v>106.6973</v>
      </c>
      <c r="E3134" s="64">
        <v>1.108</v>
      </c>
    </row>
    <row r="3135" ht="22.5" customHeight="1">
      <c r="A3135" s="66">
        <v>10.7845</v>
      </c>
      <c r="B3135" s="67">
        <v>106.7477</v>
      </c>
      <c r="C3135" s="67">
        <v>10.7907</v>
      </c>
      <c r="D3135" s="67">
        <v>106.7481</v>
      </c>
      <c r="E3135" s="68">
        <v>2.386</v>
      </c>
    </row>
    <row r="3136" ht="22.5" customHeight="1">
      <c r="A3136" s="61">
        <v>10.7845</v>
      </c>
      <c r="B3136" s="63">
        <v>106.7477</v>
      </c>
      <c r="C3136" s="63">
        <v>10.79203</v>
      </c>
      <c r="D3136" s="63">
        <v>106.7304</v>
      </c>
      <c r="E3136" s="64">
        <v>3.917</v>
      </c>
    </row>
    <row r="3137" ht="22.5" customHeight="1">
      <c r="A3137" s="66">
        <v>10.7845</v>
      </c>
      <c r="B3137" s="67">
        <v>106.7477</v>
      </c>
      <c r="C3137" s="67">
        <v>10.7938</v>
      </c>
      <c r="D3137" s="67">
        <v>106.7467</v>
      </c>
      <c r="E3137" s="68">
        <v>2.594</v>
      </c>
    </row>
    <row r="3138" ht="22.5" customHeight="1">
      <c r="A3138" s="61">
        <v>10.7845</v>
      </c>
      <c r="B3138" s="63">
        <v>106.7477</v>
      </c>
      <c r="C3138" s="63">
        <v>10.80434</v>
      </c>
      <c r="D3138" s="63">
        <v>106.7445</v>
      </c>
      <c r="E3138" s="64">
        <v>4.753</v>
      </c>
    </row>
    <row r="3139" ht="22.5" customHeight="1">
      <c r="A3139" s="66">
        <v>10.7845</v>
      </c>
      <c r="B3139" s="67">
        <v>106.7477</v>
      </c>
      <c r="C3139" s="67">
        <v>10.77744</v>
      </c>
      <c r="D3139" s="67">
        <v>106.7646</v>
      </c>
      <c r="E3139" s="68">
        <v>3.065</v>
      </c>
    </row>
    <row r="3140" ht="22.5" customHeight="1">
      <c r="A3140" s="61">
        <v>10.7845</v>
      </c>
      <c r="B3140" s="63">
        <v>106.7477</v>
      </c>
      <c r="C3140" s="63">
        <v>10.7881</v>
      </c>
      <c r="D3140" s="63">
        <v>106.7662</v>
      </c>
      <c r="E3140" s="64">
        <v>4.883</v>
      </c>
    </row>
    <row r="3141" ht="22.5" customHeight="1">
      <c r="A3141" s="66">
        <v>10.7845</v>
      </c>
      <c r="B3141" s="67">
        <v>106.7477</v>
      </c>
      <c r="C3141" s="67">
        <v>10.79036</v>
      </c>
      <c r="D3141" s="67">
        <v>106.6973</v>
      </c>
      <c r="E3141" s="68">
        <v>7.928</v>
      </c>
    </row>
    <row r="3142" ht="22.5" customHeight="1">
      <c r="A3142" s="66">
        <v>10.78483</v>
      </c>
      <c r="B3142" s="67">
        <v>106.6838</v>
      </c>
      <c r="C3142" s="67">
        <v>10.79061</v>
      </c>
      <c r="D3142" s="67">
        <v>106.6883</v>
      </c>
      <c r="E3142" s="68">
        <v>1.137</v>
      </c>
    </row>
    <row r="3143" ht="22.5" customHeight="1">
      <c r="A3143" s="61">
        <v>10.78485</v>
      </c>
      <c r="B3143" s="63">
        <v>106.6942</v>
      </c>
      <c r="C3143" s="63">
        <v>10.76732</v>
      </c>
      <c r="D3143" s="63">
        <v>106.6966</v>
      </c>
      <c r="E3143" s="64">
        <v>2.634</v>
      </c>
    </row>
    <row r="3144" ht="22.5" customHeight="1">
      <c r="A3144" s="66">
        <v>10.78485</v>
      </c>
      <c r="B3144" s="67">
        <v>106.6942</v>
      </c>
      <c r="C3144" s="67">
        <v>10.76743</v>
      </c>
      <c r="D3144" s="67">
        <v>106.6809</v>
      </c>
      <c r="E3144" s="68">
        <v>2.623</v>
      </c>
    </row>
    <row r="3145" ht="22.5" customHeight="1">
      <c r="A3145" s="61">
        <v>10.78485</v>
      </c>
      <c r="B3145" s="63">
        <v>106.6942</v>
      </c>
      <c r="C3145" s="63">
        <v>10.76987</v>
      </c>
      <c r="D3145" s="63">
        <v>106.6856</v>
      </c>
      <c r="E3145" s="64">
        <v>2.739</v>
      </c>
    </row>
    <row r="3146" ht="22.5" customHeight="1">
      <c r="A3146" s="66">
        <v>10.78485</v>
      </c>
      <c r="B3146" s="67">
        <v>106.6942</v>
      </c>
      <c r="C3146" s="67">
        <v>10.77479</v>
      </c>
      <c r="D3146" s="67">
        <v>106.6885</v>
      </c>
      <c r="E3146" s="68">
        <v>1.47</v>
      </c>
    </row>
    <row r="3147" ht="22.5" customHeight="1">
      <c r="A3147" s="61">
        <v>10.78485</v>
      </c>
      <c r="B3147" s="63">
        <v>106.6942</v>
      </c>
      <c r="C3147" s="63">
        <v>10.77509</v>
      </c>
      <c r="D3147" s="63">
        <v>106.6727</v>
      </c>
      <c r="E3147" s="64">
        <v>3.207</v>
      </c>
    </row>
    <row r="3148" ht="22.5" customHeight="1">
      <c r="A3148" s="66">
        <v>10.78485</v>
      </c>
      <c r="B3148" s="67">
        <v>106.6942</v>
      </c>
      <c r="C3148" s="67">
        <v>10.77526</v>
      </c>
      <c r="D3148" s="67">
        <v>106.6823</v>
      </c>
      <c r="E3148" s="68">
        <v>2.454</v>
      </c>
    </row>
    <row r="3149" ht="22.5" customHeight="1">
      <c r="A3149" s="61">
        <v>10.78485</v>
      </c>
      <c r="B3149" s="63">
        <v>106.6942</v>
      </c>
      <c r="C3149" s="63">
        <v>10.77641</v>
      </c>
      <c r="D3149" s="63">
        <v>106.6866</v>
      </c>
      <c r="E3149" s="64">
        <v>1.647</v>
      </c>
    </row>
    <row r="3150" ht="22.5" customHeight="1">
      <c r="A3150" s="66">
        <v>10.78485</v>
      </c>
      <c r="B3150" s="67">
        <v>106.6942</v>
      </c>
      <c r="C3150" s="67">
        <v>10.77674</v>
      </c>
      <c r="D3150" s="67">
        <v>106.6841</v>
      </c>
      <c r="E3150" s="68">
        <v>1.835</v>
      </c>
    </row>
    <row r="3151" ht="22.5" customHeight="1">
      <c r="A3151" s="61">
        <v>10.78485</v>
      </c>
      <c r="B3151" s="63">
        <v>106.6942</v>
      </c>
      <c r="C3151" s="63">
        <v>10.7785</v>
      </c>
      <c r="D3151" s="63">
        <v>106.6858</v>
      </c>
      <c r="E3151" s="64">
        <v>1.859</v>
      </c>
    </row>
    <row r="3152" ht="22.5" customHeight="1">
      <c r="A3152" s="66">
        <v>10.78485</v>
      </c>
      <c r="B3152" s="67">
        <v>106.6942</v>
      </c>
      <c r="C3152" s="67">
        <v>10.77918</v>
      </c>
      <c r="D3152" s="67">
        <v>106.6903</v>
      </c>
      <c r="E3152" s="68">
        <v>0.789</v>
      </c>
    </row>
    <row r="3153" ht="22.5" customHeight="1">
      <c r="A3153" s="61">
        <v>10.78485</v>
      </c>
      <c r="B3153" s="63">
        <v>106.6942</v>
      </c>
      <c r="C3153" s="63">
        <v>10.77971</v>
      </c>
      <c r="D3153" s="63">
        <v>106.7008</v>
      </c>
      <c r="E3153" s="64">
        <v>1.176</v>
      </c>
    </row>
    <row r="3154" ht="22.5" customHeight="1">
      <c r="A3154" s="66">
        <v>10.78485</v>
      </c>
      <c r="B3154" s="67">
        <v>106.6942</v>
      </c>
      <c r="C3154" s="67">
        <v>10.78115</v>
      </c>
      <c r="D3154" s="67">
        <v>106.7005</v>
      </c>
      <c r="E3154" s="68">
        <v>1.095</v>
      </c>
    </row>
    <row r="3155" ht="22.5" customHeight="1">
      <c r="A3155" s="61">
        <v>10.78485</v>
      </c>
      <c r="B3155" s="63">
        <v>106.6942</v>
      </c>
      <c r="C3155" s="63">
        <v>10.78485</v>
      </c>
      <c r="D3155" s="63">
        <v>106.6942</v>
      </c>
      <c r="E3155" s="64">
        <v>0.0</v>
      </c>
    </row>
    <row r="3156" ht="22.5" customHeight="1">
      <c r="A3156" s="66">
        <v>10.78485</v>
      </c>
      <c r="B3156" s="67">
        <v>106.6942</v>
      </c>
      <c r="C3156" s="67">
        <v>10.78607</v>
      </c>
      <c r="D3156" s="67">
        <v>106.6877</v>
      </c>
      <c r="E3156" s="68">
        <v>1.042</v>
      </c>
    </row>
    <row r="3157" ht="22.5" customHeight="1">
      <c r="A3157" s="61">
        <v>10.78485</v>
      </c>
      <c r="B3157" s="63">
        <v>106.6942</v>
      </c>
      <c r="C3157" s="63">
        <v>10.79036</v>
      </c>
      <c r="D3157" s="63">
        <v>106.6973</v>
      </c>
      <c r="E3157" s="64">
        <v>0.958</v>
      </c>
    </row>
    <row r="3158" ht="22.5" customHeight="1">
      <c r="A3158" s="66">
        <v>10.78485</v>
      </c>
      <c r="B3158" s="67">
        <v>106.6942</v>
      </c>
      <c r="C3158" s="67">
        <v>10.79358</v>
      </c>
      <c r="D3158" s="67">
        <v>106.7179</v>
      </c>
      <c r="E3158" s="68">
        <v>4.155</v>
      </c>
    </row>
    <row r="3159" ht="22.5" customHeight="1">
      <c r="A3159" s="61">
        <v>10.78495</v>
      </c>
      <c r="B3159" s="63">
        <v>106.7491</v>
      </c>
      <c r="C3159" s="63">
        <v>10.79203</v>
      </c>
      <c r="D3159" s="63">
        <v>106.7304</v>
      </c>
      <c r="E3159" s="64">
        <v>4.135</v>
      </c>
    </row>
    <row r="3160" ht="22.5" customHeight="1">
      <c r="A3160" s="66">
        <v>10.78564</v>
      </c>
      <c r="B3160" s="67">
        <v>106.6786</v>
      </c>
      <c r="C3160" s="67">
        <v>10.77509</v>
      </c>
      <c r="D3160" s="67">
        <v>106.6727</v>
      </c>
      <c r="E3160" s="68">
        <v>2.34</v>
      </c>
    </row>
    <row r="3161" ht="22.5" customHeight="1">
      <c r="A3161" s="61">
        <v>10.78564</v>
      </c>
      <c r="B3161" s="63">
        <v>106.6786</v>
      </c>
      <c r="C3161" s="63">
        <v>10.78438</v>
      </c>
      <c r="D3161" s="63">
        <v>106.6829</v>
      </c>
      <c r="E3161" s="64">
        <v>0.935</v>
      </c>
    </row>
    <row r="3162" ht="22.5" customHeight="1">
      <c r="A3162" s="66">
        <v>10.78564</v>
      </c>
      <c r="B3162" s="67">
        <v>106.6786</v>
      </c>
      <c r="C3162" s="67">
        <v>10.79061</v>
      </c>
      <c r="D3162" s="67">
        <v>106.6883</v>
      </c>
      <c r="E3162" s="68">
        <v>2.076</v>
      </c>
    </row>
    <row r="3163" ht="22.5" customHeight="1">
      <c r="A3163" s="61">
        <v>10.78564</v>
      </c>
      <c r="B3163" s="63">
        <v>106.6786</v>
      </c>
      <c r="C3163" s="63">
        <v>10.79295</v>
      </c>
      <c r="D3163" s="63">
        <v>106.6858</v>
      </c>
      <c r="E3163" s="64">
        <v>2.727</v>
      </c>
    </row>
    <row r="3164" ht="22.5" customHeight="1">
      <c r="A3164" s="66">
        <v>10.78564</v>
      </c>
      <c r="B3164" s="67">
        <v>106.6786</v>
      </c>
      <c r="C3164" s="67">
        <v>10.79407</v>
      </c>
      <c r="D3164" s="67">
        <v>106.6839</v>
      </c>
      <c r="E3164" s="68">
        <v>2.004</v>
      </c>
    </row>
    <row r="3165" ht="22.5" customHeight="1">
      <c r="A3165" s="61">
        <v>10.78564</v>
      </c>
      <c r="B3165" s="63">
        <v>106.6786</v>
      </c>
      <c r="C3165" s="63">
        <v>10.79889</v>
      </c>
      <c r="D3165" s="63">
        <v>106.6803</v>
      </c>
      <c r="E3165" s="64">
        <v>2.783</v>
      </c>
    </row>
    <row r="3166" ht="22.5" customHeight="1">
      <c r="A3166" s="66">
        <v>10.78577</v>
      </c>
      <c r="B3166" s="67">
        <v>106.6562</v>
      </c>
      <c r="C3166" s="67">
        <v>10.75947</v>
      </c>
      <c r="D3166" s="67">
        <v>106.6805</v>
      </c>
      <c r="E3166" s="68">
        <v>5.8</v>
      </c>
    </row>
    <row r="3167" ht="22.5" customHeight="1">
      <c r="A3167" s="61">
        <v>10.78577</v>
      </c>
      <c r="B3167" s="63">
        <v>106.6562</v>
      </c>
      <c r="C3167" s="63">
        <v>10.76878</v>
      </c>
      <c r="D3167" s="63">
        <v>106.6667</v>
      </c>
      <c r="E3167" s="64">
        <v>2.7</v>
      </c>
    </row>
    <row r="3168" ht="22.5" customHeight="1">
      <c r="A3168" s="66">
        <v>10.78577</v>
      </c>
      <c r="B3168" s="67">
        <v>106.6562</v>
      </c>
      <c r="C3168" s="67">
        <v>10.76913</v>
      </c>
      <c r="D3168" s="67">
        <v>106.6615</v>
      </c>
      <c r="E3168" s="68">
        <v>2.7</v>
      </c>
    </row>
    <row r="3169" ht="22.5" customHeight="1">
      <c r="A3169" s="61">
        <v>10.78577</v>
      </c>
      <c r="B3169" s="63">
        <v>106.6562</v>
      </c>
      <c r="C3169" s="63">
        <v>10.76978</v>
      </c>
      <c r="D3169" s="63">
        <v>106.6909</v>
      </c>
      <c r="E3169" s="64">
        <v>5.1</v>
      </c>
    </row>
    <row r="3170" ht="22.5" customHeight="1">
      <c r="A3170" s="66">
        <v>10.78577</v>
      </c>
      <c r="B3170" s="67">
        <v>106.6562</v>
      </c>
      <c r="C3170" s="67">
        <v>10.76987</v>
      </c>
      <c r="D3170" s="67">
        <v>106.6856</v>
      </c>
      <c r="E3170" s="68">
        <v>4.9</v>
      </c>
    </row>
    <row r="3171" ht="22.5" customHeight="1">
      <c r="A3171" s="61">
        <v>10.78577</v>
      </c>
      <c r="B3171" s="63">
        <v>106.6562</v>
      </c>
      <c r="C3171" s="63">
        <v>10.7733</v>
      </c>
      <c r="D3171" s="63">
        <v>106.6687</v>
      </c>
      <c r="E3171" s="64">
        <v>2.3</v>
      </c>
    </row>
    <row r="3172" ht="22.5" customHeight="1">
      <c r="A3172" s="66">
        <v>10.78577</v>
      </c>
      <c r="B3172" s="67">
        <v>106.6562</v>
      </c>
      <c r="C3172" s="67">
        <v>10.77479</v>
      </c>
      <c r="D3172" s="67">
        <v>106.6885</v>
      </c>
      <c r="E3172" s="68">
        <v>4.5</v>
      </c>
    </row>
    <row r="3173" ht="22.5" customHeight="1">
      <c r="A3173" s="61">
        <v>10.78577</v>
      </c>
      <c r="B3173" s="63">
        <v>106.6562</v>
      </c>
      <c r="C3173" s="63">
        <v>10.77509</v>
      </c>
      <c r="D3173" s="63">
        <v>106.6727</v>
      </c>
      <c r="E3173" s="64">
        <v>3.0</v>
      </c>
    </row>
    <row r="3174" ht="22.5" customHeight="1">
      <c r="A3174" s="66">
        <v>10.78577</v>
      </c>
      <c r="B3174" s="67">
        <v>106.6562</v>
      </c>
      <c r="C3174" s="67">
        <v>10.77525</v>
      </c>
      <c r="D3174" s="67">
        <v>106.6592</v>
      </c>
      <c r="E3174" s="68">
        <v>1.8</v>
      </c>
    </row>
    <row r="3175" ht="22.5" customHeight="1">
      <c r="A3175" s="61">
        <v>10.78577</v>
      </c>
      <c r="B3175" s="63">
        <v>106.6562</v>
      </c>
      <c r="C3175" s="63">
        <v>10.77526</v>
      </c>
      <c r="D3175" s="63">
        <v>106.6823</v>
      </c>
      <c r="E3175" s="64">
        <v>4.5</v>
      </c>
    </row>
    <row r="3176" ht="22.5" customHeight="1">
      <c r="A3176" s="66">
        <v>10.78577</v>
      </c>
      <c r="B3176" s="67">
        <v>106.6562</v>
      </c>
      <c r="C3176" s="67">
        <v>10.77674</v>
      </c>
      <c r="D3176" s="67">
        <v>106.6841</v>
      </c>
      <c r="E3176" s="68">
        <v>3.9</v>
      </c>
    </row>
    <row r="3177" ht="22.5" customHeight="1">
      <c r="A3177" s="61">
        <v>10.78577</v>
      </c>
      <c r="B3177" s="63">
        <v>106.6562</v>
      </c>
      <c r="C3177" s="63">
        <v>10.78009</v>
      </c>
      <c r="D3177" s="63">
        <v>106.6638</v>
      </c>
      <c r="E3177" s="64">
        <v>1.3</v>
      </c>
    </row>
    <row r="3178" ht="22.5" customHeight="1">
      <c r="A3178" s="66">
        <v>10.78577</v>
      </c>
      <c r="B3178" s="67">
        <v>106.6562</v>
      </c>
      <c r="C3178" s="67">
        <v>10.78213</v>
      </c>
      <c r="D3178" s="67">
        <v>106.6678</v>
      </c>
      <c r="E3178" s="68">
        <v>1.7</v>
      </c>
    </row>
    <row r="3179" ht="22.5" customHeight="1">
      <c r="A3179" s="61">
        <v>10.78577</v>
      </c>
      <c r="B3179" s="63">
        <v>106.6562</v>
      </c>
      <c r="C3179" s="63">
        <v>10.79193</v>
      </c>
      <c r="D3179" s="63">
        <v>106.6555</v>
      </c>
      <c r="E3179" s="64">
        <v>1.4</v>
      </c>
    </row>
    <row r="3180" ht="22.5" customHeight="1">
      <c r="A3180" s="66">
        <v>10.78577</v>
      </c>
      <c r="B3180" s="67">
        <v>106.6562</v>
      </c>
      <c r="C3180" s="67">
        <v>10.79588</v>
      </c>
      <c r="D3180" s="67">
        <v>106.6411</v>
      </c>
      <c r="E3180" s="68">
        <v>2.8</v>
      </c>
    </row>
    <row r="3181" ht="22.5" customHeight="1">
      <c r="A3181" s="61">
        <v>10.78607</v>
      </c>
      <c r="B3181" s="63">
        <v>106.6877</v>
      </c>
      <c r="C3181" s="63">
        <v>10.76732</v>
      </c>
      <c r="D3181" s="63">
        <v>106.6966</v>
      </c>
      <c r="E3181" s="64">
        <v>2.817</v>
      </c>
    </row>
    <row r="3182" ht="22.5" customHeight="1">
      <c r="A3182" s="66">
        <v>10.78607</v>
      </c>
      <c r="B3182" s="67">
        <v>106.6877</v>
      </c>
      <c r="C3182" s="67">
        <v>10.7718</v>
      </c>
      <c r="D3182" s="67">
        <v>106.6714</v>
      </c>
      <c r="E3182" s="68">
        <v>2.796</v>
      </c>
    </row>
    <row r="3183" ht="22.5" customHeight="1">
      <c r="A3183" s="61">
        <v>10.78607</v>
      </c>
      <c r="B3183" s="63">
        <v>106.6877</v>
      </c>
      <c r="C3183" s="63">
        <v>10.77479</v>
      </c>
      <c r="D3183" s="63">
        <v>106.6885</v>
      </c>
      <c r="E3183" s="64">
        <v>1.749</v>
      </c>
    </row>
    <row r="3184" ht="22.5" customHeight="1">
      <c r="A3184" s="66">
        <v>10.78607</v>
      </c>
      <c r="B3184" s="67">
        <v>106.6877</v>
      </c>
      <c r="C3184" s="67">
        <v>10.77509</v>
      </c>
      <c r="D3184" s="67">
        <v>106.6727</v>
      </c>
      <c r="E3184" s="68">
        <v>2.304</v>
      </c>
    </row>
    <row r="3185" ht="22.5" customHeight="1">
      <c r="A3185" s="61">
        <v>10.78607</v>
      </c>
      <c r="B3185" s="63">
        <v>106.6877</v>
      </c>
      <c r="C3185" s="63">
        <v>10.77641</v>
      </c>
      <c r="D3185" s="63">
        <v>106.6866</v>
      </c>
      <c r="E3185" s="64">
        <v>1.375</v>
      </c>
    </row>
    <row r="3186" ht="22.5" customHeight="1">
      <c r="A3186" s="66">
        <v>10.78607</v>
      </c>
      <c r="B3186" s="67">
        <v>106.6877</v>
      </c>
      <c r="C3186" s="67">
        <v>10.77674</v>
      </c>
      <c r="D3186" s="67">
        <v>106.6841</v>
      </c>
      <c r="E3186" s="68">
        <v>1.74</v>
      </c>
    </row>
    <row r="3187" ht="22.5" customHeight="1">
      <c r="A3187" s="61">
        <v>10.78607</v>
      </c>
      <c r="B3187" s="63">
        <v>106.6877</v>
      </c>
      <c r="C3187" s="63">
        <v>10.77727</v>
      </c>
      <c r="D3187" s="63">
        <v>106.6795</v>
      </c>
      <c r="E3187" s="64">
        <v>1.931</v>
      </c>
    </row>
    <row r="3188" ht="22.5" customHeight="1">
      <c r="A3188" s="66">
        <v>10.78607</v>
      </c>
      <c r="B3188" s="67">
        <v>106.6877</v>
      </c>
      <c r="C3188" s="67">
        <v>10.7785</v>
      </c>
      <c r="D3188" s="67">
        <v>106.6858</v>
      </c>
      <c r="E3188" s="68">
        <v>1.35</v>
      </c>
    </row>
    <row r="3189" ht="22.5" customHeight="1">
      <c r="A3189" s="61">
        <v>10.78607</v>
      </c>
      <c r="B3189" s="63">
        <v>106.6877</v>
      </c>
      <c r="C3189" s="63">
        <v>10.77918</v>
      </c>
      <c r="D3189" s="63">
        <v>106.6903</v>
      </c>
      <c r="E3189" s="64">
        <v>1.045</v>
      </c>
    </row>
    <row r="3190" ht="22.5" customHeight="1">
      <c r="A3190" s="66">
        <v>10.78607</v>
      </c>
      <c r="B3190" s="67">
        <v>106.6877</v>
      </c>
      <c r="C3190" s="67">
        <v>10.78115</v>
      </c>
      <c r="D3190" s="67">
        <v>106.7005</v>
      </c>
      <c r="E3190" s="68">
        <v>2.21</v>
      </c>
    </row>
    <row r="3191" ht="22.5" customHeight="1">
      <c r="A3191" s="61">
        <v>10.78607</v>
      </c>
      <c r="B3191" s="63">
        <v>106.6877</v>
      </c>
      <c r="C3191" s="63">
        <v>10.78485</v>
      </c>
      <c r="D3191" s="63">
        <v>106.6942</v>
      </c>
      <c r="E3191" s="64">
        <v>0.965</v>
      </c>
    </row>
    <row r="3192" ht="22.5" customHeight="1">
      <c r="A3192" s="66">
        <v>10.78607</v>
      </c>
      <c r="B3192" s="67">
        <v>106.6877</v>
      </c>
      <c r="C3192" s="67">
        <v>10.78607</v>
      </c>
      <c r="D3192" s="67">
        <v>106.6877</v>
      </c>
      <c r="E3192" s="68">
        <v>0.0</v>
      </c>
    </row>
    <row r="3193" ht="22.5" customHeight="1">
      <c r="A3193" s="61">
        <v>10.78607</v>
      </c>
      <c r="B3193" s="63">
        <v>106.6877</v>
      </c>
      <c r="C3193" s="63">
        <v>10.79061</v>
      </c>
      <c r="D3193" s="63">
        <v>106.6883</v>
      </c>
      <c r="E3193" s="64">
        <v>1.848</v>
      </c>
    </row>
    <row r="3194" ht="22.5" customHeight="1">
      <c r="A3194" s="66">
        <v>10.78624</v>
      </c>
      <c r="B3194" s="67">
        <v>106.6887</v>
      </c>
      <c r="C3194" s="67">
        <v>10.74857</v>
      </c>
      <c r="D3194" s="67">
        <v>106.6996</v>
      </c>
      <c r="E3194" s="68">
        <v>6.9</v>
      </c>
    </row>
    <row r="3195" ht="22.5" customHeight="1">
      <c r="A3195" s="61">
        <v>10.78624</v>
      </c>
      <c r="B3195" s="63">
        <v>106.6887</v>
      </c>
      <c r="C3195" s="63">
        <v>10.75317</v>
      </c>
      <c r="D3195" s="63">
        <v>106.6778</v>
      </c>
      <c r="E3195" s="64">
        <v>6.6</v>
      </c>
    </row>
    <row r="3196" ht="22.5" customHeight="1">
      <c r="A3196" s="66">
        <v>10.78624</v>
      </c>
      <c r="B3196" s="67">
        <v>106.6887</v>
      </c>
      <c r="C3196" s="67">
        <v>10.75575</v>
      </c>
      <c r="D3196" s="67">
        <v>106.6834</v>
      </c>
      <c r="E3196" s="68">
        <v>5.4</v>
      </c>
    </row>
    <row r="3197" ht="22.5" customHeight="1">
      <c r="A3197" s="61">
        <v>10.78624</v>
      </c>
      <c r="B3197" s="63">
        <v>106.6887</v>
      </c>
      <c r="C3197" s="63">
        <v>10.75728</v>
      </c>
      <c r="D3197" s="63">
        <v>106.6659</v>
      </c>
      <c r="E3197" s="64">
        <v>4.8</v>
      </c>
    </row>
    <row r="3198" ht="22.5" customHeight="1">
      <c r="A3198" s="66">
        <v>10.78624</v>
      </c>
      <c r="B3198" s="67">
        <v>106.6887</v>
      </c>
      <c r="C3198" s="67">
        <v>10.75784</v>
      </c>
      <c r="D3198" s="67">
        <v>106.6595</v>
      </c>
      <c r="E3198" s="68">
        <v>6.149</v>
      </c>
    </row>
    <row r="3199" ht="22.5" customHeight="1">
      <c r="A3199" s="61">
        <v>10.78624</v>
      </c>
      <c r="B3199" s="63">
        <v>106.6887</v>
      </c>
      <c r="C3199" s="63">
        <v>10.76244</v>
      </c>
      <c r="D3199" s="63">
        <v>106.6704</v>
      </c>
      <c r="E3199" s="64">
        <v>4.306</v>
      </c>
    </row>
    <row r="3200" ht="22.5" customHeight="1">
      <c r="A3200" s="66">
        <v>10.78624</v>
      </c>
      <c r="B3200" s="67">
        <v>106.6887</v>
      </c>
      <c r="C3200" s="67">
        <v>10.76248</v>
      </c>
      <c r="D3200" s="67">
        <v>106.6702</v>
      </c>
      <c r="E3200" s="68">
        <v>4.129</v>
      </c>
    </row>
    <row r="3201" ht="22.5" customHeight="1">
      <c r="A3201" s="61">
        <v>10.78624</v>
      </c>
      <c r="B3201" s="63">
        <v>106.6887</v>
      </c>
      <c r="C3201" s="63">
        <v>10.78084</v>
      </c>
      <c r="D3201" s="63">
        <v>106.7023</v>
      </c>
      <c r="E3201" s="64">
        <v>3.2</v>
      </c>
    </row>
    <row r="3202" ht="22.5" customHeight="1">
      <c r="A3202" s="66">
        <v>10.78624</v>
      </c>
      <c r="B3202" s="67">
        <v>106.7313</v>
      </c>
      <c r="C3202" s="67">
        <v>10.76656</v>
      </c>
      <c r="D3202" s="67">
        <v>106.726</v>
      </c>
      <c r="E3202" s="68">
        <v>3.257</v>
      </c>
    </row>
    <row r="3203" ht="22.5" customHeight="1">
      <c r="A3203" s="61">
        <v>10.78624</v>
      </c>
      <c r="B3203" s="63">
        <v>106.7313</v>
      </c>
      <c r="C3203" s="63">
        <v>10.77509</v>
      </c>
      <c r="D3203" s="63">
        <v>106.6727</v>
      </c>
      <c r="E3203" s="64">
        <v>8.7</v>
      </c>
    </row>
    <row r="3204" ht="22.5" customHeight="1">
      <c r="A3204" s="66">
        <v>10.78624</v>
      </c>
      <c r="B3204" s="67">
        <v>106.7313</v>
      </c>
      <c r="C3204" s="67">
        <v>10.77526</v>
      </c>
      <c r="D3204" s="67">
        <v>106.6823</v>
      </c>
      <c r="E3204" s="68">
        <v>7.667</v>
      </c>
    </row>
    <row r="3205" ht="22.5" customHeight="1">
      <c r="A3205" s="61">
        <v>10.78624</v>
      </c>
      <c r="B3205" s="63">
        <v>106.7313</v>
      </c>
      <c r="C3205" s="63">
        <v>10.77674</v>
      </c>
      <c r="D3205" s="63">
        <v>106.6841</v>
      </c>
      <c r="E3205" s="64">
        <v>7.094</v>
      </c>
    </row>
    <row r="3206" ht="22.5" customHeight="1">
      <c r="A3206" s="66">
        <v>10.78624</v>
      </c>
      <c r="B3206" s="67">
        <v>106.7313</v>
      </c>
      <c r="C3206" s="67">
        <v>10.7785</v>
      </c>
      <c r="D3206" s="67">
        <v>106.6858</v>
      </c>
      <c r="E3206" s="68">
        <v>7.219</v>
      </c>
    </row>
    <row r="3207" ht="22.5" customHeight="1">
      <c r="A3207" s="61">
        <v>10.78624</v>
      </c>
      <c r="B3207" s="63">
        <v>106.7313</v>
      </c>
      <c r="C3207" s="63">
        <v>10.78115</v>
      </c>
      <c r="D3207" s="63">
        <v>106.7005</v>
      </c>
      <c r="E3207" s="64">
        <v>4.829</v>
      </c>
    </row>
    <row r="3208" ht="22.5" customHeight="1">
      <c r="A3208" s="66">
        <v>10.78624</v>
      </c>
      <c r="B3208" s="67">
        <v>106.7313</v>
      </c>
      <c r="C3208" s="67">
        <v>10.7818</v>
      </c>
      <c r="D3208" s="67">
        <v>106.7611</v>
      </c>
      <c r="E3208" s="68">
        <v>4.028</v>
      </c>
    </row>
    <row r="3209" ht="22.5" customHeight="1">
      <c r="A3209" s="61">
        <v>10.78624</v>
      </c>
      <c r="B3209" s="63">
        <v>106.7313</v>
      </c>
      <c r="C3209" s="63">
        <v>10.7845</v>
      </c>
      <c r="D3209" s="63">
        <v>106.7477</v>
      </c>
      <c r="E3209" s="64">
        <v>3.837</v>
      </c>
    </row>
    <row r="3210" ht="22.5" customHeight="1">
      <c r="A3210" s="66">
        <v>10.78624</v>
      </c>
      <c r="B3210" s="67">
        <v>106.7313</v>
      </c>
      <c r="C3210" s="67">
        <v>10.78485</v>
      </c>
      <c r="D3210" s="67">
        <v>106.6942</v>
      </c>
      <c r="E3210" s="68">
        <v>5.63</v>
      </c>
    </row>
    <row r="3211" ht="22.5" customHeight="1">
      <c r="A3211" s="61">
        <v>10.78624</v>
      </c>
      <c r="B3211" s="63">
        <v>106.7313</v>
      </c>
      <c r="C3211" s="63">
        <v>10.78624</v>
      </c>
      <c r="D3211" s="63">
        <v>106.7313</v>
      </c>
      <c r="E3211" s="64">
        <v>0.0</v>
      </c>
    </row>
    <row r="3212" ht="22.5" customHeight="1">
      <c r="A3212" s="66">
        <v>10.78624</v>
      </c>
      <c r="B3212" s="67">
        <v>106.7313</v>
      </c>
      <c r="C3212" s="67">
        <v>10.78759</v>
      </c>
      <c r="D3212" s="67">
        <v>106.7337</v>
      </c>
      <c r="E3212" s="68">
        <v>0.564</v>
      </c>
    </row>
    <row r="3213" ht="22.5" customHeight="1">
      <c r="A3213" s="61">
        <v>10.78624</v>
      </c>
      <c r="B3213" s="63">
        <v>106.7313</v>
      </c>
      <c r="C3213" s="63">
        <v>10.78851</v>
      </c>
      <c r="D3213" s="63">
        <v>106.777</v>
      </c>
      <c r="E3213" s="64">
        <v>6.894</v>
      </c>
    </row>
    <row r="3214" ht="22.5" customHeight="1">
      <c r="A3214" s="66">
        <v>10.78624</v>
      </c>
      <c r="B3214" s="67">
        <v>106.7313</v>
      </c>
      <c r="C3214" s="67">
        <v>10.78871</v>
      </c>
      <c r="D3214" s="67">
        <v>106.7343</v>
      </c>
      <c r="E3214" s="68">
        <v>1.139</v>
      </c>
    </row>
    <row r="3215" ht="22.5" customHeight="1">
      <c r="A3215" s="61">
        <v>10.78624</v>
      </c>
      <c r="B3215" s="63">
        <v>106.7313</v>
      </c>
      <c r="C3215" s="63">
        <v>10.78877</v>
      </c>
      <c r="D3215" s="63">
        <v>106.6994</v>
      </c>
      <c r="E3215" s="64">
        <v>4.784</v>
      </c>
    </row>
    <row r="3216" ht="22.5" customHeight="1">
      <c r="A3216" s="66">
        <v>10.78624</v>
      </c>
      <c r="B3216" s="67">
        <v>106.7313</v>
      </c>
      <c r="C3216" s="67">
        <v>10.79036</v>
      </c>
      <c r="D3216" s="67">
        <v>106.6973</v>
      </c>
      <c r="E3216" s="68">
        <v>7.799</v>
      </c>
    </row>
    <row r="3217" ht="22.5" customHeight="1">
      <c r="A3217" s="61">
        <v>10.78624</v>
      </c>
      <c r="B3217" s="63">
        <v>106.7313</v>
      </c>
      <c r="C3217" s="63">
        <v>10.79121</v>
      </c>
      <c r="D3217" s="63">
        <v>106.7227</v>
      </c>
      <c r="E3217" s="64">
        <v>4.946</v>
      </c>
    </row>
    <row r="3218" ht="22.5" customHeight="1">
      <c r="A3218" s="66">
        <v>10.78624</v>
      </c>
      <c r="B3218" s="67">
        <v>106.7313</v>
      </c>
      <c r="C3218" s="67">
        <v>10.79203</v>
      </c>
      <c r="D3218" s="67">
        <v>106.7304</v>
      </c>
      <c r="E3218" s="68">
        <v>1.284</v>
      </c>
    </row>
    <row r="3219" ht="22.5" customHeight="1">
      <c r="A3219" s="61">
        <v>10.78624</v>
      </c>
      <c r="B3219" s="63">
        <v>106.7313</v>
      </c>
      <c r="C3219" s="63">
        <v>10.79358</v>
      </c>
      <c r="D3219" s="63">
        <v>106.7179</v>
      </c>
      <c r="E3219" s="64">
        <v>4.645</v>
      </c>
    </row>
    <row r="3220" ht="22.5" customHeight="1">
      <c r="A3220" s="66">
        <v>10.78624</v>
      </c>
      <c r="B3220" s="67">
        <v>106.7313</v>
      </c>
      <c r="C3220" s="67">
        <v>10.7938</v>
      </c>
      <c r="D3220" s="67">
        <v>106.7467</v>
      </c>
      <c r="E3220" s="68">
        <v>2.728</v>
      </c>
    </row>
    <row r="3221" ht="22.5" customHeight="1">
      <c r="A3221" s="61">
        <v>10.78624</v>
      </c>
      <c r="B3221" s="63">
        <v>106.7313</v>
      </c>
      <c r="C3221" s="63">
        <v>10.79446</v>
      </c>
      <c r="D3221" s="63">
        <v>106.731</v>
      </c>
      <c r="E3221" s="64">
        <v>1.185</v>
      </c>
    </row>
    <row r="3222" ht="22.5" customHeight="1">
      <c r="A3222" s="66">
        <v>10.78624</v>
      </c>
      <c r="B3222" s="67">
        <v>106.7313</v>
      </c>
      <c r="C3222" s="67">
        <v>10.80128</v>
      </c>
      <c r="D3222" s="67">
        <v>106.7329</v>
      </c>
      <c r="E3222" s="68">
        <v>2.4</v>
      </c>
    </row>
    <row r="3223" ht="22.5" customHeight="1">
      <c r="A3223" s="61">
        <v>10.78624</v>
      </c>
      <c r="B3223" s="63">
        <v>106.7313</v>
      </c>
      <c r="C3223" s="63">
        <v>10.80271</v>
      </c>
      <c r="D3223" s="63">
        <v>106.7355</v>
      </c>
      <c r="E3223" s="64">
        <v>3.059</v>
      </c>
    </row>
    <row r="3224" ht="22.5" customHeight="1">
      <c r="A3224" s="66">
        <v>10.78624</v>
      </c>
      <c r="B3224" s="67">
        <v>106.7313</v>
      </c>
      <c r="C3224" s="67">
        <v>10.80312</v>
      </c>
      <c r="D3224" s="67">
        <v>106.7097</v>
      </c>
      <c r="E3224" s="68">
        <v>5.085</v>
      </c>
    </row>
    <row r="3225" ht="22.5" customHeight="1">
      <c r="A3225" s="61">
        <v>10.78624</v>
      </c>
      <c r="B3225" s="63">
        <v>106.7313</v>
      </c>
      <c r="C3225" s="63">
        <v>10.80353</v>
      </c>
      <c r="D3225" s="63">
        <v>106.7039</v>
      </c>
      <c r="E3225" s="64">
        <v>5.738</v>
      </c>
    </row>
    <row r="3226" ht="22.5" customHeight="1">
      <c r="A3226" s="66">
        <v>10.78624</v>
      </c>
      <c r="B3226" s="67">
        <v>106.7313</v>
      </c>
      <c r="C3226" s="67">
        <v>10.80393</v>
      </c>
      <c r="D3226" s="67">
        <v>106.7092</v>
      </c>
      <c r="E3226" s="68">
        <v>5.568</v>
      </c>
    </row>
    <row r="3227" ht="22.5" customHeight="1">
      <c r="A3227" s="61">
        <v>10.78624</v>
      </c>
      <c r="B3227" s="63">
        <v>106.7313</v>
      </c>
      <c r="C3227" s="63">
        <v>10.80434</v>
      </c>
      <c r="D3227" s="63">
        <v>106.7445</v>
      </c>
      <c r="E3227" s="64">
        <v>3.83</v>
      </c>
    </row>
    <row r="3228" ht="22.5" customHeight="1">
      <c r="A3228" s="66">
        <v>10.78624</v>
      </c>
      <c r="B3228" s="67">
        <v>106.7313</v>
      </c>
      <c r="C3228" s="67">
        <v>10.80543</v>
      </c>
      <c r="D3228" s="67">
        <v>106.7324</v>
      </c>
      <c r="E3228" s="68">
        <v>3.031</v>
      </c>
    </row>
    <row r="3229" ht="22.5" customHeight="1">
      <c r="A3229" s="61">
        <v>10.78624</v>
      </c>
      <c r="B3229" s="63">
        <v>106.7313</v>
      </c>
      <c r="C3229" s="63">
        <v>10.81521</v>
      </c>
      <c r="D3229" s="63">
        <v>106.6978</v>
      </c>
      <c r="E3229" s="64">
        <v>7.995</v>
      </c>
    </row>
    <row r="3230" ht="22.5" customHeight="1">
      <c r="A3230" s="66">
        <v>10.78624</v>
      </c>
      <c r="B3230" s="67">
        <v>106.7313</v>
      </c>
      <c r="C3230" s="67">
        <v>10.82166</v>
      </c>
      <c r="D3230" s="67">
        <v>106.7034</v>
      </c>
      <c r="E3230" s="68">
        <v>8.948</v>
      </c>
    </row>
    <row r="3231" ht="22.5" customHeight="1">
      <c r="A3231" s="61">
        <v>10.78681</v>
      </c>
      <c r="B3231" s="63">
        <v>106.6794</v>
      </c>
      <c r="C3231" s="63">
        <v>10.77509</v>
      </c>
      <c r="D3231" s="63">
        <v>106.6727</v>
      </c>
      <c r="E3231" s="64">
        <v>2.648</v>
      </c>
    </row>
    <row r="3232" ht="22.5" customHeight="1">
      <c r="A3232" s="66">
        <v>10.78681</v>
      </c>
      <c r="B3232" s="67">
        <v>106.6794</v>
      </c>
      <c r="C3232" s="67">
        <v>10.77641</v>
      </c>
      <c r="D3232" s="67">
        <v>106.6866</v>
      </c>
      <c r="E3232" s="68">
        <v>2.063</v>
      </c>
    </row>
    <row r="3233" ht="22.5" customHeight="1">
      <c r="A3233" s="61">
        <v>10.78681</v>
      </c>
      <c r="B3233" s="63">
        <v>106.6794</v>
      </c>
      <c r="C3233" s="63">
        <v>10.78438</v>
      </c>
      <c r="D3233" s="63">
        <v>106.6829</v>
      </c>
      <c r="E3233" s="64">
        <v>0.5</v>
      </c>
    </row>
    <row r="3234" ht="22.5" customHeight="1">
      <c r="A3234" s="66">
        <v>10.78681</v>
      </c>
      <c r="B3234" s="67">
        <v>106.6794</v>
      </c>
      <c r="C3234" s="67">
        <v>10.78681</v>
      </c>
      <c r="D3234" s="67">
        <v>106.6794</v>
      </c>
      <c r="E3234" s="68">
        <v>0.078</v>
      </c>
    </row>
    <row r="3235" ht="22.5" customHeight="1">
      <c r="A3235" s="61">
        <v>10.78681</v>
      </c>
      <c r="B3235" s="63">
        <v>106.6794</v>
      </c>
      <c r="C3235" s="63">
        <v>10.79061</v>
      </c>
      <c r="D3235" s="63">
        <v>106.6883</v>
      </c>
      <c r="E3235" s="64">
        <v>1.963</v>
      </c>
    </row>
    <row r="3236" ht="22.5" customHeight="1">
      <c r="A3236" s="66">
        <v>10.78681</v>
      </c>
      <c r="B3236" s="67">
        <v>106.6794</v>
      </c>
      <c r="C3236" s="67">
        <v>10.79169</v>
      </c>
      <c r="D3236" s="67">
        <v>106.6836</v>
      </c>
      <c r="E3236" s="68">
        <v>1.712</v>
      </c>
    </row>
    <row r="3237" ht="22.5" customHeight="1">
      <c r="A3237" s="61">
        <v>10.78714</v>
      </c>
      <c r="B3237" s="63">
        <v>106.6965</v>
      </c>
      <c r="C3237" s="63">
        <v>10.77971</v>
      </c>
      <c r="D3237" s="63">
        <v>106.7008</v>
      </c>
      <c r="E3237" s="64">
        <v>1.131</v>
      </c>
    </row>
    <row r="3238" ht="22.5" customHeight="1">
      <c r="A3238" s="66">
        <v>10.78714</v>
      </c>
      <c r="B3238" s="67">
        <v>106.6965</v>
      </c>
      <c r="C3238" s="67">
        <v>10.79036</v>
      </c>
      <c r="D3238" s="67">
        <v>106.6973</v>
      </c>
      <c r="E3238" s="68">
        <v>0.687</v>
      </c>
    </row>
    <row r="3239" ht="22.5" customHeight="1">
      <c r="A3239" s="61">
        <v>10.78714</v>
      </c>
      <c r="B3239" s="63">
        <v>106.6965</v>
      </c>
      <c r="C3239" s="63">
        <v>10.80027</v>
      </c>
      <c r="D3239" s="63">
        <v>106.7109</v>
      </c>
      <c r="E3239" s="64">
        <v>3.184</v>
      </c>
    </row>
    <row r="3240" ht="22.5" customHeight="1">
      <c r="A3240" s="66">
        <v>10.78747</v>
      </c>
      <c r="B3240" s="67">
        <v>106.5981</v>
      </c>
      <c r="C3240" s="67">
        <v>10.71016</v>
      </c>
      <c r="D3240" s="67">
        <v>106.5747</v>
      </c>
      <c r="E3240" s="68">
        <v>10.892</v>
      </c>
    </row>
    <row r="3241" ht="22.5" customHeight="1">
      <c r="A3241" s="61">
        <v>10.78747</v>
      </c>
      <c r="B3241" s="63">
        <v>106.5981</v>
      </c>
      <c r="C3241" s="63">
        <v>10.7252</v>
      </c>
      <c r="D3241" s="63">
        <v>106.6094</v>
      </c>
      <c r="E3241" s="64">
        <v>8.196</v>
      </c>
    </row>
    <row r="3242" ht="22.5" customHeight="1">
      <c r="A3242" s="66">
        <v>10.78747</v>
      </c>
      <c r="B3242" s="67">
        <v>106.5981</v>
      </c>
      <c r="C3242" s="67">
        <v>10.73897</v>
      </c>
      <c r="D3242" s="67">
        <v>106.6149</v>
      </c>
      <c r="E3242" s="68">
        <v>7.193</v>
      </c>
    </row>
    <row r="3243" ht="22.5" customHeight="1">
      <c r="A3243" s="61">
        <v>10.78747</v>
      </c>
      <c r="B3243" s="63">
        <v>106.5981</v>
      </c>
      <c r="C3243" s="63">
        <v>10.73905</v>
      </c>
      <c r="D3243" s="63">
        <v>106.6327</v>
      </c>
      <c r="E3243" s="64">
        <v>8.488</v>
      </c>
    </row>
    <row r="3244" ht="22.5" customHeight="1">
      <c r="A3244" s="66">
        <v>10.78747</v>
      </c>
      <c r="B3244" s="67">
        <v>106.5981</v>
      </c>
      <c r="C3244" s="67">
        <v>10.7444</v>
      </c>
      <c r="D3244" s="67">
        <v>106.6304</v>
      </c>
      <c r="E3244" s="68">
        <v>8.037</v>
      </c>
    </row>
    <row r="3245" ht="22.5" customHeight="1">
      <c r="A3245" s="61">
        <v>10.78747</v>
      </c>
      <c r="B3245" s="63">
        <v>106.5981</v>
      </c>
      <c r="C3245" s="63">
        <v>10.74602</v>
      </c>
      <c r="D3245" s="63">
        <v>106.6123</v>
      </c>
      <c r="E3245" s="64">
        <v>5.428</v>
      </c>
    </row>
    <row r="3246" ht="22.5" customHeight="1">
      <c r="A3246" s="66">
        <v>10.78747</v>
      </c>
      <c r="B3246" s="67">
        <v>106.5981</v>
      </c>
      <c r="C3246" s="67">
        <v>10.74672</v>
      </c>
      <c r="D3246" s="67">
        <v>106.6132</v>
      </c>
      <c r="E3246" s="68">
        <v>6.616</v>
      </c>
    </row>
    <row r="3247" ht="22.5" customHeight="1">
      <c r="A3247" s="61">
        <v>10.78747</v>
      </c>
      <c r="B3247" s="63">
        <v>106.5981</v>
      </c>
      <c r="C3247" s="63">
        <v>10.75168</v>
      </c>
      <c r="D3247" s="63">
        <v>106.6103</v>
      </c>
      <c r="E3247" s="64">
        <v>4.822</v>
      </c>
    </row>
    <row r="3248" ht="22.5" customHeight="1">
      <c r="A3248" s="66">
        <v>10.78747</v>
      </c>
      <c r="B3248" s="67">
        <v>106.5981</v>
      </c>
      <c r="C3248" s="67">
        <v>10.75191</v>
      </c>
      <c r="D3248" s="67">
        <v>106.6006</v>
      </c>
      <c r="E3248" s="68">
        <v>4.751</v>
      </c>
    </row>
    <row r="3249" ht="22.5" customHeight="1">
      <c r="A3249" s="61">
        <v>10.78747</v>
      </c>
      <c r="B3249" s="63">
        <v>106.5981</v>
      </c>
      <c r="C3249" s="63">
        <v>10.75347</v>
      </c>
      <c r="D3249" s="63">
        <v>106.5931</v>
      </c>
      <c r="E3249" s="64">
        <v>7.108</v>
      </c>
    </row>
    <row r="3250" ht="22.5" customHeight="1">
      <c r="A3250" s="66">
        <v>10.78747</v>
      </c>
      <c r="B3250" s="67">
        <v>106.5981</v>
      </c>
      <c r="C3250" s="67">
        <v>10.75566</v>
      </c>
      <c r="D3250" s="67">
        <v>106.6098</v>
      </c>
      <c r="E3250" s="68">
        <v>4.428</v>
      </c>
    </row>
    <row r="3251" ht="22.5" customHeight="1">
      <c r="A3251" s="61">
        <v>10.78747</v>
      </c>
      <c r="B3251" s="63">
        <v>106.5981</v>
      </c>
      <c r="C3251" s="63">
        <v>10.75644</v>
      </c>
      <c r="D3251" s="63">
        <v>106.5914</v>
      </c>
      <c r="E3251" s="64">
        <v>4.402</v>
      </c>
    </row>
    <row r="3252" ht="22.5" customHeight="1">
      <c r="A3252" s="66">
        <v>10.78747</v>
      </c>
      <c r="B3252" s="67">
        <v>106.5981</v>
      </c>
      <c r="C3252" s="67">
        <v>10.75889</v>
      </c>
      <c r="D3252" s="67">
        <v>106.5791</v>
      </c>
      <c r="E3252" s="68">
        <v>8.951</v>
      </c>
    </row>
    <row r="3253" ht="22.5" customHeight="1">
      <c r="A3253" s="61">
        <v>10.78747</v>
      </c>
      <c r="B3253" s="63">
        <v>106.5981</v>
      </c>
      <c r="C3253" s="63">
        <v>10.76444</v>
      </c>
      <c r="D3253" s="63">
        <v>106.6033</v>
      </c>
      <c r="E3253" s="64">
        <v>3.02</v>
      </c>
    </row>
    <row r="3254" ht="22.5" customHeight="1">
      <c r="A3254" s="66">
        <v>10.78747</v>
      </c>
      <c r="B3254" s="67">
        <v>106.5981</v>
      </c>
      <c r="C3254" s="67">
        <v>10.76707</v>
      </c>
      <c r="D3254" s="67">
        <v>106.6493</v>
      </c>
      <c r="E3254" s="68">
        <v>7.002</v>
      </c>
    </row>
    <row r="3255" ht="22.5" customHeight="1">
      <c r="A3255" s="61">
        <v>10.78747</v>
      </c>
      <c r="B3255" s="63">
        <v>106.5981</v>
      </c>
      <c r="C3255" s="63">
        <v>10.76809</v>
      </c>
      <c r="D3255" s="63">
        <v>106.6092</v>
      </c>
      <c r="E3255" s="64">
        <v>3.351</v>
      </c>
    </row>
    <row r="3256" ht="22.5" customHeight="1">
      <c r="A3256" s="66">
        <v>10.78747</v>
      </c>
      <c r="B3256" s="67">
        <v>106.5981</v>
      </c>
      <c r="C3256" s="67">
        <v>10.7716</v>
      </c>
      <c r="D3256" s="67">
        <v>106.587</v>
      </c>
      <c r="E3256" s="68">
        <v>4.427</v>
      </c>
    </row>
    <row r="3257" ht="22.5" customHeight="1">
      <c r="A3257" s="61">
        <v>10.78747</v>
      </c>
      <c r="B3257" s="63">
        <v>106.5981</v>
      </c>
      <c r="C3257" s="63">
        <v>10.77167</v>
      </c>
      <c r="D3257" s="63">
        <v>106.5865</v>
      </c>
      <c r="E3257" s="64">
        <v>3.318</v>
      </c>
    </row>
    <row r="3258" ht="22.5" customHeight="1">
      <c r="A3258" s="66">
        <v>10.78747</v>
      </c>
      <c r="B3258" s="67">
        <v>106.5981</v>
      </c>
      <c r="C3258" s="67">
        <v>10.77509</v>
      </c>
      <c r="D3258" s="67">
        <v>106.6727</v>
      </c>
      <c r="E3258" s="68">
        <v>10.726</v>
      </c>
    </row>
    <row r="3259" ht="22.5" customHeight="1">
      <c r="A3259" s="61">
        <v>10.78747</v>
      </c>
      <c r="B3259" s="63">
        <v>106.5981</v>
      </c>
      <c r="C3259" s="63">
        <v>10.77584</v>
      </c>
      <c r="D3259" s="63">
        <v>106.6133</v>
      </c>
      <c r="E3259" s="64">
        <v>2.756</v>
      </c>
    </row>
    <row r="3260" ht="22.5" customHeight="1">
      <c r="A3260" s="66">
        <v>10.78747</v>
      </c>
      <c r="B3260" s="67">
        <v>106.5981</v>
      </c>
      <c r="C3260" s="67">
        <v>10.77618</v>
      </c>
      <c r="D3260" s="67">
        <v>106.607</v>
      </c>
      <c r="E3260" s="68">
        <v>2.088</v>
      </c>
    </row>
    <row r="3261" ht="22.5" customHeight="1">
      <c r="A3261" s="61">
        <v>10.78747</v>
      </c>
      <c r="B3261" s="63">
        <v>106.5981</v>
      </c>
      <c r="C3261" s="63">
        <v>10.7765</v>
      </c>
      <c r="D3261" s="63">
        <v>106.6028</v>
      </c>
      <c r="E3261" s="64">
        <v>1.95</v>
      </c>
    </row>
    <row r="3262" ht="22.5" customHeight="1">
      <c r="A3262" s="66">
        <v>10.78747</v>
      </c>
      <c r="B3262" s="67">
        <v>106.5981</v>
      </c>
      <c r="C3262" s="67">
        <v>10.77656</v>
      </c>
      <c r="D3262" s="67">
        <v>106.6049</v>
      </c>
      <c r="E3262" s="68">
        <v>2.642</v>
      </c>
    </row>
    <row r="3263" ht="22.5" customHeight="1">
      <c r="A3263" s="61">
        <v>10.78747</v>
      </c>
      <c r="B3263" s="63">
        <v>106.5981</v>
      </c>
      <c r="C3263" s="63">
        <v>10.78747</v>
      </c>
      <c r="D3263" s="63">
        <v>106.5981</v>
      </c>
      <c r="E3263" s="64">
        <v>0.009</v>
      </c>
    </row>
    <row r="3264" ht="22.5" customHeight="1">
      <c r="A3264" s="66">
        <v>10.78747</v>
      </c>
      <c r="B3264" s="67">
        <v>106.5981</v>
      </c>
      <c r="C3264" s="67">
        <v>10.79435</v>
      </c>
      <c r="D3264" s="67">
        <v>106.6382</v>
      </c>
      <c r="E3264" s="68">
        <v>4.816</v>
      </c>
    </row>
    <row r="3265" ht="22.5" customHeight="1">
      <c r="A3265" s="61">
        <v>10.78747</v>
      </c>
      <c r="B3265" s="63">
        <v>106.5981</v>
      </c>
      <c r="C3265" s="63">
        <v>10.81094</v>
      </c>
      <c r="D3265" s="63">
        <v>106.611</v>
      </c>
      <c r="E3265" s="64">
        <v>4.223</v>
      </c>
    </row>
    <row r="3266" ht="22.5" customHeight="1">
      <c r="A3266" s="66">
        <v>10.78747</v>
      </c>
      <c r="B3266" s="67">
        <v>106.5981</v>
      </c>
      <c r="C3266" s="67">
        <v>10.81147</v>
      </c>
      <c r="D3266" s="67">
        <v>106.6107</v>
      </c>
      <c r="E3266" s="68">
        <v>4.072</v>
      </c>
    </row>
    <row r="3267" ht="22.5" customHeight="1">
      <c r="A3267" s="61">
        <v>10.78752</v>
      </c>
      <c r="B3267" s="63">
        <v>106.7334</v>
      </c>
      <c r="C3267" s="63">
        <v>10.7881</v>
      </c>
      <c r="D3267" s="63">
        <v>106.7662</v>
      </c>
      <c r="E3267" s="64">
        <v>4.848</v>
      </c>
    </row>
    <row r="3268" ht="22.5" customHeight="1">
      <c r="A3268" s="66">
        <v>10.78752</v>
      </c>
      <c r="B3268" s="67">
        <v>106.7334</v>
      </c>
      <c r="C3268" s="67">
        <v>10.78851</v>
      </c>
      <c r="D3268" s="67">
        <v>106.777</v>
      </c>
      <c r="E3268" s="68">
        <v>5.324</v>
      </c>
    </row>
    <row r="3269" ht="22.5" customHeight="1">
      <c r="A3269" s="61">
        <v>10.78752</v>
      </c>
      <c r="B3269" s="63">
        <v>106.7334</v>
      </c>
      <c r="C3269" s="63">
        <v>10.7907</v>
      </c>
      <c r="D3269" s="63">
        <v>106.7481</v>
      </c>
      <c r="E3269" s="64">
        <v>1.821</v>
      </c>
    </row>
    <row r="3270" ht="22.5" customHeight="1">
      <c r="A3270" s="66">
        <v>10.78752</v>
      </c>
      <c r="B3270" s="67">
        <v>106.7334</v>
      </c>
      <c r="C3270" s="67">
        <v>10.79203</v>
      </c>
      <c r="D3270" s="67">
        <v>106.7304</v>
      </c>
      <c r="E3270" s="68">
        <v>1.569</v>
      </c>
    </row>
    <row r="3271" ht="22.5" customHeight="1">
      <c r="A3271" s="61">
        <v>10.78759</v>
      </c>
      <c r="B3271" s="63">
        <v>106.7337</v>
      </c>
      <c r="C3271" s="63">
        <v>10.76666</v>
      </c>
      <c r="D3271" s="63">
        <v>106.7262</v>
      </c>
      <c r="E3271" s="64">
        <v>3.186</v>
      </c>
    </row>
    <row r="3272" ht="22.5" customHeight="1">
      <c r="A3272" s="66">
        <v>10.78759</v>
      </c>
      <c r="B3272" s="67">
        <v>106.7337</v>
      </c>
      <c r="C3272" s="67">
        <v>10.77509</v>
      </c>
      <c r="D3272" s="67">
        <v>106.6727</v>
      </c>
      <c r="E3272" s="68">
        <v>9.196</v>
      </c>
    </row>
    <row r="3273" ht="22.5" customHeight="1">
      <c r="A3273" s="61">
        <v>10.78759</v>
      </c>
      <c r="B3273" s="63">
        <v>106.7337</v>
      </c>
      <c r="C3273" s="63">
        <v>10.7818</v>
      </c>
      <c r="D3273" s="63">
        <v>106.7611</v>
      </c>
      <c r="E3273" s="64">
        <v>3.96</v>
      </c>
    </row>
    <row r="3274" ht="22.5" customHeight="1">
      <c r="A3274" s="66">
        <v>10.78759</v>
      </c>
      <c r="B3274" s="67">
        <v>106.7337</v>
      </c>
      <c r="C3274" s="67">
        <v>10.78624</v>
      </c>
      <c r="D3274" s="67">
        <v>106.7313</v>
      </c>
      <c r="E3274" s="68">
        <v>0.308</v>
      </c>
    </row>
    <row r="3275" ht="22.5" customHeight="1">
      <c r="A3275" s="61">
        <v>10.78759</v>
      </c>
      <c r="B3275" s="63">
        <v>106.7337</v>
      </c>
      <c r="C3275" s="63">
        <v>10.78802</v>
      </c>
      <c r="D3275" s="63">
        <v>106.7609</v>
      </c>
      <c r="E3275" s="64">
        <v>5.449</v>
      </c>
    </row>
    <row r="3276" ht="22.5" customHeight="1">
      <c r="A3276" s="66">
        <v>10.78759</v>
      </c>
      <c r="B3276" s="67">
        <v>106.7337</v>
      </c>
      <c r="C3276" s="67">
        <v>10.7881</v>
      </c>
      <c r="D3276" s="67">
        <v>106.7662</v>
      </c>
      <c r="E3276" s="68">
        <v>5.715</v>
      </c>
    </row>
    <row r="3277" ht="22.5" customHeight="1">
      <c r="A3277" s="61">
        <v>10.78759</v>
      </c>
      <c r="B3277" s="63">
        <v>106.7337</v>
      </c>
      <c r="C3277" s="63">
        <v>10.78851</v>
      </c>
      <c r="D3277" s="63">
        <v>106.777</v>
      </c>
      <c r="E3277" s="64">
        <v>5.11</v>
      </c>
    </row>
    <row r="3278" ht="22.5" customHeight="1">
      <c r="A3278" s="66">
        <v>10.78759</v>
      </c>
      <c r="B3278" s="67">
        <v>106.7337</v>
      </c>
      <c r="C3278" s="67">
        <v>10.78864</v>
      </c>
      <c r="D3278" s="67">
        <v>106.7561</v>
      </c>
      <c r="E3278" s="68">
        <v>6.437</v>
      </c>
    </row>
    <row r="3279" ht="22.5" customHeight="1">
      <c r="A3279" s="61">
        <v>10.78759</v>
      </c>
      <c r="B3279" s="63">
        <v>106.7337</v>
      </c>
      <c r="C3279" s="63">
        <v>10.79036</v>
      </c>
      <c r="D3279" s="63">
        <v>106.6973</v>
      </c>
      <c r="E3279" s="64">
        <v>6.222</v>
      </c>
    </row>
    <row r="3280" ht="22.5" customHeight="1">
      <c r="A3280" s="66">
        <v>10.78759</v>
      </c>
      <c r="B3280" s="67">
        <v>106.7337</v>
      </c>
      <c r="C3280" s="67">
        <v>10.7907</v>
      </c>
      <c r="D3280" s="67">
        <v>106.7481</v>
      </c>
      <c r="E3280" s="68">
        <v>1.85</v>
      </c>
    </row>
    <row r="3281" ht="22.5" customHeight="1">
      <c r="A3281" s="61">
        <v>10.78759</v>
      </c>
      <c r="B3281" s="63">
        <v>106.7337</v>
      </c>
      <c r="C3281" s="63">
        <v>10.79203</v>
      </c>
      <c r="D3281" s="63">
        <v>106.7304</v>
      </c>
      <c r="E3281" s="64">
        <v>1.595</v>
      </c>
    </row>
    <row r="3282" ht="22.5" customHeight="1">
      <c r="A3282" s="66">
        <v>10.78759</v>
      </c>
      <c r="B3282" s="67">
        <v>106.7337</v>
      </c>
      <c r="C3282" s="67">
        <v>10.79446</v>
      </c>
      <c r="D3282" s="67">
        <v>106.731</v>
      </c>
      <c r="E3282" s="68">
        <v>2.886</v>
      </c>
    </row>
    <row r="3283" ht="22.5" customHeight="1">
      <c r="A3283" s="61">
        <v>10.78759</v>
      </c>
      <c r="B3283" s="63">
        <v>106.7337</v>
      </c>
      <c r="C3283" s="63">
        <v>10.79662</v>
      </c>
      <c r="D3283" s="63">
        <v>106.7372</v>
      </c>
      <c r="E3283" s="64">
        <v>2.887</v>
      </c>
    </row>
    <row r="3284" ht="22.5" customHeight="1">
      <c r="A3284" s="66">
        <v>10.78759</v>
      </c>
      <c r="B3284" s="67">
        <v>106.7337</v>
      </c>
      <c r="C3284" s="67">
        <v>10.80312</v>
      </c>
      <c r="D3284" s="67">
        <v>106.7097</v>
      </c>
      <c r="E3284" s="68">
        <v>5.513</v>
      </c>
    </row>
    <row r="3285" ht="22.5" customHeight="1">
      <c r="A3285" s="61">
        <v>10.78759</v>
      </c>
      <c r="B3285" s="63">
        <v>106.7337</v>
      </c>
      <c r="C3285" s="63">
        <v>10.80393</v>
      </c>
      <c r="D3285" s="63">
        <v>106.7092</v>
      </c>
      <c r="E3285" s="64">
        <v>5.844</v>
      </c>
    </row>
    <row r="3286" ht="22.5" customHeight="1">
      <c r="A3286" s="66">
        <v>10.78759</v>
      </c>
      <c r="B3286" s="67">
        <v>106.7337</v>
      </c>
      <c r="C3286" s="67">
        <v>10.80543</v>
      </c>
      <c r="D3286" s="67">
        <v>106.7324</v>
      </c>
      <c r="E3286" s="68">
        <v>3.445</v>
      </c>
    </row>
    <row r="3287" ht="22.5" customHeight="1">
      <c r="A3287" s="61">
        <v>10.78769</v>
      </c>
      <c r="B3287" s="63">
        <v>106.6634</v>
      </c>
      <c r="C3287" s="63">
        <v>10.77509</v>
      </c>
      <c r="D3287" s="63">
        <v>106.6727</v>
      </c>
      <c r="E3287" s="64">
        <v>2.751</v>
      </c>
    </row>
    <row r="3288" ht="22.5" customHeight="1">
      <c r="A3288" s="66">
        <v>10.78769</v>
      </c>
      <c r="B3288" s="67">
        <v>106.6634</v>
      </c>
      <c r="C3288" s="67">
        <v>10.79193</v>
      </c>
      <c r="D3288" s="67">
        <v>106.6555</v>
      </c>
      <c r="E3288" s="68">
        <v>1.016</v>
      </c>
    </row>
    <row r="3289" ht="22.5" customHeight="1">
      <c r="A3289" s="61">
        <v>10.78769</v>
      </c>
      <c r="B3289" s="63">
        <v>106.6634</v>
      </c>
      <c r="C3289" s="63">
        <v>10.79223</v>
      </c>
      <c r="D3289" s="63">
        <v>106.6708</v>
      </c>
      <c r="E3289" s="64">
        <v>3.003</v>
      </c>
    </row>
    <row r="3290" ht="22.5" customHeight="1">
      <c r="A3290" s="66">
        <v>10.78769</v>
      </c>
      <c r="B3290" s="67">
        <v>106.6634</v>
      </c>
      <c r="C3290" s="67">
        <v>10.79435</v>
      </c>
      <c r="D3290" s="67">
        <v>106.6382</v>
      </c>
      <c r="E3290" s="68">
        <v>4.062</v>
      </c>
    </row>
    <row r="3291" ht="22.5" customHeight="1">
      <c r="A3291" s="61">
        <v>10.78769</v>
      </c>
      <c r="B3291" s="63">
        <v>106.6634</v>
      </c>
      <c r="C3291" s="63">
        <v>10.79841</v>
      </c>
      <c r="D3291" s="63">
        <v>106.6587</v>
      </c>
      <c r="E3291" s="64">
        <v>1.78</v>
      </c>
    </row>
    <row r="3292" ht="22.5" customHeight="1">
      <c r="A3292" s="66">
        <v>10.78769</v>
      </c>
      <c r="B3292" s="67">
        <v>106.6634</v>
      </c>
      <c r="C3292" s="67">
        <v>10.79889</v>
      </c>
      <c r="D3292" s="67">
        <v>106.6803</v>
      </c>
      <c r="E3292" s="68">
        <v>3.779</v>
      </c>
    </row>
    <row r="3293" ht="22.5" customHeight="1">
      <c r="A3293" s="61">
        <v>10.78769</v>
      </c>
      <c r="B3293" s="63">
        <v>106.6634</v>
      </c>
      <c r="C3293" s="63">
        <v>10.79975</v>
      </c>
      <c r="D3293" s="63">
        <v>106.6696</v>
      </c>
      <c r="E3293" s="64">
        <v>3.325</v>
      </c>
    </row>
    <row r="3294" ht="22.5" customHeight="1">
      <c r="A3294" s="66">
        <v>10.78769</v>
      </c>
      <c r="B3294" s="67">
        <v>106.6634</v>
      </c>
      <c r="C3294" s="67">
        <v>10.80325</v>
      </c>
      <c r="D3294" s="67">
        <v>106.6842</v>
      </c>
      <c r="E3294" s="68">
        <v>4.053</v>
      </c>
    </row>
    <row r="3295" ht="22.5" customHeight="1">
      <c r="A3295" s="61">
        <v>10.78769</v>
      </c>
      <c r="B3295" s="63">
        <v>106.6634</v>
      </c>
      <c r="C3295" s="63">
        <v>10.80458</v>
      </c>
      <c r="D3295" s="63">
        <v>106.6759</v>
      </c>
      <c r="E3295" s="64">
        <v>5.041</v>
      </c>
    </row>
    <row r="3296" ht="22.5" customHeight="1">
      <c r="A3296" s="66">
        <v>10.78802</v>
      </c>
      <c r="B3296" s="67">
        <v>106.7609</v>
      </c>
      <c r="C3296" s="67">
        <v>10.77509</v>
      </c>
      <c r="D3296" s="67">
        <v>106.6727</v>
      </c>
      <c r="E3296" s="68">
        <v>14.0</v>
      </c>
    </row>
    <row r="3297" ht="22.5" customHeight="1">
      <c r="A3297" s="61">
        <v>10.78802</v>
      </c>
      <c r="B3297" s="63">
        <v>106.7609</v>
      </c>
      <c r="C3297" s="63">
        <v>10.77662</v>
      </c>
      <c r="D3297" s="63">
        <v>106.7654</v>
      </c>
      <c r="E3297" s="64">
        <v>2.256</v>
      </c>
    </row>
    <row r="3298" ht="22.5" customHeight="1">
      <c r="A3298" s="66">
        <v>10.78802</v>
      </c>
      <c r="B3298" s="67">
        <v>106.7609</v>
      </c>
      <c r="C3298" s="67">
        <v>10.77744</v>
      </c>
      <c r="D3298" s="67">
        <v>106.7646</v>
      </c>
      <c r="E3298" s="68">
        <v>1.607</v>
      </c>
    </row>
    <row r="3299" ht="22.5" customHeight="1">
      <c r="A3299" s="61">
        <v>10.78802</v>
      </c>
      <c r="B3299" s="63">
        <v>106.7609</v>
      </c>
      <c r="C3299" s="63">
        <v>10.7818</v>
      </c>
      <c r="D3299" s="63">
        <v>106.7611</v>
      </c>
      <c r="E3299" s="64">
        <v>1.378</v>
      </c>
    </row>
    <row r="3300" ht="22.5" customHeight="1">
      <c r="A3300" s="66">
        <v>10.78802</v>
      </c>
      <c r="B3300" s="67">
        <v>106.7609</v>
      </c>
      <c r="C3300" s="67">
        <v>10.78624</v>
      </c>
      <c r="D3300" s="67">
        <v>106.7313</v>
      </c>
      <c r="E3300" s="68">
        <v>6.241</v>
      </c>
    </row>
    <row r="3301" ht="22.5" customHeight="1">
      <c r="A3301" s="61">
        <v>10.78802</v>
      </c>
      <c r="B3301" s="63">
        <v>106.7609</v>
      </c>
      <c r="C3301" s="63">
        <v>10.78759</v>
      </c>
      <c r="D3301" s="63">
        <v>106.7337</v>
      </c>
      <c r="E3301" s="64">
        <v>4.507</v>
      </c>
    </row>
    <row r="3302" ht="22.5" customHeight="1">
      <c r="A3302" s="66">
        <v>10.78802</v>
      </c>
      <c r="B3302" s="67">
        <v>106.7609</v>
      </c>
      <c r="C3302" s="67">
        <v>10.78802</v>
      </c>
      <c r="D3302" s="67">
        <v>106.7609</v>
      </c>
      <c r="E3302" s="68">
        <v>0.003</v>
      </c>
    </row>
    <row r="3303" ht="22.5" customHeight="1">
      <c r="A3303" s="61">
        <v>10.78802</v>
      </c>
      <c r="B3303" s="63">
        <v>106.7609</v>
      </c>
      <c r="C3303" s="63">
        <v>10.7881</v>
      </c>
      <c r="D3303" s="63">
        <v>106.7662</v>
      </c>
      <c r="E3303" s="64">
        <v>0.6</v>
      </c>
    </row>
    <row r="3304" ht="22.5" customHeight="1">
      <c r="A3304" s="66">
        <v>10.78802</v>
      </c>
      <c r="B3304" s="67">
        <v>106.7609</v>
      </c>
      <c r="C3304" s="67">
        <v>10.78851</v>
      </c>
      <c r="D3304" s="67">
        <v>106.777</v>
      </c>
      <c r="E3304" s="68">
        <v>1.74</v>
      </c>
    </row>
    <row r="3305" ht="22.5" customHeight="1">
      <c r="A3305" s="61">
        <v>10.78802</v>
      </c>
      <c r="B3305" s="63">
        <v>106.7609</v>
      </c>
      <c r="C3305" s="63">
        <v>10.79036</v>
      </c>
      <c r="D3305" s="63">
        <v>106.6973</v>
      </c>
      <c r="E3305" s="64">
        <v>11.3</v>
      </c>
    </row>
    <row r="3306" ht="22.5" customHeight="1">
      <c r="A3306" s="66">
        <v>10.78802</v>
      </c>
      <c r="B3306" s="67">
        <v>106.7609</v>
      </c>
      <c r="C3306" s="67">
        <v>10.79203</v>
      </c>
      <c r="D3306" s="67">
        <v>106.7304</v>
      </c>
      <c r="E3306" s="68">
        <v>6.8</v>
      </c>
    </row>
    <row r="3307" ht="22.5" customHeight="1">
      <c r="A3307" s="61">
        <v>10.78802</v>
      </c>
      <c r="B3307" s="63">
        <v>106.7609</v>
      </c>
      <c r="C3307" s="63">
        <v>10.80393</v>
      </c>
      <c r="D3307" s="63">
        <v>106.7092</v>
      </c>
      <c r="E3307" s="64">
        <v>10.553</v>
      </c>
    </row>
    <row r="3308" ht="22.5" customHeight="1">
      <c r="A3308" s="66">
        <v>10.7881</v>
      </c>
      <c r="B3308" s="67">
        <v>106.7662</v>
      </c>
      <c r="C3308" s="67">
        <v>10.65412</v>
      </c>
      <c r="D3308" s="67">
        <v>106.5867</v>
      </c>
      <c r="E3308" s="68">
        <v>30.274</v>
      </c>
    </row>
    <row r="3309" ht="22.5" customHeight="1">
      <c r="A3309" s="61">
        <v>10.7881</v>
      </c>
      <c r="B3309" s="63">
        <v>106.7662</v>
      </c>
      <c r="C3309" s="63">
        <v>10.74602</v>
      </c>
      <c r="D3309" s="63">
        <v>106.6123</v>
      </c>
      <c r="E3309" s="64">
        <v>22.451</v>
      </c>
    </row>
    <row r="3310" ht="22.5" customHeight="1">
      <c r="A3310" s="66">
        <v>10.7881</v>
      </c>
      <c r="B3310" s="67">
        <v>106.7662</v>
      </c>
      <c r="C3310" s="67">
        <v>10.75047</v>
      </c>
      <c r="D3310" s="67">
        <v>106.7916</v>
      </c>
      <c r="E3310" s="68">
        <v>5.726</v>
      </c>
    </row>
    <row r="3311" ht="22.5" customHeight="1">
      <c r="A3311" s="61">
        <v>10.7881</v>
      </c>
      <c r="B3311" s="63">
        <v>106.7662</v>
      </c>
      <c r="C3311" s="63">
        <v>10.75168</v>
      </c>
      <c r="D3311" s="63">
        <v>106.6103</v>
      </c>
      <c r="E3311" s="64">
        <v>21.054</v>
      </c>
    </row>
    <row r="3312" ht="22.5" customHeight="1">
      <c r="A3312" s="66">
        <v>10.7881</v>
      </c>
      <c r="B3312" s="67">
        <v>106.7662</v>
      </c>
      <c r="C3312" s="67">
        <v>10.75807</v>
      </c>
      <c r="D3312" s="67">
        <v>106.6592</v>
      </c>
      <c r="E3312" s="68">
        <v>14.834</v>
      </c>
    </row>
    <row r="3313" ht="22.5" customHeight="1">
      <c r="A3313" s="61">
        <v>10.7881</v>
      </c>
      <c r="B3313" s="63">
        <v>106.7662</v>
      </c>
      <c r="C3313" s="63">
        <v>10.75979</v>
      </c>
      <c r="D3313" s="63">
        <v>106.7874</v>
      </c>
      <c r="E3313" s="64">
        <v>4.9</v>
      </c>
    </row>
    <row r="3314" ht="22.5" customHeight="1">
      <c r="A3314" s="66">
        <v>10.7881</v>
      </c>
      <c r="B3314" s="67">
        <v>106.7662</v>
      </c>
      <c r="C3314" s="67">
        <v>10.76656</v>
      </c>
      <c r="D3314" s="67">
        <v>106.726</v>
      </c>
      <c r="E3314" s="68">
        <v>7.6</v>
      </c>
    </row>
    <row r="3315" ht="22.5" customHeight="1">
      <c r="A3315" s="61">
        <v>10.7881</v>
      </c>
      <c r="B3315" s="63">
        <v>106.7662</v>
      </c>
      <c r="C3315" s="63">
        <v>10.77509</v>
      </c>
      <c r="D3315" s="63">
        <v>106.6727</v>
      </c>
      <c r="E3315" s="64">
        <v>14.7</v>
      </c>
    </row>
    <row r="3316" ht="22.5" customHeight="1">
      <c r="A3316" s="66">
        <v>10.7881</v>
      </c>
      <c r="B3316" s="67">
        <v>106.7662</v>
      </c>
      <c r="C3316" s="67">
        <v>10.77662</v>
      </c>
      <c r="D3316" s="67">
        <v>106.7654</v>
      </c>
      <c r="E3316" s="68">
        <v>2.0</v>
      </c>
    </row>
    <row r="3317" ht="22.5" customHeight="1">
      <c r="A3317" s="61">
        <v>10.7881</v>
      </c>
      <c r="B3317" s="63">
        <v>106.7662</v>
      </c>
      <c r="C3317" s="63">
        <v>10.77693</v>
      </c>
      <c r="D3317" s="63">
        <v>106.7516</v>
      </c>
      <c r="E3317" s="64">
        <v>2.8</v>
      </c>
    </row>
    <row r="3318" ht="22.5" customHeight="1">
      <c r="A3318" s="66">
        <v>10.7881</v>
      </c>
      <c r="B3318" s="67">
        <v>106.7662</v>
      </c>
      <c r="C3318" s="67">
        <v>10.77744</v>
      </c>
      <c r="D3318" s="67">
        <v>106.7646</v>
      </c>
      <c r="E3318" s="68">
        <v>1.6</v>
      </c>
    </row>
    <row r="3319" ht="22.5" customHeight="1">
      <c r="A3319" s="61">
        <v>10.7881</v>
      </c>
      <c r="B3319" s="63">
        <v>106.7662</v>
      </c>
      <c r="C3319" s="63">
        <v>10.7818</v>
      </c>
      <c r="D3319" s="63">
        <v>106.7611</v>
      </c>
      <c r="E3319" s="64">
        <v>1.3</v>
      </c>
    </row>
    <row r="3320" ht="22.5" customHeight="1">
      <c r="A3320" s="66">
        <v>10.7881</v>
      </c>
      <c r="B3320" s="67">
        <v>106.7662</v>
      </c>
      <c r="C3320" s="67">
        <v>10.78624</v>
      </c>
      <c r="D3320" s="67">
        <v>106.7313</v>
      </c>
      <c r="E3320" s="68">
        <v>6.2</v>
      </c>
    </row>
    <row r="3321" ht="22.5" customHeight="1">
      <c r="A3321" s="61">
        <v>10.7881</v>
      </c>
      <c r="B3321" s="63">
        <v>106.7662</v>
      </c>
      <c r="C3321" s="63">
        <v>10.78759</v>
      </c>
      <c r="D3321" s="63">
        <v>106.7337</v>
      </c>
      <c r="E3321" s="64">
        <v>5.9</v>
      </c>
    </row>
    <row r="3322" ht="22.5" customHeight="1">
      <c r="A3322" s="66">
        <v>10.7881</v>
      </c>
      <c r="B3322" s="67">
        <v>106.7662</v>
      </c>
      <c r="C3322" s="67">
        <v>10.78802</v>
      </c>
      <c r="D3322" s="67">
        <v>106.7609</v>
      </c>
      <c r="E3322" s="68">
        <v>0.6</v>
      </c>
    </row>
    <row r="3323" ht="22.5" customHeight="1">
      <c r="A3323" s="61">
        <v>10.7881</v>
      </c>
      <c r="B3323" s="63">
        <v>106.7662</v>
      </c>
      <c r="C3323" s="63">
        <v>10.7881</v>
      </c>
      <c r="D3323" s="63">
        <v>106.7662</v>
      </c>
      <c r="E3323" s="64">
        <v>0.003</v>
      </c>
    </row>
    <row r="3324" ht="22.5" customHeight="1">
      <c r="A3324" s="66">
        <v>10.7881</v>
      </c>
      <c r="B3324" s="67">
        <v>106.7662</v>
      </c>
      <c r="C3324" s="67">
        <v>10.78851</v>
      </c>
      <c r="D3324" s="67">
        <v>106.777</v>
      </c>
      <c r="E3324" s="68">
        <v>1.2</v>
      </c>
    </row>
    <row r="3325" ht="22.5" customHeight="1">
      <c r="A3325" s="61">
        <v>10.7881</v>
      </c>
      <c r="B3325" s="63">
        <v>106.7662</v>
      </c>
      <c r="C3325" s="63">
        <v>10.78864</v>
      </c>
      <c r="D3325" s="63">
        <v>106.7561</v>
      </c>
      <c r="E3325" s="64">
        <v>1.1</v>
      </c>
    </row>
    <row r="3326" ht="22.5" customHeight="1">
      <c r="A3326" s="66">
        <v>10.7881</v>
      </c>
      <c r="B3326" s="67">
        <v>106.7662</v>
      </c>
      <c r="C3326" s="67">
        <v>10.78871</v>
      </c>
      <c r="D3326" s="67">
        <v>106.7343</v>
      </c>
      <c r="E3326" s="68">
        <v>5.9</v>
      </c>
    </row>
    <row r="3327" ht="22.5" customHeight="1">
      <c r="A3327" s="61">
        <v>10.7881</v>
      </c>
      <c r="B3327" s="63">
        <v>106.7662</v>
      </c>
      <c r="C3327" s="63">
        <v>10.79061</v>
      </c>
      <c r="D3327" s="63">
        <v>106.6883</v>
      </c>
      <c r="E3327" s="64">
        <v>11.242</v>
      </c>
    </row>
    <row r="3328" ht="22.5" customHeight="1">
      <c r="A3328" s="66">
        <v>10.7881</v>
      </c>
      <c r="B3328" s="67">
        <v>106.7662</v>
      </c>
      <c r="C3328" s="67">
        <v>10.7907</v>
      </c>
      <c r="D3328" s="67">
        <v>106.7481</v>
      </c>
      <c r="E3328" s="68">
        <v>4.4</v>
      </c>
    </row>
    <row r="3329" ht="22.5" customHeight="1">
      <c r="A3329" s="61">
        <v>10.7881</v>
      </c>
      <c r="B3329" s="63">
        <v>106.7662</v>
      </c>
      <c r="C3329" s="63">
        <v>10.79121</v>
      </c>
      <c r="D3329" s="63">
        <v>106.7227</v>
      </c>
      <c r="E3329" s="64">
        <v>10.2</v>
      </c>
    </row>
    <row r="3330" ht="22.5" customHeight="1">
      <c r="A3330" s="66">
        <v>10.7881</v>
      </c>
      <c r="B3330" s="67">
        <v>106.7662</v>
      </c>
      <c r="C3330" s="67">
        <v>10.79162</v>
      </c>
      <c r="D3330" s="67">
        <v>106.7535</v>
      </c>
      <c r="E3330" s="68">
        <v>1.6</v>
      </c>
    </row>
    <row r="3331" ht="22.5" customHeight="1">
      <c r="A3331" s="61">
        <v>10.7881</v>
      </c>
      <c r="B3331" s="63">
        <v>106.7662</v>
      </c>
      <c r="C3331" s="63">
        <v>10.79203</v>
      </c>
      <c r="D3331" s="63">
        <v>106.7304</v>
      </c>
      <c r="E3331" s="64">
        <v>4.7</v>
      </c>
    </row>
    <row r="3332" ht="22.5" customHeight="1">
      <c r="A3332" s="66">
        <v>10.7881</v>
      </c>
      <c r="B3332" s="67">
        <v>106.7662</v>
      </c>
      <c r="C3332" s="67">
        <v>10.79222</v>
      </c>
      <c r="D3332" s="67">
        <v>106.7229</v>
      </c>
      <c r="E3332" s="68">
        <v>10.1</v>
      </c>
    </row>
    <row r="3333" ht="22.5" customHeight="1">
      <c r="A3333" s="61">
        <v>10.7881</v>
      </c>
      <c r="B3333" s="63">
        <v>106.7662</v>
      </c>
      <c r="C3333" s="63">
        <v>10.7938</v>
      </c>
      <c r="D3333" s="63">
        <v>106.7467</v>
      </c>
      <c r="E3333" s="64">
        <v>4.9</v>
      </c>
    </row>
    <row r="3334" ht="22.5" customHeight="1">
      <c r="A3334" s="66">
        <v>10.7881</v>
      </c>
      <c r="B3334" s="67">
        <v>106.7662</v>
      </c>
      <c r="C3334" s="67">
        <v>10.79446</v>
      </c>
      <c r="D3334" s="67">
        <v>106.731</v>
      </c>
      <c r="E3334" s="68">
        <v>6.6</v>
      </c>
    </row>
    <row r="3335" ht="22.5" customHeight="1">
      <c r="A3335" s="61">
        <v>10.7881</v>
      </c>
      <c r="B3335" s="63">
        <v>106.7662</v>
      </c>
      <c r="C3335" s="63">
        <v>10.79654</v>
      </c>
      <c r="D3335" s="63">
        <v>106.7345</v>
      </c>
      <c r="E3335" s="64">
        <v>6.9</v>
      </c>
    </row>
    <row r="3336" ht="22.5" customHeight="1">
      <c r="A3336" s="66">
        <v>10.7881</v>
      </c>
      <c r="B3336" s="67">
        <v>106.7662</v>
      </c>
      <c r="C3336" s="67">
        <v>10.79662</v>
      </c>
      <c r="D3336" s="67">
        <v>106.7372</v>
      </c>
      <c r="E3336" s="68">
        <v>6.5</v>
      </c>
    </row>
    <row r="3337" ht="22.5" customHeight="1">
      <c r="A3337" s="61">
        <v>10.7881</v>
      </c>
      <c r="B3337" s="63">
        <v>106.7662</v>
      </c>
      <c r="C3337" s="63">
        <v>10.80128</v>
      </c>
      <c r="D3337" s="63">
        <v>106.7329</v>
      </c>
      <c r="E3337" s="64">
        <v>7.6</v>
      </c>
    </row>
    <row r="3338" ht="22.5" customHeight="1">
      <c r="A3338" s="66">
        <v>10.7881</v>
      </c>
      <c r="B3338" s="67">
        <v>106.7662</v>
      </c>
      <c r="C3338" s="67">
        <v>10.80271</v>
      </c>
      <c r="D3338" s="67">
        <v>106.7355</v>
      </c>
      <c r="E3338" s="68">
        <v>7.3</v>
      </c>
    </row>
    <row r="3339" ht="22.5" customHeight="1">
      <c r="A3339" s="61">
        <v>10.7881</v>
      </c>
      <c r="B3339" s="63">
        <v>106.7662</v>
      </c>
      <c r="C3339" s="63">
        <v>10.80357</v>
      </c>
      <c r="D3339" s="63">
        <v>106.7181</v>
      </c>
      <c r="E3339" s="64">
        <v>11.3</v>
      </c>
    </row>
    <row r="3340" ht="22.5" customHeight="1">
      <c r="A3340" s="66">
        <v>10.7881</v>
      </c>
      <c r="B3340" s="67">
        <v>106.7662</v>
      </c>
      <c r="C3340" s="67">
        <v>10.80434</v>
      </c>
      <c r="D3340" s="67">
        <v>106.7445</v>
      </c>
      <c r="E3340" s="68">
        <v>6.6</v>
      </c>
    </row>
    <row r="3341" ht="22.5" customHeight="1">
      <c r="A3341" s="61">
        <v>10.7881</v>
      </c>
      <c r="B3341" s="63">
        <v>106.7662</v>
      </c>
      <c r="C3341" s="63">
        <v>10.80576</v>
      </c>
      <c r="D3341" s="63">
        <v>106.7346</v>
      </c>
      <c r="E3341" s="64">
        <v>7.6</v>
      </c>
    </row>
    <row r="3342" ht="22.5" customHeight="1">
      <c r="A3342" s="66">
        <v>10.7881</v>
      </c>
      <c r="B3342" s="67">
        <v>106.7662</v>
      </c>
      <c r="C3342" s="67">
        <v>10.80821</v>
      </c>
      <c r="D3342" s="67">
        <v>106.7251</v>
      </c>
      <c r="E3342" s="68">
        <v>8.9</v>
      </c>
    </row>
    <row r="3343" ht="22.5" customHeight="1">
      <c r="A3343" s="61">
        <v>10.7881</v>
      </c>
      <c r="B3343" s="63">
        <v>106.7662</v>
      </c>
      <c r="C3343" s="63">
        <v>10.8146</v>
      </c>
      <c r="D3343" s="63">
        <v>106.7114</v>
      </c>
      <c r="E3343" s="64">
        <v>12.1</v>
      </c>
    </row>
    <row r="3344" ht="22.5" customHeight="1">
      <c r="A3344" s="66">
        <v>10.7881</v>
      </c>
      <c r="B3344" s="67">
        <v>106.7662</v>
      </c>
      <c r="C3344" s="67">
        <v>10.81819</v>
      </c>
      <c r="D3344" s="67">
        <v>106.7731</v>
      </c>
      <c r="E3344" s="68">
        <v>4.994</v>
      </c>
    </row>
    <row r="3345" ht="22.5" customHeight="1">
      <c r="A3345" s="61">
        <v>10.7881</v>
      </c>
      <c r="B3345" s="63">
        <v>106.7662</v>
      </c>
      <c r="C3345" s="63">
        <v>10.82848</v>
      </c>
      <c r="D3345" s="63">
        <v>106.7685</v>
      </c>
      <c r="E3345" s="64">
        <v>6.317</v>
      </c>
    </row>
    <row r="3346" ht="22.5" customHeight="1">
      <c r="A3346" s="66">
        <v>10.7881</v>
      </c>
      <c r="B3346" s="67">
        <v>106.7662</v>
      </c>
      <c r="C3346" s="67">
        <v>10.84253</v>
      </c>
      <c r="D3346" s="67">
        <v>106.6427</v>
      </c>
      <c r="E3346" s="68">
        <v>18.888</v>
      </c>
    </row>
    <row r="3347" ht="22.5" customHeight="1">
      <c r="A3347" s="61">
        <v>10.7881</v>
      </c>
      <c r="B3347" s="63">
        <v>106.7662</v>
      </c>
      <c r="C3347" s="63">
        <v>10.85846</v>
      </c>
      <c r="D3347" s="63">
        <v>106.7487</v>
      </c>
      <c r="E3347" s="64">
        <v>10.786</v>
      </c>
    </row>
    <row r="3348" ht="22.5" customHeight="1">
      <c r="A3348" s="66">
        <v>10.7881</v>
      </c>
      <c r="B3348" s="67">
        <v>106.7662</v>
      </c>
      <c r="C3348" s="67">
        <v>10.87583</v>
      </c>
      <c r="D3348" s="67">
        <v>106.6238</v>
      </c>
      <c r="E3348" s="68">
        <v>27.138</v>
      </c>
    </row>
    <row r="3349" ht="22.5" customHeight="1">
      <c r="A3349" s="61">
        <v>10.78825</v>
      </c>
      <c r="B3349" s="63">
        <v>106.7001</v>
      </c>
      <c r="C3349" s="63">
        <v>10.79036</v>
      </c>
      <c r="D3349" s="63">
        <v>106.6973</v>
      </c>
      <c r="E3349" s="64">
        <v>1.244</v>
      </c>
    </row>
    <row r="3350" ht="22.5" customHeight="1">
      <c r="A3350" s="66">
        <v>10.78851</v>
      </c>
      <c r="B3350" s="67">
        <v>106.777</v>
      </c>
      <c r="C3350" s="67">
        <v>10.75047</v>
      </c>
      <c r="D3350" s="67">
        <v>106.7916</v>
      </c>
      <c r="E3350" s="68">
        <v>7.705</v>
      </c>
    </row>
    <row r="3351" ht="22.5" customHeight="1">
      <c r="A3351" s="61">
        <v>10.78851</v>
      </c>
      <c r="B3351" s="63">
        <v>106.777</v>
      </c>
      <c r="C3351" s="63">
        <v>10.76666</v>
      </c>
      <c r="D3351" s="63">
        <v>106.7262</v>
      </c>
      <c r="E3351" s="64">
        <v>8.136</v>
      </c>
    </row>
    <row r="3352" ht="22.5" customHeight="1">
      <c r="A3352" s="66">
        <v>10.78851</v>
      </c>
      <c r="B3352" s="67">
        <v>106.777</v>
      </c>
      <c r="C3352" s="67">
        <v>10.77509</v>
      </c>
      <c r="D3352" s="67">
        <v>106.6727</v>
      </c>
      <c r="E3352" s="68">
        <v>14.25</v>
      </c>
    </row>
    <row r="3353" ht="22.5" customHeight="1">
      <c r="A3353" s="61">
        <v>10.78851</v>
      </c>
      <c r="B3353" s="63">
        <v>106.777</v>
      </c>
      <c r="C3353" s="63">
        <v>10.77662</v>
      </c>
      <c r="D3353" s="63">
        <v>106.7654</v>
      </c>
      <c r="E3353" s="64">
        <v>2.28</v>
      </c>
    </row>
    <row r="3354" ht="22.5" customHeight="1">
      <c r="A3354" s="66">
        <v>10.78851</v>
      </c>
      <c r="B3354" s="67">
        <v>106.777</v>
      </c>
      <c r="C3354" s="67">
        <v>10.77744</v>
      </c>
      <c r="D3354" s="67">
        <v>106.7646</v>
      </c>
      <c r="E3354" s="68">
        <v>2.266</v>
      </c>
    </row>
    <row r="3355" ht="22.5" customHeight="1">
      <c r="A3355" s="61">
        <v>10.78851</v>
      </c>
      <c r="B3355" s="63">
        <v>106.777</v>
      </c>
      <c r="C3355" s="63">
        <v>10.7818</v>
      </c>
      <c r="D3355" s="63">
        <v>106.7611</v>
      </c>
      <c r="E3355" s="64">
        <v>2.243</v>
      </c>
    </row>
    <row r="3356" ht="22.5" customHeight="1">
      <c r="A3356" s="66">
        <v>10.78851</v>
      </c>
      <c r="B3356" s="67">
        <v>106.777</v>
      </c>
      <c r="C3356" s="67">
        <v>10.78624</v>
      </c>
      <c r="D3356" s="67">
        <v>106.7313</v>
      </c>
      <c r="E3356" s="68">
        <v>6.16</v>
      </c>
    </row>
    <row r="3357" ht="22.5" customHeight="1">
      <c r="A3357" s="61">
        <v>10.78851</v>
      </c>
      <c r="B3357" s="63">
        <v>106.777</v>
      </c>
      <c r="C3357" s="63">
        <v>10.78759</v>
      </c>
      <c r="D3357" s="63">
        <v>106.7337</v>
      </c>
      <c r="E3357" s="64">
        <v>5.836</v>
      </c>
    </row>
    <row r="3358" ht="22.5" customHeight="1">
      <c r="A3358" s="66">
        <v>10.78851</v>
      </c>
      <c r="B3358" s="67">
        <v>106.777</v>
      </c>
      <c r="C3358" s="67">
        <v>10.78802</v>
      </c>
      <c r="D3358" s="67">
        <v>106.7609</v>
      </c>
      <c r="E3358" s="68">
        <v>1.794</v>
      </c>
    </row>
    <row r="3359" ht="22.5" customHeight="1">
      <c r="A3359" s="61">
        <v>10.78851</v>
      </c>
      <c r="B3359" s="63">
        <v>106.777</v>
      </c>
      <c r="C3359" s="63">
        <v>10.7881</v>
      </c>
      <c r="D3359" s="63">
        <v>106.7662</v>
      </c>
      <c r="E3359" s="64">
        <v>1.002</v>
      </c>
    </row>
    <row r="3360" ht="22.5" customHeight="1">
      <c r="A3360" s="66">
        <v>10.78851</v>
      </c>
      <c r="B3360" s="67">
        <v>106.777</v>
      </c>
      <c r="C3360" s="67">
        <v>10.78851</v>
      </c>
      <c r="D3360" s="67">
        <v>106.777</v>
      </c>
      <c r="E3360" s="68">
        <v>0.01</v>
      </c>
    </row>
    <row r="3361" ht="22.5" customHeight="1">
      <c r="A3361" s="61">
        <v>10.78851</v>
      </c>
      <c r="B3361" s="63">
        <v>106.777</v>
      </c>
      <c r="C3361" s="63">
        <v>10.78864</v>
      </c>
      <c r="D3361" s="63">
        <v>106.7561</v>
      </c>
      <c r="E3361" s="64">
        <v>2.334</v>
      </c>
    </row>
    <row r="3362" ht="22.5" customHeight="1">
      <c r="A3362" s="66">
        <v>10.78851</v>
      </c>
      <c r="B3362" s="67">
        <v>106.777</v>
      </c>
      <c r="C3362" s="67">
        <v>10.78871</v>
      </c>
      <c r="D3362" s="67">
        <v>106.7343</v>
      </c>
      <c r="E3362" s="68">
        <v>6.495</v>
      </c>
    </row>
    <row r="3363" ht="22.5" customHeight="1">
      <c r="A3363" s="61">
        <v>10.78851</v>
      </c>
      <c r="B3363" s="63">
        <v>106.777</v>
      </c>
      <c r="C3363" s="63">
        <v>10.79036</v>
      </c>
      <c r="D3363" s="63">
        <v>106.6973</v>
      </c>
      <c r="E3363" s="64">
        <v>13.108</v>
      </c>
    </row>
    <row r="3364" ht="22.5" customHeight="1">
      <c r="A3364" s="66">
        <v>10.78851</v>
      </c>
      <c r="B3364" s="67">
        <v>106.777</v>
      </c>
      <c r="C3364" s="67">
        <v>10.79203</v>
      </c>
      <c r="D3364" s="67">
        <v>106.7304</v>
      </c>
      <c r="E3364" s="68">
        <v>7.447</v>
      </c>
    </row>
    <row r="3365" ht="22.5" customHeight="1">
      <c r="A3365" s="61">
        <v>10.78851</v>
      </c>
      <c r="B3365" s="63">
        <v>106.777</v>
      </c>
      <c r="C3365" s="63">
        <v>10.79446</v>
      </c>
      <c r="D3365" s="63">
        <v>106.731</v>
      </c>
      <c r="E3365" s="64">
        <v>7.344</v>
      </c>
    </row>
    <row r="3366" ht="22.5" customHeight="1">
      <c r="A3366" s="66">
        <v>10.78851</v>
      </c>
      <c r="B3366" s="67">
        <v>106.777</v>
      </c>
      <c r="C3366" s="67">
        <v>10.80271</v>
      </c>
      <c r="D3366" s="67">
        <v>106.7355</v>
      </c>
      <c r="E3366" s="68">
        <v>7.555</v>
      </c>
    </row>
    <row r="3367" ht="22.5" customHeight="1">
      <c r="A3367" s="61">
        <v>10.78851</v>
      </c>
      <c r="B3367" s="63">
        <v>106.777</v>
      </c>
      <c r="C3367" s="63">
        <v>10.80312</v>
      </c>
      <c r="D3367" s="63">
        <v>106.7097</v>
      </c>
      <c r="E3367" s="64">
        <v>10.198</v>
      </c>
    </row>
    <row r="3368" ht="22.5" customHeight="1">
      <c r="A3368" s="66">
        <v>10.78851</v>
      </c>
      <c r="B3368" s="67">
        <v>106.777</v>
      </c>
      <c r="C3368" s="67">
        <v>10.80357</v>
      </c>
      <c r="D3368" s="67">
        <v>106.7181</v>
      </c>
      <c r="E3368" s="68">
        <v>9.944</v>
      </c>
    </row>
    <row r="3369" ht="22.5" customHeight="1">
      <c r="A3369" s="61">
        <v>10.78851</v>
      </c>
      <c r="B3369" s="63">
        <v>106.777</v>
      </c>
      <c r="C3369" s="63">
        <v>10.80434</v>
      </c>
      <c r="D3369" s="63">
        <v>106.7445</v>
      </c>
      <c r="E3369" s="64">
        <v>6.538</v>
      </c>
    </row>
    <row r="3370" ht="22.5" customHeight="1">
      <c r="A3370" s="66">
        <v>10.78851</v>
      </c>
      <c r="B3370" s="67">
        <v>106.777</v>
      </c>
      <c r="C3370" s="67">
        <v>10.80543</v>
      </c>
      <c r="D3370" s="67">
        <v>106.7324</v>
      </c>
      <c r="E3370" s="68">
        <v>8.11</v>
      </c>
    </row>
    <row r="3371" ht="22.5" customHeight="1">
      <c r="A3371" s="61">
        <v>10.78851</v>
      </c>
      <c r="B3371" s="63">
        <v>106.777</v>
      </c>
      <c r="C3371" s="63">
        <v>10.81819</v>
      </c>
      <c r="D3371" s="63">
        <v>106.7731</v>
      </c>
      <c r="E3371" s="64">
        <v>3.8</v>
      </c>
    </row>
    <row r="3372" ht="22.5" customHeight="1">
      <c r="A3372" s="66">
        <v>10.78851</v>
      </c>
      <c r="B3372" s="67">
        <v>106.777</v>
      </c>
      <c r="C3372" s="67">
        <v>10.82166</v>
      </c>
      <c r="D3372" s="67">
        <v>106.7034</v>
      </c>
      <c r="E3372" s="68">
        <v>13.665</v>
      </c>
    </row>
    <row r="3373" ht="22.5" customHeight="1">
      <c r="A3373" s="61">
        <v>10.78864</v>
      </c>
      <c r="B3373" s="63">
        <v>106.7561</v>
      </c>
      <c r="C3373" s="63">
        <v>10.75047</v>
      </c>
      <c r="D3373" s="63">
        <v>106.7916</v>
      </c>
      <c r="E3373" s="64">
        <v>6.201</v>
      </c>
    </row>
    <row r="3374" ht="22.5" customHeight="1">
      <c r="A3374" s="66">
        <v>10.78864</v>
      </c>
      <c r="B3374" s="67">
        <v>106.7561</v>
      </c>
      <c r="C3374" s="67">
        <v>10.77509</v>
      </c>
      <c r="D3374" s="67">
        <v>106.6727</v>
      </c>
      <c r="E3374" s="68">
        <v>12.112</v>
      </c>
    </row>
    <row r="3375" ht="22.5" customHeight="1">
      <c r="A3375" s="61">
        <v>10.78864</v>
      </c>
      <c r="B3375" s="63">
        <v>106.7561</v>
      </c>
      <c r="C3375" s="63">
        <v>10.77662</v>
      </c>
      <c r="D3375" s="63">
        <v>106.7654</v>
      </c>
      <c r="E3375" s="64">
        <v>1.749</v>
      </c>
    </row>
    <row r="3376" ht="22.5" customHeight="1">
      <c r="A3376" s="66">
        <v>10.78864</v>
      </c>
      <c r="B3376" s="67">
        <v>106.7561</v>
      </c>
      <c r="C3376" s="67">
        <v>10.77744</v>
      </c>
      <c r="D3376" s="67">
        <v>106.7646</v>
      </c>
      <c r="E3376" s="68">
        <v>1.767</v>
      </c>
    </row>
    <row r="3377" ht="22.5" customHeight="1">
      <c r="A3377" s="61">
        <v>10.78864</v>
      </c>
      <c r="B3377" s="63">
        <v>106.7561</v>
      </c>
      <c r="C3377" s="63">
        <v>10.7818</v>
      </c>
      <c r="D3377" s="63">
        <v>106.7611</v>
      </c>
      <c r="E3377" s="64">
        <v>1.13</v>
      </c>
    </row>
    <row r="3378" ht="22.5" customHeight="1">
      <c r="A3378" s="66">
        <v>10.78864</v>
      </c>
      <c r="B3378" s="67">
        <v>106.7561</v>
      </c>
      <c r="C3378" s="67">
        <v>10.78759</v>
      </c>
      <c r="D3378" s="67">
        <v>106.7337</v>
      </c>
      <c r="E3378" s="68">
        <v>3.505</v>
      </c>
    </row>
    <row r="3379" ht="22.5" customHeight="1">
      <c r="A3379" s="61">
        <v>10.78864</v>
      </c>
      <c r="B3379" s="63">
        <v>106.7561</v>
      </c>
      <c r="C3379" s="63">
        <v>10.78802</v>
      </c>
      <c r="D3379" s="63">
        <v>106.7609</v>
      </c>
      <c r="E3379" s="64">
        <v>0.565</v>
      </c>
    </row>
    <row r="3380" ht="22.5" customHeight="1">
      <c r="A3380" s="66">
        <v>10.78864</v>
      </c>
      <c r="B3380" s="67">
        <v>106.7561</v>
      </c>
      <c r="C3380" s="67">
        <v>10.7881</v>
      </c>
      <c r="D3380" s="67">
        <v>106.7662</v>
      </c>
      <c r="E3380" s="68">
        <v>0.954</v>
      </c>
    </row>
    <row r="3381" ht="22.5" customHeight="1">
      <c r="A3381" s="61">
        <v>10.78864</v>
      </c>
      <c r="B3381" s="63">
        <v>106.7561</v>
      </c>
      <c r="C3381" s="63">
        <v>10.78851</v>
      </c>
      <c r="D3381" s="63">
        <v>106.777</v>
      </c>
      <c r="E3381" s="64">
        <v>2.341</v>
      </c>
    </row>
    <row r="3382" ht="22.5" customHeight="1">
      <c r="A3382" s="66">
        <v>10.78864</v>
      </c>
      <c r="B3382" s="67">
        <v>106.7561</v>
      </c>
      <c r="C3382" s="67">
        <v>10.78864</v>
      </c>
      <c r="D3382" s="67">
        <v>106.7561</v>
      </c>
      <c r="E3382" s="68">
        <v>0.01</v>
      </c>
    </row>
    <row r="3383" ht="22.5" customHeight="1">
      <c r="A3383" s="61">
        <v>10.78864</v>
      </c>
      <c r="B3383" s="63">
        <v>106.7561</v>
      </c>
      <c r="C3383" s="63">
        <v>10.79203</v>
      </c>
      <c r="D3383" s="63">
        <v>106.7304</v>
      </c>
      <c r="E3383" s="64">
        <v>5.118</v>
      </c>
    </row>
    <row r="3384" ht="22.5" customHeight="1">
      <c r="A3384" s="66">
        <v>10.78864</v>
      </c>
      <c r="B3384" s="67">
        <v>106.7561</v>
      </c>
      <c r="C3384" s="67">
        <v>10.80576</v>
      </c>
      <c r="D3384" s="67">
        <v>106.7346</v>
      </c>
      <c r="E3384" s="68">
        <v>7.573</v>
      </c>
    </row>
    <row r="3385" ht="22.5" customHeight="1">
      <c r="A3385" s="61">
        <v>10.78871</v>
      </c>
      <c r="B3385" s="63">
        <v>106.7343</v>
      </c>
      <c r="C3385" s="63">
        <v>10.76656</v>
      </c>
      <c r="D3385" s="63">
        <v>106.726</v>
      </c>
      <c r="E3385" s="64">
        <v>3.559</v>
      </c>
    </row>
    <row r="3386" ht="22.5" customHeight="1">
      <c r="A3386" s="66">
        <v>10.78871</v>
      </c>
      <c r="B3386" s="67">
        <v>106.7343</v>
      </c>
      <c r="C3386" s="67">
        <v>10.78624</v>
      </c>
      <c r="D3386" s="67">
        <v>106.7313</v>
      </c>
      <c r="E3386" s="68">
        <v>0.517</v>
      </c>
    </row>
    <row r="3387" ht="22.5" customHeight="1">
      <c r="A3387" s="61">
        <v>10.78871</v>
      </c>
      <c r="B3387" s="63">
        <v>106.7343</v>
      </c>
      <c r="C3387" s="63">
        <v>10.78759</v>
      </c>
      <c r="D3387" s="63">
        <v>106.7337</v>
      </c>
      <c r="E3387" s="64">
        <v>0.197</v>
      </c>
    </row>
    <row r="3388" ht="22.5" customHeight="1">
      <c r="A3388" s="66">
        <v>10.78871</v>
      </c>
      <c r="B3388" s="67">
        <v>106.7343</v>
      </c>
      <c r="C3388" s="67">
        <v>10.78851</v>
      </c>
      <c r="D3388" s="67">
        <v>106.777</v>
      </c>
      <c r="E3388" s="68">
        <v>5.102</v>
      </c>
    </row>
    <row r="3389" ht="22.5" customHeight="1">
      <c r="A3389" s="61">
        <v>10.78871</v>
      </c>
      <c r="B3389" s="63">
        <v>106.7343</v>
      </c>
      <c r="C3389" s="63">
        <v>10.79203</v>
      </c>
      <c r="D3389" s="63">
        <v>106.7304</v>
      </c>
      <c r="E3389" s="64">
        <v>1.797</v>
      </c>
    </row>
    <row r="3390" ht="22.5" customHeight="1">
      <c r="A3390" s="66">
        <v>10.78871</v>
      </c>
      <c r="B3390" s="67">
        <v>106.7343</v>
      </c>
      <c r="C3390" s="67">
        <v>10.79446</v>
      </c>
      <c r="D3390" s="67">
        <v>106.731</v>
      </c>
      <c r="E3390" s="68">
        <v>1.7</v>
      </c>
    </row>
    <row r="3391" ht="22.5" customHeight="1">
      <c r="A3391" s="61">
        <v>10.78871</v>
      </c>
      <c r="B3391" s="63">
        <v>106.7343</v>
      </c>
      <c r="C3391" s="63">
        <v>10.80434</v>
      </c>
      <c r="D3391" s="63">
        <v>106.7445</v>
      </c>
      <c r="E3391" s="64">
        <v>3.289</v>
      </c>
    </row>
    <row r="3392" ht="22.5" customHeight="1">
      <c r="A3392" s="66">
        <v>10.78877</v>
      </c>
      <c r="B3392" s="67">
        <v>106.6994</v>
      </c>
      <c r="C3392" s="67">
        <v>10.77509</v>
      </c>
      <c r="D3392" s="67">
        <v>106.6727</v>
      </c>
      <c r="E3392" s="68">
        <v>3.974</v>
      </c>
    </row>
    <row r="3393" ht="22.5" customHeight="1">
      <c r="A3393" s="61">
        <v>10.78877</v>
      </c>
      <c r="B3393" s="63">
        <v>106.6994</v>
      </c>
      <c r="C3393" s="63">
        <v>10.7785</v>
      </c>
      <c r="D3393" s="63">
        <v>106.6858</v>
      </c>
      <c r="E3393" s="64">
        <v>2.868</v>
      </c>
    </row>
    <row r="3394" ht="22.5" customHeight="1">
      <c r="A3394" s="66">
        <v>10.78877</v>
      </c>
      <c r="B3394" s="67">
        <v>106.6994</v>
      </c>
      <c r="C3394" s="67">
        <v>10.79036</v>
      </c>
      <c r="D3394" s="67">
        <v>106.6973</v>
      </c>
      <c r="E3394" s="68">
        <v>1.222</v>
      </c>
    </row>
    <row r="3395" ht="22.5" customHeight="1">
      <c r="A3395" s="61">
        <v>10.78888</v>
      </c>
      <c r="B3395" s="63">
        <v>106.6306</v>
      </c>
      <c r="C3395" s="63">
        <v>10.79435</v>
      </c>
      <c r="D3395" s="63">
        <v>106.6382</v>
      </c>
      <c r="E3395" s="64">
        <v>1.42</v>
      </c>
    </row>
    <row r="3396" ht="22.5" customHeight="1">
      <c r="A3396" s="66">
        <v>10.78935</v>
      </c>
      <c r="B3396" s="67">
        <v>106.6755</v>
      </c>
      <c r="C3396" s="67">
        <v>10.78392</v>
      </c>
      <c r="D3396" s="67">
        <v>106.6808</v>
      </c>
      <c r="E3396" s="68">
        <v>1.359</v>
      </c>
    </row>
    <row r="3397" ht="22.5" customHeight="1">
      <c r="A3397" s="61">
        <v>10.78935</v>
      </c>
      <c r="B3397" s="63">
        <v>106.6755</v>
      </c>
      <c r="C3397" s="63">
        <v>10.78438</v>
      </c>
      <c r="D3397" s="63">
        <v>106.6829</v>
      </c>
      <c r="E3397" s="64">
        <v>1.002</v>
      </c>
    </row>
    <row r="3398" ht="22.5" customHeight="1">
      <c r="A3398" s="66">
        <v>10.78935</v>
      </c>
      <c r="B3398" s="67">
        <v>106.6755</v>
      </c>
      <c r="C3398" s="67">
        <v>10.78681</v>
      </c>
      <c r="D3398" s="67">
        <v>106.6794</v>
      </c>
      <c r="E3398" s="68">
        <v>0.454</v>
      </c>
    </row>
    <row r="3399" ht="22.5" customHeight="1">
      <c r="A3399" s="61">
        <v>10.78935</v>
      </c>
      <c r="B3399" s="63">
        <v>106.6755</v>
      </c>
      <c r="C3399" s="63">
        <v>10.79061</v>
      </c>
      <c r="D3399" s="63">
        <v>106.6883</v>
      </c>
      <c r="E3399" s="64">
        <v>2.143</v>
      </c>
    </row>
    <row r="3400" ht="22.5" customHeight="1">
      <c r="A3400" s="66">
        <v>10.78935</v>
      </c>
      <c r="B3400" s="67">
        <v>106.6755</v>
      </c>
      <c r="C3400" s="67">
        <v>10.79295</v>
      </c>
      <c r="D3400" s="67">
        <v>106.6858</v>
      </c>
      <c r="E3400" s="68">
        <v>2.137</v>
      </c>
    </row>
    <row r="3401" ht="22.5" customHeight="1">
      <c r="A3401" s="61">
        <v>10.78935</v>
      </c>
      <c r="B3401" s="63">
        <v>106.6755</v>
      </c>
      <c r="C3401" s="63">
        <v>10.79407</v>
      </c>
      <c r="D3401" s="63">
        <v>106.6839</v>
      </c>
      <c r="E3401" s="64">
        <v>3.12</v>
      </c>
    </row>
    <row r="3402" ht="22.5" customHeight="1">
      <c r="A3402" s="66">
        <v>10.78935</v>
      </c>
      <c r="B3402" s="67">
        <v>106.6755</v>
      </c>
      <c r="C3402" s="67">
        <v>10.79889</v>
      </c>
      <c r="D3402" s="67">
        <v>106.6803</v>
      </c>
      <c r="E3402" s="68">
        <v>2.106</v>
      </c>
    </row>
    <row r="3403" ht="22.5" customHeight="1">
      <c r="A3403" s="61">
        <v>10.78948</v>
      </c>
      <c r="B3403" s="63">
        <v>106.6268</v>
      </c>
      <c r="C3403" s="63">
        <v>10.79435</v>
      </c>
      <c r="D3403" s="63">
        <v>106.6382</v>
      </c>
      <c r="E3403" s="64">
        <v>1.775</v>
      </c>
    </row>
    <row r="3404" ht="22.5" customHeight="1">
      <c r="A3404" s="66">
        <v>10.78954</v>
      </c>
      <c r="B3404" s="67">
        <v>106.6431</v>
      </c>
      <c r="C3404" s="67">
        <v>10.76925</v>
      </c>
      <c r="D3404" s="67">
        <v>106.626</v>
      </c>
      <c r="E3404" s="68">
        <v>3.37</v>
      </c>
    </row>
    <row r="3405" ht="22.5" customHeight="1">
      <c r="A3405" s="61">
        <v>10.78954</v>
      </c>
      <c r="B3405" s="63">
        <v>106.6431</v>
      </c>
      <c r="C3405" s="63">
        <v>10.77231</v>
      </c>
      <c r="D3405" s="63">
        <v>106.6319</v>
      </c>
      <c r="E3405" s="64">
        <v>2.474</v>
      </c>
    </row>
    <row r="3406" ht="22.5" customHeight="1">
      <c r="A3406" s="66">
        <v>10.78954</v>
      </c>
      <c r="B3406" s="67">
        <v>106.6431</v>
      </c>
      <c r="C3406" s="67">
        <v>10.77509</v>
      </c>
      <c r="D3406" s="67">
        <v>106.6727</v>
      </c>
      <c r="E3406" s="68">
        <v>5.8</v>
      </c>
    </row>
    <row r="3407" ht="22.5" customHeight="1">
      <c r="A3407" s="61">
        <v>10.78954</v>
      </c>
      <c r="B3407" s="63">
        <v>106.6431</v>
      </c>
      <c r="C3407" s="63">
        <v>10.77995</v>
      </c>
      <c r="D3407" s="63">
        <v>106.6498</v>
      </c>
      <c r="E3407" s="64">
        <v>1.66</v>
      </c>
    </row>
    <row r="3408" ht="22.5" customHeight="1">
      <c r="A3408" s="66">
        <v>10.78954</v>
      </c>
      <c r="B3408" s="67">
        <v>106.6431</v>
      </c>
      <c r="C3408" s="67">
        <v>10.78175</v>
      </c>
      <c r="D3408" s="67">
        <v>106.6306</v>
      </c>
      <c r="E3408" s="68">
        <v>1.984</v>
      </c>
    </row>
    <row r="3409" ht="22.5" customHeight="1">
      <c r="A3409" s="61">
        <v>10.78954</v>
      </c>
      <c r="B3409" s="63">
        <v>106.6431</v>
      </c>
      <c r="C3409" s="63">
        <v>10.78264</v>
      </c>
      <c r="D3409" s="63">
        <v>106.6267</v>
      </c>
      <c r="E3409" s="64">
        <v>2.407</v>
      </c>
    </row>
    <row r="3410" ht="22.5" customHeight="1">
      <c r="A3410" s="66">
        <v>10.78954</v>
      </c>
      <c r="B3410" s="67">
        <v>106.6431</v>
      </c>
      <c r="C3410" s="67">
        <v>10.79193</v>
      </c>
      <c r="D3410" s="67">
        <v>106.6555</v>
      </c>
      <c r="E3410" s="68">
        <v>2.1</v>
      </c>
    </row>
    <row r="3411" ht="22.5" customHeight="1">
      <c r="A3411" s="61">
        <v>10.78954</v>
      </c>
      <c r="B3411" s="63">
        <v>106.6431</v>
      </c>
      <c r="C3411" s="63">
        <v>10.79212</v>
      </c>
      <c r="D3411" s="63">
        <v>106.6427</v>
      </c>
      <c r="E3411" s="64">
        <v>0.0</v>
      </c>
    </row>
    <row r="3412" ht="22.5" customHeight="1">
      <c r="A3412" s="66">
        <v>10.78954</v>
      </c>
      <c r="B3412" s="67">
        <v>106.6431</v>
      </c>
      <c r="C3412" s="67">
        <v>10.79435</v>
      </c>
      <c r="D3412" s="67">
        <v>106.6382</v>
      </c>
      <c r="E3412" s="68">
        <v>1.4</v>
      </c>
    </row>
    <row r="3413" ht="22.5" customHeight="1">
      <c r="A3413" s="61">
        <v>10.78954</v>
      </c>
      <c r="B3413" s="63">
        <v>106.6431</v>
      </c>
      <c r="C3413" s="63">
        <v>10.79525</v>
      </c>
      <c r="D3413" s="63">
        <v>106.6294</v>
      </c>
      <c r="E3413" s="64">
        <v>2.315</v>
      </c>
    </row>
    <row r="3414" ht="22.5" customHeight="1">
      <c r="A3414" s="66">
        <v>10.78954</v>
      </c>
      <c r="B3414" s="67">
        <v>106.6431</v>
      </c>
      <c r="C3414" s="67">
        <v>10.79588</v>
      </c>
      <c r="D3414" s="67">
        <v>106.6411</v>
      </c>
      <c r="E3414" s="68">
        <v>0.949</v>
      </c>
    </row>
    <row r="3415" ht="22.5" customHeight="1">
      <c r="A3415" s="61">
        <v>10.78954</v>
      </c>
      <c r="B3415" s="63">
        <v>106.6431</v>
      </c>
      <c r="C3415" s="63">
        <v>10.7972</v>
      </c>
      <c r="D3415" s="63">
        <v>106.6307</v>
      </c>
      <c r="E3415" s="64">
        <v>2.101</v>
      </c>
    </row>
    <row r="3416" ht="22.5" customHeight="1">
      <c r="A3416" s="66">
        <v>10.78954</v>
      </c>
      <c r="B3416" s="67">
        <v>106.6431</v>
      </c>
      <c r="C3416" s="67">
        <v>10.81094</v>
      </c>
      <c r="D3416" s="67">
        <v>106.611</v>
      </c>
      <c r="E3416" s="68">
        <v>5.471</v>
      </c>
    </row>
    <row r="3417" ht="22.5" customHeight="1">
      <c r="A3417" s="61">
        <v>10.78961</v>
      </c>
      <c r="B3417" s="63">
        <v>106.7023</v>
      </c>
      <c r="C3417" s="63">
        <v>10.79036</v>
      </c>
      <c r="D3417" s="63">
        <v>106.6973</v>
      </c>
      <c r="E3417" s="64">
        <v>1.937</v>
      </c>
    </row>
    <row r="3418" ht="22.5" customHeight="1">
      <c r="A3418" s="66">
        <v>10.7901</v>
      </c>
      <c r="B3418" s="67">
        <v>106.6583</v>
      </c>
      <c r="C3418" s="67">
        <v>10.77509</v>
      </c>
      <c r="D3418" s="67">
        <v>106.6727</v>
      </c>
      <c r="E3418" s="68">
        <v>3.407</v>
      </c>
    </row>
    <row r="3419" ht="22.5" customHeight="1">
      <c r="A3419" s="61">
        <v>10.7901</v>
      </c>
      <c r="B3419" s="63">
        <v>106.6583</v>
      </c>
      <c r="C3419" s="63">
        <v>10.79193</v>
      </c>
      <c r="D3419" s="63">
        <v>106.6555</v>
      </c>
      <c r="E3419" s="64">
        <v>0.4</v>
      </c>
    </row>
    <row r="3420" ht="22.5" customHeight="1">
      <c r="A3420" s="66">
        <v>10.79013</v>
      </c>
      <c r="B3420" s="67">
        <v>106.6896</v>
      </c>
      <c r="C3420" s="67">
        <v>10.79036</v>
      </c>
      <c r="D3420" s="67">
        <v>106.6973</v>
      </c>
      <c r="E3420" s="68">
        <v>1.211</v>
      </c>
    </row>
    <row r="3421" ht="22.5" customHeight="1">
      <c r="A3421" s="61">
        <v>10.79013</v>
      </c>
      <c r="B3421" s="63">
        <v>106.6896</v>
      </c>
      <c r="C3421" s="63">
        <v>10.79061</v>
      </c>
      <c r="D3421" s="63">
        <v>106.6883</v>
      </c>
      <c r="E3421" s="64">
        <v>0.061</v>
      </c>
    </row>
    <row r="3422" ht="22.5" customHeight="1">
      <c r="A3422" s="66">
        <v>10.79036</v>
      </c>
      <c r="B3422" s="67">
        <v>106.6973</v>
      </c>
      <c r="C3422" s="67">
        <v>10.755</v>
      </c>
      <c r="D3422" s="67">
        <v>106.6705</v>
      </c>
      <c r="E3422" s="68">
        <v>6.118</v>
      </c>
    </row>
    <row r="3423" ht="22.5" customHeight="1">
      <c r="A3423" s="61">
        <v>10.79036</v>
      </c>
      <c r="B3423" s="63">
        <v>106.6973</v>
      </c>
      <c r="C3423" s="63">
        <v>10.75695</v>
      </c>
      <c r="D3423" s="63">
        <v>106.671</v>
      </c>
      <c r="E3423" s="64">
        <v>5.962</v>
      </c>
    </row>
    <row r="3424" ht="22.5" customHeight="1">
      <c r="A3424" s="66">
        <v>10.79036</v>
      </c>
      <c r="B3424" s="67">
        <v>106.6973</v>
      </c>
      <c r="C3424" s="67">
        <v>10.75947</v>
      </c>
      <c r="D3424" s="67">
        <v>106.6805</v>
      </c>
      <c r="E3424" s="68">
        <v>5.079</v>
      </c>
    </row>
    <row r="3425" ht="22.5" customHeight="1">
      <c r="A3425" s="61">
        <v>10.79036</v>
      </c>
      <c r="B3425" s="63">
        <v>106.6973</v>
      </c>
      <c r="C3425" s="63">
        <v>10.75973</v>
      </c>
      <c r="D3425" s="63">
        <v>106.6989</v>
      </c>
      <c r="E3425" s="64">
        <v>5.587</v>
      </c>
    </row>
    <row r="3426" ht="22.5" customHeight="1">
      <c r="A3426" s="66">
        <v>10.79036</v>
      </c>
      <c r="B3426" s="67">
        <v>106.6973</v>
      </c>
      <c r="C3426" s="67">
        <v>10.76913</v>
      </c>
      <c r="D3426" s="67">
        <v>106.6615</v>
      </c>
      <c r="E3426" s="68">
        <v>5.285</v>
      </c>
    </row>
    <row r="3427" ht="22.5" customHeight="1">
      <c r="A3427" s="61">
        <v>10.79036</v>
      </c>
      <c r="B3427" s="63">
        <v>106.6973</v>
      </c>
      <c r="C3427" s="63">
        <v>10.77014</v>
      </c>
      <c r="D3427" s="63">
        <v>106.7009</v>
      </c>
      <c r="E3427" s="64">
        <v>4.035</v>
      </c>
    </row>
    <row r="3428" ht="22.5" customHeight="1">
      <c r="A3428" s="66">
        <v>10.79036</v>
      </c>
      <c r="B3428" s="67">
        <v>106.6973</v>
      </c>
      <c r="C3428" s="67">
        <v>10.77509</v>
      </c>
      <c r="D3428" s="67">
        <v>106.6727</v>
      </c>
      <c r="E3428" s="68">
        <v>4.0</v>
      </c>
    </row>
    <row r="3429" ht="22.5" customHeight="1">
      <c r="A3429" s="61">
        <v>10.79036</v>
      </c>
      <c r="B3429" s="63">
        <v>106.6973</v>
      </c>
      <c r="C3429" s="63">
        <v>10.77971</v>
      </c>
      <c r="D3429" s="63">
        <v>106.7008</v>
      </c>
      <c r="E3429" s="64">
        <v>1.967</v>
      </c>
    </row>
    <row r="3430" ht="22.5" customHeight="1">
      <c r="A3430" s="66">
        <v>10.79036</v>
      </c>
      <c r="B3430" s="67">
        <v>106.6973</v>
      </c>
      <c r="C3430" s="67">
        <v>10.78115</v>
      </c>
      <c r="D3430" s="67">
        <v>106.7005</v>
      </c>
      <c r="E3430" s="68">
        <v>2.001</v>
      </c>
    </row>
    <row r="3431" ht="22.5" customHeight="1">
      <c r="A3431" s="61">
        <v>10.79036</v>
      </c>
      <c r="B3431" s="63">
        <v>106.6973</v>
      </c>
      <c r="C3431" s="63">
        <v>10.79036</v>
      </c>
      <c r="D3431" s="63">
        <v>106.6973</v>
      </c>
      <c r="E3431" s="64">
        <v>0.0</v>
      </c>
    </row>
    <row r="3432" ht="22.5" customHeight="1">
      <c r="A3432" s="66">
        <v>10.79036</v>
      </c>
      <c r="B3432" s="67">
        <v>106.6973</v>
      </c>
      <c r="C3432" s="67">
        <v>10.79061</v>
      </c>
      <c r="D3432" s="67">
        <v>106.6883</v>
      </c>
      <c r="E3432" s="68">
        <v>1.272</v>
      </c>
    </row>
    <row r="3433" ht="22.5" customHeight="1">
      <c r="A3433" s="61">
        <v>10.79036</v>
      </c>
      <c r="B3433" s="63">
        <v>106.6973</v>
      </c>
      <c r="C3433" s="63">
        <v>10.79121</v>
      </c>
      <c r="D3433" s="63">
        <v>106.7227</v>
      </c>
      <c r="E3433" s="64">
        <v>4.0</v>
      </c>
    </row>
    <row r="3434" ht="22.5" customHeight="1">
      <c r="A3434" s="66">
        <v>10.79036</v>
      </c>
      <c r="B3434" s="67">
        <v>106.6973</v>
      </c>
      <c r="C3434" s="67">
        <v>10.79512</v>
      </c>
      <c r="D3434" s="67">
        <v>106.7026</v>
      </c>
      <c r="E3434" s="68">
        <v>0.793</v>
      </c>
    </row>
    <row r="3435" ht="22.5" customHeight="1">
      <c r="A3435" s="61">
        <v>10.79036</v>
      </c>
      <c r="B3435" s="63">
        <v>106.6973</v>
      </c>
      <c r="C3435" s="63">
        <v>10.80027</v>
      </c>
      <c r="D3435" s="63">
        <v>106.7109</v>
      </c>
      <c r="E3435" s="64">
        <v>2.246</v>
      </c>
    </row>
    <row r="3436" ht="22.5" customHeight="1">
      <c r="A3436" s="66">
        <v>10.79036</v>
      </c>
      <c r="B3436" s="67">
        <v>106.6973</v>
      </c>
      <c r="C3436" s="67">
        <v>10.80312</v>
      </c>
      <c r="D3436" s="67">
        <v>106.7097</v>
      </c>
      <c r="E3436" s="68">
        <v>2.4</v>
      </c>
    </row>
    <row r="3437" ht="22.5" customHeight="1">
      <c r="A3437" s="61">
        <v>10.79036</v>
      </c>
      <c r="B3437" s="63">
        <v>106.6973</v>
      </c>
      <c r="C3437" s="63">
        <v>10.80393</v>
      </c>
      <c r="D3437" s="63">
        <v>106.7092</v>
      </c>
      <c r="E3437" s="64">
        <v>2.6</v>
      </c>
    </row>
    <row r="3438" ht="22.5" customHeight="1">
      <c r="A3438" s="66">
        <v>10.79056</v>
      </c>
      <c r="B3438" s="67">
        <v>106.6726</v>
      </c>
      <c r="C3438" s="67">
        <v>10.79975</v>
      </c>
      <c r="D3438" s="67">
        <v>106.6696</v>
      </c>
      <c r="E3438" s="68">
        <v>1.966</v>
      </c>
    </row>
    <row r="3439" ht="22.5" customHeight="1">
      <c r="A3439" s="61">
        <v>10.79056</v>
      </c>
      <c r="B3439" s="63">
        <v>106.6534</v>
      </c>
      <c r="C3439" s="63">
        <v>10.79193</v>
      </c>
      <c r="D3439" s="63">
        <v>106.6555</v>
      </c>
      <c r="E3439" s="64">
        <v>0.376</v>
      </c>
    </row>
    <row r="3440" ht="22.5" customHeight="1">
      <c r="A3440" s="66">
        <v>10.79061</v>
      </c>
      <c r="B3440" s="67">
        <v>106.6883</v>
      </c>
      <c r="C3440" s="67">
        <v>10.77014</v>
      </c>
      <c r="D3440" s="67">
        <v>106.7009</v>
      </c>
      <c r="E3440" s="68">
        <v>3.007</v>
      </c>
    </row>
    <row r="3441" ht="22.5" customHeight="1">
      <c r="A3441" s="61">
        <v>10.79061</v>
      </c>
      <c r="B3441" s="63">
        <v>106.6883</v>
      </c>
      <c r="C3441" s="63">
        <v>10.77509</v>
      </c>
      <c r="D3441" s="63">
        <v>106.6727</v>
      </c>
      <c r="E3441" s="64">
        <v>3.115</v>
      </c>
    </row>
    <row r="3442" ht="22.5" customHeight="1">
      <c r="A3442" s="66">
        <v>10.79061</v>
      </c>
      <c r="B3442" s="67">
        <v>106.6883</v>
      </c>
      <c r="C3442" s="67">
        <v>10.78392</v>
      </c>
      <c r="D3442" s="67">
        <v>106.6808</v>
      </c>
      <c r="E3442" s="68">
        <v>2.0</v>
      </c>
    </row>
    <row r="3443" ht="22.5" customHeight="1">
      <c r="A3443" s="61">
        <v>10.79061</v>
      </c>
      <c r="B3443" s="63">
        <v>106.6883</v>
      </c>
      <c r="C3443" s="63">
        <v>10.78438</v>
      </c>
      <c r="D3443" s="63">
        <v>106.6829</v>
      </c>
      <c r="E3443" s="64">
        <v>1.5</v>
      </c>
    </row>
    <row r="3444" ht="22.5" customHeight="1">
      <c r="A3444" s="66">
        <v>10.79061</v>
      </c>
      <c r="B3444" s="67">
        <v>106.6883</v>
      </c>
      <c r="C3444" s="67">
        <v>10.78681</v>
      </c>
      <c r="D3444" s="67">
        <v>106.6794</v>
      </c>
      <c r="E3444" s="68">
        <v>2.2</v>
      </c>
    </row>
    <row r="3445" ht="22.5" customHeight="1">
      <c r="A3445" s="61">
        <v>10.79061</v>
      </c>
      <c r="B3445" s="63">
        <v>106.6883</v>
      </c>
      <c r="C3445" s="63">
        <v>10.78935</v>
      </c>
      <c r="D3445" s="63">
        <v>106.6755</v>
      </c>
      <c r="E3445" s="64">
        <v>2.4</v>
      </c>
    </row>
    <row r="3446" ht="22.5" customHeight="1">
      <c r="A3446" s="66">
        <v>10.79061</v>
      </c>
      <c r="B3446" s="67">
        <v>106.6883</v>
      </c>
      <c r="C3446" s="67">
        <v>10.79223</v>
      </c>
      <c r="D3446" s="67">
        <v>106.6708</v>
      </c>
      <c r="E3446" s="68">
        <v>2.351</v>
      </c>
    </row>
    <row r="3447" ht="22.5" customHeight="1">
      <c r="A3447" s="61">
        <v>10.79061</v>
      </c>
      <c r="B3447" s="63">
        <v>106.6883</v>
      </c>
      <c r="C3447" s="63">
        <v>10.79295</v>
      </c>
      <c r="D3447" s="63">
        <v>106.6858</v>
      </c>
      <c r="E3447" s="64">
        <v>0.4</v>
      </c>
    </row>
    <row r="3448" ht="22.5" customHeight="1">
      <c r="A3448" s="66">
        <v>10.79061</v>
      </c>
      <c r="B3448" s="67">
        <v>106.6883</v>
      </c>
      <c r="C3448" s="67">
        <v>10.79407</v>
      </c>
      <c r="D3448" s="67">
        <v>106.6839</v>
      </c>
      <c r="E3448" s="68">
        <v>0.6</v>
      </c>
    </row>
    <row r="3449" ht="22.5" customHeight="1">
      <c r="A3449" s="61">
        <v>10.79061</v>
      </c>
      <c r="B3449" s="63">
        <v>106.6883</v>
      </c>
      <c r="C3449" s="63">
        <v>10.79771</v>
      </c>
      <c r="D3449" s="63">
        <v>106.6714</v>
      </c>
      <c r="E3449" s="64">
        <v>2.4</v>
      </c>
    </row>
    <row r="3450" ht="22.5" customHeight="1">
      <c r="A3450" s="66">
        <v>10.79061</v>
      </c>
      <c r="B3450" s="67">
        <v>106.6883</v>
      </c>
      <c r="C3450" s="67">
        <v>10.79865</v>
      </c>
      <c r="D3450" s="67">
        <v>106.682</v>
      </c>
      <c r="E3450" s="68">
        <v>1.4</v>
      </c>
    </row>
    <row r="3451" ht="22.5" customHeight="1">
      <c r="A3451" s="61">
        <v>10.79061</v>
      </c>
      <c r="B3451" s="63">
        <v>106.6883</v>
      </c>
      <c r="C3451" s="63">
        <v>10.79889</v>
      </c>
      <c r="D3451" s="63">
        <v>106.6803</v>
      </c>
      <c r="E3451" s="64">
        <v>1.3</v>
      </c>
    </row>
    <row r="3452" ht="22.5" customHeight="1">
      <c r="A3452" s="66">
        <v>10.79068</v>
      </c>
      <c r="B3452" s="67">
        <v>106.6917</v>
      </c>
      <c r="C3452" s="67">
        <v>10.79036</v>
      </c>
      <c r="D3452" s="67">
        <v>106.6973</v>
      </c>
      <c r="E3452" s="68">
        <v>1.325</v>
      </c>
    </row>
    <row r="3453" ht="22.5" customHeight="1">
      <c r="A3453" s="61">
        <v>10.79068</v>
      </c>
      <c r="B3453" s="63">
        <v>106.6917</v>
      </c>
      <c r="C3453" s="63">
        <v>10.7926</v>
      </c>
      <c r="D3453" s="63">
        <v>106.6961</v>
      </c>
      <c r="E3453" s="64">
        <v>1.641</v>
      </c>
    </row>
    <row r="3454" ht="22.5" customHeight="1">
      <c r="A3454" s="66">
        <v>10.7907</v>
      </c>
      <c r="B3454" s="67">
        <v>106.7481</v>
      </c>
      <c r="C3454" s="67">
        <v>10.76656</v>
      </c>
      <c r="D3454" s="67">
        <v>106.726</v>
      </c>
      <c r="E3454" s="68">
        <v>4.867</v>
      </c>
    </row>
    <row r="3455" ht="22.5" customHeight="1">
      <c r="A3455" s="61">
        <v>10.7907</v>
      </c>
      <c r="B3455" s="63">
        <v>106.7481</v>
      </c>
      <c r="C3455" s="63">
        <v>10.76666</v>
      </c>
      <c r="D3455" s="63">
        <v>106.7262</v>
      </c>
      <c r="E3455" s="64">
        <v>4.976</v>
      </c>
    </row>
    <row r="3456" ht="22.5" customHeight="1">
      <c r="A3456" s="66">
        <v>10.7907</v>
      </c>
      <c r="B3456" s="67">
        <v>106.7481</v>
      </c>
      <c r="C3456" s="67">
        <v>10.7818</v>
      </c>
      <c r="D3456" s="67">
        <v>106.7611</v>
      </c>
      <c r="E3456" s="68">
        <v>2.2</v>
      </c>
    </row>
    <row r="3457" ht="22.5" customHeight="1">
      <c r="A3457" s="61">
        <v>10.7907</v>
      </c>
      <c r="B3457" s="63">
        <v>106.7481</v>
      </c>
      <c r="C3457" s="63">
        <v>10.78624</v>
      </c>
      <c r="D3457" s="63">
        <v>106.7313</v>
      </c>
      <c r="E3457" s="64">
        <v>1.999</v>
      </c>
    </row>
    <row r="3458" ht="22.5" customHeight="1">
      <c r="A3458" s="66">
        <v>10.7907</v>
      </c>
      <c r="B3458" s="67">
        <v>106.7481</v>
      </c>
      <c r="C3458" s="67">
        <v>10.78752</v>
      </c>
      <c r="D3458" s="67">
        <v>106.7334</v>
      </c>
      <c r="E3458" s="68">
        <v>1.731</v>
      </c>
    </row>
    <row r="3459" ht="22.5" customHeight="1">
      <c r="A3459" s="61">
        <v>10.7907</v>
      </c>
      <c r="B3459" s="63">
        <v>106.7481</v>
      </c>
      <c r="C3459" s="63">
        <v>10.78759</v>
      </c>
      <c r="D3459" s="63">
        <v>106.7337</v>
      </c>
      <c r="E3459" s="64">
        <v>1.692</v>
      </c>
    </row>
    <row r="3460" ht="22.5" customHeight="1">
      <c r="A3460" s="66">
        <v>10.7907</v>
      </c>
      <c r="B3460" s="67">
        <v>106.7481</v>
      </c>
      <c r="C3460" s="67">
        <v>10.78802</v>
      </c>
      <c r="D3460" s="67">
        <v>106.7609</v>
      </c>
      <c r="E3460" s="68">
        <v>1.766</v>
      </c>
    </row>
    <row r="3461" ht="22.5" customHeight="1">
      <c r="A3461" s="61">
        <v>10.7907</v>
      </c>
      <c r="B3461" s="63">
        <v>106.7481</v>
      </c>
      <c r="C3461" s="63">
        <v>10.78864</v>
      </c>
      <c r="D3461" s="63">
        <v>106.7561</v>
      </c>
      <c r="E3461" s="64">
        <v>3.083</v>
      </c>
    </row>
    <row r="3462" ht="22.5" customHeight="1">
      <c r="A3462" s="66">
        <v>10.7907</v>
      </c>
      <c r="B3462" s="67">
        <v>106.7481</v>
      </c>
      <c r="C3462" s="67">
        <v>10.78871</v>
      </c>
      <c r="D3462" s="67">
        <v>106.7343</v>
      </c>
      <c r="E3462" s="68">
        <v>1.674</v>
      </c>
    </row>
    <row r="3463" ht="22.5" customHeight="1">
      <c r="A3463" s="61">
        <v>10.7907</v>
      </c>
      <c r="B3463" s="63">
        <v>106.7481</v>
      </c>
      <c r="C3463" s="63">
        <v>10.79203</v>
      </c>
      <c r="D3463" s="63">
        <v>106.7304</v>
      </c>
      <c r="E3463" s="64">
        <v>3.55</v>
      </c>
    </row>
    <row r="3464" ht="22.5" customHeight="1">
      <c r="A3464" s="66">
        <v>10.7907</v>
      </c>
      <c r="B3464" s="67">
        <v>106.7481</v>
      </c>
      <c r="C3464" s="67">
        <v>10.7938</v>
      </c>
      <c r="D3464" s="67">
        <v>106.7467</v>
      </c>
      <c r="E3464" s="68">
        <v>0.697</v>
      </c>
    </row>
    <row r="3465" ht="22.5" customHeight="1">
      <c r="A3465" s="61">
        <v>10.7907</v>
      </c>
      <c r="B3465" s="63">
        <v>106.7481</v>
      </c>
      <c r="C3465" s="63">
        <v>10.79446</v>
      </c>
      <c r="D3465" s="63">
        <v>106.731</v>
      </c>
      <c r="E3465" s="64">
        <v>3.192</v>
      </c>
    </row>
    <row r="3466" ht="22.5" customHeight="1">
      <c r="A3466" s="66">
        <v>10.7907</v>
      </c>
      <c r="B3466" s="67">
        <v>106.7481</v>
      </c>
      <c r="C3466" s="67">
        <v>10.79662</v>
      </c>
      <c r="D3466" s="67">
        <v>106.7372</v>
      </c>
      <c r="E3466" s="68">
        <v>2.332</v>
      </c>
    </row>
    <row r="3467" ht="22.5" customHeight="1">
      <c r="A3467" s="61">
        <v>10.7907</v>
      </c>
      <c r="B3467" s="63">
        <v>106.7481</v>
      </c>
      <c r="C3467" s="63">
        <v>10.80128</v>
      </c>
      <c r="D3467" s="63">
        <v>106.7329</v>
      </c>
      <c r="E3467" s="64">
        <v>3.418</v>
      </c>
    </row>
    <row r="3468" ht="22.5" customHeight="1">
      <c r="A3468" s="66">
        <v>10.7907</v>
      </c>
      <c r="B3468" s="67">
        <v>106.7481</v>
      </c>
      <c r="C3468" s="67">
        <v>10.80271</v>
      </c>
      <c r="D3468" s="67">
        <v>106.7355</v>
      </c>
      <c r="E3468" s="68">
        <v>3.138</v>
      </c>
    </row>
    <row r="3469" ht="22.5" customHeight="1">
      <c r="A3469" s="61">
        <v>10.7907</v>
      </c>
      <c r="B3469" s="63">
        <v>106.7481</v>
      </c>
      <c r="C3469" s="63">
        <v>10.80434</v>
      </c>
      <c r="D3469" s="63">
        <v>106.7445</v>
      </c>
      <c r="E3469" s="64">
        <v>2.36</v>
      </c>
    </row>
    <row r="3470" ht="22.5" customHeight="1">
      <c r="A3470" s="66">
        <v>10.7907</v>
      </c>
      <c r="B3470" s="67">
        <v>106.7481</v>
      </c>
      <c r="C3470" s="67">
        <v>10.80543</v>
      </c>
      <c r="D3470" s="67">
        <v>106.7324</v>
      </c>
      <c r="E3470" s="68">
        <v>3.69</v>
      </c>
    </row>
    <row r="3471" ht="22.5" customHeight="1">
      <c r="A3471" s="61">
        <v>10.7907</v>
      </c>
      <c r="B3471" s="63">
        <v>106.7481</v>
      </c>
      <c r="C3471" s="63">
        <v>10.80576</v>
      </c>
      <c r="D3471" s="63">
        <v>106.7346</v>
      </c>
      <c r="E3471" s="64">
        <v>3.41</v>
      </c>
    </row>
    <row r="3472" ht="22.5" customHeight="1">
      <c r="A3472" s="66">
        <v>10.79096</v>
      </c>
      <c r="B3472" s="67">
        <v>106.6661</v>
      </c>
      <c r="C3472" s="67">
        <v>10.79223</v>
      </c>
      <c r="D3472" s="67">
        <v>106.6708</v>
      </c>
      <c r="E3472" s="68">
        <v>0.757</v>
      </c>
    </row>
    <row r="3473" ht="22.5" customHeight="1">
      <c r="A3473" s="61">
        <v>10.79121</v>
      </c>
      <c r="B3473" s="63">
        <v>106.7227</v>
      </c>
      <c r="C3473" s="63">
        <v>10.77509</v>
      </c>
      <c r="D3473" s="63">
        <v>106.6727</v>
      </c>
      <c r="E3473" s="64">
        <v>8.429</v>
      </c>
    </row>
    <row r="3474" ht="22.5" customHeight="1">
      <c r="A3474" s="66">
        <v>10.79121</v>
      </c>
      <c r="B3474" s="67">
        <v>106.7227</v>
      </c>
      <c r="C3474" s="67">
        <v>10.78115</v>
      </c>
      <c r="D3474" s="67">
        <v>106.7005</v>
      </c>
      <c r="E3474" s="68">
        <v>5.004</v>
      </c>
    </row>
    <row r="3475" ht="22.5" customHeight="1">
      <c r="A3475" s="61">
        <v>10.79121</v>
      </c>
      <c r="B3475" s="63">
        <v>106.7227</v>
      </c>
      <c r="C3475" s="63">
        <v>10.7818</v>
      </c>
      <c r="D3475" s="63">
        <v>106.7611</v>
      </c>
      <c r="E3475" s="64">
        <v>8.82</v>
      </c>
    </row>
    <row r="3476" ht="22.5" customHeight="1">
      <c r="A3476" s="66">
        <v>10.79121</v>
      </c>
      <c r="B3476" s="67">
        <v>106.7227</v>
      </c>
      <c r="C3476" s="67">
        <v>10.78485</v>
      </c>
      <c r="D3476" s="67">
        <v>106.6942</v>
      </c>
      <c r="E3476" s="68">
        <v>5.807</v>
      </c>
    </row>
    <row r="3477" ht="22.5" customHeight="1">
      <c r="A3477" s="61">
        <v>10.79121</v>
      </c>
      <c r="B3477" s="63">
        <v>106.7227</v>
      </c>
      <c r="C3477" s="63">
        <v>10.78851</v>
      </c>
      <c r="D3477" s="63">
        <v>106.777</v>
      </c>
      <c r="E3477" s="64">
        <v>8.538</v>
      </c>
    </row>
    <row r="3478" ht="22.5" customHeight="1">
      <c r="A3478" s="66">
        <v>10.79121</v>
      </c>
      <c r="B3478" s="67">
        <v>106.7227</v>
      </c>
      <c r="C3478" s="67">
        <v>10.79036</v>
      </c>
      <c r="D3478" s="67">
        <v>106.6973</v>
      </c>
      <c r="E3478" s="68">
        <v>5.603</v>
      </c>
    </row>
    <row r="3479" ht="22.5" customHeight="1">
      <c r="A3479" s="61">
        <v>10.79121</v>
      </c>
      <c r="B3479" s="63">
        <v>106.7227</v>
      </c>
      <c r="C3479" s="63">
        <v>10.79203</v>
      </c>
      <c r="D3479" s="63">
        <v>106.7304</v>
      </c>
      <c r="E3479" s="64">
        <v>3.402</v>
      </c>
    </row>
    <row r="3480" ht="22.5" customHeight="1">
      <c r="A3480" s="66">
        <v>10.79121</v>
      </c>
      <c r="B3480" s="67">
        <v>106.7227</v>
      </c>
      <c r="C3480" s="67">
        <v>10.80027</v>
      </c>
      <c r="D3480" s="67">
        <v>106.7109</v>
      </c>
      <c r="E3480" s="68">
        <v>2.561</v>
      </c>
    </row>
    <row r="3481" ht="22.5" customHeight="1">
      <c r="A3481" s="61">
        <v>10.79121</v>
      </c>
      <c r="B3481" s="63">
        <v>106.7227</v>
      </c>
      <c r="C3481" s="63">
        <v>10.80312</v>
      </c>
      <c r="D3481" s="63">
        <v>106.7097</v>
      </c>
      <c r="E3481" s="64">
        <v>2.997</v>
      </c>
    </row>
    <row r="3482" ht="22.5" customHeight="1">
      <c r="A3482" s="66">
        <v>10.79121</v>
      </c>
      <c r="B3482" s="67">
        <v>106.7227</v>
      </c>
      <c r="C3482" s="67">
        <v>10.80353</v>
      </c>
      <c r="D3482" s="67">
        <v>106.7039</v>
      </c>
      <c r="E3482" s="68">
        <v>4.158</v>
      </c>
    </row>
    <row r="3483" ht="22.5" customHeight="1">
      <c r="A3483" s="61">
        <v>10.79121</v>
      </c>
      <c r="B3483" s="63">
        <v>106.7227</v>
      </c>
      <c r="C3483" s="63">
        <v>10.80357</v>
      </c>
      <c r="D3483" s="63">
        <v>106.7181</v>
      </c>
      <c r="E3483" s="64">
        <v>2.5</v>
      </c>
    </row>
    <row r="3484" ht="22.5" customHeight="1">
      <c r="A3484" s="66">
        <v>10.79121</v>
      </c>
      <c r="B3484" s="67">
        <v>106.7227</v>
      </c>
      <c r="C3484" s="67">
        <v>10.80393</v>
      </c>
      <c r="D3484" s="67">
        <v>106.7092</v>
      </c>
      <c r="E3484" s="68">
        <v>3.191</v>
      </c>
    </row>
    <row r="3485" ht="22.5" customHeight="1">
      <c r="A3485" s="61">
        <v>10.79121</v>
      </c>
      <c r="B3485" s="63">
        <v>106.7227</v>
      </c>
      <c r="C3485" s="63">
        <v>10.80821</v>
      </c>
      <c r="D3485" s="63">
        <v>106.7251</v>
      </c>
      <c r="E3485" s="64">
        <v>4.077</v>
      </c>
    </row>
    <row r="3486" ht="22.5" customHeight="1">
      <c r="A3486" s="66">
        <v>10.79126</v>
      </c>
      <c r="B3486" s="67">
        <v>106.6782</v>
      </c>
      <c r="C3486" s="67">
        <v>10.77509</v>
      </c>
      <c r="D3486" s="67">
        <v>106.6727</v>
      </c>
      <c r="E3486" s="68">
        <v>2.864</v>
      </c>
    </row>
    <row r="3487" ht="22.5" customHeight="1">
      <c r="A3487" s="61">
        <v>10.79126</v>
      </c>
      <c r="B3487" s="63">
        <v>106.6782</v>
      </c>
      <c r="C3487" s="63">
        <v>10.78681</v>
      </c>
      <c r="D3487" s="63">
        <v>106.6794</v>
      </c>
      <c r="E3487" s="64">
        <v>0.548</v>
      </c>
    </row>
    <row r="3488" ht="22.5" customHeight="1">
      <c r="A3488" s="66">
        <v>10.79126</v>
      </c>
      <c r="B3488" s="67">
        <v>106.6782</v>
      </c>
      <c r="C3488" s="67">
        <v>10.79056</v>
      </c>
      <c r="D3488" s="67">
        <v>106.6726</v>
      </c>
      <c r="E3488" s="68">
        <v>1.057</v>
      </c>
    </row>
    <row r="3489" ht="22.5" customHeight="1">
      <c r="A3489" s="61">
        <v>10.79126</v>
      </c>
      <c r="B3489" s="63">
        <v>106.6782</v>
      </c>
      <c r="C3489" s="63">
        <v>10.7922</v>
      </c>
      <c r="D3489" s="63">
        <v>106.6726</v>
      </c>
      <c r="E3489" s="64">
        <v>0.655</v>
      </c>
    </row>
    <row r="3490" ht="22.5" customHeight="1">
      <c r="A3490" s="66">
        <v>10.79126</v>
      </c>
      <c r="B3490" s="67">
        <v>106.6782</v>
      </c>
      <c r="C3490" s="67">
        <v>10.79223</v>
      </c>
      <c r="D3490" s="67">
        <v>106.6708</v>
      </c>
      <c r="E3490" s="68">
        <v>0.745</v>
      </c>
    </row>
    <row r="3491" ht="22.5" customHeight="1">
      <c r="A3491" s="61">
        <v>10.79126</v>
      </c>
      <c r="B3491" s="63">
        <v>106.6782</v>
      </c>
      <c r="C3491" s="63">
        <v>10.79765</v>
      </c>
      <c r="D3491" s="63">
        <v>106.673</v>
      </c>
      <c r="E3491" s="64">
        <v>1.041</v>
      </c>
    </row>
    <row r="3492" ht="22.5" customHeight="1">
      <c r="A3492" s="66">
        <v>10.79126</v>
      </c>
      <c r="B3492" s="67">
        <v>106.6782</v>
      </c>
      <c r="C3492" s="67">
        <v>10.79771</v>
      </c>
      <c r="D3492" s="67">
        <v>106.6714</v>
      </c>
      <c r="E3492" s="68">
        <v>0.85</v>
      </c>
    </row>
    <row r="3493" ht="22.5" customHeight="1">
      <c r="A3493" s="61">
        <v>10.79126</v>
      </c>
      <c r="B3493" s="63">
        <v>106.6782</v>
      </c>
      <c r="C3493" s="63">
        <v>10.79975</v>
      </c>
      <c r="D3493" s="63">
        <v>106.6696</v>
      </c>
      <c r="E3493" s="64">
        <v>1.619</v>
      </c>
    </row>
    <row r="3494" ht="22.5" customHeight="1">
      <c r="A3494" s="66">
        <v>10.79126</v>
      </c>
      <c r="B3494" s="67">
        <v>106.6782</v>
      </c>
      <c r="C3494" s="67">
        <v>10.8021</v>
      </c>
      <c r="D3494" s="67">
        <v>106.6836</v>
      </c>
      <c r="E3494" s="68">
        <v>1.888</v>
      </c>
    </row>
    <row r="3495" ht="22.5" customHeight="1">
      <c r="A3495" s="61">
        <v>10.79126</v>
      </c>
      <c r="B3495" s="63">
        <v>106.6782</v>
      </c>
      <c r="C3495" s="63">
        <v>10.80325</v>
      </c>
      <c r="D3495" s="63">
        <v>106.6842</v>
      </c>
      <c r="E3495" s="64">
        <v>1.771</v>
      </c>
    </row>
    <row r="3496" ht="22.5" customHeight="1">
      <c r="A3496" s="66">
        <v>10.79152</v>
      </c>
      <c r="B3496" s="67">
        <v>106.6535</v>
      </c>
      <c r="C3496" s="67">
        <v>10.81094</v>
      </c>
      <c r="D3496" s="67">
        <v>106.611</v>
      </c>
      <c r="E3496" s="68">
        <v>7.003</v>
      </c>
    </row>
    <row r="3497" ht="22.5" customHeight="1">
      <c r="A3497" s="61">
        <v>10.79162</v>
      </c>
      <c r="B3497" s="63">
        <v>106.7535</v>
      </c>
      <c r="C3497" s="63">
        <v>10.75979</v>
      </c>
      <c r="D3497" s="63">
        <v>106.7874</v>
      </c>
      <c r="E3497" s="64">
        <v>5.947</v>
      </c>
    </row>
    <row r="3498" ht="22.5" customHeight="1">
      <c r="A3498" s="66">
        <v>10.79162</v>
      </c>
      <c r="B3498" s="67">
        <v>106.7535</v>
      </c>
      <c r="C3498" s="67">
        <v>10.77509</v>
      </c>
      <c r="D3498" s="67">
        <v>106.6727</v>
      </c>
      <c r="E3498" s="68">
        <v>11.637</v>
      </c>
    </row>
    <row r="3499" ht="22.5" customHeight="1">
      <c r="A3499" s="61">
        <v>10.79162</v>
      </c>
      <c r="B3499" s="63">
        <v>106.7535</v>
      </c>
      <c r="C3499" s="63">
        <v>10.77693</v>
      </c>
      <c r="D3499" s="63">
        <v>106.7516</v>
      </c>
      <c r="E3499" s="64">
        <v>2.636</v>
      </c>
    </row>
    <row r="3500" ht="22.5" customHeight="1">
      <c r="A3500" s="66">
        <v>10.79162</v>
      </c>
      <c r="B3500" s="67">
        <v>106.7535</v>
      </c>
      <c r="C3500" s="67">
        <v>10.78624</v>
      </c>
      <c r="D3500" s="67">
        <v>106.7313</v>
      </c>
      <c r="E3500" s="68">
        <v>5.1</v>
      </c>
    </row>
    <row r="3501" ht="22.5" customHeight="1">
      <c r="A3501" s="61">
        <v>10.79162</v>
      </c>
      <c r="B3501" s="63">
        <v>106.7535</v>
      </c>
      <c r="C3501" s="63">
        <v>10.7881</v>
      </c>
      <c r="D3501" s="63">
        <v>106.7662</v>
      </c>
      <c r="E3501" s="64">
        <v>1.623</v>
      </c>
    </row>
    <row r="3502" ht="22.5" customHeight="1">
      <c r="A3502" s="66">
        <v>10.79162</v>
      </c>
      <c r="B3502" s="67">
        <v>106.7535</v>
      </c>
      <c r="C3502" s="67">
        <v>10.7907</v>
      </c>
      <c r="D3502" s="67">
        <v>106.7481</v>
      </c>
      <c r="E3502" s="68">
        <v>4.45</v>
      </c>
    </row>
    <row r="3503" ht="22.5" customHeight="1">
      <c r="A3503" s="61">
        <v>10.79162</v>
      </c>
      <c r="B3503" s="63">
        <v>106.7535</v>
      </c>
      <c r="C3503" s="63">
        <v>10.79203</v>
      </c>
      <c r="D3503" s="63">
        <v>106.7304</v>
      </c>
      <c r="E3503" s="64">
        <v>4.622</v>
      </c>
    </row>
    <row r="3504" ht="22.5" customHeight="1">
      <c r="A3504" s="66">
        <v>10.79162</v>
      </c>
      <c r="B3504" s="67">
        <v>106.7535</v>
      </c>
      <c r="C3504" s="67">
        <v>10.80434</v>
      </c>
      <c r="D3504" s="67">
        <v>106.7445</v>
      </c>
      <c r="E3504" s="68">
        <v>6.815</v>
      </c>
    </row>
    <row r="3505" ht="22.5" customHeight="1">
      <c r="A3505" s="61">
        <v>10.79162</v>
      </c>
      <c r="B3505" s="63">
        <v>106.7535</v>
      </c>
      <c r="C3505" s="63">
        <v>10.80576</v>
      </c>
      <c r="D3505" s="63">
        <v>106.7346</v>
      </c>
      <c r="E3505" s="64">
        <v>7.328</v>
      </c>
    </row>
    <row r="3506" ht="22.5" customHeight="1">
      <c r="A3506" s="66">
        <v>10.79169</v>
      </c>
      <c r="B3506" s="67">
        <v>106.6836</v>
      </c>
      <c r="C3506" s="67">
        <v>10.79061</v>
      </c>
      <c r="D3506" s="67">
        <v>106.6883</v>
      </c>
      <c r="E3506" s="68">
        <v>1.04</v>
      </c>
    </row>
    <row r="3507" ht="22.5" customHeight="1">
      <c r="A3507" s="61">
        <v>10.79185</v>
      </c>
      <c r="B3507" s="63">
        <v>106.703</v>
      </c>
      <c r="C3507" s="63">
        <v>10.77509</v>
      </c>
      <c r="D3507" s="63">
        <v>106.6727</v>
      </c>
      <c r="E3507" s="64">
        <v>4.405</v>
      </c>
    </row>
    <row r="3508" ht="22.5" customHeight="1">
      <c r="A3508" s="66">
        <v>10.79185</v>
      </c>
      <c r="B3508" s="67">
        <v>106.703</v>
      </c>
      <c r="C3508" s="67">
        <v>10.79036</v>
      </c>
      <c r="D3508" s="67">
        <v>106.6973</v>
      </c>
      <c r="E3508" s="68">
        <v>1.723</v>
      </c>
    </row>
    <row r="3509" ht="22.5" customHeight="1">
      <c r="A3509" s="61">
        <v>10.79185</v>
      </c>
      <c r="B3509" s="63">
        <v>106.703</v>
      </c>
      <c r="C3509" s="63">
        <v>10.80027</v>
      </c>
      <c r="D3509" s="63">
        <v>106.7109</v>
      </c>
      <c r="E3509" s="64">
        <v>2.387</v>
      </c>
    </row>
    <row r="3510" ht="22.5" customHeight="1">
      <c r="A3510" s="66">
        <v>10.79193</v>
      </c>
      <c r="B3510" s="67">
        <v>106.6555</v>
      </c>
      <c r="C3510" s="67">
        <v>10.77231</v>
      </c>
      <c r="D3510" s="67">
        <v>106.6319</v>
      </c>
      <c r="E3510" s="68">
        <v>3.8</v>
      </c>
    </row>
    <row r="3511" ht="22.5" customHeight="1">
      <c r="A3511" s="61">
        <v>10.79193</v>
      </c>
      <c r="B3511" s="63">
        <v>106.6555</v>
      </c>
      <c r="C3511" s="63">
        <v>10.7748</v>
      </c>
      <c r="D3511" s="63">
        <v>106.6483</v>
      </c>
      <c r="E3511" s="64">
        <v>2.6</v>
      </c>
    </row>
    <row r="3512" ht="22.5" customHeight="1">
      <c r="A3512" s="66">
        <v>10.79193</v>
      </c>
      <c r="B3512" s="67">
        <v>106.6555</v>
      </c>
      <c r="C3512" s="67">
        <v>10.77509</v>
      </c>
      <c r="D3512" s="67">
        <v>106.6727</v>
      </c>
      <c r="E3512" s="68">
        <v>3.8</v>
      </c>
    </row>
    <row r="3513" ht="22.5" customHeight="1">
      <c r="A3513" s="61">
        <v>10.79193</v>
      </c>
      <c r="B3513" s="63">
        <v>106.6555</v>
      </c>
      <c r="C3513" s="63">
        <v>10.77995</v>
      </c>
      <c r="D3513" s="63">
        <v>106.6498</v>
      </c>
      <c r="E3513" s="64">
        <v>1.8</v>
      </c>
    </row>
    <row r="3514" ht="22.5" customHeight="1">
      <c r="A3514" s="66">
        <v>10.79193</v>
      </c>
      <c r="B3514" s="67">
        <v>106.6555</v>
      </c>
      <c r="C3514" s="67">
        <v>10.78175</v>
      </c>
      <c r="D3514" s="67">
        <v>106.6306</v>
      </c>
      <c r="E3514" s="68">
        <v>3.3</v>
      </c>
    </row>
    <row r="3515" ht="22.5" customHeight="1">
      <c r="A3515" s="61">
        <v>10.79193</v>
      </c>
      <c r="B3515" s="63">
        <v>106.6555</v>
      </c>
      <c r="C3515" s="63">
        <v>10.78264</v>
      </c>
      <c r="D3515" s="63">
        <v>106.6267</v>
      </c>
      <c r="E3515" s="64">
        <v>3.8</v>
      </c>
    </row>
    <row r="3516" ht="22.5" customHeight="1">
      <c r="A3516" s="66">
        <v>10.79193</v>
      </c>
      <c r="B3516" s="67">
        <v>106.6555</v>
      </c>
      <c r="C3516" s="67">
        <v>10.78294</v>
      </c>
      <c r="D3516" s="67">
        <v>106.6506</v>
      </c>
      <c r="E3516" s="68">
        <v>1.4</v>
      </c>
    </row>
    <row r="3517" ht="22.5" customHeight="1">
      <c r="A3517" s="61">
        <v>10.79193</v>
      </c>
      <c r="B3517" s="63">
        <v>106.6555</v>
      </c>
      <c r="C3517" s="63">
        <v>10.78769</v>
      </c>
      <c r="D3517" s="63">
        <v>106.6634</v>
      </c>
      <c r="E3517" s="64">
        <v>1.0</v>
      </c>
    </row>
    <row r="3518" ht="22.5" customHeight="1">
      <c r="A3518" s="66">
        <v>10.79193</v>
      </c>
      <c r="B3518" s="67">
        <v>106.6555</v>
      </c>
      <c r="C3518" s="67">
        <v>10.78954</v>
      </c>
      <c r="D3518" s="67">
        <v>106.6431</v>
      </c>
      <c r="E3518" s="68">
        <v>1.7</v>
      </c>
    </row>
    <row r="3519" ht="22.5" customHeight="1">
      <c r="A3519" s="61">
        <v>10.79193</v>
      </c>
      <c r="B3519" s="63">
        <v>106.6555</v>
      </c>
      <c r="C3519" s="63">
        <v>10.79056</v>
      </c>
      <c r="D3519" s="63">
        <v>106.6534</v>
      </c>
      <c r="E3519" s="64">
        <v>1.0</v>
      </c>
    </row>
    <row r="3520" ht="22.5" customHeight="1">
      <c r="A3520" s="66">
        <v>10.79193</v>
      </c>
      <c r="B3520" s="67">
        <v>106.6555</v>
      </c>
      <c r="C3520" s="67">
        <v>10.79193</v>
      </c>
      <c r="D3520" s="67">
        <v>106.6555</v>
      </c>
      <c r="E3520" s="68">
        <v>0.0</v>
      </c>
    </row>
    <row r="3521" ht="22.5" customHeight="1">
      <c r="A3521" s="61">
        <v>10.79193</v>
      </c>
      <c r="B3521" s="63">
        <v>106.6555</v>
      </c>
      <c r="C3521" s="63">
        <v>10.79255</v>
      </c>
      <c r="D3521" s="63">
        <v>106.6625</v>
      </c>
      <c r="E3521" s="64">
        <v>1.2</v>
      </c>
    </row>
    <row r="3522" ht="22.5" customHeight="1">
      <c r="A3522" s="66">
        <v>10.79193</v>
      </c>
      <c r="B3522" s="67">
        <v>106.6555</v>
      </c>
      <c r="C3522" s="67">
        <v>10.79543</v>
      </c>
      <c r="D3522" s="67">
        <v>106.6675</v>
      </c>
      <c r="E3522" s="68">
        <v>2.3</v>
      </c>
    </row>
    <row r="3523" ht="22.5" customHeight="1">
      <c r="A3523" s="61">
        <v>10.79193</v>
      </c>
      <c r="B3523" s="63">
        <v>106.6555</v>
      </c>
      <c r="C3523" s="63">
        <v>10.79588</v>
      </c>
      <c r="D3523" s="63">
        <v>106.6411</v>
      </c>
      <c r="E3523" s="64">
        <v>2.8</v>
      </c>
    </row>
    <row r="3524" ht="22.5" customHeight="1">
      <c r="A3524" s="66">
        <v>10.79193</v>
      </c>
      <c r="B3524" s="67">
        <v>106.6555</v>
      </c>
      <c r="C3524" s="67">
        <v>10.7972</v>
      </c>
      <c r="D3524" s="67">
        <v>106.6307</v>
      </c>
      <c r="E3524" s="68">
        <v>4.1</v>
      </c>
    </row>
    <row r="3525" ht="22.5" customHeight="1">
      <c r="A3525" s="61">
        <v>10.79193</v>
      </c>
      <c r="B3525" s="63">
        <v>106.6555</v>
      </c>
      <c r="C3525" s="63">
        <v>10.79841</v>
      </c>
      <c r="D3525" s="63">
        <v>106.6587</v>
      </c>
      <c r="E3525" s="64">
        <v>1.7</v>
      </c>
    </row>
    <row r="3526" ht="22.5" customHeight="1">
      <c r="A3526" s="66">
        <v>10.79193</v>
      </c>
      <c r="B3526" s="67">
        <v>106.6555</v>
      </c>
      <c r="C3526" s="67">
        <v>10.79975</v>
      </c>
      <c r="D3526" s="67">
        <v>106.6696</v>
      </c>
      <c r="E3526" s="68">
        <v>2.371</v>
      </c>
    </row>
    <row r="3527" ht="22.5" customHeight="1">
      <c r="A3527" s="61">
        <v>10.79193</v>
      </c>
      <c r="B3527" s="63">
        <v>106.6555</v>
      </c>
      <c r="C3527" s="63">
        <v>10.80119</v>
      </c>
      <c r="D3527" s="63">
        <v>106.6381</v>
      </c>
      <c r="E3527" s="64">
        <v>2.9</v>
      </c>
    </row>
    <row r="3528" ht="22.5" customHeight="1">
      <c r="A3528" s="66">
        <v>10.79193</v>
      </c>
      <c r="B3528" s="67">
        <v>106.6555</v>
      </c>
      <c r="C3528" s="67">
        <v>10.80141</v>
      </c>
      <c r="D3528" s="67">
        <v>106.6495</v>
      </c>
      <c r="E3528" s="68">
        <v>1.9</v>
      </c>
    </row>
    <row r="3529" ht="22.5" customHeight="1">
      <c r="A3529" s="61">
        <v>10.79193</v>
      </c>
      <c r="B3529" s="63">
        <v>106.6555</v>
      </c>
      <c r="C3529" s="63">
        <v>10.80369</v>
      </c>
      <c r="D3529" s="63">
        <v>106.6323</v>
      </c>
      <c r="E3529" s="64">
        <v>4.2</v>
      </c>
    </row>
    <row r="3530" ht="22.5" customHeight="1">
      <c r="A3530" s="66">
        <v>10.79193</v>
      </c>
      <c r="B3530" s="67">
        <v>106.6555</v>
      </c>
      <c r="C3530" s="67">
        <v>10.81094</v>
      </c>
      <c r="D3530" s="67">
        <v>106.611</v>
      </c>
      <c r="E3530" s="68">
        <v>6.5</v>
      </c>
    </row>
    <row r="3531" ht="22.5" customHeight="1">
      <c r="A3531" s="61">
        <v>10.79203</v>
      </c>
      <c r="B3531" s="63">
        <v>106.7304</v>
      </c>
      <c r="C3531" s="63">
        <v>10.75979</v>
      </c>
      <c r="D3531" s="63">
        <v>106.7874</v>
      </c>
      <c r="E3531" s="64">
        <v>8.7</v>
      </c>
    </row>
    <row r="3532" ht="22.5" customHeight="1">
      <c r="A3532" s="66">
        <v>10.79203</v>
      </c>
      <c r="B3532" s="67">
        <v>106.7304</v>
      </c>
      <c r="C3532" s="67">
        <v>10.76656</v>
      </c>
      <c r="D3532" s="67">
        <v>106.726</v>
      </c>
      <c r="E3532" s="68">
        <v>3.4</v>
      </c>
    </row>
    <row r="3533" ht="22.5" customHeight="1">
      <c r="A3533" s="61">
        <v>10.79203</v>
      </c>
      <c r="B3533" s="63">
        <v>106.7304</v>
      </c>
      <c r="C3533" s="63">
        <v>10.77662</v>
      </c>
      <c r="D3533" s="63">
        <v>106.7654</v>
      </c>
      <c r="E3533" s="64">
        <v>5.3</v>
      </c>
    </row>
    <row r="3534" ht="22.5" customHeight="1">
      <c r="A3534" s="66">
        <v>10.79203</v>
      </c>
      <c r="B3534" s="67">
        <v>106.7304</v>
      </c>
      <c r="C3534" s="67">
        <v>10.77744</v>
      </c>
      <c r="D3534" s="67">
        <v>106.7646</v>
      </c>
      <c r="E3534" s="68">
        <v>5.1</v>
      </c>
    </row>
    <row r="3535" ht="22.5" customHeight="1">
      <c r="A3535" s="61">
        <v>10.79203</v>
      </c>
      <c r="B3535" s="63">
        <v>106.7304</v>
      </c>
      <c r="C3535" s="63">
        <v>10.7818</v>
      </c>
      <c r="D3535" s="63">
        <v>106.7611</v>
      </c>
      <c r="E3535" s="64">
        <v>4.5</v>
      </c>
    </row>
    <row r="3536" ht="22.5" customHeight="1">
      <c r="A3536" s="66">
        <v>10.79203</v>
      </c>
      <c r="B3536" s="67">
        <v>106.7304</v>
      </c>
      <c r="C3536" s="67">
        <v>10.7845</v>
      </c>
      <c r="D3536" s="67">
        <v>106.7477</v>
      </c>
      <c r="E3536" s="68">
        <v>3.6</v>
      </c>
    </row>
    <row r="3537" ht="22.5" customHeight="1">
      <c r="A3537" s="61">
        <v>10.79203</v>
      </c>
      <c r="B3537" s="63">
        <v>106.7304</v>
      </c>
      <c r="C3537" s="63">
        <v>10.78624</v>
      </c>
      <c r="D3537" s="63">
        <v>106.7313</v>
      </c>
      <c r="E3537" s="64">
        <v>1.5</v>
      </c>
    </row>
    <row r="3538" ht="22.5" customHeight="1">
      <c r="A3538" s="66">
        <v>10.79203</v>
      </c>
      <c r="B3538" s="67">
        <v>106.7304</v>
      </c>
      <c r="C3538" s="67">
        <v>10.78752</v>
      </c>
      <c r="D3538" s="67">
        <v>106.7334</v>
      </c>
      <c r="E3538" s="68">
        <v>1.7</v>
      </c>
    </row>
    <row r="3539" ht="22.5" customHeight="1">
      <c r="A3539" s="61">
        <v>10.79203</v>
      </c>
      <c r="B3539" s="63">
        <v>106.7304</v>
      </c>
      <c r="C3539" s="63">
        <v>10.78759</v>
      </c>
      <c r="D3539" s="63">
        <v>106.7337</v>
      </c>
      <c r="E3539" s="64">
        <v>1.6</v>
      </c>
    </row>
    <row r="3540" ht="22.5" customHeight="1">
      <c r="A3540" s="66">
        <v>10.79203</v>
      </c>
      <c r="B3540" s="67">
        <v>106.7304</v>
      </c>
      <c r="C3540" s="67">
        <v>10.78802</v>
      </c>
      <c r="D3540" s="67">
        <v>106.7609</v>
      </c>
      <c r="E3540" s="68">
        <v>4.1</v>
      </c>
    </row>
    <row r="3541" ht="22.5" customHeight="1">
      <c r="A3541" s="61">
        <v>10.79203</v>
      </c>
      <c r="B3541" s="63">
        <v>106.7304</v>
      </c>
      <c r="C3541" s="63">
        <v>10.7881</v>
      </c>
      <c r="D3541" s="63">
        <v>106.7662</v>
      </c>
      <c r="E3541" s="64">
        <v>4.7</v>
      </c>
    </row>
    <row r="3542" ht="22.5" customHeight="1">
      <c r="A3542" s="66">
        <v>10.79203</v>
      </c>
      <c r="B3542" s="67">
        <v>106.7304</v>
      </c>
      <c r="C3542" s="67">
        <v>10.78851</v>
      </c>
      <c r="D3542" s="67">
        <v>106.777</v>
      </c>
      <c r="E3542" s="68">
        <v>5.9</v>
      </c>
    </row>
    <row r="3543" ht="22.5" customHeight="1">
      <c r="A3543" s="61">
        <v>10.79203</v>
      </c>
      <c r="B3543" s="63">
        <v>106.7304</v>
      </c>
      <c r="C3543" s="63">
        <v>10.78864</v>
      </c>
      <c r="D3543" s="63">
        <v>106.7561</v>
      </c>
      <c r="E3543" s="64">
        <v>3.6</v>
      </c>
    </row>
    <row r="3544" ht="22.5" customHeight="1">
      <c r="A3544" s="66">
        <v>10.79203</v>
      </c>
      <c r="B3544" s="67">
        <v>106.7304</v>
      </c>
      <c r="C3544" s="67">
        <v>10.78871</v>
      </c>
      <c r="D3544" s="67">
        <v>106.7343</v>
      </c>
      <c r="E3544" s="68">
        <v>1.6</v>
      </c>
    </row>
    <row r="3545" ht="22.5" customHeight="1">
      <c r="A3545" s="61">
        <v>10.79203</v>
      </c>
      <c r="B3545" s="63">
        <v>106.7304</v>
      </c>
      <c r="C3545" s="63">
        <v>10.79036</v>
      </c>
      <c r="D3545" s="63">
        <v>106.6973</v>
      </c>
      <c r="E3545" s="64">
        <v>6.4</v>
      </c>
    </row>
    <row r="3546" ht="22.5" customHeight="1">
      <c r="A3546" s="66">
        <v>10.79203</v>
      </c>
      <c r="B3546" s="67">
        <v>106.7304</v>
      </c>
      <c r="C3546" s="67">
        <v>10.7907</v>
      </c>
      <c r="D3546" s="67">
        <v>106.7481</v>
      </c>
      <c r="E3546" s="68">
        <v>2.5</v>
      </c>
    </row>
    <row r="3547" ht="22.5" customHeight="1">
      <c r="A3547" s="61">
        <v>10.79203</v>
      </c>
      <c r="B3547" s="63">
        <v>106.7304</v>
      </c>
      <c r="C3547" s="63">
        <v>10.79121</v>
      </c>
      <c r="D3547" s="63">
        <v>106.7227</v>
      </c>
      <c r="E3547" s="64">
        <v>4.6</v>
      </c>
    </row>
    <row r="3548" ht="22.5" customHeight="1">
      <c r="A3548" s="66">
        <v>10.79203</v>
      </c>
      <c r="B3548" s="67">
        <v>106.7304</v>
      </c>
      <c r="C3548" s="67">
        <v>10.79162</v>
      </c>
      <c r="D3548" s="67">
        <v>106.7535</v>
      </c>
      <c r="E3548" s="68">
        <v>3.1</v>
      </c>
    </row>
    <row r="3549" ht="22.5" customHeight="1">
      <c r="A3549" s="61">
        <v>10.79203</v>
      </c>
      <c r="B3549" s="63">
        <v>106.7304</v>
      </c>
      <c r="C3549" s="63">
        <v>10.79203</v>
      </c>
      <c r="D3549" s="63">
        <v>106.7304</v>
      </c>
      <c r="E3549" s="64">
        <v>0.816</v>
      </c>
    </row>
    <row r="3550" ht="22.5" customHeight="1">
      <c r="A3550" s="66">
        <v>10.79203</v>
      </c>
      <c r="B3550" s="67">
        <v>106.7304</v>
      </c>
      <c r="C3550" s="67">
        <v>10.79222</v>
      </c>
      <c r="D3550" s="67">
        <v>106.7229</v>
      </c>
      <c r="E3550" s="68">
        <v>4.5</v>
      </c>
    </row>
    <row r="3551" ht="22.5" customHeight="1">
      <c r="A3551" s="61">
        <v>10.79203</v>
      </c>
      <c r="B3551" s="63">
        <v>106.7304</v>
      </c>
      <c r="C3551" s="63">
        <v>10.7938</v>
      </c>
      <c r="D3551" s="63">
        <v>106.7467</v>
      </c>
      <c r="E3551" s="64">
        <v>2.6</v>
      </c>
    </row>
    <row r="3552" ht="22.5" customHeight="1">
      <c r="A3552" s="66">
        <v>10.79203</v>
      </c>
      <c r="B3552" s="67">
        <v>106.7304</v>
      </c>
      <c r="C3552" s="67">
        <v>10.79446</v>
      </c>
      <c r="D3552" s="67">
        <v>106.731</v>
      </c>
      <c r="E3552" s="68">
        <v>0.4</v>
      </c>
    </row>
    <row r="3553" ht="22.5" customHeight="1">
      <c r="A3553" s="61">
        <v>10.79203</v>
      </c>
      <c r="B3553" s="63">
        <v>106.7304</v>
      </c>
      <c r="C3553" s="63">
        <v>10.79654</v>
      </c>
      <c r="D3553" s="63">
        <v>106.7345</v>
      </c>
      <c r="E3553" s="64">
        <v>1.1</v>
      </c>
    </row>
    <row r="3554" ht="22.5" customHeight="1">
      <c r="A3554" s="66">
        <v>10.79203</v>
      </c>
      <c r="B3554" s="67">
        <v>106.7304</v>
      </c>
      <c r="C3554" s="67">
        <v>10.79662</v>
      </c>
      <c r="D3554" s="67">
        <v>106.7372</v>
      </c>
      <c r="E3554" s="68">
        <v>1.8</v>
      </c>
    </row>
    <row r="3555" ht="22.5" customHeight="1">
      <c r="A3555" s="61">
        <v>10.79203</v>
      </c>
      <c r="B3555" s="63">
        <v>106.7304</v>
      </c>
      <c r="C3555" s="63">
        <v>10.80027</v>
      </c>
      <c r="D3555" s="63">
        <v>106.7109</v>
      </c>
      <c r="E3555" s="64">
        <v>4.05</v>
      </c>
    </row>
    <row r="3556" ht="22.5" customHeight="1">
      <c r="A3556" s="66">
        <v>10.79203</v>
      </c>
      <c r="B3556" s="67">
        <v>106.7304</v>
      </c>
      <c r="C3556" s="67">
        <v>10.80086</v>
      </c>
      <c r="D3556" s="67">
        <v>106.7346</v>
      </c>
      <c r="E3556" s="68">
        <v>1.767</v>
      </c>
    </row>
    <row r="3557" ht="22.5" customHeight="1">
      <c r="A3557" s="61">
        <v>10.79203</v>
      </c>
      <c r="B3557" s="63">
        <v>106.7304</v>
      </c>
      <c r="C3557" s="63">
        <v>10.80128</v>
      </c>
      <c r="D3557" s="63">
        <v>106.7329</v>
      </c>
      <c r="E3557" s="64">
        <v>1.6</v>
      </c>
    </row>
    <row r="3558" ht="22.5" customHeight="1">
      <c r="A3558" s="66">
        <v>10.79203</v>
      </c>
      <c r="B3558" s="67">
        <v>106.7304</v>
      </c>
      <c r="C3558" s="67">
        <v>10.80271</v>
      </c>
      <c r="D3558" s="67">
        <v>106.7355</v>
      </c>
      <c r="E3558" s="68">
        <v>2.3</v>
      </c>
    </row>
    <row r="3559" ht="22.5" customHeight="1">
      <c r="A3559" s="61">
        <v>10.79203</v>
      </c>
      <c r="B3559" s="63">
        <v>106.7304</v>
      </c>
      <c r="C3559" s="63">
        <v>10.80312</v>
      </c>
      <c r="D3559" s="63">
        <v>106.7097</v>
      </c>
      <c r="E3559" s="64">
        <v>5.2</v>
      </c>
    </row>
    <row r="3560" ht="22.5" customHeight="1">
      <c r="A3560" s="66">
        <v>10.79203</v>
      </c>
      <c r="B3560" s="67">
        <v>106.7304</v>
      </c>
      <c r="C3560" s="67">
        <v>10.80357</v>
      </c>
      <c r="D3560" s="67">
        <v>106.7181</v>
      </c>
      <c r="E3560" s="68">
        <v>3.811</v>
      </c>
    </row>
    <row r="3561" ht="22.5" customHeight="1">
      <c r="A3561" s="61">
        <v>10.79203</v>
      </c>
      <c r="B3561" s="63">
        <v>106.7304</v>
      </c>
      <c r="C3561" s="63">
        <v>10.80393</v>
      </c>
      <c r="D3561" s="63">
        <v>106.7092</v>
      </c>
      <c r="E3561" s="64">
        <v>5.4</v>
      </c>
    </row>
    <row r="3562" ht="22.5" customHeight="1">
      <c r="A3562" s="66">
        <v>10.79203</v>
      </c>
      <c r="B3562" s="67">
        <v>106.7304</v>
      </c>
      <c r="C3562" s="67">
        <v>10.80434</v>
      </c>
      <c r="D3562" s="67">
        <v>106.7445</v>
      </c>
      <c r="E3562" s="68">
        <v>3.2</v>
      </c>
    </row>
    <row r="3563" ht="22.5" customHeight="1">
      <c r="A3563" s="61">
        <v>10.79203</v>
      </c>
      <c r="B3563" s="63">
        <v>106.7304</v>
      </c>
      <c r="C3563" s="63">
        <v>10.80543</v>
      </c>
      <c r="D3563" s="63">
        <v>106.7324</v>
      </c>
      <c r="E3563" s="64">
        <v>2.2</v>
      </c>
    </row>
    <row r="3564" ht="22.5" customHeight="1">
      <c r="A3564" s="66">
        <v>10.79203</v>
      </c>
      <c r="B3564" s="67">
        <v>106.7304</v>
      </c>
      <c r="C3564" s="67">
        <v>10.80576</v>
      </c>
      <c r="D3564" s="67">
        <v>106.7346</v>
      </c>
      <c r="E3564" s="68">
        <v>2.4</v>
      </c>
    </row>
    <row r="3565" ht="22.5" customHeight="1">
      <c r="A3565" s="61">
        <v>10.79203</v>
      </c>
      <c r="B3565" s="63">
        <v>106.7304</v>
      </c>
      <c r="C3565" s="63">
        <v>10.80821</v>
      </c>
      <c r="D3565" s="63">
        <v>106.7251</v>
      </c>
      <c r="E3565" s="64">
        <v>2.2</v>
      </c>
    </row>
    <row r="3566" ht="22.5" customHeight="1">
      <c r="A3566" s="66">
        <v>10.79212</v>
      </c>
      <c r="B3566" s="67">
        <v>106.6427</v>
      </c>
      <c r="C3566" s="67">
        <v>10.7692</v>
      </c>
      <c r="D3566" s="67">
        <v>106.6516</v>
      </c>
      <c r="E3566" s="68">
        <v>3.212</v>
      </c>
    </row>
    <row r="3567" ht="22.5" customHeight="1">
      <c r="A3567" s="61">
        <v>10.79212</v>
      </c>
      <c r="B3567" s="63">
        <v>106.6427</v>
      </c>
      <c r="C3567" s="63">
        <v>10.76925</v>
      </c>
      <c r="D3567" s="63">
        <v>106.626</v>
      </c>
      <c r="E3567" s="64">
        <v>3.788</v>
      </c>
    </row>
    <row r="3568" ht="22.5" customHeight="1">
      <c r="A3568" s="66">
        <v>10.79212</v>
      </c>
      <c r="B3568" s="67">
        <v>106.6427</v>
      </c>
      <c r="C3568" s="67">
        <v>10.77231</v>
      </c>
      <c r="D3568" s="67">
        <v>106.6319</v>
      </c>
      <c r="E3568" s="68">
        <v>3.777</v>
      </c>
    </row>
    <row r="3569" ht="22.5" customHeight="1">
      <c r="A3569" s="61">
        <v>10.79212</v>
      </c>
      <c r="B3569" s="63">
        <v>106.6427</v>
      </c>
      <c r="C3569" s="63">
        <v>10.77509</v>
      </c>
      <c r="D3569" s="63">
        <v>106.6727</v>
      </c>
      <c r="E3569" s="64">
        <v>5.95</v>
      </c>
    </row>
    <row r="3570" ht="22.5" customHeight="1">
      <c r="A3570" s="66">
        <v>10.79212</v>
      </c>
      <c r="B3570" s="67">
        <v>106.6427</v>
      </c>
      <c r="C3570" s="67">
        <v>10.77995</v>
      </c>
      <c r="D3570" s="67">
        <v>106.6498</v>
      </c>
      <c r="E3570" s="68">
        <v>2.026</v>
      </c>
    </row>
    <row r="3571" ht="22.5" customHeight="1">
      <c r="A3571" s="61">
        <v>10.79212</v>
      </c>
      <c r="B3571" s="63">
        <v>106.6427</v>
      </c>
      <c r="C3571" s="63">
        <v>10.78175</v>
      </c>
      <c r="D3571" s="63">
        <v>106.6306</v>
      </c>
      <c r="E3571" s="64">
        <v>2.997</v>
      </c>
    </row>
    <row r="3572" ht="22.5" customHeight="1">
      <c r="A3572" s="66">
        <v>10.79212</v>
      </c>
      <c r="B3572" s="67">
        <v>106.6427</v>
      </c>
      <c r="C3572" s="67">
        <v>10.78954</v>
      </c>
      <c r="D3572" s="67">
        <v>106.6431</v>
      </c>
      <c r="E3572" s="68">
        <v>0.363</v>
      </c>
    </row>
    <row r="3573" ht="22.5" customHeight="1">
      <c r="A3573" s="61">
        <v>10.79212</v>
      </c>
      <c r="B3573" s="63">
        <v>106.6427</v>
      </c>
      <c r="C3573" s="63">
        <v>10.79193</v>
      </c>
      <c r="D3573" s="63">
        <v>106.6555</v>
      </c>
      <c r="E3573" s="64">
        <v>1.701</v>
      </c>
    </row>
    <row r="3574" ht="22.5" customHeight="1">
      <c r="A3574" s="66">
        <v>10.79212</v>
      </c>
      <c r="B3574" s="67">
        <v>106.6427</v>
      </c>
      <c r="C3574" s="67">
        <v>10.79435</v>
      </c>
      <c r="D3574" s="67">
        <v>106.6382</v>
      </c>
      <c r="E3574" s="68">
        <v>1.226</v>
      </c>
    </row>
    <row r="3575" ht="22.5" customHeight="1">
      <c r="A3575" s="61">
        <v>10.79212</v>
      </c>
      <c r="B3575" s="63">
        <v>106.6427</v>
      </c>
      <c r="C3575" s="63">
        <v>10.79464</v>
      </c>
      <c r="D3575" s="63">
        <v>106.6355</v>
      </c>
      <c r="E3575" s="64">
        <v>1.301</v>
      </c>
    </row>
    <row r="3576" ht="22.5" customHeight="1">
      <c r="A3576" s="66">
        <v>10.79212</v>
      </c>
      <c r="B3576" s="67">
        <v>106.6427</v>
      </c>
      <c r="C3576" s="67">
        <v>10.7972</v>
      </c>
      <c r="D3576" s="67">
        <v>106.6307</v>
      </c>
      <c r="E3576" s="68">
        <v>2.011</v>
      </c>
    </row>
    <row r="3577" ht="22.5" customHeight="1">
      <c r="A3577" s="61">
        <v>10.79212</v>
      </c>
      <c r="B3577" s="63">
        <v>106.6427</v>
      </c>
      <c r="C3577" s="63">
        <v>10.79975</v>
      </c>
      <c r="D3577" s="63">
        <v>106.6696</v>
      </c>
      <c r="E3577" s="64">
        <v>3.903</v>
      </c>
    </row>
    <row r="3578" ht="22.5" customHeight="1">
      <c r="A3578" s="66">
        <v>10.79212</v>
      </c>
      <c r="B3578" s="67">
        <v>106.6427</v>
      </c>
      <c r="C3578" s="67">
        <v>10.80079</v>
      </c>
      <c r="D3578" s="67">
        <v>106.6572</v>
      </c>
      <c r="E3578" s="68">
        <v>2.874</v>
      </c>
    </row>
    <row r="3579" ht="22.5" customHeight="1">
      <c r="A3579" s="61">
        <v>10.79212</v>
      </c>
      <c r="B3579" s="63">
        <v>106.6427</v>
      </c>
      <c r="C3579" s="63">
        <v>10.80474</v>
      </c>
      <c r="D3579" s="63">
        <v>106.642</v>
      </c>
      <c r="E3579" s="64">
        <v>1.705</v>
      </c>
    </row>
    <row r="3580" ht="22.5" customHeight="1">
      <c r="A3580" s="66">
        <v>10.79212</v>
      </c>
      <c r="B3580" s="67">
        <v>106.6427</v>
      </c>
      <c r="C3580" s="67">
        <v>10.81094</v>
      </c>
      <c r="D3580" s="67">
        <v>106.611</v>
      </c>
      <c r="E3580" s="68">
        <v>5.033</v>
      </c>
    </row>
    <row r="3581" ht="22.5" customHeight="1">
      <c r="A3581" s="61">
        <v>10.79212</v>
      </c>
      <c r="B3581" s="63">
        <v>106.6427</v>
      </c>
      <c r="C3581" s="63">
        <v>10.81147</v>
      </c>
      <c r="D3581" s="63">
        <v>106.6107</v>
      </c>
      <c r="E3581" s="64">
        <v>4.7</v>
      </c>
    </row>
    <row r="3582" ht="22.5" customHeight="1">
      <c r="A3582" s="66">
        <v>10.79212</v>
      </c>
      <c r="B3582" s="67">
        <v>106.6427</v>
      </c>
      <c r="C3582" s="67">
        <v>10.81494</v>
      </c>
      <c r="D3582" s="67">
        <v>106.5854</v>
      </c>
      <c r="E3582" s="68">
        <v>9.51</v>
      </c>
    </row>
    <row r="3583" ht="22.5" customHeight="1">
      <c r="A3583" s="61">
        <v>10.79216</v>
      </c>
      <c r="B3583" s="63">
        <v>106.7229</v>
      </c>
      <c r="C3583" s="63">
        <v>10.79036</v>
      </c>
      <c r="D3583" s="63">
        <v>106.6973</v>
      </c>
      <c r="E3583" s="64">
        <v>5.738</v>
      </c>
    </row>
    <row r="3584" ht="22.5" customHeight="1">
      <c r="A3584" s="66">
        <v>10.79216</v>
      </c>
      <c r="B3584" s="67">
        <v>106.7229</v>
      </c>
      <c r="C3584" s="67">
        <v>10.79203</v>
      </c>
      <c r="D3584" s="67">
        <v>106.7304</v>
      </c>
      <c r="E3584" s="68">
        <v>3.464</v>
      </c>
    </row>
    <row r="3585" ht="22.5" customHeight="1">
      <c r="A3585" s="61">
        <v>10.79216</v>
      </c>
      <c r="B3585" s="63">
        <v>106.7229</v>
      </c>
      <c r="C3585" s="63">
        <v>10.80027</v>
      </c>
      <c r="D3585" s="63">
        <v>106.7109</v>
      </c>
      <c r="E3585" s="64">
        <v>2.505</v>
      </c>
    </row>
    <row r="3586" ht="22.5" customHeight="1">
      <c r="A3586" s="66">
        <v>10.7922</v>
      </c>
      <c r="B3586" s="67">
        <v>106.6726</v>
      </c>
      <c r="C3586" s="67">
        <v>10.77509</v>
      </c>
      <c r="D3586" s="67">
        <v>106.6727</v>
      </c>
      <c r="E3586" s="68">
        <v>3.469</v>
      </c>
    </row>
    <row r="3587" ht="22.5" customHeight="1">
      <c r="A3587" s="61">
        <v>10.7922</v>
      </c>
      <c r="B3587" s="63">
        <v>106.6726</v>
      </c>
      <c r="C3587" s="63">
        <v>10.79126</v>
      </c>
      <c r="D3587" s="63">
        <v>106.6782</v>
      </c>
      <c r="E3587" s="64">
        <v>0.735</v>
      </c>
    </row>
    <row r="3588" ht="22.5" customHeight="1">
      <c r="A3588" s="66">
        <v>10.7922</v>
      </c>
      <c r="B3588" s="67">
        <v>106.6726</v>
      </c>
      <c r="C3588" s="67">
        <v>10.79771</v>
      </c>
      <c r="D3588" s="67">
        <v>106.6714</v>
      </c>
      <c r="E3588" s="68">
        <v>1.183</v>
      </c>
    </row>
    <row r="3589" ht="22.5" customHeight="1">
      <c r="A3589" s="61">
        <v>10.7922</v>
      </c>
      <c r="B3589" s="63">
        <v>106.6726</v>
      </c>
      <c r="C3589" s="63">
        <v>10.79841</v>
      </c>
      <c r="D3589" s="63">
        <v>106.6587</v>
      </c>
      <c r="E3589" s="64">
        <v>2.395</v>
      </c>
    </row>
    <row r="3590" ht="22.5" customHeight="1">
      <c r="A3590" s="66">
        <v>10.7922</v>
      </c>
      <c r="B3590" s="67">
        <v>106.6726</v>
      </c>
      <c r="C3590" s="67">
        <v>10.79975</v>
      </c>
      <c r="D3590" s="67">
        <v>106.6696</v>
      </c>
      <c r="E3590" s="68">
        <v>2.223</v>
      </c>
    </row>
    <row r="3591" ht="22.5" customHeight="1">
      <c r="A3591" s="61">
        <v>10.79222</v>
      </c>
      <c r="B3591" s="63">
        <v>106.7229</v>
      </c>
      <c r="C3591" s="63">
        <v>10.76666</v>
      </c>
      <c r="D3591" s="63">
        <v>106.7262</v>
      </c>
      <c r="E3591" s="64">
        <v>5.284</v>
      </c>
    </row>
    <row r="3592" ht="22.5" customHeight="1">
      <c r="A3592" s="66">
        <v>10.79222</v>
      </c>
      <c r="B3592" s="67">
        <v>106.7229</v>
      </c>
      <c r="C3592" s="67">
        <v>10.7818</v>
      </c>
      <c r="D3592" s="67">
        <v>106.7611</v>
      </c>
      <c r="E3592" s="68">
        <v>7.21</v>
      </c>
    </row>
    <row r="3593" ht="22.5" customHeight="1">
      <c r="A3593" s="61">
        <v>10.79222</v>
      </c>
      <c r="B3593" s="63">
        <v>106.7229</v>
      </c>
      <c r="C3593" s="63">
        <v>10.78851</v>
      </c>
      <c r="D3593" s="63">
        <v>106.777</v>
      </c>
      <c r="E3593" s="64">
        <v>9.183</v>
      </c>
    </row>
    <row r="3594" ht="22.5" customHeight="1">
      <c r="A3594" s="66">
        <v>10.79222</v>
      </c>
      <c r="B3594" s="67">
        <v>106.7229</v>
      </c>
      <c r="C3594" s="67">
        <v>10.79036</v>
      </c>
      <c r="D3594" s="67">
        <v>106.6973</v>
      </c>
      <c r="E3594" s="68">
        <v>5.73</v>
      </c>
    </row>
    <row r="3595" ht="22.5" customHeight="1">
      <c r="A3595" s="61">
        <v>10.79222</v>
      </c>
      <c r="B3595" s="63">
        <v>106.7229</v>
      </c>
      <c r="C3595" s="63">
        <v>10.79121</v>
      </c>
      <c r="D3595" s="63">
        <v>106.7227</v>
      </c>
      <c r="E3595" s="64">
        <v>0.072</v>
      </c>
    </row>
    <row r="3596" ht="22.5" customHeight="1">
      <c r="A3596" s="66">
        <v>10.79222</v>
      </c>
      <c r="B3596" s="67">
        <v>106.7229</v>
      </c>
      <c r="C3596" s="67">
        <v>10.79203</v>
      </c>
      <c r="D3596" s="67">
        <v>106.7304</v>
      </c>
      <c r="E3596" s="68">
        <v>3.466</v>
      </c>
    </row>
    <row r="3597" ht="22.5" customHeight="1">
      <c r="A3597" s="61">
        <v>10.79222</v>
      </c>
      <c r="B3597" s="63">
        <v>106.7229</v>
      </c>
      <c r="C3597" s="63">
        <v>10.79512</v>
      </c>
      <c r="D3597" s="63">
        <v>106.7026</v>
      </c>
      <c r="E3597" s="64">
        <v>5.046</v>
      </c>
    </row>
    <row r="3598" ht="22.5" customHeight="1">
      <c r="A3598" s="66">
        <v>10.79222</v>
      </c>
      <c r="B3598" s="67">
        <v>106.7229</v>
      </c>
      <c r="C3598" s="67">
        <v>10.80027</v>
      </c>
      <c r="D3598" s="67">
        <v>106.7109</v>
      </c>
      <c r="E3598" s="68">
        <v>2.934</v>
      </c>
    </row>
    <row r="3599" ht="22.5" customHeight="1">
      <c r="A3599" s="61">
        <v>10.79222</v>
      </c>
      <c r="B3599" s="63">
        <v>106.7229</v>
      </c>
      <c r="C3599" s="63">
        <v>10.80312</v>
      </c>
      <c r="D3599" s="63">
        <v>106.7097</v>
      </c>
      <c r="E3599" s="64">
        <v>3.158</v>
      </c>
    </row>
    <row r="3600" ht="22.5" customHeight="1">
      <c r="A3600" s="66">
        <v>10.79222</v>
      </c>
      <c r="B3600" s="67">
        <v>106.7229</v>
      </c>
      <c r="C3600" s="67">
        <v>10.80353</v>
      </c>
      <c r="D3600" s="67">
        <v>106.7039</v>
      </c>
      <c r="E3600" s="68">
        <v>3.713</v>
      </c>
    </row>
    <row r="3601" ht="22.5" customHeight="1">
      <c r="A3601" s="61">
        <v>10.79222</v>
      </c>
      <c r="B3601" s="63">
        <v>106.7229</v>
      </c>
      <c r="C3601" s="63">
        <v>10.80357</v>
      </c>
      <c r="D3601" s="63">
        <v>106.7181</v>
      </c>
      <c r="E3601" s="64">
        <v>2.552</v>
      </c>
    </row>
    <row r="3602" ht="22.5" customHeight="1">
      <c r="A3602" s="66">
        <v>10.79222</v>
      </c>
      <c r="B3602" s="67">
        <v>106.7229</v>
      </c>
      <c r="C3602" s="67">
        <v>10.80393</v>
      </c>
      <c r="D3602" s="67">
        <v>106.7092</v>
      </c>
      <c r="E3602" s="68">
        <v>2.841</v>
      </c>
    </row>
    <row r="3603" ht="22.5" customHeight="1">
      <c r="A3603" s="61">
        <v>10.79222</v>
      </c>
      <c r="B3603" s="63">
        <v>106.7229</v>
      </c>
      <c r="C3603" s="63">
        <v>10.80543</v>
      </c>
      <c r="D3603" s="63">
        <v>106.7324</v>
      </c>
      <c r="E3603" s="64">
        <v>4.165</v>
      </c>
    </row>
    <row r="3604" ht="22.5" customHeight="1">
      <c r="A3604" s="66">
        <v>10.79223</v>
      </c>
      <c r="B3604" s="67">
        <v>106.6708</v>
      </c>
      <c r="C3604" s="67">
        <v>10.77509</v>
      </c>
      <c r="D3604" s="67">
        <v>106.6727</v>
      </c>
      <c r="E3604" s="68">
        <v>4.7</v>
      </c>
    </row>
    <row r="3605" ht="22.5" customHeight="1">
      <c r="A3605" s="61">
        <v>10.79223</v>
      </c>
      <c r="B3605" s="63">
        <v>106.6708</v>
      </c>
      <c r="C3605" s="63">
        <v>10.78681</v>
      </c>
      <c r="D3605" s="63">
        <v>106.6794</v>
      </c>
      <c r="E3605" s="64">
        <v>1.116</v>
      </c>
    </row>
    <row r="3606" ht="22.5" customHeight="1">
      <c r="A3606" s="66">
        <v>10.79223</v>
      </c>
      <c r="B3606" s="67">
        <v>106.6708</v>
      </c>
      <c r="C3606" s="67">
        <v>10.79061</v>
      </c>
      <c r="D3606" s="67">
        <v>106.6883</v>
      </c>
      <c r="E3606" s="68">
        <v>2.372</v>
      </c>
    </row>
    <row r="3607" ht="22.5" customHeight="1">
      <c r="A3607" s="61">
        <v>10.79223</v>
      </c>
      <c r="B3607" s="63">
        <v>106.6708</v>
      </c>
      <c r="C3607" s="63">
        <v>10.79126</v>
      </c>
      <c r="D3607" s="63">
        <v>106.6782</v>
      </c>
      <c r="E3607" s="64">
        <v>0.945</v>
      </c>
    </row>
    <row r="3608" ht="22.5" customHeight="1">
      <c r="A3608" s="66">
        <v>10.79223</v>
      </c>
      <c r="B3608" s="67">
        <v>106.6708</v>
      </c>
      <c r="C3608" s="67">
        <v>10.7965</v>
      </c>
      <c r="D3608" s="67">
        <v>106.6881</v>
      </c>
      <c r="E3608" s="68">
        <v>2.942</v>
      </c>
    </row>
    <row r="3609" ht="22.5" customHeight="1">
      <c r="A3609" s="61">
        <v>10.79223</v>
      </c>
      <c r="B3609" s="63">
        <v>106.6708</v>
      </c>
      <c r="C3609" s="63">
        <v>10.79841</v>
      </c>
      <c r="D3609" s="63">
        <v>106.6587</v>
      </c>
      <c r="E3609" s="64">
        <v>1.708</v>
      </c>
    </row>
    <row r="3610" ht="22.5" customHeight="1">
      <c r="A3610" s="66">
        <v>10.79223</v>
      </c>
      <c r="B3610" s="67">
        <v>106.6708</v>
      </c>
      <c r="C3610" s="67">
        <v>10.79975</v>
      </c>
      <c r="D3610" s="67">
        <v>106.6696</v>
      </c>
      <c r="E3610" s="68">
        <v>1.6</v>
      </c>
    </row>
    <row r="3611" ht="22.5" customHeight="1">
      <c r="A3611" s="61">
        <v>10.79223</v>
      </c>
      <c r="B3611" s="63">
        <v>106.6708</v>
      </c>
      <c r="C3611" s="63">
        <v>10.8021</v>
      </c>
      <c r="D3611" s="63">
        <v>106.6836</v>
      </c>
      <c r="E3611" s="64">
        <v>2.383</v>
      </c>
    </row>
    <row r="3612" ht="22.5" customHeight="1">
      <c r="A3612" s="66">
        <v>10.79223</v>
      </c>
      <c r="B3612" s="67">
        <v>106.6708</v>
      </c>
      <c r="C3612" s="67">
        <v>10.80325</v>
      </c>
      <c r="D3612" s="67">
        <v>106.6842</v>
      </c>
      <c r="E3612" s="68">
        <v>2.502</v>
      </c>
    </row>
    <row r="3613" ht="22.5" customHeight="1">
      <c r="A3613" s="61">
        <v>10.79223</v>
      </c>
      <c r="B3613" s="63">
        <v>106.6708</v>
      </c>
      <c r="C3613" s="63">
        <v>10.80458</v>
      </c>
      <c r="D3613" s="63">
        <v>106.6759</v>
      </c>
      <c r="E3613" s="64">
        <v>3.132</v>
      </c>
    </row>
    <row r="3614" ht="22.5" customHeight="1">
      <c r="A3614" s="66">
        <v>10.79223</v>
      </c>
      <c r="B3614" s="67">
        <v>106.6708</v>
      </c>
      <c r="C3614" s="67">
        <v>10.80944</v>
      </c>
      <c r="D3614" s="67">
        <v>106.695</v>
      </c>
      <c r="E3614" s="68">
        <v>4.577</v>
      </c>
    </row>
    <row r="3615" ht="22.5" customHeight="1">
      <c r="A3615" s="61">
        <v>10.79229</v>
      </c>
      <c r="B3615" s="63">
        <v>106.6621</v>
      </c>
      <c r="C3615" s="63">
        <v>10.79975</v>
      </c>
      <c r="D3615" s="63">
        <v>106.6696</v>
      </c>
      <c r="E3615" s="64">
        <v>1.6</v>
      </c>
    </row>
    <row r="3616" ht="22.5" customHeight="1">
      <c r="A3616" s="66">
        <v>10.79229</v>
      </c>
      <c r="B3616" s="67">
        <v>106.6621</v>
      </c>
      <c r="C3616" s="67">
        <v>10.80458</v>
      </c>
      <c r="D3616" s="67">
        <v>106.6759</v>
      </c>
      <c r="E3616" s="68">
        <v>4.216</v>
      </c>
    </row>
    <row r="3617" ht="22.5" customHeight="1">
      <c r="A3617" s="61">
        <v>10.7923</v>
      </c>
      <c r="B3617" s="63">
        <v>106.6958</v>
      </c>
      <c r="C3617" s="63">
        <v>10.79036</v>
      </c>
      <c r="D3617" s="63">
        <v>106.6973</v>
      </c>
      <c r="E3617" s="64">
        <v>0.759</v>
      </c>
    </row>
    <row r="3618" ht="22.5" customHeight="1">
      <c r="A3618" s="66">
        <v>10.7924</v>
      </c>
      <c r="B3618" s="67">
        <v>106.7015</v>
      </c>
      <c r="C3618" s="67">
        <v>10.79036</v>
      </c>
      <c r="D3618" s="67">
        <v>106.6973</v>
      </c>
      <c r="E3618" s="68">
        <v>1.685</v>
      </c>
    </row>
    <row r="3619" ht="22.5" customHeight="1">
      <c r="A3619" s="61">
        <v>10.79255</v>
      </c>
      <c r="B3619" s="63">
        <v>106.6625</v>
      </c>
      <c r="C3619" s="63">
        <v>10.77509</v>
      </c>
      <c r="D3619" s="63">
        <v>106.6727</v>
      </c>
      <c r="E3619" s="64">
        <v>3.611</v>
      </c>
    </row>
    <row r="3620" ht="22.5" customHeight="1">
      <c r="A3620" s="66">
        <v>10.79255</v>
      </c>
      <c r="B3620" s="67">
        <v>106.6625</v>
      </c>
      <c r="C3620" s="67">
        <v>10.78175</v>
      </c>
      <c r="D3620" s="67">
        <v>106.6306</v>
      </c>
      <c r="E3620" s="68">
        <v>5.407</v>
      </c>
    </row>
    <row r="3621" ht="22.5" customHeight="1">
      <c r="A3621" s="61">
        <v>10.79255</v>
      </c>
      <c r="B3621" s="63">
        <v>106.6625</v>
      </c>
      <c r="C3621" s="63">
        <v>10.78438</v>
      </c>
      <c r="D3621" s="63">
        <v>106.6829</v>
      </c>
      <c r="E3621" s="64">
        <v>2.93</v>
      </c>
    </row>
    <row r="3622" ht="22.5" customHeight="1">
      <c r="A3622" s="66">
        <v>10.79255</v>
      </c>
      <c r="B3622" s="67">
        <v>106.6625</v>
      </c>
      <c r="C3622" s="67">
        <v>10.78954</v>
      </c>
      <c r="D3622" s="67">
        <v>106.6431</v>
      </c>
      <c r="E3622" s="68">
        <v>3.08</v>
      </c>
    </row>
    <row r="3623" ht="22.5" customHeight="1">
      <c r="A3623" s="61">
        <v>10.79255</v>
      </c>
      <c r="B3623" s="63">
        <v>106.6625</v>
      </c>
      <c r="C3623" s="63">
        <v>10.79193</v>
      </c>
      <c r="D3623" s="63">
        <v>106.6555</v>
      </c>
      <c r="E3623" s="64">
        <v>1.118</v>
      </c>
    </row>
    <row r="3624" ht="22.5" customHeight="1">
      <c r="A3624" s="66">
        <v>10.79255</v>
      </c>
      <c r="B3624" s="67">
        <v>106.6625</v>
      </c>
      <c r="C3624" s="67">
        <v>10.7922</v>
      </c>
      <c r="D3624" s="67">
        <v>106.6726</v>
      </c>
      <c r="E3624" s="68">
        <v>1.683</v>
      </c>
    </row>
    <row r="3625" ht="22.5" customHeight="1">
      <c r="A3625" s="61">
        <v>10.79255</v>
      </c>
      <c r="B3625" s="63">
        <v>106.6625</v>
      </c>
      <c r="C3625" s="63">
        <v>10.79223</v>
      </c>
      <c r="D3625" s="63">
        <v>106.6708</v>
      </c>
      <c r="E3625" s="64">
        <v>1.426</v>
      </c>
    </row>
    <row r="3626" ht="22.5" customHeight="1">
      <c r="A3626" s="66">
        <v>10.79255</v>
      </c>
      <c r="B3626" s="67">
        <v>106.6625</v>
      </c>
      <c r="C3626" s="67">
        <v>10.79841</v>
      </c>
      <c r="D3626" s="67">
        <v>106.6587</v>
      </c>
      <c r="E3626" s="68">
        <v>1.01</v>
      </c>
    </row>
    <row r="3627" ht="22.5" customHeight="1">
      <c r="A3627" s="61">
        <v>10.79255</v>
      </c>
      <c r="B3627" s="63">
        <v>106.6625</v>
      </c>
      <c r="C3627" s="63">
        <v>10.79975</v>
      </c>
      <c r="D3627" s="63">
        <v>106.6696</v>
      </c>
      <c r="E3627" s="64">
        <v>1.618</v>
      </c>
    </row>
    <row r="3628" ht="22.5" customHeight="1">
      <c r="A3628" s="66">
        <v>10.79255</v>
      </c>
      <c r="B3628" s="67">
        <v>106.6625</v>
      </c>
      <c r="C3628" s="67">
        <v>10.80325</v>
      </c>
      <c r="D3628" s="67">
        <v>106.6842</v>
      </c>
      <c r="E3628" s="68">
        <v>3.195</v>
      </c>
    </row>
    <row r="3629" ht="22.5" customHeight="1">
      <c r="A3629" s="61">
        <v>10.7926</v>
      </c>
      <c r="B3629" s="63">
        <v>106.6961</v>
      </c>
      <c r="C3629" s="63">
        <v>10.75973</v>
      </c>
      <c r="D3629" s="63">
        <v>106.6989</v>
      </c>
      <c r="E3629" s="64">
        <v>5.583</v>
      </c>
    </row>
    <row r="3630" ht="22.5" customHeight="1">
      <c r="A3630" s="66">
        <v>10.7926</v>
      </c>
      <c r="B3630" s="67">
        <v>106.6961</v>
      </c>
      <c r="C3630" s="67">
        <v>10.79036</v>
      </c>
      <c r="D3630" s="67">
        <v>106.6973</v>
      </c>
      <c r="E3630" s="68">
        <v>0.35</v>
      </c>
    </row>
    <row r="3631" ht="22.5" customHeight="1">
      <c r="A3631" s="61">
        <v>10.79283</v>
      </c>
      <c r="B3631" s="63">
        <v>106.6706</v>
      </c>
      <c r="C3631" s="63">
        <v>10.75586</v>
      </c>
      <c r="D3631" s="63">
        <v>106.6724</v>
      </c>
      <c r="E3631" s="64">
        <v>5.4</v>
      </c>
    </row>
    <row r="3632" ht="22.5" customHeight="1">
      <c r="A3632" s="66">
        <v>10.79283</v>
      </c>
      <c r="B3632" s="67">
        <v>106.6706</v>
      </c>
      <c r="C3632" s="67">
        <v>10.75836</v>
      </c>
      <c r="D3632" s="67">
        <v>106.6708</v>
      </c>
      <c r="E3632" s="68">
        <v>5.5</v>
      </c>
    </row>
    <row r="3633" ht="22.5" customHeight="1">
      <c r="A3633" s="61">
        <v>10.79283</v>
      </c>
      <c r="B3633" s="63">
        <v>106.6706</v>
      </c>
      <c r="C3633" s="63">
        <v>10.75998</v>
      </c>
      <c r="D3633" s="63">
        <v>106.6727</v>
      </c>
      <c r="E3633" s="64">
        <v>5.0</v>
      </c>
    </row>
    <row r="3634" ht="22.5" customHeight="1">
      <c r="A3634" s="66">
        <v>10.79283</v>
      </c>
      <c r="B3634" s="67">
        <v>106.6706</v>
      </c>
      <c r="C3634" s="67">
        <v>10.76283</v>
      </c>
      <c r="D3634" s="67">
        <v>106.6684</v>
      </c>
      <c r="E3634" s="68">
        <v>5.1</v>
      </c>
    </row>
    <row r="3635" ht="22.5" customHeight="1">
      <c r="A3635" s="61">
        <v>10.79283</v>
      </c>
      <c r="B3635" s="63">
        <v>106.6706</v>
      </c>
      <c r="C3635" s="63">
        <v>10.76486</v>
      </c>
      <c r="D3635" s="63">
        <v>106.6756</v>
      </c>
      <c r="E3635" s="64">
        <v>4.5</v>
      </c>
    </row>
    <row r="3636" ht="22.5" customHeight="1">
      <c r="A3636" s="66">
        <v>10.79283</v>
      </c>
      <c r="B3636" s="67">
        <v>106.6706</v>
      </c>
      <c r="C3636" s="67">
        <v>10.76898</v>
      </c>
      <c r="D3636" s="67">
        <v>106.6997</v>
      </c>
      <c r="E3636" s="68">
        <v>4.8</v>
      </c>
    </row>
    <row r="3637" ht="22.5" customHeight="1">
      <c r="A3637" s="61">
        <v>10.79283</v>
      </c>
      <c r="B3637" s="63">
        <v>106.6706</v>
      </c>
      <c r="C3637" s="63">
        <v>10.77509</v>
      </c>
      <c r="D3637" s="63">
        <v>106.6727</v>
      </c>
      <c r="E3637" s="64">
        <v>3.3</v>
      </c>
    </row>
    <row r="3638" ht="22.5" customHeight="1">
      <c r="A3638" s="66">
        <v>10.79283</v>
      </c>
      <c r="B3638" s="67">
        <v>106.6706</v>
      </c>
      <c r="C3638" s="67">
        <v>10.77526</v>
      </c>
      <c r="D3638" s="67">
        <v>106.6823</v>
      </c>
      <c r="E3638" s="68">
        <v>3.6</v>
      </c>
    </row>
    <row r="3639" ht="22.5" customHeight="1">
      <c r="A3639" s="61">
        <v>10.79283</v>
      </c>
      <c r="B3639" s="63">
        <v>106.6706</v>
      </c>
      <c r="C3639" s="63">
        <v>10.77658</v>
      </c>
      <c r="D3639" s="63">
        <v>106.6719</v>
      </c>
      <c r="E3639" s="64">
        <v>2.5</v>
      </c>
    </row>
    <row r="3640" ht="22.5" customHeight="1">
      <c r="A3640" s="66">
        <v>10.79295</v>
      </c>
      <c r="B3640" s="67">
        <v>106.6858</v>
      </c>
      <c r="C3640" s="67">
        <v>10.79061</v>
      </c>
      <c r="D3640" s="67">
        <v>106.6883</v>
      </c>
      <c r="E3640" s="68">
        <v>0.381</v>
      </c>
    </row>
    <row r="3641" ht="22.5" customHeight="1">
      <c r="A3641" s="61">
        <v>10.79295</v>
      </c>
      <c r="B3641" s="63">
        <v>106.6858</v>
      </c>
      <c r="C3641" s="63">
        <v>10.79295</v>
      </c>
      <c r="D3641" s="63">
        <v>106.6858</v>
      </c>
      <c r="E3641" s="64">
        <v>0.722</v>
      </c>
    </row>
    <row r="3642" ht="22.5" customHeight="1">
      <c r="A3642" s="66">
        <v>10.79358</v>
      </c>
      <c r="B3642" s="67">
        <v>106.7179</v>
      </c>
      <c r="C3642" s="67">
        <v>10.77509</v>
      </c>
      <c r="D3642" s="67">
        <v>106.6727</v>
      </c>
      <c r="E3642" s="68">
        <v>8.534</v>
      </c>
    </row>
    <row r="3643" ht="22.5" customHeight="1">
      <c r="A3643" s="61">
        <v>10.79358</v>
      </c>
      <c r="B3643" s="63">
        <v>106.7179</v>
      </c>
      <c r="C3643" s="63">
        <v>10.7785</v>
      </c>
      <c r="D3643" s="63">
        <v>106.6858</v>
      </c>
      <c r="E3643" s="64">
        <v>5.804</v>
      </c>
    </row>
    <row r="3644" ht="22.5" customHeight="1">
      <c r="A3644" s="66">
        <v>10.79358</v>
      </c>
      <c r="B3644" s="67">
        <v>106.7179</v>
      </c>
      <c r="C3644" s="67">
        <v>10.78115</v>
      </c>
      <c r="D3644" s="67">
        <v>106.7005</v>
      </c>
      <c r="E3644" s="68">
        <v>3.4</v>
      </c>
    </row>
    <row r="3645" ht="22.5" customHeight="1">
      <c r="A3645" s="61">
        <v>10.79358</v>
      </c>
      <c r="B3645" s="63">
        <v>106.7179</v>
      </c>
      <c r="C3645" s="63">
        <v>10.78485</v>
      </c>
      <c r="D3645" s="63">
        <v>106.6942</v>
      </c>
      <c r="E3645" s="64">
        <v>4.167</v>
      </c>
    </row>
    <row r="3646" ht="22.5" customHeight="1">
      <c r="A3646" s="66">
        <v>10.79358</v>
      </c>
      <c r="B3646" s="67">
        <v>106.7179</v>
      </c>
      <c r="C3646" s="67">
        <v>10.78624</v>
      </c>
      <c r="D3646" s="67">
        <v>106.7313</v>
      </c>
      <c r="E3646" s="68">
        <v>3.904</v>
      </c>
    </row>
    <row r="3647" ht="22.5" customHeight="1">
      <c r="A3647" s="61">
        <v>10.79358</v>
      </c>
      <c r="B3647" s="63">
        <v>106.7179</v>
      </c>
      <c r="C3647" s="63">
        <v>10.79036</v>
      </c>
      <c r="D3647" s="63">
        <v>106.6973</v>
      </c>
      <c r="E3647" s="64">
        <v>4.31</v>
      </c>
    </row>
    <row r="3648" ht="22.5" customHeight="1">
      <c r="A3648" s="66">
        <v>10.79358</v>
      </c>
      <c r="B3648" s="67">
        <v>106.7179</v>
      </c>
      <c r="C3648" s="67">
        <v>10.79203</v>
      </c>
      <c r="D3648" s="67">
        <v>106.7304</v>
      </c>
      <c r="E3648" s="68">
        <v>3.176</v>
      </c>
    </row>
    <row r="3649" ht="22.5" customHeight="1">
      <c r="A3649" s="61">
        <v>10.79358</v>
      </c>
      <c r="B3649" s="63">
        <v>106.7179</v>
      </c>
      <c r="C3649" s="63">
        <v>10.79222</v>
      </c>
      <c r="D3649" s="63">
        <v>106.7229</v>
      </c>
      <c r="E3649" s="64">
        <v>1.256</v>
      </c>
    </row>
    <row r="3650" ht="22.5" customHeight="1">
      <c r="A3650" s="66">
        <v>10.79358</v>
      </c>
      <c r="B3650" s="67">
        <v>106.7179</v>
      </c>
      <c r="C3650" s="67">
        <v>10.7938</v>
      </c>
      <c r="D3650" s="67">
        <v>106.7467</v>
      </c>
      <c r="E3650" s="68">
        <v>4.332</v>
      </c>
    </row>
    <row r="3651" ht="22.5" customHeight="1">
      <c r="A3651" s="61">
        <v>10.79358</v>
      </c>
      <c r="B3651" s="63">
        <v>106.7179</v>
      </c>
      <c r="C3651" s="63">
        <v>10.80543</v>
      </c>
      <c r="D3651" s="63">
        <v>106.7324</v>
      </c>
      <c r="E3651" s="64">
        <v>3.977</v>
      </c>
    </row>
    <row r="3652" ht="22.5" customHeight="1">
      <c r="A3652" s="66">
        <v>10.7938</v>
      </c>
      <c r="B3652" s="67">
        <v>106.7467</v>
      </c>
      <c r="C3652" s="67">
        <v>10.77479</v>
      </c>
      <c r="D3652" s="67">
        <v>106.6885</v>
      </c>
      <c r="E3652" s="68">
        <v>8.811</v>
      </c>
    </row>
    <row r="3653" ht="22.5" customHeight="1">
      <c r="A3653" s="61">
        <v>10.7938</v>
      </c>
      <c r="B3653" s="63">
        <v>106.7467</v>
      </c>
      <c r="C3653" s="63">
        <v>10.77509</v>
      </c>
      <c r="D3653" s="63">
        <v>106.6727</v>
      </c>
      <c r="E3653" s="64">
        <v>11.3</v>
      </c>
    </row>
    <row r="3654" ht="22.5" customHeight="1">
      <c r="A3654" s="66">
        <v>10.7938</v>
      </c>
      <c r="B3654" s="67">
        <v>106.7467</v>
      </c>
      <c r="C3654" s="67">
        <v>10.7785</v>
      </c>
      <c r="D3654" s="67">
        <v>106.6858</v>
      </c>
      <c r="E3654" s="68">
        <v>9.291</v>
      </c>
    </row>
    <row r="3655" ht="22.5" customHeight="1">
      <c r="A3655" s="61">
        <v>10.7938</v>
      </c>
      <c r="B3655" s="63">
        <v>106.7467</v>
      </c>
      <c r="C3655" s="63">
        <v>10.78624</v>
      </c>
      <c r="D3655" s="63">
        <v>106.7313</v>
      </c>
      <c r="E3655" s="64">
        <v>2.084</v>
      </c>
    </row>
    <row r="3656" ht="22.5" customHeight="1">
      <c r="A3656" s="66">
        <v>10.7938</v>
      </c>
      <c r="B3656" s="67">
        <v>106.7467</v>
      </c>
      <c r="C3656" s="67">
        <v>10.78752</v>
      </c>
      <c r="D3656" s="67">
        <v>106.7334</v>
      </c>
      <c r="E3656" s="68">
        <v>1.941</v>
      </c>
    </row>
    <row r="3657" ht="22.5" customHeight="1">
      <c r="A3657" s="61">
        <v>10.7938</v>
      </c>
      <c r="B3657" s="63">
        <v>106.7467</v>
      </c>
      <c r="C3657" s="63">
        <v>10.78759</v>
      </c>
      <c r="D3657" s="63">
        <v>106.7337</v>
      </c>
      <c r="E3657" s="64">
        <v>1.905</v>
      </c>
    </row>
    <row r="3658" ht="22.5" customHeight="1">
      <c r="A3658" s="66">
        <v>10.7938</v>
      </c>
      <c r="B3658" s="67">
        <v>106.7467</v>
      </c>
      <c r="C3658" s="67">
        <v>10.7907</v>
      </c>
      <c r="D3658" s="67">
        <v>106.7481</v>
      </c>
      <c r="E3658" s="68">
        <v>0.706</v>
      </c>
    </row>
    <row r="3659" ht="22.5" customHeight="1">
      <c r="A3659" s="61">
        <v>10.7938</v>
      </c>
      <c r="B3659" s="63">
        <v>106.7467</v>
      </c>
      <c r="C3659" s="63">
        <v>10.7938</v>
      </c>
      <c r="D3659" s="63">
        <v>106.7467</v>
      </c>
      <c r="E3659" s="64">
        <v>0.26</v>
      </c>
    </row>
    <row r="3660" ht="22.5" customHeight="1">
      <c r="A3660" s="66">
        <v>10.7938</v>
      </c>
      <c r="B3660" s="67">
        <v>106.7467</v>
      </c>
      <c r="C3660" s="67">
        <v>10.80128</v>
      </c>
      <c r="D3660" s="67">
        <v>106.7329</v>
      </c>
      <c r="E3660" s="68">
        <v>3.298</v>
      </c>
    </row>
    <row r="3661" ht="22.5" customHeight="1">
      <c r="A3661" s="61">
        <v>10.7938</v>
      </c>
      <c r="B3661" s="63">
        <v>106.7467</v>
      </c>
      <c r="C3661" s="63">
        <v>10.80271</v>
      </c>
      <c r="D3661" s="63">
        <v>106.7355</v>
      </c>
      <c r="E3661" s="64">
        <v>3.026</v>
      </c>
    </row>
    <row r="3662" ht="22.5" customHeight="1">
      <c r="A3662" s="66">
        <v>10.7938</v>
      </c>
      <c r="B3662" s="67">
        <v>106.7467</v>
      </c>
      <c r="C3662" s="67">
        <v>10.80434</v>
      </c>
      <c r="D3662" s="67">
        <v>106.7445</v>
      </c>
      <c r="E3662" s="68">
        <v>2.256</v>
      </c>
    </row>
    <row r="3663" ht="22.5" customHeight="1">
      <c r="A3663" s="61">
        <v>10.7938</v>
      </c>
      <c r="B3663" s="63">
        <v>106.7467</v>
      </c>
      <c r="C3663" s="63">
        <v>10.80543</v>
      </c>
      <c r="D3663" s="63">
        <v>106.7324</v>
      </c>
      <c r="E3663" s="64">
        <v>3.578</v>
      </c>
    </row>
    <row r="3664" ht="22.5" customHeight="1">
      <c r="A3664" s="66">
        <v>10.7938</v>
      </c>
      <c r="B3664" s="67">
        <v>106.7467</v>
      </c>
      <c r="C3664" s="67">
        <v>10.80576</v>
      </c>
      <c r="D3664" s="67">
        <v>106.7346</v>
      </c>
      <c r="E3664" s="68">
        <v>3.279</v>
      </c>
    </row>
    <row r="3665" ht="22.5" customHeight="1">
      <c r="A3665" s="61">
        <v>10.7938</v>
      </c>
      <c r="B3665" s="63">
        <v>106.7467</v>
      </c>
      <c r="C3665" s="63">
        <v>10.80821</v>
      </c>
      <c r="D3665" s="63">
        <v>106.7251</v>
      </c>
      <c r="E3665" s="64">
        <v>4.092</v>
      </c>
    </row>
    <row r="3666" ht="22.5" customHeight="1">
      <c r="A3666" s="66">
        <v>10.79384</v>
      </c>
      <c r="B3666" s="67">
        <v>106.7464</v>
      </c>
      <c r="C3666" s="67">
        <v>10.79203</v>
      </c>
      <c r="D3666" s="67">
        <v>106.7304</v>
      </c>
      <c r="E3666" s="68">
        <v>3.374</v>
      </c>
    </row>
    <row r="3667" ht="22.5" customHeight="1">
      <c r="A3667" s="61">
        <v>10.79407</v>
      </c>
      <c r="B3667" s="63">
        <v>106.6839</v>
      </c>
      <c r="C3667" s="63">
        <v>10.77509</v>
      </c>
      <c r="D3667" s="63">
        <v>106.6727</v>
      </c>
      <c r="E3667" s="64">
        <v>3.956</v>
      </c>
    </row>
    <row r="3668" ht="22.5" customHeight="1">
      <c r="A3668" s="66">
        <v>10.79407</v>
      </c>
      <c r="B3668" s="67">
        <v>106.6839</v>
      </c>
      <c r="C3668" s="67">
        <v>10.79061</v>
      </c>
      <c r="D3668" s="67">
        <v>106.6883</v>
      </c>
      <c r="E3668" s="68">
        <v>0.624</v>
      </c>
    </row>
    <row r="3669" ht="22.5" customHeight="1">
      <c r="A3669" s="61">
        <v>10.79407</v>
      </c>
      <c r="B3669" s="63">
        <v>106.6839</v>
      </c>
      <c r="C3669" s="63">
        <v>10.79658</v>
      </c>
      <c r="D3669" s="63">
        <v>106.6776</v>
      </c>
      <c r="E3669" s="64">
        <v>0.939</v>
      </c>
    </row>
    <row r="3670" ht="22.5" customHeight="1">
      <c r="A3670" s="66">
        <v>10.79407</v>
      </c>
      <c r="B3670" s="67">
        <v>106.6839</v>
      </c>
      <c r="C3670" s="67">
        <v>10.79975</v>
      </c>
      <c r="D3670" s="67">
        <v>106.6696</v>
      </c>
      <c r="E3670" s="68">
        <v>1.948</v>
      </c>
    </row>
    <row r="3671" ht="22.5" customHeight="1">
      <c r="A3671" s="61">
        <v>10.79424</v>
      </c>
      <c r="B3671" s="63">
        <v>106.6773</v>
      </c>
      <c r="C3671" s="63">
        <v>10.77509</v>
      </c>
      <c r="D3671" s="63">
        <v>106.6727</v>
      </c>
      <c r="E3671" s="64">
        <v>3.394</v>
      </c>
    </row>
    <row r="3672" ht="22.5" customHeight="1">
      <c r="A3672" s="66">
        <v>10.79424</v>
      </c>
      <c r="B3672" s="67">
        <v>106.6773</v>
      </c>
      <c r="C3672" s="67">
        <v>10.79975</v>
      </c>
      <c r="D3672" s="67">
        <v>106.6696</v>
      </c>
      <c r="E3672" s="68">
        <v>1.421</v>
      </c>
    </row>
    <row r="3673" ht="22.5" customHeight="1">
      <c r="A3673" s="61">
        <v>10.79435</v>
      </c>
      <c r="B3673" s="63">
        <v>106.6382</v>
      </c>
      <c r="C3673" s="63">
        <v>10.76707</v>
      </c>
      <c r="D3673" s="63">
        <v>106.6493</v>
      </c>
      <c r="E3673" s="64">
        <v>3.8</v>
      </c>
    </row>
    <row r="3674" ht="22.5" customHeight="1">
      <c r="A3674" s="66">
        <v>10.79435</v>
      </c>
      <c r="B3674" s="67">
        <v>106.6382</v>
      </c>
      <c r="C3674" s="67">
        <v>10.7692</v>
      </c>
      <c r="D3674" s="67">
        <v>106.6516</v>
      </c>
      <c r="E3674" s="68">
        <v>3.909</v>
      </c>
    </row>
    <row r="3675" ht="22.5" customHeight="1">
      <c r="A3675" s="61">
        <v>10.79435</v>
      </c>
      <c r="B3675" s="63">
        <v>106.6382</v>
      </c>
      <c r="C3675" s="63">
        <v>10.76925</v>
      </c>
      <c r="D3675" s="63">
        <v>106.626</v>
      </c>
      <c r="E3675" s="64">
        <v>3.7</v>
      </c>
    </row>
    <row r="3676" ht="22.5" customHeight="1">
      <c r="A3676" s="66">
        <v>10.79435</v>
      </c>
      <c r="B3676" s="67">
        <v>106.6382</v>
      </c>
      <c r="C3676" s="67">
        <v>10.77159</v>
      </c>
      <c r="D3676" s="67">
        <v>106.6526</v>
      </c>
      <c r="E3676" s="68">
        <v>3.938</v>
      </c>
    </row>
    <row r="3677" ht="22.5" customHeight="1">
      <c r="A3677" s="61">
        <v>10.79435</v>
      </c>
      <c r="B3677" s="63">
        <v>106.6382</v>
      </c>
      <c r="C3677" s="63">
        <v>10.77203</v>
      </c>
      <c r="D3677" s="63">
        <v>106.6322</v>
      </c>
      <c r="E3677" s="64">
        <v>3.1</v>
      </c>
    </row>
    <row r="3678" ht="22.5" customHeight="1">
      <c r="A3678" s="66">
        <v>10.79435</v>
      </c>
      <c r="B3678" s="67">
        <v>106.6382</v>
      </c>
      <c r="C3678" s="67">
        <v>10.77231</v>
      </c>
      <c r="D3678" s="67">
        <v>106.6319</v>
      </c>
      <c r="E3678" s="68">
        <v>2.8</v>
      </c>
    </row>
    <row r="3679" ht="22.5" customHeight="1">
      <c r="A3679" s="61">
        <v>10.79435</v>
      </c>
      <c r="B3679" s="63">
        <v>106.6382</v>
      </c>
      <c r="C3679" s="63">
        <v>10.7724</v>
      </c>
      <c r="D3679" s="63">
        <v>106.6248</v>
      </c>
      <c r="E3679" s="64">
        <v>3.9</v>
      </c>
    </row>
    <row r="3680" ht="22.5" customHeight="1">
      <c r="A3680" s="66">
        <v>10.79435</v>
      </c>
      <c r="B3680" s="67">
        <v>106.6382</v>
      </c>
      <c r="C3680" s="67">
        <v>10.7748</v>
      </c>
      <c r="D3680" s="67">
        <v>106.6483</v>
      </c>
      <c r="E3680" s="68">
        <v>2.7</v>
      </c>
    </row>
    <row r="3681" ht="22.5" customHeight="1">
      <c r="A3681" s="61">
        <v>10.79435</v>
      </c>
      <c r="B3681" s="63">
        <v>106.6382</v>
      </c>
      <c r="C3681" s="63">
        <v>10.77995</v>
      </c>
      <c r="D3681" s="63">
        <v>106.6498</v>
      </c>
      <c r="E3681" s="64">
        <v>2.6</v>
      </c>
    </row>
    <row r="3682" ht="22.5" customHeight="1">
      <c r="A3682" s="66">
        <v>10.79435</v>
      </c>
      <c r="B3682" s="67">
        <v>106.6382</v>
      </c>
      <c r="C3682" s="67">
        <v>10.78175</v>
      </c>
      <c r="D3682" s="67">
        <v>106.6306</v>
      </c>
      <c r="E3682" s="68">
        <v>2.3</v>
      </c>
    </row>
    <row r="3683" ht="22.5" customHeight="1">
      <c r="A3683" s="61">
        <v>10.79435</v>
      </c>
      <c r="B3683" s="63">
        <v>106.6382</v>
      </c>
      <c r="C3683" s="63">
        <v>10.78247</v>
      </c>
      <c r="D3683" s="63">
        <v>106.6214</v>
      </c>
      <c r="E3683" s="64">
        <v>3.6</v>
      </c>
    </row>
    <row r="3684" ht="22.5" customHeight="1">
      <c r="A3684" s="66">
        <v>10.79435</v>
      </c>
      <c r="B3684" s="67">
        <v>106.6382</v>
      </c>
      <c r="C3684" s="67">
        <v>10.78264</v>
      </c>
      <c r="D3684" s="67">
        <v>106.6267</v>
      </c>
      <c r="E3684" s="68">
        <v>2.9</v>
      </c>
    </row>
    <row r="3685" ht="22.5" customHeight="1">
      <c r="A3685" s="61">
        <v>10.79435</v>
      </c>
      <c r="B3685" s="63">
        <v>106.6382</v>
      </c>
      <c r="C3685" s="63">
        <v>10.78294</v>
      </c>
      <c r="D3685" s="63">
        <v>106.6506</v>
      </c>
      <c r="E3685" s="64">
        <v>2.5</v>
      </c>
    </row>
    <row r="3686" ht="22.5" customHeight="1">
      <c r="A3686" s="66">
        <v>10.79435</v>
      </c>
      <c r="B3686" s="67">
        <v>106.6382</v>
      </c>
      <c r="C3686" s="67">
        <v>10.78954</v>
      </c>
      <c r="D3686" s="67">
        <v>106.6431</v>
      </c>
      <c r="E3686" s="68">
        <v>1.0</v>
      </c>
    </row>
    <row r="3687" ht="22.5" customHeight="1">
      <c r="A3687" s="61">
        <v>10.79435</v>
      </c>
      <c r="B3687" s="63">
        <v>106.6382</v>
      </c>
      <c r="C3687" s="63">
        <v>10.7901</v>
      </c>
      <c r="D3687" s="63">
        <v>106.6583</v>
      </c>
      <c r="E3687" s="64">
        <v>2.9</v>
      </c>
    </row>
    <row r="3688" ht="22.5" customHeight="1">
      <c r="A3688" s="66">
        <v>10.79435</v>
      </c>
      <c r="B3688" s="67">
        <v>106.6382</v>
      </c>
      <c r="C3688" s="67">
        <v>10.79193</v>
      </c>
      <c r="D3688" s="67">
        <v>106.6555</v>
      </c>
      <c r="E3688" s="68">
        <v>2.852</v>
      </c>
    </row>
    <row r="3689" ht="22.5" customHeight="1">
      <c r="A3689" s="61">
        <v>10.79435</v>
      </c>
      <c r="B3689" s="63">
        <v>106.6382</v>
      </c>
      <c r="C3689" s="63">
        <v>10.79212</v>
      </c>
      <c r="D3689" s="63">
        <v>106.6427</v>
      </c>
      <c r="E3689" s="64">
        <v>0.8</v>
      </c>
    </row>
    <row r="3690" ht="22.5" customHeight="1">
      <c r="A3690" s="66">
        <v>10.79435</v>
      </c>
      <c r="B3690" s="67">
        <v>106.6382</v>
      </c>
      <c r="C3690" s="67">
        <v>10.79435</v>
      </c>
      <c r="D3690" s="67">
        <v>106.6382</v>
      </c>
      <c r="E3690" s="68">
        <v>0.0</v>
      </c>
    </row>
    <row r="3691" ht="22.5" customHeight="1">
      <c r="A3691" s="61">
        <v>10.79435</v>
      </c>
      <c r="B3691" s="63">
        <v>106.6382</v>
      </c>
      <c r="C3691" s="63">
        <v>10.79464</v>
      </c>
      <c r="D3691" s="63">
        <v>106.6355</v>
      </c>
      <c r="E3691" s="64">
        <v>0.6</v>
      </c>
    </row>
    <row r="3692" ht="22.5" customHeight="1">
      <c r="A3692" s="66">
        <v>10.79435</v>
      </c>
      <c r="B3692" s="67">
        <v>106.6382</v>
      </c>
      <c r="C3692" s="67">
        <v>10.79525</v>
      </c>
      <c r="D3692" s="67">
        <v>106.6294</v>
      </c>
      <c r="E3692" s="68">
        <v>1.4</v>
      </c>
    </row>
    <row r="3693" ht="22.5" customHeight="1">
      <c r="A3693" s="61">
        <v>10.79435</v>
      </c>
      <c r="B3693" s="63">
        <v>106.6382</v>
      </c>
      <c r="C3693" s="63">
        <v>10.79543</v>
      </c>
      <c r="D3693" s="63">
        <v>106.6675</v>
      </c>
      <c r="E3693" s="64">
        <v>4.3</v>
      </c>
    </row>
    <row r="3694" ht="22.5" customHeight="1">
      <c r="A3694" s="66">
        <v>10.79435</v>
      </c>
      <c r="B3694" s="67">
        <v>106.6382</v>
      </c>
      <c r="C3694" s="67">
        <v>10.79574</v>
      </c>
      <c r="D3694" s="67">
        <v>106.6229</v>
      </c>
      <c r="E3694" s="68">
        <v>2.1</v>
      </c>
    </row>
    <row r="3695" ht="22.5" customHeight="1">
      <c r="A3695" s="61">
        <v>10.79435</v>
      </c>
      <c r="B3695" s="63">
        <v>106.6382</v>
      </c>
      <c r="C3695" s="63">
        <v>10.79588</v>
      </c>
      <c r="D3695" s="63">
        <v>106.6411</v>
      </c>
      <c r="E3695" s="64">
        <v>0.5</v>
      </c>
    </row>
    <row r="3696" ht="22.5" customHeight="1">
      <c r="A3696" s="66">
        <v>10.79435</v>
      </c>
      <c r="B3696" s="67">
        <v>106.6382</v>
      </c>
      <c r="C3696" s="67">
        <v>10.7972</v>
      </c>
      <c r="D3696" s="67">
        <v>106.6307</v>
      </c>
      <c r="E3696" s="68">
        <v>1.3</v>
      </c>
    </row>
    <row r="3697" ht="22.5" customHeight="1">
      <c r="A3697" s="61">
        <v>10.79435</v>
      </c>
      <c r="B3697" s="63">
        <v>106.6382</v>
      </c>
      <c r="C3697" s="63">
        <v>10.79841</v>
      </c>
      <c r="D3697" s="63">
        <v>106.6587</v>
      </c>
      <c r="E3697" s="64">
        <v>3.7</v>
      </c>
    </row>
    <row r="3698" ht="22.5" customHeight="1">
      <c r="A3698" s="66">
        <v>10.79435</v>
      </c>
      <c r="B3698" s="67">
        <v>106.6382</v>
      </c>
      <c r="C3698" s="67">
        <v>10.80079</v>
      </c>
      <c r="D3698" s="67">
        <v>106.6572</v>
      </c>
      <c r="E3698" s="68">
        <v>3.2</v>
      </c>
    </row>
    <row r="3699" ht="22.5" customHeight="1">
      <c r="A3699" s="61">
        <v>10.79435</v>
      </c>
      <c r="B3699" s="63">
        <v>106.6382</v>
      </c>
      <c r="C3699" s="63">
        <v>10.80119</v>
      </c>
      <c r="D3699" s="63">
        <v>106.6381</v>
      </c>
      <c r="E3699" s="64">
        <v>1.2</v>
      </c>
    </row>
    <row r="3700" ht="22.5" customHeight="1">
      <c r="A3700" s="66">
        <v>10.79435</v>
      </c>
      <c r="B3700" s="67">
        <v>106.6382</v>
      </c>
      <c r="C3700" s="67">
        <v>10.80141</v>
      </c>
      <c r="D3700" s="67">
        <v>106.6495</v>
      </c>
      <c r="E3700" s="68">
        <v>2.4</v>
      </c>
    </row>
    <row r="3701" ht="22.5" customHeight="1">
      <c r="A3701" s="61">
        <v>10.79435</v>
      </c>
      <c r="B3701" s="63">
        <v>106.6382</v>
      </c>
      <c r="C3701" s="63">
        <v>10.8026</v>
      </c>
      <c r="D3701" s="63">
        <v>106.6384</v>
      </c>
      <c r="E3701" s="64">
        <v>1.1</v>
      </c>
    </row>
    <row r="3702" ht="22.5" customHeight="1">
      <c r="A3702" s="66">
        <v>10.79435</v>
      </c>
      <c r="B3702" s="67">
        <v>106.6382</v>
      </c>
      <c r="C3702" s="67">
        <v>10.80369</v>
      </c>
      <c r="D3702" s="67">
        <v>106.6323</v>
      </c>
      <c r="E3702" s="68">
        <v>2.0</v>
      </c>
    </row>
    <row r="3703" ht="22.5" customHeight="1">
      <c r="A3703" s="61">
        <v>10.79435</v>
      </c>
      <c r="B3703" s="63">
        <v>106.6382</v>
      </c>
      <c r="C3703" s="63">
        <v>10.80474</v>
      </c>
      <c r="D3703" s="63">
        <v>106.642</v>
      </c>
      <c r="E3703" s="64">
        <v>1.8</v>
      </c>
    </row>
    <row r="3704" ht="22.5" customHeight="1">
      <c r="A3704" s="66">
        <v>10.79435</v>
      </c>
      <c r="B3704" s="67">
        <v>106.6382</v>
      </c>
      <c r="C3704" s="67">
        <v>10.81074</v>
      </c>
      <c r="D3704" s="67">
        <v>106.6226</v>
      </c>
      <c r="E3704" s="68">
        <v>3.2</v>
      </c>
    </row>
    <row r="3705" ht="22.5" customHeight="1">
      <c r="A3705" s="61">
        <v>10.79435</v>
      </c>
      <c r="B3705" s="63">
        <v>106.6382</v>
      </c>
      <c r="C3705" s="63">
        <v>10.81094</v>
      </c>
      <c r="D3705" s="63">
        <v>106.611</v>
      </c>
      <c r="E3705" s="64">
        <v>4.3</v>
      </c>
    </row>
    <row r="3706" ht="22.5" customHeight="1">
      <c r="A3706" s="66">
        <v>10.79435</v>
      </c>
      <c r="B3706" s="67">
        <v>106.6382</v>
      </c>
      <c r="C3706" s="67">
        <v>10.81147</v>
      </c>
      <c r="D3706" s="67">
        <v>106.6107</v>
      </c>
      <c r="E3706" s="68">
        <v>4.0</v>
      </c>
    </row>
    <row r="3707" ht="22.5" customHeight="1">
      <c r="A3707" s="61">
        <v>10.79435</v>
      </c>
      <c r="B3707" s="63">
        <v>106.6382</v>
      </c>
      <c r="C3707" s="63">
        <v>10.81494</v>
      </c>
      <c r="D3707" s="63">
        <v>106.5854</v>
      </c>
      <c r="E3707" s="64">
        <v>7.0</v>
      </c>
    </row>
    <row r="3708" ht="22.5" customHeight="1">
      <c r="A3708" s="66">
        <v>10.79435</v>
      </c>
      <c r="B3708" s="67">
        <v>106.6382</v>
      </c>
      <c r="C3708" s="67">
        <v>10.81863</v>
      </c>
      <c r="D3708" s="67">
        <v>106.6787</v>
      </c>
      <c r="E3708" s="68">
        <v>9.2</v>
      </c>
    </row>
    <row r="3709" ht="22.5" customHeight="1">
      <c r="A3709" s="61">
        <v>10.79435</v>
      </c>
      <c r="B3709" s="63">
        <v>106.6382</v>
      </c>
      <c r="C3709" s="63">
        <v>10.82721</v>
      </c>
      <c r="D3709" s="63">
        <v>106.6247</v>
      </c>
      <c r="E3709" s="64">
        <v>4.837</v>
      </c>
    </row>
    <row r="3710" ht="22.5" customHeight="1">
      <c r="A3710" s="66">
        <v>10.79446</v>
      </c>
      <c r="B3710" s="67">
        <v>106.731</v>
      </c>
      <c r="C3710" s="67">
        <v>10.77509</v>
      </c>
      <c r="D3710" s="67">
        <v>106.6727</v>
      </c>
      <c r="E3710" s="68">
        <v>9.4</v>
      </c>
    </row>
    <row r="3711" ht="22.5" customHeight="1">
      <c r="A3711" s="61">
        <v>10.79446</v>
      </c>
      <c r="B3711" s="63">
        <v>106.731</v>
      </c>
      <c r="C3711" s="63">
        <v>10.78851</v>
      </c>
      <c r="D3711" s="63">
        <v>106.777</v>
      </c>
      <c r="E3711" s="64">
        <v>6.474</v>
      </c>
    </row>
    <row r="3712" ht="22.5" customHeight="1">
      <c r="A3712" s="66">
        <v>10.79446</v>
      </c>
      <c r="B3712" s="67">
        <v>106.731</v>
      </c>
      <c r="C3712" s="67">
        <v>10.78871</v>
      </c>
      <c r="D3712" s="67">
        <v>106.7343</v>
      </c>
      <c r="E3712" s="68">
        <v>1.871</v>
      </c>
    </row>
    <row r="3713" ht="22.5" customHeight="1">
      <c r="A3713" s="61">
        <v>10.79446</v>
      </c>
      <c r="B3713" s="63">
        <v>106.731</v>
      </c>
      <c r="C3713" s="63">
        <v>10.79036</v>
      </c>
      <c r="D3713" s="63">
        <v>106.6973</v>
      </c>
      <c r="E3713" s="64">
        <v>6.594</v>
      </c>
    </row>
    <row r="3714" ht="22.5" customHeight="1">
      <c r="A3714" s="66">
        <v>10.79446</v>
      </c>
      <c r="B3714" s="67">
        <v>106.731</v>
      </c>
      <c r="C3714" s="67">
        <v>10.79203</v>
      </c>
      <c r="D3714" s="67">
        <v>106.7304</v>
      </c>
      <c r="E3714" s="68">
        <v>0.28</v>
      </c>
    </row>
    <row r="3715" ht="22.5" customHeight="1">
      <c r="A3715" s="61">
        <v>10.79446</v>
      </c>
      <c r="B3715" s="63">
        <v>106.731</v>
      </c>
      <c r="C3715" s="63">
        <v>10.80271</v>
      </c>
      <c r="D3715" s="63">
        <v>106.7355</v>
      </c>
      <c r="E3715" s="64">
        <v>1.888</v>
      </c>
    </row>
    <row r="3716" ht="22.5" customHeight="1">
      <c r="A3716" s="66">
        <v>10.79446</v>
      </c>
      <c r="B3716" s="67">
        <v>106.731</v>
      </c>
      <c r="C3716" s="67">
        <v>10.80393</v>
      </c>
      <c r="D3716" s="67">
        <v>106.7092</v>
      </c>
      <c r="E3716" s="68">
        <v>4.358</v>
      </c>
    </row>
    <row r="3717" ht="22.5" customHeight="1">
      <c r="A3717" s="61">
        <v>10.79446</v>
      </c>
      <c r="B3717" s="63">
        <v>106.731</v>
      </c>
      <c r="C3717" s="63">
        <v>10.80434</v>
      </c>
      <c r="D3717" s="63">
        <v>106.7445</v>
      </c>
      <c r="E3717" s="64">
        <v>2.677</v>
      </c>
    </row>
    <row r="3718" ht="22.5" customHeight="1">
      <c r="A3718" s="66">
        <v>10.79446</v>
      </c>
      <c r="B3718" s="67">
        <v>106.731</v>
      </c>
      <c r="C3718" s="67">
        <v>10.80543</v>
      </c>
      <c r="D3718" s="67">
        <v>106.7324</v>
      </c>
      <c r="E3718" s="68">
        <v>1.842</v>
      </c>
    </row>
    <row r="3719" ht="22.5" customHeight="1">
      <c r="A3719" s="61">
        <v>10.79446</v>
      </c>
      <c r="B3719" s="63">
        <v>106.731</v>
      </c>
      <c r="C3719" s="63">
        <v>10.80576</v>
      </c>
      <c r="D3719" s="63">
        <v>106.7346</v>
      </c>
      <c r="E3719" s="64">
        <v>2.009</v>
      </c>
    </row>
    <row r="3720" ht="22.5" customHeight="1">
      <c r="A3720" s="66">
        <v>10.79446</v>
      </c>
      <c r="B3720" s="67">
        <v>106.731</v>
      </c>
      <c r="C3720" s="67">
        <v>10.80821</v>
      </c>
      <c r="D3720" s="67">
        <v>106.7251</v>
      </c>
      <c r="E3720" s="68">
        <v>1.827</v>
      </c>
    </row>
    <row r="3721" ht="22.5" customHeight="1">
      <c r="A3721" s="61">
        <v>10.79462</v>
      </c>
      <c r="B3721" s="63">
        <v>106.9453</v>
      </c>
      <c r="C3721" s="63">
        <v>10.73595</v>
      </c>
      <c r="D3721" s="63">
        <v>106.9345</v>
      </c>
      <c r="E3721" s="64">
        <v>8.657</v>
      </c>
    </row>
    <row r="3722" ht="22.5" customHeight="1">
      <c r="A3722" s="66">
        <v>10.79462</v>
      </c>
      <c r="B3722" s="67">
        <v>106.9453</v>
      </c>
      <c r="C3722" s="67">
        <v>10.86915</v>
      </c>
      <c r="D3722" s="67">
        <v>106.974</v>
      </c>
      <c r="E3722" s="68">
        <v>11.432</v>
      </c>
    </row>
    <row r="3723" ht="22.5" customHeight="1">
      <c r="A3723" s="61">
        <v>10.79462</v>
      </c>
      <c r="B3723" s="63">
        <v>106.9453</v>
      </c>
      <c r="C3723" s="63">
        <v>10.90181</v>
      </c>
      <c r="D3723" s="63">
        <v>106.8523</v>
      </c>
      <c r="E3723" s="64">
        <v>18.353</v>
      </c>
    </row>
    <row r="3724" ht="22.5" customHeight="1">
      <c r="A3724" s="66">
        <v>10.79462</v>
      </c>
      <c r="B3724" s="67">
        <v>106.9453</v>
      </c>
      <c r="C3724" s="67">
        <v>10.94731</v>
      </c>
      <c r="D3724" s="67">
        <v>106.8284</v>
      </c>
      <c r="E3724" s="68">
        <v>24.787</v>
      </c>
    </row>
    <row r="3725" ht="22.5" customHeight="1">
      <c r="A3725" s="61">
        <v>10.79462</v>
      </c>
      <c r="B3725" s="63">
        <v>106.9453</v>
      </c>
      <c r="C3725" s="63">
        <v>10.94783</v>
      </c>
      <c r="D3725" s="63">
        <v>106.8285</v>
      </c>
      <c r="E3725" s="64">
        <v>24.933</v>
      </c>
    </row>
    <row r="3726" ht="22.5" customHeight="1">
      <c r="A3726" s="66">
        <v>10.79462</v>
      </c>
      <c r="B3726" s="67">
        <v>106.9453</v>
      </c>
      <c r="C3726" s="67">
        <v>10.9541</v>
      </c>
      <c r="D3726" s="67">
        <v>106.8685</v>
      </c>
      <c r="E3726" s="68">
        <v>21.697</v>
      </c>
    </row>
    <row r="3727" ht="22.5" customHeight="1">
      <c r="A3727" s="61">
        <v>10.79462</v>
      </c>
      <c r="B3727" s="63">
        <v>106.9453</v>
      </c>
      <c r="C3727" s="63">
        <v>10.95947</v>
      </c>
      <c r="D3727" s="63">
        <v>106.8433</v>
      </c>
      <c r="E3727" s="64">
        <v>23.165</v>
      </c>
    </row>
    <row r="3728" ht="22.5" customHeight="1">
      <c r="A3728" s="66">
        <v>10.79464</v>
      </c>
      <c r="B3728" s="67">
        <v>106.6355</v>
      </c>
      <c r="C3728" s="67">
        <v>10.79212</v>
      </c>
      <c r="D3728" s="67">
        <v>106.6427</v>
      </c>
      <c r="E3728" s="68">
        <v>1.342</v>
      </c>
    </row>
    <row r="3729" ht="22.5" customHeight="1">
      <c r="A3729" s="61">
        <v>10.79464</v>
      </c>
      <c r="B3729" s="63">
        <v>106.6355</v>
      </c>
      <c r="C3729" s="63">
        <v>10.79435</v>
      </c>
      <c r="D3729" s="63">
        <v>106.6382</v>
      </c>
      <c r="E3729" s="64">
        <v>0.52</v>
      </c>
    </row>
    <row r="3730" ht="22.5" customHeight="1">
      <c r="A3730" s="66">
        <v>10.79464</v>
      </c>
      <c r="B3730" s="67">
        <v>106.6355</v>
      </c>
      <c r="C3730" s="67">
        <v>10.7972</v>
      </c>
      <c r="D3730" s="67">
        <v>106.6307</v>
      </c>
      <c r="E3730" s="68">
        <v>1.056</v>
      </c>
    </row>
    <row r="3731" ht="22.5" customHeight="1">
      <c r="A3731" s="61">
        <v>10.79464</v>
      </c>
      <c r="B3731" s="63">
        <v>106.6355</v>
      </c>
      <c r="C3731" s="63">
        <v>10.81094</v>
      </c>
      <c r="D3731" s="63">
        <v>106.611</v>
      </c>
      <c r="E3731" s="64">
        <v>4.42</v>
      </c>
    </row>
    <row r="3732" ht="22.5" customHeight="1">
      <c r="A3732" s="66">
        <v>10.79464</v>
      </c>
      <c r="B3732" s="67">
        <v>106.6355</v>
      </c>
      <c r="C3732" s="67">
        <v>10.81147</v>
      </c>
      <c r="D3732" s="67">
        <v>106.6107</v>
      </c>
      <c r="E3732" s="68">
        <v>4.3</v>
      </c>
    </row>
    <row r="3733" ht="22.5" customHeight="1">
      <c r="A3733" s="61">
        <v>10.7948</v>
      </c>
      <c r="B3733" s="63">
        <v>106.7451</v>
      </c>
      <c r="C3733" s="63">
        <v>10.77509</v>
      </c>
      <c r="D3733" s="63">
        <v>106.6727</v>
      </c>
      <c r="E3733" s="64">
        <v>10.736</v>
      </c>
    </row>
    <row r="3734" ht="22.5" customHeight="1">
      <c r="A3734" s="66">
        <v>10.7948</v>
      </c>
      <c r="B3734" s="67">
        <v>106.7451</v>
      </c>
      <c r="C3734" s="67">
        <v>10.79036</v>
      </c>
      <c r="D3734" s="67">
        <v>106.6973</v>
      </c>
      <c r="E3734" s="68">
        <v>7.99</v>
      </c>
    </row>
    <row r="3735" ht="22.5" customHeight="1">
      <c r="A3735" s="61">
        <v>10.79511</v>
      </c>
      <c r="B3735" s="63">
        <v>106.7221</v>
      </c>
      <c r="C3735" s="63">
        <v>10.80027</v>
      </c>
      <c r="D3735" s="63">
        <v>106.7109</v>
      </c>
      <c r="E3735" s="64">
        <v>2.771</v>
      </c>
    </row>
    <row r="3736" ht="22.5" customHeight="1">
      <c r="A3736" s="66">
        <v>10.79512</v>
      </c>
      <c r="B3736" s="67">
        <v>106.7026</v>
      </c>
      <c r="C3736" s="67">
        <v>10.79036</v>
      </c>
      <c r="D3736" s="67">
        <v>106.6973</v>
      </c>
      <c r="E3736" s="68">
        <v>3.48</v>
      </c>
    </row>
    <row r="3737" ht="22.5" customHeight="1">
      <c r="A3737" s="61">
        <v>10.79512</v>
      </c>
      <c r="B3737" s="63">
        <v>106.7026</v>
      </c>
      <c r="C3737" s="63">
        <v>10.80312</v>
      </c>
      <c r="D3737" s="63">
        <v>106.7097</v>
      </c>
      <c r="E3737" s="64">
        <v>1.599</v>
      </c>
    </row>
    <row r="3738" ht="22.5" customHeight="1">
      <c r="A3738" s="66">
        <v>10.79512</v>
      </c>
      <c r="B3738" s="67">
        <v>106.7026</v>
      </c>
      <c r="C3738" s="67">
        <v>10.80393</v>
      </c>
      <c r="D3738" s="67">
        <v>106.7092</v>
      </c>
      <c r="E3738" s="68">
        <v>2.078</v>
      </c>
    </row>
    <row r="3739" ht="22.5" customHeight="1">
      <c r="A3739" s="61">
        <v>10.79525</v>
      </c>
      <c r="B3739" s="63">
        <v>106.6294</v>
      </c>
      <c r="C3739" s="63">
        <v>10.77231</v>
      </c>
      <c r="D3739" s="63">
        <v>106.6319</v>
      </c>
      <c r="E3739" s="64">
        <v>4.373</v>
      </c>
    </row>
    <row r="3740" ht="22.5" customHeight="1">
      <c r="A3740" s="66">
        <v>10.79525</v>
      </c>
      <c r="B3740" s="67">
        <v>106.6294</v>
      </c>
      <c r="C3740" s="67">
        <v>10.77509</v>
      </c>
      <c r="D3740" s="67">
        <v>106.6727</v>
      </c>
      <c r="E3740" s="68">
        <v>8.1</v>
      </c>
    </row>
    <row r="3741" ht="22.5" customHeight="1">
      <c r="A3741" s="61">
        <v>10.79525</v>
      </c>
      <c r="B3741" s="63">
        <v>106.6294</v>
      </c>
      <c r="C3741" s="63">
        <v>10.78175</v>
      </c>
      <c r="D3741" s="63">
        <v>106.6306</v>
      </c>
      <c r="E3741" s="64">
        <v>2.726</v>
      </c>
    </row>
    <row r="3742" ht="22.5" customHeight="1">
      <c r="A3742" s="66">
        <v>10.79525</v>
      </c>
      <c r="B3742" s="67">
        <v>106.6294</v>
      </c>
      <c r="C3742" s="67">
        <v>10.78264</v>
      </c>
      <c r="D3742" s="67">
        <v>106.6267</v>
      </c>
      <c r="E3742" s="68">
        <v>2.726</v>
      </c>
    </row>
    <row r="3743" ht="22.5" customHeight="1">
      <c r="A3743" s="61">
        <v>10.79525</v>
      </c>
      <c r="B3743" s="63">
        <v>106.6294</v>
      </c>
      <c r="C3743" s="63">
        <v>10.78954</v>
      </c>
      <c r="D3743" s="63">
        <v>106.6431</v>
      </c>
      <c r="E3743" s="64">
        <v>2.209</v>
      </c>
    </row>
    <row r="3744" ht="22.5" customHeight="1">
      <c r="A3744" s="66">
        <v>10.79525</v>
      </c>
      <c r="B3744" s="67">
        <v>106.6294</v>
      </c>
      <c r="C3744" s="67">
        <v>10.79435</v>
      </c>
      <c r="D3744" s="67">
        <v>106.6382</v>
      </c>
      <c r="E3744" s="68">
        <v>1.1</v>
      </c>
    </row>
    <row r="3745" ht="22.5" customHeight="1">
      <c r="A3745" s="61">
        <v>10.79525</v>
      </c>
      <c r="B3745" s="63">
        <v>106.6294</v>
      </c>
      <c r="C3745" s="63">
        <v>10.79525</v>
      </c>
      <c r="D3745" s="63">
        <v>106.6294</v>
      </c>
      <c r="E3745" s="64">
        <v>0.0</v>
      </c>
    </row>
    <row r="3746" ht="22.5" customHeight="1">
      <c r="A3746" s="66">
        <v>10.79525</v>
      </c>
      <c r="B3746" s="67">
        <v>106.6294</v>
      </c>
      <c r="C3746" s="67">
        <v>10.7972</v>
      </c>
      <c r="D3746" s="67">
        <v>106.6307</v>
      </c>
      <c r="E3746" s="68">
        <v>0.213</v>
      </c>
    </row>
    <row r="3747" ht="22.5" customHeight="1">
      <c r="A3747" s="61">
        <v>10.79525</v>
      </c>
      <c r="B3747" s="63">
        <v>106.6294</v>
      </c>
      <c r="C3747" s="63">
        <v>10.80079</v>
      </c>
      <c r="D3747" s="63">
        <v>106.6572</v>
      </c>
      <c r="E3747" s="64">
        <v>3.705</v>
      </c>
    </row>
    <row r="3748" ht="22.5" customHeight="1">
      <c r="A3748" s="66">
        <v>10.79525</v>
      </c>
      <c r="B3748" s="67">
        <v>106.6294</v>
      </c>
      <c r="C3748" s="67">
        <v>10.81094</v>
      </c>
      <c r="D3748" s="67">
        <v>106.611</v>
      </c>
      <c r="E3748" s="68">
        <v>4.001</v>
      </c>
    </row>
    <row r="3749" ht="22.5" customHeight="1">
      <c r="A3749" s="61">
        <v>10.79534</v>
      </c>
      <c r="B3749" s="63">
        <v>106.6503</v>
      </c>
      <c r="C3749" s="63">
        <v>10.79193</v>
      </c>
      <c r="D3749" s="63">
        <v>106.6555</v>
      </c>
      <c r="E3749" s="64">
        <v>0.932</v>
      </c>
    </row>
    <row r="3750" ht="22.5" customHeight="1">
      <c r="A3750" s="66">
        <v>10.79543</v>
      </c>
      <c r="B3750" s="67">
        <v>106.6675</v>
      </c>
      <c r="C3750" s="67">
        <v>10.77509</v>
      </c>
      <c r="D3750" s="67">
        <v>106.6727</v>
      </c>
      <c r="E3750" s="68">
        <v>4.014</v>
      </c>
    </row>
    <row r="3751" ht="22.5" customHeight="1">
      <c r="A3751" s="61">
        <v>10.79543</v>
      </c>
      <c r="B3751" s="63">
        <v>106.6675</v>
      </c>
      <c r="C3751" s="63">
        <v>10.79193</v>
      </c>
      <c r="D3751" s="63">
        <v>106.6555</v>
      </c>
      <c r="E3751" s="64">
        <v>2.305</v>
      </c>
    </row>
    <row r="3752" ht="22.5" customHeight="1">
      <c r="A3752" s="66">
        <v>10.79543</v>
      </c>
      <c r="B3752" s="67">
        <v>106.6675</v>
      </c>
      <c r="C3752" s="67">
        <v>10.79975</v>
      </c>
      <c r="D3752" s="67">
        <v>106.6696</v>
      </c>
      <c r="E3752" s="68">
        <v>1.615</v>
      </c>
    </row>
    <row r="3753" ht="22.5" customHeight="1">
      <c r="A3753" s="61">
        <v>10.79574</v>
      </c>
      <c r="B3753" s="63">
        <v>106.6229</v>
      </c>
      <c r="C3753" s="63">
        <v>10.76925</v>
      </c>
      <c r="D3753" s="63">
        <v>106.626</v>
      </c>
      <c r="E3753" s="64">
        <v>3.575</v>
      </c>
    </row>
    <row r="3754" ht="22.5" customHeight="1">
      <c r="A3754" s="66">
        <v>10.79574</v>
      </c>
      <c r="B3754" s="67">
        <v>106.6229</v>
      </c>
      <c r="C3754" s="67">
        <v>10.77231</v>
      </c>
      <c r="D3754" s="67">
        <v>106.6319</v>
      </c>
      <c r="E3754" s="68">
        <v>4.125</v>
      </c>
    </row>
    <row r="3755" ht="22.5" customHeight="1">
      <c r="A3755" s="61">
        <v>10.79574</v>
      </c>
      <c r="B3755" s="63">
        <v>106.6229</v>
      </c>
      <c r="C3755" s="63">
        <v>10.77509</v>
      </c>
      <c r="D3755" s="63">
        <v>106.6727</v>
      </c>
      <c r="E3755" s="64">
        <v>8.194</v>
      </c>
    </row>
    <row r="3756" ht="22.5" customHeight="1">
      <c r="A3756" s="66">
        <v>10.79574</v>
      </c>
      <c r="B3756" s="67">
        <v>106.6229</v>
      </c>
      <c r="C3756" s="67">
        <v>10.79212</v>
      </c>
      <c r="D3756" s="67">
        <v>106.6427</v>
      </c>
      <c r="E3756" s="68">
        <v>2.733</v>
      </c>
    </row>
    <row r="3757" ht="22.5" customHeight="1">
      <c r="A3757" s="61">
        <v>10.79574</v>
      </c>
      <c r="B3757" s="63">
        <v>106.6229</v>
      </c>
      <c r="C3757" s="63">
        <v>10.79435</v>
      </c>
      <c r="D3757" s="63">
        <v>106.6382</v>
      </c>
      <c r="E3757" s="64">
        <v>1.871</v>
      </c>
    </row>
    <row r="3758" ht="22.5" customHeight="1">
      <c r="A3758" s="66">
        <v>10.79574</v>
      </c>
      <c r="B3758" s="67">
        <v>106.6229</v>
      </c>
      <c r="C3758" s="67">
        <v>10.7972</v>
      </c>
      <c r="D3758" s="67">
        <v>106.6307</v>
      </c>
      <c r="E3758" s="68">
        <v>1.06</v>
      </c>
    </row>
    <row r="3759" ht="22.5" customHeight="1">
      <c r="A3759" s="61">
        <v>10.79574</v>
      </c>
      <c r="B3759" s="63">
        <v>106.6229</v>
      </c>
      <c r="C3759" s="63">
        <v>10.80369</v>
      </c>
      <c r="D3759" s="63">
        <v>106.6323</v>
      </c>
      <c r="E3759" s="64">
        <v>1.759</v>
      </c>
    </row>
    <row r="3760" ht="22.5" customHeight="1">
      <c r="A3760" s="66">
        <v>10.79574</v>
      </c>
      <c r="B3760" s="67">
        <v>106.6229</v>
      </c>
      <c r="C3760" s="67">
        <v>10.81094</v>
      </c>
      <c r="D3760" s="67">
        <v>106.611</v>
      </c>
      <c r="E3760" s="68">
        <v>2.878</v>
      </c>
    </row>
    <row r="3761" ht="22.5" customHeight="1">
      <c r="A3761" s="61">
        <v>10.79574</v>
      </c>
      <c r="B3761" s="63">
        <v>106.6493</v>
      </c>
      <c r="C3761" s="63">
        <v>10.79193</v>
      </c>
      <c r="D3761" s="63">
        <v>106.6555</v>
      </c>
      <c r="E3761" s="64">
        <v>1.247</v>
      </c>
    </row>
    <row r="3762" ht="22.5" customHeight="1">
      <c r="A3762" s="66">
        <v>10.79574</v>
      </c>
      <c r="B3762" s="67">
        <v>106.6493</v>
      </c>
      <c r="C3762" s="67">
        <v>10.79435</v>
      </c>
      <c r="D3762" s="67">
        <v>106.6382</v>
      </c>
      <c r="E3762" s="68">
        <v>2.032</v>
      </c>
    </row>
    <row r="3763" ht="22.5" customHeight="1">
      <c r="A3763" s="61">
        <v>10.79574</v>
      </c>
      <c r="B3763" s="63">
        <v>106.6493</v>
      </c>
      <c r="C3763" s="63">
        <v>10.79975</v>
      </c>
      <c r="D3763" s="63">
        <v>106.6696</v>
      </c>
      <c r="E3763" s="64">
        <v>2.596</v>
      </c>
    </row>
    <row r="3764" ht="22.5" customHeight="1">
      <c r="A3764" s="66">
        <v>10.79588</v>
      </c>
      <c r="B3764" s="67">
        <v>106.6411</v>
      </c>
      <c r="C3764" s="67">
        <v>10.7733</v>
      </c>
      <c r="D3764" s="67">
        <v>106.6687</v>
      </c>
      <c r="E3764" s="68">
        <v>5.445</v>
      </c>
    </row>
    <row r="3765" ht="22.5" customHeight="1">
      <c r="A3765" s="61">
        <v>10.79588</v>
      </c>
      <c r="B3765" s="63">
        <v>106.6411</v>
      </c>
      <c r="C3765" s="63">
        <v>10.77509</v>
      </c>
      <c r="D3765" s="63">
        <v>106.6727</v>
      </c>
      <c r="E3765" s="64">
        <v>5.714</v>
      </c>
    </row>
    <row r="3766" ht="22.5" customHeight="1">
      <c r="A3766" s="66">
        <v>10.79588</v>
      </c>
      <c r="B3766" s="67">
        <v>106.6411</v>
      </c>
      <c r="C3766" s="67">
        <v>10.77658</v>
      </c>
      <c r="D3766" s="67">
        <v>106.6719</v>
      </c>
      <c r="E3766" s="68">
        <v>5.572</v>
      </c>
    </row>
    <row r="3767" ht="22.5" customHeight="1">
      <c r="A3767" s="61">
        <v>10.79588</v>
      </c>
      <c r="B3767" s="63">
        <v>106.6411</v>
      </c>
      <c r="C3767" s="63">
        <v>10.77995</v>
      </c>
      <c r="D3767" s="63">
        <v>106.6498</v>
      </c>
      <c r="E3767" s="64">
        <v>2.632</v>
      </c>
    </row>
    <row r="3768" ht="22.5" customHeight="1">
      <c r="A3768" s="66">
        <v>10.79588</v>
      </c>
      <c r="B3768" s="67">
        <v>106.6411</v>
      </c>
      <c r="C3768" s="67">
        <v>10.7805</v>
      </c>
      <c r="D3768" s="67">
        <v>106.6611</v>
      </c>
      <c r="E3768" s="68">
        <v>4.151</v>
      </c>
    </row>
    <row r="3769" ht="22.5" customHeight="1">
      <c r="A3769" s="61">
        <v>10.79588</v>
      </c>
      <c r="B3769" s="63">
        <v>106.6411</v>
      </c>
      <c r="C3769" s="63">
        <v>10.78213</v>
      </c>
      <c r="D3769" s="63">
        <v>106.6678</v>
      </c>
      <c r="E3769" s="64">
        <v>3.985</v>
      </c>
    </row>
    <row r="3770" ht="22.5" customHeight="1">
      <c r="A3770" s="66">
        <v>10.79588</v>
      </c>
      <c r="B3770" s="67">
        <v>106.6411</v>
      </c>
      <c r="C3770" s="67">
        <v>10.79193</v>
      </c>
      <c r="D3770" s="67">
        <v>106.6555</v>
      </c>
      <c r="E3770" s="68">
        <v>2.043</v>
      </c>
    </row>
    <row r="3771" ht="22.5" customHeight="1">
      <c r="A3771" s="61">
        <v>10.79588</v>
      </c>
      <c r="B3771" s="63">
        <v>106.6411</v>
      </c>
      <c r="C3771" s="63">
        <v>10.79435</v>
      </c>
      <c r="D3771" s="63">
        <v>106.6382</v>
      </c>
      <c r="E3771" s="64">
        <v>0.774</v>
      </c>
    </row>
    <row r="3772" ht="22.5" customHeight="1">
      <c r="A3772" s="66">
        <v>10.7965</v>
      </c>
      <c r="B3772" s="67">
        <v>106.6881</v>
      </c>
      <c r="C3772" s="67">
        <v>10.77509</v>
      </c>
      <c r="D3772" s="67">
        <v>106.6727</v>
      </c>
      <c r="E3772" s="68">
        <v>5.013</v>
      </c>
    </row>
    <row r="3773" ht="22.5" customHeight="1">
      <c r="A3773" s="61">
        <v>10.7965</v>
      </c>
      <c r="B3773" s="63">
        <v>106.6881</v>
      </c>
      <c r="C3773" s="63">
        <v>10.79061</v>
      </c>
      <c r="D3773" s="63">
        <v>106.6883</v>
      </c>
      <c r="E3773" s="64">
        <v>1.727</v>
      </c>
    </row>
    <row r="3774" ht="22.5" customHeight="1">
      <c r="A3774" s="66">
        <v>10.7965</v>
      </c>
      <c r="B3774" s="67">
        <v>106.6881</v>
      </c>
      <c r="C3774" s="67">
        <v>10.79407</v>
      </c>
      <c r="D3774" s="67">
        <v>106.6839</v>
      </c>
      <c r="E3774" s="68">
        <v>1.739</v>
      </c>
    </row>
    <row r="3775" ht="22.5" customHeight="1">
      <c r="A3775" s="61">
        <v>10.7965</v>
      </c>
      <c r="B3775" s="63">
        <v>106.6881</v>
      </c>
      <c r="C3775" s="63">
        <v>10.79771</v>
      </c>
      <c r="D3775" s="63">
        <v>106.6714</v>
      </c>
      <c r="E3775" s="64">
        <v>2.99</v>
      </c>
    </row>
    <row r="3776" ht="22.5" customHeight="1">
      <c r="A3776" s="66">
        <v>10.7965</v>
      </c>
      <c r="B3776" s="67">
        <v>106.6881</v>
      </c>
      <c r="C3776" s="67">
        <v>10.79841</v>
      </c>
      <c r="D3776" s="67">
        <v>106.6587</v>
      </c>
      <c r="E3776" s="68">
        <v>4.849</v>
      </c>
    </row>
    <row r="3777" ht="22.5" customHeight="1">
      <c r="A3777" s="61">
        <v>10.7965</v>
      </c>
      <c r="B3777" s="63">
        <v>106.6881</v>
      </c>
      <c r="C3777" s="63">
        <v>10.79975</v>
      </c>
      <c r="D3777" s="63">
        <v>106.6696</v>
      </c>
      <c r="E3777" s="64">
        <v>2.61</v>
      </c>
    </row>
    <row r="3778" ht="22.5" customHeight="1">
      <c r="A3778" s="66">
        <v>10.7965</v>
      </c>
      <c r="B3778" s="67">
        <v>106.6881</v>
      </c>
      <c r="C3778" s="67">
        <v>10.80325</v>
      </c>
      <c r="D3778" s="67">
        <v>106.6842</v>
      </c>
      <c r="E3778" s="68">
        <v>0.94</v>
      </c>
    </row>
    <row r="3779" ht="22.5" customHeight="1">
      <c r="A3779" s="61">
        <v>10.7965</v>
      </c>
      <c r="B3779" s="63">
        <v>106.6881</v>
      </c>
      <c r="C3779" s="63">
        <v>10.80588</v>
      </c>
      <c r="D3779" s="63">
        <v>106.6874</v>
      </c>
      <c r="E3779" s="64">
        <v>1.756</v>
      </c>
    </row>
    <row r="3780" ht="22.5" customHeight="1">
      <c r="A3780" s="66">
        <v>10.79654</v>
      </c>
      <c r="B3780" s="67">
        <v>106.6536</v>
      </c>
      <c r="C3780" s="67">
        <v>10.77995</v>
      </c>
      <c r="D3780" s="67">
        <v>106.6498</v>
      </c>
      <c r="E3780" s="68">
        <v>2.241</v>
      </c>
    </row>
    <row r="3781" ht="22.5" customHeight="1">
      <c r="A3781" s="61">
        <v>10.79654</v>
      </c>
      <c r="B3781" s="63">
        <v>106.6536</v>
      </c>
      <c r="C3781" s="63">
        <v>10.79193</v>
      </c>
      <c r="D3781" s="63">
        <v>106.6555</v>
      </c>
      <c r="E3781" s="64">
        <v>2.0</v>
      </c>
    </row>
    <row r="3782" ht="22.5" customHeight="1">
      <c r="A3782" s="66">
        <v>10.79654</v>
      </c>
      <c r="B3782" s="67">
        <v>106.6536</v>
      </c>
      <c r="C3782" s="67">
        <v>10.79435</v>
      </c>
      <c r="D3782" s="67">
        <v>106.6382</v>
      </c>
      <c r="E3782" s="68">
        <v>2.6</v>
      </c>
    </row>
    <row r="3783" ht="22.5" customHeight="1">
      <c r="A3783" s="61">
        <v>10.79654</v>
      </c>
      <c r="B3783" s="63">
        <v>106.6536</v>
      </c>
      <c r="C3783" s="63">
        <v>10.79975</v>
      </c>
      <c r="D3783" s="63">
        <v>106.6696</v>
      </c>
      <c r="E3783" s="64">
        <v>2.9</v>
      </c>
    </row>
    <row r="3784" ht="22.5" customHeight="1">
      <c r="A3784" s="66">
        <v>10.79654</v>
      </c>
      <c r="B3784" s="67">
        <v>106.6536</v>
      </c>
      <c r="C3784" s="67">
        <v>10.80458</v>
      </c>
      <c r="D3784" s="67">
        <v>106.6759</v>
      </c>
      <c r="E3784" s="68">
        <v>4.468</v>
      </c>
    </row>
    <row r="3785" ht="22.5" customHeight="1">
      <c r="A3785" s="61">
        <v>10.79654</v>
      </c>
      <c r="B3785" s="63">
        <v>106.7345</v>
      </c>
      <c r="C3785" s="63">
        <v>10.76656</v>
      </c>
      <c r="D3785" s="63">
        <v>106.726</v>
      </c>
      <c r="E3785" s="64">
        <v>4.4</v>
      </c>
    </row>
    <row r="3786" ht="22.5" customHeight="1">
      <c r="A3786" s="66">
        <v>10.79654</v>
      </c>
      <c r="B3786" s="67">
        <v>106.7345</v>
      </c>
      <c r="C3786" s="67">
        <v>10.79203</v>
      </c>
      <c r="D3786" s="67">
        <v>106.7304</v>
      </c>
      <c r="E3786" s="68">
        <v>1.275</v>
      </c>
    </row>
    <row r="3787" ht="22.5" customHeight="1">
      <c r="A3787" s="61">
        <v>10.79654</v>
      </c>
      <c r="B3787" s="63">
        <v>106.7345</v>
      </c>
      <c r="C3787" s="63">
        <v>10.80821</v>
      </c>
      <c r="D3787" s="63">
        <v>106.7251</v>
      </c>
      <c r="E3787" s="64">
        <v>1.952</v>
      </c>
    </row>
    <row r="3788" ht="22.5" customHeight="1">
      <c r="A3788" s="66">
        <v>10.79658</v>
      </c>
      <c r="B3788" s="67">
        <v>106.6776</v>
      </c>
      <c r="C3788" s="67">
        <v>10.77509</v>
      </c>
      <c r="D3788" s="67">
        <v>106.6727</v>
      </c>
      <c r="E3788" s="68">
        <v>3.476</v>
      </c>
    </row>
    <row r="3789" ht="22.5" customHeight="1">
      <c r="A3789" s="61">
        <v>10.79658</v>
      </c>
      <c r="B3789" s="63">
        <v>106.6776</v>
      </c>
      <c r="C3789" s="63">
        <v>10.78392</v>
      </c>
      <c r="D3789" s="63">
        <v>106.6808</v>
      </c>
      <c r="E3789" s="64">
        <v>2.001</v>
      </c>
    </row>
    <row r="3790" ht="22.5" customHeight="1">
      <c r="A3790" s="66">
        <v>10.79658</v>
      </c>
      <c r="B3790" s="67">
        <v>106.6776</v>
      </c>
      <c r="C3790" s="67">
        <v>10.78438</v>
      </c>
      <c r="D3790" s="67">
        <v>106.6829</v>
      </c>
      <c r="E3790" s="68">
        <v>1.65</v>
      </c>
    </row>
    <row r="3791" ht="22.5" customHeight="1">
      <c r="A3791" s="61">
        <v>10.79658</v>
      </c>
      <c r="B3791" s="63">
        <v>106.6776</v>
      </c>
      <c r="C3791" s="63">
        <v>10.78681</v>
      </c>
      <c r="D3791" s="63">
        <v>106.6794</v>
      </c>
      <c r="E3791" s="64">
        <v>1.14</v>
      </c>
    </row>
    <row r="3792" ht="22.5" customHeight="1">
      <c r="A3792" s="66">
        <v>10.79658</v>
      </c>
      <c r="B3792" s="67">
        <v>106.6776</v>
      </c>
      <c r="C3792" s="67">
        <v>10.79061</v>
      </c>
      <c r="D3792" s="67">
        <v>106.6883</v>
      </c>
      <c r="E3792" s="68">
        <v>1.769</v>
      </c>
    </row>
    <row r="3793" ht="22.5" customHeight="1">
      <c r="A3793" s="61">
        <v>10.79662</v>
      </c>
      <c r="B3793" s="63">
        <v>106.7372</v>
      </c>
      <c r="C3793" s="63">
        <v>10.77662</v>
      </c>
      <c r="D3793" s="63">
        <v>106.7654</v>
      </c>
      <c r="E3793" s="64">
        <v>5.5</v>
      </c>
    </row>
    <row r="3794" ht="22.5" customHeight="1">
      <c r="A3794" s="66">
        <v>10.79662</v>
      </c>
      <c r="B3794" s="67">
        <v>106.7372</v>
      </c>
      <c r="C3794" s="67">
        <v>10.78759</v>
      </c>
      <c r="D3794" s="67">
        <v>106.7337</v>
      </c>
      <c r="E3794" s="68">
        <v>1.691</v>
      </c>
    </row>
    <row r="3795" ht="22.5" customHeight="1">
      <c r="A3795" s="61">
        <v>10.79662</v>
      </c>
      <c r="B3795" s="63">
        <v>106.7372</v>
      </c>
      <c r="C3795" s="63">
        <v>10.79121</v>
      </c>
      <c r="D3795" s="63">
        <v>106.7227</v>
      </c>
      <c r="E3795" s="64">
        <v>4.303</v>
      </c>
    </row>
    <row r="3796" ht="22.5" customHeight="1">
      <c r="A3796" s="66">
        <v>10.79662</v>
      </c>
      <c r="B3796" s="67">
        <v>106.7372</v>
      </c>
      <c r="C3796" s="67">
        <v>10.79203</v>
      </c>
      <c r="D3796" s="67">
        <v>106.7304</v>
      </c>
      <c r="E3796" s="68">
        <v>1.691</v>
      </c>
    </row>
    <row r="3797" ht="22.5" customHeight="1">
      <c r="A3797" s="61">
        <v>10.79662</v>
      </c>
      <c r="B3797" s="63">
        <v>106.7372</v>
      </c>
      <c r="C3797" s="63">
        <v>10.79654</v>
      </c>
      <c r="D3797" s="63">
        <v>106.7345</v>
      </c>
      <c r="E3797" s="64">
        <v>0.9</v>
      </c>
    </row>
    <row r="3798" ht="22.5" customHeight="1">
      <c r="A3798" s="66">
        <v>10.79662</v>
      </c>
      <c r="B3798" s="67">
        <v>106.7372</v>
      </c>
      <c r="C3798" s="67">
        <v>10.80312</v>
      </c>
      <c r="D3798" s="67">
        <v>106.7097</v>
      </c>
      <c r="E3798" s="68">
        <v>4.588</v>
      </c>
    </row>
    <row r="3799" ht="22.5" customHeight="1">
      <c r="A3799" s="61">
        <v>10.79662</v>
      </c>
      <c r="B3799" s="63">
        <v>106.7372</v>
      </c>
      <c r="C3799" s="63">
        <v>10.80357</v>
      </c>
      <c r="D3799" s="63">
        <v>106.7181</v>
      </c>
      <c r="E3799" s="64">
        <v>3.989</v>
      </c>
    </row>
    <row r="3800" ht="22.5" customHeight="1">
      <c r="A3800" s="66">
        <v>10.79662</v>
      </c>
      <c r="B3800" s="67">
        <v>106.7372</v>
      </c>
      <c r="C3800" s="67">
        <v>10.80434</v>
      </c>
      <c r="D3800" s="67">
        <v>106.7445</v>
      </c>
      <c r="E3800" s="68">
        <v>2.119</v>
      </c>
    </row>
    <row r="3801" ht="22.5" customHeight="1">
      <c r="A3801" s="61">
        <v>10.79662</v>
      </c>
      <c r="B3801" s="63">
        <v>106.7372</v>
      </c>
      <c r="C3801" s="63">
        <v>10.80576</v>
      </c>
      <c r="D3801" s="63">
        <v>106.7346</v>
      </c>
      <c r="E3801" s="64">
        <v>2.665</v>
      </c>
    </row>
    <row r="3802" ht="22.5" customHeight="1">
      <c r="A3802" s="66">
        <v>10.79679</v>
      </c>
      <c r="B3802" s="67">
        <v>106.6778</v>
      </c>
      <c r="C3802" s="67">
        <v>10.78935</v>
      </c>
      <c r="D3802" s="67">
        <v>106.6755</v>
      </c>
      <c r="E3802" s="68">
        <v>1.383</v>
      </c>
    </row>
    <row r="3803" ht="22.5" customHeight="1">
      <c r="A3803" s="61">
        <v>10.79679</v>
      </c>
      <c r="B3803" s="63">
        <v>106.6778</v>
      </c>
      <c r="C3803" s="63">
        <v>10.79061</v>
      </c>
      <c r="D3803" s="63">
        <v>106.6883</v>
      </c>
      <c r="E3803" s="64">
        <v>1.885</v>
      </c>
    </row>
    <row r="3804" ht="22.5" customHeight="1">
      <c r="A3804" s="66">
        <v>10.7972</v>
      </c>
      <c r="B3804" s="67">
        <v>106.6307</v>
      </c>
      <c r="C3804" s="67">
        <v>10.76925</v>
      </c>
      <c r="D3804" s="67">
        <v>106.626</v>
      </c>
      <c r="E3804" s="68">
        <v>4.496</v>
      </c>
    </row>
    <row r="3805" ht="22.5" customHeight="1">
      <c r="A3805" s="61">
        <v>10.7972</v>
      </c>
      <c r="B3805" s="63">
        <v>106.6307</v>
      </c>
      <c r="C3805" s="63">
        <v>10.77231</v>
      </c>
      <c r="D3805" s="63">
        <v>106.6319</v>
      </c>
      <c r="E3805" s="64">
        <v>4.649</v>
      </c>
    </row>
    <row r="3806" ht="22.5" customHeight="1">
      <c r="A3806" s="66">
        <v>10.7972</v>
      </c>
      <c r="B3806" s="67">
        <v>106.6307</v>
      </c>
      <c r="C3806" s="67">
        <v>10.7724</v>
      </c>
      <c r="D3806" s="67">
        <v>106.6248</v>
      </c>
      <c r="E3806" s="68">
        <v>4.264</v>
      </c>
    </row>
    <row r="3807" ht="22.5" customHeight="1">
      <c r="A3807" s="61">
        <v>10.7972</v>
      </c>
      <c r="B3807" s="63">
        <v>106.6307</v>
      </c>
      <c r="C3807" s="63">
        <v>10.77509</v>
      </c>
      <c r="D3807" s="63">
        <v>106.6727</v>
      </c>
      <c r="E3807" s="64">
        <v>7.128</v>
      </c>
    </row>
    <row r="3808" ht="22.5" customHeight="1">
      <c r="A3808" s="66">
        <v>10.7972</v>
      </c>
      <c r="B3808" s="67">
        <v>106.6307</v>
      </c>
      <c r="C3808" s="67">
        <v>10.78175</v>
      </c>
      <c r="D3808" s="67">
        <v>106.6306</v>
      </c>
      <c r="E3808" s="68">
        <v>2.707</v>
      </c>
    </row>
    <row r="3809" ht="22.5" customHeight="1">
      <c r="A3809" s="61">
        <v>10.7972</v>
      </c>
      <c r="B3809" s="63">
        <v>106.6307</v>
      </c>
      <c r="C3809" s="63">
        <v>10.78294</v>
      </c>
      <c r="D3809" s="63">
        <v>106.6506</v>
      </c>
      <c r="E3809" s="64">
        <v>3.804</v>
      </c>
    </row>
    <row r="3810" ht="22.5" customHeight="1">
      <c r="A3810" s="66">
        <v>10.7972</v>
      </c>
      <c r="B3810" s="67">
        <v>106.6307</v>
      </c>
      <c r="C3810" s="67">
        <v>10.78954</v>
      </c>
      <c r="D3810" s="67">
        <v>106.6431</v>
      </c>
      <c r="E3810" s="68">
        <v>2.232</v>
      </c>
    </row>
    <row r="3811" ht="22.5" customHeight="1">
      <c r="A3811" s="61">
        <v>10.7972</v>
      </c>
      <c r="B3811" s="63">
        <v>106.6307</v>
      </c>
      <c r="C3811" s="63">
        <v>10.79193</v>
      </c>
      <c r="D3811" s="63">
        <v>106.6555</v>
      </c>
      <c r="E3811" s="64">
        <v>3.356</v>
      </c>
    </row>
    <row r="3812" ht="22.5" customHeight="1">
      <c r="A3812" s="66">
        <v>10.7972</v>
      </c>
      <c r="B3812" s="67">
        <v>106.6307</v>
      </c>
      <c r="C3812" s="67">
        <v>10.79212</v>
      </c>
      <c r="D3812" s="67">
        <v>106.6427</v>
      </c>
      <c r="E3812" s="68">
        <v>2.161</v>
      </c>
    </row>
    <row r="3813" ht="22.5" customHeight="1">
      <c r="A3813" s="61">
        <v>10.7972</v>
      </c>
      <c r="B3813" s="63">
        <v>106.6307</v>
      </c>
      <c r="C3813" s="63">
        <v>10.79435</v>
      </c>
      <c r="D3813" s="63">
        <v>106.6382</v>
      </c>
      <c r="E3813" s="64">
        <v>1.147</v>
      </c>
    </row>
    <row r="3814" ht="22.5" customHeight="1">
      <c r="A3814" s="66">
        <v>10.7972</v>
      </c>
      <c r="B3814" s="67">
        <v>106.6307</v>
      </c>
      <c r="C3814" s="67">
        <v>10.79464</v>
      </c>
      <c r="D3814" s="67">
        <v>106.6355</v>
      </c>
      <c r="E3814" s="68">
        <v>0.962</v>
      </c>
    </row>
    <row r="3815" ht="22.5" customHeight="1">
      <c r="A3815" s="61">
        <v>10.7972</v>
      </c>
      <c r="B3815" s="63">
        <v>106.6307</v>
      </c>
      <c r="C3815" s="63">
        <v>10.79525</v>
      </c>
      <c r="D3815" s="63">
        <v>106.6294</v>
      </c>
      <c r="E3815" s="64">
        <v>0.209</v>
      </c>
    </row>
    <row r="3816" ht="22.5" customHeight="1">
      <c r="A3816" s="66">
        <v>10.7972</v>
      </c>
      <c r="B3816" s="67">
        <v>106.6307</v>
      </c>
      <c r="C3816" s="67">
        <v>10.79574</v>
      </c>
      <c r="D3816" s="67">
        <v>106.6229</v>
      </c>
      <c r="E3816" s="68">
        <v>1.037</v>
      </c>
    </row>
    <row r="3817" ht="22.5" customHeight="1">
      <c r="A3817" s="61">
        <v>10.7972</v>
      </c>
      <c r="B3817" s="63">
        <v>106.6307</v>
      </c>
      <c r="C3817" s="63">
        <v>10.7972</v>
      </c>
      <c r="D3817" s="63">
        <v>106.6307</v>
      </c>
      <c r="E3817" s="64">
        <v>0.0</v>
      </c>
    </row>
    <row r="3818" ht="22.5" customHeight="1">
      <c r="A3818" s="66">
        <v>10.7972</v>
      </c>
      <c r="B3818" s="67">
        <v>106.6307</v>
      </c>
      <c r="C3818" s="67">
        <v>10.80079</v>
      </c>
      <c r="D3818" s="67">
        <v>106.6572</v>
      </c>
      <c r="E3818" s="68">
        <v>3.35</v>
      </c>
    </row>
    <row r="3819" ht="22.5" customHeight="1">
      <c r="A3819" s="61">
        <v>10.7972</v>
      </c>
      <c r="B3819" s="63">
        <v>106.6307</v>
      </c>
      <c r="C3819" s="63">
        <v>10.80119</v>
      </c>
      <c r="D3819" s="63">
        <v>106.6381</v>
      </c>
      <c r="E3819" s="64">
        <v>1.191</v>
      </c>
    </row>
    <row r="3820" ht="22.5" customHeight="1">
      <c r="A3820" s="66">
        <v>10.7972</v>
      </c>
      <c r="B3820" s="67">
        <v>106.6307</v>
      </c>
      <c r="C3820" s="67">
        <v>10.80141</v>
      </c>
      <c r="D3820" s="67">
        <v>106.6495</v>
      </c>
      <c r="E3820" s="68">
        <v>2.612</v>
      </c>
    </row>
    <row r="3821" ht="22.5" customHeight="1">
      <c r="A3821" s="61">
        <v>10.7972</v>
      </c>
      <c r="B3821" s="63">
        <v>106.6307</v>
      </c>
      <c r="C3821" s="63">
        <v>10.80369</v>
      </c>
      <c r="D3821" s="63">
        <v>106.6323</v>
      </c>
      <c r="E3821" s="64">
        <v>1.776</v>
      </c>
    </row>
    <row r="3822" ht="22.5" customHeight="1">
      <c r="A3822" s="66">
        <v>10.7972</v>
      </c>
      <c r="B3822" s="67">
        <v>106.6307</v>
      </c>
      <c r="C3822" s="67">
        <v>10.80474</v>
      </c>
      <c r="D3822" s="67">
        <v>106.642</v>
      </c>
      <c r="E3822" s="68">
        <v>1.763</v>
      </c>
    </row>
    <row r="3823" ht="22.5" customHeight="1">
      <c r="A3823" s="61">
        <v>10.7972</v>
      </c>
      <c r="B3823" s="63">
        <v>106.6307</v>
      </c>
      <c r="C3823" s="63">
        <v>10.81094</v>
      </c>
      <c r="D3823" s="63">
        <v>106.611</v>
      </c>
      <c r="E3823" s="64">
        <v>3.751</v>
      </c>
    </row>
    <row r="3824" ht="22.5" customHeight="1">
      <c r="A3824" s="66">
        <v>10.7972</v>
      </c>
      <c r="B3824" s="67">
        <v>106.6307</v>
      </c>
      <c r="C3824" s="67">
        <v>10.81147</v>
      </c>
      <c r="D3824" s="67">
        <v>106.6107</v>
      </c>
      <c r="E3824" s="68">
        <v>3.69</v>
      </c>
    </row>
    <row r="3825" ht="22.5" customHeight="1">
      <c r="A3825" s="61">
        <v>10.7972</v>
      </c>
      <c r="B3825" s="63">
        <v>106.6307</v>
      </c>
      <c r="C3825" s="63">
        <v>10.81494</v>
      </c>
      <c r="D3825" s="63">
        <v>106.5854</v>
      </c>
      <c r="E3825" s="64">
        <v>10.717</v>
      </c>
    </row>
    <row r="3826" ht="22.5" customHeight="1">
      <c r="A3826" s="66">
        <v>10.79765</v>
      </c>
      <c r="B3826" s="67">
        <v>106.673</v>
      </c>
      <c r="C3826" s="67">
        <v>10.79771</v>
      </c>
      <c r="D3826" s="67">
        <v>106.6714</v>
      </c>
      <c r="E3826" s="68">
        <v>0.163</v>
      </c>
    </row>
    <row r="3827" ht="22.5" customHeight="1">
      <c r="A3827" s="61">
        <v>10.79765</v>
      </c>
      <c r="B3827" s="63">
        <v>106.673</v>
      </c>
      <c r="C3827" s="63">
        <v>10.79975</v>
      </c>
      <c r="D3827" s="63">
        <v>106.6696</v>
      </c>
      <c r="E3827" s="64">
        <v>0.728</v>
      </c>
    </row>
    <row r="3828" ht="22.5" customHeight="1">
      <c r="A3828" s="66">
        <v>10.79771</v>
      </c>
      <c r="B3828" s="67">
        <v>106.6714</v>
      </c>
      <c r="C3828" s="67">
        <v>10.79126</v>
      </c>
      <c r="D3828" s="67">
        <v>106.6782</v>
      </c>
      <c r="E3828" s="68">
        <v>1.184</v>
      </c>
    </row>
    <row r="3829" ht="22.5" customHeight="1">
      <c r="A3829" s="61">
        <v>10.79771</v>
      </c>
      <c r="B3829" s="63">
        <v>106.6714</v>
      </c>
      <c r="C3829" s="63">
        <v>10.79889</v>
      </c>
      <c r="D3829" s="63">
        <v>106.6803</v>
      </c>
      <c r="E3829" s="64">
        <v>1.199</v>
      </c>
    </row>
    <row r="3830" ht="22.5" customHeight="1">
      <c r="A3830" s="66">
        <v>10.79771</v>
      </c>
      <c r="B3830" s="67">
        <v>106.6714</v>
      </c>
      <c r="C3830" s="67">
        <v>10.79975</v>
      </c>
      <c r="D3830" s="67">
        <v>106.6696</v>
      </c>
      <c r="E3830" s="68">
        <v>0.584</v>
      </c>
    </row>
    <row r="3831" ht="22.5" customHeight="1">
      <c r="A3831" s="61">
        <v>10.79792</v>
      </c>
      <c r="B3831" s="63">
        <v>106.7177</v>
      </c>
      <c r="C3831" s="63">
        <v>10.78485</v>
      </c>
      <c r="D3831" s="63">
        <v>106.6942</v>
      </c>
      <c r="E3831" s="64">
        <v>4.535</v>
      </c>
    </row>
    <row r="3832" ht="22.5" customHeight="1">
      <c r="A3832" s="66">
        <v>10.79792</v>
      </c>
      <c r="B3832" s="67">
        <v>106.7177</v>
      </c>
      <c r="C3832" s="67">
        <v>10.79036</v>
      </c>
      <c r="D3832" s="67">
        <v>106.6973</v>
      </c>
      <c r="E3832" s="68">
        <v>4.78</v>
      </c>
    </row>
    <row r="3833" ht="22.5" customHeight="1">
      <c r="A3833" s="61">
        <v>10.79792</v>
      </c>
      <c r="B3833" s="63">
        <v>106.7177</v>
      </c>
      <c r="C3833" s="63">
        <v>10.79203</v>
      </c>
      <c r="D3833" s="63">
        <v>106.7304</v>
      </c>
      <c r="E3833" s="64">
        <v>2.89</v>
      </c>
    </row>
    <row r="3834" ht="22.5" customHeight="1">
      <c r="A3834" s="66">
        <v>10.79792</v>
      </c>
      <c r="B3834" s="67">
        <v>106.7177</v>
      </c>
      <c r="C3834" s="67">
        <v>10.80027</v>
      </c>
      <c r="D3834" s="67">
        <v>106.7109</v>
      </c>
      <c r="E3834" s="68">
        <v>2.753</v>
      </c>
    </row>
    <row r="3835" ht="22.5" customHeight="1">
      <c r="A3835" s="61">
        <v>10.79792</v>
      </c>
      <c r="B3835" s="63">
        <v>106.7177</v>
      </c>
      <c r="C3835" s="63">
        <v>10.80312</v>
      </c>
      <c r="D3835" s="63">
        <v>106.7097</v>
      </c>
      <c r="E3835" s="64">
        <v>2.949</v>
      </c>
    </row>
    <row r="3836" ht="22.5" customHeight="1">
      <c r="A3836" s="66">
        <v>10.79792</v>
      </c>
      <c r="B3836" s="67">
        <v>106.7177</v>
      </c>
      <c r="C3836" s="67">
        <v>10.80357</v>
      </c>
      <c r="D3836" s="67">
        <v>106.7181</v>
      </c>
      <c r="E3836" s="68">
        <v>2.386</v>
      </c>
    </row>
    <row r="3837" ht="22.5" customHeight="1">
      <c r="A3837" s="61">
        <v>10.79792</v>
      </c>
      <c r="B3837" s="63">
        <v>106.7177</v>
      </c>
      <c r="C3837" s="63">
        <v>10.80393</v>
      </c>
      <c r="D3837" s="63">
        <v>106.7092</v>
      </c>
      <c r="E3837" s="64">
        <v>3.044</v>
      </c>
    </row>
    <row r="3838" ht="22.5" customHeight="1">
      <c r="A3838" s="66">
        <v>10.79841</v>
      </c>
      <c r="B3838" s="67">
        <v>106.6587</v>
      </c>
      <c r="C3838" s="67">
        <v>10.76925</v>
      </c>
      <c r="D3838" s="67">
        <v>106.626</v>
      </c>
      <c r="E3838" s="68">
        <v>6.156</v>
      </c>
    </row>
    <row r="3839" ht="22.5" customHeight="1">
      <c r="A3839" s="61">
        <v>10.79841</v>
      </c>
      <c r="B3839" s="63">
        <v>106.6587</v>
      </c>
      <c r="C3839" s="63">
        <v>10.77509</v>
      </c>
      <c r="D3839" s="63">
        <v>106.6727</v>
      </c>
      <c r="E3839" s="64">
        <v>4.197</v>
      </c>
    </row>
    <row r="3840" ht="22.5" customHeight="1">
      <c r="A3840" s="66">
        <v>10.79841</v>
      </c>
      <c r="B3840" s="67">
        <v>106.6587</v>
      </c>
      <c r="C3840" s="67">
        <v>10.78769</v>
      </c>
      <c r="D3840" s="67">
        <v>106.6634</v>
      </c>
      <c r="E3840" s="68">
        <v>2.159</v>
      </c>
    </row>
    <row r="3841" ht="22.5" customHeight="1">
      <c r="A3841" s="61">
        <v>10.79841</v>
      </c>
      <c r="B3841" s="63">
        <v>106.6587</v>
      </c>
      <c r="C3841" s="63">
        <v>10.79193</v>
      </c>
      <c r="D3841" s="63">
        <v>106.6555</v>
      </c>
      <c r="E3841" s="64">
        <v>1.236</v>
      </c>
    </row>
    <row r="3842" ht="22.5" customHeight="1">
      <c r="A3842" s="66">
        <v>10.79841</v>
      </c>
      <c r="B3842" s="67">
        <v>106.6587</v>
      </c>
      <c r="C3842" s="67">
        <v>10.79212</v>
      </c>
      <c r="D3842" s="67">
        <v>106.6427</v>
      </c>
      <c r="E3842" s="68">
        <v>3.401</v>
      </c>
    </row>
    <row r="3843" ht="22.5" customHeight="1">
      <c r="A3843" s="61">
        <v>10.79841</v>
      </c>
      <c r="B3843" s="63">
        <v>106.6587</v>
      </c>
      <c r="C3843" s="63">
        <v>10.79255</v>
      </c>
      <c r="D3843" s="63">
        <v>106.6625</v>
      </c>
      <c r="E3843" s="64">
        <v>1.255</v>
      </c>
    </row>
    <row r="3844" ht="22.5" customHeight="1">
      <c r="A3844" s="66">
        <v>10.79841</v>
      </c>
      <c r="B3844" s="67">
        <v>106.6587</v>
      </c>
      <c r="C3844" s="67">
        <v>10.79435</v>
      </c>
      <c r="D3844" s="67">
        <v>106.6382</v>
      </c>
      <c r="E3844" s="68">
        <v>4.16</v>
      </c>
    </row>
    <row r="3845" ht="22.5" customHeight="1">
      <c r="A3845" s="61">
        <v>10.79841</v>
      </c>
      <c r="B3845" s="63">
        <v>106.6587</v>
      </c>
      <c r="C3845" s="63">
        <v>10.7965</v>
      </c>
      <c r="D3845" s="63">
        <v>106.6881</v>
      </c>
      <c r="E3845" s="64">
        <v>3.765</v>
      </c>
    </row>
    <row r="3846" ht="22.5" customHeight="1">
      <c r="A3846" s="66">
        <v>10.79841</v>
      </c>
      <c r="B3846" s="67">
        <v>106.6587</v>
      </c>
      <c r="C3846" s="67">
        <v>10.79975</v>
      </c>
      <c r="D3846" s="67">
        <v>106.6696</v>
      </c>
      <c r="E3846" s="68">
        <v>1.249</v>
      </c>
    </row>
    <row r="3847" ht="22.5" customHeight="1">
      <c r="A3847" s="61">
        <v>10.79841</v>
      </c>
      <c r="B3847" s="63">
        <v>106.6587</v>
      </c>
      <c r="C3847" s="63">
        <v>10.80325</v>
      </c>
      <c r="D3847" s="63">
        <v>106.6842</v>
      </c>
      <c r="E3847" s="64">
        <v>3.069</v>
      </c>
    </row>
    <row r="3848" ht="22.5" customHeight="1">
      <c r="A3848" s="66">
        <v>10.79841</v>
      </c>
      <c r="B3848" s="67">
        <v>106.6587</v>
      </c>
      <c r="C3848" s="67">
        <v>10.80458</v>
      </c>
      <c r="D3848" s="67">
        <v>106.6759</v>
      </c>
      <c r="E3848" s="68">
        <v>3.729</v>
      </c>
    </row>
    <row r="3849" ht="22.5" customHeight="1">
      <c r="A3849" s="61">
        <v>10.79841</v>
      </c>
      <c r="B3849" s="63">
        <v>106.7342</v>
      </c>
      <c r="C3849" s="63">
        <v>10.79203</v>
      </c>
      <c r="D3849" s="63">
        <v>106.7304</v>
      </c>
      <c r="E3849" s="64">
        <v>1.4</v>
      </c>
    </row>
    <row r="3850" ht="22.5" customHeight="1">
      <c r="A3850" s="66">
        <v>10.79841</v>
      </c>
      <c r="B3850" s="67">
        <v>106.7342</v>
      </c>
      <c r="C3850" s="67">
        <v>10.79222</v>
      </c>
      <c r="D3850" s="67">
        <v>106.7229</v>
      </c>
      <c r="E3850" s="68">
        <v>5.8</v>
      </c>
    </row>
    <row r="3851" ht="22.5" customHeight="1">
      <c r="A3851" s="61">
        <v>10.79841</v>
      </c>
      <c r="B3851" s="63">
        <v>106.7342</v>
      </c>
      <c r="C3851" s="63">
        <v>10.80357</v>
      </c>
      <c r="D3851" s="63">
        <v>106.7181</v>
      </c>
      <c r="E3851" s="64">
        <v>7.0</v>
      </c>
    </row>
    <row r="3852" ht="22.5" customHeight="1">
      <c r="A3852" s="66">
        <v>10.79841</v>
      </c>
      <c r="B3852" s="67">
        <v>106.7342</v>
      </c>
      <c r="C3852" s="67">
        <v>10.80393</v>
      </c>
      <c r="D3852" s="67">
        <v>106.7092</v>
      </c>
      <c r="E3852" s="68">
        <v>6.7</v>
      </c>
    </row>
    <row r="3853" ht="22.5" customHeight="1">
      <c r="A3853" s="61">
        <v>10.79857</v>
      </c>
      <c r="B3853" s="63">
        <v>106.682</v>
      </c>
      <c r="C3853" s="63">
        <v>10.7965</v>
      </c>
      <c r="D3853" s="63">
        <v>106.6881</v>
      </c>
      <c r="E3853" s="64">
        <v>0.801</v>
      </c>
    </row>
    <row r="3854" ht="22.5" customHeight="1">
      <c r="A3854" s="66">
        <v>10.79865</v>
      </c>
      <c r="B3854" s="67">
        <v>106.682</v>
      </c>
      <c r="C3854" s="67">
        <v>10.79061</v>
      </c>
      <c r="D3854" s="67">
        <v>106.6883</v>
      </c>
      <c r="E3854" s="68">
        <v>1.531</v>
      </c>
    </row>
    <row r="3855" ht="22.5" customHeight="1">
      <c r="A3855" s="61">
        <v>10.79865</v>
      </c>
      <c r="B3855" s="63">
        <v>106.682</v>
      </c>
      <c r="C3855" s="63">
        <v>10.79295</v>
      </c>
      <c r="D3855" s="63">
        <v>106.6858</v>
      </c>
      <c r="E3855" s="64">
        <v>2.366</v>
      </c>
    </row>
    <row r="3856" ht="22.5" customHeight="1">
      <c r="A3856" s="66">
        <v>10.79865</v>
      </c>
      <c r="B3856" s="67">
        <v>106.682</v>
      </c>
      <c r="C3856" s="67">
        <v>10.79679</v>
      </c>
      <c r="D3856" s="67">
        <v>106.6778</v>
      </c>
      <c r="E3856" s="68">
        <v>1.418</v>
      </c>
    </row>
    <row r="3857" ht="22.5" customHeight="1">
      <c r="A3857" s="61">
        <v>10.79865</v>
      </c>
      <c r="B3857" s="63">
        <v>106.682</v>
      </c>
      <c r="C3857" s="63">
        <v>10.80325</v>
      </c>
      <c r="D3857" s="63">
        <v>106.6842</v>
      </c>
      <c r="E3857" s="64">
        <v>0.683</v>
      </c>
    </row>
    <row r="3858" ht="22.5" customHeight="1">
      <c r="A3858" s="66">
        <v>10.79885</v>
      </c>
      <c r="B3858" s="67">
        <v>106.7207</v>
      </c>
      <c r="C3858" s="67">
        <v>10.77509</v>
      </c>
      <c r="D3858" s="67">
        <v>106.6727</v>
      </c>
      <c r="E3858" s="68">
        <v>6.811</v>
      </c>
    </row>
    <row r="3859" ht="22.5" customHeight="1">
      <c r="A3859" s="61">
        <v>10.79885</v>
      </c>
      <c r="B3859" s="63">
        <v>106.7207</v>
      </c>
      <c r="C3859" s="63">
        <v>10.79036</v>
      </c>
      <c r="D3859" s="63">
        <v>106.6973</v>
      </c>
      <c r="E3859" s="64">
        <v>4.05</v>
      </c>
    </row>
    <row r="3860" ht="22.5" customHeight="1">
      <c r="A3860" s="66">
        <v>10.79885</v>
      </c>
      <c r="B3860" s="67">
        <v>106.7207</v>
      </c>
      <c r="C3860" s="67">
        <v>10.79203</v>
      </c>
      <c r="D3860" s="67">
        <v>106.7304</v>
      </c>
      <c r="E3860" s="68">
        <v>3.025</v>
      </c>
    </row>
    <row r="3861" ht="22.5" customHeight="1">
      <c r="A3861" s="61">
        <v>10.79885</v>
      </c>
      <c r="B3861" s="63">
        <v>106.7207</v>
      </c>
      <c r="C3861" s="63">
        <v>10.80027</v>
      </c>
      <c r="D3861" s="63">
        <v>106.7109</v>
      </c>
      <c r="E3861" s="64">
        <v>1.329</v>
      </c>
    </row>
    <row r="3862" ht="22.5" customHeight="1">
      <c r="A3862" s="66">
        <v>10.79889</v>
      </c>
      <c r="B3862" s="67">
        <v>106.6803</v>
      </c>
      <c r="C3862" s="67">
        <v>10.77509</v>
      </c>
      <c r="D3862" s="67">
        <v>106.6727</v>
      </c>
      <c r="E3862" s="68">
        <v>4.313</v>
      </c>
    </row>
    <row r="3863" ht="22.5" customHeight="1">
      <c r="A3863" s="61">
        <v>10.79889</v>
      </c>
      <c r="B3863" s="63">
        <v>106.6803</v>
      </c>
      <c r="C3863" s="63">
        <v>10.78438</v>
      </c>
      <c r="D3863" s="63">
        <v>106.6829</v>
      </c>
      <c r="E3863" s="64">
        <v>2.171</v>
      </c>
    </row>
    <row r="3864" ht="22.5" customHeight="1">
      <c r="A3864" s="66">
        <v>10.79889</v>
      </c>
      <c r="B3864" s="67">
        <v>106.6803</v>
      </c>
      <c r="C3864" s="67">
        <v>10.79061</v>
      </c>
      <c r="D3864" s="67">
        <v>106.6883</v>
      </c>
      <c r="E3864" s="68">
        <v>1.303</v>
      </c>
    </row>
    <row r="3865" ht="22.5" customHeight="1">
      <c r="A3865" s="61">
        <v>10.79889</v>
      </c>
      <c r="B3865" s="63">
        <v>106.6803</v>
      </c>
      <c r="C3865" s="63">
        <v>10.79126</v>
      </c>
      <c r="D3865" s="63">
        <v>106.6782</v>
      </c>
      <c r="E3865" s="64">
        <v>1.143</v>
      </c>
    </row>
    <row r="3866" ht="22.5" customHeight="1">
      <c r="A3866" s="66">
        <v>10.79889</v>
      </c>
      <c r="B3866" s="67">
        <v>106.6803</v>
      </c>
      <c r="C3866" s="67">
        <v>10.79295</v>
      </c>
      <c r="D3866" s="67">
        <v>106.6858</v>
      </c>
      <c r="E3866" s="68">
        <v>2.139</v>
      </c>
    </row>
    <row r="3867" ht="22.5" customHeight="1">
      <c r="A3867" s="61">
        <v>10.79889</v>
      </c>
      <c r="B3867" s="63">
        <v>106.6803</v>
      </c>
      <c r="C3867" s="63">
        <v>10.7965</v>
      </c>
      <c r="D3867" s="63">
        <v>106.6881</v>
      </c>
      <c r="E3867" s="64">
        <v>1.368</v>
      </c>
    </row>
    <row r="3868" ht="22.5" customHeight="1">
      <c r="A3868" s="66">
        <v>10.79889</v>
      </c>
      <c r="B3868" s="67">
        <v>106.6803</v>
      </c>
      <c r="C3868" s="67">
        <v>10.79658</v>
      </c>
      <c r="D3868" s="67">
        <v>106.6776</v>
      </c>
      <c r="E3868" s="68">
        <v>0.638</v>
      </c>
    </row>
    <row r="3869" ht="22.5" customHeight="1">
      <c r="A3869" s="61">
        <v>10.79889</v>
      </c>
      <c r="B3869" s="63">
        <v>106.6803</v>
      </c>
      <c r="C3869" s="63">
        <v>10.79865</v>
      </c>
      <c r="D3869" s="63">
        <v>106.682</v>
      </c>
      <c r="E3869" s="64">
        <v>0.298</v>
      </c>
    </row>
    <row r="3870" ht="22.5" customHeight="1">
      <c r="A3870" s="66">
        <v>10.79889</v>
      </c>
      <c r="B3870" s="67">
        <v>106.6803</v>
      </c>
      <c r="C3870" s="67">
        <v>10.79975</v>
      </c>
      <c r="D3870" s="67">
        <v>106.6696</v>
      </c>
      <c r="E3870" s="68">
        <v>1.223</v>
      </c>
    </row>
    <row r="3871" ht="22.5" customHeight="1">
      <c r="A3871" s="61">
        <v>10.79889</v>
      </c>
      <c r="B3871" s="63">
        <v>106.6803</v>
      </c>
      <c r="C3871" s="63">
        <v>10.80458</v>
      </c>
      <c r="D3871" s="63">
        <v>106.6759</v>
      </c>
      <c r="E3871" s="64">
        <v>1.263</v>
      </c>
    </row>
    <row r="3872" ht="22.5" customHeight="1">
      <c r="A3872" s="66">
        <v>10.79975</v>
      </c>
      <c r="B3872" s="67">
        <v>106.6696</v>
      </c>
      <c r="C3872" s="67">
        <v>10.78438</v>
      </c>
      <c r="D3872" s="67">
        <v>106.6829</v>
      </c>
      <c r="E3872" s="68">
        <v>2.671</v>
      </c>
    </row>
    <row r="3873" ht="22.5" customHeight="1">
      <c r="A3873" s="61">
        <v>10.79975</v>
      </c>
      <c r="B3873" s="63">
        <v>106.6696</v>
      </c>
      <c r="C3873" s="63">
        <v>10.78681</v>
      </c>
      <c r="D3873" s="63">
        <v>106.6794</v>
      </c>
      <c r="E3873" s="64">
        <v>2.373</v>
      </c>
    </row>
    <row r="3874" ht="22.5" customHeight="1">
      <c r="A3874" s="66">
        <v>10.79975</v>
      </c>
      <c r="B3874" s="67">
        <v>106.6696</v>
      </c>
      <c r="C3874" s="67">
        <v>10.78769</v>
      </c>
      <c r="D3874" s="67">
        <v>106.6634</v>
      </c>
      <c r="E3874" s="68">
        <v>3.008</v>
      </c>
    </row>
    <row r="3875" ht="22.5" customHeight="1">
      <c r="A3875" s="61">
        <v>10.79975</v>
      </c>
      <c r="B3875" s="63">
        <v>106.6696</v>
      </c>
      <c r="C3875" s="63">
        <v>10.78954</v>
      </c>
      <c r="D3875" s="63">
        <v>106.6431</v>
      </c>
      <c r="E3875" s="64">
        <v>4.234</v>
      </c>
    </row>
    <row r="3876" ht="22.5" customHeight="1">
      <c r="A3876" s="66">
        <v>10.79975</v>
      </c>
      <c r="B3876" s="67">
        <v>106.6696</v>
      </c>
      <c r="C3876" s="67">
        <v>10.79061</v>
      </c>
      <c r="D3876" s="67">
        <v>106.6883</v>
      </c>
      <c r="E3876" s="68">
        <v>0.209</v>
      </c>
    </row>
    <row r="3877" ht="22.5" customHeight="1">
      <c r="A3877" s="61">
        <v>10.79975</v>
      </c>
      <c r="B3877" s="63">
        <v>106.6696</v>
      </c>
      <c r="C3877" s="63">
        <v>10.79126</v>
      </c>
      <c r="D3877" s="63">
        <v>106.6782</v>
      </c>
      <c r="E3877" s="64">
        <v>1.6</v>
      </c>
    </row>
    <row r="3878" ht="22.5" customHeight="1">
      <c r="A3878" s="66">
        <v>10.79975</v>
      </c>
      <c r="B3878" s="67">
        <v>106.6696</v>
      </c>
      <c r="C3878" s="67">
        <v>10.7922</v>
      </c>
      <c r="D3878" s="67">
        <v>106.6726</v>
      </c>
      <c r="E3878" s="68">
        <v>1.5</v>
      </c>
    </row>
    <row r="3879" ht="22.5" customHeight="1">
      <c r="A3879" s="61">
        <v>10.79975</v>
      </c>
      <c r="B3879" s="63">
        <v>106.6696</v>
      </c>
      <c r="C3879" s="63">
        <v>10.79223</v>
      </c>
      <c r="D3879" s="63">
        <v>106.6708</v>
      </c>
      <c r="E3879" s="64">
        <v>1.7</v>
      </c>
    </row>
    <row r="3880" ht="22.5" customHeight="1">
      <c r="A3880" s="66">
        <v>10.79975</v>
      </c>
      <c r="B3880" s="67">
        <v>106.6696</v>
      </c>
      <c r="C3880" s="67">
        <v>10.79407</v>
      </c>
      <c r="D3880" s="67">
        <v>106.6839</v>
      </c>
      <c r="E3880" s="68">
        <v>1.972</v>
      </c>
    </row>
    <row r="3881" ht="22.5" customHeight="1">
      <c r="A3881" s="61">
        <v>10.79975</v>
      </c>
      <c r="B3881" s="63">
        <v>106.6696</v>
      </c>
      <c r="C3881" s="63">
        <v>10.79424</v>
      </c>
      <c r="D3881" s="63">
        <v>106.6773</v>
      </c>
      <c r="E3881" s="64">
        <v>1.243</v>
      </c>
    </row>
    <row r="3882" ht="22.5" customHeight="1">
      <c r="A3882" s="66">
        <v>10.79975</v>
      </c>
      <c r="B3882" s="67">
        <v>106.6696</v>
      </c>
      <c r="C3882" s="67">
        <v>10.7965</v>
      </c>
      <c r="D3882" s="67">
        <v>106.6881</v>
      </c>
      <c r="E3882" s="68">
        <v>2.5</v>
      </c>
    </row>
    <row r="3883" ht="22.5" customHeight="1">
      <c r="A3883" s="61">
        <v>10.79975</v>
      </c>
      <c r="B3883" s="63">
        <v>106.6696</v>
      </c>
      <c r="C3883" s="63">
        <v>10.79658</v>
      </c>
      <c r="D3883" s="63">
        <v>106.6776</v>
      </c>
      <c r="E3883" s="64">
        <v>1.248</v>
      </c>
    </row>
    <row r="3884" ht="22.5" customHeight="1">
      <c r="A3884" s="66">
        <v>10.79975</v>
      </c>
      <c r="B3884" s="67">
        <v>106.6696</v>
      </c>
      <c r="C3884" s="67">
        <v>10.79771</v>
      </c>
      <c r="D3884" s="67">
        <v>106.6714</v>
      </c>
      <c r="E3884" s="68">
        <v>0.8</v>
      </c>
    </row>
    <row r="3885" ht="22.5" customHeight="1">
      <c r="A3885" s="61">
        <v>10.79975</v>
      </c>
      <c r="B3885" s="63">
        <v>106.6696</v>
      </c>
      <c r="C3885" s="63">
        <v>10.79841</v>
      </c>
      <c r="D3885" s="63">
        <v>106.6587</v>
      </c>
      <c r="E3885" s="64">
        <v>1.869</v>
      </c>
    </row>
    <row r="3886" ht="22.5" customHeight="1">
      <c r="A3886" s="66">
        <v>10.79975</v>
      </c>
      <c r="B3886" s="67">
        <v>106.6696</v>
      </c>
      <c r="C3886" s="67">
        <v>10.79889</v>
      </c>
      <c r="D3886" s="67">
        <v>106.6803</v>
      </c>
      <c r="E3886" s="68">
        <v>1.2</v>
      </c>
    </row>
    <row r="3887" ht="22.5" customHeight="1">
      <c r="A3887" s="61">
        <v>10.79975</v>
      </c>
      <c r="B3887" s="63">
        <v>106.6696</v>
      </c>
      <c r="C3887" s="63">
        <v>10.79975</v>
      </c>
      <c r="D3887" s="63">
        <v>106.6696</v>
      </c>
      <c r="E3887" s="64">
        <v>0.0</v>
      </c>
    </row>
    <row r="3888" ht="22.5" customHeight="1">
      <c r="A3888" s="66">
        <v>10.79975</v>
      </c>
      <c r="B3888" s="67">
        <v>106.6696</v>
      </c>
      <c r="C3888" s="67">
        <v>10.8021</v>
      </c>
      <c r="D3888" s="67">
        <v>106.6836</v>
      </c>
      <c r="E3888" s="68">
        <v>1.657</v>
      </c>
    </row>
    <row r="3889" ht="22.5" customHeight="1">
      <c r="A3889" s="61">
        <v>10.79975</v>
      </c>
      <c r="B3889" s="63">
        <v>106.6696</v>
      </c>
      <c r="C3889" s="63">
        <v>10.80325</v>
      </c>
      <c r="D3889" s="63">
        <v>106.6842</v>
      </c>
      <c r="E3889" s="64">
        <v>1.9</v>
      </c>
    </row>
    <row r="3890" ht="22.5" customHeight="1">
      <c r="A3890" s="66">
        <v>10.79975</v>
      </c>
      <c r="B3890" s="67">
        <v>106.6696</v>
      </c>
      <c r="C3890" s="67">
        <v>10.80944</v>
      </c>
      <c r="D3890" s="67">
        <v>106.695</v>
      </c>
      <c r="E3890" s="68">
        <v>3.7</v>
      </c>
    </row>
    <row r="3891" ht="22.5" customHeight="1">
      <c r="A3891" s="61">
        <v>10.79975</v>
      </c>
      <c r="B3891" s="63">
        <v>106.6696</v>
      </c>
      <c r="C3891" s="63">
        <v>10.81322</v>
      </c>
      <c r="D3891" s="63">
        <v>106.6874</v>
      </c>
      <c r="E3891" s="64">
        <v>3.4</v>
      </c>
    </row>
    <row r="3892" ht="22.5" customHeight="1">
      <c r="A3892" s="66">
        <v>10.79975</v>
      </c>
      <c r="B3892" s="67">
        <v>106.6696</v>
      </c>
      <c r="C3892" s="67">
        <v>10.81724</v>
      </c>
      <c r="D3892" s="67">
        <v>106.689</v>
      </c>
      <c r="E3892" s="68">
        <v>3.7</v>
      </c>
    </row>
    <row r="3893" ht="22.5" customHeight="1">
      <c r="A3893" s="61">
        <v>10.79975</v>
      </c>
      <c r="B3893" s="63">
        <v>106.6696</v>
      </c>
      <c r="C3893" s="63">
        <v>10.81863</v>
      </c>
      <c r="D3893" s="63">
        <v>106.6787</v>
      </c>
      <c r="E3893" s="64">
        <v>6.4</v>
      </c>
    </row>
    <row r="3894" ht="22.5" customHeight="1">
      <c r="A3894" s="66">
        <v>10.79975</v>
      </c>
      <c r="B3894" s="67">
        <v>106.6696</v>
      </c>
      <c r="C3894" s="67">
        <v>10.82082</v>
      </c>
      <c r="D3894" s="67">
        <v>106.7046</v>
      </c>
      <c r="E3894" s="68">
        <v>5.7</v>
      </c>
    </row>
    <row r="3895" ht="22.5" customHeight="1">
      <c r="A3895" s="61">
        <v>10.79975</v>
      </c>
      <c r="B3895" s="63">
        <v>106.6696</v>
      </c>
      <c r="C3895" s="63">
        <v>10.82166</v>
      </c>
      <c r="D3895" s="63">
        <v>106.7034</v>
      </c>
      <c r="E3895" s="64">
        <v>5.4</v>
      </c>
    </row>
    <row r="3896" ht="22.5" customHeight="1">
      <c r="A3896" s="66">
        <v>10.79991</v>
      </c>
      <c r="B3896" s="67">
        <v>106.6207</v>
      </c>
      <c r="C3896" s="67">
        <v>10.77509</v>
      </c>
      <c r="D3896" s="67">
        <v>106.6727</v>
      </c>
      <c r="E3896" s="68">
        <v>8.807</v>
      </c>
    </row>
    <row r="3897" ht="22.5" customHeight="1">
      <c r="A3897" s="61">
        <v>10.79991</v>
      </c>
      <c r="B3897" s="63">
        <v>106.6207</v>
      </c>
      <c r="C3897" s="63">
        <v>10.79435</v>
      </c>
      <c r="D3897" s="63">
        <v>106.6382</v>
      </c>
      <c r="E3897" s="64">
        <v>2.824</v>
      </c>
    </row>
    <row r="3898" ht="22.5" customHeight="1">
      <c r="A3898" s="66">
        <v>10.79991</v>
      </c>
      <c r="B3898" s="67">
        <v>106.6207</v>
      </c>
      <c r="C3898" s="67">
        <v>10.7972</v>
      </c>
      <c r="D3898" s="67">
        <v>106.6307</v>
      </c>
      <c r="E3898" s="68">
        <v>2.002</v>
      </c>
    </row>
    <row r="3899" ht="22.5" customHeight="1">
      <c r="A3899" s="61">
        <v>10.79991</v>
      </c>
      <c r="B3899" s="63">
        <v>106.6207</v>
      </c>
      <c r="C3899" s="63">
        <v>10.81147</v>
      </c>
      <c r="D3899" s="63">
        <v>106.6107</v>
      </c>
      <c r="E3899" s="64">
        <v>2.082</v>
      </c>
    </row>
    <row r="3900" ht="22.5" customHeight="1">
      <c r="A3900" s="66">
        <v>10.80027</v>
      </c>
      <c r="B3900" s="67">
        <v>106.7109</v>
      </c>
      <c r="C3900" s="67">
        <v>10.77509</v>
      </c>
      <c r="D3900" s="67">
        <v>106.6727</v>
      </c>
      <c r="E3900" s="68">
        <v>6.1</v>
      </c>
    </row>
    <row r="3901" ht="22.5" customHeight="1">
      <c r="A3901" s="61">
        <v>10.80027</v>
      </c>
      <c r="B3901" s="63">
        <v>106.7109</v>
      </c>
      <c r="C3901" s="63">
        <v>10.78714</v>
      </c>
      <c r="D3901" s="63">
        <v>106.6965</v>
      </c>
      <c r="E3901" s="64">
        <v>2.7</v>
      </c>
    </row>
    <row r="3902" ht="22.5" customHeight="1">
      <c r="A3902" s="66">
        <v>10.80027</v>
      </c>
      <c r="B3902" s="67">
        <v>106.7109</v>
      </c>
      <c r="C3902" s="67">
        <v>10.79036</v>
      </c>
      <c r="D3902" s="67">
        <v>106.6973</v>
      </c>
      <c r="E3902" s="68">
        <v>2.7</v>
      </c>
    </row>
    <row r="3903" ht="22.5" customHeight="1">
      <c r="A3903" s="61">
        <v>10.80027</v>
      </c>
      <c r="B3903" s="63">
        <v>106.7109</v>
      </c>
      <c r="C3903" s="63">
        <v>10.79068</v>
      </c>
      <c r="D3903" s="63">
        <v>106.6917</v>
      </c>
      <c r="E3903" s="64">
        <v>3.2</v>
      </c>
    </row>
    <row r="3904" ht="22.5" customHeight="1">
      <c r="A3904" s="66">
        <v>10.80027</v>
      </c>
      <c r="B3904" s="67">
        <v>106.7109</v>
      </c>
      <c r="C3904" s="67">
        <v>10.79121</v>
      </c>
      <c r="D3904" s="67">
        <v>106.7227</v>
      </c>
      <c r="E3904" s="68">
        <v>2.3</v>
      </c>
    </row>
    <row r="3905" ht="22.5" customHeight="1">
      <c r="A3905" s="61">
        <v>10.80027</v>
      </c>
      <c r="B3905" s="63">
        <v>106.7109</v>
      </c>
      <c r="C3905" s="63">
        <v>10.79203</v>
      </c>
      <c r="D3905" s="63">
        <v>106.7304</v>
      </c>
      <c r="E3905" s="64">
        <v>3.8</v>
      </c>
    </row>
    <row r="3906" ht="22.5" customHeight="1">
      <c r="A3906" s="66">
        <v>10.80027</v>
      </c>
      <c r="B3906" s="67">
        <v>106.7109</v>
      </c>
      <c r="C3906" s="67">
        <v>10.79222</v>
      </c>
      <c r="D3906" s="67">
        <v>106.7229</v>
      </c>
      <c r="E3906" s="68">
        <v>2.2</v>
      </c>
    </row>
    <row r="3907" ht="22.5" customHeight="1">
      <c r="A3907" s="61">
        <v>10.80027</v>
      </c>
      <c r="B3907" s="63">
        <v>106.7109</v>
      </c>
      <c r="C3907" s="63">
        <v>10.7926</v>
      </c>
      <c r="D3907" s="63">
        <v>106.6961</v>
      </c>
      <c r="E3907" s="64">
        <v>2.7</v>
      </c>
    </row>
    <row r="3908" ht="22.5" customHeight="1">
      <c r="A3908" s="66">
        <v>10.80027</v>
      </c>
      <c r="B3908" s="67">
        <v>106.7109</v>
      </c>
      <c r="C3908" s="67">
        <v>10.79662</v>
      </c>
      <c r="D3908" s="67">
        <v>106.7372</v>
      </c>
      <c r="E3908" s="68">
        <v>3.6</v>
      </c>
    </row>
    <row r="3909" ht="22.5" customHeight="1">
      <c r="A3909" s="61">
        <v>10.80027</v>
      </c>
      <c r="B3909" s="63">
        <v>106.7109</v>
      </c>
      <c r="C3909" s="63">
        <v>10.79792</v>
      </c>
      <c r="D3909" s="63">
        <v>106.7177</v>
      </c>
      <c r="E3909" s="64">
        <v>1.2</v>
      </c>
    </row>
    <row r="3910" ht="22.5" customHeight="1">
      <c r="A3910" s="66">
        <v>10.80027</v>
      </c>
      <c r="B3910" s="67">
        <v>106.7109</v>
      </c>
      <c r="C3910" s="67">
        <v>10.80027</v>
      </c>
      <c r="D3910" s="67">
        <v>106.7109</v>
      </c>
      <c r="E3910" s="68">
        <v>0.0</v>
      </c>
    </row>
    <row r="3911" ht="22.5" customHeight="1">
      <c r="A3911" s="61">
        <v>10.80027</v>
      </c>
      <c r="B3911" s="63">
        <v>106.7109</v>
      </c>
      <c r="C3911" s="63">
        <v>10.80312</v>
      </c>
      <c r="D3911" s="63">
        <v>106.7097</v>
      </c>
      <c r="E3911" s="64">
        <v>0.7</v>
      </c>
    </row>
    <row r="3912" ht="22.5" customHeight="1">
      <c r="A3912" s="66">
        <v>10.80027</v>
      </c>
      <c r="B3912" s="67">
        <v>106.7109</v>
      </c>
      <c r="C3912" s="67">
        <v>10.80357</v>
      </c>
      <c r="D3912" s="67">
        <v>106.7181</v>
      </c>
      <c r="E3912" s="68">
        <v>1.5</v>
      </c>
    </row>
    <row r="3913" ht="22.5" customHeight="1">
      <c r="A3913" s="61">
        <v>10.80027</v>
      </c>
      <c r="B3913" s="63">
        <v>106.7109</v>
      </c>
      <c r="C3913" s="63">
        <v>10.80393</v>
      </c>
      <c r="D3913" s="63">
        <v>106.7092</v>
      </c>
      <c r="E3913" s="64">
        <v>0.9</v>
      </c>
    </row>
    <row r="3914" ht="22.5" customHeight="1">
      <c r="A3914" s="66">
        <v>10.80027</v>
      </c>
      <c r="B3914" s="67">
        <v>106.7109</v>
      </c>
      <c r="C3914" s="67">
        <v>10.80434</v>
      </c>
      <c r="D3914" s="67">
        <v>106.7445</v>
      </c>
      <c r="E3914" s="68">
        <v>4.9</v>
      </c>
    </row>
    <row r="3915" ht="22.5" customHeight="1">
      <c r="A3915" s="61">
        <v>10.80027</v>
      </c>
      <c r="B3915" s="63">
        <v>106.7109</v>
      </c>
      <c r="C3915" s="63">
        <v>10.81863</v>
      </c>
      <c r="D3915" s="63">
        <v>106.6787</v>
      </c>
      <c r="E3915" s="64">
        <v>7.2</v>
      </c>
    </row>
    <row r="3916" ht="22.5" customHeight="1">
      <c r="A3916" s="66">
        <v>10.80027</v>
      </c>
      <c r="B3916" s="67">
        <v>106.7109</v>
      </c>
      <c r="C3916" s="67">
        <v>10.84462</v>
      </c>
      <c r="D3916" s="67">
        <v>106.7812</v>
      </c>
      <c r="E3916" s="68">
        <v>11.5</v>
      </c>
    </row>
    <row r="3917" ht="22.5" customHeight="1">
      <c r="A3917" s="61">
        <v>10.80027</v>
      </c>
      <c r="B3917" s="63">
        <v>106.7109</v>
      </c>
      <c r="C3917" s="63">
        <v>10.85846</v>
      </c>
      <c r="D3917" s="63">
        <v>106.7487</v>
      </c>
      <c r="E3917" s="64">
        <v>9.223</v>
      </c>
    </row>
    <row r="3918" ht="22.5" customHeight="1">
      <c r="A3918" s="66">
        <v>10.80079</v>
      </c>
      <c r="B3918" s="67">
        <v>106.6572</v>
      </c>
      <c r="C3918" s="67">
        <v>10.75998</v>
      </c>
      <c r="D3918" s="67">
        <v>106.6609</v>
      </c>
      <c r="E3918" s="68">
        <v>5.75</v>
      </c>
    </row>
    <row r="3919" ht="22.5" customHeight="1">
      <c r="A3919" s="61">
        <v>10.80079</v>
      </c>
      <c r="B3919" s="63">
        <v>106.6572</v>
      </c>
      <c r="C3919" s="63">
        <v>10.77231</v>
      </c>
      <c r="D3919" s="63">
        <v>106.6319</v>
      </c>
      <c r="E3919" s="64">
        <v>5.571</v>
      </c>
    </row>
    <row r="3920" ht="22.5" customHeight="1">
      <c r="A3920" s="66">
        <v>10.80079</v>
      </c>
      <c r="B3920" s="67">
        <v>106.6572</v>
      </c>
      <c r="C3920" s="67">
        <v>10.77509</v>
      </c>
      <c r="D3920" s="67">
        <v>106.6727</v>
      </c>
      <c r="E3920" s="68">
        <v>4.606</v>
      </c>
    </row>
    <row r="3921" ht="22.5" customHeight="1">
      <c r="A3921" s="61">
        <v>10.80079</v>
      </c>
      <c r="B3921" s="63">
        <v>106.6572</v>
      </c>
      <c r="C3921" s="63">
        <v>10.78294</v>
      </c>
      <c r="D3921" s="63">
        <v>106.6506</v>
      </c>
      <c r="E3921" s="64">
        <v>2.576</v>
      </c>
    </row>
    <row r="3922" ht="22.5" customHeight="1">
      <c r="A3922" s="66">
        <v>10.80079</v>
      </c>
      <c r="B3922" s="67">
        <v>106.6572</v>
      </c>
      <c r="C3922" s="67">
        <v>10.79212</v>
      </c>
      <c r="D3922" s="67">
        <v>106.6427</v>
      </c>
      <c r="E3922" s="68">
        <v>2.542</v>
      </c>
    </row>
    <row r="3923" ht="22.5" customHeight="1">
      <c r="A3923" s="61">
        <v>10.80079</v>
      </c>
      <c r="B3923" s="63">
        <v>106.6572</v>
      </c>
      <c r="C3923" s="63">
        <v>10.79435</v>
      </c>
      <c r="D3923" s="63">
        <v>106.6382</v>
      </c>
      <c r="E3923" s="64">
        <v>3.448</v>
      </c>
    </row>
    <row r="3924" ht="22.5" customHeight="1">
      <c r="A3924" s="66">
        <v>10.80079</v>
      </c>
      <c r="B3924" s="67">
        <v>106.6572</v>
      </c>
      <c r="C3924" s="67">
        <v>10.7972</v>
      </c>
      <c r="D3924" s="67">
        <v>106.6307</v>
      </c>
      <c r="E3924" s="68">
        <v>4.221</v>
      </c>
    </row>
    <row r="3925" ht="22.5" customHeight="1">
      <c r="A3925" s="61">
        <v>10.80079</v>
      </c>
      <c r="B3925" s="63">
        <v>106.6572</v>
      </c>
      <c r="C3925" s="63">
        <v>10.80369</v>
      </c>
      <c r="D3925" s="63">
        <v>106.6323</v>
      </c>
      <c r="E3925" s="64">
        <v>4.178</v>
      </c>
    </row>
    <row r="3926" ht="22.5" customHeight="1">
      <c r="A3926" s="66">
        <v>10.80079</v>
      </c>
      <c r="B3926" s="67">
        <v>106.6572</v>
      </c>
      <c r="C3926" s="67">
        <v>10.81094</v>
      </c>
      <c r="D3926" s="67">
        <v>106.611</v>
      </c>
      <c r="E3926" s="68">
        <v>6.409</v>
      </c>
    </row>
    <row r="3927" ht="22.5" customHeight="1">
      <c r="A3927" s="61">
        <v>10.80079</v>
      </c>
      <c r="B3927" s="63">
        <v>106.6572</v>
      </c>
      <c r="C3927" s="63">
        <v>10.81494</v>
      </c>
      <c r="D3927" s="63">
        <v>106.5854</v>
      </c>
      <c r="E3927" s="64">
        <v>11.857</v>
      </c>
    </row>
    <row r="3928" ht="22.5" customHeight="1">
      <c r="A3928" s="66">
        <v>10.80086</v>
      </c>
      <c r="B3928" s="67">
        <v>106.7346</v>
      </c>
      <c r="C3928" s="67">
        <v>10.77509</v>
      </c>
      <c r="D3928" s="67">
        <v>106.6727</v>
      </c>
      <c r="E3928" s="68">
        <v>8.865</v>
      </c>
    </row>
    <row r="3929" ht="22.5" customHeight="1">
      <c r="A3929" s="61">
        <v>10.80086</v>
      </c>
      <c r="B3929" s="63">
        <v>106.7346</v>
      </c>
      <c r="C3929" s="63">
        <v>10.79203</v>
      </c>
      <c r="D3929" s="63">
        <v>106.7304</v>
      </c>
      <c r="E3929" s="64">
        <v>1.714</v>
      </c>
    </row>
    <row r="3930" ht="22.5" customHeight="1">
      <c r="A3930" s="66">
        <v>10.80104</v>
      </c>
      <c r="B3930" s="67">
        <v>106.6384</v>
      </c>
      <c r="C3930" s="67">
        <v>10.79435</v>
      </c>
      <c r="D3930" s="67">
        <v>106.6382</v>
      </c>
      <c r="E3930" s="68">
        <v>1.036</v>
      </c>
    </row>
    <row r="3931" ht="22.5" customHeight="1">
      <c r="A3931" s="61">
        <v>10.80119</v>
      </c>
      <c r="B3931" s="63">
        <v>106.6381</v>
      </c>
      <c r="C3931" s="63">
        <v>10.77509</v>
      </c>
      <c r="D3931" s="63">
        <v>106.6727</v>
      </c>
      <c r="E3931" s="64">
        <v>6.2</v>
      </c>
    </row>
    <row r="3932" ht="22.5" customHeight="1">
      <c r="A3932" s="66">
        <v>10.80119</v>
      </c>
      <c r="B3932" s="67">
        <v>106.6381</v>
      </c>
      <c r="C3932" s="67">
        <v>10.79193</v>
      </c>
      <c r="D3932" s="67">
        <v>106.6555</v>
      </c>
      <c r="E3932" s="68">
        <v>2.9</v>
      </c>
    </row>
    <row r="3933" ht="22.5" customHeight="1">
      <c r="A3933" s="61">
        <v>10.80119</v>
      </c>
      <c r="B3933" s="63">
        <v>106.6381</v>
      </c>
      <c r="C3933" s="63">
        <v>10.79212</v>
      </c>
      <c r="D3933" s="63">
        <v>106.6427</v>
      </c>
      <c r="E3933" s="64">
        <v>1.6</v>
      </c>
    </row>
    <row r="3934" ht="22.5" customHeight="1">
      <c r="A3934" s="66">
        <v>10.80119</v>
      </c>
      <c r="B3934" s="67">
        <v>106.6381</v>
      </c>
      <c r="C3934" s="67">
        <v>10.79435</v>
      </c>
      <c r="D3934" s="67">
        <v>106.6382</v>
      </c>
      <c r="E3934" s="68">
        <v>1.9</v>
      </c>
    </row>
    <row r="3935" ht="22.5" customHeight="1">
      <c r="A3935" s="61">
        <v>10.80119</v>
      </c>
      <c r="B3935" s="63">
        <v>106.6381</v>
      </c>
      <c r="C3935" s="63">
        <v>10.7972</v>
      </c>
      <c r="D3935" s="63">
        <v>106.6307</v>
      </c>
      <c r="E3935" s="64">
        <v>2.401</v>
      </c>
    </row>
    <row r="3936" ht="22.5" customHeight="1">
      <c r="A3936" s="66">
        <v>10.80119</v>
      </c>
      <c r="B3936" s="67">
        <v>106.6381</v>
      </c>
      <c r="C3936" s="67">
        <v>10.81147</v>
      </c>
      <c r="D3936" s="67">
        <v>106.6107</v>
      </c>
      <c r="E3936" s="68">
        <v>6.691</v>
      </c>
    </row>
    <row r="3937" ht="22.5" customHeight="1">
      <c r="A3937" s="61">
        <v>10.80128</v>
      </c>
      <c r="B3937" s="63">
        <v>106.7329</v>
      </c>
      <c r="C3937" s="63">
        <v>10.78624</v>
      </c>
      <c r="D3937" s="63">
        <v>106.7313</v>
      </c>
      <c r="E3937" s="64">
        <v>3.142</v>
      </c>
    </row>
    <row r="3938" ht="22.5" customHeight="1">
      <c r="A3938" s="66">
        <v>10.80128</v>
      </c>
      <c r="B3938" s="67">
        <v>106.7329</v>
      </c>
      <c r="C3938" s="67">
        <v>10.78759</v>
      </c>
      <c r="D3938" s="67">
        <v>106.7337</v>
      </c>
      <c r="E3938" s="68">
        <v>3.175</v>
      </c>
    </row>
    <row r="3939" ht="22.5" customHeight="1">
      <c r="A3939" s="61">
        <v>10.80128</v>
      </c>
      <c r="B3939" s="63">
        <v>106.7329</v>
      </c>
      <c r="C3939" s="63">
        <v>10.78802</v>
      </c>
      <c r="D3939" s="63">
        <v>106.7609</v>
      </c>
      <c r="E3939" s="64">
        <v>8.099</v>
      </c>
    </row>
    <row r="3940" ht="22.5" customHeight="1">
      <c r="A3940" s="66">
        <v>10.80128</v>
      </c>
      <c r="B3940" s="67">
        <v>106.7329</v>
      </c>
      <c r="C3940" s="67">
        <v>10.7907</v>
      </c>
      <c r="D3940" s="67">
        <v>106.7481</v>
      </c>
      <c r="E3940" s="68">
        <v>3.931</v>
      </c>
    </row>
    <row r="3941" ht="22.5" customHeight="1">
      <c r="A3941" s="61">
        <v>10.80128</v>
      </c>
      <c r="B3941" s="63">
        <v>106.7329</v>
      </c>
      <c r="C3941" s="63">
        <v>10.79203</v>
      </c>
      <c r="D3941" s="63">
        <v>106.7304</v>
      </c>
      <c r="E3941" s="64">
        <v>1.547</v>
      </c>
    </row>
    <row r="3942" ht="22.5" customHeight="1">
      <c r="A3942" s="66">
        <v>10.80128</v>
      </c>
      <c r="B3942" s="67">
        <v>106.7329</v>
      </c>
      <c r="C3942" s="67">
        <v>10.7938</v>
      </c>
      <c r="D3942" s="67">
        <v>106.7467</v>
      </c>
      <c r="E3942" s="68">
        <v>3.689</v>
      </c>
    </row>
    <row r="3943" ht="22.5" customHeight="1">
      <c r="A3943" s="61">
        <v>10.80128</v>
      </c>
      <c r="B3943" s="63">
        <v>106.7329</v>
      </c>
      <c r="C3943" s="63">
        <v>10.80576</v>
      </c>
      <c r="D3943" s="63">
        <v>106.7346</v>
      </c>
      <c r="E3943" s="64">
        <v>0.838</v>
      </c>
    </row>
    <row r="3944" ht="22.5" customHeight="1">
      <c r="A3944" s="66">
        <v>10.80128</v>
      </c>
      <c r="B3944" s="67">
        <v>106.7329</v>
      </c>
      <c r="C3944" s="67">
        <v>10.80758</v>
      </c>
      <c r="D3944" s="67">
        <v>106.7337</v>
      </c>
      <c r="E3944" s="68">
        <v>1.0</v>
      </c>
    </row>
    <row r="3945" ht="22.5" customHeight="1">
      <c r="A3945" s="61">
        <v>10.80128</v>
      </c>
      <c r="B3945" s="63">
        <v>106.7329</v>
      </c>
      <c r="C3945" s="63">
        <v>10.80821</v>
      </c>
      <c r="D3945" s="63">
        <v>106.7251</v>
      </c>
      <c r="E3945" s="64">
        <v>1.399</v>
      </c>
    </row>
    <row r="3946" ht="22.5" customHeight="1">
      <c r="A3946" s="66">
        <v>10.80141</v>
      </c>
      <c r="B3946" s="67">
        <v>106.6495</v>
      </c>
      <c r="C3946" s="67">
        <v>10.78264</v>
      </c>
      <c r="D3946" s="67">
        <v>106.6267</v>
      </c>
      <c r="E3946" s="68">
        <v>4.224</v>
      </c>
    </row>
    <row r="3947" ht="22.5" customHeight="1">
      <c r="A3947" s="61">
        <v>10.80141</v>
      </c>
      <c r="B3947" s="63">
        <v>106.6495</v>
      </c>
      <c r="C3947" s="63">
        <v>10.79193</v>
      </c>
      <c r="D3947" s="63">
        <v>106.6555</v>
      </c>
      <c r="E3947" s="64">
        <v>1.774</v>
      </c>
    </row>
    <row r="3948" ht="22.5" customHeight="1">
      <c r="A3948" s="66">
        <v>10.80141</v>
      </c>
      <c r="B3948" s="67">
        <v>106.6495</v>
      </c>
      <c r="C3948" s="67">
        <v>10.79212</v>
      </c>
      <c r="D3948" s="67">
        <v>106.6427</v>
      </c>
      <c r="E3948" s="68">
        <v>1.664</v>
      </c>
    </row>
    <row r="3949" ht="22.5" customHeight="1">
      <c r="A3949" s="61">
        <v>10.80141</v>
      </c>
      <c r="B3949" s="63">
        <v>106.6495</v>
      </c>
      <c r="C3949" s="63">
        <v>10.79435</v>
      </c>
      <c r="D3949" s="63">
        <v>106.6382</v>
      </c>
      <c r="E3949" s="64">
        <v>2.569</v>
      </c>
    </row>
    <row r="3950" ht="22.5" customHeight="1">
      <c r="A3950" s="66">
        <v>10.80141</v>
      </c>
      <c r="B3950" s="67">
        <v>106.6495</v>
      </c>
      <c r="C3950" s="67">
        <v>10.7972</v>
      </c>
      <c r="D3950" s="67">
        <v>106.6307</v>
      </c>
      <c r="E3950" s="68">
        <v>3.289</v>
      </c>
    </row>
    <row r="3951" ht="22.5" customHeight="1">
      <c r="A3951" s="61">
        <v>10.80141</v>
      </c>
      <c r="B3951" s="63">
        <v>106.6495</v>
      </c>
      <c r="C3951" s="63">
        <v>10.79841</v>
      </c>
      <c r="D3951" s="63">
        <v>106.6587</v>
      </c>
      <c r="E3951" s="64">
        <v>1.62</v>
      </c>
    </row>
    <row r="3952" ht="22.5" customHeight="1">
      <c r="A3952" s="66">
        <v>10.80141</v>
      </c>
      <c r="B3952" s="67">
        <v>106.6495</v>
      </c>
      <c r="C3952" s="67">
        <v>10.81094</v>
      </c>
      <c r="D3952" s="67">
        <v>106.611</v>
      </c>
      <c r="E3952" s="68">
        <v>6.844</v>
      </c>
    </row>
    <row r="3953" ht="22.5" customHeight="1">
      <c r="A3953" s="61">
        <v>10.80173</v>
      </c>
      <c r="B3953" s="63">
        <v>106.6761</v>
      </c>
      <c r="C3953" s="63">
        <v>10.79255</v>
      </c>
      <c r="D3953" s="63">
        <v>106.6625</v>
      </c>
      <c r="E3953" s="64">
        <v>2.286</v>
      </c>
    </row>
    <row r="3954" ht="22.5" customHeight="1">
      <c r="A3954" s="66">
        <v>10.80173</v>
      </c>
      <c r="B3954" s="67">
        <v>106.6761</v>
      </c>
      <c r="C3954" s="67">
        <v>10.80325</v>
      </c>
      <c r="D3954" s="67">
        <v>106.6842</v>
      </c>
      <c r="E3954" s="68">
        <v>1.493</v>
      </c>
    </row>
    <row r="3955" ht="22.5" customHeight="1">
      <c r="A3955" s="61">
        <v>10.80202</v>
      </c>
      <c r="B3955" s="63">
        <v>106.7156</v>
      </c>
      <c r="C3955" s="63">
        <v>10.77509</v>
      </c>
      <c r="D3955" s="63">
        <v>106.6727</v>
      </c>
      <c r="E3955" s="64">
        <v>6.245</v>
      </c>
    </row>
    <row r="3956" ht="22.5" customHeight="1">
      <c r="A3956" s="66">
        <v>10.80202</v>
      </c>
      <c r="B3956" s="67">
        <v>106.7156</v>
      </c>
      <c r="C3956" s="67">
        <v>10.80027</v>
      </c>
      <c r="D3956" s="67">
        <v>106.7109</v>
      </c>
      <c r="E3956" s="68">
        <v>0.718</v>
      </c>
    </row>
    <row r="3957" ht="22.5" customHeight="1">
      <c r="A3957" s="61">
        <v>10.8021</v>
      </c>
      <c r="B3957" s="63">
        <v>106.6836</v>
      </c>
      <c r="C3957" s="63">
        <v>10.77509</v>
      </c>
      <c r="D3957" s="63">
        <v>106.6727</v>
      </c>
      <c r="E3957" s="64">
        <v>6.2</v>
      </c>
    </row>
    <row r="3958" ht="22.5" customHeight="1">
      <c r="A3958" s="66">
        <v>10.8021</v>
      </c>
      <c r="B3958" s="67">
        <v>106.6836</v>
      </c>
      <c r="C3958" s="67">
        <v>10.79061</v>
      </c>
      <c r="D3958" s="67">
        <v>106.6883</v>
      </c>
      <c r="E3958" s="68">
        <v>3.618</v>
      </c>
    </row>
    <row r="3959" ht="22.5" customHeight="1">
      <c r="A3959" s="61">
        <v>10.8021</v>
      </c>
      <c r="B3959" s="63">
        <v>106.6836</v>
      </c>
      <c r="C3959" s="63">
        <v>10.79126</v>
      </c>
      <c r="D3959" s="63">
        <v>106.6782</v>
      </c>
      <c r="E3959" s="64">
        <v>1.886</v>
      </c>
    </row>
    <row r="3960" ht="22.5" customHeight="1">
      <c r="A3960" s="66">
        <v>10.8021</v>
      </c>
      <c r="B3960" s="67">
        <v>106.6836</v>
      </c>
      <c r="C3960" s="67">
        <v>10.7922</v>
      </c>
      <c r="D3960" s="67">
        <v>106.6726</v>
      </c>
      <c r="E3960" s="68">
        <v>0.111</v>
      </c>
    </row>
    <row r="3961" ht="22.5" customHeight="1">
      <c r="A3961" s="61">
        <v>10.8021</v>
      </c>
      <c r="B3961" s="63">
        <v>106.6836</v>
      </c>
      <c r="C3961" s="63">
        <v>10.79771</v>
      </c>
      <c r="D3961" s="63">
        <v>106.6714</v>
      </c>
      <c r="E3961" s="64">
        <v>2.164</v>
      </c>
    </row>
    <row r="3962" ht="22.5" customHeight="1">
      <c r="A3962" s="66">
        <v>10.8021</v>
      </c>
      <c r="B3962" s="67">
        <v>106.6836</v>
      </c>
      <c r="C3962" s="67">
        <v>10.79975</v>
      </c>
      <c r="D3962" s="67">
        <v>106.6696</v>
      </c>
      <c r="E3962" s="68">
        <v>2.0</v>
      </c>
    </row>
    <row r="3963" ht="22.5" customHeight="1">
      <c r="A3963" s="61">
        <v>10.8021</v>
      </c>
      <c r="B3963" s="63">
        <v>106.6836</v>
      </c>
      <c r="C3963" s="63">
        <v>10.8021</v>
      </c>
      <c r="D3963" s="63">
        <v>106.6836</v>
      </c>
      <c r="E3963" s="64">
        <v>0.009</v>
      </c>
    </row>
    <row r="3964" ht="22.5" customHeight="1">
      <c r="A3964" s="66">
        <v>10.8021</v>
      </c>
      <c r="B3964" s="67">
        <v>106.6836</v>
      </c>
      <c r="C3964" s="67">
        <v>10.80325</v>
      </c>
      <c r="D3964" s="67">
        <v>106.6842</v>
      </c>
      <c r="E3964" s="68">
        <v>0.106</v>
      </c>
    </row>
    <row r="3965" ht="22.5" customHeight="1">
      <c r="A3965" s="61">
        <v>10.8021</v>
      </c>
      <c r="B3965" s="63">
        <v>106.6836</v>
      </c>
      <c r="C3965" s="63">
        <v>10.80944</v>
      </c>
      <c r="D3965" s="63">
        <v>106.695</v>
      </c>
      <c r="E3965" s="64">
        <v>2.582</v>
      </c>
    </row>
    <row r="3966" ht="22.5" customHeight="1">
      <c r="A3966" s="66">
        <v>10.8021</v>
      </c>
      <c r="B3966" s="67">
        <v>106.6836</v>
      </c>
      <c r="C3966" s="67">
        <v>10.81724</v>
      </c>
      <c r="D3966" s="67">
        <v>106.689</v>
      </c>
      <c r="E3966" s="68">
        <v>3.059</v>
      </c>
    </row>
    <row r="3967" ht="22.5" customHeight="1">
      <c r="A3967" s="61">
        <v>10.8021</v>
      </c>
      <c r="B3967" s="63">
        <v>106.6836</v>
      </c>
      <c r="C3967" s="63">
        <v>10.82082</v>
      </c>
      <c r="D3967" s="63">
        <v>106.7046</v>
      </c>
      <c r="E3967" s="64">
        <v>3.986</v>
      </c>
    </row>
    <row r="3968" ht="22.5" customHeight="1">
      <c r="A3968" s="66">
        <v>10.80249</v>
      </c>
      <c r="B3968" s="67">
        <v>106.666</v>
      </c>
      <c r="C3968" s="67">
        <v>10.79975</v>
      </c>
      <c r="D3968" s="67">
        <v>106.6696</v>
      </c>
      <c r="E3968" s="68">
        <v>1.462</v>
      </c>
    </row>
    <row r="3969" ht="22.5" customHeight="1">
      <c r="A3969" s="61">
        <v>10.8026</v>
      </c>
      <c r="B3969" s="63">
        <v>106.6384</v>
      </c>
      <c r="C3969" s="63">
        <v>10.79193</v>
      </c>
      <c r="D3969" s="63">
        <v>106.6555</v>
      </c>
      <c r="E3969" s="64">
        <v>2.268</v>
      </c>
    </row>
    <row r="3970" ht="22.5" customHeight="1">
      <c r="A3970" s="66">
        <v>10.8026</v>
      </c>
      <c r="B3970" s="67">
        <v>106.6384</v>
      </c>
      <c r="C3970" s="67">
        <v>10.79435</v>
      </c>
      <c r="D3970" s="67">
        <v>106.6382</v>
      </c>
      <c r="E3970" s="68">
        <v>1.712</v>
      </c>
    </row>
    <row r="3971" ht="22.5" customHeight="1">
      <c r="A3971" s="61">
        <v>10.8026</v>
      </c>
      <c r="B3971" s="63">
        <v>106.6384</v>
      </c>
      <c r="C3971" s="63">
        <v>10.79841</v>
      </c>
      <c r="D3971" s="63">
        <v>106.6587</v>
      </c>
      <c r="E3971" s="64">
        <v>2.55</v>
      </c>
    </row>
    <row r="3972" ht="22.5" customHeight="1">
      <c r="A3972" s="66">
        <v>10.8026</v>
      </c>
      <c r="B3972" s="67">
        <v>106.6384</v>
      </c>
      <c r="C3972" s="67">
        <v>10.80141</v>
      </c>
      <c r="D3972" s="67">
        <v>106.6495</v>
      </c>
      <c r="E3972" s="68">
        <v>1.443</v>
      </c>
    </row>
    <row r="3973" ht="22.5" customHeight="1">
      <c r="A3973" s="61">
        <v>10.80271</v>
      </c>
      <c r="B3973" s="63">
        <v>106.7355</v>
      </c>
      <c r="C3973" s="63">
        <v>10.77014</v>
      </c>
      <c r="D3973" s="63">
        <v>106.7009</v>
      </c>
      <c r="E3973" s="64">
        <v>7.743</v>
      </c>
    </row>
    <row r="3974" ht="22.5" customHeight="1">
      <c r="A3974" s="66">
        <v>10.80271</v>
      </c>
      <c r="B3974" s="67">
        <v>106.7355</v>
      </c>
      <c r="C3974" s="67">
        <v>10.77509</v>
      </c>
      <c r="D3974" s="67">
        <v>106.6727</v>
      </c>
      <c r="E3974" s="68">
        <v>9.154</v>
      </c>
    </row>
    <row r="3975" ht="22.5" customHeight="1">
      <c r="A3975" s="61">
        <v>10.80271</v>
      </c>
      <c r="B3975" s="63">
        <v>106.7355</v>
      </c>
      <c r="C3975" s="63">
        <v>10.78851</v>
      </c>
      <c r="D3975" s="63">
        <v>106.777</v>
      </c>
      <c r="E3975" s="64">
        <v>8.53</v>
      </c>
    </row>
    <row r="3976" ht="22.5" customHeight="1">
      <c r="A3976" s="66">
        <v>10.80271</v>
      </c>
      <c r="B3976" s="67">
        <v>106.7355</v>
      </c>
      <c r="C3976" s="67">
        <v>10.79036</v>
      </c>
      <c r="D3976" s="67">
        <v>106.6973</v>
      </c>
      <c r="E3976" s="68">
        <v>6.169</v>
      </c>
    </row>
    <row r="3977" ht="22.5" customHeight="1">
      <c r="A3977" s="61">
        <v>10.80271</v>
      </c>
      <c r="B3977" s="63">
        <v>106.7355</v>
      </c>
      <c r="C3977" s="63">
        <v>10.79203</v>
      </c>
      <c r="D3977" s="63">
        <v>106.7304</v>
      </c>
      <c r="E3977" s="64">
        <v>2.194</v>
      </c>
    </row>
    <row r="3978" ht="22.5" customHeight="1">
      <c r="A3978" s="66">
        <v>10.80271</v>
      </c>
      <c r="B3978" s="67">
        <v>106.7355</v>
      </c>
      <c r="C3978" s="67">
        <v>10.80312</v>
      </c>
      <c r="D3978" s="67">
        <v>106.7097</v>
      </c>
      <c r="E3978" s="68">
        <v>3.576</v>
      </c>
    </row>
    <row r="3979" ht="22.5" customHeight="1">
      <c r="A3979" s="61">
        <v>10.80271</v>
      </c>
      <c r="B3979" s="63">
        <v>106.7355</v>
      </c>
      <c r="C3979" s="63">
        <v>10.80434</v>
      </c>
      <c r="D3979" s="63">
        <v>106.7445</v>
      </c>
      <c r="E3979" s="64">
        <v>1.336</v>
      </c>
    </row>
    <row r="3980" ht="22.5" customHeight="1">
      <c r="A3980" s="66">
        <v>10.80271</v>
      </c>
      <c r="B3980" s="67">
        <v>106.7355</v>
      </c>
      <c r="C3980" s="67">
        <v>10.80543</v>
      </c>
      <c r="D3980" s="67">
        <v>106.7324</v>
      </c>
      <c r="E3980" s="68">
        <v>0.852</v>
      </c>
    </row>
    <row r="3981" ht="22.5" customHeight="1">
      <c r="A3981" s="61">
        <v>10.80271</v>
      </c>
      <c r="B3981" s="63">
        <v>106.7355</v>
      </c>
      <c r="C3981" s="63">
        <v>10.80576</v>
      </c>
      <c r="D3981" s="63">
        <v>106.7346</v>
      </c>
      <c r="E3981" s="64">
        <v>0.7</v>
      </c>
    </row>
    <row r="3982" ht="22.5" customHeight="1">
      <c r="A3982" s="66">
        <v>10.80277</v>
      </c>
      <c r="B3982" s="67">
        <v>106.732</v>
      </c>
      <c r="C3982" s="67">
        <v>10.79203</v>
      </c>
      <c r="D3982" s="67">
        <v>106.7304</v>
      </c>
      <c r="E3982" s="68">
        <v>1.759</v>
      </c>
    </row>
    <row r="3983" ht="22.5" customHeight="1">
      <c r="A3983" s="61">
        <v>10.80312</v>
      </c>
      <c r="B3983" s="63">
        <v>106.7097</v>
      </c>
      <c r="C3983" s="63">
        <v>10.77509</v>
      </c>
      <c r="D3983" s="63">
        <v>106.6727</v>
      </c>
      <c r="E3983" s="64">
        <v>5.749</v>
      </c>
    </row>
    <row r="3984" ht="22.5" customHeight="1">
      <c r="A3984" s="66">
        <v>10.80312</v>
      </c>
      <c r="B3984" s="67">
        <v>106.7097</v>
      </c>
      <c r="C3984" s="67">
        <v>10.78752</v>
      </c>
      <c r="D3984" s="67">
        <v>106.7334</v>
      </c>
      <c r="E3984" s="68">
        <v>5.405</v>
      </c>
    </row>
    <row r="3985" ht="22.5" customHeight="1">
      <c r="A3985" s="61">
        <v>10.80312</v>
      </c>
      <c r="B3985" s="63">
        <v>106.7097</v>
      </c>
      <c r="C3985" s="63">
        <v>10.78759</v>
      </c>
      <c r="D3985" s="63">
        <v>106.7337</v>
      </c>
      <c r="E3985" s="64">
        <v>5.37</v>
      </c>
    </row>
    <row r="3986" ht="22.5" customHeight="1">
      <c r="A3986" s="66">
        <v>10.80312</v>
      </c>
      <c r="B3986" s="67">
        <v>106.7097</v>
      </c>
      <c r="C3986" s="67">
        <v>10.78851</v>
      </c>
      <c r="D3986" s="67">
        <v>106.777</v>
      </c>
      <c r="E3986" s="68">
        <v>10.43</v>
      </c>
    </row>
    <row r="3987" ht="22.5" customHeight="1">
      <c r="A3987" s="61">
        <v>10.80312</v>
      </c>
      <c r="B3987" s="63">
        <v>106.7097</v>
      </c>
      <c r="C3987" s="63">
        <v>10.79036</v>
      </c>
      <c r="D3987" s="63">
        <v>106.6973</v>
      </c>
      <c r="E3987" s="64">
        <v>3.236</v>
      </c>
    </row>
    <row r="3988" ht="22.5" customHeight="1">
      <c r="A3988" s="66">
        <v>10.80312</v>
      </c>
      <c r="B3988" s="67">
        <v>106.7097</v>
      </c>
      <c r="C3988" s="67">
        <v>10.79121</v>
      </c>
      <c r="D3988" s="67">
        <v>106.7227</v>
      </c>
      <c r="E3988" s="68">
        <v>2.355</v>
      </c>
    </row>
    <row r="3989" ht="22.5" customHeight="1">
      <c r="A3989" s="61">
        <v>10.80312</v>
      </c>
      <c r="B3989" s="63">
        <v>106.7097</v>
      </c>
      <c r="C3989" s="63">
        <v>10.79203</v>
      </c>
      <c r="D3989" s="63">
        <v>106.7304</v>
      </c>
      <c r="E3989" s="64">
        <v>3.826</v>
      </c>
    </row>
    <row r="3990" ht="22.5" customHeight="1">
      <c r="A3990" s="66">
        <v>10.80312</v>
      </c>
      <c r="B3990" s="67">
        <v>106.7097</v>
      </c>
      <c r="C3990" s="67">
        <v>10.79222</v>
      </c>
      <c r="D3990" s="67">
        <v>106.7229</v>
      </c>
      <c r="E3990" s="68">
        <v>2.282</v>
      </c>
    </row>
    <row r="3991" ht="22.5" customHeight="1">
      <c r="A3991" s="61">
        <v>10.80312</v>
      </c>
      <c r="B3991" s="63">
        <v>106.7097</v>
      </c>
      <c r="C3991" s="63">
        <v>10.7926</v>
      </c>
      <c r="D3991" s="63">
        <v>106.6961</v>
      </c>
      <c r="E3991" s="64">
        <v>2.349</v>
      </c>
    </row>
    <row r="3992" ht="22.5" customHeight="1">
      <c r="A3992" s="66">
        <v>10.80312</v>
      </c>
      <c r="B3992" s="67">
        <v>106.7097</v>
      </c>
      <c r="C3992" s="67">
        <v>10.79446</v>
      </c>
      <c r="D3992" s="67">
        <v>106.731</v>
      </c>
      <c r="E3992" s="68">
        <v>3.882</v>
      </c>
    </row>
    <row r="3993" ht="22.5" customHeight="1">
      <c r="A3993" s="61">
        <v>10.80312</v>
      </c>
      <c r="B3993" s="63">
        <v>106.7097</v>
      </c>
      <c r="C3993" s="63">
        <v>10.79512</v>
      </c>
      <c r="D3993" s="63">
        <v>106.7026</v>
      </c>
      <c r="E3993" s="64">
        <v>2.285</v>
      </c>
    </row>
    <row r="3994" ht="22.5" customHeight="1">
      <c r="A3994" s="66">
        <v>10.80312</v>
      </c>
      <c r="B3994" s="67">
        <v>106.7097</v>
      </c>
      <c r="C3994" s="67">
        <v>10.79662</v>
      </c>
      <c r="D3994" s="67">
        <v>106.7372</v>
      </c>
      <c r="E3994" s="68">
        <v>3.68</v>
      </c>
    </row>
    <row r="3995" ht="22.5" customHeight="1">
      <c r="A3995" s="61">
        <v>10.80312</v>
      </c>
      <c r="B3995" s="63">
        <v>106.7097</v>
      </c>
      <c r="C3995" s="63">
        <v>10.79792</v>
      </c>
      <c r="D3995" s="63">
        <v>106.7177</v>
      </c>
      <c r="E3995" s="64">
        <v>1.421</v>
      </c>
    </row>
    <row r="3996" ht="22.5" customHeight="1">
      <c r="A3996" s="66">
        <v>10.80312</v>
      </c>
      <c r="B3996" s="67">
        <v>106.7097</v>
      </c>
      <c r="C3996" s="67">
        <v>10.80027</v>
      </c>
      <c r="D3996" s="67">
        <v>106.7109</v>
      </c>
      <c r="E3996" s="68">
        <v>0.591</v>
      </c>
    </row>
    <row r="3997" ht="22.5" customHeight="1">
      <c r="A3997" s="61">
        <v>10.80312</v>
      </c>
      <c r="B3997" s="63">
        <v>106.7097</v>
      </c>
      <c r="C3997" s="63">
        <v>10.80312</v>
      </c>
      <c r="D3997" s="63">
        <v>106.7097</v>
      </c>
      <c r="E3997" s="64">
        <v>0.121</v>
      </c>
    </row>
    <row r="3998" ht="22.5" customHeight="1">
      <c r="A3998" s="66">
        <v>10.80312</v>
      </c>
      <c r="B3998" s="67">
        <v>106.7097</v>
      </c>
      <c r="C3998" s="67">
        <v>10.80353</v>
      </c>
      <c r="D3998" s="67">
        <v>106.7039</v>
      </c>
      <c r="E3998" s="68">
        <v>1.183</v>
      </c>
    </row>
    <row r="3999" ht="22.5" customHeight="1">
      <c r="A3999" s="61">
        <v>10.80312</v>
      </c>
      <c r="B3999" s="63">
        <v>106.7097</v>
      </c>
      <c r="C3999" s="63">
        <v>10.80357</v>
      </c>
      <c r="D3999" s="63">
        <v>106.7181</v>
      </c>
      <c r="E3999" s="64">
        <v>1.721</v>
      </c>
    </row>
    <row r="4000" ht="22.5" customHeight="1">
      <c r="A4000" s="66">
        <v>10.80312</v>
      </c>
      <c r="B4000" s="67">
        <v>106.7097</v>
      </c>
      <c r="C4000" s="67">
        <v>10.80393</v>
      </c>
      <c r="D4000" s="67">
        <v>106.7092</v>
      </c>
      <c r="E4000" s="68">
        <v>0.198</v>
      </c>
    </row>
    <row r="4001" ht="22.5" customHeight="1">
      <c r="A4001" s="61">
        <v>10.80312</v>
      </c>
      <c r="B4001" s="63">
        <v>106.7097</v>
      </c>
      <c r="C4001" s="63">
        <v>10.80576</v>
      </c>
      <c r="D4001" s="63">
        <v>106.7346</v>
      </c>
      <c r="E4001" s="64">
        <v>4.915</v>
      </c>
    </row>
    <row r="4002" ht="22.5" customHeight="1">
      <c r="A4002" s="66">
        <v>10.80312</v>
      </c>
      <c r="B4002" s="67">
        <v>106.7097</v>
      </c>
      <c r="C4002" s="67">
        <v>10.82106</v>
      </c>
      <c r="D4002" s="67">
        <v>106.6945</v>
      </c>
      <c r="E4002" s="68">
        <v>5.101</v>
      </c>
    </row>
    <row r="4003" ht="22.5" customHeight="1">
      <c r="A4003" s="61">
        <v>10.80312</v>
      </c>
      <c r="B4003" s="63">
        <v>106.7097</v>
      </c>
      <c r="C4003" s="63">
        <v>10.82166</v>
      </c>
      <c r="D4003" s="63">
        <v>106.7034</v>
      </c>
      <c r="E4003" s="64">
        <v>4.217</v>
      </c>
    </row>
    <row r="4004" ht="22.5" customHeight="1">
      <c r="A4004" s="66">
        <v>10.80325</v>
      </c>
      <c r="B4004" s="67">
        <v>106.6842</v>
      </c>
      <c r="C4004" s="67">
        <v>10.77509</v>
      </c>
      <c r="D4004" s="67">
        <v>106.6727</v>
      </c>
      <c r="E4004" s="68">
        <v>4.722</v>
      </c>
    </row>
    <row r="4005" ht="22.5" customHeight="1">
      <c r="A4005" s="61">
        <v>10.80325</v>
      </c>
      <c r="B4005" s="63">
        <v>106.6842</v>
      </c>
      <c r="C4005" s="63">
        <v>10.78769</v>
      </c>
      <c r="D4005" s="63">
        <v>106.6634</v>
      </c>
      <c r="E4005" s="64">
        <v>4.245</v>
      </c>
    </row>
    <row r="4006" ht="22.5" customHeight="1">
      <c r="A4006" s="66">
        <v>10.80325</v>
      </c>
      <c r="B4006" s="67">
        <v>106.6842</v>
      </c>
      <c r="C4006" s="67">
        <v>10.79061</v>
      </c>
      <c r="D4006" s="67">
        <v>106.6883</v>
      </c>
      <c r="E4006" s="68">
        <v>3.494</v>
      </c>
    </row>
    <row r="4007" ht="22.5" customHeight="1">
      <c r="A4007" s="61">
        <v>10.80325</v>
      </c>
      <c r="B4007" s="63">
        <v>106.6842</v>
      </c>
      <c r="C4007" s="63">
        <v>10.79126</v>
      </c>
      <c r="D4007" s="63">
        <v>106.6782</v>
      </c>
      <c r="E4007" s="64">
        <v>1.838</v>
      </c>
    </row>
    <row r="4008" ht="22.5" customHeight="1">
      <c r="A4008" s="66">
        <v>10.80325</v>
      </c>
      <c r="B4008" s="67">
        <v>106.6842</v>
      </c>
      <c r="C4008" s="67">
        <v>10.7922</v>
      </c>
      <c r="D4008" s="67">
        <v>106.6726</v>
      </c>
      <c r="E4008" s="68">
        <v>2.432</v>
      </c>
    </row>
    <row r="4009" ht="22.5" customHeight="1">
      <c r="A4009" s="61">
        <v>10.80325</v>
      </c>
      <c r="B4009" s="63">
        <v>106.6842</v>
      </c>
      <c r="C4009" s="63">
        <v>10.79223</v>
      </c>
      <c r="D4009" s="63">
        <v>106.6708</v>
      </c>
      <c r="E4009" s="64">
        <v>2.505</v>
      </c>
    </row>
    <row r="4010" ht="22.5" customHeight="1">
      <c r="A4010" s="66">
        <v>10.80325</v>
      </c>
      <c r="B4010" s="67">
        <v>106.6842</v>
      </c>
      <c r="C4010" s="67">
        <v>10.79255</v>
      </c>
      <c r="D4010" s="67">
        <v>106.6625</v>
      </c>
      <c r="E4010" s="68">
        <v>3.295</v>
      </c>
    </row>
    <row r="4011" ht="22.5" customHeight="1">
      <c r="A4011" s="61">
        <v>10.80325</v>
      </c>
      <c r="B4011" s="63">
        <v>106.6842</v>
      </c>
      <c r="C4011" s="63">
        <v>10.7965</v>
      </c>
      <c r="D4011" s="63">
        <v>106.6881</v>
      </c>
      <c r="E4011" s="64">
        <v>0.126</v>
      </c>
    </row>
    <row r="4012" ht="22.5" customHeight="1">
      <c r="A4012" s="66">
        <v>10.80325</v>
      </c>
      <c r="B4012" s="67">
        <v>106.6842</v>
      </c>
      <c r="C4012" s="67">
        <v>10.79771</v>
      </c>
      <c r="D4012" s="67">
        <v>106.6714</v>
      </c>
      <c r="E4012" s="68">
        <v>1.903</v>
      </c>
    </row>
    <row r="4013" ht="22.5" customHeight="1">
      <c r="A4013" s="61">
        <v>10.80325</v>
      </c>
      <c r="B4013" s="63">
        <v>106.6842</v>
      </c>
      <c r="C4013" s="63">
        <v>10.79841</v>
      </c>
      <c r="D4013" s="63">
        <v>106.6587</v>
      </c>
      <c r="E4013" s="64">
        <v>3.635</v>
      </c>
    </row>
    <row r="4014" ht="22.5" customHeight="1">
      <c r="A4014" s="66">
        <v>10.80325</v>
      </c>
      <c r="B4014" s="67">
        <v>106.6842</v>
      </c>
      <c r="C4014" s="67">
        <v>10.79889</v>
      </c>
      <c r="D4014" s="67">
        <v>106.6803</v>
      </c>
      <c r="E4014" s="68">
        <v>1.734</v>
      </c>
    </row>
    <row r="4015" ht="22.5" customHeight="1">
      <c r="A4015" s="61">
        <v>10.80325</v>
      </c>
      <c r="B4015" s="63">
        <v>106.6842</v>
      </c>
      <c r="C4015" s="63">
        <v>10.79975</v>
      </c>
      <c r="D4015" s="63">
        <v>106.6696</v>
      </c>
      <c r="E4015" s="64">
        <v>1.917</v>
      </c>
    </row>
    <row r="4016" ht="22.5" customHeight="1">
      <c r="A4016" s="66">
        <v>10.80325</v>
      </c>
      <c r="B4016" s="67">
        <v>106.6842</v>
      </c>
      <c r="C4016" s="67">
        <v>10.80173</v>
      </c>
      <c r="D4016" s="67">
        <v>106.6761</v>
      </c>
      <c r="E4016" s="68">
        <v>1.667</v>
      </c>
    </row>
    <row r="4017" ht="22.5" customHeight="1">
      <c r="A4017" s="61">
        <v>10.80325</v>
      </c>
      <c r="B4017" s="63">
        <v>106.6842</v>
      </c>
      <c r="C4017" s="63">
        <v>10.8021</v>
      </c>
      <c r="D4017" s="63">
        <v>106.6836</v>
      </c>
      <c r="E4017" s="64">
        <v>0.091</v>
      </c>
    </row>
    <row r="4018" ht="22.5" customHeight="1">
      <c r="A4018" s="66">
        <v>10.80325</v>
      </c>
      <c r="B4018" s="67">
        <v>106.6842</v>
      </c>
      <c r="C4018" s="67">
        <v>10.80325</v>
      </c>
      <c r="D4018" s="67">
        <v>106.6842</v>
      </c>
      <c r="E4018" s="68">
        <v>0.001</v>
      </c>
    </row>
    <row r="4019" ht="22.5" customHeight="1">
      <c r="A4019" s="61">
        <v>10.80325</v>
      </c>
      <c r="B4019" s="63">
        <v>106.6842</v>
      </c>
      <c r="C4019" s="63">
        <v>10.80458</v>
      </c>
      <c r="D4019" s="63">
        <v>106.6759</v>
      </c>
      <c r="E4019" s="64">
        <v>1.423</v>
      </c>
    </row>
    <row r="4020" ht="22.5" customHeight="1">
      <c r="A4020" s="66">
        <v>10.80325</v>
      </c>
      <c r="B4020" s="67">
        <v>106.6842</v>
      </c>
      <c r="C4020" s="67">
        <v>10.80944</v>
      </c>
      <c r="D4020" s="67">
        <v>106.695</v>
      </c>
      <c r="E4020" s="68">
        <v>1.943</v>
      </c>
    </row>
    <row r="4021" ht="22.5" customHeight="1">
      <c r="A4021" s="61">
        <v>10.80325</v>
      </c>
      <c r="B4021" s="63">
        <v>106.6842</v>
      </c>
      <c r="C4021" s="63">
        <v>10.80992</v>
      </c>
      <c r="D4021" s="63">
        <v>106.6725</v>
      </c>
      <c r="E4021" s="64">
        <v>2.358</v>
      </c>
    </row>
    <row r="4022" ht="22.5" customHeight="1">
      <c r="A4022" s="66">
        <v>10.80325</v>
      </c>
      <c r="B4022" s="67">
        <v>106.6842</v>
      </c>
      <c r="C4022" s="67">
        <v>10.81365</v>
      </c>
      <c r="D4022" s="67">
        <v>106.7089</v>
      </c>
      <c r="E4022" s="68">
        <v>4.578</v>
      </c>
    </row>
    <row r="4023" ht="22.5" customHeight="1">
      <c r="A4023" s="61">
        <v>10.80325</v>
      </c>
      <c r="B4023" s="63">
        <v>106.6842</v>
      </c>
      <c r="C4023" s="63">
        <v>10.81521</v>
      </c>
      <c r="D4023" s="63">
        <v>106.6978</v>
      </c>
      <c r="E4023" s="64">
        <v>3.108</v>
      </c>
    </row>
    <row r="4024" ht="22.5" customHeight="1">
      <c r="A4024" s="66">
        <v>10.80325</v>
      </c>
      <c r="B4024" s="67">
        <v>106.6842</v>
      </c>
      <c r="C4024" s="67">
        <v>10.81724</v>
      </c>
      <c r="D4024" s="67">
        <v>106.689</v>
      </c>
      <c r="E4024" s="68">
        <v>2.93</v>
      </c>
    </row>
    <row r="4025" ht="22.5" customHeight="1">
      <c r="A4025" s="61">
        <v>10.80325</v>
      </c>
      <c r="B4025" s="63">
        <v>106.6842</v>
      </c>
      <c r="C4025" s="63">
        <v>10.82082</v>
      </c>
      <c r="D4025" s="63">
        <v>106.7046</v>
      </c>
      <c r="E4025" s="64">
        <v>3.842</v>
      </c>
    </row>
    <row r="4026" ht="22.5" customHeight="1">
      <c r="A4026" s="66">
        <v>10.80325</v>
      </c>
      <c r="B4026" s="67">
        <v>106.6842</v>
      </c>
      <c r="C4026" s="67">
        <v>10.82166</v>
      </c>
      <c r="D4026" s="67">
        <v>106.7034</v>
      </c>
      <c r="E4026" s="68">
        <v>3.914</v>
      </c>
    </row>
    <row r="4027" ht="22.5" customHeight="1">
      <c r="A4027" s="61">
        <v>10.80325</v>
      </c>
      <c r="B4027" s="63">
        <v>106.6842</v>
      </c>
      <c r="C4027" s="63">
        <v>10.84317</v>
      </c>
      <c r="D4027" s="63">
        <v>106.6767</v>
      </c>
      <c r="E4027" s="64">
        <v>5.863</v>
      </c>
    </row>
    <row r="4028" ht="22.5" customHeight="1">
      <c r="A4028" s="66">
        <v>10.80353</v>
      </c>
      <c r="B4028" s="67">
        <v>106.7039</v>
      </c>
      <c r="C4028" s="67">
        <v>10.77509</v>
      </c>
      <c r="D4028" s="67">
        <v>106.6727</v>
      </c>
      <c r="E4028" s="68">
        <v>5.5</v>
      </c>
    </row>
    <row r="4029" ht="22.5" customHeight="1">
      <c r="A4029" s="61">
        <v>10.80353</v>
      </c>
      <c r="B4029" s="63">
        <v>106.7039</v>
      </c>
      <c r="C4029" s="63">
        <v>10.79036</v>
      </c>
      <c r="D4029" s="63">
        <v>106.6973</v>
      </c>
      <c r="E4029" s="64">
        <v>2.8</v>
      </c>
    </row>
    <row r="4030" ht="22.5" customHeight="1">
      <c r="A4030" s="66">
        <v>10.80353</v>
      </c>
      <c r="B4030" s="67">
        <v>106.7039</v>
      </c>
      <c r="C4030" s="67">
        <v>10.79203</v>
      </c>
      <c r="D4030" s="67">
        <v>106.7304</v>
      </c>
      <c r="E4030" s="68">
        <v>5.0</v>
      </c>
    </row>
    <row r="4031" ht="22.5" customHeight="1">
      <c r="A4031" s="61">
        <v>10.80353</v>
      </c>
      <c r="B4031" s="63">
        <v>106.7039</v>
      </c>
      <c r="C4031" s="63">
        <v>10.79446</v>
      </c>
      <c r="D4031" s="63">
        <v>106.731</v>
      </c>
      <c r="E4031" s="64">
        <v>4.435</v>
      </c>
    </row>
    <row r="4032" ht="22.5" customHeight="1">
      <c r="A4032" s="66">
        <v>10.80353</v>
      </c>
      <c r="B4032" s="67">
        <v>106.7039</v>
      </c>
      <c r="C4032" s="67">
        <v>10.79512</v>
      </c>
      <c r="D4032" s="67">
        <v>106.7026</v>
      </c>
      <c r="E4032" s="68">
        <v>2.817</v>
      </c>
    </row>
    <row r="4033" ht="22.5" customHeight="1">
      <c r="A4033" s="61">
        <v>10.80353</v>
      </c>
      <c r="B4033" s="63">
        <v>106.7039</v>
      </c>
      <c r="C4033" s="63">
        <v>10.79975</v>
      </c>
      <c r="D4033" s="63">
        <v>106.6696</v>
      </c>
      <c r="E4033" s="64">
        <v>4.077</v>
      </c>
    </row>
    <row r="4034" ht="22.5" customHeight="1">
      <c r="A4034" s="66">
        <v>10.80353</v>
      </c>
      <c r="B4034" s="67">
        <v>106.7039</v>
      </c>
      <c r="C4034" s="67">
        <v>10.80027</v>
      </c>
      <c r="D4034" s="67">
        <v>106.7109</v>
      </c>
      <c r="E4034" s="68">
        <v>1.116</v>
      </c>
    </row>
    <row r="4035" ht="22.5" customHeight="1">
      <c r="A4035" s="61">
        <v>10.80353</v>
      </c>
      <c r="B4035" s="63">
        <v>106.7039</v>
      </c>
      <c r="C4035" s="63">
        <v>10.80357</v>
      </c>
      <c r="D4035" s="63">
        <v>106.7181</v>
      </c>
      <c r="E4035" s="64">
        <v>2.788</v>
      </c>
    </row>
    <row r="4036" ht="22.5" customHeight="1">
      <c r="A4036" s="66">
        <v>10.80353</v>
      </c>
      <c r="B4036" s="67">
        <v>106.7039</v>
      </c>
      <c r="C4036" s="67">
        <v>10.80393</v>
      </c>
      <c r="D4036" s="67">
        <v>106.7092</v>
      </c>
      <c r="E4036" s="68">
        <v>1.571</v>
      </c>
    </row>
    <row r="4037" ht="22.5" customHeight="1">
      <c r="A4037" s="61">
        <v>10.80353</v>
      </c>
      <c r="B4037" s="63">
        <v>106.7039</v>
      </c>
      <c r="C4037" s="63">
        <v>10.8146</v>
      </c>
      <c r="D4037" s="63">
        <v>106.7114</v>
      </c>
      <c r="E4037" s="64">
        <v>3.655</v>
      </c>
    </row>
    <row r="4038" ht="22.5" customHeight="1">
      <c r="A4038" s="66">
        <v>10.80354</v>
      </c>
      <c r="B4038" s="67">
        <v>106.7357</v>
      </c>
      <c r="C4038" s="67">
        <v>10.77509</v>
      </c>
      <c r="D4038" s="67">
        <v>106.6727</v>
      </c>
      <c r="E4038" s="68">
        <v>8.957</v>
      </c>
    </row>
    <row r="4039" ht="22.5" customHeight="1">
      <c r="A4039" s="61">
        <v>10.80354</v>
      </c>
      <c r="B4039" s="63">
        <v>106.7357</v>
      </c>
      <c r="C4039" s="63">
        <v>10.78871</v>
      </c>
      <c r="D4039" s="63">
        <v>106.7343</v>
      </c>
      <c r="E4039" s="64">
        <v>3.848</v>
      </c>
    </row>
    <row r="4040" ht="22.5" customHeight="1">
      <c r="A4040" s="66">
        <v>10.80354</v>
      </c>
      <c r="B4040" s="67">
        <v>106.7357</v>
      </c>
      <c r="C4040" s="67">
        <v>10.79203</v>
      </c>
      <c r="D4040" s="67">
        <v>106.7304</v>
      </c>
      <c r="E4040" s="68">
        <v>2.229</v>
      </c>
    </row>
    <row r="4041" ht="22.5" customHeight="1">
      <c r="A4041" s="61">
        <v>10.80354</v>
      </c>
      <c r="B4041" s="63">
        <v>106.7357</v>
      </c>
      <c r="C4041" s="63">
        <v>10.79662</v>
      </c>
      <c r="D4041" s="63">
        <v>106.7372</v>
      </c>
      <c r="E4041" s="64">
        <v>2.689</v>
      </c>
    </row>
    <row r="4042" ht="22.5" customHeight="1">
      <c r="A4042" s="66">
        <v>10.80354</v>
      </c>
      <c r="B4042" s="67">
        <v>106.7357</v>
      </c>
      <c r="C4042" s="67">
        <v>10.80434</v>
      </c>
      <c r="D4042" s="67">
        <v>106.7445</v>
      </c>
      <c r="E4042" s="68">
        <v>1.342</v>
      </c>
    </row>
    <row r="4043" ht="22.5" customHeight="1">
      <c r="A4043" s="61">
        <v>10.80354</v>
      </c>
      <c r="B4043" s="63">
        <v>106.7357</v>
      </c>
      <c r="C4043" s="63">
        <v>10.80543</v>
      </c>
      <c r="D4043" s="63">
        <v>106.7324</v>
      </c>
      <c r="E4043" s="64">
        <v>0.827</v>
      </c>
    </row>
    <row r="4044" ht="22.5" customHeight="1">
      <c r="A4044" s="66">
        <v>10.80357</v>
      </c>
      <c r="B4044" s="67">
        <v>106.7181</v>
      </c>
      <c r="C4044" s="67">
        <v>10.7818</v>
      </c>
      <c r="D4044" s="67">
        <v>106.7611</v>
      </c>
      <c r="E4044" s="68">
        <v>8.299</v>
      </c>
    </row>
    <row r="4045" ht="22.5" customHeight="1">
      <c r="A4045" s="61">
        <v>10.80357</v>
      </c>
      <c r="B4045" s="63">
        <v>106.7181</v>
      </c>
      <c r="C4045" s="63">
        <v>10.78851</v>
      </c>
      <c r="D4045" s="63">
        <v>106.777</v>
      </c>
      <c r="E4045" s="64">
        <v>10.818</v>
      </c>
    </row>
    <row r="4046" ht="22.5" customHeight="1">
      <c r="A4046" s="66">
        <v>10.80357</v>
      </c>
      <c r="B4046" s="67">
        <v>106.7181</v>
      </c>
      <c r="C4046" s="67">
        <v>10.79036</v>
      </c>
      <c r="D4046" s="67">
        <v>106.6973</v>
      </c>
      <c r="E4046" s="68">
        <v>4.09</v>
      </c>
    </row>
    <row r="4047" ht="22.5" customHeight="1">
      <c r="A4047" s="61">
        <v>10.80357</v>
      </c>
      <c r="B4047" s="63">
        <v>106.7181</v>
      </c>
      <c r="C4047" s="63">
        <v>10.79121</v>
      </c>
      <c r="D4047" s="63">
        <v>106.7227</v>
      </c>
      <c r="E4047" s="64">
        <v>1.953</v>
      </c>
    </row>
    <row r="4048" ht="22.5" customHeight="1">
      <c r="A4048" s="66">
        <v>10.80357</v>
      </c>
      <c r="B4048" s="67">
        <v>106.7181</v>
      </c>
      <c r="C4048" s="67">
        <v>10.79203</v>
      </c>
      <c r="D4048" s="67">
        <v>106.7304</v>
      </c>
      <c r="E4048" s="68">
        <v>3.933</v>
      </c>
    </row>
    <row r="4049" ht="22.5" customHeight="1">
      <c r="A4049" s="61">
        <v>10.80357</v>
      </c>
      <c r="B4049" s="63">
        <v>106.7181</v>
      </c>
      <c r="C4049" s="63">
        <v>10.79222</v>
      </c>
      <c r="D4049" s="63">
        <v>106.7229</v>
      </c>
      <c r="E4049" s="64">
        <v>1.895</v>
      </c>
    </row>
    <row r="4050" ht="22.5" customHeight="1">
      <c r="A4050" s="66">
        <v>10.80357</v>
      </c>
      <c r="B4050" s="67">
        <v>106.7181</v>
      </c>
      <c r="C4050" s="67">
        <v>10.79446</v>
      </c>
      <c r="D4050" s="67">
        <v>106.731</v>
      </c>
      <c r="E4050" s="68">
        <v>4.133</v>
      </c>
    </row>
    <row r="4051" ht="22.5" customHeight="1">
      <c r="A4051" s="61">
        <v>10.80357</v>
      </c>
      <c r="B4051" s="63">
        <v>106.7181</v>
      </c>
      <c r="C4051" s="63">
        <v>10.80027</v>
      </c>
      <c r="D4051" s="63">
        <v>106.7109</v>
      </c>
      <c r="E4051" s="64">
        <v>1.29</v>
      </c>
    </row>
    <row r="4052" ht="22.5" customHeight="1">
      <c r="A4052" s="66">
        <v>10.80357</v>
      </c>
      <c r="B4052" s="67">
        <v>106.7181</v>
      </c>
      <c r="C4052" s="67">
        <v>10.80312</v>
      </c>
      <c r="D4052" s="67">
        <v>106.7097</v>
      </c>
      <c r="E4052" s="68">
        <v>1.392</v>
      </c>
    </row>
    <row r="4053" ht="22.5" customHeight="1">
      <c r="A4053" s="61">
        <v>10.80357</v>
      </c>
      <c r="B4053" s="63">
        <v>106.7181</v>
      </c>
      <c r="C4053" s="63">
        <v>10.80393</v>
      </c>
      <c r="D4053" s="63">
        <v>106.7092</v>
      </c>
      <c r="E4053" s="64">
        <v>1.569</v>
      </c>
    </row>
    <row r="4054" ht="22.5" customHeight="1">
      <c r="A4054" s="66">
        <v>10.80357</v>
      </c>
      <c r="B4054" s="67">
        <v>106.7181</v>
      </c>
      <c r="C4054" s="67">
        <v>10.80543</v>
      </c>
      <c r="D4054" s="67">
        <v>106.7324</v>
      </c>
      <c r="E4054" s="68">
        <v>4.983</v>
      </c>
    </row>
    <row r="4055" ht="22.5" customHeight="1">
      <c r="A4055" s="61">
        <v>10.80357</v>
      </c>
      <c r="B4055" s="63">
        <v>106.7181</v>
      </c>
      <c r="C4055" s="63">
        <v>10.80666</v>
      </c>
      <c r="D4055" s="63">
        <v>106.7139</v>
      </c>
      <c r="E4055" s="64">
        <v>0.753</v>
      </c>
    </row>
    <row r="4056" ht="22.5" customHeight="1">
      <c r="A4056" s="66">
        <v>10.80357</v>
      </c>
      <c r="B4056" s="67">
        <v>106.7181</v>
      </c>
      <c r="C4056" s="67">
        <v>10.8146</v>
      </c>
      <c r="D4056" s="67">
        <v>106.7114</v>
      </c>
      <c r="E4056" s="68">
        <v>2.229</v>
      </c>
    </row>
    <row r="4057" ht="22.5" customHeight="1">
      <c r="A4057" s="61">
        <v>10.80369</v>
      </c>
      <c r="B4057" s="63">
        <v>106.6323</v>
      </c>
      <c r="C4057" s="63">
        <v>10.77509</v>
      </c>
      <c r="D4057" s="63">
        <v>106.6727</v>
      </c>
      <c r="E4057" s="64">
        <v>7.37</v>
      </c>
    </row>
    <row r="4058" ht="22.5" customHeight="1">
      <c r="A4058" s="66">
        <v>10.80369</v>
      </c>
      <c r="B4058" s="67">
        <v>106.6323</v>
      </c>
      <c r="C4058" s="67">
        <v>10.78954</v>
      </c>
      <c r="D4058" s="67">
        <v>106.6431</v>
      </c>
      <c r="E4058" s="68">
        <v>2.607</v>
      </c>
    </row>
    <row r="4059" ht="22.5" customHeight="1">
      <c r="A4059" s="61">
        <v>10.80369</v>
      </c>
      <c r="B4059" s="63">
        <v>106.6323</v>
      </c>
      <c r="C4059" s="63">
        <v>10.79193</v>
      </c>
      <c r="D4059" s="63">
        <v>106.6555</v>
      </c>
      <c r="E4059" s="64">
        <v>2.987</v>
      </c>
    </row>
    <row r="4060" ht="22.5" customHeight="1">
      <c r="A4060" s="66">
        <v>10.80369</v>
      </c>
      <c r="B4060" s="67">
        <v>106.6323</v>
      </c>
      <c r="C4060" s="67">
        <v>10.79212</v>
      </c>
      <c r="D4060" s="67">
        <v>106.6427</v>
      </c>
      <c r="E4060" s="68">
        <v>2.603</v>
      </c>
    </row>
    <row r="4061" ht="22.5" customHeight="1">
      <c r="A4061" s="61">
        <v>10.80369</v>
      </c>
      <c r="B4061" s="63">
        <v>106.6323</v>
      </c>
      <c r="C4061" s="63">
        <v>10.79435</v>
      </c>
      <c r="D4061" s="63">
        <v>106.6382</v>
      </c>
      <c r="E4061" s="64">
        <v>2.222</v>
      </c>
    </row>
    <row r="4062" ht="22.5" customHeight="1">
      <c r="A4062" s="66">
        <v>10.80369</v>
      </c>
      <c r="B4062" s="67">
        <v>106.6323</v>
      </c>
      <c r="C4062" s="67">
        <v>10.7972</v>
      </c>
      <c r="D4062" s="67">
        <v>106.6307</v>
      </c>
      <c r="E4062" s="68">
        <v>1.044</v>
      </c>
    </row>
    <row r="4063" ht="22.5" customHeight="1">
      <c r="A4063" s="61">
        <v>10.80369</v>
      </c>
      <c r="B4063" s="63">
        <v>106.6323</v>
      </c>
      <c r="C4063" s="63">
        <v>10.81147</v>
      </c>
      <c r="D4063" s="63">
        <v>106.6107</v>
      </c>
      <c r="E4063" s="64">
        <v>2.907</v>
      </c>
    </row>
    <row r="4064" ht="22.5" customHeight="1">
      <c r="A4064" s="66">
        <v>10.80369</v>
      </c>
      <c r="B4064" s="67">
        <v>106.6323</v>
      </c>
      <c r="C4064" s="67">
        <v>10.81494</v>
      </c>
      <c r="D4064" s="67">
        <v>106.5854</v>
      </c>
      <c r="E4064" s="68">
        <v>5.6</v>
      </c>
    </row>
    <row r="4065" ht="22.5" customHeight="1">
      <c r="A4065" s="61">
        <v>10.80393</v>
      </c>
      <c r="B4065" s="63">
        <v>106.7092</v>
      </c>
      <c r="C4065" s="63">
        <v>10.77509</v>
      </c>
      <c r="D4065" s="63">
        <v>106.6727</v>
      </c>
      <c r="E4065" s="64">
        <v>5.825</v>
      </c>
    </row>
    <row r="4066" ht="22.5" customHeight="1">
      <c r="A4066" s="66">
        <v>10.80393</v>
      </c>
      <c r="B4066" s="67">
        <v>106.7092</v>
      </c>
      <c r="C4066" s="67">
        <v>10.77744</v>
      </c>
      <c r="D4066" s="67">
        <v>106.7646</v>
      </c>
      <c r="E4066" s="68">
        <v>8.962</v>
      </c>
    </row>
    <row r="4067" ht="22.5" customHeight="1">
      <c r="A4067" s="61">
        <v>10.80393</v>
      </c>
      <c r="B4067" s="63">
        <v>106.7092</v>
      </c>
      <c r="C4067" s="63">
        <v>10.78624</v>
      </c>
      <c r="D4067" s="63">
        <v>106.7313</v>
      </c>
      <c r="E4067" s="64">
        <v>5.103</v>
      </c>
    </row>
    <row r="4068" ht="22.5" customHeight="1">
      <c r="A4068" s="66">
        <v>10.80393</v>
      </c>
      <c r="B4068" s="67">
        <v>106.7092</v>
      </c>
      <c r="C4068" s="67">
        <v>10.78851</v>
      </c>
      <c r="D4068" s="67">
        <v>106.777</v>
      </c>
      <c r="E4068" s="68">
        <v>10.598</v>
      </c>
    </row>
    <row r="4069" ht="22.5" customHeight="1">
      <c r="A4069" s="61">
        <v>10.80393</v>
      </c>
      <c r="B4069" s="63">
        <v>106.7092</v>
      </c>
      <c r="C4069" s="63">
        <v>10.79036</v>
      </c>
      <c r="D4069" s="63">
        <v>106.6973</v>
      </c>
      <c r="E4069" s="64">
        <v>3.046</v>
      </c>
    </row>
    <row r="4070" ht="22.5" customHeight="1">
      <c r="A4070" s="66">
        <v>10.80393</v>
      </c>
      <c r="B4070" s="67">
        <v>106.7092</v>
      </c>
      <c r="C4070" s="67">
        <v>10.79121</v>
      </c>
      <c r="D4070" s="67">
        <v>106.7227</v>
      </c>
      <c r="E4070" s="68">
        <v>2.51</v>
      </c>
    </row>
    <row r="4071" ht="22.5" customHeight="1">
      <c r="A4071" s="61">
        <v>10.80393</v>
      </c>
      <c r="B4071" s="63">
        <v>106.7092</v>
      </c>
      <c r="C4071" s="63">
        <v>10.79203</v>
      </c>
      <c r="D4071" s="63">
        <v>106.7304</v>
      </c>
      <c r="E4071" s="64">
        <v>3.995</v>
      </c>
    </row>
    <row r="4072" ht="22.5" customHeight="1">
      <c r="A4072" s="66">
        <v>10.80393</v>
      </c>
      <c r="B4072" s="67">
        <v>106.7092</v>
      </c>
      <c r="C4072" s="67">
        <v>10.79222</v>
      </c>
      <c r="D4072" s="67">
        <v>106.7229</v>
      </c>
      <c r="E4072" s="68">
        <v>2.794</v>
      </c>
    </row>
    <row r="4073" ht="22.5" customHeight="1">
      <c r="A4073" s="61">
        <v>10.80393</v>
      </c>
      <c r="B4073" s="63">
        <v>106.7092</v>
      </c>
      <c r="C4073" s="63">
        <v>10.79446</v>
      </c>
      <c r="D4073" s="63">
        <v>106.731</v>
      </c>
      <c r="E4073" s="64">
        <v>3.942</v>
      </c>
    </row>
    <row r="4074" ht="22.5" customHeight="1">
      <c r="A4074" s="66">
        <v>10.80393</v>
      </c>
      <c r="B4074" s="67">
        <v>106.7092</v>
      </c>
      <c r="C4074" s="67">
        <v>10.79662</v>
      </c>
      <c r="D4074" s="67">
        <v>106.7372</v>
      </c>
      <c r="E4074" s="68">
        <v>3.813</v>
      </c>
    </row>
    <row r="4075" ht="22.5" customHeight="1">
      <c r="A4075" s="61">
        <v>10.80393</v>
      </c>
      <c r="B4075" s="63">
        <v>106.7092</v>
      </c>
      <c r="C4075" s="63">
        <v>10.79792</v>
      </c>
      <c r="D4075" s="63">
        <v>106.7177</v>
      </c>
      <c r="E4075" s="64">
        <v>1.824</v>
      </c>
    </row>
    <row r="4076" ht="22.5" customHeight="1">
      <c r="A4076" s="66">
        <v>10.80393</v>
      </c>
      <c r="B4076" s="67">
        <v>106.7092</v>
      </c>
      <c r="C4076" s="67">
        <v>10.80027</v>
      </c>
      <c r="D4076" s="67">
        <v>106.7109</v>
      </c>
      <c r="E4076" s="68">
        <v>0.403</v>
      </c>
    </row>
    <row r="4077" ht="22.5" customHeight="1">
      <c r="A4077" s="61">
        <v>10.80393</v>
      </c>
      <c r="B4077" s="63">
        <v>106.7092</v>
      </c>
      <c r="C4077" s="63">
        <v>10.80312</v>
      </c>
      <c r="D4077" s="63">
        <v>106.7097</v>
      </c>
      <c r="E4077" s="64">
        <v>0.504</v>
      </c>
    </row>
    <row r="4078" ht="22.5" customHeight="1">
      <c r="A4078" s="66">
        <v>10.80393</v>
      </c>
      <c r="B4078" s="67">
        <v>106.7092</v>
      </c>
      <c r="C4078" s="67">
        <v>10.80353</v>
      </c>
      <c r="D4078" s="67">
        <v>106.7039</v>
      </c>
      <c r="E4078" s="68">
        <v>1.213</v>
      </c>
    </row>
    <row r="4079" ht="22.5" customHeight="1">
      <c r="A4079" s="61">
        <v>10.80393</v>
      </c>
      <c r="B4079" s="63">
        <v>106.7092</v>
      </c>
      <c r="C4079" s="63">
        <v>10.80357</v>
      </c>
      <c r="D4079" s="63">
        <v>106.7181</v>
      </c>
      <c r="E4079" s="64">
        <v>1.77</v>
      </c>
    </row>
    <row r="4080" ht="22.5" customHeight="1">
      <c r="A4080" s="66">
        <v>10.80393</v>
      </c>
      <c r="B4080" s="67">
        <v>106.7092</v>
      </c>
      <c r="C4080" s="67">
        <v>10.80666</v>
      </c>
      <c r="D4080" s="67">
        <v>106.7139</v>
      </c>
      <c r="E4080" s="68">
        <v>1.443</v>
      </c>
    </row>
    <row r="4081" ht="22.5" customHeight="1">
      <c r="A4081" s="61">
        <v>10.80393</v>
      </c>
      <c r="B4081" s="63">
        <v>106.7092</v>
      </c>
      <c r="C4081" s="63">
        <v>10.8146</v>
      </c>
      <c r="D4081" s="63">
        <v>106.7114</v>
      </c>
      <c r="E4081" s="64">
        <v>2.179</v>
      </c>
    </row>
    <row r="4082" ht="22.5" customHeight="1">
      <c r="A4082" s="66">
        <v>10.80393</v>
      </c>
      <c r="B4082" s="67">
        <v>106.7092</v>
      </c>
      <c r="C4082" s="67">
        <v>10.81511</v>
      </c>
      <c r="D4082" s="67">
        <v>106.7209</v>
      </c>
      <c r="E4082" s="68">
        <v>2.906</v>
      </c>
    </row>
    <row r="4083" ht="22.5" customHeight="1">
      <c r="A4083" s="61">
        <v>10.80393</v>
      </c>
      <c r="B4083" s="63">
        <v>106.7092</v>
      </c>
      <c r="C4083" s="63">
        <v>10.81521</v>
      </c>
      <c r="D4083" s="63">
        <v>106.6978</v>
      </c>
      <c r="E4083" s="64">
        <v>3.001</v>
      </c>
    </row>
    <row r="4084" ht="22.5" customHeight="1">
      <c r="A4084" s="66">
        <v>10.80393</v>
      </c>
      <c r="B4084" s="67">
        <v>106.7092</v>
      </c>
      <c r="C4084" s="67">
        <v>10.82166</v>
      </c>
      <c r="D4084" s="67">
        <v>106.7034</v>
      </c>
      <c r="E4084" s="68">
        <v>3.235</v>
      </c>
    </row>
    <row r="4085" ht="22.5" customHeight="1">
      <c r="A4085" s="61">
        <v>10.804</v>
      </c>
      <c r="B4085" s="63">
        <v>106.7092</v>
      </c>
      <c r="C4085" s="63">
        <v>10.80027</v>
      </c>
      <c r="D4085" s="63">
        <v>106.7109</v>
      </c>
      <c r="E4085" s="64">
        <v>0.881</v>
      </c>
    </row>
    <row r="4086" ht="22.5" customHeight="1">
      <c r="A4086" s="66">
        <v>10.80429</v>
      </c>
      <c r="B4086" s="67">
        <v>106.5918</v>
      </c>
      <c r="C4086" s="67">
        <v>10.81586</v>
      </c>
      <c r="D4086" s="67">
        <v>106.5985</v>
      </c>
      <c r="E4086" s="68">
        <v>1.781</v>
      </c>
    </row>
    <row r="4087" ht="22.5" customHeight="1">
      <c r="A4087" s="61">
        <v>10.80434</v>
      </c>
      <c r="B4087" s="63">
        <v>106.7445</v>
      </c>
      <c r="C4087" s="63">
        <v>10.77509</v>
      </c>
      <c r="D4087" s="63">
        <v>106.6727</v>
      </c>
      <c r="E4087" s="64">
        <v>9.697</v>
      </c>
    </row>
    <row r="4088" ht="22.5" customHeight="1">
      <c r="A4088" s="66">
        <v>10.80434</v>
      </c>
      <c r="B4088" s="67">
        <v>106.7445</v>
      </c>
      <c r="C4088" s="67">
        <v>10.78624</v>
      </c>
      <c r="D4088" s="67">
        <v>106.7313</v>
      </c>
      <c r="E4088" s="68">
        <v>4.2</v>
      </c>
    </row>
    <row r="4089" ht="22.5" customHeight="1">
      <c r="A4089" s="61">
        <v>10.80434</v>
      </c>
      <c r="B4089" s="63">
        <v>106.7445</v>
      </c>
      <c r="C4089" s="63">
        <v>10.78759</v>
      </c>
      <c r="D4089" s="63">
        <v>106.7337</v>
      </c>
      <c r="E4089" s="64">
        <v>3.883</v>
      </c>
    </row>
    <row r="4090" ht="22.5" customHeight="1">
      <c r="A4090" s="66">
        <v>10.80434</v>
      </c>
      <c r="B4090" s="67">
        <v>106.7445</v>
      </c>
      <c r="C4090" s="67">
        <v>10.78802</v>
      </c>
      <c r="D4090" s="67">
        <v>106.7609</v>
      </c>
      <c r="E4090" s="68">
        <v>4.287</v>
      </c>
    </row>
    <row r="4091" ht="22.5" customHeight="1">
      <c r="A4091" s="61">
        <v>10.80434</v>
      </c>
      <c r="B4091" s="63">
        <v>106.7445</v>
      </c>
      <c r="C4091" s="63">
        <v>10.78851</v>
      </c>
      <c r="D4091" s="63">
        <v>106.777</v>
      </c>
      <c r="E4091" s="64">
        <v>7.473</v>
      </c>
    </row>
    <row r="4092" ht="22.5" customHeight="1">
      <c r="A4092" s="66">
        <v>10.80434</v>
      </c>
      <c r="B4092" s="67">
        <v>106.7445</v>
      </c>
      <c r="C4092" s="67">
        <v>10.79036</v>
      </c>
      <c r="D4092" s="67">
        <v>106.6973</v>
      </c>
      <c r="E4092" s="68">
        <v>6.944</v>
      </c>
    </row>
    <row r="4093" ht="22.5" customHeight="1">
      <c r="A4093" s="61">
        <v>10.80434</v>
      </c>
      <c r="B4093" s="63">
        <v>106.7445</v>
      </c>
      <c r="C4093" s="63">
        <v>10.7907</v>
      </c>
      <c r="D4093" s="63">
        <v>106.7481</v>
      </c>
      <c r="E4093" s="64">
        <v>2.811</v>
      </c>
    </row>
    <row r="4094" ht="22.5" customHeight="1">
      <c r="A4094" s="66">
        <v>10.80434</v>
      </c>
      <c r="B4094" s="67">
        <v>106.7445</v>
      </c>
      <c r="C4094" s="67">
        <v>10.79203</v>
      </c>
      <c r="D4094" s="67">
        <v>106.7304</v>
      </c>
      <c r="E4094" s="68">
        <v>3.068</v>
      </c>
    </row>
    <row r="4095" ht="22.5" customHeight="1">
      <c r="A4095" s="61">
        <v>10.80434</v>
      </c>
      <c r="B4095" s="63">
        <v>106.7445</v>
      </c>
      <c r="C4095" s="63">
        <v>10.79222</v>
      </c>
      <c r="D4095" s="63">
        <v>106.7229</v>
      </c>
      <c r="E4095" s="64">
        <v>3.983</v>
      </c>
    </row>
    <row r="4096" ht="22.5" customHeight="1">
      <c r="A4096" s="66">
        <v>10.80434</v>
      </c>
      <c r="B4096" s="67">
        <v>106.7445</v>
      </c>
      <c r="C4096" s="67">
        <v>10.79358</v>
      </c>
      <c r="D4096" s="67">
        <v>106.7179</v>
      </c>
      <c r="E4096" s="68">
        <v>4.07</v>
      </c>
    </row>
    <row r="4097" ht="22.5" customHeight="1">
      <c r="A4097" s="61">
        <v>10.80434</v>
      </c>
      <c r="B4097" s="63">
        <v>106.7445</v>
      </c>
      <c r="C4097" s="63">
        <v>10.7938</v>
      </c>
      <c r="D4097" s="63">
        <v>106.7467</v>
      </c>
      <c r="E4097" s="64">
        <v>2.68</v>
      </c>
    </row>
    <row r="4098" ht="22.5" customHeight="1">
      <c r="A4098" s="66">
        <v>10.80434</v>
      </c>
      <c r="B4098" s="67">
        <v>106.7445</v>
      </c>
      <c r="C4098" s="67">
        <v>10.79446</v>
      </c>
      <c r="D4098" s="67">
        <v>106.731</v>
      </c>
      <c r="E4098" s="68">
        <v>3.037</v>
      </c>
    </row>
    <row r="4099" ht="22.5" customHeight="1">
      <c r="A4099" s="61">
        <v>10.80434</v>
      </c>
      <c r="B4099" s="63">
        <v>106.7445</v>
      </c>
      <c r="C4099" s="63">
        <v>10.79662</v>
      </c>
      <c r="D4099" s="63">
        <v>106.7372</v>
      </c>
      <c r="E4099" s="64">
        <v>2.664</v>
      </c>
    </row>
    <row r="4100" ht="22.5" customHeight="1">
      <c r="A4100" s="66">
        <v>10.80434</v>
      </c>
      <c r="B4100" s="67">
        <v>106.7445</v>
      </c>
      <c r="C4100" s="67">
        <v>10.80128</v>
      </c>
      <c r="D4100" s="67">
        <v>106.7329</v>
      </c>
      <c r="E4100" s="68">
        <v>1.679</v>
      </c>
    </row>
    <row r="4101" ht="22.5" customHeight="1">
      <c r="A4101" s="61">
        <v>10.80434</v>
      </c>
      <c r="B4101" s="63">
        <v>106.7445</v>
      </c>
      <c r="C4101" s="63">
        <v>10.80271</v>
      </c>
      <c r="D4101" s="63">
        <v>106.7355</v>
      </c>
      <c r="E4101" s="64">
        <v>1.388</v>
      </c>
    </row>
    <row r="4102" ht="22.5" customHeight="1">
      <c r="A4102" s="66">
        <v>10.80434</v>
      </c>
      <c r="B4102" s="67">
        <v>106.7445</v>
      </c>
      <c r="C4102" s="67">
        <v>10.80354</v>
      </c>
      <c r="D4102" s="67">
        <v>106.7357</v>
      </c>
      <c r="E4102" s="68">
        <v>1.444</v>
      </c>
    </row>
    <row r="4103" ht="22.5" customHeight="1">
      <c r="A4103" s="61">
        <v>10.80434</v>
      </c>
      <c r="B4103" s="63">
        <v>106.7445</v>
      </c>
      <c r="C4103" s="63">
        <v>10.80543</v>
      </c>
      <c r="D4103" s="63">
        <v>106.7324</v>
      </c>
      <c r="E4103" s="64">
        <v>1.969</v>
      </c>
    </row>
    <row r="4104" ht="22.5" customHeight="1">
      <c r="A4104" s="66">
        <v>10.80434</v>
      </c>
      <c r="B4104" s="67">
        <v>106.7445</v>
      </c>
      <c r="C4104" s="67">
        <v>10.80576</v>
      </c>
      <c r="D4104" s="67">
        <v>106.7346</v>
      </c>
      <c r="E4104" s="68">
        <v>1.652</v>
      </c>
    </row>
    <row r="4105" ht="22.5" customHeight="1">
      <c r="A4105" s="61">
        <v>10.80434</v>
      </c>
      <c r="B4105" s="63">
        <v>106.7445</v>
      </c>
      <c r="C4105" s="63">
        <v>10.80821</v>
      </c>
      <c r="D4105" s="63">
        <v>106.7251</v>
      </c>
      <c r="E4105" s="64">
        <v>2.947</v>
      </c>
    </row>
    <row r="4106" ht="22.5" customHeight="1">
      <c r="A4106" s="66">
        <v>10.80458</v>
      </c>
      <c r="B4106" s="67">
        <v>106.6759</v>
      </c>
      <c r="C4106" s="67">
        <v>10.77509</v>
      </c>
      <c r="D4106" s="67">
        <v>106.6727</v>
      </c>
      <c r="E4106" s="68">
        <v>4.785</v>
      </c>
    </row>
    <row r="4107" ht="22.5" customHeight="1">
      <c r="A4107" s="61">
        <v>10.80458</v>
      </c>
      <c r="B4107" s="63">
        <v>106.6759</v>
      </c>
      <c r="C4107" s="63">
        <v>10.78769</v>
      </c>
      <c r="D4107" s="63">
        <v>106.6634</v>
      </c>
      <c r="E4107" s="64">
        <v>3.652</v>
      </c>
    </row>
    <row r="4108" ht="22.5" customHeight="1">
      <c r="A4108" s="66">
        <v>10.80458</v>
      </c>
      <c r="B4108" s="67">
        <v>106.6759</v>
      </c>
      <c r="C4108" s="67">
        <v>10.79975</v>
      </c>
      <c r="D4108" s="67">
        <v>106.6696</v>
      </c>
      <c r="E4108" s="68">
        <v>1.2</v>
      </c>
    </row>
    <row r="4109" ht="22.5" customHeight="1">
      <c r="A4109" s="61">
        <v>10.80458</v>
      </c>
      <c r="B4109" s="63">
        <v>106.6759</v>
      </c>
      <c r="C4109" s="63">
        <v>10.80325</v>
      </c>
      <c r="D4109" s="63">
        <v>106.6842</v>
      </c>
      <c r="E4109" s="64">
        <v>1.912</v>
      </c>
    </row>
    <row r="4110" ht="22.5" customHeight="1">
      <c r="A4110" s="66">
        <v>10.80458</v>
      </c>
      <c r="B4110" s="67">
        <v>106.6759</v>
      </c>
      <c r="C4110" s="67">
        <v>10.80458</v>
      </c>
      <c r="D4110" s="67">
        <v>106.6759</v>
      </c>
      <c r="E4110" s="68">
        <v>0.041</v>
      </c>
    </row>
    <row r="4111" ht="22.5" customHeight="1">
      <c r="A4111" s="61">
        <v>10.80474</v>
      </c>
      <c r="B4111" s="63">
        <v>106.642</v>
      </c>
      <c r="C4111" s="63">
        <v>10.755</v>
      </c>
      <c r="D4111" s="63">
        <v>106.6705</v>
      </c>
      <c r="E4111" s="64">
        <v>7.803</v>
      </c>
    </row>
    <row r="4112" ht="22.5" customHeight="1">
      <c r="A4112" s="66">
        <v>10.80474</v>
      </c>
      <c r="B4112" s="67">
        <v>106.642</v>
      </c>
      <c r="C4112" s="67">
        <v>10.77231</v>
      </c>
      <c r="D4112" s="67">
        <v>106.6319</v>
      </c>
      <c r="E4112" s="68">
        <v>4.498</v>
      </c>
    </row>
    <row r="4113" ht="22.5" customHeight="1">
      <c r="A4113" s="61">
        <v>10.80474</v>
      </c>
      <c r="B4113" s="63">
        <v>106.642</v>
      </c>
      <c r="C4113" s="63">
        <v>10.77479</v>
      </c>
      <c r="D4113" s="63">
        <v>106.6385</v>
      </c>
      <c r="E4113" s="64">
        <v>4.475</v>
      </c>
    </row>
    <row r="4114" ht="22.5" customHeight="1">
      <c r="A4114" s="66">
        <v>10.80474</v>
      </c>
      <c r="B4114" s="67">
        <v>106.642</v>
      </c>
      <c r="C4114" s="67">
        <v>10.79193</v>
      </c>
      <c r="D4114" s="67">
        <v>106.6555</v>
      </c>
      <c r="E4114" s="68">
        <v>2.633</v>
      </c>
    </row>
    <row r="4115" ht="22.5" customHeight="1">
      <c r="A4115" s="61">
        <v>10.80474</v>
      </c>
      <c r="B4115" s="63">
        <v>106.642</v>
      </c>
      <c r="C4115" s="63">
        <v>10.79212</v>
      </c>
      <c r="D4115" s="63">
        <v>106.6427</v>
      </c>
      <c r="E4115" s="64">
        <v>1.938</v>
      </c>
    </row>
    <row r="4116" ht="22.5" customHeight="1">
      <c r="A4116" s="66">
        <v>10.80474</v>
      </c>
      <c r="B4116" s="67">
        <v>106.642</v>
      </c>
      <c r="C4116" s="67">
        <v>10.79435</v>
      </c>
      <c r="D4116" s="67">
        <v>106.6382</v>
      </c>
      <c r="E4116" s="68">
        <v>2.212</v>
      </c>
    </row>
    <row r="4117" ht="22.5" customHeight="1">
      <c r="A4117" s="61">
        <v>10.80474</v>
      </c>
      <c r="B4117" s="63">
        <v>106.642</v>
      </c>
      <c r="C4117" s="63">
        <v>10.79464</v>
      </c>
      <c r="D4117" s="63">
        <v>106.6355</v>
      </c>
      <c r="E4117" s="64">
        <v>2.244</v>
      </c>
    </row>
    <row r="4118" ht="22.5" customHeight="1">
      <c r="A4118" s="66">
        <v>10.80474</v>
      </c>
      <c r="B4118" s="67">
        <v>106.642</v>
      </c>
      <c r="C4118" s="67">
        <v>10.7972</v>
      </c>
      <c r="D4118" s="67">
        <v>106.6307</v>
      </c>
      <c r="E4118" s="68">
        <v>2.793</v>
      </c>
    </row>
    <row r="4119" ht="22.5" customHeight="1">
      <c r="A4119" s="61">
        <v>10.80474</v>
      </c>
      <c r="B4119" s="63">
        <v>106.642</v>
      </c>
      <c r="C4119" s="63">
        <v>10.80141</v>
      </c>
      <c r="D4119" s="63">
        <v>106.6495</v>
      </c>
      <c r="E4119" s="64">
        <v>1.238</v>
      </c>
    </row>
    <row r="4120" ht="22.5" customHeight="1">
      <c r="A4120" s="66">
        <v>10.80474</v>
      </c>
      <c r="B4120" s="67">
        <v>106.642</v>
      </c>
      <c r="C4120" s="67">
        <v>10.80369</v>
      </c>
      <c r="D4120" s="67">
        <v>106.6323</v>
      </c>
      <c r="E4120" s="68">
        <v>3.759</v>
      </c>
    </row>
    <row r="4121" ht="22.5" customHeight="1">
      <c r="A4121" s="61">
        <v>10.80474</v>
      </c>
      <c r="B4121" s="63">
        <v>106.642</v>
      </c>
      <c r="C4121" s="63">
        <v>10.81094</v>
      </c>
      <c r="D4121" s="63">
        <v>106.611</v>
      </c>
      <c r="E4121" s="64">
        <v>5.24</v>
      </c>
    </row>
    <row r="4122" ht="22.5" customHeight="1">
      <c r="A4122" s="66">
        <v>10.80474</v>
      </c>
      <c r="B4122" s="67">
        <v>106.642</v>
      </c>
      <c r="C4122" s="67">
        <v>10.81147</v>
      </c>
      <c r="D4122" s="67">
        <v>106.6107</v>
      </c>
      <c r="E4122" s="68">
        <v>4.723</v>
      </c>
    </row>
    <row r="4123" ht="22.5" customHeight="1">
      <c r="A4123" s="61">
        <v>10.80523</v>
      </c>
      <c r="B4123" s="63">
        <v>106.7517</v>
      </c>
      <c r="C4123" s="63">
        <v>10.79203</v>
      </c>
      <c r="D4123" s="63">
        <v>106.7304</v>
      </c>
      <c r="E4123" s="64">
        <v>3.894</v>
      </c>
    </row>
    <row r="4124" ht="22.5" customHeight="1">
      <c r="A4124" s="66">
        <v>10.80543</v>
      </c>
      <c r="B4124" s="67">
        <v>106.7324</v>
      </c>
      <c r="C4124" s="67">
        <v>10.77509</v>
      </c>
      <c r="D4124" s="67">
        <v>106.6727</v>
      </c>
      <c r="E4124" s="68">
        <v>8.9</v>
      </c>
    </row>
    <row r="4125" ht="22.5" customHeight="1">
      <c r="A4125" s="61">
        <v>10.80543</v>
      </c>
      <c r="B4125" s="63">
        <v>106.7324</v>
      </c>
      <c r="C4125" s="63">
        <v>10.78624</v>
      </c>
      <c r="D4125" s="63">
        <v>106.7313</v>
      </c>
      <c r="E4125" s="64">
        <v>3.236</v>
      </c>
    </row>
    <row r="4126" ht="22.5" customHeight="1">
      <c r="A4126" s="66">
        <v>10.80543</v>
      </c>
      <c r="B4126" s="67">
        <v>106.7324</v>
      </c>
      <c r="C4126" s="67">
        <v>10.78759</v>
      </c>
      <c r="D4126" s="67">
        <v>106.7337</v>
      </c>
      <c r="E4126" s="68">
        <v>3.529</v>
      </c>
    </row>
    <row r="4127" ht="22.5" customHeight="1">
      <c r="A4127" s="61">
        <v>10.80543</v>
      </c>
      <c r="B4127" s="63">
        <v>106.7324</v>
      </c>
      <c r="C4127" s="63">
        <v>10.79036</v>
      </c>
      <c r="D4127" s="63">
        <v>106.6973</v>
      </c>
      <c r="E4127" s="64">
        <v>6.134</v>
      </c>
    </row>
    <row r="4128" ht="22.5" customHeight="1">
      <c r="A4128" s="66">
        <v>10.80543</v>
      </c>
      <c r="B4128" s="67">
        <v>106.7324</v>
      </c>
      <c r="C4128" s="67">
        <v>10.79121</v>
      </c>
      <c r="D4128" s="67">
        <v>106.7227</v>
      </c>
      <c r="E4128" s="68">
        <v>3.259</v>
      </c>
    </row>
    <row r="4129" ht="22.5" customHeight="1">
      <c r="A4129" s="61">
        <v>10.80543</v>
      </c>
      <c r="B4129" s="63">
        <v>106.7324</v>
      </c>
      <c r="C4129" s="63">
        <v>10.79203</v>
      </c>
      <c r="D4129" s="63">
        <v>106.7304</v>
      </c>
      <c r="E4129" s="64">
        <v>2.149</v>
      </c>
    </row>
    <row r="4130" ht="22.5" customHeight="1">
      <c r="A4130" s="66">
        <v>10.80543</v>
      </c>
      <c r="B4130" s="67">
        <v>106.7324</v>
      </c>
      <c r="C4130" s="67">
        <v>10.79222</v>
      </c>
      <c r="D4130" s="67">
        <v>106.7229</v>
      </c>
      <c r="E4130" s="68">
        <v>3.179</v>
      </c>
    </row>
    <row r="4131" ht="22.5" customHeight="1">
      <c r="A4131" s="61">
        <v>10.80543</v>
      </c>
      <c r="B4131" s="63">
        <v>106.7324</v>
      </c>
      <c r="C4131" s="63">
        <v>10.80128</v>
      </c>
      <c r="D4131" s="63">
        <v>106.7329</v>
      </c>
      <c r="E4131" s="64">
        <v>0.664</v>
      </c>
    </row>
    <row r="4132" ht="22.5" customHeight="1">
      <c r="A4132" s="66">
        <v>10.80543</v>
      </c>
      <c r="B4132" s="67">
        <v>106.7324</v>
      </c>
      <c r="C4132" s="67">
        <v>10.80271</v>
      </c>
      <c r="D4132" s="67">
        <v>106.7355</v>
      </c>
      <c r="E4132" s="68">
        <v>0.842</v>
      </c>
    </row>
    <row r="4133" ht="22.5" customHeight="1">
      <c r="A4133" s="61">
        <v>10.80543</v>
      </c>
      <c r="B4133" s="63">
        <v>106.7324</v>
      </c>
      <c r="C4133" s="63">
        <v>10.80312</v>
      </c>
      <c r="D4133" s="63">
        <v>106.7097</v>
      </c>
      <c r="E4133" s="64">
        <v>3.554</v>
      </c>
    </row>
    <row r="4134" ht="22.5" customHeight="1">
      <c r="A4134" s="66">
        <v>10.80543</v>
      </c>
      <c r="B4134" s="67">
        <v>106.7324</v>
      </c>
      <c r="C4134" s="67">
        <v>10.80354</v>
      </c>
      <c r="D4134" s="67">
        <v>106.7357</v>
      </c>
      <c r="E4134" s="68">
        <v>0.821</v>
      </c>
    </row>
    <row r="4135" ht="22.5" customHeight="1">
      <c r="A4135" s="61">
        <v>10.80543</v>
      </c>
      <c r="B4135" s="63">
        <v>106.7324</v>
      </c>
      <c r="C4135" s="63">
        <v>10.80393</v>
      </c>
      <c r="D4135" s="63">
        <v>106.7092</v>
      </c>
      <c r="E4135" s="64">
        <v>3.932</v>
      </c>
    </row>
    <row r="4136" ht="22.5" customHeight="1">
      <c r="A4136" s="66">
        <v>10.80543</v>
      </c>
      <c r="B4136" s="67">
        <v>106.7324</v>
      </c>
      <c r="C4136" s="67">
        <v>10.80434</v>
      </c>
      <c r="D4136" s="67">
        <v>106.7445</v>
      </c>
      <c r="E4136" s="68">
        <v>1.921</v>
      </c>
    </row>
    <row r="4137" ht="22.5" customHeight="1">
      <c r="A4137" s="61">
        <v>10.80543</v>
      </c>
      <c r="B4137" s="63">
        <v>106.7324</v>
      </c>
      <c r="C4137" s="63">
        <v>10.80543</v>
      </c>
      <c r="D4137" s="63">
        <v>106.7324</v>
      </c>
      <c r="E4137" s="64">
        <v>0.0</v>
      </c>
    </row>
    <row r="4138" ht="22.5" customHeight="1">
      <c r="A4138" s="66">
        <v>10.80543</v>
      </c>
      <c r="B4138" s="67">
        <v>106.7324</v>
      </c>
      <c r="C4138" s="67">
        <v>10.80576</v>
      </c>
      <c r="D4138" s="67">
        <v>106.7346</v>
      </c>
      <c r="E4138" s="68">
        <v>0.484</v>
      </c>
    </row>
    <row r="4139" ht="22.5" customHeight="1">
      <c r="A4139" s="61">
        <v>10.8055</v>
      </c>
      <c r="B4139" s="63">
        <v>106.691</v>
      </c>
      <c r="C4139" s="63">
        <v>10.77509</v>
      </c>
      <c r="D4139" s="63">
        <v>106.6727</v>
      </c>
      <c r="E4139" s="64">
        <v>5.859</v>
      </c>
    </row>
    <row r="4140" ht="22.5" customHeight="1">
      <c r="A4140" s="66">
        <v>10.8055</v>
      </c>
      <c r="B4140" s="67">
        <v>106.691</v>
      </c>
      <c r="C4140" s="67">
        <v>10.80944</v>
      </c>
      <c r="D4140" s="67">
        <v>106.695</v>
      </c>
      <c r="E4140" s="68">
        <v>1.327</v>
      </c>
    </row>
    <row r="4141" ht="22.5" customHeight="1">
      <c r="A4141" s="61">
        <v>10.8055</v>
      </c>
      <c r="B4141" s="63">
        <v>106.691</v>
      </c>
      <c r="C4141" s="63">
        <v>10.82166</v>
      </c>
      <c r="D4141" s="63">
        <v>106.7034</v>
      </c>
      <c r="E4141" s="64">
        <v>3.372</v>
      </c>
    </row>
    <row r="4142" ht="22.5" customHeight="1">
      <c r="A4142" s="66">
        <v>10.8055</v>
      </c>
      <c r="B4142" s="67">
        <v>106.691</v>
      </c>
      <c r="C4142" s="67">
        <v>10.83375</v>
      </c>
      <c r="D4142" s="67">
        <v>106.7288</v>
      </c>
      <c r="E4142" s="68">
        <v>7.681</v>
      </c>
    </row>
    <row r="4143" ht="22.5" customHeight="1">
      <c r="A4143" s="61">
        <v>10.80558</v>
      </c>
      <c r="B4143" s="63">
        <v>106.7358</v>
      </c>
      <c r="C4143" s="63">
        <v>10.79203</v>
      </c>
      <c r="D4143" s="63">
        <v>106.7304</v>
      </c>
      <c r="E4143" s="64">
        <v>2.762</v>
      </c>
    </row>
    <row r="4144" ht="22.5" customHeight="1">
      <c r="A4144" s="66">
        <v>10.80576</v>
      </c>
      <c r="B4144" s="67">
        <v>106.7346</v>
      </c>
      <c r="C4144" s="67">
        <v>10.77509</v>
      </c>
      <c r="D4144" s="67">
        <v>106.6727</v>
      </c>
      <c r="E4144" s="68">
        <v>9.52</v>
      </c>
    </row>
    <row r="4145" ht="22.5" customHeight="1">
      <c r="A4145" s="61">
        <v>10.80576</v>
      </c>
      <c r="B4145" s="63">
        <v>106.7346</v>
      </c>
      <c r="C4145" s="63">
        <v>10.79203</v>
      </c>
      <c r="D4145" s="63">
        <v>106.7304</v>
      </c>
      <c r="E4145" s="64">
        <v>2.378</v>
      </c>
    </row>
    <row r="4146" ht="22.5" customHeight="1">
      <c r="A4146" s="66">
        <v>10.80576</v>
      </c>
      <c r="B4146" s="67">
        <v>106.7346</v>
      </c>
      <c r="C4146" s="67">
        <v>10.7938</v>
      </c>
      <c r="D4146" s="67">
        <v>106.7467</v>
      </c>
      <c r="E4146" s="68">
        <v>3.945</v>
      </c>
    </row>
    <row r="4147" ht="22.5" customHeight="1">
      <c r="A4147" s="61">
        <v>10.80576</v>
      </c>
      <c r="B4147" s="63">
        <v>106.7346</v>
      </c>
      <c r="C4147" s="63">
        <v>10.79446</v>
      </c>
      <c r="D4147" s="63">
        <v>106.731</v>
      </c>
      <c r="E4147" s="64">
        <v>2.255</v>
      </c>
    </row>
    <row r="4148" ht="22.5" customHeight="1">
      <c r="A4148" s="66">
        <v>10.80576</v>
      </c>
      <c r="B4148" s="67">
        <v>106.7346</v>
      </c>
      <c r="C4148" s="67">
        <v>10.79654</v>
      </c>
      <c r="D4148" s="67">
        <v>106.7345</v>
      </c>
      <c r="E4148" s="68">
        <v>2.617</v>
      </c>
    </row>
    <row r="4149" ht="22.5" customHeight="1">
      <c r="A4149" s="61">
        <v>10.80576</v>
      </c>
      <c r="B4149" s="63">
        <v>106.7346</v>
      </c>
      <c r="C4149" s="63">
        <v>10.79662</v>
      </c>
      <c r="D4149" s="63">
        <v>106.7372</v>
      </c>
      <c r="E4149" s="64">
        <v>2.45</v>
      </c>
    </row>
    <row r="4150" ht="22.5" customHeight="1">
      <c r="A4150" s="66">
        <v>10.80576</v>
      </c>
      <c r="B4150" s="67">
        <v>106.7346</v>
      </c>
      <c r="C4150" s="67">
        <v>10.80128</v>
      </c>
      <c r="D4150" s="67">
        <v>106.7329</v>
      </c>
      <c r="E4150" s="68">
        <v>0.845</v>
      </c>
    </row>
    <row r="4151" ht="22.5" customHeight="1">
      <c r="A4151" s="61">
        <v>10.80576</v>
      </c>
      <c r="B4151" s="63">
        <v>106.7346</v>
      </c>
      <c r="C4151" s="63">
        <v>10.80354</v>
      </c>
      <c r="D4151" s="63">
        <v>106.7357</v>
      </c>
      <c r="E4151" s="64">
        <v>0.594</v>
      </c>
    </row>
    <row r="4152" ht="22.5" customHeight="1">
      <c r="A4152" s="66">
        <v>10.80576</v>
      </c>
      <c r="B4152" s="67">
        <v>106.7346</v>
      </c>
      <c r="C4152" s="67">
        <v>10.80357</v>
      </c>
      <c r="D4152" s="67">
        <v>106.7181</v>
      </c>
      <c r="E4152" s="68">
        <v>3.155</v>
      </c>
    </row>
    <row r="4153" ht="22.5" customHeight="1">
      <c r="A4153" s="61">
        <v>10.80576</v>
      </c>
      <c r="B4153" s="63">
        <v>106.7346</v>
      </c>
      <c r="C4153" s="63">
        <v>10.80434</v>
      </c>
      <c r="D4153" s="63">
        <v>106.7445</v>
      </c>
      <c r="E4153" s="64">
        <v>1.606</v>
      </c>
    </row>
    <row r="4154" ht="22.5" customHeight="1">
      <c r="A4154" s="66">
        <v>10.80576</v>
      </c>
      <c r="B4154" s="67">
        <v>106.7346</v>
      </c>
      <c r="C4154" s="67">
        <v>10.80543</v>
      </c>
      <c r="D4154" s="67">
        <v>106.7324</v>
      </c>
      <c r="E4154" s="68">
        <v>0.492</v>
      </c>
    </row>
    <row r="4155" ht="22.5" customHeight="1">
      <c r="A4155" s="61">
        <v>10.80576</v>
      </c>
      <c r="B4155" s="63">
        <v>106.7346</v>
      </c>
      <c r="C4155" s="63">
        <v>10.80576</v>
      </c>
      <c r="D4155" s="63">
        <v>106.7346</v>
      </c>
      <c r="E4155" s="64">
        <v>0.0</v>
      </c>
    </row>
    <row r="4156" ht="22.5" customHeight="1">
      <c r="A4156" s="66">
        <v>10.80576</v>
      </c>
      <c r="B4156" s="67">
        <v>106.7346</v>
      </c>
      <c r="C4156" s="67">
        <v>10.80821</v>
      </c>
      <c r="D4156" s="67">
        <v>106.7251</v>
      </c>
      <c r="E4156" s="68">
        <v>1.666</v>
      </c>
    </row>
    <row r="4157" ht="22.5" customHeight="1">
      <c r="A4157" s="61">
        <v>10.80577</v>
      </c>
      <c r="B4157" s="63">
        <v>106.8384</v>
      </c>
      <c r="C4157" s="63">
        <v>10.79203</v>
      </c>
      <c r="D4157" s="63">
        <v>106.7304</v>
      </c>
      <c r="E4157" s="64">
        <v>16.632</v>
      </c>
    </row>
    <row r="4158" ht="22.5" customHeight="1">
      <c r="A4158" s="66">
        <v>10.80577</v>
      </c>
      <c r="B4158" s="67">
        <v>106.8384</v>
      </c>
      <c r="C4158" s="67">
        <v>10.83771</v>
      </c>
      <c r="D4158" s="67">
        <v>106.8442</v>
      </c>
      <c r="E4158" s="68">
        <v>7.249</v>
      </c>
    </row>
    <row r="4159" ht="22.5" customHeight="1">
      <c r="A4159" s="61">
        <v>10.80577</v>
      </c>
      <c r="B4159" s="63">
        <v>106.8384</v>
      </c>
      <c r="C4159" s="63">
        <v>10.84737</v>
      </c>
      <c r="D4159" s="63">
        <v>106.7766</v>
      </c>
      <c r="E4159" s="64">
        <v>9.888</v>
      </c>
    </row>
    <row r="4160" ht="22.5" customHeight="1">
      <c r="A4160" s="66">
        <v>10.80588</v>
      </c>
      <c r="B4160" s="67">
        <v>106.6874</v>
      </c>
      <c r="C4160" s="67">
        <v>10.79771</v>
      </c>
      <c r="D4160" s="67">
        <v>106.6714</v>
      </c>
      <c r="E4160" s="68">
        <v>2.505</v>
      </c>
    </row>
    <row r="4161" ht="22.5" customHeight="1">
      <c r="A4161" s="61">
        <v>10.80588</v>
      </c>
      <c r="B4161" s="63">
        <v>106.6874</v>
      </c>
      <c r="C4161" s="63">
        <v>10.79975</v>
      </c>
      <c r="D4161" s="63">
        <v>106.6696</v>
      </c>
      <c r="E4161" s="64">
        <v>2.5</v>
      </c>
    </row>
    <row r="4162" ht="22.5" customHeight="1">
      <c r="A4162" s="66">
        <v>10.80588</v>
      </c>
      <c r="B4162" s="67">
        <v>106.6874</v>
      </c>
      <c r="C4162" s="67">
        <v>10.80944</v>
      </c>
      <c r="D4162" s="67">
        <v>106.695</v>
      </c>
      <c r="E4162" s="68">
        <v>2.7</v>
      </c>
    </row>
    <row r="4163" ht="22.5" customHeight="1">
      <c r="A4163" s="61">
        <v>10.80666</v>
      </c>
      <c r="B4163" s="63">
        <v>106.7139</v>
      </c>
      <c r="C4163" s="63">
        <v>10.79036</v>
      </c>
      <c r="D4163" s="63">
        <v>106.6973</v>
      </c>
      <c r="E4163" s="64">
        <v>4.184</v>
      </c>
    </row>
    <row r="4164" ht="22.5" customHeight="1">
      <c r="A4164" s="66">
        <v>10.80666</v>
      </c>
      <c r="B4164" s="67">
        <v>106.7139</v>
      </c>
      <c r="C4164" s="67">
        <v>10.79203</v>
      </c>
      <c r="D4164" s="67">
        <v>106.7304</v>
      </c>
      <c r="E4164" s="68">
        <v>4.63</v>
      </c>
    </row>
    <row r="4165" ht="22.5" customHeight="1">
      <c r="A4165" s="61">
        <v>10.80666</v>
      </c>
      <c r="B4165" s="63">
        <v>106.7139</v>
      </c>
      <c r="C4165" s="63">
        <v>10.79222</v>
      </c>
      <c r="D4165" s="63">
        <v>106.7229</v>
      </c>
      <c r="E4165" s="64">
        <v>2.552</v>
      </c>
    </row>
    <row r="4166" ht="22.5" customHeight="1">
      <c r="A4166" s="66">
        <v>10.80666</v>
      </c>
      <c r="B4166" s="67">
        <v>106.7139</v>
      </c>
      <c r="C4166" s="67">
        <v>10.80027</v>
      </c>
      <c r="D4166" s="67">
        <v>106.7109</v>
      </c>
      <c r="E4166" s="68">
        <v>1.388</v>
      </c>
    </row>
    <row r="4167" ht="22.5" customHeight="1">
      <c r="A4167" s="61">
        <v>10.80666</v>
      </c>
      <c r="B4167" s="63">
        <v>106.7139</v>
      </c>
      <c r="C4167" s="63">
        <v>10.80357</v>
      </c>
      <c r="D4167" s="63">
        <v>106.7181</v>
      </c>
      <c r="E4167" s="64">
        <v>0.758</v>
      </c>
    </row>
    <row r="4168" ht="22.5" customHeight="1">
      <c r="A4168" s="66">
        <v>10.80666</v>
      </c>
      <c r="B4168" s="67">
        <v>106.7139</v>
      </c>
      <c r="C4168" s="67">
        <v>10.80393</v>
      </c>
      <c r="D4168" s="67">
        <v>106.7092</v>
      </c>
      <c r="E4168" s="68">
        <v>1.995</v>
      </c>
    </row>
    <row r="4169" ht="22.5" customHeight="1">
      <c r="A4169" s="61">
        <v>10.80758</v>
      </c>
      <c r="B4169" s="63">
        <v>106.7337</v>
      </c>
      <c r="C4169" s="63">
        <v>10.77509</v>
      </c>
      <c r="D4169" s="63">
        <v>106.6727</v>
      </c>
      <c r="E4169" s="64">
        <v>9.716</v>
      </c>
    </row>
    <row r="4170" ht="22.5" customHeight="1">
      <c r="A4170" s="66">
        <v>10.80758</v>
      </c>
      <c r="B4170" s="67">
        <v>106.7337</v>
      </c>
      <c r="C4170" s="67">
        <v>10.79203</v>
      </c>
      <c r="D4170" s="67">
        <v>106.7304</v>
      </c>
      <c r="E4170" s="68">
        <v>2.622</v>
      </c>
    </row>
    <row r="4171" ht="22.5" customHeight="1">
      <c r="A4171" s="61">
        <v>10.80758</v>
      </c>
      <c r="B4171" s="63">
        <v>106.7337</v>
      </c>
      <c r="C4171" s="63">
        <v>10.79446</v>
      </c>
      <c r="D4171" s="63">
        <v>106.731</v>
      </c>
      <c r="E4171" s="64">
        <v>2.521</v>
      </c>
    </row>
    <row r="4172" ht="22.5" customHeight="1">
      <c r="A4172" s="66">
        <v>10.80758</v>
      </c>
      <c r="B4172" s="67">
        <v>106.7337</v>
      </c>
      <c r="C4172" s="67">
        <v>10.79662</v>
      </c>
      <c r="D4172" s="67">
        <v>106.7372</v>
      </c>
      <c r="E4172" s="68">
        <v>3.4</v>
      </c>
    </row>
    <row r="4173" ht="22.5" customHeight="1">
      <c r="A4173" s="61">
        <v>10.80776</v>
      </c>
      <c r="B4173" s="63">
        <v>106.6749</v>
      </c>
      <c r="C4173" s="63">
        <v>10.79975</v>
      </c>
      <c r="D4173" s="63">
        <v>106.6696</v>
      </c>
      <c r="E4173" s="64">
        <v>1.815</v>
      </c>
    </row>
    <row r="4174" ht="22.5" customHeight="1">
      <c r="A4174" s="66">
        <v>10.80779</v>
      </c>
      <c r="B4174" s="67">
        <v>106.6466</v>
      </c>
      <c r="C4174" s="67">
        <v>10.79435</v>
      </c>
      <c r="D4174" s="67">
        <v>106.6382</v>
      </c>
      <c r="E4174" s="68">
        <v>3.325</v>
      </c>
    </row>
    <row r="4175" ht="22.5" customHeight="1">
      <c r="A4175" s="61">
        <v>10.80788</v>
      </c>
      <c r="B4175" s="63">
        <v>106.8271</v>
      </c>
      <c r="C4175" s="63">
        <v>10.83771</v>
      </c>
      <c r="D4175" s="63">
        <v>106.8442</v>
      </c>
      <c r="E4175" s="64">
        <v>5.468</v>
      </c>
    </row>
    <row r="4176" ht="22.5" customHeight="1">
      <c r="A4176" s="66">
        <v>10.80788</v>
      </c>
      <c r="B4176" s="67">
        <v>106.8271</v>
      </c>
      <c r="C4176" s="67">
        <v>10.84462</v>
      </c>
      <c r="D4176" s="67">
        <v>106.7812</v>
      </c>
      <c r="E4176" s="68">
        <v>7.848</v>
      </c>
    </row>
    <row r="4177" ht="22.5" customHeight="1">
      <c r="A4177" s="61">
        <v>10.80788</v>
      </c>
      <c r="B4177" s="63">
        <v>106.8271</v>
      </c>
      <c r="C4177" s="63">
        <v>10.84737</v>
      </c>
      <c r="D4177" s="63">
        <v>106.7766</v>
      </c>
      <c r="E4177" s="64">
        <v>8.175</v>
      </c>
    </row>
    <row r="4178" ht="22.5" customHeight="1">
      <c r="A4178" s="66">
        <v>10.80788</v>
      </c>
      <c r="B4178" s="67">
        <v>106.8271</v>
      </c>
      <c r="C4178" s="67">
        <v>10.85295</v>
      </c>
      <c r="D4178" s="67">
        <v>106.7922</v>
      </c>
      <c r="E4178" s="68">
        <v>7.993</v>
      </c>
    </row>
    <row r="4179" ht="22.5" customHeight="1">
      <c r="A4179" s="61">
        <v>10.80821</v>
      </c>
      <c r="B4179" s="63">
        <v>106.7251</v>
      </c>
      <c r="C4179" s="63">
        <v>10.79203</v>
      </c>
      <c r="D4179" s="63">
        <v>106.7304</v>
      </c>
      <c r="E4179" s="64">
        <v>2.082</v>
      </c>
    </row>
    <row r="4180" ht="22.5" customHeight="1">
      <c r="A4180" s="66">
        <v>10.80821</v>
      </c>
      <c r="B4180" s="67">
        <v>106.7251</v>
      </c>
      <c r="C4180" s="67">
        <v>10.79446</v>
      </c>
      <c r="D4180" s="67">
        <v>106.731</v>
      </c>
      <c r="E4180" s="68">
        <v>2.036</v>
      </c>
    </row>
    <row r="4181" ht="22.5" customHeight="1">
      <c r="A4181" s="61">
        <v>10.80821</v>
      </c>
      <c r="B4181" s="63">
        <v>106.7251</v>
      </c>
      <c r="C4181" s="63">
        <v>10.79662</v>
      </c>
      <c r="D4181" s="63">
        <v>106.7372</v>
      </c>
      <c r="E4181" s="64">
        <v>2.582</v>
      </c>
    </row>
    <row r="4182" ht="22.5" customHeight="1">
      <c r="A4182" s="66">
        <v>10.80821</v>
      </c>
      <c r="B4182" s="67">
        <v>106.7251</v>
      </c>
      <c r="C4182" s="67">
        <v>10.80128</v>
      </c>
      <c r="D4182" s="67">
        <v>106.7329</v>
      </c>
      <c r="E4182" s="68">
        <v>1.44</v>
      </c>
    </row>
    <row r="4183" ht="22.5" customHeight="1">
      <c r="A4183" s="61">
        <v>10.80821</v>
      </c>
      <c r="B4183" s="63">
        <v>106.7251</v>
      </c>
      <c r="C4183" s="63">
        <v>10.80434</v>
      </c>
      <c r="D4183" s="63">
        <v>106.7445</v>
      </c>
      <c r="E4183" s="64">
        <v>2.857</v>
      </c>
    </row>
    <row r="4184" ht="22.5" customHeight="1">
      <c r="A4184" s="66">
        <v>10.80821</v>
      </c>
      <c r="B4184" s="67">
        <v>106.7251</v>
      </c>
      <c r="C4184" s="67">
        <v>10.80576</v>
      </c>
      <c r="D4184" s="67">
        <v>106.7346</v>
      </c>
      <c r="E4184" s="68">
        <v>1.659</v>
      </c>
    </row>
    <row r="4185" ht="22.5" customHeight="1">
      <c r="A4185" s="61">
        <v>10.80944</v>
      </c>
      <c r="B4185" s="63">
        <v>106.695</v>
      </c>
      <c r="C4185" s="63">
        <v>10.77509</v>
      </c>
      <c r="D4185" s="63">
        <v>106.6727</v>
      </c>
      <c r="E4185" s="64">
        <v>5.6</v>
      </c>
    </row>
    <row r="4186" ht="22.5" customHeight="1">
      <c r="A4186" s="66">
        <v>10.80944</v>
      </c>
      <c r="B4186" s="67">
        <v>106.695</v>
      </c>
      <c r="C4186" s="67">
        <v>10.79036</v>
      </c>
      <c r="D4186" s="67">
        <v>106.6973</v>
      </c>
      <c r="E4186" s="68">
        <v>2.856</v>
      </c>
    </row>
    <row r="4187" ht="22.5" customHeight="1">
      <c r="A4187" s="61">
        <v>10.80944</v>
      </c>
      <c r="B4187" s="63">
        <v>106.695</v>
      </c>
      <c r="C4187" s="63">
        <v>10.79126</v>
      </c>
      <c r="D4187" s="63">
        <v>106.6782</v>
      </c>
      <c r="E4187" s="64">
        <v>3.7</v>
      </c>
    </row>
    <row r="4188" ht="22.5" customHeight="1">
      <c r="A4188" s="66">
        <v>10.80944</v>
      </c>
      <c r="B4188" s="67">
        <v>106.695</v>
      </c>
      <c r="C4188" s="67">
        <v>10.7922</v>
      </c>
      <c r="D4188" s="67">
        <v>106.6726</v>
      </c>
      <c r="E4188" s="68">
        <v>4.2</v>
      </c>
    </row>
    <row r="4189" ht="22.5" customHeight="1">
      <c r="A4189" s="61">
        <v>10.80944</v>
      </c>
      <c r="B4189" s="63">
        <v>106.695</v>
      </c>
      <c r="C4189" s="63">
        <v>10.7965</v>
      </c>
      <c r="D4189" s="63">
        <v>106.6881</v>
      </c>
      <c r="E4189" s="64">
        <v>2.1</v>
      </c>
    </row>
    <row r="4190" ht="22.5" customHeight="1">
      <c r="A4190" s="66">
        <v>10.80944</v>
      </c>
      <c r="B4190" s="67">
        <v>106.695</v>
      </c>
      <c r="C4190" s="67">
        <v>10.79765</v>
      </c>
      <c r="D4190" s="67">
        <v>106.673</v>
      </c>
      <c r="E4190" s="68">
        <v>3.6</v>
      </c>
    </row>
    <row r="4191" ht="22.5" customHeight="1">
      <c r="A4191" s="61">
        <v>10.80944</v>
      </c>
      <c r="B4191" s="63">
        <v>106.695</v>
      </c>
      <c r="C4191" s="63">
        <v>10.79771</v>
      </c>
      <c r="D4191" s="63">
        <v>106.6714</v>
      </c>
      <c r="E4191" s="64">
        <v>3.7</v>
      </c>
    </row>
    <row r="4192" ht="22.5" customHeight="1">
      <c r="A4192" s="66">
        <v>10.80944</v>
      </c>
      <c r="B4192" s="67">
        <v>106.695</v>
      </c>
      <c r="C4192" s="67">
        <v>10.80325</v>
      </c>
      <c r="D4192" s="67">
        <v>106.6842</v>
      </c>
      <c r="E4192" s="68">
        <v>1.9</v>
      </c>
    </row>
    <row r="4193" ht="22.5" customHeight="1">
      <c r="A4193" s="61">
        <v>10.80944</v>
      </c>
      <c r="B4193" s="63">
        <v>106.695</v>
      </c>
      <c r="C4193" s="63">
        <v>10.8055</v>
      </c>
      <c r="D4193" s="63">
        <v>106.691</v>
      </c>
      <c r="E4193" s="64">
        <v>0.023</v>
      </c>
    </row>
    <row r="4194" ht="22.5" customHeight="1">
      <c r="A4194" s="66">
        <v>10.80944</v>
      </c>
      <c r="B4194" s="67">
        <v>106.695</v>
      </c>
      <c r="C4194" s="67">
        <v>10.80944</v>
      </c>
      <c r="D4194" s="67">
        <v>106.695</v>
      </c>
      <c r="E4194" s="68">
        <v>0.005</v>
      </c>
    </row>
    <row r="4195" ht="22.5" customHeight="1">
      <c r="A4195" s="61">
        <v>10.80944</v>
      </c>
      <c r="B4195" s="63">
        <v>106.695</v>
      </c>
      <c r="C4195" s="63">
        <v>10.80953</v>
      </c>
      <c r="D4195" s="63">
        <v>106.6857</v>
      </c>
      <c r="E4195" s="64">
        <v>1.375</v>
      </c>
    </row>
    <row r="4196" ht="22.5" customHeight="1">
      <c r="A4196" s="66">
        <v>10.80944</v>
      </c>
      <c r="B4196" s="67">
        <v>106.695</v>
      </c>
      <c r="C4196" s="67">
        <v>10.81322</v>
      </c>
      <c r="D4196" s="67">
        <v>106.6874</v>
      </c>
      <c r="E4196" s="68">
        <v>1.205</v>
      </c>
    </row>
    <row r="4197" ht="22.5" customHeight="1">
      <c r="A4197" s="61">
        <v>10.80944</v>
      </c>
      <c r="B4197" s="63">
        <v>106.695</v>
      </c>
      <c r="C4197" s="63">
        <v>10.81521</v>
      </c>
      <c r="D4197" s="63">
        <v>106.6978</v>
      </c>
      <c r="E4197" s="64">
        <v>0.721</v>
      </c>
    </row>
    <row r="4198" ht="22.5" customHeight="1">
      <c r="A4198" s="66">
        <v>10.80944</v>
      </c>
      <c r="B4198" s="67">
        <v>106.695</v>
      </c>
      <c r="C4198" s="67">
        <v>10.82082</v>
      </c>
      <c r="D4198" s="67">
        <v>106.7046</v>
      </c>
      <c r="E4198" s="68">
        <v>1.9</v>
      </c>
    </row>
    <row r="4199" ht="22.5" customHeight="1">
      <c r="A4199" s="61">
        <v>10.80944</v>
      </c>
      <c r="B4199" s="63">
        <v>106.695</v>
      </c>
      <c r="C4199" s="63">
        <v>10.82166</v>
      </c>
      <c r="D4199" s="63">
        <v>106.7034</v>
      </c>
      <c r="E4199" s="64">
        <v>2.5</v>
      </c>
    </row>
    <row r="4200" ht="22.5" customHeight="1">
      <c r="A4200" s="66">
        <v>10.80953</v>
      </c>
      <c r="B4200" s="67">
        <v>106.6857</v>
      </c>
      <c r="C4200" s="67">
        <v>10.77509</v>
      </c>
      <c r="D4200" s="67">
        <v>106.6727</v>
      </c>
      <c r="E4200" s="68">
        <v>6.25</v>
      </c>
    </row>
    <row r="4201" ht="22.5" customHeight="1">
      <c r="A4201" s="61">
        <v>10.80953</v>
      </c>
      <c r="B4201" s="63">
        <v>106.6857</v>
      </c>
      <c r="C4201" s="63">
        <v>10.79036</v>
      </c>
      <c r="D4201" s="63">
        <v>106.6973</v>
      </c>
      <c r="E4201" s="64">
        <v>3.358</v>
      </c>
    </row>
    <row r="4202" ht="22.5" customHeight="1">
      <c r="A4202" s="66">
        <v>10.80953</v>
      </c>
      <c r="B4202" s="67">
        <v>106.6857</v>
      </c>
      <c r="C4202" s="67">
        <v>10.80944</v>
      </c>
      <c r="D4202" s="67">
        <v>106.695</v>
      </c>
      <c r="E4202" s="68">
        <v>1.389</v>
      </c>
    </row>
    <row r="4203" ht="22.5" customHeight="1">
      <c r="A4203" s="61">
        <v>10.80953</v>
      </c>
      <c r="B4203" s="63">
        <v>106.6857</v>
      </c>
      <c r="C4203" s="63">
        <v>10.81521</v>
      </c>
      <c r="D4203" s="63">
        <v>106.6978</v>
      </c>
      <c r="E4203" s="64">
        <v>1.803</v>
      </c>
    </row>
    <row r="4204" ht="22.5" customHeight="1">
      <c r="A4204" s="66">
        <v>10.80953</v>
      </c>
      <c r="B4204" s="67">
        <v>106.6857</v>
      </c>
      <c r="C4204" s="67">
        <v>10.81724</v>
      </c>
      <c r="D4204" s="67">
        <v>106.689</v>
      </c>
      <c r="E4204" s="68">
        <v>1.45</v>
      </c>
    </row>
    <row r="4205" ht="22.5" customHeight="1">
      <c r="A4205" s="61">
        <v>10.80953</v>
      </c>
      <c r="B4205" s="63">
        <v>106.6857</v>
      </c>
      <c r="C4205" s="63">
        <v>10.82166</v>
      </c>
      <c r="D4205" s="63">
        <v>106.7034</v>
      </c>
      <c r="E4205" s="64">
        <v>2.417</v>
      </c>
    </row>
    <row r="4206" ht="22.5" customHeight="1">
      <c r="A4206" s="66">
        <v>10.80953</v>
      </c>
      <c r="B4206" s="67">
        <v>106.6857</v>
      </c>
      <c r="C4206" s="67">
        <v>10.83375</v>
      </c>
      <c r="D4206" s="67">
        <v>106.7288</v>
      </c>
      <c r="E4206" s="68">
        <v>6.133</v>
      </c>
    </row>
    <row r="4207" ht="22.5" customHeight="1">
      <c r="A4207" s="61">
        <v>10.80992</v>
      </c>
      <c r="B4207" s="63">
        <v>106.6725</v>
      </c>
      <c r="C4207" s="63">
        <v>10.79229</v>
      </c>
      <c r="D4207" s="63">
        <v>106.6621</v>
      </c>
      <c r="E4207" s="64">
        <v>3.719</v>
      </c>
    </row>
    <row r="4208" ht="22.5" customHeight="1">
      <c r="A4208" s="66">
        <v>10.80992</v>
      </c>
      <c r="B4208" s="67">
        <v>106.6725</v>
      </c>
      <c r="C4208" s="67">
        <v>10.81863</v>
      </c>
      <c r="D4208" s="67">
        <v>106.6787</v>
      </c>
      <c r="E4208" s="68">
        <v>3.218</v>
      </c>
    </row>
    <row r="4209" ht="22.5" customHeight="1">
      <c r="A4209" s="61">
        <v>10.81074</v>
      </c>
      <c r="B4209" s="63">
        <v>106.6226</v>
      </c>
      <c r="C4209" s="63">
        <v>10.79435</v>
      </c>
      <c r="D4209" s="63">
        <v>106.6382</v>
      </c>
      <c r="E4209" s="64">
        <v>3.779</v>
      </c>
    </row>
    <row r="4210" ht="22.5" customHeight="1">
      <c r="A4210" s="66">
        <v>10.81074</v>
      </c>
      <c r="B4210" s="67">
        <v>106.6947</v>
      </c>
      <c r="C4210" s="67">
        <v>10.80944</v>
      </c>
      <c r="D4210" s="67">
        <v>106.695</v>
      </c>
      <c r="E4210" s="68">
        <v>0.153</v>
      </c>
    </row>
    <row r="4211" ht="22.5" customHeight="1">
      <c r="A4211" s="61">
        <v>10.81074</v>
      </c>
      <c r="B4211" s="63">
        <v>106.6947</v>
      </c>
      <c r="C4211" s="63">
        <v>10.81074</v>
      </c>
      <c r="D4211" s="63">
        <v>106.6947</v>
      </c>
      <c r="E4211" s="64">
        <v>0.0</v>
      </c>
    </row>
    <row r="4212" ht="22.5" customHeight="1">
      <c r="A4212" s="66">
        <v>10.81094</v>
      </c>
      <c r="B4212" s="67">
        <v>106.611</v>
      </c>
      <c r="C4212" s="67">
        <v>10.7692</v>
      </c>
      <c r="D4212" s="67">
        <v>106.6516</v>
      </c>
      <c r="E4212" s="68">
        <v>7.965</v>
      </c>
    </row>
    <row r="4213" ht="22.5" customHeight="1">
      <c r="A4213" s="61">
        <v>10.81094</v>
      </c>
      <c r="B4213" s="63">
        <v>106.611</v>
      </c>
      <c r="C4213" s="63">
        <v>10.76925</v>
      </c>
      <c r="D4213" s="63">
        <v>106.626</v>
      </c>
      <c r="E4213" s="64">
        <v>5.563</v>
      </c>
    </row>
    <row r="4214" ht="22.5" customHeight="1">
      <c r="A4214" s="66">
        <v>10.81094</v>
      </c>
      <c r="B4214" s="67">
        <v>106.611</v>
      </c>
      <c r="C4214" s="67">
        <v>10.7716</v>
      </c>
      <c r="D4214" s="67">
        <v>106.6285</v>
      </c>
      <c r="E4214" s="68">
        <v>5.525</v>
      </c>
    </row>
    <row r="4215" ht="22.5" customHeight="1">
      <c r="A4215" s="61">
        <v>10.81094</v>
      </c>
      <c r="B4215" s="63">
        <v>106.611</v>
      </c>
      <c r="C4215" s="63">
        <v>10.77203</v>
      </c>
      <c r="D4215" s="63">
        <v>106.6322</v>
      </c>
      <c r="E4215" s="64">
        <v>5.964</v>
      </c>
    </row>
    <row r="4216" ht="22.5" customHeight="1">
      <c r="A4216" s="66">
        <v>10.81094</v>
      </c>
      <c r="B4216" s="67">
        <v>106.611</v>
      </c>
      <c r="C4216" s="67">
        <v>10.77231</v>
      </c>
      <c r="D4216" s="67">
        <v>106.6319</v>
      </c>
      <c r="E4216" s="68">
        <v>5.959</v>
      </c>
    </row>
    <row r="4217" ht="22.5" customHeight="1">
      <c r="A4217" s="61">
        <v>10.81094</v>
      </c>
      <c r="B4217" s="63">
        <v>106.611</v>
      </c>
      <c r="C4217" s="63">
        <v>10.7748</v>
      </c>
      <c r="D4217" s="63">
        <v>106.6483</v>
      </c>
      <c r="E4217" s="64">
        <v>7.594</v>
      </c>
    </row>
    <row r="4218" ht="22.5" customHeight="1">
      <c r="A4218" s="66">
        <v>10.81094</v>
      </c>
      <c r="B4218" s="67">
        <v>106.611</v>
      </c>
      <c r="C4218" s="67">
        <v>10.77509</v>
      </c>
      <c r="D4218" s="67">
        <v>106.6727</v>
      </c>
      <c r="E4218" s="68">
        <v>10.161</v>
      </c>
    </row>
    <row r="4219" ht="22.5" customHeight="1">
      <c r="A4219" s="61">
        <v>10.81094</v>
      </c>
      <c r="B4219" s="63">
        <v>106.611</v>
      </c>
      <c r="C4219" s="63">
        <v>10.78175</v>
      </c>
      <c r="D4219" s="63">
        <v>106.6306</v>
      </c>
      <c r="E4219" s="64">
        <v>4.729</v>
      </c>
    </row>
    <row r="4220" ht="22.5" customHeight="1">
      <c r="A4220" s="66">
        <v>10.81094</v>
      </c>
      <c r="B4220" s="67">
        <v>106.611</v>
      </c>
      <c r="C4220" s="67">
        <v>10.78264</v>
      </c>
      <c r="D4220" s="67">
        <v>106.6267</v>
      </c>
      <c r="E4220" s="68">
        <v>4.293</v>
      </c>
    </row>
    <row r="4221" ht="22.5" customHeight="1">
      <c r="A4221" s="61">
        <v>10.81094</v>
      </c>
      <c r="B4221" s="63">
        <v>106.611</v>
      </c>
      <c r="C4221" s="63">
        <v>10.78954</v>
      </c>
      <c r="D4221" s="63">
        <v>106.6431</v>
      </c>
      <c r="E4221" s="64">
        <v>5.368</v>
      </c>
    </row>
    <row r="4222" ht="22.5" customHeight="1">
      <c r="A4222" s="66">
        <v>10.81094</v>
      </c>
      <c r="B4222" s="67">
        <v>106.611</v>
      </c>
      <c r="C4222" s="67">
        <v>10.79193</v>
      </c>
      <c r="D4222" s="67">
        <v>106.6555</v>
      </c>
      <c r="E4222" s="68">
        <v>6.407</v>
      </c>
    </row>
    <row r="4223" ht="22.5" customHeight="1">
      <c r="A4223" s="61">
        <v>10.81094</v>
      </c>
      <c r="B4223" s="63">
        <v>106.611</v>
      </c>
      <c r="C4223" s="63">
        <v>10.79212</v>
      </c>
      <c r="D4223" s="63">
        <v>106.6427</v>
      </c>
      <c r="E4223" s="64">
        <v>5.152</v>
      </c>
    </row>
    <row r="4224" ht="22.5" customHeight="1">
      <c r="A4224" s="66">
        <v>10.81094</v>
      </c>
      <c r="B4224" s="67">
        <v>106.611</v>
      </c>
      <c r="C4224" s="67">
        <v>10.79435</v>
      </c>
      <c r="D4224" s="67">
        <v>106.6382</v>
      </c>
      <c r="E4224" s="68">
        <v>4.506</v>
      </c>
    </row>
    <row r="4225" ht="22.5" customHeight="1">
      <c r="A4225" s="61">
        <v>10.81094</v>
      </c>
      <c r="B4225" s="63">
        <v>106.611</v>
      </c>
      <c r="C4225" s="63">
        <v>10.79464</v>
      </c>
      <c r="D4225" s="63">
        <v>106.6355</v>
      </c>
      <c r="E4225" s="64">
        <v>4.095</v>
      </c>
    </row>
    <row r="4226" ht="22.5" customHeight="1">
      <c r="A4226" s="66">
        <v>10.81094</v>
      </c>
      <c r="B4226" s="67">
        <v>106.611</v>
      </c>
      <c r="C4226" s="67">
        <v>10.79525</v>
      </c>
      <c r="D4226" s="67">
        <v>106.6294</v>
      </c>
      <c r="E4226" s="68">
        <v>3.44</v>
      </c>
    </row>
    <row r="4227" ht="22.5" customHeight="1">
      <c r="A4227" s="61">
        <v>10.81094</v>
      </c>
      <c r="B4227" s="63">
        <v>106.611</v>
      </c>
      <c r="C4227" s="63">
        <v>10.79654</v>
      </c>
      <c r="D4227" s="63">
        <v>106.6536</v>
      </c>
      <c r="E4227" s="64">
        <v>5.998</v>
      </c>
    </row>
    <row r="4228" ht="22.5" customHeight="1">
      <c r="A4228" s="66">
        <v>10.81094</v>
      </c>
      <c r="B4228" s="67">
        <v>106.611</v>
      </c>
      <c r="C4228" s="67">
        <v>10.7972</v>
      </c>
      <c r="D4228" s="67">
        <v>106.6307</v>
      </c>
      <c r="E4228" s="68">
        <v>3.302</v>
      </c>
    </row>
    <row r="4229" ht="22.5" customHeight="1">
      <c r="A4229" s="61">
        <v>10.81094</v>
      </c>
      <c r="B4229" s="63">
        <v>106.611</v>
      </c>
      <c r="C4229" s="63">
        <v>10.80079</v>
      </c>
      <c r="D4229" s="63">
        <v>106.6572</v>
      </c>
      <c r="E4229" s="64">
        <v>5.849</v>
      </c>
    </row>
    <row r="4230" ht="22.5" customHeight="1">
      <c r="A4230" s="66">
        <v>10.81094</v>
      </c>
      <c r="B4230" s="67">
        <v>106.611</v>
      </c>
      <c r="C4230" s="67">
        <v>10.80141</v>
      </c>
      <c r="D4230" s="67">
        <v>106.6495</v>
      </c>
      <c r="E4230" s="68">
        <v>5.403</v>
      </c>
    </row>
    <row r="4231" ht="22.5" customHeight="1">
      <c r="A4231" s="61">
        <v>10.81094</v>
      </c>
      <c r="B4231" s="63">
        <v>106.611</v>
      </c>
      <c r="C4231" s="63">
        <v>10.80369</v>
      </c>
      <c r="D4231" s="63">
        <v>106.6323</v>
      </c>
      <c r="E4231" s="64">
        <v>2.429</v>
      </c>
    </row>
    <row r="4232" ht="22.5" customHeight="1">
      <c r="A4232" s="66">
        <v>10.81094</v>
      </c>
      <c r="B4232" s="67">
        <v>106.611</v>
      </c>
      <c r="C4232" s="67">
        <v>10.80474</v>
      </c>
      <c r="D4232" s="67">
        <v>106.642</v>
      </c>
      <c r="E4232" s="68">
        <v>4.422</v>
      </c>
    </row>
    <row r="4233" ht="22.5" customHeight="1">
      <c r="A4233" s="61">
        <v>10.81094</v>
      </c>
      <c r="B4233" s="63">
        <v>106.611</v>
      </c>
      <c r="C4233" s="63">
        <v>10.81094</v>
      </c>
      <c r="D4233" s="63">
        <v>106.611</v>
      </c>
      <c r="E4233" s="64">
        <v>0.426</v>
      </c>
    </row>
    <row r="4234" ht="22.5" customHeight="1">
      <c r="A4234" s="66">
        <v>10.81094</v>
      </c>
      <c r="B4234" s="67">
        <v>106.611</v>
      </c>
      <c r="C4234" s="67">
        <v>10.81147</v>
      </c>
      <c r="D4234" s="67">
        <v>106.6107</v>
      </c>
      <c r="E4234" s="68">
        <v>0.447</v>
      </c>
    </row>
    <row r="4235" ht="22.5" customHeight="1">
      <c r="A4235" s="61">
        <v>10.81094</v>
      </c>
      <c r="B4235" s="63">
        <v>106.611</v>
      </c>
      <c r="C4235" s="63">
        <v>10.81494</v>
      </c>
      <c r="D4235" s="63">
        <v>106.5854</v>
      </c>
      <c r="E4235" s="64">
        <v>4.349</v>
      </c>
    </row>
    <row r="4236" ht="22.5" customHeight="1">
      <c r="A4236" s="66">
        <v>10.81094</v>
      </c>
      <c r="B4236" s="67">
        <v>106.611</v>
      </c>
      <c r="C4236" s="67">
        <v>10.81586</v>
      </c>
      <c r="D4236" s="67">
        <v>106.5985</v>
      </c>
      <c r="E4236" s="68">
        <v>1.937</v>
      </c>
    </row>
    <row r="4237" ht="22.5" customHeight="1">
      <c r="A4237" s="61">
        <v>10.81094</v>
      </c>
      <c r="B4237" s="63">
        <v>106.611</v>
      </c>
      <c r="C4237" s="63">
        <v>10.81846</v>
      </c>
      <c r="D4237" s="63">
        <v>106.6336</v>
      </c>
      <c r="E4237" s="64">
        <v>4.511</v>
      </c>
    </row>
    <row r="4238" ht="22.5" customHeight="1">
      <c r="A4238" s="66">
        <v>10.81094</v>
      </c>
      <c r="B4238" s="67">
        <v>106.611</v>
      </c>
      <c r="C4238" s="67">
        <v>10.82721</v>
      </c>
      <c r="D4238" s="67">
        <v>106.6247</v>
      </c>
      <c r="E4238" s="68">
        <v>4.87</v>
      </c>
    </row>
    <row r="4239" ht="22.5" customHeight="1">
      <c r="A4239" s="61">
        <v>10.81114</v>
      </c>
      <c r="B4239" s="63">
        <v>106.6695</v>
      </c>
      <c r="C4239" s="63">
        <v>10.79975</v>
      </c>
      <c r="D4239" s="63">
        <v>106.6696</v>
      </c>
      <c r="E4239" s="64">
        <v>2.792</v>
      </c>
    </row>
    <row r="4240" ht="22.5" customHeight="1">
      <c r="A4240" s="66">
        <v>10.81114</v>
      </c>
      <c r="B4240" s="67">
        <v>106.6695</v>
      </c>
      <c r="C4240" s="67">
        <v>10.80458</v>
      </c>
      <c r="D4240" s="67">
        <v>106.6759</v>
      </c>
      <c r="E4240" s="68">
        <v>1.781</v>
      </c>
    </row>
    <row r="4241" ht="22.5" customHeight="1">
      <c r="A4241" s="61">
        <v>10.81114</v>
      </c>
      <c r="B4241" s="63">
        <v>106.6695</v>
      </c>
      <c r="C4241" s="63">
        <v>10.81863</v>
      </c>
      <c r="D4241" s="63">
        <v>106.6787</v>
      </c>
      <c r="E4241" s="64">
        <v>3.437</v>
      </c>
    </row>
    <row r="4242" ht="22.5" customHeight="1">
      <c r="A4242" s="66">
        <v>10.81147</v>
      </c>
      <c r="B4242" s="67">
        <v>106.6107</v>
      </c>
      <c r="C4242" s="67">
        <v>10.76925</v>
      </c>
      <c r="D4242" s="67">
        <v>106.626</v>
      </c>
      <c r="E4242" s="68">
        <v>5.91</v>
      </c>
    </row>
    <row r="4243" ht="22.5" customHeight="1">
      <c r="A4243" s="61">
        <v>10.81147</v>
      </c>
      <c r="B4243" s="63">
        <v>106.6107</v>
      </c>
      <c r="C4243" s="63">
        <v>10.77231</v>
      </c>
      <c r="D4243" s="63">
        <v>106.6319</v>
      </c>
      <c r="E4243" s="64">
        <v>5.998</v>
      </c>
    </row>
    <row r="4244" ht="22.5" customHeight="1">
      <c r="A4244" s="66">
        <v>10.81147</v>
      </c>
      <c r="B4244" s="67">
        <v>106.6107</v>
      </c>
      <c r="C4244" s="67">
        <v>10.77509</v>
      </c>
      <c r="D4244" s="67">
        <v>106.6727</v>
      </c>
      <c r="E4244" s="68">
        <v>11.0</v>
      </c>
    </row>
    <row r="4245" ht="22.5" customHeight="1">
      <c r="A4245" s="61">
        <v>10.81147</v>
      </c>
      <c r="B4245" s="63">
        <v>106.6107</v>
      </c>
      <c r="C4245" s="63">
        <v>10.78175</v>
      </c>
      <c r="D4245" s="63">
        <v>106.6306</v>
      </c>
      <c r="E4245" s="64">
        <v>4.712</v>
      </c>
    </row>
    <row r="4246" ht="22.5" customHeight="1">
      <c r="A4246" s="66">
        <v>10.81147</v>
      </c>
      <c r="B4246" s="67">
        <v>106.6107</v>
      </c>
      <c r="C4246" s="67">
        <v>10.78264</v>
      </c>
      <c r="D4246" s="67">
        <v>106.6267</v>
      </c>
      <c r="E4246" s="68">
        <v>4.869</v>
      </c>
    </row>
    <row r="4247" ht="22.5" customHeight="1">
      <c r="A4247" s="61">
        <v>10.81147</v>
      </c>
      <c r="B4247" s="63">
        <v>106.6107</v>
      </c>
      <c r="C4247" s="63">
        <v>10.78954</v>
      </c>
      <c r="D4247" s="63">
        <v>106.6431</v>
      </c>
      <c r="E4247" s="64">
        <v>5.399</v>
      </c>
    </row>
    <row r="4248" ht="22.5" customHeight="1">
      <c r="A4248" s="66">
        <v>10.81147</v>
      </c>
      <c r="B4248" s="67">
        <v>106.6107</v>
      </c>
      <c r="C4248" s="67">
        <v>10.79193</v>
      </c>
      <c r="D4248" s="67">
        <v>106.6555</v>
      </c>
      <c r="E4248" s="68">
        <v>6.658</v>
      </c>
    </row>
    <row r="4249" ht="22.5" customHeight="1">
      <c r="A4249" s="61">
        <v>10.81147</v>
      </c>
      <c r="B4249" s="63">
        <v>106.6107</v>
      </c>
      <c r="C4249" s="63">
        <v>10.79212</v>
      </c>
      <c r="D4249" s="63">
        <v>106.6427</v>
      </c>
      <c r="E4249" s="64">
        <v>5.174</v>
      </c>
    </row>
    <row r="4250" ht="22.5" customHeight="1">
      <c r="A4250" s="66">
        <v>10.81147</v>
      </c>
      <c r="B4250" s="67">
        <v>106.6107</v>
      </c>
      <c r="C4250" s="67">
        <v>10.79435</v>
      </c>
      <c r="D4250" s="67">
        <v>106.6382</v>
      </c>
      <c r="E4250" s="68">
        <v>4.8</v>
      </c>
    </row>
    <row r="4251" ht="22.5" customHeight="1">
      <c r="A4251" s="61">
        <v>10.81147</v>
      </c>
      <c r="B4251" s="63">
        <v>106.6107</v>
      </c>
      <c r="C4251" s="63">
        <v>10.79525</v>
      </c>
      <c r="D4251" s="63">
        <v>106.6294</v>
      </c>
      <c r="E4251" s="64">
        <v>3.8</v>
      </c>
    </row>
    <row r="4252" ht="22.5" customHeight="1">
      <c r="A4252" s="66">
        <v>10.81147</v>
      </c>
      <c r="B4252" s="67">
        <v>106.6107</v>
      </c>
      <c r="C4252" s="67">
        <v>10.79574</v>
      </c>
      <c r="D4252" s="67">
        <v>106.6229</v>
      </c>
      <c r="E4252" s="68">
        <v>2.558</v>
      </c>
    </row>
    <row r="4253" ht="22.5" customHeight="1">
      <c r="A4253" s="61">
        <v>10.81147</v>
      </c>
      <c r="B4253" s="63">
        <v>106.6107</v>
      </c>
      <c r="C4253" s="63">
        <v>10.7972</v>
      </c>
      <c r="D4253" s="63">
        <v>106.6307</v>
      </c>
      <c r="E4253" s="64">
        <v>3.371</v>
      </c>
    </row>
    <row r="4254" ht="22.5" customHeight="1">
      <c r="A4254" s="66">
        <v>10.81147</v>
      </c>
      <c r="B4254" s="67">
        <v>106.6107</v>
      </c>
      <c r="C4254" s="67">
        <v>10.80079</v>
      </c>
      <c r="D4254" s="67">
        <v>106.6572</v>
      </c>
      <c r="E4254" s="68">
        <v>6.096</v>
      </c>
    </row>
    <row r="4255" ht="22.5" customHeight="1">
      <c r="A4255" s="61">
        <v>10.81147</v>
      </c>
      <c r="B4255" s="63">
        <v>106.6107</v>
      </c>
      <c r="C4255" s="63">
        <v>10.80119</v>
      </c>
      <c r="D4255" s="63">
        <v>106.6381</v>
      </c>
      <c r="E4255" s="64">
        <v>3.641</v>
      </c>
    </row>
    <row r="4256" ht="22.5" customHeight="1">
      <c r="A4256" s="66">
        <v>10.81147</v>
      </c>
      <c r="B4256" s="67">
        <v>106.6107</v>
      </c>
      <c r="C4256" s="67">
        <v>10.80369</v>
      </c>
      <c r="D4256" s="67">
        <v>106.6323</v>
      </c>
      <c r="E4256" s="68">
        <v>2.491</v>
      </c>
    </row>
    <row r="4257" ht="22.5" customHeight="1">
      <c r="A4257" s="61">
        <v>10.81147</v>
      </c>
      <c r="B4257" s="63">
        <v>106.6107</v>
      </c>
      <c r="C4257" s="63">
        <v>10.81094</v>
      </c>
      <c r="D4257" s="63">
        <v>106.611</v>
      </c>
      <c r="E4257" s="64">
        <v>0.0</v>
      </c>
    </row>
    <row r="4258" ht="22.5" customHeight="1">
      <c r="A4258" s="66">
        <v>10.81147</v>
      </c>
      <c r="B4258" s="67">
        <v>106.6107</v>
      </c>
      <c r="C4258" s="67">
        <v>10.81464</v>
      </c>
      <c r="D4258" s="67">
        <v>106.5842</v>
      </c>
      <c r="E4258" s="68">
        <v>7.358</v>
      </c>
    </row>
    <row r="4259" ht="22.5" customHeight="1">
      <c r="A4259" s="61">
        <v>10.81147</v>
      </c>
      <c r="B4259" s="63">
        <v>106.6107</v>
      </c>
      <c r="C4259" s="63">
        <v>10.81586</v>
      </c>
      <c r="D4259" s="63">
        <v>106.5985</v>
      </c>
      <c r="E4259" s="64">
        <v>1.5</v>
      </c>
    </row>
    <row r="4260" ht="22.5" customHeight="1">
      <c r="A4260" s="66">
        <v>10.81147</v>
      </c>
      <c r="B4260" s="67">
        <v>106.6107</v>
      </c>
      <c r="C4260" s="67">
        <v>10.82721</v>
      </c>
      <c r="D4260" s="67">
        <v>106.6247</v>
      </c>
      <c r="E4260" s="68">
        <v>4.4</v>
      </c>
    </row>
    <row r="4261" ht="22.5" customHeight="1">
      <c r="A4261" s="61">
        <v>10.81303</v>
      </c>
      <c r="B4261" s="63">
        <v>106.6937</v>
      </c>
      <c r="C4261" s="63">
        <v>10.80944</v>
      </c>
      <c r="D4261" s="63">
        <v>106.695</v>
      </c>
      <c r="E4261" s="64">
        <v>0.973</v>
      </c>
    </row>
    <row r="4262" ht="22.5" customHeight="1">
      <c r="A4262" s="66">
        <v>10.81322</v>
      </c>
      <c r="B4262" s="67">
        <v>106.6874</v>
      </c>
      <c r="C4262" s="67">
        <v>10.77509</v>
      </c>
      <c r="D4262" s="67">
        <v>106.6727</v>
      </c>
      <c r="E4262" s="68">
        <v>6.583</v>
      </c>
    </row>
    <row r="4263" ht="22.5" customHeight="1">
      <c r="A4263" s="61">
        <v>10.81322</v>
      </c>
      <c r="B4263" s="63">
        <v>106.6874</v>
      </c>
      <c r="C4263" s="63">
        <v>10.79036</v>
      </c>
      <c r="D4263" s="63">
        <v>106.6973</v>
      </c>
      <c r="E4263" s="64">
        <v>3.892</v>
      </c>
    </row>
    <row r="4264" ht="22.5" customHeight="1">
      <c r="A4264" s="66">
        <v>10.81322</v>
      </c>
      <c r="B4264" s="67">
        <v>106.6874</v>
      </c>
      <c r="C4264" s="67">
        <v>10.8021</v>
      </c>
      <c r="D4264" s="67">
        <v>106.6836</v>
      </c>
      <c r="E4264" s="68">
        <v>1.918</v>
      </c>
    </row>
    <row r="4265" ht="22.5" customHeight="1">
      <c r="A4265" s="61">
        <v>10.81322</v>
      </c>
      <c r="B4265" s="63">
        <v>106.6874</v>
      </c>
      <c r="C4265" s="63">
        <v>10.80393</v>
      </c>
      <c r="D4265" s="63">
        <v>106.7092</v>
      </c>
      <c r="E4265" s="64">
        <v>3.549</v>
      </c>
    </row>
    <row r="4266" ht="22.5" customHeight="1">
      <c r="A4266" s="66">
        <v>10.81322</v>
      </c>
      <c r="B4266" s="67">
        <v>106.6874</v>
      </c>
      <c r="C4266" s="67">
        <v>10.80944</v>
      </c>
      <c r="D4266" s="67">
        <v>106.695</v>
      </c>
      <c r="E4266" s="68">
        <v>1.218</v>
      </c>
    </row>
    <row r="4267" ht="22.5" customHeight="1">
      <c r="A4267" s="61">
        <v>10.81322</v>
      </c>
      <c r="B4267" s="63">
        <v>106.6874</v>
      </c>
      <c r="C4267" s="63">
        <v>10.81521</v>
      </c>
      <c r="D4267" s="63">
        <v>106.6978</v>
      </c>
      <c r="E4267" s="64">
        <v>1.616</v>
      </c>
    </row>
    <row r="4268" ht="22.5" customHeight="1">
      <c r="A4268" s="66">
        <v>10.81322</v>
      </c>
      <c r="B4268" s="67">
        <v>106.6874</v>
      </c>
      <c r="C4268" s="67">
        <v>10.82166</v>
      </c>
      <c r="D4268" s="67">
        <v>106.7034</v>
      </c>
      <c r="E4268" s="68">
        <v>2.437</v>
      </c>
    </row>
    <row r="4269" ht="22.5" customHeight="1">
      <c r="A4269" s="61">
        <v>10.81322</v>
      </c>
      <c r="B4269" s="63">
        <v>106.6874</v>
      </c>
      <c r="C4269" s="63">
        <v>10.83375</v>
      </c>
      <c r="D4269" s="63">
        <v>106.7288</v>
      </c>
      <c r="E4269" s="64">
        <v>2.597</v>
      </c>
    </row>
    <row r="4270" ht="22.5" customHeight="1">
      <c r="A4270" s="66">
        <v>10.81365</v>
      </c>
      <c r="B4270" s="67">
        <v>106.7089</v>
      </c>
      <c r="C4270" s="67">
        <v>10.77509</v>
      </c>
      <c r="D4270" s="67">
        <v>106.6727</v>
      </c>
      <c r="E4270" s="68">
        <v>6.9</v>
      </c>
    </row>
    <row r="4271" ht="22.5" customHeight="1">
      <c r="A4271" s="61">
        <v>10.81365</v>
      </c>
      <c r="B4271" s="63">
        <v>106.7089</v>
      </c>
      <c r="C4271" s="63">
        <v>10.79036</v>
      </c>
      <c r="D4271" s="63">
        <v>106.6973</v>
      </c>
      <c r="E4271" s="64">
        <v>4.2</v>
      </c>
    </row>
    <row r="4272" ht="22.5" customHeight="1">
      <c r="A4272" s="66">
        <v>10.81365</v>
      </c>
      <c r="B4272" s="67">
        <v>106.7089</v>
      </c>
      <c r="C4272" s="67">
        <v>10.80944</v>
      </c>
      <c r="D4272" s="67">
        <v>106.695</v>
      </c>
      <c r="E4272" s="68">
        <v>2.6</v>
      </c>
    </row>
    <row r="4273" ht="22.5" customHeight="1">
      <c r="A4273" s="61">
        <v>10.81365</v>
      </c>
      <c r="B4273" s="63">
        <v>106.7089</v>
      </c>
      <c r="C4273" s="63">
        <v>10.80953</v>
      </c>
      <c r="D4273" s="63">
        <v>106.6857</v>
      </c>
      <c r="E4273" s="64">
        <v>3.63</v>
      </c>
    </row>
    <row r="4274" ht="22.5" customHeight="1">
      <c r="A4274" s="66">
        <v>10.81365</v>
      </c>
      <c r="B4274" s="67">
        <v>106.7089</v>
      </c>
      <c r="C4274" s="67">
        <v>10.81521</v>
      </c>
      <c r="D4274" s="67">
        <v>106.6978</v>
      </c>
      <c r="E4274" s="68">
        <v>1.893</v>
      </c>
    </row>
    <row r="4275" ht="22.5" customHeight="1">
      <c r="A4275" s="61">
        <v>10.81365</v>
      </c>
      <c r="B4275" s="63">
        <v>106.7089</v>
      </c>
      <c r="C4275" s="63">
        <v>10.81724</v>
      </c>
      <c r="D4275" s="63">
        <v>106.689</v>
      </c>
      <c r="E4275" s="64">
        <v>3.043</v>
      </c>
    </row>
    <row r="4276" ht="22.5" customHeight="1">
      <c r="A4276" s="66">
        <v>10.81365</v>
      </c>
      <c r="B4276" s="67">
        <v>106.7089</v>
      </c>
      <c r="C4276" s="67">
        <v>10.82082</v>
      </c>
      <c r="D4276" s="67">
        <v>106.7046</v>
      </c>
      <c r="E4276" s="68">
        <v>0.818</v>
      </c>
    </row>
    <row r="4277" ht="22.5" customHeight="1">
      <c r="A4277" s="61">
        <v>10.81365</v>
      </c>
      <c r="B4277" s="63">
        <v>106.7089</v>
      </c>
      <c r="C4277" s="63">
        <v>10.82166</v>
      </c>
      <c r="D4277" s="63">
        <v>106.7034</v>
      </c>
      <c r="E4277" s="64">
        <v>2.108</v>
      </c>
    </row>
    <row r="4278" ht="22.5" customHeight="1">
      <c r="A4278" s="66">
        <v>10.8146</v>
      </c>
      <c r="B4278" s="67">
        <v>106.7114</v>
      </c>
      <c r="C4278" s="67">
        <v>10.79036</v>
      </c>
      <c r="D4278" s="67">
        <v>106.6973</v>
      </c>
      <c r="E4278" s="68">
        <v>5.225</v>
      </c>
    </row>
    <row r="4279" ht="22.5" customHeight="1">
      <c r="A4279" s="61">
        <v>10.8146</v>
      </c>
      <c r="B4279" s="63">
        <v>106.7114</v>
      </c>
      <c r="C4279" s="63">
        <v>10.79121</v>
      </c>
      <c r="D4279" s="63">
        <v>106.7227</v>
      </c>
      <c r="E4279" s="64">
        <v>3.602</v>
      </c>
    </row>
    <row r="4280" ht="22.5" customHeight="1">
      <c r="A4280" s="66">
        <v>10.8146</v>
      </c>
      <c r="B4280" s="67">
        <v>106.7114</v>
      </c>
      <c r="C4280" s="67">
        <v>10.79222</v>
      </c>
      <c r="D4280" s="67">
        <v>106.7229</v>
      </c>
      <c r="E4280" s="68">
        <v>3.561</v>
      </c>
    </row>
    <row r="4281" ht="22.5" customHeight="1">
      <c r="A4281" s="61">
        <v>10.8146</v>
      </c>
      <c r="B4281" s="63">
        <v>106.7114</v>
      </c>
      <c r="C4281" s="63">
        <v>10.80027</v>
      </c>
      <c r="D4281" s="63">
        <v>106.7109</v>
      </c>
      <c r="E4281" s="64">
        <v>1.957</v>
      </c>
    </row>
    <row r="4282" ht="22.5" customHeight="1">
      <c r="A4282" s="66">
        <v>10.8146</v>
      </c>
      <c r="B4282" s="67">
        <v>106.7114</v>
      </c>
      <c r="C4282" s="67">
        <v>10.80312</v>
      </c>
      <c r="D4282" s="67">
        <v>106.7097</v>
      </c>
      <c r="E4282" s="68">
        <v>1.585</v>
      </c>
    </row>
    <row r="4283" ht="22.5" customHeight="1">
      <c r="A4283" s="61">
        <v>10.8146</v>
      </c>
      <c r="B4283" s="63">
        <v>106.7114</v>
      </c>
      <c r="C4283" s="63">
        <v>10.80353</v>
      </c>
      <c r="D4283" s="63">
        <v>106.7039</v>
      </c>
      <c r="E4283" s="64">
        <v>2.051</v>
      </c>
    </row>
    <row r="4284" ht="22.5" customHeight="1">
      <c r="A4284" s="66">
        <v>10.8146</v>
      </c>
      <c r="B4284" s="67">
        <v>106.7114</v>
      </c>
      <c r="C4284" s="67">
        <v>10.80357</v>
      </c>
      <c r="D4284" s="67">
        <v>106.7181</v>
      </c>
      <c r="E4284" s="68">
        <v>3.034</v>
      </c>
    </row>
    <row r="4285" ht="22.5" customHeight="1">
      <c r="A4285" s="61">
        <v>10.8146</v>
      </c>
      <c r="B4285" s="63">
        <v>106.7114</v>
      </c>
      <c r="C4285" s="63">
        <v>10.80393</v>
      </c>
      <c r="D4285" s="63">
        <v>106.7092</v>
      </c>
      <c r="E4285" s="64">
        <v>1.363</v>
      </c>
    </row>
    <row r="4286" ht="22.5" customHeight="1">
      <c r="A4286" s="66">
        <v>10.8146</v>
      </c>
      <c r="B4286" s="67">
        <v>106.7114</v>
      </c>
      <c r="C4286" s="67">
        <v>10.80944</v>
      </c>
      <c r="D4286" s="67">
        <v>106.695</v>
      </c>
      <c r="E4286" s="68">
        <v>2.718</v>
      </c>
    </row>
    <row r="4287" ht="22.5" customHeight="1">
      <c r="A4287" s="61">
        <v>10.8146</v>
      </c>
      <c r="B4287" s="63">
        <v>106.7114</v>
      </c>
      <c r="C4287" s="63">
        <v>10.81521</v>
      </c>
      <c r="D4287" s="63">
        <v>106.6978</v>
      </c>
      <c r="E4287" s="64">
        <v>2.326</v>
      </c>
    </row>
    <row r="4288" ht="22.5" customHeight="1">
      <c r="A4288" s="66">
        <v>10.8146</v>
      </c>
      <c r="B4288" s="67">
        <v>106.7114</v>
      </c>
      <c r="C4288" s="67">
        <v>10.82082</v>
      </c>
      <c r="D4288" s="67">
        <v>106.7046</v>
      </c>
      <c r="E4288" s="68">
        <v>1.409</v>
      </c>
    </row>
    <row r="4289" ht="22.5" customHeight="1">
      <c r="A4289" s="61">
        <v>10.8146</v>
      </c>
      <c r="B4289" s="63">
        <v>106.7114</v>
      </c>
      <c r="C4289" s="63">
        <v>10.82166</v>
      </c>
      <c r="D4289" s="63">
        <v>106.7034</v>
      </c>
      <c r="E4289" s="64">
        <v>1.926</v>
      </c>
    </row>
    <row r="4290" ht="22.5" customHeight="1">
      <c r="A4290" s="66">
        <v>10.81464</v>
      </c>
      <c r="B4290" s="67">
        <v>106.5842</v>
      </c>
      <c r="C4290" s="67">
        <v>10.77509</v>
      </c>
      <c r="D4290" s="67">
        <v>106.6727</v>
      </c>
      <c r="E4290" s="68">
        <v>15.9</v>
      </c>
    </row>
    <row r="4291" ht="22.5" customHeight="1">
      <c r="A4291" s="61">
        <v>10.81464</v>
      </c>
      <c r="B4291" s="63">
        <v>106.5842</v>
      </c>
      <c r="C4291" s="63">
        <v>10.79435</v>
      </c>
      <c r="D4291" s="63">
        <v>106.6382</v>
      </c>
      <c r="E4291" s="64">
        <v>9.3</v>
      </c>
    </row>
    <row r="4292" ht="22.5" customHeight="1">
      <c r="A4292" s="66">
        <v>10.81464</v>
      </c>
      <c r="B4292" s="67">
        <v>106.5842</v>
      </c>
      <c r="C4292" s="67">
        <v>10.81094</v>
      </c>
      <c r="D4292" s="67">
        <v>106.611</v>
      </c>
      <c r="E4292" s="68">
        <v>3.103</v>
      </c>
    </row>
    <row r="4293" ht="22.5" customHeight="1">
      <c r="A4293" s="61">
        <v>10.81464</v>
      </c>
      <c r="B4293" s="63">
        <v>106.5842</v>
      </c>
      <c r="C4293" s="63">
        <v>10.81464</v>
      </c>
      <c r="D4293" s="63">
        <v>106.5842</v>
      </c>
      <c r="E4293" s="64">
        <v>6.335</v>
      </c>
    </row>
    <row r="4294" ht="22.5" customHeight="1">
      <c r="A4294" s="66">
        <v>10.81464</v>
      </c>
      <c r="B4294" s="67">
        <v>106.5842</v>
      </c>
      <c r="C4294" s="67">
        <v>10.81494</v>
      </c>
      <c r="D4294" s="67">
        <v>106.5854</v>
      </c>
      <c r="E4294" s="68">
        <v>0.135</v>
      </c>
    </row>
    <row r="4295" ht="22.5" customHeight="1">
      <c r="A4295" s="61">
        <v>10.81464</v>
      </c>
      <c r="B4295" s="63">
        <v>106.5842</v>
      </c>
      <c r="C4295" s="63">
        <v>10.81586</v>
      </c>
      <c r="D4295" s="63">
        <v>106.5985</v>
      </c>
      <c r="E4295" s="64">
        <v>3.2</v>
      </c>
    </row>
    <row r="4296" ht="22.5" customHeight="1">
      <c r="A4296" s="66">
        <v>10.81494</v>
      </c>
      <c r="B4296" s="67">
        <v>106.5854</v>
      </c>
      <c r="C4296" s="67">
        <v>10.76925</v>
      </c>
      <c r="D4296" s="67">
        <v>106.626</v>
      </c>
      <c r="E4296" s="68">
        <v>8.985</v>
      </c>
    </row>
    <row r="4297" ht="22.5" customHeight="1">
      <c r="A4297" s="61">
        <v>10.81494</v>
      </c>
      <c r="B4297" s="63">
        <v>106.5854</v>
      </c>
      <c r="C4297" s="63">
        <v>10.77509</v>
      </c>
      <c r="D4297" s="63">
        <v>106.6727</v>
      </c>
      <c r="E4297" s="64">
        <v>12.654</v>
      </c>
    </row>
    <row r="4298" ht="22.5" customHeight="1">
      <c r="A4298" s="66">
        <v>10.81494</v>
      </c>
      <c r="B4298" s="67">
        <v>106.5854</v>
      </c>
      <c r="C4298" s="67">
        <v>10.78747</v>
      </c>
      <c r="D4298" s="67">
        <v>106.5981</v>
      </c>
      <c r="E4298" s="68">
        <v>6.195</v>
      </c>
    </row>
    <row r="4299" ht="22.5" customHeight="1">
      <c r="A4299" s="61">
        <v>10.81494</v>
      </c>
      <c r="B4299" s="63">
        <v>106.5854</v>
      </c>
      <c r="C4299" s="63">
        <v>10.79435</v>
      </c>
      <c r="D4299" s="63">
        <v>106.6382</v>
      </c>
      <c r="E4299" s="64">
        <v>9.316</v>
      </c>
    </row>
    <row r="4300" ht="22.5" customHeight="1">
      <c r="A4300" s="66">
        <v>10.81494</v>
      </c>
      <c r="B4300" s="67">
        <v>106.5854</v>
      </c>
      <c r="C4300" s="67">
        <v>10.7972</v>
      </c>
      <c r="D4300" s="67">
        <v>106.6307</v>
      </c>
      <c r="E4300" s="68">
        <v>6.28</v>
      </c>
    </row>
    <row r="4301" ht="22.5" customHeight="1">
      <c r="A4301" s="61">
        <v>10.81494</v>
      </c>
      <c r="B4301" s="63">
        <v>106.5854</v>
      </c>
      <c r="C4301" s="63">
        <v>10.81094</v>
      </c>
      <c r="D4301" s="63">
        <v>106.611</v>
      </c>
      <c r="E4301" s="64">
        <v>4.814</v>
      </c>
    </row>
    <row r="4302" ht="22.5" customHeight="1">
      <c r="A4302" s="66">
        <v>10.81494</v>
      </c>
      <c r="B4302" s="67">
        <v>106.5854</v>
      </c>
      <c r="C4302" s="67">
        <v>10.81147</v>
      </c>
      <c r="D4302" s="67">
        <v>106.6107</v>
      </c>
      <c r="E4302" s="68">
        <v>2.881</v>
      </c>
    </row>
    <row r="4303" ht="22.5" customHeight="1">
      <c r="A4303" s="61">
        <v>10.81494</v>
      </c>
      <c r="B4303" s="63">
        <v>106.5854</v>
      </c>
      <c r="C4303" s="63">
        <v>10.81464</v>
      </c>
      <c r="D4303" s="63">
        <v>106.5842</v>
      </c>
      <c r="E4303" s="64">
        <v>2.612</v>
      </c>
    </row>
    <row r="4304" ht="22.5" customHeight="1">
      <c r="A4304" s="66">
        <v>10.81494</v>
      </c>
      <c r="B4304" s="67">
        <v>106.5854</v>
      </c>
      <c r="C4304" s="67">
        <v>10.81494</v>
      </c>
      <c r="D4304" s="67">
        <v>106.5854</v>
      </c>
      <c r="E4304" s="68">
        <v>0.0</v>
      </c>
    </row>
    <row r="4305" ht="22.5" customHeight="1">
      <c r="A4305" s="61">
        <v>10.81494</v>
      </c>
      <c r="B4305" s="63">
        <v>106.5854</v>
      </c>
      <c r="C4305" s="63">
        <v>10.81586</v>
      </c>
      <c r="D4305" s="63">
        <v>106.5985</v>
      </c>
      <c r="E4305" s="64">
        <v>3.278</v>
      </c>
    </row>
    <row r="4306" ht="22.5" customHeight="1">
      <c r="A4306" s="66">
        <v>10.81511</v>
      </c>
      <c r="B4306" s="67">
        <v>106.7209</v>
      </c>
      <c r="C4306" s="67">
        <v>10.80027</v>
      </c>
      <c r="D4306" s="67">
        <v>106.7109</v>
      </c>
      <c r="E4306" s="68">
        <v>3.221</v>
      </c>
    </row>
    <row r="4307" ht="22.5" customHeight="1">
      <c r="A4307" s="61">
        <v>10.81518</v>
      </c>
      <c r="B4307" s="63">
        <v>106.672</v>
      </c>
      <c r="C4307" s="63">
        <v>10.77509</v>
      </c>
      <c r="D4307" s="63">
        <v>106.6727</v>
      </c>
      <c r="E4307" s="64">
        <v>7.274</v>
      </c>
    </row>
    <row r="4308" ht="22.5" customHeight="1">
      <c r="A4308" s="66">
        <v>10.81518</v>
      </c>
      <c r="B4308" s="67">
        <v>106.672</v>
      </c>
      <c r="C4308" s="67">
        <v>10.79975</v>
      </c>
      <c r="D4308" s="67">
        <v>106.6696</v>
      </c>
      <c r="E4308" s="68">
        <v>3.049</v>
      </c>
    </row>
    <row r="4309" ht="22.5" customHeight="1">
      <c r="A4309" s="61">
        <v>10.81521</v>
      </c>
      <c r="B4309" s="63">
        <v>106.6978</v>
      </c>
      <c r="C4309" s="63">
        <v>10.77509</v>
      </c>
      <c r="D4309" s="63">
        <v>106.6727</v>
      </c>
      <c r="E4309" s="64">
        <v>6.4</v>
      </c>
    </row>
    <row r="4310" ht="22.5" customHeight="1">
      <c r="A4310" s="66">
        <v>10.81521</v>
      </c>
      <c r="B4310" s="67">
        <v>106.6978</v>
      </c>
      <c r="C4310" s="67">
        <v>10.79036</v>
      </c>
      <c r="D4310" s="67">
        <v>106.6973</v>
      </c>
      <c r="E4310" s="68">
        <v>4.7</v>
      </c>
    </row>
    <row r="4311" ht="22.5" customHeight="1">
      <c r="A4311" s="61">
        <v>10.81521</v>
      </c>
      <c r="B4311" s="63">
        <v>106.6978</v>
      </c>
      <c r="C4311" s="63">
        <v>10.79203</v>
      </c>
      <c r="D4311" s="63">
        <v>106.7304</v>
      </c>
      <c r="E4311" s="64">
        <v>6.983</v>
      </c>
    </row>
    <row r="4312" ht="22.5" customHeight="1">
      <c r="A4312" s="66">
        <v>10.81521</v>
      </c>
      <c r="B4312" s="67">
        <v>106.6978</v>
      </c>
      <c r="C4312" s="67">
        <v>10.8055</v>
      </c>
      <c r="D4312" s="67">
        <v>106.691</v>
      </c>
      <c r="E4312" s="68">
        <v>2.029</v>
      </c>
    </row>
    <row r="4313" ht="22.5" customHeight="1">
      <c r="A4313" s="61">
        <v>10.81521</v>
      </c>
      <c r="B4313" s="63">
        <v>106.6978</v>
      </c>
      <c r="C4313" s="63">
        <v>10.80944</v>
      </c>
      <c r="D4313" s="63">
        <v>106.695</v>
      </c>
      <c r="E4313" s="64">
        <v>0.75</v>
      </c>
    </row>
    <row r="4314" ht="22.5" customHeight="1">
      <c r="A4314" s="66">
        <v>10.81521</v>
      </c>
      <c r="B4314" s="67">
        <v>106.6978</v>
      </c>
      <c r="C4314" s="67">
        <v>10.81074</v>
      </c>
      <c r="D4314" s="67">
        <v>106.6947</v>
      </c>
      <c r="E4314" s="68">
        <v>0.706</v>
      </c>
    </row>
    <row r="4315" ht="22.5" customHeight="1">
      <c r="A4315" s="61">
        <v>10.81521</v>
      </c>
      <c r="B4315" s="63">
        <v>106.6978</v>
      </c>
      <c r="C4315" s="63">
        <v>10.81322</v>
      </c>
      <c r="D4315" s="63">
        <v>106.6874</v>
      </c>
      <c r="E4315" s="64">
        <v>1.623</v>
      </c>
    </row>
    <row r="4316" ht="22.5" customHeight="1">
      <c r="A4316" s="66">
        <v>10.81521</v>
      </c>
      <c r="B4316" s="67">
        <v>106.6978</v>
      </c>
      <c r="C4316" s="67">
        <v>10.82082</v>
      </c>
      <c r="D4316" s="67">
        <v>106.7046</v>
      </c>
      <c r="E4316" s="68">
        <v>1.132</v>
      </c>
    </row>
    <row r="4317" ht="22.5" customHeight="1">
      <c r="A4317" s="61">
        <v>10.81521</v>
      </c>
      <c r="B4317" s="63">
        <v>106.6978</v>
      </c>
      <c r="C4317" s="63">
        <v>10.82166</v>
      </c>
      <c r="D4317" s="63">
        <v>106.7034</v>
      </c>
      <c r="E4317" s="64">
        <v>1.939</v>
      </c>
    </row>
    <row r="4318" ht="22.5" customHeight="1">
      <c r="A4318" s="66">
        <v>10.81558</v>
      </c>
      <c r="B4318" s="67">
        <v>106.6667</v>
      </c>
      <c r="C4318" s="67">
        <v>10.82927</v>
      </c>
      <c r="D4318" s="67">
        <v>106.6816</v>
      </c>
      <c r="E4318" s="68">
        <v>4.487</v>
      </c>
    </row>
    <row r="4319" ht="22.5" customHeight="1">
      <c r="A4319" s="61">
        <v>10.81586</v>
      </c>
      <c r="B4319" s="63">
        <v>106.5985</v>
      </c>
      <c r="C4319" s="63">
        <v>10.77509</v>
      </c>
      <c r="D4319" s="63">
        <v>106.6727</v>
      </c>
      <c r="E4319" s="64">
        <v>11.7</v>
      </c>
    </row>
    <row r="4320" ht="22.5" customHeight="1">
      <c r="A4320" s="66">
        <v>10.81586</v>
      </c>
      <c r="B4320" s="67">
        <v>106.5985</v>
      </c>
      <c r="C4320" s="67">
        <v>10.77618</v>
      </c>
      <c r="D4320" s="67">
        <v>106.607</v>
      </c>
      <c r="E4320" s="68">
        <v>5.648</v>
      </c>
    </row>
    <row r="4321" ht="22.5" customHeight="1">
      <c r="A4321" s="61">
        <v>10.81586</v>
      </c>
      <c r="B4321" s="63">
        <v>106.5985</v>
      </c>
      <c r="C4321" s="63">
        <v>10.79435</v>
      </c>
      <c r="D4321" s="63">
        <v>106.6382</v>
      </c>
      <c r="E4321" s="64">
        <v>6.038</v>
      </c>
    </row>
    <row r="4322" ht="22.5" customHeight="1">
      <c r="A4322" s="66">
        <v>10.81586</v>
      </c>
      <c r="B4322" s="67">
        <v>106.5985</v>
      </c>
      <c r="C4322" s="67">
        <v>10.7972</v>
      </c>
      <c r="D4322" s="67">
        <v>106.6307</v>
      </c>
      <c r="E4322" s="68">
        <v>4.831</v>
      </c>
    </row>
    <row r="4323" ht="22.5" customHeight="1">
      <c r="A4323" s="61">
        <v>10.81586</v>
      </c>
      <c r="B4323" s="63">
        <v>106.5985</v>
      </c>
      <c r="C4323" s="63">
        <v>10.80079</v>
      </c>
      <c r="D4323" s="63">
        <v>106.6572</v>
      </c>
      <c r="E4323" s="64">
        <v>7.355</v>
      </c>
    </row>
    <row r="4324" ht="22.5" customHeight="1">
      <c r="A4324" s="66">
        <v>10.81586</v>
      </c>
      <c r="B4324" s="67">
        <v>106.5985</v>
      </c>
      <c r="C4324" s="67">
        <v>10.81094</v>
      </c>
      <c r="D4324" s="67">
        <v>106.611</v>
      </c>
      <c r="E4324" s="68">
        <v>1.544</v>
      </c>
    </row>
    <row r="4325" ht="22.5" customHeight="1">
      <c r="A4325" s="61">
        <v>10.81586</v>
      </c>
      <c r="B4325" s="63">
        <v>106.5985</v>
      </c>
      <c r="C4325" s="63">
        <v>10.81147</v>
      </c>
      <c r="D4325" s="63">
        <v>106.6107</v>
      </c>
      <c r="E4325" s="64">
        <v>2.0</v>
      </c>
    </row>
    <row r="4326" ht="22.5" customHeight="1">
      <c r="A4326" s="66">
        <v>10.81586</v>
      </c>
      <c r="B4326" s="67">
        <v>106.5985</v>
      </c>
      <c r="C4326" s="67">
        <v>10.81414</v>
      </c>
      <c r="D4326" s="67">
        <v>106.5975</v>
      </c>
      <c r="E4326" s="68">
        <v>0.29</v>
      </c>
    </row>
    <row r="4327" ht="22.5" customHeight="1">
      <c r="A4327" s="61">
        <v>10.81586</v>
      </c>
      <c r="B4327" s="63">
        <v>106.5985</v>
      </c>
      <c r="C4327" s="63">
        <v>10.81464</v>
      </c>
      <c r="D4327" s="63">
        <v>106.5842</v>
      </c>
      <c r="E4327" s="64">
        <v>1.6</v>
      </c>
    </row>
    <row r="4328" ht="22.5" customHeight="1">
      <c r="A4328" s="66">
        <v>10.81586</v>
      </c>
      <c r="B4328" s="67">
        <v>106.5985</v>
      </c>
      <c r="C4328" s="67">
        <v>10.81494</v>
      </c>
      <c r="D4328" s="67">
        <v>106.5854</v>
      </c>
      <c r="E4328" s="68">
        <v>1.4</v>
      </c>
    </row>
    <row r="4329" ht="22.5" customHeight="1">
      <c r="A4329" s="61">
        <v>10.81586</v>
      </c>
      <c r="B4329" s="63">
        <v>106.5985</v>
      </c>
      <c r="C4329" s="63">
        <v>10.81586</v>
      </c>
      <c r="D4329" s="63">
        <v>106.5985</v>
      </c>
      <c r="E4329" s="64">
        <v>0.0</v>
      </c>
    </row>
    <row r="4330" ht="22.5" customHeight="1">
      <c r="A4330" s="66">
        <v>10.8165</v>
      </c>
      <c r="B4330" s="67">
        <v>106.7113</v>
      </c>
      <c r="C4330" s="67">
        <v>10.79036</v>
      </c>
      <c r="D4330" s="67">
        <v>106.6973</v>
      </c>
      <c r="E4330" s="68">
        <v>5.146</v>
      </c>
    </row>
    <row r="4331" ht="22.5" customHeight="1">
      <c r="A4331" s="61">
        <v>10.81679</v>
      </c>
      <c r="B4331" s="63">
        <v>106.675</v>
      </c>
      <c r="C4331" s="63">
        <v>10.77509</v>
      </c>
      <c r="D4331" s="63">
        <v>106.6727</v>
      </c>
      <c r="E4331" s="64">
        <v>7.634</v>
      </c>
    </row>
    <row r="4332" ht="22.5" customHeight="1">
      <c r="A4332" s="66">
        <v>10.81679</v>
      </c>
      <c r="B4332" s="67">
        <v>106.675</v>
      </c>
      <c r="C4332" s="67">
        <v>10.79435</v>
      </c>
      <c r="D4332" s="67">
        <v>106.6382</v>
      </c>
      <c r="E4332" s="68">
        <v>6.646</v>
      </c>
    </row>
    <row r="4333" ht="22.5" customHeight="1">
      <c r="A4333" s="61">
        <v>10.81679</v>
      </c>
      <c r="B4333" s="63">
        <v>106.675</v>
      </c>
      <c r="C4333" s="63">
        <v>10.79975</v>
      </c>
      <c r="D4333" s="63">
        <v>106.6696</v>
      </c>
      <c r="E4333" s="64">
        <v>3.41</v>
      </c>
    </row>
    <row r="4334" ht="22.5" customHeight="1">
      <c r="A4334" s="66">
        <v>10.81679</v>
      </c>
      <c r="B4334" s="67">
        <v>106.675</v>
      </c>
      <c r="C4334" s="67">
        <v>10.81863</v>
      </c>
      <c r="D4334" s="67">
        <v>106.6787</v>
      </c>
      <c r="E4334" s="68">
        <v>3.676</v>
      </c>
    </row>
    <row r="4335" ht="22.5" customHeight="1">
      <c r="A4335" s="61">
        <v>10.81724</v>
      </c>
      <c r="B4335" s="63">
        <v>106.689</v>
      </c>
      <c r="C4335" s="63">
        <v>10.77509</v>
      </c>
      <c r="D4335" s="63">
        <v>106.6727</v>
      </c>
      <c r="E4335" s="64">
        <v>7.0</v>
      </c>
    </row>
    <row r="4336" ht="22.5" customHeight="1">
      <c r="A4336" s="66">
        <v>10.81724</v>
      </c>
      <c r="B4336" s="67">
        <v>106.689</v>
      </c>
      <c r="C4336" s="67">
        <v>10.79975</v>
      </c>
      <c r="D4336" s="67">
        <v>106.6696</v>
      </c>
      <c r="E4336" s="68">
        <v>4.6</v>
      </c>
    </row>
    <row r="4337" ht="22.5" customHeight="1">
      <c r="A4337" s="61">
        <v>10.81724</v>
      </c>
      <c r="B4337" s="63">
        <v>106.689</v>
      </c>
      <c r="C4337" s="63">
        <v>10.80325</v>
      </c>
      <c r="D4337" s="63">
        <v>106.6842</v>
      </c>
      <c r="E4337" s="64">
        <v>2.097</v>
      </c>
    </row>
    <row r="4338" ht="22.5" customHeight="1">
      <c r="A4338" s="66">
        <v>10.81724</v>
      </c>
      <c r="B4338" s="67">
        <v>106.689</v>
      </c>
      <c r="C4338" s="67">
        <v>10.80944</v>
      </c>
      <c r="D4338" s="67">
        <v>106.695</v>
      </c>
      <c r="E4338" s="68">
        <v>1.6</v>
      </c>
    </row>
    <row r="4339" ht="22.5" customHeight="1">
      <c r="A4339" s="61">
        <v>10.81724</v>
      </c>
      <c r="B4339" s="63">
        <v>106.689</v>
      </c>
      <c r="C4339" s="63">
        <v>10.81322</v>
      </c>
      <c r="D4339" s="63">
        <v>106.6874</v>
      </c>
      <c r="E4339" s="64">
        <v>0.574</v>
      </c>
    </row>
    <row r="4340" ht="22.5" customHeight="1">
      <c r="A4340" s="66">
        <v>10.81724</v>
      </c>
      <c r="B4340" s="67">
        <v>106.689</v>
      </c>
      <c r="C4340" s="67">
        <v>10.81365</v>
      </c>
      <c r="D4340" s="67">
        <v>106.7089</v>
      </c>
      <c r="E4340" s="68">
        <v>2.846</v>
      </c>
    </row>
    <row r="4341" ht="22.5" customHeight="1">
      <c r="A4341" s="61">
        <v>10.81724</v>
      </c>
      <c r="B4341" s="63">
        <v>106.689</v>
      </c>
      <c r="C4341" s="63">
        <v>10.82166</v>
      </c>
      <c r="D4341" s="63">
        <v>106.7034</v>
      </c>
      <c r="E4341" s="64">
        <v>1.854</v>
      </c>
    </row>
    <row r="4342" ht="22.5" customHeight="1">
      <c r="A4342" s="66">
        <v>10.81724</v>
      </c>
      <c r="B4342" s="67">
        <v>106.689</v>
      </c>
      <c r="C4342" s="67">
        <v>10.82927</v>
      </c>
      <c r="D4342" s="67">
        <v>106.6816</v>
      </c>
      <c r="E4342" s="68">
        <v>2.7</v>
      </c>
    </row>
    <row r="4343" ht="22.5" customHeight="1">
      <c r="A4343" s="61">
        <v>10.81724</v>
      </c>
      <c r="B4343" s="63">
        <v>106.689</v>
      </c>
      <c r="C4343" s="63">
        <v>10.83375</v>
      </c>
      <c r="D4343" s="63">
        <v>106.7288</v>
      </c>
      <c r="E4343" s="64">
        <v>4.888</v>
      </c>
    </row>
    <row r="4344" ht="22.5" customHeight="1">
      <c r="A4344" s="66">
        <v>10.81724</v>
      </c>
      <c r="B4344" s="67">
        <v>106.689</v>
      </c>
      <c r="C4344" s="67">
        <v>10.83929</v>
      </c>
      <c r="D4344" s="67">
        <v>106.6575</v>
      </c>
      <c r="E4344" s="68">
        <v>4.746</v>
      </c>
    </row>
    <row r="4345" ht="22.5" customHeight="1">
      <c r="A4345" s="61">
        <v>10.81724</v>
      </c>
      <c r="B4345" s="63">
        <v>106.689</v>
      </c>
      <c r="C4345" s="63">
        <v>10.84317</v>
      </c>
      <c r="D4345" s="63">
        <v>106.6767</v>
      </c>
      <c r="E4345" s="64">
        <v>3.955</v>
      </c>
    </row>
    <row r="4346" ht="22.5" customHeight="1">
      <c r="A4346" s="66">
        <v>10.81742</v>
      </c>
      <c r="B4346" s="67">
        <v>106.7744</v>
      </c>
      <c r="C4346" s="67">
        <v>10.83771</v>
      </c>
      <c r="D4346" s="67">
        <v>106.8442</v>
      </c>
      <c r="E4346" s="68">
        <v>12.27</v>
      </c>
    </row>
    <row r="4347" ht="22.5" customHeight="1">
      <c r="A4347" s="61">
        <v>10.81742</v>
      </c>
      <c r="B4347" s="63">
        <v>106.7744</v>
      </c>
      <c r="C4347" s="63">
        <v>10.84462</v>
      </c>
      <c r="D4347" s="63">
        <v>106.7812</v>
      </c>
      <c r="E4347" s="64">
        <v>3.973</v>
      </c>
    </row>
    <row r="4348" ht="22.5" customHeight="1">
      <c r="A4348" s="66">
        <v>10.81819</v>
      </c>
      <c r="B4348" s="67">
        <v>106.7731</v>
      </c>
      <c r="C4348" s="67">
        <v>10.77509</v>
      </c>
      <c r="D4348" s="67">
        <v>106.6727</v>
      </c>
      <c r="E4348" s="68">
        <v>14.9</v>
      </c>
    </row>
    <row r="4349" ht="22.5" customHeight="1">
      <c r="A4349" s="61">
        <v>10.81819</v>
      </c>
      <c r="B4349" s="63">
        <v>106.7731</v>
      </c>
      <c r="C4349" s="63">
        <v>10.7881</v>
      </c>
      <c r="D4349" s="63">
        <v>106.7662</v>
      </c>
      <c r="E4349" s="64">
        <v>5.0</v>
      </c>
    </row>
    <row r="4350" ht="22.5" customHeight="1">
      <c r="A4350" s="66">
        <v>10.81819</v>
      </c>
      <c r="B4350" s="67">
        <v>106.7731</v>
      </c>
      <c r="C4350" s="67">
        <v>10.78851</v>
      </c>
      <c r="D4350" s="67">
        <v>106.777</v>
      </c>
      <c r="E4350" s="68">
        <v>3.893</v>
      </c>
    </row>
    <row r="4351" ht="22.5" customHeight="1">
      <c r="A4351" s="61">
        <v>10.81819</v>
      </c>
      <c r="B4351" s="63">
        <v>106.7731</v>
      </c>
      <c r="C4351" s="63">
        <v>10.79203</v>
      </c>
      <c r="D4351" s="63">
        <v>106.7304</v>
      </c>
      <c r="E4351" s="64">
        <v>8.29</v>
      </c>
    </row>
    <row r="4352" ht="22.5" customHeight="1">
      <c r="A4352" s="66">
        <v>10.81819</v>
      </c>
      <c r="B4352" s="67">
        <v>106.7731</v>
      </c>
      <c r="C4352" s="67">
        <v>10.81819</v>
      </c>
      <c r="D4352" s="67">
        <v>106.7731</v>
      </c>
      <c r="E4352" s="68">
        <v>0.006</v>
      </c>
    </row>
    <row r="4353" ht="22.5" customHeight="1">
      <c r="A4353" s="61">
        <v>10.81819</v>
      </c>
      <c r="B4353" s="63">
        <v>106.7731</v>
      </c>
      <c r="C4353" s="63">
        <v>10.81991</v>
      </c>
      <c r="D4353" s="63">
        <v>106.8322</v>
      </c>
      <c r="E4353" s="64">
        <v>11.0</v>
      </c>
    </row>
    <row r="4354" ht="22.5" customHeight="1">
      <c r="A4354" s="66">
        <v>10.81819</v>
      </c>
      <c r="B4354" s="67">
        <v>106.7731</v>
      </c>
      <c r="C4354" s="67">
        <v>10.82729</v>
      </c>
      <c r="D4354" s="67">
        <v>106.769</v>
      </c>
      <c r="E4354" s="68">
        <v>1.2</v>
      </c>
    </row>
    <row r="4355" ht="22.5" customHeight="1">
      <c r="A4355" s="61">
        <v>10.81819</v>
      </c>
      <c r="B4355" s="63">
        <v>106.7731</v>
      </c>
      <c r="C4355" s="63">
        <v>10.83771</v>
      </c>
      <c r="D4355" s="63">
        <v>106.8442</v>
      </c>
      <c r="E4355" s="64">
        <v>13.5</v>
      </c>
    </row>
    <row r="4356" ht="22.5" customHeight="1">
      <c r="A4356" s="66">
        <v>10.81819</v>
      </c>
      <c r="B4356" s="67">
        <v>106.7731</v>
      </c>
      <c r="C4356" s="67">
        <v>10.839</v>
      </c>
      <c r="D4356" s="67">
        <v>106.8435</v>
      </c>
      <c r="E4356" s="68">
        <v>13.5</v>
      </c>
    </row>
    <row r="4357" ht="22.5" customHeight="1">
      <c r="A4357" s="61">
        <v>10.81819</v>
      </c>
      <c r="B4357" s="63">
        <v>106.7731</v>
      </c>
      <c r="C4357" s="63">
        <v>10.84545</v>
      </c>
      <c r="D4357" s="63">
        <v>106.7867</v>
      </c>
      <c r="E4357" s="64">
        <v>5.5</v>
      </c>
    </row>
    <row r="4358" ht="22.5" customHeight="1">
      <c r="A4358" s="66">
        <v>10.81819</v>
      </c>
      <c r="B4358" s="67">
        <v>106.7731</v>
      </c>
      <c r="C4358" s="67">
        <v>10.8469</v>
      </c>
      <c r="D4358" s="67">
        <v>106.7512</v>
      </c>
      <c r="E4358" s="68">
        <v>5.2</v>
      </c>
    </row>
    <row r="4359" ht="22.5" customHeight="1">
      <c r="A4359" s="61">
        <v>10.81819</v>
      </c>
      <c r="B4359" s="63">
        <v>106.7731</v>
      </c>
      <c r="C4359" s="63">
        <v>10.84737</v>
      </c>
      <c r="D4359" s="63">
        <v>106.7766</v>
      </c>
      <c r="E4359" s="64">
        <v>4.233</v>
      </c>
    </row>
    <row r="4360" ht="22.5" customHeight="1">
      <c r="A4360" s="66">
        <v>10.81819</v>
      </c>
      <c r="B4360" s="67">
        <v>106.7731</v>
      </c>
      <c r="C4360" s="67">
        <v>10.8507</v>
      </c>
      <c r="D4360" s="67">
        <v>106.7548</v>
      </c>
      <c r="E4360" s="68">
        <v>4.8</v>
      </c>
    </row>
    <row r="4361" ht="22.5" customHeight="1">
      <c r="A4361" s="61">
        <v>10.81819</v>
      </c>
      <c r="B4361" s="63">
        <v>106.7731</v>
      </c>
      <c r="C4361" s="63">
        <v>10.86052</v>
      </c>
      <c r="D4361" s="63">
        <v>106.7606</v>
      </c>
      <c r="E4361" s="64">
        <v>6.3</v>
      </c>
    </row>
    <row r="4362" ht="22.5" customHeight="1">
      <c r="A4362" s="66">
        <v>10.81819</v>
      </c>
      <c r="B4362" s="67">
        <v>106.7731</v>
      </c>
      <c r="C4362" s="67">
        <v>10.88518</v>
      </c>
      <c r="D4362" s="67">
        <v>106.7286</v>
      </c>
      <c r="E4362" s="68">
        <v>10.0</v>
      </c>
    </row>
    <row r="4363" ht="22.5" customHeight="1">
      <c r="A4363" s="61">
        <v>10.81846</v>
      </c>
      <c r="B4363" s="63">
        <v>106.6336</v>
      </c>
      <c r="C4363" s="63">
        <v>10.79193</v>
      </c>
      <c r="D4363" s="63">
        <v>106.6555</v>
      </c>
      <c r="E4363" s="64">
        <v>4.647</v>
      </c>
    </row>
    <row r="4364" ht="22.5" customHeight="1">
      <c r="A4364" s="66">
        <v>10.81846</v>
      </c>
      <c r="B4364" s="67">
        <v>106.6336</v>
      </c>
      <c r="C4364" s="67">
        <v>10.79212</v>
      </c>
      <c r="D4364" s="67">
        <v>106.6427</v>
      </c>
      <c r="E4364" s="68">
        <v>3.851</v>
      </c>
    </row>
    <row r="4365" ht="22.5" customHeight="1">
      <c r="A4365" s="61">
        <v>10.81846</v>
      </c>
      <c r="B4365" s="63">
        <v>106.6336</v>
      </c>
      <c r="C4365" s="63">
        <v>10.79255</v>
      </c>
      <c r="D4365" s="63">
        <v>106.6625</v>
      </c>
      <c r="E4365" s="64">
        <v>5.851</v>
      </c>
    </row>
    <row r="4366" ht="22.5" customHeight="1">
      <c r="A4366" s="66">
        <v>10.81846</v>
      </c>
      <c r="B4366" s="67">
        <v>106.6336</v>
      </c>
      <c r="C4366" s="67">
        <v>10.79435</v>
      </c>
      <c r="D4366" s="67">
        <v>106.6382</v>
      </c>
      <c r="E4366" s="68">
        <v>3.4</v>
      </c>
    </row>
    <row r="4367" ht="22.5" customHeight="1">
      <c r="A4367" s="61">
        <v>10.81846</v>
      </c>
      <c r="B4367" s="63">
        <v>106.6336</v>
      </c>
      <c r="C4367" s="63">
        <v>10.7972</v>
      </c>
      <c r="D4367" s="63">
        <v>106.6307</v>
      </c>
      <c r="E4367" s="64">
        <v>3.048</v>
      </c>
    </row>
    <row r="4368" ht="22.5" customHeight="1">
      <c r="A4368" s="66">
        <v>10.81846</v>
      </c>
      <c r="B4368" s="67">
        <v>106.6336</v>
      </c>
      <c r="C4368" s="67">
        <v>10.84253</v>
      </c>
      <c r="D4368" s="67">
        <v>106.6427</v>
      </c>
      <c r="E4368" s="68">
        <v>3.8</v>
      </c>
    </row>
    <row r="4369" ht="22.5" customHeight="1">
      <c r="A4369" s="61">
        <v>10.81846</v>
      </c>
      <c r="B4369" s="63">
        <v>106.6336</v>
      </c>
      <c r="C4369" s="63">
        <v>10.85188</v>
      </c>
      <c r="D4369" s="63">
        <v>106.6654</v>
      </c>
      <c r="E4369" s="64">
        <v>6.6</v>
      </c>
    </row>
    <row r="4370" ht="22.5" customHeight="1">
      <c r="A4370" s="66">
        <v>10.81863</v>
      </c>
      <c r="B4370" s="67">
        <v>106.6787</v>
      </c>
      <c r="C4370" s="67">
        <v>10.77509</v>
      </c>
      <c r="D4370" s="67">
        <v>106.6727</v>
      </c>
      <c r="E4370" s="68">
        <v>6.8</v>
      </c>
    </row>
    <row r="4371" ht="22.5" customHeight="1">
      <c r="A4371" s="61">
        <v>10.81863</v>
      </c>
      <c r="B4371" s="63">
        <v>106.6787</v>
      </c>
      <c r="C4371" s="63">
        <v>10.79975</v>
      </c>
      <c r="D4371" s="63">
        <v>106.6696</v>
      </c>
      <c r="E4371" s="64">
        <v>3.3</v>
      </c>
    </row>
    <row r="4372" ht="22.5" customHeight="1">
      <c r="A4372" s="66">
        <v>10.81863</v>
      </c>
      <c r="B4372" s="67">
        <v>106.6787</v>
      </c>
      <c r="C4372" s="67">
        <v>10.81863</v>
      </c>
      <c r="D4372" s="67">
        <v>106.6787</v>
      </c>
      <c r="E4372" s="68">
        <v>0.0</v>
      </c>
    </row>
    <row r="4373" ht="22.5" customHeight="1">
      <c r="A4373" s="61">
        <v>10.81863</v>
      </c>
      <c r="B4373" s="63">
        <v>106.6787</v>
      </c>
      <c r="C4373" s="63">
        <v>10.84253</v>
      </c>
      <c r="D4373" s="63">
        <v>106.6427</v>
      </c>
      <c r="E4373" s="64">
        <v>8.0</v>
      </c>
    </row>
    <row r="4374" ht="22.5" customHeight="1">
      <c r="A4374" s="66">
        <v>10.81991</v>
      </c>
      <c r="B4374" s="67">
        <v>106.8322</v>
      </c>
      <c r="C4374" s="67">
        <v>10.83771</v>
      </c>
      <c r="D4374" s="67">
        <v>106.8442</v>
      </c>
      <c r="E4374" s="68">
        <v>3.703</v>
      </c>
    </row>
    <row r="4375" ht="22.5" customHeight="1">
      <c r="A4375" s="61">
        <v>10.81991</v>
      </c>
      <c r="B4375" s="63">
        <v>106.8322</v>
      </c>
      <c r="C4375" s="63">
        <v>10.839</v>
      </c>
      <c r="D4375" s="63">
        <v>106.8435</v>
      </c>
      <c r="E4375" s="64">
        <v>3.791</v>
      </c>
    </row>
    <row r="4376" ht="22.5" customHeight="1">
      <c r="A4376" s="66">
        <v>10.81991</v>
      </c>
      <c r="B4376" s="67">
        <v>106.8322</v>
      </c>
      <c r="C4376" s="67">
        <v>10.84462</v>
      </c>
      <c r="D4376" s="67">
        <v>106.7812</v>
      </c>
      <c r="E4376" s="68">
        <v>7.282</v>
      </c>
    </row>
    <row r="4377" ht="22.5" customHeight="1">
      <c r="A4377" s="61">
        <v>10.81991</v>
      </c>
      <c r="B4377" s="63">
        <v>106.8322</v>
      </c>
      <c r="C4377" s="63">
        <v>10.84473</v>
      </c>
      <c r="D4377" s="63">
        <v>106.7921</v>
      </c>
      <c r="E4377" s="64">
        <v>6.567</v>
      </c>
    </row>
    <row r="4378" ht="22.5" customHeight="1">
      <c r="A4378" s="66">
        <v>10.81991</v>
      </c>
      <c r="B4378" s="67">
        <v>106.8322</v>
      </c>
      <c r="C4378" s="67">
        <v>10.84737</v>
      </c>
      <c r="D4378" s="67">
        <v>106.7766</v>
      </c>
      <c r="E4378" s="68">
        <v>7.884</v>
      </c>
    </row>
    <row r="4379" ht="22.5" customHeight="1">
      <c r="A4379" s="61">
        <v>10.81991</v>
      </c>
      <c r="B4379" s="63">
        <v>106.8322</v>
      </c>
      <c r="C4379" s="63">
        <v>10.85295</v>
      </c>
      <c r="D4379" s="63">
        <v>106.7922</v>
      </c>
      <c r="E4379" s="64">
        <v>7.413</v>
      </c>
    </row>
    <row r="4380" ht="22.5" customHeight="1">
      <c r="A4380" s="66">
        <v>10.82082</v>
      </c>
      <c r="B4380" s="67">
        <v>106.7046</v>
      </c>
      <c r="C4380" s="67">
        <v>10.80393</v>
      </c>
      <c r="D4380" s="67">
        <v>106.7092</v>
      </c>
      <c r="E4380" s="68">
        <v>2.155</v>
      </c>
    </row>
    <row r="4381" ht="22.5" customHeight="1">
      <c r="A4381" s="61">
        <v>10.82082</v>
      </c>
      <c r="B4381" s="63">
        <v>106.7046</v>
      </c>
      <c r="C4381" s="63">
        <v>10.80944</v>
      </c>
      <c r="D4381" s="63">
        <v>106.695</v>
      </c>
      <c r="E4381" s="64">
        <v>1.766</v>
      </c>
    </row>
    <row r="4382" ht="22.5" customHeight="1">
      <c r="A4382" s="66">
        <v>10.82082</v>
      </c>
      <c r="B4382" s="67">
        <v>106.7046</v>
      </c>
      <c r="C4382" s="67">
        <v>10.81365</v>
      </c>
      <c r="D4382" s="67">
        <v>106.7089</v>
      </c>
      <c r="E4382" s="68">
        <v>1.07</v>
      </c>
    </row>
    <row r="4383" ht="22.5" customHeight="1">
      <c r="A4383" s="61">
        <v>10.82082</v>
      </c>
      <c r="B4383" s="63">
        <v>106.7046</v>
      </c>
      <c r="C4383" s="63">
        <v>10.81521</v>
      </c>
      <c r="D4383" s="63">
        <v>106.6978</v>
      </c>
      <c r="E4383" s="64">
        <v>1.098</v>
      </c>
    </row>
    <row r="4384" ht="22.5" customHeight="1">
      <c r="A4384" s="66">
        <v>10.82082</v>
      </c>
      <c r="B4384" s="67">
        <v>106.7046</v>
      </c>
      <c r="C4384" s="67">
        <v>10.81724</v>
      </c>
      <c r="D4384" s="67">
        <v>106.689</v>
      </c>
      <c r="E4384" s="68">
        <v>2.268</v>
      </c>
    </row>
    <row r="4385" ht="22.5" customHeight="1">
      <c r="A4385" s="61">
        <v>10.82082</v>
      </c>
      <c r="B4385" s="63">
        <v>106.7046</v>
      </c>
      <c r="C4385" s="63">
        <v>10.82166</v>
      </c>
      <c r="D4385" s="63">
        <v>106.7034</v>
      </c>
      <c r="E4385" s="64">
        <v>0.0</v>
      </c>
    </row>
    <row r="4386" ht="22.5" customHeight="1">
      <c r="A4386" s="66">
        <v>10.82084</v>
      </c>
      <c r="B4386" s="67">
        <v>106.6837</v>
      </c>
      <c r="C4386" s="67">
        <v>10.79975</v>
      </c>
      <c r="D4386" s="67">
        <v>106.6696</v>
      </c>
      <c r="E4386" s="68">
        <v>4.687</v>
      </c>
    </row>
    <row r="4387" ht="22.5" customHeight="1">
      <c r="A4387" s="61">
        <v>10.82084</v>
      </c>
      <c r="B4387" s="63">
        <v>106.6837</v>
      </c>
      <c r="C4387" s="63">
        <v>10.80325</v>
      </c>
      <c r="D4387" s="63">
        <v>106.6842</v>
      </c>
      <c r="E4387" s="64">
        <v>4.395</v>
      </c>
    </row>
    <row r="4388" ht="22.5" customHeight="1">
      <c r="A4388" s="66">
        <v>10.82084</v>
      </c>
      <c r="B4388" s="67">
        <v>106.6837</v>
      </c>
      <c r="C4388" s="67">
        <v>10.80776</v>
      </c>
      <c r="D4388" s="67">
        <v>106.6749</v>
      </c>
      <c r="E4388" s="68">
        <v>2.973</v>
      </c>
    </row>
    <row r="4389" ht="22.5" customHeight="1">
      <c r="A4389" s="61">
        <v>10.82084</v>
      </c>
      <c r="B4389" s="63">
        <v>106.6837</v>
      </c>
      <c r="C4389" s="63">
        <v>10.81679</v>
      </c>
      <c r="D4389" s="63">
        <v>106.675</v>
      </c>
      <c r="E4389" s="64">
        <v>2.458</v>
      </c>
    </row>
    <row r="4390" ht="22.5" customHeight="1">
      <c r="A4390" s="66">
        <v>10.82084</v>
      </c>
      <c r="B4390" s="67">
        <v>106.6837</v>
      </c>
      <c r="C4390" s="67">
        <v>10.8279</v>
      </c>
      <c r="D4390" s="67">
        <v>106.6796</v>
      </c>
      <c r="E4390" s="68">
        <v>1.784</v>
      </c>
    </row>
    <row r="4391" ht="22.5" customHeight="1">
      <c r="A4391" s="61">
        <v>10.82084</v>
      </c>
      <c r="B4391" s="63">
        <v>106.6837</v>
      </c>
      <c r="C4391" s="63">
        <v>10.82927</v>
      </c>
      <c r="D4391" s="63">
        <v>106.6816</v>
      </c>
      <c r="E4391" s="64">
        <v>1.722</v>
      </c>
    </row>
    <row r="4392" ht="22.5" customHeight="1">
      <c r="A4392" s="66">
        <v>10.82084</v>
      </c>
      <c r="B4392" s="67">
        <v>106.6837</v>
      </c>
      <c r="C4392" s="67">
        <v>10.83465</v>
      </c>
      <c r="D4392" s="67">
        <v>106.6616</v>
      </c>
      <c r="E4392" s="68">
        <v>3.123</v>
      </c>
    </row>
    <row r="4393" ht="22.5" customHeight="1">
      <c r="A4393" s="61">
        <v>10.82084</v>
      </c>
      <c r="B4393" s="63">
        <v>106.6837</v>
      </c>
      <c r="C4393" s="63">
        <v>10.83497</v>
      </c>
      <c r="D4393" s="63">
        <v>106.6655</v>
      </c>
      <c r="E4393" s="64">
        <v>3.664</v>
      </c>
    </row>
    <row r="4394" ht="22.5" customHeight="1">
      <c r="A4394" s="66">
        <v>10.82084</v>
      </c>
      <c r="B4394" s="67">
        <v>106.6837</v>
      </c>
      <c r="C4394" s="67">
        <v>10.83538</v>
      </c>
      <c r="D4394" s="67">
        <v>106.6689</v>
      </c>
      <c r="E4394" s="68">
        <v>3.38</v>
      </c>
    </row>
    <row r="4395" ht="22.5" customHeight="1">
      <c r="A4395" s="61">
        <v>10.82084</v>
      </c>
      <c r="B4395" s="63">
        <v>106.6837</v>
      </c>
      <c r="C4395" s="63">
        <v>10.84172</v>
      </c>
      <c r="D4395" s="63">
        <v>106.6764</v>
      </c>
      <c r="E4395" s="64">
        <v>4.056</v>
      </c>
    </row>
    <row r="4396" ht="22.5" customHeight="1">
      <c r="A4396" s="66">
        <v>10.82084</v>
      </c>
      <c r="B4396" s="67">
        <v>106.6837</v>
      </c>
      <c r="C4396" s="67">
        <v>10.84317</v>
      </c>
      <c r="D4396" s="67">
        <v>106.6767</v>
      </c>
      <c r="E4396" s="68">
        <v>4.022</v>
      </c>
    </row>
    <row r="4397" ht="22.5" customHeight="1">
      <c r="A4397" s="61">
        <v>10.82106</v>
      </c>
      <c r="B4397" s="63">
        <v>106.6945</v>
      </c>
      <c r="C4397" s="63">
        <v>10.77509</v>
      </c>
      <c r="D4397" s="63">
        <v>106.6727</v>
      </c>
      <c r="E4397" s="64">
        <v>7.332</v>
      </c>
    </row>
    <row r="4398" ht="22.5" customHeight="1">
      <c r="A4398" s="66">
        <v>10.82106</v>
      </c>
      <c r="B4398" s="67">
        <v>106.6945</v>
      </c>
      <c r="C4398" s="67">
        <v>10.79975</v>
      </c>
      <c r="D4398" s="67">
        <v>106.6696</v>
      </c>
      <c r="E4398" s="68">
        <v>4.895</v>
      </c>
    </row>
    <row r="4399" ht="22.5" customHeight="1">
      <c r="A4399" s="61">
        <v>10.82106</v>
      </c>
      <c r="B4399" s="63">
        <v>106.6945</v>
      </c>
      <c r="C4399" s="63">
        <v>10.80944</v>
      </c>
      <c r="D4399" s="63">
        <v>106.695</v>
      </c>
      <c r="E4399" s="64">
        <v>1.558</v>
      </c>
    </row>
    <row r="4400" ht="22.5" customHeight="1">
      <c r="A4400" s="66">
        <v>10.82166</v>
      </c>
      <c r="B4400" s="67">
        <v>106.7034</v>
      </c>
      <c r="C4400" s="67">
        <v>10.77509</v>
      </c>
      <c r="D4400" s="67">
        <v>106.6727</v>
      </c>
      <c r="E4400" s="68">
        <v>7.506</v>
      </c>
    </row>
    <row r="4401" ht="22.5" customHeight="1">
      <c r="A4401" s="61">
        <v>10.82166</v>
      </c>
      <c r="B4401" s="63">
        <v>106.7034</v>
      </c>
      <c r="C4401" s="63">
        <v>10.7818</v>
      </c>
      <c r="D4401" s="63">
        <v>106.7611</v>
      </c>
      <c r="E4401" s="64">
        <v>12.133</v>
      </c>
    </row>
    <row r="4402" ht="22.5" customHeight="1">
      <c r="A4402" s="66">
        <v>10.82166</v>
      </c>
      <c r="B4402" s="67">
        <v>106.7034</v>
      </c>
      <c r="C4402" s="67">
        <v>10.78624</v>
      </c>
      <c r="D4402" s="67">
        <v>106.7313</v>
      </c>
      <c r="E4402" s="68">
        <v>7.45</v>
      </c>
    </row>
    <row r="4403" ht="22.5" customHeight="1">
      <c r="A4403" s="61">
        <v>10.82166</v>
      </c>
      <c r="B4403" s="63">
        <v>106.7034</v>
      </c>
      <c r="C4403" s="63">
        <v>10.78759</v>
      </c>
      <c r="D4403" s="63">
        <v>106.7337</v>
      </c>
      <c r="E4403" s="64">
        <v>9.405</v>
      </c>
    </row>
    <row r="4404" ht="22.5" customHeight="1">
      <c r="A4404" s="66">
        <v>10.82166</v>
      </c>
      <c r="B4404" s="67">
        <v>106.7034</v>
      </c>
      <c r="C4404" s="67">
        <v>10.79036</v>
      </c>
      <c r="D4404" s="67">
        <v>106.6973</v>
      </c>
      <c r="E4404" s="68">
        <v>4.758</v>
      </c>
    </row>
    <row r="4405" ht="22.5" customHeight="1">
      <c r="A4405" s="61">
        <v>10.82166</v>
      </c>
      <c r="B4405" s="63">
        <v>106.7034</v>
      </c>
      <c r="C4405" s="63">
        <v>10.79975</v>
      </c>
      <c r="D4405" s="63">
        <v>106.6696</v>
      </c>
      <c r="E4405" s="64">
        <v>5.696</v>
      </c>
    </row>
    <row r="4406" ht="22.5" customHeight="1">
      <c r="A4406" s="66">
        <v>10.82166</v>
      </c>
      <c r="B4406" s="67">
        <v>106.7034</v>
      </c>
      <c r="C4406" s="67">
        <v>10.80325</v>
      </c>
      <c r="D4406" s="67">
        <v>106.6842</v>
      </c>
      <c r="E4406" s="68">
        <v>4.051</v>
      </c>
    </row>
    <row r="4407" ht="22.5" customHeight="1">
      <c r="A4407" s="61">
        <v>10.82166</v>
      </c>
      <c r="B4407" s="63">
        <v>106.7034</v>
      </c>
      <c r="C4407" s="63">
        <v>10.80944</v>
      </c>
      <c r="D4407" s="63">
        <v>106.695</v>
      </c>
      <c r="E4407" s="64">
        <v>1.92</v>
      </c>
    </row>
    <row r="4408" ht="22.5" customHeight="1">
      <c r="A4408" s="66">
        <v>10.82166</v>
      </c>
      <c r="B4408" s="67">
        <v>106.7034</v>
      </c>
      <c r="C4408" s="67">
        <v>10.80953</v>
      </c>
      <c r="D4408" s="67">
        <v>106.6857</v>
      </c>
      <c r="E4408" s="68">
        <v>2.995</v>
      </c>
    </row>
    <row r="4409" ht="22.5" customHeight="1">
      <c r="A4409" s="61">
        <v>10.82166</v>
      </c>
      <c r="B4409" s="63">
        <v>106.7034</v>
      </c>
      <c r="C4409" s="63">
        <v>10.81322</v>
      </c>
      <c r="D4409" s="63">
        <v>106.6874</v>
      </c>
      <c r="E4409" s="64">
        <v>2.815</v>
      </c>
    </row>
    <row r="4410" ht="22.5" customHeight="1">
      <c r="A4410" s="66">
        <v>10.82166</v>
      </c>
      <c r="B4410" s="67">
        <v>106.7034</v>
      </c>
      <c r="C4410" s="67">
        <v>10.81365</v>
      </c>
      <c r="D4410" s="67">
        <v>106.7089</v>
      </c>
      <c r="E4410" s="68">
        <v>1.079</v>
      </c>
    </row>
    <row r="4411" ht="22.5" customHeight="1">
      <c r="A4411" s="61">
        <v>10.82166</v>
      </c>
      <c r="B4411" s="63">
        <v>106.7034</v>
      </c>
      <c r="C4411" s="63">
        <v>10.81521</v>
      </c>
      <c r="D4411" s="63">
        <v>106.6978</v>
      </c>
      <c r="E4411" s="64">
        <v>1.207</v>
      </c>
    </row>
    <row r="4412" ht="22.5" customHeight="1">
      <c r="A4412" s="66">
        <v>10.82166</v>
      </c>
      <c r="B4412" s="67">
        <v>106.7034</v>
      </c>
      <c r="C4412" s="67">
        <v>10.81724</v>
      </c>
      <c r="D4412" s="67">
        <v>106.689</v>
      </c>
      <c r="E4412" s="68">
        <v>2.67</v>
      </c>
    </row>
    <row r="4413" ht="22.5" customHeight="1">
      <c r="A4413" s="61">
        <v>10.82166</v>
      </c>
      <c r="B4413" s="63">
        <v>106.7034</v>
      </c>
      <c r="C4413" s="63">
        <v>10.82082</v>
      </c>
      <c r="D4413" s="63">
        <v>106.7046</v>
      </c>
      <c r="E4413" s="64">
        <v>0.355</v>
      </c>
    </row>
    <row r="4414" ht="22.5" customHeight="1">
      <c r="A4414" s="66">
        <v>10.82166</v>
      </c>
      <c r="B4414" s="67">
        <v>106.7034</v>
      </c>
      <c r="C4414" s="67">
        <v>10.82084</v>
      </c>
      <c r="D4414" s="67">
        <v>106.6837</v>
      </c>
      <c r="E4414" s="68">
        <v>3.305</v>
      </c>
    </row>
    <row r="4415" ht="22.5" customHeight="1">
      <c r="A4415" s="61">
        <v>10.82166</v>
      </c>
      <c r="B4415" s="63">
        <v>106.7034</v>
      </c>
      <c r="C4415" s="63">
        <v>10.82166</v>
      </c>
      <c r="D4415" s="63">
        <v>106.7034</v>
      </c>
      <c r="E4415" s="64">
        <v>0.02</v>
      </c>
    </row>
    <row r="4416" ht="22.5" customHeight="1">
      <c r="A4416" s="66">
        <v>10.82166</v>
      </c>
      <c r="B4416" s="67">
        <v>106.7034</v>
      </c>
      <c r="C4416" s="67">
        <v>10.83375</v>
      </c>
      <c r="D4416" s="67">
        <v>106.7288</v>
      </c>
      <c r="E4416" s="68">
        <v>4.38</v>
      </c>
    </row>
    <row r="4417" ht="22.5" customHeight="1">
      <c r="A4417" s="61">
        <v>10.82372</v>
      </c>
      <c r="B4417" s="63">
        <v>106.6372</v>
      </c>
      <c r="C4417" s="63">
        <v>10.77509</v>
      </c>
      <c r="D4417" s="63">
        <v>106.6727</v>
      </c>
      <c r="E4417" s="64">
        <v>9.671</v>
      </c>
    </row>
    <row r="4418" ht="22.5" customHeight="1">
      <c r="A4418" s="66">
        <v>10.82551</v>
      </c>
      <c r="B4418" s="67">
        <v>106.6868</v>
      </c>
      <c r="C4418" s="67">
        <v>10.82927</v>
      </c>
      <c r="D4418" s="67">
        <v>106.6816</v>
      </c>
      <c r="E4418" s="68">
        <v>1.84</v>
      </c>
    </row>
    <row r="4419" ht="22.5" customHeight="1">
      <c r="A4419" s="61">
        <v>10.82623</v>
      </c>
      <c r="B4419" s="63">
        <v>106.7634</v>
      </c>
      <c r="C4419" s="63">
        <v>10.81819</v>
      </c>
      <c r="D4419" s="63">
        <v>106.7731</v>
      </c>
      <c r="E4419" s="64">
        <v>1.549</v>
      </c>
    </row>
    <row r="4420" ht="22.5" customHeight="1">
      <c r="A4420" s="66">
        <v>10.82623</v>
      </c>
      <c r="B4420" s="67">
        <v>106.7634</v>
      </c>
      <c r="C4420" s="67">
        <v>10.84462</v>
      </c>
      <c r="D4420" s="67">
        <v>106.7812</v>
      </c>
      <c r="E4420" s="68">
        <v>3.947</v>
      </c>
    </row>
    <row r="4421" ht="22.5" customHeight="1">
      <c r="A4421" s="61">
        <v>10.82623</v>
      </c>
      <c r="B4421" s="63">
        <v>106.7634</v>
      </c>
      <c r="C4421" s="63">
        <v>10.84737</v>
      </c>
      <c r="D4421" s="63">
        <v>106.7766</v>
      </c>
      <c r="E4421" s="64">
        <v>3.427</v>
      </c>
    </row>
    <row r="4422" ht="22.5" customHeight="1">
      <c r="A4422" s="66">
        <v>10.827</v>
      </c>
      <c r="B4422" s="67">
        <v>106.723</v>
      </c>
      <c r="C4422" s="67">
        <v>10.85846</v>
      </c>
      <c r="D4422" s="67">
        <v>106.7487</v>
      </c>
      <c r="E4422" s="68">
        <v>5.137</v>
      </c>
    </row>
    <row r="4423" ht="22.5" customHeight="1">
      <c r="A4423" s="61">
        <v>10.82721</v>
      </c>
      <c r="B4423" s="63">
        <v>106.6247</v>
      </c>
      <c r="C4423" s="63">
        <v>10.79975</v>
      </c>
      <c r="D4423" s="63">
        <v>106.6696</v>
      </c>
      <c r="E4423" s="64">
        <v>6.6</v>
      </c>
    </row>
    <row r="4424" ht="22.5" customHeight="1">
      <c r="A4424" s="66">
        <v>10.82721</v>
      </c>
      <c r="B4424" s="67">
        <v>106.6247</v>
      </c>
      <c r="C4424" s="67">
        <v>10.82721</v>
      </c>
      <c r="D4424" s="67">
        <v>106.6247</v>
      </c>
      <c r="E4424" s="68">
        <v>0.0</v>
      </c>
    </row>
    <row r="4425" ht="22.5" customHeight="1">
      <c r="A4425" s="61">
        <v>10.82721</v>
      </c>
      <c r="B4425" s="63">
        <v>106.6247</v>
      </c>
      <c r="C4425" s="63">
        <v>10.83465</v>
      </c>
      <c r="D4425" s="63">
        <v>106.6616</v>
      </c>
      <c r="E4425" s="64">
        <v>6.1</v>
      </c>
    </row>
    <row r="4426" ht="22.5" customHeight="1">
      <c r="A4426" s="66">
        <v>10.82721</v>
      </c>
      <c r="B4426" s="67">
        <v>106.6247</v>
      </c>
      <c r="C4426" s="67">
        <v>10.84253</v>
      </c>
      <c r="D4426" s="67">
        <v>106.6427</v>
      </c>
      <c r="E4426" s="68">
        <v>4.406</v>
      </c>
    </row>
    <row r="4427" ht="22.5" customHeight="1">
      <c r="A4427" s="61">
        <v>10.82721</v>
      </c>
      <c r="B4427" s="63">
        <v>106.6247</v>
      </c>
      <c r="C4427" s="63">
        <v>10.84581</v>
      </c>
      <c r="D4427" s="63">
        <v>106.593</v>
      </c>
      <c r="E4427" s="64">
        <v>4.3</v>
      </c>
    </row>
    <row r="4428" ht="22.5" customHeight="1">
      <c r="A4428" s="66">
        <v>10.82721</v>
      </c>
      <c r="B4428" s="67">
        <v>106.6247</v>
      </c>
      <c r="C4428" s="67">
        <v>10.84941</v>
      </c>
      <c r="D4428" s="67">
        <v>106.588</v>
      </c>
      <c r="E4428" s="68">
        <v>5.0</v>
      </c>
    </row>
    <row r="4429" ht="22.5" customHeight="1">
      <c r="A4429" s="61">
        <v>10.82721</v>
      </c>
      <c r="B4429" s="63">
        <v>106.6247</v>
      </c>
      <c r="C4429" s="63">
        <v>10.85059</v>
      </c>
      <c r="D4429" s="63">
        <v>106.5865</v>
      </c>
      <c r="E4429" s="64">
        <v>5.2</v>
      </c>
    </row>
    <row r="4430" ht="22.5" customHeight="1">
      <c r="A4430" s="66">
        <v>10.82721</v>
      </c>
      <c r="B4430" s="67">
        <v>106.6247</v>
      </c>
      <c r="C4430" s="67">
        <v>10.85292</v>
      </c>
      <c r="D4430" s="67">
        <v>106.5839</v>
      </c>
      <c r="E4430" s="68">
        <v>5.5</v>
      </c>
    </row>
    <row r="4431" ht="22.5" customHeight="1">
      <c r="A4431" s="61">
        <v>10.82721</v>
      </c>
      <c r="B4431" s="63">
        <v>106.6247</v>
      </c>
      <c r="C4431" s="63">
        <v>10.86494</v>
      </c>
      <c r="D4431" s="63">
        <v>106.5703</v>
      </c>
      <c r="E4431" s="64">
        <v>7.7</v>
      </c>
    </row>
    <row r="4432" ht="22.5" customHeight="1">
      <c r="A4432" s="66">
        <v>10.82721</v>
      </c>
      <c r="B4432" s="67">
        <v>106.6247</v>
      </c>
      <c r="C4432" s="67">
        <v>10.86696</v>
      </c>
      <c r="D4432" s="67">
        <v>106.6153</v>
      </c>
      <c r="E4432" s="68">
        <v>5.3</v>
      </c>
    </row>
    <row r="4433" ht="22.5" customHeight="1">
      <c r="A4433" s="61">
        <v>10.82721</v>
      </c>
      <c r="B4433" s="63">
        <v>106.6247</v>
      </c>
      <c r="C4433" s="63">
        <v>10.87189</v>
      </c>
      <c r="D4433" s="63">
        <v>106.5975</v>
      </c>
      <c r="E4433" s="64">
        <v>6.0</v>
      </c>
    </row>
    <row r="4434" ht="22.5" customHeight="1">
      <c r="A4434" s="66">
        <v>10.82721</v>
      </c>
      <c r="B4434" s="67">
        <v>106.6247</v>
      </c>
      <c r="C4434" s="67">
        <v>10.8732</v>
      </c>
      <c r="D4434" s="67">
        <v>106.6214</v>
      </c>
      <c r="E4434" s="68">
        <v>6.3</v>
      </c>
    </row>
    <row r="4435" ht="22.5" customHeight="1">
      <c r="A4435" s="61">
        <v>10.82721</v>
      </c>
      <c r="B4435" s="63">
        <v>106.6247</v>
      </c>
      <c r="C4435" s="63">
        <v>10.87371</v>
      </c>
      <c r="D4435" s="63">
        <v>106.6217</v>
      </c>
      <c r="E4435" s="64">
        <v>6.3</v>
      </c>
    </row>
    <row r="4436" ht="22.5" customHeight="1">
      <c r="A4436" s="66">
        <v>10.82721</v>
      </c>
      <c r="B4436" s="67">
        <v>106.6247</v>
      </c>
      <c r="C4436" s="67">
        <v>10.87507</v>
      </c>
      <c r="D4436" s="67">
        <v>106.5985</v>
      </c>
      <c r="E4436" s="68">
        <v>6.4</v>
      </c>
    </row>
    <row r="4437" ht="22.5" customHeight="1">
      <c r="A4437" s="61">
        <v>10.82721</v>
      </c>
      <c r="B4437" s="63">
        <v>106.6247</v>
      </c>
      <c r="C4437" s="63">
        <v>10.87599</v>
      </c>
      <c r="D4437" s="63">
        <v>106.6239</v>
      </c>
      <c r="E4437" s="64">
        <v>6.7</v>
      </c>
    </row>
    <row r="4438" ht="22.5" customHeight="1">
      <c r="A4438" s="66">
        <v>10.82721</v>
      </c>
      <c r="B4438" s="67">
        <v>106.6247</v>
      </c>
      <c r="C4438" s="67">
        <v>10.88436</v>
      </c>
      <c r="D4438" s="67">
        <v>106.595</v>
      </c>
      <c r="E4438" s="68">
        <v>7.6</v>
      </c>
    </row>
    <row r="4439" ht="22.5" customHeight="1">
      <c r="A4439" s="61">
        <v>10.82721</v>
      </c>
      <c r="B4439" s="63">
        <v>106.6247</v>
      </c>
      <c r="C4439" s="63">
        <v>10.88706</v>
      </c>
      <c r="D4439" s="63">
        <v>106.5911</v>
      </c>
      <c r="E4439" s="64">
        <v>8.2</v>
      </c>
    </row>
    <row r="4440" ht="22.5" customHeight="1">
      <c r="A4440" s="66">
        <v>10.82721</v>
      </c>
      <c r="B4440" s="67">
        <v>106.6247</v>
      </c>
      <c r="C4440" s="67">
        <v>10.88801</v>
      </c>
      <c r="D4440" s="67">
        <v>106.5985</v>
      </c>
      <c r="E4440" s="68">
        <v>7.9</v>
      </c>
    </row>
    <row r="4441" ht="22.5" customHeight="1">
      <c r="A4441" s="61">
        <v>10.82721</v>
      </c>
      <c r="B4441" s="63">
        <v>106.6247</v>
      </c>
      <c r="C4441" s="63">
        <v>10.8937</v>
      </c>
      <c r="D4441" s="63">
        <v>106.6123</v>
      </c>
      <c r="E4441" s="64">
        <v>9.8</v>
      </c>
    </row>
    <row r="4442" ht="22.5" customHeight="1">
      <c r="A4442" s="66">
        <v>10.82721</v>
      </c>
      <c r="B4442" s="67">
        <v>106.6247</v>
      </c>
      <c r="C4442" s="67">
        <v>10.8955</v>
      </c>
      <c r="D4442" s="67">
        <v>106.5788</v>
      </c>
      <c r="E4442" s="68">
        <v>10.5</v>
      </c>
    </row>
    <row r="4443" ht="22.5" customHeight="1">
      <c r="A4443" s="61">
        <v>10.82721</v>
      </c>
      <c r="B4443" s="63">
        <v>106.6247</v>
      </c>
      <c r="C4443" s="63">
        <v>10.90586</v>
      </c>
      <c r="D4443" s="63">
        <v>106.6438</v>
      </c>
      <c r="E4443" s="64">
        <v>11.3</v>
      </c>
    </row>
    <row r="4444" ht="22.5" customHeight="1">
      <c r="A4444" s="66">
        <v>10.82721</v>
      </c>
      <c r="B4444" s="67">
        <v>106.6247</v>
      </c>
      <c r="C4444" s="67">
        <v>10.90753</v>
      </c>
      <c r="D4444" s="67">
        <v>106.6417</v>
      </c>
      <c r="E4444" s="68">
        <v>12.0</v>
      </c>
    </row>
    <row r="4445" ht="22.5" customHeight="1">
      <c r="A4445" s="61">
        <v>10.82721</v>
      </c>
      <c r="B4445" s="63">
        <v>106.6247</v>
      </c>
      <c r="C4445" s="63">
        <v>10.97037</v>
      </c>
      <c r="D4445" s="63">
        <v>106.4895</v>
      </c>
      <c r="E4445" s="64">
        <v>22.6</v>
      </c>
    </row>
    <row r="4446" ht="22.5" customHeight="1">
      <c r="A4446" s="66">
        <v>10.82721</v>
      </c>
      <c r="B4446" s="67">
        <v>106.6247</v>
      </c>
      <c r="C4446" s="67">
        <v>10.97066</v>
      </c>
      <c r="D4446" s="67">
        <v>106.4827</v>
      </c>
      <c r="E4446" s="68">
        <v>23.0</v>
      </c>
    </row>
    <row r="4447" ht="22.5" customHeight="1">
      <c r="A4447" s="61">
        <v>10.82721</v>
      </c>
      <c r="B4447" s="63">
        <v>106.6247</v>
      </c>
      <c r="C4447" s="63">
        <v>10.97089</v>
      </c>
      <c r="D4447" s="63">
        <v>106.4823</v>
      </c>
      <c r="E4447" s="64">
        <v>23.0</v>
      </c>
    </row>
    <row r="4448" ht="22.5" customHeight="1">
      <c r="A4448" s="66">
        <v>10.82721</v>
      </c>
      <c r="B4448" s="67">
        <v>106.6247</v>
      </c>
      <c r="C4448" s="67">
        <v>10.97458</v>
      </c>
      <c r="D4448" s="67">
        <v>106.4804</v>
      </c>
      <c r="E4448" s="68">
        <v>23.7</v>
      </c>
    </row>
    <row r="4449" ht="22.5" customHeight="1">
      <c r="A4449" s="61">
        <v>10.82721</v>
      </c>
      <c r="B4449" s="63">
        <v>106.6247</v>
      </c>
      <c r="C4449" s="63">
        <v>10.97728</v>
      </c>
      <c r="D4449" s="63">
        <v>106.5021</v>
      </c>
      <c r="E4449" s="64">
        <v>23.0</v>
      </c>
    </row>
    <row r="4450" ht="22.5" customHeight="1">
      <c r="A4450" s="66">
        <v>10.82721</v>
      </c>
      <c r="B4450" s="67">
        <v>106.6247</v>
      </c>
      <c r="C4450" s="67">
        <v>10.98366</v>
      </c>
      <c r="D4450" s="67">
        <v>106.574</v>
      </c>
      <c r="E4450" s="68">
        <v>20.3</v>
      </c>
    </row>
    <row r="4451" ht="22.5" customHeight="1">
      <c r="A4451" s="61">
        <v>10.82721</v>
      </c>
      <c r="B4451" s="63">
        <v>106.6247</v>
      </c>
      <c r="C4451" s="63">
        <v>11.02754</v>
      </c>
      <c r="D4451" s="63">
        <v>106.3768</v>
      </c>
      <c r="E4451" s="64">
        <v>39.3</v>
      </c>
    </row>
    <row r="4452" ht="22.5" customHeight="1">
      <c r="A4452" s="66">
        <v>10.82729</v>
      </c>
      <c r="B4452" s="67">
        <v>106.769</v>
      </c>
      <c r="C4452" s="67">
        <v>10.79036</v>
      </c>
      <c r="D4452" s="67">
        <v>106.6973</v>
      </c>
      <c r="E4452" s="68">
        <v>12.1</v>
      </c>
    </row>
    <row r="4453" ht="22.5" customHeight="1">
      <c r="A4453" s="61">
        <v>10.82729</v>
      </c>
      <c r="B4453" s="63">
        <v>106.769</v>
      </c>
      <c r="C4453" s="63">
        <v>10.81819</v>
      </c>
      <c r="D4453" s="63">
        <v>106.7731</v>
      </c>
      <c r="E4453" s="64">
        <v>1.2</v>
      </c>
    </row>
    <row r="4454" ht="22.5" customHeight="1">
      <c r="A4454" s="66">
        <v>10.82729</v>
      </c>
      <c r="B4454" s="67">
        <v>106.769</v>
      </c>
      <c r="C4454" s="67">
        <v>10.82848</v>
      </c>
      <c r="D4454" s="67">
        <v>106.7685</v>
      </c>
      <c r="E4454" s="68">
        <v>0.169</v>
      </c>
    </row>
    <row r="4455" ht="22.5" customHeight="1">
      <c r="A4455" s="61">
        <v>10.82729</v>
      </c>
      <c r="B4455" s="63">
        <v>106.769</v>
      </c>
      <c r="C4455" s="63">
        <v>10.83771</v>
      </c>
      <c r="D4455" s="63">
        <v>106.8442</v>
      </c>
      <c r="E4455" s="64">
        <v>11.323</v>
      </c>
    </row>
    <row r="4456" ht="22.5" customHeight="1">
      <c r="A4456" s="66">
        <v>10.82729</v>
      </c>
      <c r="B4456" s="67">
        <v>106.769</v>
      </c>
      <c r="C4456" s="67">
        <v>10.843</v>
      </c>
      <c r="D4456" s="67">
        <v>106.7308</v>
      </c>
      <c r="E4456" s="68">
        <v>6.027</v>
      </c>
    </row>
    <row r="4457" ht="22.5" customHeight="1">
      <c r="A4457" s="61">
        <v>10.82729</v>
      </c>
      <c r="B4457" s="63">
        <v>106.769</v>
      </c>
      <c r="C4457" s="63">
        <v>10.84462</v>
      </c>
      <c r="D4457" s="63">
        <v>106.7812</v>
      </c>
      <c r="E4457" s="64">
        <v>2.954</v>
      </c>
    </row>
    <row r="4458" ht="22.5" customHeight="1">
      <c r="A4458" s="66">
        <v>10.82729</v>
      </c>
      <c r="B4458" s="67">
        <v>106.769</v>
      </c>
      <c r="C4458" s="67">
        <v>10.84737</v>
      </c>
      <c r="D4458" s="67">
        <v>106.7766</v>
      </c>
      <c r="E4458" s="68">
        <v>4.8</v>
      </c>
    </row>
    <row r="4459" ht="22.5" customHeight="1">
      <c r="A4459" s="61">
        <v>10.82729</v>
      </c>
      <c r="B4459" s="63">
        <v>106.769</v>
      </c>
      <c r="C4459" s="63">
        <v>10.85295</v>
      </c>
      <c r="D4459" s="63">
        <v>106.7922</v>
      </c>
      <c r="E4459" s="64">
        <v>4.912</v>
      </c>
    </row>
    <row r="4460" ht="22.5" customHeight="1">
      <c r="A4460" s="66">
        <v>10.82746</v>
      </c>
      <c r="B4460" s="67">
        <v>106.6812</v>
      </c>
      <c r="C4460" s="67">
        <v>10.82927</v>
      </c>
      <c r="D4460" s="67">
        <v>106.6816</v>
      </c>
      <c r="E4460" s="68">
        <v>1.049</v>
      </c>
    </row>
    <row r="4461" ht="22.5" customHeight="1">
      <c r="A4461" s="61">
        <v>10.82782</v>
      </c>
      <c r="B4461" s="63">
        <v>106.7236</v>
      </c>
      <c r="C4461" s="63">
        <v>10.83388</v>
      </c>
      <c r="D4461" s="63">
        <v>106.7618</v>
      </c>
      <c r="E4461" s="64">
        <v>5.445</v>
      </c>
    </row>
    <row r="4462" ht="22.5" customHeight="1">
      <c r="A4462" s="66">
        <v>10.82782</v>
      </c>
      <c r="B4462" s="67">
        <v>106.7236</v>
      </c>
      <c r="C4462" s="67">
        <v>10.84462</v>
      </c>
      <c r="D4462" s="67">
        <v>106.7812</v>
      </c>
      <c r="E4462" s="68">
        <v>8.337</v>
      </c>
    </row>
    <row r="4463" ht="22.5" customHeight="1">
      <c r="A4463" s="61">
        <v>10.8279</v>
      </c>
      <c r="B4463" s="63">
        <v>106.6796</v>
      </c>
      <c r="C4463" s="63">
        <v>10.77509</v>
      </c>
      <c r="D4463" s="63">
        <v>106.6727</v>
      </c>
      <c r="E4463" s="64">
        <v>8.729</v>
      </c>
    </row>
    <row r="4464" ht="22.5" customHeight="1">
      <c r="A4464" s="66">
        <v>10.8279</v>
      </c>
      <c r="B4464" s="67">
        <v>106.6796</v>
      </c>
      <c r="C4464" s="67">
        <v>10.79975</v>
      </c>
      <c r="D4464" s="67">
        <v>106.6696</v>
      </c>
      <c r="E4464" s="68">
        <v>5.2</v>
      </c>
    </row>
    <row r="4465" ht="22.5" customHeight="1">
      <c r="A4465" s="61">
        <v>10.8279</v>
      </c>
      <c r="B4465" s="63">
        <v>106.6796</v>
      </c>
      <c r="C4465" s="63">
        <v>10.82084</v>
      </c>
      <c r="D4465" s="63">
        <v>106.6837</v>
      </c>
      <c r="E4465" s="64">
        <v>4.151</v>
      </c>
    </row>
    <row r="4466" ht="22.5" customHeight="1">
      <c r="A4466" s="66">
        <v>10.8279</v>
      </c>
      <c r="B4466" s="67">
        <v>106.6796</v>
      </c>
      <c r="C4466" s="67">
        <v>10.82927</v>
      </c>
      <c r="D4466" s="67">
        <v>106.6816</v>
      </c>
      <c r="E4466" s="68">
        <v>0.75</v>
      </c>
    </row>
    <row r="4467" ht="22.5" customHeight="1">
      <c r="A4467" s="61">
        <v>10.8279</v>
      </c>
      <c r="B4467" s="63">
        <v>106.6796</v>
      </c>
      <c r="C4467" s="63">
        <v>10.8303</v>
      </c>
      <c r="D4467" s="63">
        <v>106.6778</v>
      </c>
      <c r="E4467" s="64">
        <v>0.892</v>
      </c>
    </row>
    <row r="4468" ht="22.5" customHeight="1">
      <c r="A4468" s="66">
        <v>10.82848</v>
      </c>
      <c r="B4468" s="67">
        <v>106.7685</v>
      </c>
      <c r="C4468" s="67">
        <v>10.77509</v>
      </c>
      <c r="D4468" s="67">
        <v>106.6727</v>
      </c>
      <c r="E4468" s="68">
        <v>14.494</v>
      </c>
    </row>
    <row r="4469" ht="22.5" customHeight="1">
      <c r="A4469" s="61">
        <v>10.82848</v>
      </c>
      <c r="B4469" s="63">
        <v>106.7685</v>
      </c>
      <c r="C4469" s="63">
        <v>10.79036</v>
      </c>
      <c r="D4469" s="63">
        <v>106.6973</v>
      </c>
      <c r="E4469" s="64">
        <v>11.745</v>
      </c>
    </row>
    <row r="4470" ht="22.5" customHeight="1">
      <c r="A4470" s="66">
        <v>10.82848</v>
      </c>
      <c r="B4470" s="67">
        <v>106.7685</v>
      </c>
      <c r="C4470" s="67">
        <v>10.79203</v>
      </c>
      <c r="D4470" s="67">
        <v>106.7304</v>
      </c>
      <c r="E4470" s="68">
        <v>7.879</v>
      </c>
    </row>
    <row r="4471" ht="22.5" customHeight="1">
      <c r="A4471" s="61">
        <v>10.82848</v>
      </c>
      <c r="B4471" s="63">
        <v>106.7685</v>
      </c>
      <c r="C4471" s="63">
        <v>10.81742</v>
      </c>
      <c r="D4471" s="63">
        <v>106.7744</v>
      </c>
      <c r="E4471" s="64">
        <v>1.535</v>
      </c>
    </row>
    <row r="4472" ht="22.5" customHeight="1">
      <c r="A4472" s="66">
        <v>10.82848</v>
      </c>
      <c r="B4472" s="67">
        <v>106.7685</v>
      </c>
      <c r="C4472" s="67">
        <v>10.81819</v>
      </c>
      <c r="D4472" s="67">
        <v>106.7731</v>
      </c>
      <c r="E4472" s="68">
        <v>1.318</v>
      </c>
    </row>
    <row r="4473" ht="22.5" customHeight="1">
      <c r="A4473" s="61">
        <v>10.82848</v>
      </c>
      <c r="B4473" s="63">
        <v>106.7685</v>
      </c>
      <c r="C4473" s="63">
        <v>10.81991</v>
      </c>
      <c r="D4473" s="63">
        <v>106.8322</v>
      </c>
      <c r="E4473" s="64">
        <v>9.581</v>
      </c>
    </row>
    <row r="4474" ht="22.5" customHeight="1">
      <c r="A4474" s="66">
        <v>10.82848</v>
      </c>
      <c r="B4474" s="67">
        <v>106.7685</v>
      </c>
      <c r="C4474" s="67">
        <v>10.82729</v>
      </c>
      <c r="D4474" s="67">
        <v>106.769</v>
      </c>
      <c r="E4474" s="68">
        <v>0.166</v>
      </c>
    </row>
    <row r="4475" ht="22.5" customHeight="1">
      <c r="A4475" s="61">
        <v>10.82848</v>
      </c>
      <c r="B4475" s="63">
        <v>106.7685</v>
      </c>
      <c r="C4475" s="63">
        <v>10.83771</v>
      </c>
      <c r="D4475" s="63">
        <v>106.8442</v>
      </c>
      <c r="E4475" s="64">
        <v>11.569</v>
      </c>
    </row>
    <row r="4476" ht="22.5" customHeight="1">
      <c r="A4476" s="66">
        <v>10.82848</v>
      </c>
      <c r="B4476" s="67">
        <v>106.7685</v>
      </c>
      <c r="C4476" s="67">
        <v>10.839</v>
      </c>
      <c r="D4476" s="67">
        <v>106.8435</v>
      </c>
      <c r="E4476" s="68">
        <v>11.572</v>
      </c>
    </row>
    <row r="4477" ht="22.5" customHeight="1">
      <c r="A4477" s="61">
        <v>10.82848</v>
      </c>
      <c r="B4477" s="63">
        <v>106.7685</v>
      </c>
      <c r="C4477" s="63">
        <v>10.83978</v>
      </c>
      <c r="D4477" s="63">
        <v>106.7932</v>
      </c>
      <c r="E4477" s="64">
        <v>4.721</v>
      </c>
    </row>
    <row r="4478" ht="22.5" customHeight="1">
      <c r="A4478" s="66">
        <v>10.82848</v>
      </c>
      <c r="B4478" s="67">
        <v>106.7685</v>
      </c>
      <c r="C4478" s="67">
        <v>10.843</v>
      </c>
      <c r="D4478" s="67">
        <v>106.7308</v>
      </c>
      <c r="E4478" s="68">
        <v>5.867</v>
      </c>
    </row>
    <row r="4479" ht="22.5" customHeight="1">
      <c r="A4479" s="61">
        <v>10.82848</v>
      </c>
      <c r="B4479" s="63">
        <v>106.7685</v>
      </c>
      <c r="C4479" s="63">
        <v>10.84462</v>
      </c>
      <c r="D4479" s="63">
        <v>106.7812</v>
      </c>
      <c r="E4479" s="64">
        <v>3.121</v>
      </c>
    </row>
    <row r="4480" ht="22.5" customHeight="1">
      <c r="A4480" s="66">
        <v>10.82848</v>
      </c>
      <c r="B4480" s="67">
        <v>106.7685</v>
      </c>
      <c r="C4480" s="67">
        <v>10.84545</v>
      </c>
      <c r="D4480" s="67">
        <v>106.7867</v>
      </c>
      <c r="E4480" s="68">
        <v>4.2</v>
      </c>
    </row>
    <row r="4481" ht="22.5" customHeight="1">
      <c r="A4481" s="61">
        <v>10.82848</v>
      </c>
      <c r="B4481" s="63">
        <v>106.7685</v>
      </c>
      <c r="C4481" s="63">
        <v>10.84695</v>
      </c>
      <c r="D4481" s="63">
        <v>106.7774</v>
      </c>
      <c r="E4481" s="64">
        <v>2.95</v>
      </c>
    </row>
    <row r="4482" ht="22.5" customHeight="1">
      <c r="A4482" s="66">
        <v>10.82848</v>
      </c>
      <c r="B4482" s="67">
        <v>106.7685</v>
      </c>
      <c r="C4482" s="67">
        <v>10.84737</v>
      </c>
      <c r="D4482" s="67">
        <v>106.7766</v>
      </c>
      <c r="E4482" s="68">
        <v>2.903</v>
      </c>
    </row>
    <row r="4483" ht="22.5" customHeight="1">
      <c r="A4483" s="61">
        <v>10.82848</v>
      </c>
      <c r="B4483" s="63">
        <v>106.7685</v>
      </c>
      <c r="C4483" s="63">
        <v>10.8507</v>
      </c>
      <c r="D4483" s="63">
        <v>106.7548</v>
      </c>
      <c r="E4483" s="64">
        <v>3.813</v>
      </c>
    </row>
    <row r="4484" ht="22.5" customHeight="1">
      <c r="A4484" s="66">
        <v>10.82848</v>
      </c>
      <c r="B4484" s="67">
        <v>106.7685</v>
      </c>
      <c r="C4484" s="67">
        <v>10.85295</v>
      </c>
      <c r="D4484" s="67">
        <v>106.7922</v>
      </c>
      <c r="E4484" s="68">
        <v>5.105</v>
      </c>
    </row>
    <row r="4485" ht="22.5" customHeight="1">
      <c r="A4485" s="61">
        <v>10.82848</v>
      </c>
      <c r="B4485" s="63">
        <v>106.7685</v>
      </c>
      <c r="C4485" s="63">
        <v>10.86052</v>
      </c>
      <c r="D4485" s="63">
        <v>106.7606</v>
      </c>
      <c r="E4485" s="64">
        <v>4.65</v>
      </c>
    </row>
    <row r="4486" ht="22.5" customHeight="1">
      <c r="A4486" s="66">
        <v>10.82848</v>
      </c>
      <c r="B4486" s="67">
        <v>106.7685</v>
      </c>
      <c r="C4486" s="67">
        <v>10.86502</v>
      </c>
      <c r="D4486" s="67">
        <v>106.8108</v>
      </c>
      <c r="E4486" s="68">
        <v>7.413</v>
      </c>
    </row>
    <row r="4487" ht="22.5" customHeight="1">
      <c r="A4487" s="61">
        <v>10.82927</v>
      </c>
      <c r="B4487" s="63">
        <v>106.6816</v>
      </c>
      <c r="C4487" s="63">
        <v>10.77509</v>
      </c>
      <c r="D4487" s="63">
        <v>106.6727</v>
      </c>
      <c r="E4487" s="64">
        <v>9.0</v>
      </c>
    </row>
    <row r="4488" ht="22.5" customHeight="1">
      <c r="A4488" s="66">
        <v>10.82927</v>
      </c>
      <c r="B4488" s="67">
        <v>106.6816</v>
      </c>
      <c r="C4488" s="67">
        <v>10.79975</v>
      </c>
      <c r="D4488" s="67">
        <v>106.6696</v>
      </c>
      <c r="E4488" s="68">
        <v>5.26</v>
      </c>
    </row>
    <row r="4489" ht="22.5" customHeight="1">
      <c r="A4489" s="61">
        <v>10.82927</v>
      </c>
      <c r="B4489" s="63">
        <v>106.6816</v>
      </c>
      <c r="C4489" s="63">
        <v>10.80944</v>
      </c>
      <c r="D4489" s="63">
        <v>106.695</v>
      </c>
      <c r="E4489" s="64">
        <v>3.018</v>
      </c>
    </row>
    <row r="4490" ht="22.5" customHeight="1">
      <c r="A4490" s="66">
        <v>10.82927</v>
      </c>
      <c r="B4490" s="67">
        <v>106.6816</v>
      </c>
      <c r="C4490" s="67">
        <v>10.81863</v>
      </c>
      <c r="D4490" s="67">
        <v>106.6787</v>
      </c>
      <c r="E4490" s="68">
        <v>1.49</v>
      </c>
    </row>
    <row r="4491" ht="22.5" customHeight="1">
      <c r="A4491" s="61">
        <v>10.82927</v>
      </c>
      <c r="B4491" s="63">
        <v>106.6816</v>
      </c>
      <c r="C4491" s="63">
        <v>10.8279</v>
      </c>
      <c r="D4491" s="63">
        <v>106.6796</v>
      </c>
      <c r="E4491" s="64">
        <v>0.876</v>
      </c>
    </row>
    <row r="4492" ht="22.5" customHeight="1">
      <c r="A4492" s="66">
        <v>10.82927</v>
      </c>
      <c r="B4492" s="67">
        <v>106.6816</v>
      </c>
      <c r="C4492" s="67">
        <v>10.82927</v>
      </c>
      <c r="D4492" s="67">
        <v>106.6816</v>
      </c>
      <c r="E4492" s="68">
        <v>0.0</v>
      </c>
    </row>
    <row r="4493" ht="22.5" customHeight="1">
      <c r="A4493" s="61">
        <v>10.82927</v>
      </c>
      <c r="B4493" s="63">
        <v>106.6816</v>
      </c>
      <c r="C4493" s="63">
        <v>10.8303</v>
      </c>
      <c r="D4493" s="63">
        <v>106.6778</v>
      </c>
      <c r="E4493" s="64">
        <v>0.6</v>
      </c>
    </row>
    <row r="4494" ht="22.5" customHeight="1">
      <c r="A4494" s="66">
        <v>10.82927</v>
      </c>
      <c r="B4494" s="67">
        <v>106.6816</v>
      </c>
      <c r="C4494" s="67">
        <v>10.83465</v>
      </c>
      <c r="D4494" s="67">
        <v>106.6616</v>
      </c>
      <c r="E4494" s="68">
        <v>2.8</v>
      </c>
    </row>
    <row r="4495" ht="22.5" customHeight="1">
      <c r="A4495" s="61">
        <v>10.82927</v>
      </c>
      <c r="B4495" s="63">
        <v>106.6816</v>
      </c>
      <c r="C4495" s="63">
        <v>10.83497</v>
      </c>
      <c r="D4495" s="63">
        <v>106.6655</v>
      </c>
      <c r="E4495" s="64">
        <v>2.1</v>
      </c>
    </row>
    <row r="4496" ht="22.5" customHeight="1">
      <c r="A4496" s="66">
        <v>10.82927</v>
      </c>
      <c r="B4496" s="67">
        <v>106.6816</v>
      </c>
      <c r="C4496" s="67">
        <v>10.83538</v>
      </c>
      <c r="D4496" s="67">
        <v>106.6689</v>
      </c>
      <c r="E4496" s="68">
        <v>1.7</v>
      </c>
    </row>
    <row r="4497" ht="22.5" customHeight="1">
      <c r="A4497" s="61">
        <v>10.82927</v>
      </c>
      <c r="B4497" s="63">
        <v>106.6816</v>
      </c>
      <c r="C4497" s="63">
        <v>10.838</v>
      </c>
      <c r="D4497" s="63">
        <v>106.6702</v>
      </c>
      <c r="E4497" s="64">
        <v>2.0</v>
      </c>
    </row>
    <row r="4498" ht="22.5" customHeight="1">
      <c r="A4498" s="66">
        <v>10.82927</v>
      </c>
      <c r="B4498" s="67">
        <v>106.6816</v>
      </c>
      <c r="C4498" s="67">
        <v>10.84172</v>
      </c>
      <c r="D4498" s="67">
        <v>106.6764</v>
      </c>
      <c r="E4498" s="68">
        <v>2.995</v>
      </c>
    </row>
    <row r="4499" ht="22.5" customHeight="1">
      <c r="A4499" s="61">
        <v>10.82927</v>
      </c>
      <c r="B4499" s="63">
        <v>106.6816</v>
      </c>
      <c r="C4499" s="63">
        <v>10.84253</v>
      </c>
      <c r="D4499" s="63">
        <v>106.6427</v>
      </c>
      <c r="E4499" s="64">
        <v>5.847</v>
      </c>
    </row>
    <row r="4500" ht="22.5" customHeight="1">
      <c r="A4500" s="66">
        <v>10.82927</v>
      </c>
      <c r="B4500" s="67">
        <v>106.6816</v>
      </c>
      <c r="C4500" s="67">
        <v>10.84317</v>
      </c>
      <c r="D4500" s="67">
        <v>106.6767</v>
      </c>
      <c r="E4500" s="68">
        <v>3.135</v>
      </c>
    </row>
    <row r="4501" ht="22.5" customHeight="1">
      <c r="A4501" s="61">
        <v>10.82978</v>
      </c>
      <c r="B4501" s="63">
        <v>106.6027</v>
      </c>
      <c r="C4501" s="63">
        <v>10.81586</v>
      </c>
      <c r="D4501" s="63">
        <v>106.5985</v>
      </c>
      <c r="E4501" s="64">
        <v>1.906</v>
      </c>
    </row>
    <row r="4502" ht="22.5" customHeight="1">
      <c r="A4502" s="66">
        <v>10.8303</v>
      </c>
      <c r="B4502" s="67">
        <v>106.6778</v>
      </c>
      <c r="C4502" s="67">
        <v>10.77509</v>
      </c>
      <c r="D4502" s="67">
        <v>106.6727</v>
      </c>
      <c r="E4502" s="68">
        <v>8.823</v>
      </c>
    </row>
    <row r="4503" ht="22.5" customHeight="1">
      <c r="A4503" s="61">
        <v>10.8303</v>
      </c>
      <c r="B4503" s="63">
        <v>106.6778</v>
      </c>
      <c r="C4503" s="63">
        <v>10.79975</v>
      </c>
      <c r="D4503" s="63">
        <v>106.6696</v>
      </c>
      <c r="E4503" s="64">
        <v>4.695</v>
      </c>
    </row>
    <row r="4504" ht="22.5" customHeight="1">
      <c r="A4504" s="66">
        <v>10.8303</v>
      </c>
      <c r="B4504" s="67">
        <v>106.6778</v>
      </c>
      <c r="C4504" s="67">
        <v>10.82084</v>
      </c>
      <c r="D4504" s="67">
        <v>106.6837</v>
      </c>
      <c r="E4504" s="68">
        <v>1.78</v>
      </c>
    </row>
    <row r="4505" ht="22.5" customHeight="1">
      <c r="A4505" s="61">
        <v>10.8303</v>
      </c>
      <c r="B4505" s="63">
        <v>106.6778</v>
      </c>
      <c r="C4505" s="63">
        <v>10.82927</v>
      </c>
      <c r="D4505" s="63">
        <v>106.6816</v>
      </c>
      <c r="E4505" s="64">
        <v>1.476</v>
      </c>
    </row>
    <row r="4506" ht="22.5" customHeight="1">
      <c r="A4506" s="66">
        <v>10.8303</v>
      </c>
      <c r="B4506" s="67">
        <v>106.6778</v>
      </c>
      <c r="C4506" s="67">
        <v>10.83497</v>
      </c>
      <c r="D4506" s="67">
        <v>106.6655</v>
      </c>
      <c r="E4506" s="68">
        <v>2.546</v>
      </c>
    </row>
    <row r="4507" ht="22.5" customHeight="1">
      <c r="A4507" s="61">
        <v>10.8303</v>
      </c>
      <c r="B4507" s="63">
        <v>106.6778</v>
      </c>
      <c r="C4507" s="63">
        <v>10.83538</v>
      </c>
      <c r="D4507" s="63">
        <v>106.6689</v>
      </c>
      <c r="E4507" s="64">
        <v>2.318</v>
      </c>
    </row>
    <row r="4508" ht="22.5" customHeight="1">
      <c r="A4508" s="66">
        <v>10.8303</v>
      </c>
      <c r="B4508" s="67">
        <v>106.6778</v>
      </c>
      <c r="C4508" s="67">
        <v>10.838</v>
      </c>
      <c r="D4508" s="67">
        <v>106.6702</v>
      </c>
      <c r="E4508" s="68">
        <v>2.088</v>
      </c>
    </row>
    <row r="4509" ht="22.5" customHeight="1">
      <c r="A4509" s="61">
        <v>10.8303</v>
      </c>
      <c r="B4509" s="63">
        <v>106.6778</v>
      </c>
      <c r="C4509" s="63">
        <v>10.84172</v>
      </c>
      <c r="D4509" s="63">
        <v>106.6764</v>
      </c>
      <c r="E4509" s="64">
        <v>3.792</v>
      </c>
    </row>
    <row r="4510" ht="22.5" customHeight="1">
      <c r="A4510" s="66">
        <v>10.8303</v>
      </c>
      <c r="B4510" s="67">
        <v>106.6778</v>
      </c>
      <c r="C4510" s="67">
        <v>10.84253</v>
      </c>
      <c r="D4510" s="67">
        <v>106.6427</v>
      </c>
      <c r="E4510" s="68">
        <v>4.923</v>
      </c>
    </row>
    <row r="4511" ht="22.5" customHeight="1">
      <c r="A4511" s="61">
        <v>10.8303</v>
      </c>
      <c r="B4511" s="63">
        <v>106.6778</v>
      </c>
      <c r="C4511" s="63">
        <v>10.84317</v>
      </c>
      <c r="D4511" s="63">
        <v>106.6767</v>
      </c>
      <c r="E4511" s="64">
        <v>2.477</v>
      </c>
    </row>
    <row r="4512" ht="22.5" customHeight="1">
      <c r="A4512" s="66">
        <v>10.83168</v>
      </c>
      <c r="B4512" s="67">
        <v>106.7052</v>
      </c>
      <c r="C4512" s="67">
        <v>10.7922</v>
      </c>
      <c r="D4512" s="67">
        <v>106.6726</v>
      </c>
      <c r="E4512" s="68">
        <v>3.523</v>
      </c>
    </row>
    <row r="4513" ht="22.5" customHeight="1">
      <c r="A4513" s="61">
        <v>10.83174</v>
      </c>
      <c r="B4513" s="63">
        <v>106.6218</v>
      </c>
      <c r="C4513" s="63">
        <v>10.77509</v>
      </c>
      <c r="D4513" s="63">
        <v>106.6727</v>
      </c>
      <c r="E4513" s="64">
        <v>10.083</v>
      </c>
    </row>
    <row r="4514" ht="22.5" customHeight="1">
      <c r="A4514" s="66">
        <v>10.83174</v>
      </c>
      <c r="B4514" s="67">
        <v>106.6218</v>
      </c>
      <c r="C4514" s="67">
        <v>10.79036</v>
      </c>
      <c r="D4514" s="67">
        <v>106.6973</v>
      </c>
      <c r="E4514" s="68">
        <v>11.336</v>
      </c>
    </row>
    <row r="4515" ht="22.5" customHeight="1">
      <c r="A4515" s="61">
        <v>10.83174</v>
      </c>
      <c r="B4515" s="63">
        <v>106.6218</v>
      </c>
      <c r="C4515" s="63">
        <v>10.82721</v>
      </c>
      <c r="D4515" s="63">
        <v>106.6247</v>
      </c>
      <c r="E4515" s="64">
        <v>1.808</v>
      </c>
    </row>
    <row r="4516" ht="22.5" customHeight="1">
      <c r="A4516" s="66">
        <v>10.83174</v>
      </c>
      <c r="B4516" s="67">
        <v>106.6218</v>
      </c>
      <c r="C4516" s="67">
        <v>10.83926</v>
      </c>
      <c r="D4516" s="67">
        <v>106.6297</v>
      </c>
      <c r="E4516" s="68">
        <v>2.362</v>
      </c>
    </row>
    <row r="4517" ht="22.5" customHeight="1">
      <c r="A4517" s="61">
        <v>10.83174</v>
      </c>
      <c r="B4517" s="63">
        <v>106.6218</v>
      </c>
      <c r="C4517" s="63">
        <v>10.84253</v>
      </c>
      <c r="D4517" s="63">
        <v>106.6427</v>
      </c>
      <c r="E4517" s="64">
        <v>4.286</v>
      </c>
    </row>
    <row r="4518" ht="22.5" customHeight="1">
      <c r="A4518" s="66">
        <v>10.83174</v>
      </c>
      <c r="B4518" s="67">
        <v>106.6218</v>
      </c>
      <c r="C4518" s="67">
        <v>10.87599</v>
      </c>
      <c r="D4518" s="67">
        <v>106.6239</v>
      </c>
      <c r="E4518" s="68">
        <v>6.288</v>
      </c>
    </row>
    <row r="4519" ht="22.5" customHeight="1">
      <c r="A4519" s="61">
        <v>10.8322</v>
      </c>
      <c r="B4519" s="63">
        <v>106.6337</v>
      </c>
      <c r="C4519" s="63">
        <v>10.79975</v>
      </c>
      <c r="D4519" s="63">
        <v>106.6696</v>
      </c>
      <c r="E4519" s="64">
        <v>7.03</v>
      </c>
    </row>
    <row r="4520" ht="22.5" customHeight="1">
      <c r="A4520" s="66">
        <v>10.8322</v>
      </c>
      <c r="B4520" s="67">
        <v>106.6337</v>
      </c>
      <c r="C4520" s="67">
        <v>10.82721</v>
      </c>
      <c r="D4520" s="67">
        <v>106.6247</v>
      </c>
      <c r="E4520" s="68">
        <v>3.06</v>
      </c>
    </row>
    <row r="4521" ht="22.5" customHeight="1">
      <c r="A4521" s="61">
        <v>10.8322</v>
      </c>
      <c r="B4521" s="63">
        <v>106.6337</v>
      </c>
      <c r="C4521" s="63">
        <v>10.83926</v>
      </c>
      <c r="D4521" s="63">
        <v>106.6297</v>
      </c>
      <c r="E4521" s="64">
        <v>3.013</v>
      </c>
    </row>
    <row r="4522" ht="22.5" customHeight="1">
      <c r="A4522" s="66">
        <v>10.8322</v>
      </c>
      <c r="B4522" s="67">
        <v>106.6337</v>
      </c>
      <c r="C4522" s="67">
        <v>10.84253</v>
      </c>
      <c r="D4522" s="67">
        <v>106.6427</v>
      </c>
      <c r="E4522" s="68">
        <v>1.842</v>
      </c>
    </row>
    <row r="4523" ht="22.5" customHeight="1">
      <c r="A4523" s="61">
        <v>10.8322</v>
      </c>
      <c r="B4523" s="63">
        <v>106.6337</v>
      </c>
      <c r="C4523" s="63">
        <v>10.85051</v>
      </c>
      <c r="D4523" s="63">
        <v>106.6368</v>
      </c>
      <c r="E4523" s="64">
        <v>2.546</v>
      </c>
    </row>
    <row r="4524" ht="22.5" customHeight="1">
      <c r="A4524" s="66">
        <v>10.8322</v>
      </c>
      <c r="B4524" s="67">
        <v>106.6337</v>
      </c>
      <c r="C4524" s="67">
        <v>10.86294</v>
      </c>
      <c r="D4524" s="67">
        <v>106.6496</v>
      </c>
      <c r="E4524" s="68">
        <v>4.709</v>
      </c>
    </row>
    <row r="4525" ht="22.5" customHeight="1">
      <c r="A4525" s="61">
        <v>10.8322</v>
      </c>
      <c r="B4525" s="63">
        <v>106.6337</v>
      </c>
      <c r="C4525" s="63">
        <v>10.86696</v>
      </c>
      <c r="D4525" s="63">
        <v>106.6153</v>
      </c>
      <c r="E4525" s="64">
        <v>5.582</v>
      </c>
    </row>
    <row r="4526" ht="22.5" customHeight="1">
      <c r="A4526" s="66">
        <v>10.83306</v>
      </c>
      <c r="B4526" s="67">
        <v>106.6645</v>
      </c>
      <c r="C4526" s="67">
        <v>10.7718</v>
      </c>
      <c r="D4526" s="67">
        <v>106.6714</v>
      </c>
      <c r="E4526" s="68">
        <v>9.88</v>
      </c>
    </row>
    <row r="4527" ht="22.5" customHeight="1">
      <c r="A4527" s="61">
        <v>10.83306</v>
      </c>
      <c r="B4527" s="63">
        <v>106.6645</v>
      </c>
      <c r="C4527" s="63">
        <v>10.77509</v>
      </c>
      <c r="D4527" s="63">
        <v>106.6727</v>
      </c>
      <c r="E4527" s="64">
        <v>9.618</v>
      </c>
    </row>
    <row r="4528" ht="22.5" customHeight="1">
      <c r="A4528" s="66">
        <v>10.83306</v>
      </c>
      <c r="B4528" s="67">
        <v>106.6645</v>
      </c>
      <c r="C4528" s="67">
        <v>10.79975</v>
      </c>
      <c r="D4528" s="67">
        <v>106.6696</v>
      </c>
      <c r="E4528" s="68">
        <v>6.073</v>
      </c>
    </row>
    <row r="4529" ht="22.5" customHeight="1">
      <c r="A4529" s="61">
        <v>10.83306</v>
      </c>
      <c r="B4529" s="63">
        <v>106.6645</v>
      </c>
      <c r="C4529" s="63">
        <v>10.82927</v>
      </c>
      <c r="D4529" s="63">
        <v>106.6816</v>
      </c>
      <c r="E4529" s="64">
        <v>2.144</v>
      </c>
    </row>
    <row r="4530" ht="22.5" customHeight="1">
      <c r="A4530" s="66">
        <v>10.83306</v>
      </c>
      <c r="B4530" s="67">
        <v>106.6645</v>
      </c>
      <c r="C4530" s="67">
        <v>10.83648</v>
      </c>
      <c r="D4530" s="67">
        <v>106.6647</v>
      </c>
      <c r="E4530" s="68">
        <v>0.504</v>
      </c>
    </row>
    <row r="4531" ht="22.5" customHeight="1">
      <c r="A4531" s="61">
        <v>10.83306</v>
      </c>
      <c r="B4531" s="63">
        <v>106.6645</v>
      </c>
      <c r="C4531" s="63">
        <v>10.84253</v>
      </c>
      <c r="D4531" s="63">
        <v>106.6427</v>
      </c>
      <c r="E4531" s="64">
        <v>3.932</v>
      </c>
    </row>
    <row r="4532" ht="22.5" customHeight="1">
      <c r="A4532" s="66">
        <v>10.83306</v>
      </c>
      <c r="B4532" s="67">
        <v>106.6645</v>
      </c>
      <c r="C4532" s="67">
        <v>10.89317</v>
      </c>
      <c r="D4532" s="67">
        <v>106.6879</v>
      </c>
      <c r="E4532" s="68">
        <v>7.974</v>
      </c>
    </row>
    <row r="4533" ht="22.5" customHeight="1">
      <c r="A4533" s="61">
        <v>10.83375</v>
      </c>
      <c r="B4533" s="63">
        <v>106.7288</v>
      </c>
      <c r="C4533" s="63">
        <v>10.77509</v>
      </c>
      <c r="D4533" s="63">
        <v>106.6727</v>
      </c>
      <c r="E4533" s="64">
        <v>11.546</v>
      </c>
    </row>
    <row r="4534" ht="22.5" customHeight="1">
      <c r="A4534" s="66">
        <v>10.83375</v>
      </c>
      <c r="B4534" s="67">
        <v>106.7288</v>
      </c>
      <c r="C4534" s="67">
        <v>10.79036</v>
      </c>
      <c r="D4534" s="67">
        <v>106.6973</v>
      </c>
      <c r="E4534" s="68">
        <v>8.465</v>
      </c>
    </row>
    <row r="4535" ht="22.5" customHeight="1">
      <c r="A4535" s="61">
        <v>10.83375</v>
      </c>
      <c r="B4535" s="63">
        <v>106.7288</v>
      </c>
      <c r="C4535" s="63">
        <v>10.80944</v>
      </c>
      <c r="D4535" s="63">
        <v>106.695</v>
      </c>
      <c r="E4535" s="64">
        <v>6.398</v>
      </c>
    </row>
    <row r="4536" ht="22.5" customHeight="1">
      <c r="A4536" s="66">
        <v>10.83375</v>
      </c>
      <c r="B4536" s="67">
        <v>106.7288</v>
      </c>
      <c r="C4536" s="67">
        <v>10.82166</v>
      </c>
      <c r="D4536" s="67">
        <v>106.7034</v>
      </c>
      <c r="E4536" s="68">
        <v>4.16</v>
      </c>
    </row>
    <row r="4537" ht="22.5" customHeight="1">
      <c r="A4537" s="61">
        <v>10.83375</v>
      </c>
      <c r="B4537" s="63">
        <v>106.7288</v>
      </c>
      <c r="C4537" s="63">
        <v>10.85846</v>
      </c>
      <c r="D4537" s="63">
        <v>106.7487</v>
      </c>
      <c r="E4537" s="64">
        <v>4.145</v>
      </c>
    </row>
    <row r="4538" ht="22.5" customHeight="1">
      <c r="A4538" s="66">
        <v>10.83388</v>
      </c>
      <c r="B4538" s="67">
        <v>106.7618</v>
      </c>
      <c r="C4538" s="67">
        <v>10.81991</v>
      </c>
      <c r="D4538" s="67">
        <v>106.8322</v>
      </c>
      <c r="E4538" s="68">
        <v>10.801</v>
      </c>
    </row>
    <row r="4539" ht="22.5" customHeight="1">
      <c r="A4539" s="61">
        <v>10.83388</v>
      </c>
      <c r="B4539" s="63">
        <v>106.7618</v>
      </c>
      <c r="C4539" s="63">
        <v>10.82729</v>
      </c>
      <c r="D4539" s="63">
        <v>106.769</v>
      </c>
      <c r="E4539" s="64">
        <v>1.644</v>
      </c>
    </row>
    <row r="4540" ht="22.5" customHeight="1">
      <c r="A4540" s="66">
        <v>10.83388</v>
      </c>
      <c r="B4540" s="67">
        <v>106.7618</v>
      </c>
      <c r="C4540" s="67">
        <v>10.83771</v>
      </c>
      <c r="D4540" s="67">
        <v>106.8442</v>
      </c>
      <c r="E4540" s="68">
        <v>12.324</v>
      </c>
    </row>
    <row r="4541" ht="22.5" customHeight="1">
      <c r="A4541" s="61">
        <v>10.83388</v>
      </c>
      <c r="B4541" s="63">
        <v>106.7618</v>
      </c>
      <c r="C4541" s="63">
        <v>10.83978</v>
      </c>
      <c r="D4541" s="63">
        <v>106.7932</v>
      </c>
      <c r="E4541" s="64">
        <v>4.596</v>
      </c>
    </row>
    <row r="4542" ht="22.5" customHeight="1">
      <c r="A4542" s="66">
        <v>10.83388</v>
      </c>
      <c r="B4542" s="67">
        <v>106.7618</v>
      </c>
      <c r="C4542" s="67">
        <v>10.84462</v>
      </c>
      <c r="D4542" s="67">
        <v>106.7812</v>
      </c>
      <c r="E4542" s="68">
        <v>3.045</v>
      </c>
    </row>
    <row r="4543" ht="22.5" customHeight="1">
      <c r="A4543" s="61">
        <v>10.83388</v>
      </c>
      <c r="B4543" s="63">
        <v>106.7618</v>
      </c>
      <c r="C4543" s="63">
        <v>10.84737</v>
      </c>
      <c r="D4543" s="63">
        <v>106.7766</v>
      </c>
      <c r="E4543" s="64">
        <v>2.662</v>
      </c>
    </row>
    <row r="4544" ht="22.5" customHeight="1">
      <c r="A4544" s="66">
        <v>10.83388</v>
      </c>
      <c r="B4544" s="67">
        <v>106.7618</v>
      </c>
      <c r="C4544" s="67">
        <v>10.85295</v>
      </c>
      <c r="D4544" s="67">
        <v>106.7922</v>
      </c>
      <c r="E4544" s="68">
        <v>4.903</v>
      </c>
    </row>
    <row r="4545" ht="22.5" customHeight="1">
      <c r="A4545" s="61">
        <v>10.83388</v>
      </c>
      <c r="B4545" s="63">
        <v>106.7618</v>
      </c>
      <c r="C4545" s="63">
        <v>10.85846</v>
      </c>
      <c r="D4545" s="63">
        <v>106.7487</v>
      </c>
      <c r="E4545" s="64">
        <v>4.117</v>
      </c>
    </row>
    <row r="4546" ht="22.5" customHeight="1">
      <c r="A4546" s="66">
        <v>10.83388</v>
      </c>
      <c r="B4546" s="67">
        <v>106.7618</v>
      </c>
      <c r="C4546" s="67">
        <v>10.86052</v>
      </c>
      <c r="D4546" s="67">
        <v>106.7606</v>
      </c>
      <c r="E4546" s="68">
        <v>4.291</v>
      </c>
    </row>
    <row r="4547" ht="22.5" customHeight="1">
      <c r="A4547" s="61">
        <v>10.83388</v>
      </c>
      <c r="B4547" s="63">
        <v>106.7618</v>
      </c>
      <c r="C4547" s="63">
        <v>10.86502</v>
      </c>
      <c r="D4547" s="63">
        <v>106.8108</v>
      </c>
      <c r="E4547" s="64">
        <v>7.232</v>
      </c>
    </row>
    <row r="4548" ht="22.5" customHeight="1">
      <c r="A4548" s="66">
        <v>10.83393</v>
      </c>
      <c r="B4548" s="67">
        <v>106.57</v>
      </c>
      <c r="C4548" s="67">
        <v>10.81586</v>
      </c>
      <c r="D4548" s="67">
        <v>106.5985</v>
      </c>
      <c r="E4548" s="68">
        <v>4.992</v>
      </c>
    </row>
    <row r="4549" ht="22.5" customHeight="1">
      <c r="A4549" s="61">
        <v>10.83465</v>
      </c>
      <c r="B4549" s="63">
        <v>106.6616</v>
      </c>
      <c r="C4549" s="63">
        <v>10.77509</v>
      </c>
      <c r="D4549" s="63">
        <v>106.6727</v>
      </c>
      <c r="E4549" s="64">
        <v>11.8</v>
      </c>
    </row>
    <row r="4550" ht="22.5" customHeight="1">
      <c r="A4550" s="66">
        <v>10.83465</v>
      </c>
      <c r="B4550" s="67">
        <v>106.6616</v>
      </c>
      <c r="C4550" s="67">
        <v>10.79975</v>
      </c>
      <c r="D4550" s="67">
        <v>106.6696</v>
      </c>
      <c r="E4550" s="68">
        <v>6.4</v>
      </c>
    </row>
    <row r="4551" ht="22.5" customHeight="1">
      <c r="A4551" s="61">
        <v>10.83465</v>
      </c>
      <c r="B4551" s="63">
        <v>106.6616</v>
      </c>
      <c r="C4551" s="63">
        <v>10.82721</v>
      </c>
      <c r="D4551" s="63">
        <v>106.6247</v>
      </c>
      <c r="E4551" s="64">
        <v>7.822</v>
      </c>
    </row>
    <row r="4552" ht="22.5" customHeight="1">
      <c r="A4552" s="66">
        <v>10.83465</v>
      </c>
      <c r="B4552" s="67">
        <v>106.6616</v>
      </c>
      <c r="C4552" s="67">
        <v>10.83306</v>
      </c>
      <c r="D4552" s="67">
        <v>106.6645</v>
      </c>
      <c r="E4552" s="68">
        <v>0.712</v>
      </c>
    </row>
    <row r="4553" ht="22.5" customHeight="1">
      <c r="A4553" s="61">
        <v>10.83465</v>
      </c>
      <c r="B4553" s="63">
        <v>106.6616</v>
      </c>
      <c r="C4553" s="63">
        <v>10.83465</v>
      </c>
      <c r="D4553" s="63">
        <v>106.6616</v>
      </c>
      <c r="E4553" s="64">
        <v>0.173</v>
      </c>
    </row>
    <row r="4554" ht="22.5" customHeight="1">
      <c r="A4554" s="66">
        <v>10.83465</v>
      </c>
      <c r="B4554" s="67">
        <v>106.6616</v>
      </c>
      <c r="C4554" s="67">
        <v>10.8359</v>
      </c>
      <c r="D4554" s="67">
        <v>106.6599</v>
      </c>
      <c r="E4554" s="68">
        <v>0.455</v>
      </c>
    </row>
    <row r="4555" ht="22.5" customHeight="1">
      <c r="A4555" s="61">
        <v>10.83465</v>
      </c>
      <c r="B4555" s="63">
        <v>106.6616</v>
      </c>
      <c r="C4555" s="63">
        <v>10.83648</v>
      </c>
      <c r="D4555" s="63">
        <v>106.6647</v>
      </c>
      <c r="E4555" s="64">
        <v>0.539</v>
      </c>
    </row>
    <row r="4556" ht="22.5" customHeight="1">
      <c r="A4556" s="66">
        <v>10.83465</v>
      </c>
      <c r="B4556" s="67">
        <v>106.6616</v>
      </c>
      <c r="C4556" s="67">
        <v>10.83929</v>
      </c>
      <c r="D4556" s="67">
        <v>106.6575</v>
      </c>
      <c r="E4556" s="68">
        <v>0.757</v>
      </c>
    </row>
    <row r="4557" ht="22.5" customHeight="1">
      <c r="A4557" s="61">
        <v>10.83465</v>
      </c>
      <c r="B4557" s="63">
        <v>106.6616</v>
      </c>
      <c r="C4557" s="63">
        <v>10.84253</v>
      </c>
      <c r="D4557" s="63">
        <v>106.6427</v>
      </c>
      <c r="E4557" s="64">
        <v>2.416</v>
      </c>
    </row>
    <row r="4558" ht="22.5" customHeight="1">
      <c r="A4558" s="66">
        <v>10.83465</v>
      </c>
      <c r="B4558" s="67">
        <v>106.6616</v>
      </c>
      <c r="C4558" s="67">
        <v>10.84317</v>
      </c>
      <c r="D4558" s="67">
        <v>106.6767</v>
      </c>
      <c r="E4558" s="68">
        <v>2.352</v>
      </c>
    </row>
    <row r="4559" ht="22.5" customHeight="1">
      <c r="A4559" s="61">
        <v>10.83465</v>
      </c>
      <c r="B4559" s="63">
        <v>106.6616</v>
      </c>
      <c r="C4559" s="63">
        <v>10.84494</v>
      </c>
      <c r="D4559" s="63">
        <v>106.639</v>
      </c>
      <c r="E4559" s="64">
        <v>3.5</v>
      </c>
    </row>
    <row r="4560" ht="22.5" customHeight="1">
      <c r="A4560" s="66">
        <v>10.83465</v>
      </c>
      <c r="B4560" s="67">
        <v>106.6616</v>
      </c>
      <c r="C4560" s="67">
        <v>10.84929</v>
      </c>
      <c r="D4560" s="67">
        <v>106.6499</v>
      </c>
      <c r="E4560" s="68">
        <v>2.904</v>
      </c>
    </row>
    <row r="4561" ht="22.5" customHeight="1">
      <c r="A4561" s="61">
        <v>10.83465</v>
      </c>
      <c r="B4561" s="63">
        <v>106.6616</v>
      </c>
      <c r="C4561" s="63">
        <v>10.85051</v>
      </c>
      <c r="D4561" s="63">
        <v>106.6368</v>
      </c>
      <c r="E4561" s="64">
        <v>3.964</v>
      </c>
    </row>
    <row r="4562" ht="22.5" customHeight="1">
      <c r="A4562" s="66">
        <v>10.83465</v>
      </c>
      <c r="B4562" s="67">
        <v>106.6616</v>
      </c>
      <c r="C4562" s="67">
        <v>10.85188</v>
      </c>
      <c r="D4562" s="67">
        <v>106.6654</v>
      </c>
      <c r="E4562" s="68">
        <v>2.29</v>
      </c>
    </row>
    <row r="4563" ht="22.5" customHeight="1">
      <c r="A4563" s="61">
        <v>10.83465</v>
      </c>
      <c r="B4563" s="63">
        <v>106.6616</v>
      </c>
      <c r="C4563" s="63">
        <v>10.85276</v>
      </c>
      <c r="D4563" s="63">
        <v>106.6604</v>
      </c>
      <c r="E4563" s="64">
        <v>2.62</v>
      </c>
    </row>
    <row r="4564" ht="22.5" customHeight="1">
      <c r="A4564" s="66">
        <v>10.83465</v>
      </c>
      <c r="B4564" s="67">
        <v>106.6616</v>
      </c>
      <c r="C4564" s="67">
        <v>10.86793</v>
      </c>
      <c r="D4564" s="67">
        <v>106.6494</v>
      </c>
      <c r="E4564" s="68">
        <v>4.293</v>
      </c>
    </row>
    <row r="4565" ht="22.5" customHeight="1">
      <c r="A4565" s="61">
        <v>10.83465</v>
      </c>
      <c r="B4565" s="63">
        <v>106.6616</v>
      </c>
      <c r="C4565" s="63">
        <v>10.88583</v>
      </c>
      <c r="D4565" s="63">
        <v>106.6824</v>
      </c>
      <c r="E4565" s="64">
        <v>6.917</v>
      </c>
    </row>
    <row r="4566" ht="22.5" customHeight="1">
      <c r="A4566" s="66">
        <v>10.83465</v>
      </c>
      <c r="B4566" s="67">
        <v>106.6616</v>
      </c>
      <c r="C4566" s="67">
        <v>10.89317</v>
      </c>
      <c r="D4566" s="67">
        <v>106.6879</v>
      </c>
      <c r="E4566" s="68">
        <v>7.899</v>
      </c>
    </row>
    <row r="4567" ht="22.5" customHeight="1">
      <c r="A4567" s="61">
        <v>10.83473</v>
      </c>
      <c r="B4567" s="63">
        <v>106.8406</v>
      </c>
      <c r="C4567" s="63">
        <v>10.84737</v>
      </c>
      <c r="D4567" s="63">
        <v>106.7766</v>
      </c>
      <c r="E4567" s="64">
        <v>8.711</v>
      </c>
    </row>
    <row r="4568" ht="22.5" customHeight="1">
      <c r="A4568" s="66">
        <v>10.83476</v>
      </c>
      <c r="B4568" s="67">
        <v>106.7038</v>
      </c>
      <c r="C4568" s="67">
        <v>10.80027</v>
      </c>
      <c r="D4568" s="67">
        <v>106.7109</v>
      </c>
      <c r="E4568" s="68">
        <v>4.524</v>
      </c>
    </row>
    <row r="4569" ht="22.5" customHeight="1">
      <c r="A4569" s="61">
        <v>10.83479</v>
      </c>
      <c r="B4569" s="63">
        <v>106.6617</v>
      </c>
      <c r="C4569" s="63">
        <v>10.84253</v>
      </c>
      <c r="D4569" s="63">
        <v>106.6427</v>
      </c>
      <c r="E4569" s="64">
        <v>2.661</v>
      </c>
    </row>
    <row r="4570" ht="22.5" customHeight="1">
      <c r="A4570" s="66">
        <v>10.83497</v>
      </c>
      <c r="B4570" s="67">
        <v>106.6655</v>
      </c>
      <c r="C4570" s="67">
        <v>10.79975</v>
      </c>
      <c r="D4570" s="67">
        <v>106.6696</v>
      </c>
      <c r="E4570" s="68">
        <v>6.344</v>
      </c>
    </row>
    <row r="4571" ht="22.5" customHeight="1">
      <c r="A4571" s="61">
        <v>10.83497</v>
      </c>
      <c r="B4571" s="63">
        <v>106.6655</v>
      </c>
      <c r="C4571" s="63">
        <v>10.82084</v>
      </c>
      <c r="D4571" s="63">
        <v>106.6837</v>
      </c>
      <c r="E4571" s="64">
        <v>3.23</v>
      </c>
    </row>
    <row r="4572" ht="22.5" customHeight="1">
      <c r="A4572" s="66">
        <v>10.83497</v>
      </c>
      <c r="B4572" s="67">
        <v>106.6655</v>
      </c>
      <c r="C4572" s="67">
        <v>10.8279</v>
      </c>
      <c r="D4572" s="67">
        <v>106.6796</v>
      </c>
      <c r="E4572" s="68">
        <v>2.188</v>
      </c>
    </row>
    <row r="4573" ht="22.5" customHeight="1">
      <c r="A4573" s="61">
        <v>10.83497</v>
      </c>
      <c r="B4573" s="63">
        <v>106.6655</v>
      </c>
      <c r="C4573" s="63">
        <v>10.82927</v>
      </c>
      <c r="D4573" s="63">
        <v>106.6816</v>
      </c>
      <c r="E4573" s="64">
        <v>1.86</v>
      </c>
    </row>
    <row r="4574" ht="22.5" customHeight="1">
      <c r="A4574" s="66">
        <v>10.83497</v>
      </c>
      <c r="B4574" s="67">
        <v>106.6655</v>
      </c>
      <c r="C4574" s="67">
        <v>10.8303</v>
      </c>
      <c r="D4574" s="67">
        <v>106.6778</v>
      </c>
      <c r="E4574" s="68">
        <v>1.453</v>
      </c>
    </row>
    <row r="4575" ht="22.5" customHeight="1">
      <c r="A4575" s="61">
        <v>10.83497</v>
      </c>
      <c r="B4575" s="63">
        <v>106.6655</v>
      </c>
      <c r="C4575" s="63">
        <v>10.83497</v>
      </c>
      <c r="D4575" s="63">
        <v>106.6655</v>
      </c>
      <c r="E4575" s="64">
        <v>1.241</v>
      </c>
    </row>
    <row r="4576" ht="22.5" customHeight="1">
      <c r="A4576" s="66">
        <v>10.83497</v>
      </c>
      <c r="B4576" s="67">
        <v>106.6655</v>
      </c>
      <c r="C4576" s="67">
        <v>10.83538</v>
      </c>
      <c r="D4576" s="67">
        <v>106.6689</v>
      </c>
      <c r="E4576" s="68">
        <v>0.44</v>
      </c>
    </row>
    <row r="4577" ht="22.5" customHeight="1">
      <c r="A4577" s="61">
        <v>10.83497</v>
      </c>
      <c r="B4577" s="63">
        <v>106.6655</v>
      </c>
      <c r="C4577" s="63">
        <v>10.84172</v>
      </c>
      <c r="D4577" s="63">
        <v>106.6764</v>
      </c>
      <c r="E4577" s="64">
        <v>3.03</v>
      </c>
    </row>
    <row r="4578" ht="22.5" customHeight="1">
      <c r="A4578" s="66">
        <v>10.83497</v>
      </c>
      <c r="B4578" s="67">
        <v>106.6655</v>
      </c>
      <c r="C4578" s="67">
        <v>10.84253</v>
      </c>
      <c r="D4578" s="67">
        <v>106.6427</v>
      </c>
      <c r="E4578" s="68">
        <v>2.775</v>
      </c>
    </row>
    <row r="4579" ht="22.5" customHeight="1">
      <c r="A4579" s="61">
        <v>10.83497</v>
      </c>
      <c r="B4579" s="63">
        <v>106.6655</v>
      </c>
      <c r="C4579" s="63">
        <v>10.84317</v>
      </c>
      <c r="D4579" s="63">
        <v>106.6767</v>
      </c>
      <c r="E4579" s="64">
        <v>3.368</v>
      </c>
    </row>
    <row r="4580" ht="22.5" customHeight="1">
      <c r="A4580" s="66">
        <v>10.83497</v>
      </c>
      <c r="B4580" s="67">
        <v>106.6655</v>
      </c>
      <c r="C4580" s="67">
        <v>10.84494</v>
      </c>
      <c r="D4580" s="67">
        <v>106.639</v>
      </c>
      <c r="E4580" s="68">
        <v>3.258</v>
      </c>
    </row>
    <row r="4581" ht="22.5" customHeight="1">
      <c r="A4581" s="61">
        <v>10.83497</v>
      </c>
      <c r="B4581" s="63">
        <v>106.6655</v>
      </c>
      <c r="C4581" s="63">
        <v>10.84494</v>
      </c>
      <c r="D4581" s="63">
        <v>106.6731</v>
      </c>
      <c r="E4581" s="64">
        <v>2.276</v>
      </c>
    </row>
    <row r="4582" ht="22.5" customHeight="1">
      <c r="A4582" s="66">
        <v>10.83497</v>
      </c>
      <c r="B4582" s="67">
        <v>106.6655</v>
      </c>
      <c r="C4582" s="67">
        <v>10.85276</v>
      </c>
      <c r="D4582" s="67">
        <v>106.6604</v>
      </c>
      <c r="E4582" s="68">
        <v>3.485</v>
      </c>
    </row>
    <row r="4583" ht="22.5" customHeight="1">
      <c r="A4583" s="61">
        <v>10.83497</v>
      </c>
      <c r="B4583" s="63">
        <v>106.6655</v>
      </c>
      <c r="C4583" s="63">
        <v>10.86793</v>
      </c>
      <c r="D4583" s="63">
        <v>106.6494</v>
      </c>
      <c r="E4583" s="64">
        <v>4.695</v>
      </c>
    </row>
    <row r="4584" ht="22.5" customHeight="1">
      <c r="A4584" s="66">
        <v>10.83538</v>
      </c>
      <c r="B4584" s="67">
        <v>106.6689</v>
      </c>
      <c r="C4584" s="67">
        <v>10.77509</v>
      </c>
      <c r="D4584" s="67">
        <v>106.6727</v>
      </c>
      <c r="E4584" s="68">
        <v>9.534</v>
      </c>
    </row>
    <row r="4585" ht="22.5" customHeight="1">
      <c r="A4585" s="61">
        <v>10.83538</v>
      </c>
      <c r="B4585" s="63">
        <v>106.6689</v>
      </c>
      <c r="C4585" s="63">
        <v>10.79975</v>
      </c>
      <c r="D4585" s="63">
        <v>106.6696</v>
      </c>
      <c r="E4585" s="64">
        <v>5.958</v>
      </c>
    </row>
    <row r="4586" ht="22.5" customHeight="1">
      <c r="A4586" s="66">
        <v>10.83538</v>
      </c>
      <c r="B4586" s="67">
        <v>106.6689</v>
      </c>
      <c r="C4586" s="67">
        <v>10.82084</v>
      </c>
      <c r="D4586" s="67">
        <v>106.6837</v>
      </c>
      <c r="E4586" s="68">
        <v>2.993</v>
      </c>
    </row>
    <row r="4587" ht="22.5" customHeight="1">
      <c r="A4587" s="61">
        <v>10.83538</v>
      </c>
      <c r="B4587" s="63">
        <v>106.6689</v>
      </c>
      <c r="C4587" s="63">
        <v>10.82927</v>
      </c>
      <c r="D4587" s="63">
        <v>106.6816</v>
      </c>
      <c r="E4587" s="64">
        <v>1.666</v>
      </c>
    </row>
    <row r="4588" ht="22.5" customHeight="1">
      <c r="A4588" s="66">
        <v>10.83538</v>
      </c>
      <c r="B4588" s="67">
        <v>106.6689</v>
      </c>
      <c r="C4588" s="67">
        <v>10.8303</v>
      </c>
      <c r="D4588" s="67">
        <v>106.6778</v>
      </c>
      <c r="E4588" s="68">
        <v>1.269</v>
      </c>
    </row>
    <row r="4589" ht="22.5" customHeight="1">
      <c r="A4589" s="61">
        <v>10.83538</v>
      </c>
      <c r="B4589" s="63">
        <v>106.6689</v>
      </c>
      <c r="C4589" s="63">
        <v>10.83497</v>
      </c>
      <c r="D4589" s="63">
        <v>106.6655</v>
      </c>
      <c r="E4589" s="64">
        <v>0.751</v>
      </c>
    </row>
    <row r="4590" ht="22.5" customHeight="1">
      <c r="A4590" s="66">
        <v>10.83538</v>
      </c>
      <c r="B4590" s="67">
        <v>106.6689</v>
      </c>
      <c r="C4590" s="67">
        <v>10.83538</v>
      </c>
      <c r="D4590" s="67">
        <v>106.6689</v>
      </c>
      <c r="E4590" s="68">
        <v>0.001</v>
      </c>
    </row>
    <row r="4591" ht="22.5" customHeight="1">
      <c r="A4591" s="61">
        <v>10.83538</v>
      </c>
      <c r="B4591" s="63">
        <v>106.6689</v>
      </c>
      <c r="C4591" s="63">
        <v>10.84172</v>
      </c>
      <c r="D4591" s="63">
        <v>106.6764</v>
      </c>
      <c r="E4591" s="64">
        <v>2.776</v>
      </c>
    </row>
    <row r="4592" ht="22.5" customHeight="1">
      <c r="A4592" s="66">
        <v>10.83538</v>
      </c>
      <c r="B4592" s="67">
        <v>106.6689</v>
      </c>
      <c r="C4592" s="67">
        <v>10.84317</v>
      </c>
      <c r="D4592" s="67">
        <v>106.6767</v>
      </c>
      <c r="E4592" s="68">
        <v>2.768</v>
      </c>
    </row>
    <row r="4593" ht="22.5" customHeight="1">
      <c r="A4593" s="61">
        <v>10.8359</v>
      </c>
      <c r="B4593" s="63">
        <v>106.6599</v>
      </c>
      <c r="C4593" s="63">
        <v>10.79975</v>
      </c>
      <c r="D4593" s="63">
        <v>106.6696</v>
      </c>
      <c r="E4593" s="64">
        <v>6.6</v>
      </c>
    </row>
    <row r="4594" ht="22.5" customHeight="1">
      <c r="A4594" s="66">
        <v>10.8359</v>
      </c>
      <c r="B4594" s="67">
        <v>106.6599</v>
      </c>
      <c r="C4594" s="67">
        <v>10.83465</v>
      </c>
      <c r="D4594" s="67">
        <v>106.6616</v>
      </c>
      <c r="E4594" s="68">
        <v>0.196</v>
      </c>
    </row>
    <row r="4595" ht="22.5" customHeight="1">
      <c r="A4595" s="61">
        <v>10.8359</v>
      </c>
      <c r="B4595" s="63">
        <v>106.6599</v>
      </c>
      <c r="C4595" s="63">
        <v>10.83497</v>
      </c>
      <c r="D4595" s="63">
        <v>106.6655</v>
      </c>
      <c r="E4595" s="64">
        <v>0.731</v>
      </c>
    </row>
    <row r="4596" ht="22.5" customHeight="1">
      <c r="A4596" s="66">
        <v>10.8359</v>
      </c>
      <c r="B4596" s="67">
        <v>106.6599</v>
      </c>
      <c r="C4596" s="67">
        <v>10.84253</v>
      </c>
      <c r="D4596" s="67">
        <v>106.6427</v>
      </c>
      <c r="E4596" s="68">
        <v>4.7</v>
      </c>
    </row>
    <row r="4597" ht="22.5" customHeight="1">
      <c r="A4597" s="61">
        <v>10.8359</v>
      </c>
      <c r="B4597" s="63">
        <v>106.6599</v>
      </c>
      <c r="C4597" s="63">
        <v>10.84929</v>
      </c>
      <c r="D4597" s="63">
        <v>106.6499</v>
      </c>
      <c r="E4597" s="64">
        <v>3.696</v>
      </c>
    </row>
    <row r="4598" ht="22.5" customHeight="1">
      <c r="A4598" s="66">
        <v>10.8359</v>
      </c>
      <c r="B4598" s="67">
        <v>106.6599</v>
      </c>
      <c r="C4598" s="67">
        <v>10.85276</v>
      </c>
      <c r="D4598" s="67">
        <v>106.6604</v>
      </c>
      <c r="E4598" s="68">
        <v>2.834</v>
      </c>
    </row>
    <row r="4599" ht="22.5" customHeight="1">
      <c r="A4599" s="61">
        <v>10.8359</v>
      </c>
      <c r="B4599" s="63">
        <v>106.6599</v>
      </c>
      <c r="C4599" s="63">
        <v>10.86573</v>
      </c>
      <c r="D4599" s="63">
        <v>106.6344</v>
      </c>
      <c r="E4599" s="64">
        <v>6.525</v>
      </c>
    </row>
    <row r="4600" ht="22.5" customHeight="1">
      <c r="A4600" s="66">
        <v>10.83648</v>
      </c>
      <c r="B4600" s="67">
        <v>106.6647</v>
      </c>
      <c r="C4600" s="67">
        <v>10.79975</v>
      </c>
      <c r="D4600" s="67">
        <v>106.6696</v>
      </c>
      <c r="E4600" s="68">
        <v>6.2</v>
      </c>
    </row>
    <row r="4601" ht="22.5" customHeight="1">
      <c r="A4601" s="61">
        <v>10.83648</v>
      </c>
      <c r="B4601" s="63">
        <v>106.6647</v>
      </c>
      <c r="C4601" s="63">
        <v>10.82927</v>
      </c>
      <c r="D4601" s="63">
        <v>106.6816</v>
      </c>
      <c r="E4601" s="64">
        <v>2.1</v>
      </c>
    </row>
    <row r="4602" ht="22.5" customHeight="1">
      <c r="A4602" s="66">
        <v>10.83648</v>
      </c>
      <c r="B4602" s="67">
        <v>106.6647</v>
      </c>
      <c r="C4602" s="67">
        <v>10.8303</v>
      </c>
      <c r="D4602" s="67">
        <v>106.6778</v>
      </c>
      <c r="E4602" s="68">
        <v>1.671</v>
      </c>
    </row>
    <row r="4603" ht="22.5" customHeight="1">
      <c r="A4603" s="61">
        <v>10.83648</v>
      </c>
      <c r="B4603" s="63">
        <v>106.6647</v>
      </c>
      <c r="C4603" s="63">
        <v>10.83465</v>
      </c>
      <c r="D4603" s="63">
        <v>106.6616</v>
      </c>
      <c r="E4603" s="64">
        <v>0.626</v>
      </c>
    </row>
    <row r="4604" ht="22.5" customHeight="1">
      <c r="A4604" s="66">
        <v>10.83648</v>
      </c>
      <c r="B4604" s="67">
        <v>106.6647</v>
      </c>
      <c r="C4604" s="67">
        <v>10.83497</v>
      </c>
      <c r="D4604" s="67">
        <v>106.6655</v>
      </c>
      <c r="E4604" s="68">
        <v>1.378</v>
      </c>
    </row>
    <row r="4605" ht="22.5" customHeight="1">
      <c r="A4605" s="61">
        <v>10.83648</v>
      </c>
      <c r="B4605" s="63">
        <v>106.6647</v>
      </c>
      <c r="C4605" s="63">
        <v>10.8359</v>
      </c>
      <c r="D4605" s="63">
        <v>106.6599</v>
      </c>
      <c r="E4605" s="64">
        <v>1.412</v>
      </c>
    </row>
    <row r="4606" ht="22.5" customHeight="1">
      <c r="A4606" s="66">
        <v>10.83648</v>
      </c>
      <c r="B4606" s="67">
        <v>106.6647</v>
      </c>
      <c r="C4606" s="67">
        <v>10.83929</v>
      </c>
      <c r="D4606" s="67">
        <v>106.6575</v>
      </c>
      <c r="E4606" s="68">
        <v>1.205</v>
      </c>
    </row>
    <row r="4607" ht="22.5" customHeight="1">
      <c r="A4607" s="61">
        <v>10.83648</v>
      </c>
      <c r="B4607" s="63">
        <v>106.6647</v>
      </c>
      <c r="C4607" s="63">
        <v>10.84253</v>
      </c>
      <c r="D4607" s="63">
        <v>106.6427</v>
      </c>
      <c r="E4607" s="64">
        <v>3.9</v>
      </c>
    </row>
    <row r="4608" ht="22.5" customHeight="1">
      <c r="A4608" s="66">
        <v>10.83648</v>
      </c>
      <c r="B4608" s="67">
        <v>106.6647</v>
      </c>
      <c r="C4608" s="67">
        <v>10.84317</v>
      </c>
      <c r="D4608" s="67">
        <v>106.6767</v>
      </c>
      <c r="E4608" s="68">
        <v>2.784</v>
      </c>
    </row>
    <row r="4609" ht="22.5" customHeight="1">
      <c r="A4609" s="61">
        <v>10.83648</v>
      </c>
      <c r="B4609" s="63">
        <v>106.6647</v>
      </c>
      <c r="C4609" s="63">
        <v>10.84494</v>
      </c>
      <c r="D4609" s="63">
        <v>106.639</v>
      </c>
      <c r="E4609" s="64">
        <v>3.243</v>
      </c>
    </row>
    <row r="4610" ht="22.5" customHeight="1">
      <c r="A4610" s="66">
        <v>10.83648</v>
      </c>
      <c r="B4610" s="67">
        <v>106.6647</v>
      </c>
      <c r="C4610" s="67">
        <v>10.84929</v>
      </c>
      <c r="D4610" s="67">
        <v>106.6499</v>
      </c>
      <c r="E4610" s="68">
        <v>2.961</v>
      </c>
    </row>
    <row r="4611" ht="22.5" customHeight="1">
      <c r="A4611" s="61">
        <v>10.83648</v>
      </c>
      <c r="B4611" s="63">
        <v>106.6647</v>
      </c>
      <c r="C4611" s="63">
        <v>10.85188</v>
      </c>
      <c r="D4611" s="63">
        <v>106.6654</v>
      </c>
      <c r="E4611" s="64">
        <v>1.742</v>
      </c>
    </row>
    <row r="4612" ht="22.5" customHeight="1">
      <c r="A4612" s="66">
        <v>10.83648</v>
      </c>
      <c r="B4612" s="67">
        <v>106.6647</v>
      </c>
      <c r="C4612" s="67">
        <v>10.85276</v>
      </c>
      <c r="D4612" s="67">
        <v>106.6604</v>
      </c>
      <c r="E4612" s="68">
        <v>2.107</v>
      </c>
    </row>
    <row r="4613" ht="22.5" customHeight="1">
      <c r="A4613" s="61">
        <v>10.83648</v>
      </c>
      <c r="B4613" s="63">
        <v>106.6647</v>
      </c>
      <c r="C4613" s="63">
        <v>10.85646</v>
      </c>
      <c r="D4613" s="63">
        <v>106.6159</v>
      </c>
      <c r="E4613" s="64">
        <v>6.602</v>
      </c>
    </row>
    <row r="4614" ht="22.5" customHeight="1">
      <c r="A4614" s="66">
        <v>10.83648</v>
      </c>
      <c r="B4614" s="67">
        <v>106.6647</v>
      </c>
      <c r="C4614" s="67">
        <v>10.86793</v>
      </c>
      <c r="D4614" s="67">
        <v>106.6494</v>
      </c>
      <c r="E4614" s="68">
        <v>4.336</v>
      </c>
    </row>
    <row r="4615" ht="22.5" customHeight="1">
      <c r="A4615" s="61">
        <v>10.83648</v>
      </c>
      <c r="B4615" s="63">
        <v>106.6647</v>
      </c>
      <c r="C4615" s="63">
        <v>10.87371</v>
      </c>
      <c r="D4615" s="63">
        <v>106.6217</v>
      </c>
      <c r="E4615" s="64">
        <v>7.487</v>
      </c>
    </row>
    <row r="4616" ht="22.5" customHeight="1">
      <c r="A4616" s="66">
        <v>10.83665</v>
      </c>
      <c r="B4616" s="67">
        <v>106.7272</v>
      </c>
      <c r="C4616" s="67">
        <v>10.79036</v>
      </c>
      <c r="D4616" s="67">
        <v>106.6973</v>
      </c>
      <c r="E4616" s="68">
        <v>8.133</v>
      </c>
    </row>
    <row r="4617" ht="22.5" customHeight="1">
      <c r="A4617" s="61">
        <v>10.83665</v>
      </c>
      <c r="B4617" s="63">
        <v>106.7272</v>
      </c>
      <c r="C4617" s="63">
        <v>10.84514</v>
      </c>
      <c r="D4617" s="63">
        <v>106.7274</v>
      </c>
      <c r="E4617" s="64">
        <v>1.09</v>
      </c>
    </row>
    <row r="4618" ht="22.5" customHeight="1">
      <c r="A4618" s="66">
        <v>10.83665</v>
      </c>
      <c r="B4618" s="67">
        <v>106.7272</v>
      </c>
      <c r="C4618" s="67">
        <v>10.85846</v>
      </c>
      <c r="D4618" s="67">
        <v>106.7487</v>
      </c>
      <c r="E4618" s="68">
        <v>3.649</v>
      </c>
    </row>
    <row r="4619" ht="22.5" customHeight="1">
      <c r="A4619" s="61">
        <v>10.83665</v>
      </c>
      <c r="B4619" s="63">
        <v>106.7272</v>
      </c>
      <c r="C4619" s="63">
        <v>10.87116</v>
      </c>
      <c r="D4619" s="63">
        <v>106.7635</v>
      </c>
      <c r="E4619" s="64">
        <v>6.805</v>
      </c>
    </row>
    <row r="4620" ht="22.5" customHeight="1">
      <c r="A4620" s="66">
        <v>10.83714</v>
      </c>
      <c r="B4620" s="67">
        <v>106.6563</v>
      </c>
      <c r="C4620" s="67">
        <v>10.80944</v>
      </c>
      <c r="D4620" s="67">
        <v>106.695</v>
      </c>
      <c r="E4620" s="68">
        <v>7.232</v>
      </c>
    </row>
    <row r="4621" ht="22.5" customHeight="1">
      <c r="A4621" s="61">
        <v>10.83771</v>
      </c>
      <c r="B4621" s="63">
        <v>106.8442</v>
      </c>
      <c r="C4621" s="63">
        <v>10.81742</v>
      </c>
      <c r="D4621" s="63">
        <v>106.7744</v>
      </c>
      <c r="E4621" s="64">
        <v>12.314</v>
      </c>
    </row>
    <row r="4622" ht="22.5" customHeight="1">
      <c r="A4622" s="66">
        <v>10.83771</v>
      </c>
      <c r="B4622" s="67">
        <v>106.8442</v>
      </c>
      <c r="C4622" s="67">
        <v>10.82848</v>
      </c>
      <c r="D4622" s="67">
        <v>106.7685</v>
      </c>
      <c r="E4622" s="68">
        <v>11.552</v>
      </c>
    </row>
    <row r="4623" ht="22.5" customHeight="1">
      <c r="A4623" s="61">
        <v>10.83771</v>
      </c>
      <c r="B4623" s="63">
        <v>106.8442</v>
      </c>
      <c r="C4623" s="63">
        <v>10.83771</v>
      </c>
      <c r="D4623" s="63">
        <v>106.8442</v>
      </c>
      <c r="E4623" s="64">
        <v>0.0</v>
      </c>
    </row>
    <row r="4624" ht="22.5" customHeight="1">
      <c r="A4624" s="66">
        <v>10.83771</v>
      </c>
      <c r="B4624" s="67">
        <v>106.8442</v>
      </c>
      <c r="C4624" s="67">
        <v>10.839</v>
      </c>
      <c r="D4624" s="67">
        <v>106.8435</v>
      </c>
      <c r="E4624" s="68">
        <v>0.222</v>
      </c>
    </row>
    <row r="4625" ht="22.5" customHeight="1">
      <c r="A4625" s="61">
        <v>10.83771</v>
      </c>
      <c r="B4625" s="63">
        <v>106.8442</v>
      </c>
      <c r="C4625" s="63">
        <v>10.83978</v>
      </c>
      <c r="D4625" s="63">
        <v>106.7932</v>
      </c>
      <c r="E4625" s="64">
        <v>7.582</v>
      </c>
    </row>
    <row r="4626" ht="22.5" customHeight="1">
      <c r="A4626" s="66">
        <v>10.83771</v>
      </c>
      <c r="B4626" s="67">
        <v>106.8442</v>
      </c>
      <c r="C4626" s="67">
        <v>10.84462</v>
      </c>
      <c r="D4626" s="67">
        <v>106.7812</v>
      </c>
      <c r="E4626" s="68">
        <v>8.367</v>
      </c>
    </row>
    <row r="4627" ht="22.5" customHeight="1">
      <c r="A4627" s="61">
        <v>10.83771</v>
      </c>
      <c r="B4627" s="63">
        <v>106.8442</v>
      </c>
      <c r="C4627" s="63">
        <v>10.84463</v>
      </c>
      <c r="D4627" s="63">
        <v>106.818</v>
      </c>
      <c r="E4627" s="64">
        <v>3.899</v>
      </c>
    </row>
    <row r="4628" ht="22.5" customHeight="1">
      <c r="A4628" s="66">
        <v>10.83771</v>
      </c>
      <c r="B4628" s="67">
        <v>106.8442</v>
      </c>
      <c r="C4628" s="67">
        <v>10.84545</v>
      </c>
      <c r="D4628" s="67">
        <v>106.7867</v>
      </c>
      <c r="E4628" s="68">
        <v>7.79</v>
      </c>
    </row>
    <row r="4629" ht="22.5" customHeight="1">
      <c r="A4629" s="61">
        <v>10.83771</v>
      </c>
      <c r="B4629" s="63">
        <v>106.8442</v>
      </c>
      <c r="C4629" s="63">
        <v>10.84695</v>
      </c>
      <c r="D4629" s="63">
        <v>106.7774</v>
      </c>
      <c r="E4629" s="64">
        <v>8.849</v>
      </c>
    </row>
    <row r="4630" ht="22.5" customHeight="1">
      <c r="A4630" s="66">
        <v>10.83771</v>
      </c>
      <c r="B4630" s="67">
        <v>106.8442</v>
      </c>
      <c r="C4630" s="67">
        <v>10.84737</v>
      </c>
      <c r="D4630" s="67">
        <v>106.7766</v>
      </c>
      <c r="E4630" s="68">
        <v>8.976</v>
      </c>
    </row>
    <row r="4631" ht="22.5" customHeight="1">
      <c r="A4631" s="61">
        <v>10.83771</v>
      </c>
      <c r="B4631" s="63">
        <v>106.8442</v>
      </c>
      <c r="C4631" s="63">
        <v>10.8498</v>
      </c>
      <c r="D4631" s="63">
        <v>106.8113</v>
      </c>
      <c r="E4631" s="64">
        <v>4.953</v>
      </c>
    </row>
    <row r="4632" ht="22.5" customHeight="1">
      <c r="A4632" s="66">
        <v>10.83771</v>
      </c>
      <c r="B4632" s="67">
        <v>106.8442</v>
      </c>
      <c r="C4632" s="67">
        <v>10.85295</v>
      </c>
      <c r="D4632" s="67">
        <v>106.7922</v>
      </c>
      <c r="E4632" s="68">
        <v>7.401</v>
      </c>
    </row>
    <row r="4633" ht="22.5" customHeight="1">
      <c r="A4633" s="61">
        <v>10.83771</v>
      </c>
      <c r="B4633" s="63">
        <v>106.8442</v>
      </c>
      <c r="C4633" s="63">
        <v>10.86502</v>
      </c>
      <c r="D4633" s="63">
        <v>106.8108</v>
      </c>
      <c r="E4633" s="64">
        <v>6.631</v>
      </c>
    </row>
    <row r="4634" ht="22.5" customHeight="1">
      <c r="A4634" s="66">
        <v>10.83771</v>
      </c>
      <c r="B4634" s="67">
        <v>106.8442</v>
      </c>
      <c r="C4634" s="67">
        <v>10.86892</v>
      </c>
      <c r="D4634" s="67">
        <v>106.8071</v>
      </c>
      <c r="E4634" s="68">
        <v>7.771</v>
      </c>
    </row>
    <row r="4635" ht="22.5" customHeight="1">
      <c r="A4635" s="61">
        <v>10.83772</v>
      </c>
      <c r="B4635" s="63">
        <v>106.8442</v>
      </c>
      <c r="C4635" s="63">
        <v>10.79036</v>
      </c>
      <c r="D4635" s="63">
        <v>106.6973</v>
      </c>
      <c r="E4635" s="64">
        <v>22.564</v>
      </c>
    </row>
    <row r="4636" ht="22.5" customHeight="1">
      <c r="A4636" s="66">
        <v>10.83772</v>
      </c>
      <c r="B4636" s="67">
        <v>106.8442</v>
      </c>
      <c r="C4636" s="67">
        <v>10.84737</v>
      </c>
      <c r="D4636" s="67">
        <v>106.7766</v>
      </c>
      <c r="E4636" s="68">
        <v>8.979</v>
      </c>
    </row>
    <row r="4637" ht="22.5" customHeight="1">
      <c r="A4637" s="61">
        <v>10.83784</v>
      </c>
      <c r="B4637" s="63">
        <v>106.6692</v>
      </c>
      <c r="C4637" s="63">
        <v>10.79975</v>
      </c>
      <c r="D4637" s="63">
        <v>106.6696</v>
      </c>
      <c r="E4637" s="64">
        <v>6.42</v>
      </c>
    </row>
    <row r="4638" ht="22.5" customHeight="1">
      <c r="A4638" s="66">
        <v>10.83784</v>
      </c>
      <c r="B4638" s="67">
        <v>106.6692</v>
      </c>
      <c r="C4638" s="67">
        <v>10.82927</v>
      </c>
      <c r="D4638" s="67">
        <v>106.6816</v>
      </c>
      <c r="E4638" s="68">
        <v>1.946</v>
      </c>
    </row>
    <row r="4639" ht="22.5" customHeight="1">
      <c r="A4639" s="61">
        <v>10.83784</v>
      </c>
      <c r="B4639" s="63">
        <v>106.6692</v>
      </c>
      <c r="C4639" s="63">
        <v>10.84253</v>
      </c>
      <c r="D4639" s="63">
        <v>106.6427</v>
      </c>
      <c r="E4639" s="64">
        <v>3.822</v>
      </c>
    </row>
    <row r="4640" ht="22.5" customHeight="1">
      <c r="A4640" s="66">
        <v>10.83784</v>
      </c>
      <c r="B4640" s="67">
        <v>106.6692</v>
      </c>
      <c r="C4640" s="67">
        <v>10.86793</v>
      </c>
      <c r="D4640" s="67">
        <v>106.6494</v>
      </c>
      <c r="E4640" s="68">
        <v>4.762</v>
      </c>
    </row>
    <row r="4641" ht="22.5" customHeight="1">
      <c r="A4641" s="61">
        <v>10.83784</v>
      </c>
      <c r="B4641" s="63">
        <v>106.6692</v>
      </c>
      <c r="C4641" s="63">
        <v>10.87371</v>
      </c>
      <c r="D4641" s="63">
        <v>106.6217</v>
      </c>
      <c r="E4641" s="64">
        <v>8.029</v>
      </c>
    </row>
    <row r="4642" ht="22.5" customHeight="1">
      <c r="A4642" s="66">
        <v>10.83797</v>
      </c>
      <c r="B4642" s="67">
        <v>106.6049</v>
      </c>
      <c r="C4642" s="67">
        <v>10.88801</v>
      </c>
      <c r="D4642" s="67">
        <v>106.5985</v>
      </c>
      <c r="E4642" s="68">
        <v>7.289</v>
      </c>
    </row>
    <row r="4643" ht="22.5" customHeight="1">
      <c r="A4643" s="61">
        <v>10.83797</v>
      </c>
      <c r="B4643" s="63">
        <v>106.6049</v>
      </c>
      <c r="C4643" s="63">
        <v>10.8955</v>
      </c>
      <c r="D4643" s="63">
        <v>106.5788</v>
      </c>
      <c r="E4643" s="64">
        <v>9.688</v>
      </c>
    </row>
    <row r="4644" ht="22.5" customHeight="1">
      <c r="A4644" s="66">
        <v>10.838</v>
      </c>
      <c r="B4644" s="67">
        <v>106.6702</v>
      </c>
      <c r="C4644" s="67">
        <v>10.82927</v>
      </c>
      <c r="D4644" s="67">
        <v>106.6816</v>
      </c>
      <c r="E4644" s="68">
        <v>1.799</v>
      </c>
    </row>
    <row r="4645" ht="22.5" customHeight="1">
      <c r="A4645" s="61">
        <v>10.838</v>
      </c>
      <c r="B4645" s="63">
        <v>106.6702</v>
      </c>
      <c r="C4645" s="63">
        <v>10.83497</v>
      </c>
      <c r="D4645" s="63">
        <v>106.6655</v>
      </c>
      <c r="E4645" s="64">
        <v>1.049</v>
      </c>
    </row>
    <row r="4646" ht="22.5" customHeight="1">
      <c r="A4646" s="66">
        <v>10.838</v>
      </c>
      <c r="B4646" s="67">
        <v>106.6702</v>
      </c>
      <c r="C4646" s="67">
        <v>10.83538</v>
      </c>
      <c r="D4646" s="67">
        <v>106.6689</v>
      </c>
      <c r="E4646" s="68">
        <v>0.609</v>
      </c>
    </row>
    <row r="4647" ht="22.5" customHeight="1">
      <c r="A4647" s="61">
        <v>10.838</v>
      </c>
      <c r="B4647" s="63">
        <v>106.6702</v>
      </c>
      <c r="C4647" s="63">
        <v>10.84172</v>
      </c>
      <c r="D4647" s="63">
        <v>106.6764</v>
      </c>
      <c r="E4647" s="64">
        <v>2.677</v>
      </c>
    </row>
    <row r="4648" ht="22.5" customHeight="1">
      <c r="A4648" s="66">
        <v>10.839</v>
      </c>
      <c r="B4648" s="67">
        <v>106.8435</v>
      </c>
      <c r="C4648" s="67">
        <v>10.81991</v>
      </c>
      <c r="D4648" s="67">
        <v>106.8322</v>
      </c>
      <c r="E4648" s="68">
        <v>3.812</v>
      </c>
    </row>
    <row r="4649" ht="22.5" customHeight="1">
      <c r="A4649" s="61">
        <v>10.839</v>
      </c>
      <c r="B4649" s="63">
        <v>106.8435</v>
      </c>
      <c r="C4649" s="63">
        <v>10.82848</v>
      </c>
      <c r="D4649" s="63">
        <v>106.7685</v>
      </c>
      <c r="E4649" s="64">
        <v>1478.63</v>
      </c>
    </row>
    <row r="4650" ht="22.5" customHeight="1">
      <c r="A4650" s="66">
        <v>10.839</v>
      </c>
      <c r="B4650" s="67">
        <v>106.8435</v>
      </c>
      <c r="C4650" s="67">
        <v>10.83771</v>
      </c>
      <c r="D4650" s="67">
        <v>106.8442</v>
      </c>
      <c r="E4650" s="68">
        <v>0.219</v>
      </c>
    </row>
    <row r="4651" ht="22.5" customHeight="1">
      <c r="A4651" s="61">
        <v>10.839</v>
      </c>
      <c r="B4651" s="63">
        <v>106.8435</v>
      </c>
      <c r="C4651" s="63">
        <v>10.83978</v>
      </c>
      <c r="D4651" s="63">
        <v>106.7932</v>
      </c>
      <c r="E4651" s="64">
        <v>7.664</v>
      </c>
    </row>
    <row r="4652" ht="22.5" customHeight="1">
      <c r="A4652" s="66">
        <v>10.839</v>
      </c>
      <c r="B4652" s="67">
        <v>106.8435</v>
      </c>
      <c r="C4652" s="67">
        <v>10.84324</v>
      </c>
      <c r="D4652" s="67">
        <v>106.8408</v>
      </c>
      <c r="E4652" s="68">
        <v>0.797</v>
      </c>
    </row>
    <row r="4653" ht="22.5" customHeight="1">
      <c r="A4653" s="61">
        <v>10.839</v>
      </c>
      <c r="B4653" s="63">
        <v>106.8435</v>
      </c>
      <c r="C4653" s="63">
        <v>10.84462</v>
      </c>
      <c r="D4653" s="63">
        <v>106.7812</v>
      </c>
      <c r="E4653" s="64">
        <v>8.439</v>
      </c>
    </row>
    <row r="4654" ht="22.5" customHeight="1">
      <c r="A4654" s="66">
        <v>10.839</v>
      </c>
      <c r="B4654" s="67">
        <v>106.8435</v>
      </c>
      <c r="C4654" s="67">
        <v>10.84463</v>
      </c>
      <c r="D4654" s="67">
        <v>106.818</v>
      </c>
      <c r="E4654" s="68">
        <v>3.971</v>
      </c>
    </row>
    <row r="4655" ht="22.5" customHeight="1">
      <c r="A4655" s="61">
        <v>10.839</v>
      </c>
      <c r="B4655" s="63">
        <v>106.8435</v>
      </c>
      <c r="C4655" s="63">
        <v>10.84473</v>
      </c>
      <c r="D4655" s="63">
        <v>106.7921</v>
      </c>
      <c r="E4655" s="64">
        <v>7.343</v>
      </c>
    </row>
    <row r="4656" ht="22.5" customHeight="1">
      <c r="A4656" s="66">
        <v>10.839</v>
      </c>
      <c r="B4656" s="67">
        <v>106.8435</v>
      </c>
      <c r="C4656" s="67">
        <v>10.84545</v>
      </c>
      <c r="D4656" s="67">
        <v>106.7867</v>
      </c>
      <c r="E4656" s="68">
        <v>8.14</v>
      </c>
    </row>
    <row r="4657" ht="22.5" customHeight="1">
      <c r="A4657" s="61">
        <v>10.839</v>
      </c>
      <c r="B4657" s="63">
        <v>106.8435</v>
      </c>
      <c r="C4657" s="63">
        <v>10.84737</v>
      </c>
      <c r="D4657" s="63">
        <v>106.7766</v>
      </c>
      <c r="E4657" s="64">
        <v>9.048</v>
      </c>
    </row>
    <row r="4658" ht="22.5" customHeight="1">
      <c r="A4658" s="66">
        <v>10.839</v>
      </c>
      <c r="B4658" s="67">
        <v>106.8435</v>
      </c>
      <c r="C4658" s="67">
        <v>10.8498</v>
      </c>
      <c r="D4658" s="67">
        <v>106.8113</v>
      </c>
      <c r="E4658" s="68">
        <v>5.034</v>
      </c>
    </row>
    <row r="4659" ht="22.5" customHeight="1">
      <c r="A4659" s="61">
        <v>10.839</v>
      </c>
      <c r="B4659" s="63">
        <v>106.8435</v>
      </c>
      <c r="C4659" s="63">
        <v>10.85295</v>
      </c>
      <c r="D4659" s="63">
        <v>106.7922</v>
      </c>
      <c r="E4659" s="64">
        <v>7.434</v>
      </c>
    </row>
    <row r="4660" ht="22.5" customHeight="1">
      <c r="A4660" s="66">
        <v>10.839</v>
      </c>
      <c r="B4660" s="67">
        <v>106.8435</v>
      </c>
      <c r="C4660" s="67">
        <v>10.86502</v>
      </c>
      <c r="D4660" s="67">
        <v>106.8108</v>
      </c>
      <c r="E4660" s="68">
        <v>6.713</v>
      </c>
    </row>
    <row r="4661" ht="22.5" customHeight="1">
      <c r="A4661" s="61">
        <v>10.83926</v>
      </c>
      <c r="B4661" s="63">
        <v>106.6297</v>
      </c>
      <c r="C4661" s="63">
        <v>10.79975</v>
      </c>
      <c r="D4661" s="63">
        <v>106.6696</v>
      </c>
      <c r="E4661" s="64">
        <v>8.288</v>
      </c>
    </row>
    <row r="4662" ht="22.5" customHeight="1">
      <c r="A4662" s="66">
        <v>10.83926</v>
      </c>
      <c r="B4662" s="67">
        <v>106.6297</v>
      </c>
      <c r="C4662" s="67">
        <v>10.81518</v>
      </c>
      <c r="D4662" s="67">
        <v>106.672</v>
      </c>
      <c r="E4662" s="68">
        <v>8.538</v>
      </c>
    </row>
    <row r="4663" ht="22.5" customHeight="1">
      <c r="A4663" s="61">
        <v>10.83926</v>
      </c>
      <c r="B4663" s="63">
        <v>106.6297</v>
      </c>
      <c r="C4663" s="63">
        <v>10.82084</v>
      </c>
      <c r="D4663" s="63">
        <v>106.6837</v>
      </c>
      <c r="E4663" s="64">
        <v>8.641</v>
      </c>
    </row>
    <row r="4664" ht="22.5" customHeight="1">
      <c r="A4664" s="66">
        <v>10.83926</v>
      </c>
      <c r="B4664" s="67">
        <v>106.6297</v>
      </c>
      <c r="C4664" s="67">
        <v>10.82721</v>
      </c>
      <c r="D4664" s="67">
        <v>106.6247</v>
      </c>
      <c r="E4664" s="68">
        <v>3.675</v>
      </c>
    </row>
    <row r="4665" ht="22.5" customHeight="1">
      <c r="A4665" s="61">
        <v>10.83926</v>
      </c>
      <c r="B4665" s="63">
        <v>106.6297</v>
      </c>
      <c r="C4665" s="63">
        <v>10.8322</v>
      </c>
      <c r="D4665" s="63">
        <v>106.6337</v>
      </c>
      <c r="E4665" s="64">
        <v>3.311</v>
      </c>
    </row>
    <row r="4666" ht="22.5" customHeight="1">
      <c r="A4666" s="66">
        <v>10.83926</v>
      </c>
      <c r="B4666" s="67">
        <v>106.6297</v>
      </c>
      <c r="C4666" s="67">
        <v>10.83306</v>
      </c>
      <c r="D4666" s="67">
        <v>106.6645</v>
      </c>
      <c r="E4666" s="68">
        <v>4.941</v>
      </c>
    </row>
    <row r="4667" ht="22.5" customHeight="1">
      <c r="A4667" s="61">
        <v>10.83926</v>
      </c>
      <c r="B4667" s="63">
        <v>106.6297</v>
      </c>
      <c r="C4667" s="63">
        <v>10.83497</v>
      </c>
      <c r="D4667" s="63">
        <v>106.6655</v>
      </c>
      <c r="E4667" s="64">
        <v>4.923</v>
      </c>
    </row>
    <row r="4668" ht="22.5" customHeight="1">
      <c r="A4668" s="66">
        <v>10.83926</v>
      </c>
      <c r="B4668" s="67">
        <v>106.6297</v>
      </c>
      <c r="C4668" s="67">
        <v>10.83648</v>
      </c>
      <c r="D4668" s="67">
        <v>106.6647</v>
      </c>
      <c r="E4668" s="68">
        <v>4.928</v>
      </c>
    </row>
    <row r="4669" ht="22.5" customHeight="1">
      <c r="A4669" s="61">
        <v>10.83926</v>
      </c>
      <c r="B4669" s="63">
        <v>106.6297</v>
      </c>
      <c r="C4669" s="63">
        <v>10.83929</v>
      </c>
      <c r="D4669" s="63">
        <v>106.6575</v>
      </c>
      <c r="E4669" s="64">
        <v>4.341</v>
      </c>
    </row>
    <row r="4670" ht="22.5" customHeight="1">
      <c r="A4670" s="66">
        <v>10.83926</v>
      </c>
      <c r="B4670" s="67">
        <v>106.6297</v>
      </c>
      <c r="C4670" s="67">
        <v>10.84253</v>
      </c>
      <c r="D4670" s="67">
        <v>106.6427</v>
      </c>
      <c r="E4670" s="68">
        <v>2.135</v>
      </c>
    </row>
    <row r="4671" ht="22.5" customHeight="1">
      <c r="A4671" s="61">
        <v>10.83926</v>
      </c>
      <c r="B4671" s="63">
        <v>106.6297</v>
      </c>
      <c r="C4671" s="63">
        <v>10.84317</v>
      </c>
      <c r="D4671" s="63">
        <v>106.6767</v>
      </c>
      <c r="E4671" s="64">
        <v>6.976</v>
      </c>
    </row>
    <row r="4672" ht="22.5" customHeight="1">
      <c r="A4672" s="66">
        <v>10.83926</v>
      </c>
      <c r="B4672" s="67">
        <v>106.6297</v>
      </c>
      <c r="C4672" s="67">
        <v>10.8445</v>
      </c>
      <c r="D4672" s="67">
        <v>106.6396</v>
      </c>
      <c r="E4672" s="68">
        <v>1.743</v>
      </c>
    </row>
    <row r="4673" ht="22.5" customHeight="1">
      <c r="A4673" s="61">
        <v>10.83926</v>
      </c>
      <c r="B4673" s="63">
        <v>106.6297</v>
      </c>
      <c r="C4673" s="63">
        <v>10.84494</v>
      </c>
      <c r="D4673" s="63">
        <v>106.639</v>
      </c>
      <c r="E4673" s="64">
        <v>1.661</v>
      </c>
    </row>
    <row r="4674" ht="22.5" customHeight="1">
      <c r="A4674" s="66">
        <v>10.83926</v>
      </c>
      <c r="B4674" s="67">
        <v>106.6297</v>
      </c>
      <c r="C4674" s="67">
        <v>10.84929</v>
      </c>
      <c r="D4674" s="67">
        <v>106.6499</v>
      </c>
      <c r="E4674" s="68">
        <v>2.987</v>
      </c>
    </row>
    <row r="4675" ht="22.5" customHeight="1">
      <c r="A4675" s="61">
        <v>10.83926</v>
      </c>
      <c r="B4675" s="63">
        <v>106.6297</v>
      </c>
      <c r="C4675" s="63">
        <v>10.85051</v>
      </c>
      <c r="D4675" s="63">
        <v>106.6368</v>
      </c>
      <c r="E4675" s="64">
        <v>1.527</v>
      </c>
    </row>
    <row r="4676" ht="22.5" customHeight="1">
      <c r="A4676" s="66">
        <v>10.83926</v>
      </c>
      <c r="B4676" s="67">
        <v>106.6297</v>
      </c>
      <c r="C4676" s="67">
        <v>10.85548</v>
      </c>
      <c r="D4676" s="67">
        <v>106.6391</v>
      </c>
      <c r="E4676" s="68">
        <v>2.11</v>
      </c>
    </row>
    <row r="4677" ht="22.5" customHeight="1">
      <c r="A4677" s="61">
        <v>10.83926</v>
      </c>
      <c r="B4677" s="63">
        <v>106.6297</v>
      </c>
      <c r="C4677" s="63">
        <v>10.85646</v>
      </c>
      <c r="D4677" s="63">
        <v>106.6159</v>
      </c>
      <c r="E4677" s="64">
        <v>3.788</v>
      </c>
    </row>
    <row r="4678" ht="22.5" customHeight="1">
      <c r="A4678" s="66">
        <v>10.83926</v>
      </c>
      <c r="B4678" s="67">
        <v>106.6297</v>
      </c>
      <c r="C4678" s="67">
        <v>10.86294</v>
      </c>
      <c r="D4678" s="67">
        <v>106.6496</v>
      </c>
      <c r="E4678" s="68">
        <v>3.688</v>
      </c>
    </row>
    <row r="4679" ht="22.5" customHeight="1">
      <c r="A4679" s="61">
        <v>10.83926</v>
      </c>
      <c r="B4679" s="63">
        <v>106.6297</v>
      </c>
      <c r="C4679" s="63">
        <v>10.86793</v>
      </c>
      <c r="D4679" s="63">
        <v>106.6494</v>
      </c>
      <c r="E4679" s="64">
        <v>4.22</v>
      </c>
    </row>
    <row r="4680" ht="22.5" customHeight="1">
      <c r="A4680" s="66">
        <v>10.83926</v>
      </c>
      <c r="B4680" s="67">
        <v>106.6297</v>
      </c>
      <c r="C4680" s="67">
        <v>10.8732</v>
      </c>
      <c r="D4680" s="67">
        <v>106.6214</v>
      </c>
      <c r="E4680" s="68">
        <v>5.908</v>
      </c>
    </row>
    <row r="4681" ht="22.5" customHeight="1">
      <c r="A4681" s="61">
        <v>10.83926</v>
      </c>
      <c r="B4681" s="63">
        <v>106.6297</v>
      </c>
      <c r="C4681" s="63">
        <v>10.87371</v>
      </c>
      <c r="D4681" s="63">
        <v>106.6217</v>
      </c>
      <c r="E4681" s="64">
        <v>5.739</v>
      </c>
    </row>
    <row r="4682" ht="22.5" customHeight="1">
      <c r="A4682" s="66">
        <v>10.83926</v>
      </c>
      <c r="B4682" s="67">
        <v>106.6297</v>
      </c>
      <c r="C4682" s="67">
        <v>10.88583</v>
      </c>
      <c r="D4682" s="67">
        <v>106.6824</v>
      </c>
      <c r="E4682" s="68">
        <v>9.256</v>
      </c>
    </row>
    <row r="4683" ht="22.5" customHeight="1">
      <c r="A4683" s="61">
        <v>10.83926</v>
      </c>
      <c r="B4683" s="63">
        <v>106.6297</v>
      </c>
      <c r="C4683" s="63">
        <v>10.89317</v>
      </c>
      <c r="D4683" s="63">
        <v>106.6879</v>
      </c>
      <c r="E4683" s="64">
        <v>11.153</v>
      </c>
    </row>
    <row r="4684" ht="22.5" customHeight="1">
      <c r="A4684" s="66">
        <v>10.83929</v>
      </c>
      <c r="B4684" s="67">
        <v>106.6575</v>
      </c>
      <c r="C4684" s="67">
        <v>10.79975</v>
      </c>
      <c r="D4684" s="67">
        <v>106.6696</v>
      </c>
      <c r="E4684" s="68">
        <v>7.7</v>
      </c>
    </row>
    <row r="4685" ht="22.5" customHeight="1">
      <c r="A4685" s="61">
        <v>10.83929</v>
      </c>
      <c r="B4685" s="63">
        <v>106.6575</v>
      </c>
      <c r="C4685" s="63">
        <v>10.82084</v>
      </c>
      <c r="D4685" s="63">
        <v>106.6837</v>
      </c>
      <c r="E4685" s="64">
        <v>5.542</v>
      </c>
    </row>
    <row r="4686" ht="22.5" customHeight="1">
      <c r="A4686" s="66">
        <v>10.83929</v>
      </c>
      <c r="B4686" s="67">
        <v>106.6575</v>
      </c>
      <c r="C4686" s="67">
        <v>10.84253</v>
      </c>
      <c r="D4686" s="67">
        <v>106.6427</v>
      </c>
      <c r="E4686" s="68">
        <v>2.7</v>
      </c>
    </row>
    <row r="4687" ht="22.5" customHeight="1">
      <c r="A4687" s="61">
        <v>10.83929</v>
      </c>
      <c r="B4687" s="63">
        <v>106.6575</v>
      </c>
      <c r="C4687" s="63">
        <v>10.84494</v>
      </c>
      <c r="D4687" s="63">
        <v>106.639</v>
      </c>
      <c r="E4687" s="64">
        <v>2.515</v>
      </c>
    </row>
    <row r="4688" ht="22.5" customHeight="1">
      <c r="A4688" s="66">
        <v>10.83929</v>
      </c>
      <c r="B4688" s="67">
        <v>106.6575</v>
      </c>
      <c r="C4688" s="67">
        <v>10.84929</v>
      </c>
      <c r="D4688" s="67">
        <v>106.6499</v>
      </c>
      <c r="E4688" s="68">
        <v>2.107</v>
      </c>
    </row>
    <row r="4689" ht="22.5" customHeight="1">
      <c r="A4689" s="61">
        <v>10.83929</v>
      </c>
      <c r="B4689" s="63">
        <v>106.6575</v>
      </c>
      <c r="C4689" s="63">
        <v>10.86793</v>
      </c>
      <c r="D4689" s="63">
        <v>106.6494</v>
      </c>
      <c r="E4689" s="64">
        <v>3.467</v>
      </c>
    </row>
    <row r="4690" ht="22.5" customHeight="1">
      <c r="A4690" s="66">
        <v>10.83929</v>
      </c>
      <c r="B4690" s="67">
        <v>106.6575</v>
      </c>
      <c r="C4690" s="67">
        <v>10.86817</v>
      </c>
      <c r="D4690" s="67">
        <v>106.6853</v>
      </c>
      <c r="E4690" s="68">
        <v>6.149</v>
      </c>
    </row>
    <row r="4691" ht="22.5" customHeight="1">
      <c r="A4691" s="61">
        <v>10.83978</v>
      </c>
      <c r="B4691" s="63">
        <v>106.7932</v>
      </c>
      <c r="C4691" s="63">
        <v>10.80788</v>
      </c>
      <c r="D4691" s="63">
        <v>106.8271</v>
      </c>
      <c r="E4691" s="64">
        <v>6.004</v>
      </c>
    </row>
    <row r="4692" ht="22.5" customHeight="1">
      <c r="A4692" s="66">
        <v>10.83978</v>
      </c>
      <c r="B4692" s="67">
        <v>106.7932</v>
      </c>
      <c r="C4692" s="67">
        <v>10.81991</v>
      </c>
      <c r="D4692" s="67">
        <v>106.8322</v>
      </c>
      <c r="E4692" s="68">
        <v>5.7</v>
      </c>
    </row>
    <row r="4693" ht="22.5" customHeight="1">
      <c r="A4693" s="61">
        <v>10.83978</v>
      </c>
      <c r="B4693" s="63">
        <v>106.7932</v>
      </c>
      <c r="C4693" s="63">
        <v>10.82848</v>
      </c>
      <c r="D4693" s="63">
        <v>106.7685</v>
      </c>
      <c r="E4693" s="64">
        <v>4.742</v>
      </c>
    </row>
    <row r="4694" ht="22.5" customHeight="1">
      <c r="A4694" s="66">
        <v>10.83978</v>
      </c>
      <c r="B4694" s="67">
        <v>106.7932</v>
      </c>
      <c r="C4694" s="67">
        <v>10.83771</v>
      </c>
      <c r="D4694" s="67">
        <v>106.8442</v>
      </c>
      <c r="E4694" s="68">
        <v>7.581</v>
      </c>
    </row>
    <row r="4695" ht="22.5" customHeight="1">
      <c r="A4695" s="61">
        <v>10.83978</v>
      </c>
      <c r="B4695" s="63">
        <v>106.7932</v>
      </c>
      <c r="C4695" s="63">
        <v>10.839</v>
      </c>
      <c r="D4695" s="63">
        <v>106.8435</v>
      </c>
      <c r="E4695" s="64">
        <v>7.662</v>
      </c>
    </row>
    <row r="4696" ht="22.5" customHeight="1">
      <c r="A4696" s="66">
        <v>10.83978</v>
      </c>
      <c r="B4696" s="67">
        <v>106.7932</v>
      </c>
      <c r="C4696" s="67">
        <v>10.83978</v>
      </c>
      <c r="D4696" s="67">
        <v>106.7932</v>
      </c>
      <c r="E4696" s="68">
        <v>0.0</v>
      </c>
    </row>
    <row r="4697" ht="22.5" customHeight="1">
      <c r="A4697" s="61">
        <v>10.83978</v>
      </c>
      <c r="B4697" s="63">
        <v>106.7932</v>
      </c>
      <c r="C4697" s="63">
        <v>10.84462</v>
      </c>
      <c r="D4697" s="63">
        <v>106.7812</v>
      </c>
      <c r="E4697" s="64">
        <v>1.571</v>
      </c>
    </row>
    <row r="4698" ht="22.5" customHeight="1">
      <c r="A4698" s="66">
        <v>10.83978</v>
      </c>
      <c r="B4698" s="67">
        <v>106.7932</v>
      </c>
      <c r="C4698" s="67">
        <v>10.84463</v>
      </c>
      <c r="D4698" s="67">
        <v>106.818</v>
      </c>
      <c r="E4698" s="68">
        <v>3.665</v>
      </c>
    </row>
    <row r="4699" ht="22.5" customHeight="1">
      <c r="A4699" s="61">
        <v>10.83978</v>
      </c>
      <c r="B4699" s="63">
        <v>106.7932</v>
      </c>
      <c r="C4699" s="63">
        <v>10.84473</v>
      </c>
      <c r="D4699" s="63">
        <v>106.7921</v>
      </c>
      <c r="E4699" s="64">
        <v>0.96</v>
      </c>
    </row>
    <row r="4700" ht="22.5" customHeight="1">
      <c r="A4700" s="66">
        <v>10.83978</v>
      </c>
      <c r="B4700" s="67">
        <v>106.7932</v>
      </c>
      <c r="C4700" s="67">
        <v>10.84545</v>
      </c>
      <c r="D4700" s="67">
        <v>106.7867</v>
      </c>
      <c r="E4700" s="68">
        <v>1.045</v>
      </c>
    </row>
    <row r="4701" ht="22.5" customHeight="1">
      <c r="A4701" s="61">
        <v>10.83978</v>
      </c>
      <c r="B4701" s="63">
        <v>106.7932</v>
      </c>
      <c r="C4701" s="63">
        <v>10.84737</v>
      </c>
      <c r="D4701" s="63">
        <v>106.7766</v>
      </c>
      <c r="E4701" s="64">
        <v>2.166</v>
      </c>
    </row>
    <row r="4702" ht="22.5" customHeight="1">
      <c r="A4702" s="66">
        <v>10.83978</v>
      </c>
      <c r="B4702" s="67">
        <v>106.7932</v>
      </c>
      <c r="C4702" s="67">
        <v>10.85295</v>
      </c>
      <c r="D4702" s="67">
        <v>106.7922</v>
      </c>
      <c r="E4702" s="68">
        <v>2.336</v>
      </c>
    </row>
    <row r="4703" ht="22.5" customHeight="1">
      <c r="A4703" s="61">
        <v>10.84079</v>
      </c>
      <c r="B4703" s="63">
        <v>106.6506</v>
      </c>
      <c r="C4703" s="63">
        <v>10.84253</v>
      </c>
      <c r="D4703" s="63">
        <v>106.6427</v>
      </c>
      <c r="E4703" s="64">
        <v>1.324</v>
      </c>
    </row>
    <row r="4704" ht="22.5" customHeight="1">
      <c r="A4704" s="66">
        <v>10.84172</v>
      </c>
      <c r="B4704" s="67">
        <v>106.6764</v>
      </c>
      <c r="C4704" s="67">
        <v>10.77509</v>
      </c>
      <c r="D4704" s="67">
        <v>106.6727</v>
      </c>
      <c r="E4704" s="68">
        <v>9.5</v>
      </c>
    </row>
    <row r="4705" ht="22.5" customHeight="1">
      <c r="A4705" s="61">
        <v>10.84172</v>
      </c>
      <c r="B4705" s="63">
        <v>106.6764</v>
      </c>
      <c r="C4705" s="63">
        <v>10.79975</v>
      </c>
      <c r="D4705" s="63">
        <v>106.6696</v>
      </c>
      <c r="E4705" s="64">
        <v>6.0</v>
      </c>
    </row>
    <row r="4706" ht="22.5" customHeight="1">
      <c r="A4706" s="66">
        <v>10.84172</v>
      </c>
      <c r="B4706" s="67">
        <v>106.6764</v>
      </c>
      <c r="C4706" s="67">
        <v>10.81679</v>
      </c>
      <c r="D4706" s="67">
        <v>106.675</v>
      </c>
      <c r="E4706" s="68">
        <v>4.04</v>
      </c>
    </row>
    <row r="4707" ht="22.5" customHeight="1">
      <c r="A4707" s="61">
        <v>10.84172</v>
      </c>
      <c r="B4707" s="63">
        <v>106.6764</v>
      </c>
      <c r="C4707" s="63">
        <v>10.81724</v>
      </c>
      <c r="D4707" s="63">
        <v>106.689</v>
      </c>
      <c r="E4707" s="64">
        <v>3.634</v>
      </c>
    </row>
    <row r="4708" ht="22.5" customHeight="1">
      <c r="A4708" s="66">
        <v>10.84172</v>
      </c>
      <c r="B4708" s="67">
        <v>106.6764</v>
      </c>
      <c r="C4708" s="67">
        <v>10.81863</v>
      </c>
      <c r="D4708" s="67">
        <v>106.6787</v>
      </c>
      <c r="E4708" s="68">
        <v>2.7</v>
      </c>
    </row>
    <row r="4709" ht="22.5" customHeight="1">
      <c r="A4709" s="61">
        <v>10.84172</v>
      </c>
      <c r="B4709" s="63">
        <v>106.6764</v>
      </c>
      <c r="C4709" s="63">
        <v>10.82084</v>
      </c>
      <c r="D4709" s="63">
        <v>106.6837</v>
      </c>
      <c r="E4709" s="64">
        <v>3.195</v>
      </c>
    </row>
    <row r="4710" ht="22.5" customHeight="1">
      <c r="A4710" s="66">
        <v>10.84172</v>
      </c>
      <c r="B4710" s="67">
        <v>106.6764</v>
      </c>
      <c r="C4710" s="67">
        <v>10.82927</v>
      </c>
      <c r="D4710" s="67">
        <v>106.6816</v>
      </c>
      <c r="E4710" s="68">
        <v>1.7</v>
      </c>
    </row>
    <row r="4711" ht="22.5" customHeight="1">
      <c r="A4711" s="61">
        <v>10.84172</v>
      </c>
      <c r="B4711" s="63">
        <v>106.6764</v>
      </c>
      <c r="C4711" s="63">
        <v>10.8303</v>
      </c>
      <c r="D4711" s="63">
        <v>106.6778</v>
      </c>
      <c r="E4711" s="64">
        <v>1.417</v>
      </c>
    </row>
    <row r="4712" ht="22.5" customHeight="1">
      <c r="A4712" s="66">
        <v>10.84172</v>
      </c>
      <c r="B4712" s="67">
        <v>106.6764</v>
      </c>
      <c r="C4712" s="67">
        <v>10.83497</v>
      </c>
      <c r="D4712" s="67">
        <v>106.6655</v>
      </c>
      <c r="E4712" s="68">
        <v>2.118</v>
      </c>
    </row>
    <row r="4713" ht="22.5" customHeight="1">
      <c r="A4713" s="61">
        <v>10.84172</v>
      </c>
      <c r="B4713" s="63">
        <v>106.6764</v>
      </c>
      <c r="C4713" s="63">
        <v>10.83538</v>
      </c>
      <c r="D4713" s="63">
        <v>106.6689</v>
      </c>
      <c r="E4713" s="64">
        <v>1.509</v>
      </c>
    </row>
    <row r="4714" ht="22.5" customHeight="1">
      <c r="A4714" s="66">
        <v>10.84172</v>
      </c>
      <c r="B4714" s="67">
        <v>106.6764</v>
      </c>
      <c r="C4714" s="67">
        <v>10.83648</v>
      </c>
      <c r="D4714" s="67">
        <v>106.6647</v>
      </c>
      <c r="E4714" s="68">
        <v>1.83</v>
      </c>
    </row>
    <row r="4715" ht="22.5" customHeight="1">
      <c r="A4715" s="61">
        <v>10.84172</v>
      </c>
      <c r="B4715" s="63">
        <v>106.6764</v>
      </c>
      <c r="C4715" s="63">
        <v>10.84172</v>
      </c>
      <c r="D4715" s="63">
        <v>106.6764</v>
      </c>
      <c r="E4715" s="64">
        <v>1.106</v>
      </c>
    </row>
    <row r="4716" ht="22.5" customHeight="1">
      <c r="A4716" s="66">
        <v>10.84172</v>
      </c>
      <c r="B4716" s="67">
        <v>106.6764</v>
      </c>
      <c r="C4716" s="67">
        <v>10.84253</v>
      </c>
      <c r="D4716" s="67">
        <v>106.6427</v>
      </c>
      <c r="E4716" s="68">
        <v>5.0</v>
      </c>
    </row>
    <row r="4717" ht="22.5" customHeight="1">
      <c r="A4717" s="61">
        <v>10.84172</v>
      </c>
      <c r="B4717" s="63">
        <v>106.6764</v>
      </c>
      <c r="C4717" s="63">
        <v>10.84317</v>
      </c>
      <c r="D4717" s="63">
        <v>106.6767</v>
      </c>
      <c r="E4717" s="64">
        <v>1.458</v>
      </c>
    </row>
    <row r="4718" ht="22.5" customHeight="1">
      <c r="A4718" s="66">
        <v>10.84207</v>
      </c>
      <c r="B4718" s="67">
        <v>106.6605</v>
      </c>
      <c r="C4718" s="67">
        <v>10.79975</v>
      </c>
      <c r="D4718" s="67">
        <v>106.6696</v>
      </c>
      <c r="E4718" s="68">
        <v>8.723</v>
      </c>
    </row>
    <row r="4719" ht="22.5" customHeight="1">
      <c r="A4719" s="61">
        <v>10.84244</v>
      </c>
      <c r="B4719" s="63">
        <v>106.7115</v>
      </c>
      <c r="C4719" s="63">
        <v>10.85846</v>
      </c>
      <c r="D4719" s="63">
        <v>106.7487</v>
      </c>
      <c r="E4719" s="64">
        <v>6.402</v>
      </c>
    </row>
    <row r="4720" ht="22.5" customHeight="1">
      <c r="A4720" s="66">
        <v>10.84253</v>
      </c>
      <c r="B4720" s="67">
        <v>106.6427</v>
      </c>
      <c r="C4720" s="67">
        <v>10.76707</v>
      </c>
      <c r="D4720" s="67">
        <v>106.6493</v>
      </c>
      <c r="E4720" s="68">
        <v>9.7</v>
      </c>
    </row>
    <row r="4721" ht="22.5" customHeight="1">
      <c r="A4721" s="61">
        <v>10.84253</v>
      </c>
      <c r="B4721" s="63">
        <v>106.6427</v>
      </c>
      <c r="C4721" s="63">
        <v>10.77509</v>
      </c>
      <c r="D4721" s="63">
        <v>106.6727</v>
      </c>
      <c r="E4721" s="64">
        <v>12.1</v>
      </c>
    </row>
    <row r="4722" ht="22.5" customHeight="1">
      <c r="A4722" s="66">
        <v>10.84253</v>
      </c>
      <c r="B4722" s="67">
        <v>106.6427</v>
      </c>
      <c r="C4722" s="67">
        <v>10.79975</v>
      </c>
      <c r="D4722" s="67">
        <v>106.6696</v>
      </c>
      <c r="E4722" s="68">
        <v>8.7</v>
      </c>
    </row>
    <row r="4723" ht="22.5" customHeight="1">
      <c r="A4723" s="61">
        <v>10.84253</v>
      </c>
      <c r="B4723" s="63">
        <v>106.6427</v>
      </c>
      <c r="C4723" s="63">
        <v>10.81863</v>
      </c>
      <c r="D4723" s="63">
        <v>106.6787</v>
      </c>
      <c r="E4723" s="64">
        <v>5.369</v>
      </c>
    </row>
    <row r="4724" ht="22.5" customHeight="1">
      <c r="A4724" s="66">
        <v>10.84253</v>
      </c>
      <c r="B4724" s="67">
        <v>106.6427</v>
      </c>
      <c r="C4724" s="67">
        <v>10.82721</v>
      </c>
      <c r="D4724" s="67">
        <v>106.6247</v>
      </c>
      <c r="E4724" s="68">
        <v>5.637</v>
      </c>
    </row>
    <row r="4725" ht="22.5" customHeight="1">
      <c r="A4725" s="61">
        <v>10.84253</v>
      </c>
      <c r="B4725" s="63">
        <v>106.6427</v>
      </c>
      <c r="C4725" s="63">
        <v>10.8303</v>
      </c>
      <c r="D4725" s="63">
        <v>106.6778</v>
      </c>
      <c r="E4725" s="64">
        <v>4.2</v>
      </c>
    </row>
    <row r="4726" ht="22.5" customHeight="1">
      <c r="A4726" s="66">
        <v>10.84253</v>
      </c>
      <c r="B4726" s="67">
        <v>106.6427</v>
      </c>
      <c r="C4726" s="67">
        <v>10.83174</v>
      </c>
      <c r="D4726" s="67">
        <v>106.6218</v>
      </c>
      <c r="E4726" s="68">
        <v>5.3</v>
      </c>
    </row>
    <row r="4727" ht="22.5" customHeight="1">
      <c r="A4727" s="61">
        <v>10.84253</v>
      </c>
      <c r="B4727" s="63">
        <v>106.6427</v>
      </c>
      <c r="C4727" s="63">
        <v>10.83306</v>
      </c>
      <c r="D4727" s="63">
        <v>106.6645</v>
      </c>
      <c r="E4727" s="64">
        <v>2.8</v>
      </c>
    </row>
    <row r="4728" ht="22.5" customHeight="1">
      <c r="A4728" s="66">
        <v>10.84253</v>
      </c>
      <c r="B4728" s="67">
        <v>106.6427</v>
      </c>
      <c r="C4728" s="67">
        <v>10.83465</v>
      </c>
      <c r="D4728" s="67">
        <v>106.6616</v>
      </c>
      <c r="E4728" s="68">
        <v>2.4</v>
      </c>
    </row>
    <row r="4729" ht="22.5" customHeight="1">
      <c r="A4729" s="61">
        <v>10.84253</v>
      </c>
      <c r="B4729" s="63">
        <v>106.6427</v>
      </c>
      <c r="C4729" s="63">
        <v>10.8359</v>
      </c>
      <c r="D4729" s="63">
        <v>106.6599</v>
      </c>
      <c r="E4729" s="64">
        <v>2.1</v>
      </c>
    </row>
    <row r="4730" ht="22.5" customHeight="1">
      <c r="A4730" s="66">
        <v>10.84253</v>
      </c>
      <c r="B4730" s="67">
        <v>106.6427</v>
      </c>
      <c r="C4730" s="67">
        <v>10.83648</v>
      </c>
      <c r="D4730" s="67">
        <v>106.6647</v>
      </c>
      <c r="E4730" s="68">
        <v>2.8</v>
      </c>
    </row>
    <row r="4731" ht="22.5" customHeight="1">
      <c r="A4731" s="61">
        <v>10.84253</v>
      </c>
      <c r="B4731" s="63">
        <v>106.6427</v>
      </c>
      <c r="C4731" s="63">
        <v>10.83784</v>
      </c>
      <c r="D4731" s="63">
        <v>106.6692</v>
      </c>
      <c r="E4731" s="64">
        <v>3.5</v>
      </c>
    </row>
    <row r="4732" ht="22.5" customHeight="1">
      <c r="A4732" s="66">
        <v>10.84253</v>
      </c>
      <c r="B4732" s="67">
        <v>106.6427</v>
      </c>
      <c r="C4732" s="67">
        <v>10.838</v>
      </c>
      <c r="D4732" s="67">
        <v>106.6702</v>
      </c>
      <c r="E4732" s="68">
        <v>3.7</v>
      </c>
    </row>
    <row r="4733" ht="22.5" customHeight="1">
      <c r="A4733" s="61">
        <v>10.84253</v>
      </c>
      <c r="B4733" s="63">
        <v>106.6427</v>
      </c>
      <c r="C4733" s="63">
        <v>10.83926</v>
      </c>
      <c r="D4733" s="63">
        <v>106.6297</v>
      </c>
      <c r="E4733" s="64">
        <v>2.3</v>
      </c>
    </row>
    <row r="4734" ht="22.5" customHeight="1">
      <c r="A4734" s="66">
        <v>10.84253</v>
      </c>
      <c r="B4734" s="67">
        <v>106.6427</v>
      </c>
      <c r="C4734" s="67">
        <v>10.84172</v>
      </c>
      <c r="D4734" s="67">
        <v>106.6764</v>
      </c>
      <c r="E4734" s="68">
        <v>5.774</v>
      </c>
    </row>
    <row r="4735" ht="22.5" customHeight="1">
      <c r="A4735" s="61">
        <v>10.84253</v>
      </c>
      <c r="B4735" s="63">
        <v>106.6427</v>
      </c>
      <c r="C4735" s="63">
        <v>10.84253</v>
      </c>
      <c r="D4735" s="63">
        <v>106.6427</v>
      </c>
      <c r="E4735" s="64">
        <v>0.003</v>
      </c>
    </row>
    <row r="4736" ht="22.5" customHeight="1">
      <c r="A4736" s="66">
        <v>10.84253</v>
      </c>
      <c r="B4736" s="67">
        <v>106.6427</v>
      </c>
      <c r="C4736" s="67">
        <v>10.84494</v>
      </c>
      <c r="D4736" s="67">
        <v>106.639</v>
      </c>
      <c r="E4736" s="68">
        <v>1.2</v>
      </c>
    </row>
    <row r="4737" ht="22.5" customHeight="1">
      <c r="A4737" s="61">
        <v>10.84253</v>
      </c>
      <c r="B4737" s="63">
        <v>106.6427</v>
      </c>
      <c r="C4737" s="63">
        <v>10.84929</v>
      </c>
      <c r="D4737" s="63">
        <v>106.6499</v>
      </c>
      <c r="E4737" s="64">
        <v>1.7</v>
      </c>
    </row>
    <row r="4738" ht="22.5" customHeight="1">
      <c r="A4738" s="66">
        <v>10.84253</v>
      </c>
      <c r="B4738" s="67">
        <v>106.6427</v>
      </c>
      <c r="C4738" s="67">
        <v>10.85051</v>
      </c>
      <c r="D4738" s="67">
        <v>106.6368</v>
      </c>
      <c r="E4738" s="68">
        <v>1.5</v>
      </c>
    </row>
    <row r="4739" ht="22.5" customHeight="1">
      <c r="A4739" s="61">
        <v>10.84253</v>
      </c>
      <c r="B4739" s="63">
        <v>106.6427</v>
      </c>
      <c r="C4739" s="63">
        <v>10.85276</v>
      </c>
      <c r="D4739" s="63">
        <v>106.6604</v>
      </c>
      <c r="E4739" s="64">
        <v>3.2</v>
      </c>
    </row>
    <row r="4740" ht="22.5" customHeight="1">
      <c r="A4740" s="66">
        <v>10.84253</v>
      </c>
      <c r="B4740" s="67">
        <v>106.6427</v>
      </c>
      <c r="C4740" s="67">
        <v>10.85526</v>
      </c>
      <c r="D4740" s="67">
        <v>106.6759</v>
      </c>
      <c r="E4740" s="68">
        <v>5.8</v>
      </c>
    </row>
    <row r="4741" ht="22.5" customHeight="1">
      <c r="A4741" s="61">
        <v>10.84253</v>
      </c>
      <c r="B4741" s="63">
        <v>106.6427</v>
      </c>
      <c r="C4741" s="63">
        <v>10.85548</v>
      </c>
      <c r="D4741" s="63">
        <v>106.6391</v>
      </c>
      <c r="E4741" s="64">
        <v>2.1</v>
      </c>
    </row>
    <row r="4742" ht="22.5" customHeight="1">
      <c r="A4742" s="66">
        <v>10.84253</v>
      </c>
      <c r="B4742" s="67">
        <v>106.6427</v>
      </c>
      <c r="C4742" s="67">
        <v>10.85646</v>
      </c>
      <c r="D4742" s="67">
        <v>106.6159</v>
      </c>
      <c r="E4742" s="68">
        <v>3.8</v>
      </c>
    </row>
    <row r="4743" ht="22.5" customHeight="1">
      <c r="A4743" s="61">
        <v>10.84253</v>
      </c>
      <c r="B4743" s="63">
        <v>106.6427</v>
      </c>
      <c r="C4743" s="63">
        <v>10.85911</v>
      </c>
      <c r="D4743" s="63">
        <v>106.6124</v>
      </c>
      <c r="E4743" s="64">
        <v>4.3</v>
      </c>
    </row>
    <row r="4744" ht="22.5" customHeight="1">
      <c r="A4744" s="66">
        <v>10.84253</v>
      </c>
      <c r="B4744" s="67">
        <v>106.6427</v>
      </c>
      <c r="C4744" s="67">
        <v>10.86294</v>
      </c>
      <c r="D4744" s="67">
        <v>106.6496</v>
      </c>
      <c r="E4744" s="68">
        <v>3.8</v>
      </c>
    </row>
    <row r="4745" ht="22.5" customHeight="1">
      <c r="A4745" s="61">
        <v>10.84253</v>
      </c>
      <c r="B4745" s="63">
        <v>106.6427</v>
      </c>
      <c r="C4745" s="63">
        <v>10.86573</v>
      </c>
      <c r="D4745" s="63">
        <v>106.6344</v>
      </c>
      <c r="E4745" s="64">
        <v>4.6</v>
      </c>
    </row>
    <row r="4746" ht="22.5" customHeight="1">
      <c r="A4746" s="66">
        <v>10.84253</v>
      </c>
      <c r="B4746" s="67">
        <v>106.6427</v>
      </c>
      <c r="C4746" s="67">
        <v>10.86696</v>
      </c>
      <c r="D4746" s="67">
        <v>106.6153</v>
      </c>
      <c r="E4746" s="68">
        <v>4.5</v>
      </c>
    </row>
    <row r="4747" ht="22.5" customHeight="1">
      <c r="A4747" s="61">
        <v>10.84253</v>
      </c>
      <c r="B4747" s="63">
        <v>106.6427</v>
      </c>
      <c r="C4747" s="63">
        <v>10.86793</v>
      </c>
      <c r="D4747" s="63">
        <v>106.6494</v>
      </c>
      <c r="E4747" s="64">
        <v>4.2</v>
      </c>
    </row>
    <row r="4748" ht="22.5" customHeight="1">
      <c r="A4748" s="66">
        <v>10.84253</v>
      </c>
      <c r="B4748" s="67">
        <v>106.6427</v>
      </c>
      <c r="C4748" s="67">
        <v>10.87257</v>
      </c>
      <c r="D4748" s="67">
        <v>106.6494</v>
      </c>
      <c r="E4748" s="68">
        <v>4.7</v>
      </c>
    </row>
    <row r="4749" ht="22.5" customHeight="1">
      <c r="A4749" s="61">
        <v>10.84253</v>
      </c>
      <c r="B4749" s="63">
        <v>106.6427</v>
      </c>
      <c r="C4749" s="63">
        <v>10.8732</v>
      </c>
      <c r="D4749" s="63">
        <v>106.6214</v>
      </c>
      <c r="E4749" s="64">
        <v>5.4</v>
      </c>
    </row>
    <row r="4750" ht="22.5" customHeight="1">
      <c r="A4750" s="66">
        <v>10.84253</v>
      </c>
      <c r="B4750" s="67">
        <v>106.6427</v>
      </c>
      <c r="C4750" s="67">
        <v>10.87371</v>
      </c>
      <c r="D4750" s="67">
        <v>106.6217</v>
      </c>
      <c r="E4750" s="68">
        <v>5.4</v>
      </c>
    </row>
    <row r="4751" ht="22.5" customHeight="1">
      <c r="A4751" s="61">
        <v>10.84253</v>
      </c>
      <c r="B4751" s="63">
        <v>106.6427</v>
      </c>
      <c r="C4751" s="63">
        <v>10.87583</v>
      </c>
      <c r="D4751" s="63">
        <v>106.6238</v>
      </c>
      <c r="E4751" s="64">
        <v>5.8</v>
      </c>
    </row>
    <row r="4752" ht="22.5" customHeight="1">
      <c r="A4752" s="66">
        <v>10.84253</v>
      </c>
      <c r="B4752" s="67">
        <v>106.6427</v>
      </c>
      <c r="C4752" s="67">
        <v>10.87599</v>
      </c>
      <c r="D4752" s="67">
        <v>106.6239</v>
      </c>
      <c r="E4752" s="68">
        <v>5.8</v>
      </c>
    </row>
    <row r="4753" ht="22.5" customHeight="1">
      <c r="A4753" s="61">
        <v>10.84253</v>
      </c>
      <c r="B4753" s="63">
        <v>106.6427</v>
      </c>
      <c r="C4753" s="63">
        <v>10.87822</v>
      </c>
      <c r="D4753" s="63">
        <v>106.6503</v>
      </c>
      <c r="E4753" s="64">
        <v>5.5</v>
      </c>
    </row>
    <row r="4754" ht="22.5" customHeight="1">
      <c r="A4754" s="66">
        <v>10.84253</v>
      </c>
      <c r="B4754" s="67">
        <v>106.6427</v>
      </c>
      <c r="C4754" s="67">
        <v>10.88003</v>
      </c>
      <c r="D4754" s="67">
        <v>106.6801</v>
      </c>
      <c r="E4754" s="68">
        <v>7.4</v>
      </c>
    </row>
    <row r="4755" ht="22.5" customHeight="1">
      <c r="A4755" s="61">
        <v>10.84253</v>
      </c>
      <c r="B4755" s="63">
        <v>106.6427</v>
      </c>
      <c r="C4755" s="63">
        <v>10.88583</v>
      </c>
      <c r="D4755" s="63">
        <v>106.6824</v>
      </c>
      <c r="E4755" s="64">
        <v>7.8</v>
      </c>
    </row>
    <row r="4756" ht="22.5" customHeight="1">
      <c r="A4756" s="66">
        <v>10.84253</v>
      </c>
      <c r="B4756" s="67">
        <v>106.6427</v>
      </c>
      <c r="C4756" s="67">
        <v>10.89317</v>
      </c>
      <c r="D4756" s="67">
        <v>106.6879</v>
      </c>
      <c r="E4756" s="68">
        <v>8.8</v>
      </c>
    </row>
    <row r="4757" ht="22.5" customHeight="1">
      <c r="A4757" s="61">
        <v>10.843</v>
      </c>
      <c r="B4757" s="63">
        <v>106.7308</v>
      </c>
      <c r="C4757" s="63">
        <v>10.77509</v>
      </c>
      <c r="D4757" s="63">
        <v>106.6727</v>
      </c>
      <c r="E4757" s="64">
        <v>11.56</v>
      </c>
    </row>
    <row r="4758" ht="22.5" customHeight="1">
      <c r="A4758" s="66">
        <v>10.843</v>
      </c>
      <c r="B4758" s="67">
        <v>106.7308</v>
      </c>
      <c r="C4758" s="67">
        <v>10.79036</v>
      </c>
      <c r="D4758" s="67">
        <v>106.6973</v>
      </c>
      <c r="E4758" s="68">
        <v>8.817</v>
      </c>
    </row>
    <row r="4759" ht="22.5" customHeight="1">
      <c r="A4759" s="61">
        <v>10.843</v>
      </c>
      <c r="B4759" s="63">
        <v>106.7308</v>
      </c>
      <c r="C4759" s="63">
        <v>10.83375</v>
      </c>
      <c r="D4759" s="63">
        <v>106.7288</v>
      </c>
      <c r="E4759" s="64">
        <v>1.655</v>
      </c>
    </row>
    <row r="4760" ht="22.5" customHeight="1">
      <c r="A4760" s="66">
        <v>10.843</v>
      </c>
      <c r="B4760" s="67">
        <v>106.7308</v>
      </c>
      <c r="C4760" s="67">
        <v>10.843</v>
      </c>
      <c r="D4760" s="67">
        <v>106.7308</v>
      </c>
      <c r="E4760" s="68">
        <v>0.0</v>
      </c>
    </row>
    <row r="4761" ht="22.5" customHeight="1">
      <c r="A4761" s="61">
        <v>10.843</v>
      </c>
      <c r="B4761" s="63">
        <v>106.7308</v>
      </c>
      <c r="C4761" s="63">
        <v>10.84462</v>
      </c>
      <c r="D4761" s="63">
        <v>106.7812</v>
      </c>
      <c r="E4761" s="64">
        <v>7.342</v>
      </c>
    </row>
    <row r="4762" ht="22.5" customHeight="1">
      <c r="A4762" s="66">
        <v>10.843</v>
      </c>
      <c r="B4762" s="67">
        <v>106.7308</v>
      </c>
      <c r="C4762" s="67">
        <v>10.84514</v>
      </c>
      <c r="D4762" s="67">
        <v>106.7274</v>
      </c>
      <c r="E4762" s="68">
        <v>0.487</v>
      </c>
    </row>
    <row r="4763" ht="22.5" customHeight="1">
      <c r="A4763" s="61">
        <v>10.843</v>
      </c>
      <c r="B4763" s="63">
        <v>106.7308</v>
      </c>
      <c r="C4763" s="63">
        <v>10.84545</v>
      </c>
      <c r="D4763" s="63">
        <v>106.7867</v>
      </c>
      <c r="E4763" s="64">
        <v>7.9</v>
      </c>
    </row>
    <row r="4764" ht="22.5" customHeight="1">
      <c r="A4764" s="66">
        <v>10.843</v>
      </c>
      <c r="B4764" s="67">
        <v>106.7308</v>
      </c>
      <c r="C4764" s="67">
        <v>10.84596</v>
      </c>
      <c r="D4764" s="67">
        <v>106.7785</v>
      </c>
      <c r="E4764" s="68">
        <v>6.962</v>
      </c>
    </row>
    <row r="4765" ht="22.5" customHeight="1">
      <c r="A4765" s="61">
        <v>10.843</v>
      </c>
      <c r="B4765" s="63">
        <v>106.7308</v>
      </c>
      <c r="C4765" s="63">
        <v>10.8469</v>
      </c>
      <c r="D4765" s="63">
        <v>106.7512</v>
      </c>
      <c r="E4765" s="64">
        <v>3.086</v>
      </c>
    </row>
    <row r="4766" ht="22.5" customHeight="1">
      <c r="A4766" s="66">
        <v>10.843</v>
      </c>
      <c r="B4766" s="67">
        <v>106.7308</v>
      </c>
      <c r="C4766" s="67">
        <v>10.84737</v>
      </c>
      <c r="D4766" s="67">
        <v>106.7766</v>
      </c>
      <c r="E4766" s="68">
        <v>6.231</v>
      </c>
    </row>
    <row r="4767" ht="22.5" customHeight="1">
      <c r="A4767" s="61">
        <v>10.843</v>
      </c>
      <c r="B4767" s="63">
        <v>106.7308</v>
      </c>
      <c r="C4767" s="63">
        <v>10.8507</v>
      </c>
      <c r="D4767" s="63">
        <v>106.7548</v>
      </c>
      <c r="E4767" s="64">
        <v>4.211</v>
      </c>
    </row>
    <row r="4768" ht="22.5" customHeight="1">
      <c r="A4768" s="66">
        <v>10.843</v>
      </c>
      <c r="B4768" s="67">
        <v>106.7308</v>
      </c>
      <c r="C4768" s="67">
        <v>10.8523</v>
      </c>
      <c r="D4768" s="67">
        <v>106.7209</v>
      </c>
      <c r="E4768" s="68">
        <v>1.926</v>
      </c>
    </row>
    <row r="4769" ht="22.5" customHeight="1">
      <c r="A4769" s="61">
        <v>10.843</v>
      </c>
      <c r="B4769" s="63">
        <v>106.7308</v>
      </c>
      <c r="C4769" s="63">
        <v>10.85295</v>
      </c>
      <c r="D4769" s="63">
        <v>106.7922</v>
      </c>
      <c r="E4769" s="64">
        <v>8.95</v>
      </c>
    </row>
    <row r="4770" ht="22.5" customHeight="1">
      <c r="A4770" s="66">
        <v>10.843</v>
      </c>
      <c r="B4770" s="67">
        <v>106.7308</v>
      </c>
      <c r="C4770" s="67">
        <v>10.85846</v>
      </c>
      <c r="D4770" s="67">
        <v>106.7487</v>
      </c>
      <c r="E4770" s="68">
        <v>3.934</v>
      </c>
    </row>
    <row r="4771" ht="22.5" customHeight="1">
      <c r="A4771" s="61">
        <v>10.843</v>
      </c>
      <c r="B4771" s="63">
        <v>106.7308</v>
      </c>
      <c r="C4771" s="63">
        <v>10.86052</v>
      </c>
      <c r="D4771" s="63">
        <v>106.7606</v>
      </c>
      <c r="E4771" s="64">
        <v>5.205</v>
      </c>
    </row>
    <row r="4772" ht="22.5" customHeight="1">
      <c r="A4772" s="66">
        <v>10.843</v>
      </c>
      <c r="B4772" s="67">
        <v>106.7308</v>
      </c>
      <c r="C4772" s="67">
        <v>10.86054</v>
      </c>
      <c r="D4772" s="67">
        <v>106.7606</v>
      </c>
      <c r="E4772" s="68">
        <v>5.457</v>
      </c>
    </row>
    <row r="4773" ht="22.5" customHeight="1">
      <c r="A4773" s="61">
        <v>10.843</v>
      </c>
      <c r="B4773" s="63">
        <v>106.7308</v>
      </c>
      <c r="C4773" s="63">
        <v>10.86421</v>
      </c>
      <c r="D4773" s="63">
        <v>106.7455</v>
      </c>
      <c r="E4773" s="64">
        <v>3.521</v>
      </c>
    </row>
    <row r="4774" ht="22.5" customHeight="1">
      <c r="A4774" s="66">
        <v>10.843</v>
      </c>
      <c r="B4774" s="67">
        <v>106.7308</v>
      </c>
      <c r="C4774" s="67">
        <v>10.86433</v>
      </c>
      <c r="D4774" s="67">
        <v>106.7456</v>
      </c>
      <c r="E4774" s="68">
        <v>3.421</v>
      </c>
    </row>
    <row r="4775" ht="22.5" customHeight="1">
      <c r="A4775" s="61">
        <v>10.843</v>
      </c>
      <c r="B4775" s="63">
        <v>106.7308</v>
      </c>
      <c r="C4775" s="63">
        <v>10.86434</v>
      </c>
      <c r="D4775" s="63">
        <v>106.7457</v>
      </c>
      <c r="E4775" s="64">
        <v>3.494</v>
      </c>
    </row>
    <row r="4776" ht="22.5" customHeight="1">
      <c r="A4776" s="66">
        <v>10.843</v>
      </c>
      <c r="B4776" s="67">
        <v>106.7308</v>
      </c>
      <c r="C4776" s="67">
        <v>10.86444</v>
      </c>
      <c r="D4776" s="67">
        <v>106.7457</v>
      </c>
      <c r="E4776" s="68">
        <v>3.508</v>
      </c>
    </row>
    <row r="4777" ht="22.5" customHeight="1">
      <c r="A4777" s="61">
        <v>10.843</v>
      </c>
      <c r="B4777" s="63">
        <v>106.7308</v>
      </c>
      <c r="C4777" s="63">
        <v>10.86595</v>
      </c>
      <c r="D4777" s="63">
        <v>106.7401</v>
      </c>
      <c r="E4777" s="64">
        <v>3.731</v>
      </c>
    </row>
    <row r="4778" ht="22.5" customHeight="1">
      <c r="A4778" s="66">
        <v>10.843</v>
      </c>
      <c r="B4778" s="67">
        <v>106.7308</v>
      </c>
      <c r="C4778" s="67">
        <v>10.87116</v>
      </c>
      <c r="D4778" s="67">
        <v>106.7635</v>
      </c>
      <c r="E4778" s="68">
        <v>6.199</v>
      </c>
    </row>
    <row r="4779" ht="22.5" customHeight="1">
      <c r="A4779" s="61">
        <v>10.843</v>
      </c>
      <c r="B4779" s="63">
        <v>106.7308</v>
      </c>
      <c r="C4779" s="63">
        <v>10.87223</v>
      </c>
      <c r="D4779" s="63">
        <v>106.7336</v>
      </c>
      <c r="E4779" s="64">
        <v>5.278</v>
      </c>
    </row>
    <row r="4780" ht="22.5" customHeight="1">
      <c r="A4780" s="66">
        <v>10.843</v>
      </c>
      <c r="B4780" s="67">
        <v>106.7308</v>
      </c>
      <c r="C4780" s="67">
        <v>10.87819</v>
      </c>
      <c r="D4780" s="67">
        <v>106.7317</v>
      </c>
      <c r="E4780" s="68">
        <v>5.674</v>
      </c>
    </row>
    <row r="4781" ht="22.5" customHeight="1">
      <c r="A4781" s="61">
        <v>10.843</v>
      </c>
      <c r="B4781" s="63">
        <v>106.7308</v>
      </c>
      <c r="C4781" s="63">
        <v>10.87884</v>
      </c>
      <c r="D4781" s="63">
        <v>106.7667</v>
      </c>
      <c r="E4781" s="64">
        <v>7.673</v>
      </c>
    </row>
    <row r="4782" ht="22.5" customHeight="1">
      <c r="A4782" s="66">
        <v>10.843</v>
      </c>
      <c r="B4782" s="67">
        <v>106.7308</v>
      </c>
      <c r="C4782" s="67">
        <v>10.88518</v>
      </c>
      <c r="D4782" s="67">
        <v>106.7286</v>
      </c>
      <c r="E4782" s="68">
        <v>6.549</v>
      </c>
    </row>
    <row r="4783" ht="22.5" customHeight="1">
      <c r="A4783" s="61">
        <v>10.843</v>
      </c>
      <c r="B4783" s="63">
        <v>106.7308</v>
      </c>
      <c r="C4783" s="63">
        <v>10.88633</v>
      </c>
      <c r="D4783" s="63">
        <v>106.7043</v>
      </c>
      <c r="E4783" s="64">
        <v>8.406</v>
      </c>
    </row>
    <row r="4784" ht="22.5" customHeight="1">
      <c r="A4784" s="66">
        <v>10.84317</v>
      </c>
      <c r="B4784" s="67">
        <v>106.6767</v>
      </c>
      <c r="C4784" s="67">
        <v>10.77509</v>
      </c>
      <c r="D4784" s="67">
        <v>106.6727</v>
      </c>
      <c r="E4784" s="68">
        <v>9.71</v>
      </c>
    </row>
    <row r="4785" ht="22.5" customHeight="1">
      <c r="A4785" s="61">
        <v>10.84317</v>
      </c>
      <c r="B4785" s="63">
        <v>106.6767</v>
      </c>
      <c r="C4785" s="63">
        <v>10.79223</v>
      </c>
      <c r="D4785" s="63">
        <v>106.6708</v>
      </c>
      <c r="E4785" s="64">
        <v>8.272</v>
      </c>
    </row>
    <row r="4786" ht="22.5" customHeight="1">
      <c r="A4786" s="66">
        <v>10.84317</v>
      </c>
      <c r="B4786" s="67">
        <v>106.6767</v>
      </c>
      <c r="C4786" s="67">
        <v>10.79975</v>
      </c>
      <c r="D4786" s="67">
        <v>106.6696</v>
      </c>
      <c r="E4786" s="68">
        <v>6.105</v>
      </c>
    </row>
    <row r="4787" ht="22.5" customHeight="1">
      <c r="A4787" s="61">
        <v>10.84317</v>
      </c>
      <c r="B4787" s="63">
        <v>106.6767</v>
      </c>
      <c r="C4787" s="63">
        <v>10.81679</v>
      </c>
      <c r="D4787" s="63">
        <v>106.675</v>
      </c>
      <c r="E4787" s="64">
        <v>3.801</v>
      </c>
    </row>
    <row r="4788" ht="22.5" customHeight="1">
      <c r="A4788" s="66">
        <v>10.84317</v>
      </c>
      <c r="B4788" s="67">
        <v>106.6767</v>
      </c>
      <c r="C4788" s="67">
        <v>10.82084</v>
      </c>
      <c r="D4788" s="67">
        <v>106.6837</v>
      </c>
      <c r="E4788" s="68">
        <v>3.461</v>
      </c>
    </row>
    <row r="4789" ht="22.5" customHeight="1">
      <c r="A4789" s="61">
        <v>10.84317</v>
      </c>
      <c r="B4789" s="63">
        <v>106.6767</v>
      </c>
      <c r="C4789" s="63">
        <v>10.8279</v>
      </c>
      <c r="D4789" s="63">
        <v>106.6796</v>
      </c>
      <c r="E4789" s="64">
        <v>5.491</v>
      </c>
    </row>
    <row r="4790" ht="22.5" customHeight="1">
      <c r="A4790" s="66">
        <v>10.84317</v>
      </c>
      <c r="B4790" s="67">
        <v>106.6767</v>
      </c>
      <c r="C4790" s="67">
        <v>10.82927</v>
      </c>
      <c r="D4790" s="67">
        <v>106.6816</v>
      </c>
      <c r="E4790" s="68">
        <v>1.821</v>
      </c>
    </row>
    <row r="4791" ht="22.5" customHeight="1">
      <c r="A4791" s="61">
        <v>10.84317</v>
      </c>
      <c r="B4791" s="63">
        <v>106.6767</v>
      </c>
      <c r="C4791" s="63">
        <v>10.8303</v>
      </c>
      <c r="D4791" s="63">
        <v>106.6778</v>
      </c>
      <c r="E4791" s="64">
        <v>1.439</v>
      </c>
    </row>
    <row r="4792" ht="22.5" customHeight="1">
      <c r="A4792" s="66">
        <v>10.84317</v>
      </c>
      <c r="B4792" s="67">
        <v>106.6767</v>
      </c>
      <c r="C4792" s="67">
        <v>10.83497</v>
      </c>
      <c r="D4792" s="67">
        <v>106.6655</v>
      </c>
      <c r="E4792" s="68">
        <v>3.038</v>
      </c>
    </row>
    <row r="4793" ht="22.5" customHeight="1">
      <c r="A4793" s="61">
        <v>10.84317</v>
      </c>
      <c r="B4793" s="63">
        <v>106.6767</v>
      </c>
      <c r="C4793" s="63">
        <v>10.83538</v>
      </c>
      <c r="D4793" s="63">
        <v>106.6689</v>
      </c>
      <c r="E4793" s="64">
        <v>1.531</v>
      </c>
    </row>
    <row r="4794" ht="22.5" customHeight="1">
      <c r="A4794" s="66">
        <v>10.84317</v>
      </c>
      <c r="B4794" s="67">
        <v>106.6767</v>
      </c>
      <c r="C4794" s="67">
        <v>10.838</v>
      </c>
      <c r="D4794" s="67">
        <v>106.6702</v>
      </c>
      <c r="E4794" s="68">
        <v>1.436</v>
      </c>
    </row>
    <row r="4795" ht="22.5" customHeight="1">
      <c r="A4795" s="61">
        <v>10.84317</v>
      </c>
      <c r="B4795" s="63">
        <v>106.6767</v>
      </c>
      <c r="C4795" s="63">
        <v>10.83926</v>
      </c>
      <c r="D4795" s="63">
        <v>106.6297</v>
      </c>
      <c r="E4795" s="64">
        <v>6.43</v>
      </c>
    </row>
    <row r="4796" ht="22.5" customHeight="1">
      <c r="A4796" s="66">
        <v>10.84317</v>
      </c>
      <c r="B4796" s="67">
        <v>106.6767</v>
      </c>
      <c r="C4796" s="67">
        <v>10.84172</v>
      </c>
      <c r="D4796" s="67">
        <v>106.6764</v>
      </c>
      <c r="E4796" s="68">
        <v>0.015</v>
      </c>
    </row>
    <row r="4797" ht="22.5" customHeight="1">
      <c r="A4797" s="61">
        <v>10.84317</v>
      </c>
      <c r="B4797" s="63">
        <v>106.6767</v>
      </c>
      <c r="C4797" s="63">
        <v>10.84253</v>
      </c>
      <c r="D4797" s="63">
        <v>106.6427</v>
      </c>
      <c r="E4797" s="64">
        <v>4.599</v>
      </c>
    </row>
    <row r="4798" ht="22.5" customHeight="1">
      <c r="A4798" s="66">
        <v>10.84317</v>
      </c>
      <c r="B4798" s="67">
        <v>106.6767</v>
      </c>
      <c r="C4798" s="67">
        <v>10.84317</v>
      </c>
      <c r="D4798" s="67">
        <v>106.6767</v>
      </c>
      <c r="E4798" s="68">
        <v>0.007</v>
      </c>
    </row>
    <row r="4799" ht="22.5" customHeight="1">
      <c r="A4799" s="61">
        <v>10.84317</v>
      </c>
      <c r="B4799" s="63">
        <v>106.6767</v>
      </c>
      <c r="C4799" s="63">
        <v>10.84929</v>
      </c>
      <c r="D4799" s="63">
        <v>106.6499</v>
      </c>
      <c r="E4799" s="64">
        <v>3.991</v>
      </c>
    </row>
    <row r="4800" ht="22.5" customHeight="1">
      <c r="A4800" s="66">
        <v>10.84317</v>
      </c>
      <c r="B4800" s="67">
        <v>106.6767</v>
      </c>
      <c r="C4800" s="67">
        <v>10.85188</v>
      </c>
      <c r="D4800" s="67">
        <v>106.6654</v>
      </c>
      <c r="E4800" s="68">
        <v>2.428</v>
      </c>
    </row>
    <row r="4801" ht="22.5" customHeight="1">
      <c r="A4801" s="61">
        <v>10.84317</v>
      </c>
      <c r="B4801" s="63">
        <v>106.6767</v>
      </c>
      <c r="C4801" s="63">
        <v>10.87371</v>
      </c>
      <c r="D4801" s="63">
        <v>106.6217</v>
      </c>
      <c r="E4801" s="64">
        <v>7.64</v>
      </c>
    </row>
    <row r="4802" ht="22.5" customHeight="1">
      <c r="A4802" s="66">
        <v>10.84317</v>
      </c>
      <c r="B4802" s="67">
        <v>106.6767</v>
      </c>
      <c r="C4802" s="67">
        <v>10.88583</v>
      </c>
      <c r="D4802" s="67">
        <v>106.6824</v>
      </c>
      <c r="E4802" s="68">
        <v>5.144</v>
      </c>
    </row>
    <row r="4803" ht="22.5" customHeight="1">
      <c r="A4803" s="61">
        <v>10.84324</v>
      </c>
      <c r="B4803" s="63">
        <v>106.8408</v>
      </c>
      <c r="C4803" s="63">
        <v>10.83771</v>
      </c>
      <c r="D4803" s="63">
        <v>106.8442</v>
      </c>
      <c r="E4803" s="64">
        <v>0.963</v>
      </c>
    </row>
    <row r="4804" ht="22.5" customHeight="1">
      <c r="A4804" s="66">
        <v>10.84369</v>
      </c>
      <c r="B4804" s="67">
        <v>106.6668</v>
      </c>
      <c r="C4804" s="67">
        <v>10.82927</v>
      </c>
      <c r="D4804" s="67">
        <v>106.6816</v>
      </c>
      <c r="E4804" s="68">
        <v>2.809</v>
      </c>
    </row>
    <row r="4805" ht="22.5" customHeight="1">
      <c r="A4805" s="61">
        <v>10.84369</v>
      </c>
      <c r="B4805" s="63">
        <v>106.6668</v>
      </c>
      <c r="C4805" s="63">
        <v>10.84253</v>
      </c>
      <c r="D4805" s="63">
        <v>106.6427</v>
      </c>
      <c r="E4805" s="64">
        <v>3.694</v>
      </c>
    </row>
    <row r="4806" ht="22.5" customHeight="1">
      <c r="A4806" s="66">
        <v>10.84376</v>
      </c>
      <c r="B4806" s="67">
        <v>106.6479</v>
      </c>
      <c r="C4806" s="67">
        <v>10.84253</v>
      </c>
      <c r="D4806" s="67">
        <v>106.6427</v>
      </c>
      <c r="E4806" s="68">
        <v>1.164</v>
      </c>
    </row>
    <row r="4807" ht="22.5" customHeight="1">
      <c r="A4807" s="61">
        <v>10.84442</v>
      </c>
      <c r="B4807" s="63">
        <v>106.7208</v>
      </c>
      <c r="C4807" s="63">
        <v>10.79036</v>
      </c>
      <c r="D4807" s="63">
        <v>106.6973</v>
      </c>
      <c r="E4807" s="64">
        <v>9.536</v>
      </c>
    </row>
    <row r="4808" ht="22.5" customHeight="1">
      <c r="A4808" s="66">
        <v>10.8445</v>
      </c>
      <c r="B4808" s="67">
        <v>106.6396</v>
      </c>
      <c r="C4808" s="67">
        <v>10.79975</v>
      </c>
      <c r="D4808" s="67">
        <v>106.6696</v>
      </c>
      <c r="E4808" s="68">
        <v>10.294</v>
      </c>
    </row>
    <row r="4809" ht="22.5" customHeight="1">
      <c r="A4809" s="61">
        <v>10.8445</v>
      </c>
      <c r="B4809" s="63">
        <v>106.6396</v>
      </c>
      <c r="C4809" s="63">
        <v>10.84253</v>
      </c>
      <c r="D4809" s="63">
        <v>106.6427</v>
      </c>
      <c r="E4809" s="64">
        <v>0.401</v>
      </c>
    </row>
    <row r="4810" ht="22.5" customHeight="1">
      <c r="A4810" s="66">
        <v>10.8445</v>
      </c>
      <c r="B4810" s="67">
        <v>106.6396</v>
      </c>
      <c r="C4810" s="67">
        <v>10.84376</v>
      </c>
      <c r="D4810" s="67">
        <v>106.6479</v>
      </c>
      <c r="E4810" s="68">
        <v>1.059</v>
      </c>
    </row>
    <row r="4811" ht="22.5" customHeight="1">
      <c r="A4811" s="61">
        <v>10.84462</v>
      </c>
      <c r="B4811" s="63">
        <v>106.7812</v>
      </c>
      <c r="C4811" s="63">
        <v>10.77509</v>
      </c>
      <c r="D4811" s="63">
        <v>106.6727</v>
      </c>
      <c r="E4811" s="64">
        <v>16.94</v>
      </c>
    </row>
    <row r="4812" ht="22.5" customHeight="1">
      <c r="A4812" s="66">
        <v>10.84462</v>
      </c>
      <c r="B4812" s="67">
        <v>106.7812</v>
      </c>
      <c r="C4812" s="67">
        <v>10.79036</v>
      </c>
      <c r="D4812" s="67">
        <v>106.6973</v>
      </c>
      <c r="E4812" s="68">
        <v>14.202</v>
      </c>
    </row>
    <row r="4813" ht="22.5" customHeight="1">
      <c r="A4813" s="61">
        <v>10.84462</v>
      </c>
      <c r="B4813" s="63">
        <v>106.7812</v>
      </c>
      <c r="C4813" s="63">
        <v>10.80788</v>
      </c>
      <c r="D4813" s="63">
        <v>106.8271</v>
      </c>
      <c r="E4813" s="64">
        <v>7.57</v>
      </c>
    </row>
    <row r="4814" ht="22.5" customHeight="1">
      <c r="A4814" s="66">
        <v>10.84462</v>
      </c>
      <c r="B4814" s="67">
        <v>106.7812</v>
      </c>
      <c r="C4814" s="67">
        <v>10.82623</v>
      </c>
      <c r="D4814" s="67">
        <v>106.7634</v>
      </c>
      <c r="E4814" s="68">
        <v>4.001</v>
      </c>
    </row>
    <row r="4815" ht="22.5" customHeight="1">
      <c r="A4815" s="61">
        <v>10.84462</v>
      </c>
      <c r="B4815" s="63">
        <v>106.7812</v>
      </c>
      <c r="C4815" s="63">
        <v>10.82729</v>
      </c>
      <c r="D4815" s="63">
        <v>106.769</v>
      </c>
      <c r="E4815" s="64">
        <v>2.954</v>
      </c>
    </row>
    <row r="4816" ht="22.5" customHeight="1">
      <c r="A4816" s="66">
        <v>10.84462</v>
      </c>
      <c r="B4816" s="67">
        <v>106.7812</v>
      </c>
      <c r="C4816" s="67">
        <v>10.82848</v>
      </c>
      <c r="D4816" s="67">
        <v>106.7685</v>
      </c>
      <c r="E4816" s="68">
        <v>3.109</v>
      </c>
    </row>
    <row r="4817" ht="22.5" customHeight="1">
      <c r="A4817" s="61">
        <v>10.84462</v>
      </c>
      <c r="B4817" s="63">
        <v>106.7812</v>
      </c>
      <c r="C4817" s="63">
        <v>10.83375</v>
      </c>
      <c r="D4817" s="63">
        <v>106.7288</v>
      </c>
      <c r="E4817" s="64">
        <v>9.277</v>
      </c>
    </row>
    <row r="4818" ht="22.5" customHeight="1">
      <c r="A4818" s="66">
        <v>10.84462</v>
      </c>
      <c r="B4818" s="67">
        <v>106.7812</v>
      </c>
      <c r="C4818" s="67">
        <v>10.83771</v>
      </c>
      <c r="D4818" s="67">
        <v>106.8442</v>
      </c>
      <c r="E4818" s="68">
        <v>8.373</v>
      </c>
    </row>
    <row r="4819" ht="22.5" customHeight="1">
      <c r="A4819" s="61">
        <v>10.84462</v>
      </c>
      <c r="B4819" s="63">
        <v>106.7812</v>
      </c>
      <c r="C4819" s="63">
        <v>10.843</v>
      </c>
      <c r="D4819" s="63">
        <v>106.7308</v>
      </c>
      <c r="E4819" s="64">
        <v>7.45</v>
      </c>
    </row>
    <row r="4820" ht="22.5" customHeight="1">
      <c r="A4820" s="66">
        <v>10.84462</v>
      </c>
      <c r="B4820" s="67">
        <v>106.7812</v>
      </c>
      <c r="C4820" s="67">
        <v>10.84462</v>
      </c>
      <c r="D4820" s="67">
        <v>106.7812</v>
      </c>
      <c r="E4820" s="68">
        <v>0.0</v>
      </c>
    </row>
    <row r="4821" ht="22.5" customHeight="1">
      <c r="A4821" s="61">
        <v>10.84462</v>
      </c>
      <c r="B4821" s="63">
        <v>106.7812</v>
      </c>
      <c r="C4821" s="63">
        <v>10.84545</v>
      </c>
      <c r="D4821" s="63">
        <v>106.7867</v>
      </c>
      <c r="E4821" s="64">
        <v>0.672</v>
      </c>
    </row>
    <row r="4822" ht="22.5" customHeight="1">
      <c r="A4822" s="66">
        <v>10.84462</v>
      </c>
      <c r="B4822" s="67">
        <v>106.7812</v>
      </c>
      <c r="C4822" s="67">
        <v>10.84695</v>
      </c>
      <c r="D4822" s="67">
        <v>106.7774</v>
      </c>
      <c r="E4822" s="68">
        <v>0.501</v>
      </c>
    </row>
    <row r="4823" ht="22.5" customHeight="1">
      <c r="A4823" s="61">
        <v>10.84462</v>
      </c>
      <c r="B4823" s="63">
        <v>106.7812</v>
      </c>
      <c r="C4823" s="63">
        <v>10.84737</v>
      </c>
      <c r="D4823" s="63">
        <v>106.7766</v>
      </c>
      <c r="E4823" s="64">
        <v>0.618</v>
      </c>
    </row>
    <row r="4824" ht="22.5" customHeight="1">
      <c r="A4824" s="66">
        <v>10.84462</v>
      </c>
      <c r="B4824" s="67">
        <v>106.7812</v>
      </c>
      <c r="C4824" s="67">
        <v>10.8498</v>
      </c>
      <c r="D4824" s="67">
        <v>106.8113</v>
      </c>
      <c r="E4824" s="68">
        <v>3.419</v>
      </c>
    </row>
    <row r="4825" ht="22.5" customHeight="1">
      <c r="A4825" s="61">
        <v>10.84462</v>
      </c>
      <c r="B4825" s="63">
        <v>106.7812</v>
      </c>
      <c r="C4825" s="63">
        <v>10.8507</v>
      </c>
      <c r="D4825" s="63">
        <v>106.7548</v>
      </c>
      <c r="E4825" s="64">
        <v>3.144</v>
      </c>
    </row>
    <row r="4826" ht="22.5" customHeight="1">
      <c r="A4826" s="66">
        <v>10.84462</v>
      </c>
      <c r="B4826" s="67">
        <v>106.7812</v>
      </c>
      <c r="C4826" s="67">
        <v>10.85295</v>
      </c>
      <c r="D4826" s="67">
        <v>106.7922</v>
      </c>
      <c r="E4826" s="68">
        <v>1.979</v>
      </c>
    </row>
    <row r="4827" ht="22.5" customHeight="1">
      <c r="A4827" s="61">
        <v>10.84462</v>
      </c>
      <c r="B4827" s="63">
        <v>106.7812</v>
      </c>
      <c r="C4827" s="63">
        <v>10.86052</v>
      </c>
      <c r="D4827" s="63">
        <v>106.7606</v>
      </c>
      <c r="E4827" s="64">
        <v>3.306</v>
      </c>
    </row>
    <row r="4828" ht="22.5" customHeight="1">
      <c r="A4828" s="66">
        <v>10.84462</v>
      </c>
      <c r="B4828" s="67">
        <v>106.7812</v>
      </c>
      <c r="C4828" s="67">
        <v>10.87116</v>
      </c>
      <c r="D4828" s="67">
        <v>106.7635</v>
      </c>
      <c r="E4828" s="68">
        <v>5.115</v>
      </c>
    </row>
    <row r="4829" ht="22.5" customHeight="1">
      <c r="A4829" s="61">
        <v>10.84462</v>
      </c>
      <c r="B4829" s="63">
        <v>106.7812</v>
      </c>
      <c r="C4829" s="63">
        <v>10.87223</v>
      </c>
      <c r="D4829" s="63">
        <v>106.7336</v>
      </c>
      <c r="E4829" s="64">
        <v>7.303</v>
      </c>
    </row>
    <row r="4830" ht="22.5" customHeight="1">
      <c r="A4830" s="66">
        <v>10.84463</v>
      </c>
      <c r="B4830" s="67">
        <v>106.818</v>
      </c>
      <c r="C4830" s="67">
        <v>10.82848</v>
      </c>
      <c r="D4830" s="67">
        <v>106.7685</v>
      </c>
      <c r="E4830" s="68">
        <v>7.586</v>
      </c>
    </row>
    <row r="4831" ht="22.5" customHeight="1">
      <c r="A4831" s="61">
        <v>10.84463</v>
      </c>
      <c r="B4831" s="63">
        <v>106.818</v>
      </c>
      <c r="C4831" s="63">
        <v>10.83771</v>
      </c>
      <c r="D4831" s="63">
        <v>106.8442</v>
      </c>
      <c r="E4831" s="64">
        <v>3.954</v>
      </c>
    </row>
    <row r="4832" ht="22.5" customHeight="1">
      <c r="A4832" s="66">
        <v>10.84463</v>
      </c>
      <c r="B4832" s="67">
        <v>106.818</v>
      </c>
      <c r="C4832" s="67">
        <v>10.839</v>
      </c>
      <c r="D4832" s="67">
        <v>106.8435</v>
      </c>
      <c r="E4832" s="68">
        <v>3.996</v>
      </c>
    </row>
    <row r="4833" ht="22.5" customHeight="1">
      <c r="A4833" s="61">
        <v>10.84463</v>
      </c>
      <c r="B4833" s="63">
        <v>106.818</v>
      </c>
      <c r="C4833" s="63">
        <v>10.84462</v>
      </c>
      <c r="D4833" s="63">
        <v>106.7812</v>
      </c>
      <c r="E4833" s="64">
        <v>4.467</v>
      </c>
    </row>
    <row r="4834" ht="22.5" customHeight="1">
      <c r="A4834" s="66">
        <v>10.84463</v>
      </c>
      <c r="B4834" s="67">
        <v>106.818</v>
      </c>
      <c r="C4834" s="67">
        <v>10.84545</v>
      </c>
      <c r="D4834" s="67">
        <v>106.7867</v>
      </c>
      <c r="E4834" s="68">
        <v>3.852</v>
      </c>
    </row>
    <row r="4835" ht="22.5" customHeight="1">
      <c r="A4835" s="61">
        <v>10.84463</v>
      </c>
      <c r="B4835" s="63">
        <v>106.818</v>
      </c>
      <c r="C4835" s="63">
        <v>10.84737</v>
      </c>
      <c r="D4835" s="63">
        <v>106.7766</v>
      </c>
      <c r="E4835" s="64">
        <v>5.08</v>
      </c>
    </row>
    <row r="4836" ht="22.5" customHeight="1">
      <c r="A4836" s="66">
        <v>10.84463</v>
      </c>
      <c r="B4836" s="67">
        <v>106.818</v>
      </c>
      <c r="C4836" s="67">
        <v>10.8498</v>
      </c>
      <c r="D4836" s="67">
        <v>106.8113</v>
      </c>
      <c r="E4836" s="68">
        <v>1.058</v>
      </c>
    </row>
    <row r="4837" ht="22.5" customHeight="1">
      <c r="A4837" s="61">
        <v>10.84463</v>
      </c>
      <c r="B4837" s="63">
        <v>106.818</v>
      </c>
      <c r="C4837" s="63">
        <v>10.85295</v>
      </c>
      <c r="D4837" s="63">
        <v>106.7922</v>
      </c>
      <c r="E4837" s="64">
        <v>3.468</v>
      </c>
    </row>
    <row r="4838" ht="22.5" customHeight="1">
      <c r="A4838" s="66">
        <v>10.84463</v>
      </c>
      <c r="B4838" s="67">
        <v>106.818</v>
      </c>
      <c r="C4838" s="67">
        <v>10.86892</v>
      </c>
      <c r="D4838" s="67">
        <v>106.8071</v>
      </c>
      <c r="E4838" s="68">
        <v>3.874</v>
      </c>
    </row>
    <row r="4839" ht="22.5" customHeight="1">
      <c r="A4839" s="61">
        <v>10.84473</v>
      </c>
      <c r="B4839" s="63">
        <v>106.7921</v>
      </c>
      <c r="C4839" s="63">
        <v>10.83771</v>
      </c>
      <c r="D4839" s="63">
        <v>106.8442</v>
      </c>
      <c r="E4839" s="64">
        <v>7.128</v>
      </c>
    </row>
    <row r="4840" ht="22.5" customHeight="1">
      <c r="A4840" s="66">
        <v>10.84473</v>
      </c>
      <c r="B4840" s="67">
        <v>106.7921</v>
      </c>
      <c r="C4840" s="67">
        <v>10.84462</v>
      </c>
      <c r="D4840" s="67">
        <v>106.7812</v>
      </c>
      <c r="E4840" s="68">
        <v>1.632</v>
      </c>
    </row>
    <row r="4841" ht="22.5" customHeight="1">
      <c r="A4841" s="61">
        <v>10.84473</v>
      </c>
      <c r="B4841" s="63">
        <v>106.7921</v>
      </c>
      <c r="C4841" s="63">
        <v>10.84737</v>
      </c>
      <c r="D4841" s="63">
        <v>106.7766</v>
      </c>
      <c r="E4841" s="64">
        <v>2.229</v>
      </c>
    </row>
    <row r="4842" ht="22.5" customHeight="1">
      <c r="A4842" s="66">
        <v>10.84473</v>
      </c>
      <c r="B4842" s="67">
        <v>106.7921</v>
      </c>
      <c r="C4842" s="67">
        <v>10.85295</v>
      </c>
      <c r="D4842" s="67">
        <v>106.7922</v>
      </c>
      <c r="E4842" s="68">
        <v>1.927</v>
      </c>
    </row>
    <row r="4843" ht="22.5" customHeight="1">
      <c r="A4843" s="61">
        <v>10.84494</v>
      </c>
      <c r="B4843" s="63">
        <v>106.639</v>
      </c>
      <c r="C4843" s="63">
        <v>10.76707</v>
      </c>
      <c r="D4843" s="63">
        <v>106.6493</v>
      </c>
      <c r="E4843" s="64">
        <v>10.765</v>
      </c>
    </row>
    <row r="4844" ht="22.5" customHeight="1">
      <c r="A4844" s="66">
        <v>10.84494</v>
      </c>
      <c r="B4844" s="67">
        <v>106.639</v>
      </c>
      <c r="C4844" s="67">
        <v>10.79975</v>
      </c>
      <c r="D4844" s="67">
        <v>106.6696</v>
      </c>
      <c r="E4844" s="68">
        <v>10.228</v>
      </c>
    </row>
    <row r="4845" ht="22.5" customHeight="1">
      <c r="A4845" s="61">
        <v>10.84494</v>
      </c>
      <c r="B4845" s="63">
        <v>106.639</v>
      </c>
      <c r="C4845" s="63">
        <v>10.81679</v>
      </c>
      <c r="D4845" s="63">
        <v>106.675</v>
      </c>
      <c r="E4845" s="64">
        <v>6.864</v>
      </c>
    </row>
    <row r="4846" ht="22.5" customHeight="1">
      <c r="A4846" s="66">
        <v>10.84494</v>
      </c>
      <c r="B4846" s="67">
        <v>106.639</v>
      </c>
      <c r="C4846" s="67">
        <v>10.82084</v>
      </c>
      <c r="D4846" s="67">
        <v>106.6837</v>
      </c>
      <c r="E4846" s="68">
        <v>7.327</v>
      </c>
    </row>
    <row r="4847" ht="22.5" customHeight="1">
      <c r="A4847" s="61">
        <v>10.84494</v>
      </c>
      <c r="B4847" s="63">
        <v>106.639</v>
      </c>
      <c r="C4847" s="63">
        <v>10.82721</v>
      </c>
      <c r="D4847" s="63">
        <v>106.6247</v>
      </c>
      <c r="E4847" s="64">
        <v>4.73</v>
      </c>
    </row>
    <row r="4848" ht="22.5" customHeight="1">
      <c r="A4848" s="66">
        <v>10.84494</v>
      </c>
      <c r="B4848" s="67">
        <v>106.639</v>
      </c>
      <c r="C4848" s="67">
        <v>10.8303</v>
      </c>
      <c r="D4848" s="67">
        <v>106.6778</v>
      </c>
      <c r="E4848" s="68">
        <v>5.773</v>
      </c>
    </row>
    <row r="4849" ht="22.5" customHeight="1">
      <c r="A4849" s="61">
        <v>10.84494</v>
      </c>
      <c r="B4849" s="63">
        <v>106.639</v>
      </c>
      <c r="C4849" s="63">
        <v>10.8322</v>
      </c>
      <c r="D4849" s="63">
        <v>106.6337</v>
      </c>
      <c r="E4849" s="64">
        <v>2.711</v>
      </c>
    </row>
    <row r="4850" ht="22.5" customHeight="1">
      <c r="A4850" s="66">
        <v>10.84494</v>
      </c>
      <c r="B4850" s="67">
        <v>106.639</v>
      </c>
      <c r="C4850" s="67">
        <v>10.83465</v>
      </c>
      <c r="D4850" s="67">
        <v>106.6616</v>
      </c>
      <c r="E4850" s="68">
        <v>2.784</v>
      </c>
    </row>
    <row r="4851" ht="22.5" customHeight="1">
      <c r="A4851" s="61">
        <v>10.84494</v>
      </c>
      <c r="B4851" s="63">
        <v>106.639</v>
      </c>
      <c r="C4851" s="63">
        <v>10.83497</v>
      </c>
      <c r="D4851" s="63">
        <v>106.6655</v>
      </c>
      <c r="E4851" s="64">
        <v>4.313</v>
      </c>
    </row>
    <row r="4852" ht="22.5" customHeight="1">
      <c r="A4852" s="66">
        <v>10.84494</v>
      </c>
      <c r="B4852" s="67">
        <v>106.639</v>
      </c>
      <c r="C4852" s="67">
        <v>10.8359</v>
      </c>
      <c r="D4852" s="67">
        <v>106.6599</v>
      </c>
      <c r="E4852" s="68">
        <v>3.584</v>
      </c>
    </row>
    <row r="4853" ht="22.5" customHeight="1">
      <c r="A4853" s="61">
        <v>10.84494</v>
      </c>
      <c r="B4853" s="63">
        <v>106.639</v>
      </c>
      <c r="C4853" s="63">
        <v>10.83648</v>
      </c>
      <c r="D4853" s="63">
        <v>106.6647</v>
      </c>
      <c r="E4853" s="64">
        <v>3.268</v>
      </c>
    </row>
    <row r="4854" ht="22.5" customHeight="1">
      <c r="A4854" s="66">
        <v>10.84494</v>
      </c>
      <c r="B4854" s="67">
        <v>106.639</v>
      </c>
      <c r="C4854" s="67">
        <v>10.83926</v>
      </c>
      <c r="D4854" s="67">
        <v>106.6297</v>
      </c>
      <c r="E4854" s="68">
        <v>1.669</v>
      </c>
    </row>
    <row r="4855" ht="22.5" customHeight="1">
      <c r="A4855" s="61">
        <v>10.84494</v>
      </c>
      <c r="B4855" s="63">
        <v>106.639</v>
      </c>
      <c r="C4855" s="63">
        <v>10.83929</v>
      </c>
      <c r="D4855" s="63">
        <v>106.6575</v>
      </c>
      <c r="E4855" s="64">
        <v>3.765</v>
      </c>
    </row>
    <row r="4856" ht="22.5" customHeight="1">
      <c r="A4856" s="66">
        <v>10.84494</v>
      </c>
      <c r="B4856" s="67">
        <v>106.639</v>
      </c>
      <c r="C4856" s="67">
        <v>10.84253</v>
      </c>
      <c r="D4856" s="67">
        <v>106.6427</v>
      </c>
      <c r="E4856" s="68">
        <v>0.286</v>
      </c>
    </row>
    <row r="4857" ht="22.5" customHeight="1">
      <c r="A4857" s="61">
        <v>10.84494</v>
      </c>
      <c r="B4857" s="63">
        <v>106.639</v>
      </c>
      <c r="C4857" s="63">
        <v>10.84317</v>
      </c>
      <c r="D4857" s="63">
        <v>106.6767</v>
      </c>
      <c r="E4857" s="64">
        <v>4.775</v>
      </c>
    </row>
    <row r="4858" ht="22.5" customHeight="1">
      <c r="A4858" s="66">
        <v>10.84494</v>
      </c>
      <c r="B4858" s="67">
        <v>106.639</v>
      </c>
      <c r="C4858" s="67">
        <v>10.8445</v>
      </c>
      <c r="D4858" s="67">
        <v>106.6396</v>
      </c>
      <c r="E4858" s="68">
        <v>0.088</v>
      </c>
    </row>
    <row r="4859" ht="22.5" customHeight="1">
      <c r="A4859" s="61">
        <v>10.84494</v>
      </c>
      <c r="B4859" s="63">
        <v>106.639</v>
      </c>
      <c r="C4859" s="63">
        <v>10.84929</v>
      </c>
      <c r="D4859" s="63">
        <v>106.6499</v>
      </c>
      <c r="E4859" s="64">
        <v>1.23</v>
      </c>
    </row>
    <row r="4860" ht="22.5" customHeight="1">
      <c r="A4860" s="66">
        <v>10.84494</v>
      </c>
      <c r="B4860" s="67">
        <v>106.639</v>
      </c>
      <c r="C4860" s="67">
        <v>10.85276</v>
      </c>
      <c r="D4860" s="67">
        <v>106.6604</v>
      </c>
      <c r="E4860" s="68">
        <v>2.592</v>
      </c>
    </row>
    <row r="4861" ht="22.5" customHeight="1">
      <c r="A4861" s="61">
        <v>10.84494</v>
      </c>
      <c r="B4861" s="63">
        <v>106.639</v>
      </c>
      <c r="C4861" s="63">
        <v>10.85646</v>
      </c>
      <c r="D4861" s="63">
        <v>106.6159</v>
      </c>
      <c r="E4861" s="64">
        <v>3.368</v>
      </c>
    </row>
    <row r="4862" ht="22.5" customHeight="1">
      <c r="A4862" s="66">
        <v>10.84494</v>
      </c>
      <c r="B4862" s="67">
        <v>106.639</v>
      </c>
      <c r="C4862" s="67">
        <v>10.86294</v>
      </c>
      <c r="D4862" s="67">
        <v>106.6496</v>
      </c>
      <c r="E4862" s="68">
        <v>3.031</v>
      </c>
    </row>
    <row r="4863" ht="22.5" customHeight="1">
      <c r="A4863" s="61">
        <v>10.84494</v>
      </c>
      <c r="B4863" s="63">
        <v>106.639</v>
      </c>
      <c r="C4863" s="63">
        <v>10.86793</v>
      </c>
      <c r="D4863" s="63">
        <v>106.6494</v>
      </c>
      <c r="E4863" s="64">
        <v>3.587</v>
      </c>
    </row>
    <row r="4864" ht="22.5" customHeight="1">
      <c r="A4864" s="66">
        <v>10.84494</v>
      </c>
      <c r="B4864" s="67">
        <v>106.639</v>
      </c>
      <c r="C4864" s="67">
        <v>10.87371</v>
      </c>
      <c r="D4864" s="67">
        <v>106.6217</v>
      </c>
      <c r="E4864" s="68">
        <v>0.317</v>
      </c>
    </row>
    <row r="4865" ht="22.5" customHeight="1">
      <c r="A4865" s="61">
        <v>10.84494</v>
      </c>
      <c r="B4865" s="63">
        <v>106.639</v>
      </c>
      <c r="C4865" s="63">
        <v>10.87599</v>
      </c>
      <c r="D4865" s="63">
        <v>106.6239</v>
      </c>
      <c r="E4865" s="64">
        <v>5.462</v>
      </c>
    </row>
    <row r="4866" ht="22.5" customHeight="1">
      <c r="A4866" s="66">
        <v>10.84494</v>
      </c>
      <c r="B4866" s="67">
        <v>106.639</v>
      </c>
      <c r="C4866" s="67">
        <v>10.87625</v>
      </c>
      <c r="D4866" s="67">
        <v>106.6407</v>
      </c>
      <c r="E4866" s="68">
        <v>5.298</v>
      </c>
    </row>
    <row r="4867" ht="22.5" customHeight="1">
      <c r="A4867" s="61">
        <v>10.84494</v>
      </c>
      <c r="B4867" s="63">
        <v>106.6731</v>
      </c>
      <c r="C4867" s="63">
        <v>10.82927</v>
      </c>
      <c r="D4867" s="63">
        <v>106.6816</v>
      </c>
      <c r="E4867" s="64">
        <v>2.278</v>
      </c>
    </row>
    <row r="4868" ht="22.5" customHeight="1">
      <c r="A4868" s="66">
        <v>10.84494</v>
      </c>
      <c r="B4868" s="67">
        <v>106.6731</v>
      </c>
      <c r="C4868" s="67">
        <v>10.84253</v>
      </c>
      <c r="D4868" s="67">
        <v>106.6427</v>
      </c>
      <c r="E4868" s="68">
        <v>4.4</v>
      </c>
    </row>
    <row r="4869" ht="22.5" customHeight="1">
      <c r="A4869" s="61">
        <v>10.84514</v>
      </c>
      <c r="B4869" s="63">
        <v>106.7274</v>
      </c>
      <c r="C4869" s="63">
        <v>10.77509</v>
      </c>
      <c r="D4869" s="63">
        <v>106.6727</v>
      </c>
      <c r="E4869" s="64">
        <v>11.798</v>
      </c>
    </row>
    <row r="4870" ht="22.5" customHeight="1">
      <c r="A4870" s="66">
        <v>10.84514</v>
      </c>
      <c r="B4870" s="67">
        <v>106.7274</v>
      </c>
      <c r="C4870" s="67">
        <v>10.79036</v>
      </c>
      <c r="D4870" s="67">
        <v>106.6973</v>
      </c>
      <c r="E4870" s="68">
        <v>9.3</v>
      </c>
    </row>
    <row r="4871" ht="22.5" customHeight="1">
      <c r="A4871" s="61">
        <v>10.84514</v>
      </c>
      <c r="B4871" s="63">
        <v>106.7274</v>
      </c>
      <c r="C4871" s="63">
        <v>10.843</v>
      </c>
      <c r="D4871" s="63">
        <v>106.7308</v>
      </c>
      <c r="E4871" s="64">
        <v>0.499</v>
      </c>
    </row>
    <row r="4872" ht="22.5" customHeight="1">
      <c r="A4872" s="66">
        <v>10.84514</v>
      </c>
      <c r="B4872" s="67">
        <v>106.7274</v>
      </c>
      <c r="C4872" s="67">
        <v>10.84737</v>
      </c>
      <c r="D4872" s="67">
        <v>106.7766</v>
      </c>
      <c r="E4872" s="68">
        <v>6.7</v>
      </c>
    </row>
    <row r="4873" ht="22.5" customHeight="1">
      <c r="A4873" s="61">
        <v>10.84514</v>
      </c>
      <c r="B4873" s="63">
        <v>106.7274</v>
      </c>
      <c r="C4873" s="63">
        <v>10.8507</v>
      </c>
      <c r="D4873" s="63">
        <v>106.7548</v>
      </c>
      <c r="E4873" s="64">
        <v>4.683</v>
      </c>
    </row>
    <row r="4874" ht="22.5" customHeight="1">
      <c r="A4874" s="66">
        <v>10.84514</v>
      </c>
      <c r="B4874" s="67">
        <v>106.7274</v>
      </c>
      <c r="C4874" s="67">
        <v>10.8523</v>
      </c>
      <c r="D4874" s="67">
        <v>106.7209</v>
      </c>
      <c r="E4874" s="68">
        <v>1.424</v>
      </c>
    </row>
    <row r="4875" ht="22.5" customHeight="1">
      <c r="A4875" s="61">
        <v>10.84514</v>
      </c>
      <c r="B4875" s="63">
        <v>106.7274</v>
      </c>
      <c r="C4875" s="63">
        <v>10.85846</v>
      </c>
      <c r="D4875" s="63">
        <v>106.7487</v>
      </c>
      <c r="E4875" s="64">
        <v>2.9</v>
      </c>
    </row>
    <row r="4876" ht="22.5" customHeight="1">
      <c r="A4876" s="66">
        <v>10.84514</v>
      </c>
      <c r="B4876" s="67">
        <v>106.7274</v>
      </c>
      <c r="C4876" s="67">
        <v>10.86052</v>
      </c>
      <c r="D4876" s="67">
        <v>106.7606</v>
      </c>
      <c r="E4876" s="68">
        <v>5.7</v>
      </c>
    </row>
    <row r="4877" ht="22.5" customHeight="1">
      <c r="A4877" s="61">
        <v>10.84514</v>
      </c>
      <c r="B4877" s="63">
        <v>106.7274</v>
      </c>
      <c r="C4877" s="63">
        <v>10.86434</v>
      </c>
      <c r="D4877" s="63">
        <v>106.7457</v>
      </c>
      <c r="E4877" s="64">
        <v>3.236</v>
      </c>
    </row>
    <row r="4878" ht="22.5" customHeight="1">
      <c r="A4878" s="66">
        <v>10.84514</v>
      </c>
      <c r="B4878" s="67">
        <v>106.7274</v>
      </c>
      <c r="C4878" s="67">
        <v>10.86444</v>
      </c>
      <c r="D4878" s="67">
        <v>106.7457</v>
      </c>
      <c r="E4878" s="68">
        <v>3.243</v>
      </c>
    </row>
    <row r="4879" ht="22.5" customHeight="1">
      <c r="A4879" s="61">
        <v>10.84514</v>
      </c>
      <c r="B4879" s="63">
        <v>106.7274</v>
      </c>
      <c r="C4879" s="63">
        <v>10.87819</v>
      </c>
      <c r="D4879" s="63">
        <v>106.7317</v>
      </c>
      <c r="E4879" s="64">
        <v>5.425</v>
      </c>
    </row>
    <row r="4880" ht="22.5" customHeight="1">
      <c r="A4880" s="66">
        <v>10.84514</v>
      </c>
      <c r="B4880" s="67">
        <v>106.7274</v>
      </c>
      <c r="C4880" s="67">
        <v>10.88518</v>
      </c>
      <c r="D4880" s="67">
        <v>106.7286</v>
      </c>
      <c r="E4880" s="68">
        <v>6.297</v>
      </c>
    </row>
    <row r="4881" ht="22.5" customHeight="1">
      <c r="A4881" s="61">
        <v>10.84514</v>
      </c>
      <c r="B4881" s="63">
        <v>106.7274</v>
      </c>
      <c r="C4881" s="63">
        <v>10.88615</v>
      </c>
      <c r="D4881" s="63">
        <v>106.7039</v>
      </c>
      <c r="E4881" s="64">
        <v>7.53</v>
      </c>
    </row>
    <row r="4882" ht="22.5" customHeight="1">
      <c r="A4882" s="66">
        <v>10.84514</v>
      </c>
      <c r="B4882" s="67">
        <v>106.7274</v>
      </c>
      <c r="C4882" s="67">
        <v>10.88633</v>
      </c>
      <c r="D4882" s="67">
        <v>106.7043</v>
      </c>
      <c r="E4882" s="68">
        <v>7.908</v>
      </c>
    </row>
    <row r="4883" ht="22.5" customHeight="1">
      <c r="A4883" s="61">
        <v>10.84545</v>
      </c>
      <c r="B4883" s="63">
        <v>106.7867</v>
      </c>
      <c r="C4883" s="63">
        <v>10.83978</v>
      </c>
      <c r="D4883" s="63">
        <v>106.7932</v>
      </c>
      <c r="E4883" s="64">
        <v>1.022</v>
      </c>
    </row>
    <row r="4884" ht="22.5" customHeight="1">
      <c r="A4884" s="66">
        <v>10.84545</v>
      </c>
      <c r="B4884" s="67">
        <v>106.7867</v>
      </c>
      <c r="C4884" s="67">
        <v>10.84462</v>
      </c>
      <c r="D4884" s="67">
        <v>106.7812</v>
      </c>
      <c r="E4884" s="68">
        <v>0.667</v>
      </c>
    </row>
    <row r="4885" ht="22.5" customHeight="1">
      <c r="A4885" s="61">
        <v>10.84545</v>
      </c>
      <c r="B4885" s="63">
        <v>106.7867</v>
      </c>
      <c r="C4885" s="63">
        <v>10.84695</v>
      </c>
      <c r="D4885" s="63">
        <v>106.7774</v>
      </c>
      <c r="E4885" s="64">
        <v>1.165</v>
      </c>
    </row>
    <row r="4886" ht="22.5" customHeight="1">
      <c r="A4886" s="66">
        <v>10.84545</v>
      </c>
      <c r="B4886" s="67">
        <v>106.7867</v>
      </c>
      <c r="C4886" s="67">
        <v>10.84737</v>
      </c>
      <c r="D4886" s="67">
        <v>106.7766</v>
      </c>
      <c r="E4886" s="68">
        <v>1.273</v>
      </c>
    </row>
    <row r="4887" ht="22.5" customHeight="1">
      <c r="A4887" s="61">
        <v>10.84545</v>
      </c>
      <c r="B4887" s="63">
        <v>106.7867</v>
      </c>
      <c r="C4887" s="63">
        <v>10.85295</v>
      </c>
      <c r="D4887" s="63">
        <v>106.7922</v>
      </c>
      <c r="E4887" s="64">
        <v>1.31</v>
      </c>
    </row>
    <row r="4888" ht="22.5" customHeight="1">
      <c r="A4888" s="66">
        <v>10.84581</v>
      </c>
      <c r="B4888" s="67">
        <v>106.593</v>
      </c>
      <c r="C4888" s="67">
        <v>10.77509</v>
      </c>
      <c r="D4888" s="67">
        <v>106.6727</v>
      </c>
      <c r="E4888" s="68">
        <v>14.512</v>
      </c>
    </row>
    <row r="4889" ht="22.5" customHeight="1">
      <c r="A4889" s="61">
        <v>10.84581</v>
      </c>
      <c r="B4889" s="63">
        <v>106.593</v>
      </c>
      <c r="C4889" s="63">
        <v>10.79975</v>
      </c>
      <c r="D4889" s="63">
        <v>106.6696</v>
      </c>
      <c r="E4889" s="64">
        <v>10.75</v>
      </c>
    </row>
    <row r="4890" ht="22.5" customHeight="1">
      <c r="A4890" s="66">
        <v>10.84581</v>
      </c>
      <c r="B4890" s="67">
        <v>106.593</v>
      </c>
      <c r="C4890" s="67">
        <v>10.82721</v>
      </c>
      <c r="D4890" s="67">
        <v>106.6247</v>
      </c>
      <c r="E4890" s="68">
        <v>4.125</v>
      </c>
    </row>
    <row r="4891" ht="22.5" customHeight="1">
      <c r="A4891" s="61">
        <v>10.84581</v>
      </c>
      <c r="B4891" s="63">
        <v>106.593</v>
      </c>
      <c r="C4891" s="63">
        <v>10.84909</v>
      </c>
      <c r="D4891" s="63">
        <v>106.5874</v>
      </c>
      <c r="E4891" s="64">
        <v>0.746</v>
      </c>
    </row>
    <row r="4892" ht="22.5" customHeight="1">
      <c r="A4892" s="66">
        <v>10.84581</v>
      </c>
      <c r="B4892" s="67">
        <v>106.593</v>
      </c>
      <c r="C4892" s="67">
        <v>10.84941</v>
      </c>
      <c r="D4892" s="67">
        <v>106.588</v>
      </c>
      <c r="E4892" s="68">
        <v>0.665</v>
      </c>
    </row>
    <row r="4893" ht="22.5" customHeight="1">
      <c r="A4893" s="61">
        <v>10.84581</v>
      </c>
      <c r="B4893" s="63">
        <v>106.593</v>
      </c>
      <c r="C4893" s="63">
        <v>10.85292</v>
      </c>
      <c r="D4893" s="63">
        <v>106.5839</v>
      </c>
      <c r="E4893" s="64">
        <v>1.269</v>
      </c>
    </row>
    <row r="4894" ht="22.5" customHeight="1">
      <c r="A4894" s="66">
        <v>10.84581</v>
      </c>
      <c r="B4894" s="67">
        <v>106.593</v>
      </c>
      <c r="C4894" s="67">
        <v>10.87189</v>
      </c>
      <c r="D4894" s="67">
        <v>106.5975</v>
      </c>
      <c r="E4894" s="68">
        <v>4.181</v>
      </c>
    </row>
    <row r="4895" ht="22.5" customHeight="1">
      <c r="A4895" s="61">
        <v>10.84581</v>
      </c>
      <c r="B4895" s="63">
        <v>106.593</v>
      </c>
      <c r="C4895" s="63">
        <v>10.87507</v>
      </c>
      <c r="D4895" s="63">
        <v>106.5985</v>
      </c>
      <c r="E4895" s="64">
        <v>4.477</v>
      </c>
    </row>
    <row r="4896" ht="22.5" customHeight="1">
      <c r="A4896" s="66">
        <v>10.84581</v>
      </c>
      <c r="B4896" s="67">
        <v>106.593</v>
      </c>
      <c r="C4896" s="67">
        <v>10.88436</v>
      </c>
      <c r="D4896" s="67">
        <v>106.595</v>
      </c>
      <c r="E4896" s="68">
        <v>5.697</v>
      </c>
    </row>
    <row r="4897" ht="22.5" customHeight="1">
      <c r="A4897" s="61">
        <v>10.84581</v>
      </c>
      <c r="B4897" s="63">
        <v>106.593</v>
      </c>
      <c r="C4897" s="63">
        <v>10.88706</v>
      </c>
      <c r="D4897" s="63">
        <v>106.5911</v>
      </c>
      <c r="E4897" s="64">
        <v>5.478</v>
      </c>
    </row>
    <row r="4898" ht="22.5" customHeight="1">
      <c r="A4898" s="66">
        <v>10.84581</v>
      </c>
      <c r="B4898" s="67">
        <v>106.593</v>
      </c>
      <c r="C4898" s="67">
        <v>10.88801</v>
      </c>
      <c r="D4898" s="67">
        <v>106.5985</v>
      </c>
      <c r="E4898" s="68">
        <v>5.58</v>
      </c>
    </row>
    <row r="4899" ht="22.5" customHeight="1">
      <c r="A4899" s="61">
        <v>10.84581</v>
      </c>
      <c r="B4899" s="63">
        <v>106.593</v>
      </c>
      <c r="C4899" s="63">
        <v>10.8937</v>
      </c>
      <c r="D4899" s="63">
        <v>106.6123</v>
      </c>
      <c r="E4899" s="64">
        <v>6.989</v>
      </c>
    </row>
    <row r="4900" ht="22.5" customHeight="1">
      <c r="A4900" s="66">
        <v>10.84581</v>
      </c>
      <c r="B4900" s="67">
        <v>106.593</v>
      </c>
      <c r="C4900" s="67">
        <v>10.89471</v>
      </c>
      <c r="D4900" s="67">
        <v>106.5794</v>
      </c>
      <c r="E4900" s="68">
        <v>7.851</v>
      </c>
    </row>
    <row r="4901" ht="22.5" customHeight="1">
      <c r="A4901" s="61">
        <v>10.84581</v>
      </c>
      <c r="B4901" s="63">
        <v>106.593</v>
      </c>
      <c r="C4901" s="63">
        <v>10.8955</v>
      </c>
      <c r="D4901" s="63">
        <v>106.5788</v>
      </c>
      <c r="E4901" s="64">
        <v>7.972</v>
      </c>
    </row>
    <row r="4902" ht="22.5" customHeight="1">
      <c r="A4902" s="66">
        <v>10.84581</v>
      </c>
      <c r="B4902" s="67">
        <v>106.593</v>
      </c>
      <c r="C4902" s="67">
        <v>10.9021</v>
      </c>
      <c r="D4902" s="67">
        <v>106.5531</v>
      </c>
      <c r="E4902" s="68">
        <v>10.934</v>
      </c>
    </row>
    <row r="4903" ht="22.5" customHeight="1">
      <c r="A4903" s="61">
        <v>10.84581</v>
      </c>
      <c r="B4903" s="63">
        <v>106.593</v>
      </c>
      <c r="C4903" s="63">
        <v>10.90586</v>
      </c>
      <c r="D4903" s="63">
        <v>106.6438</v>
      </c>
      <c r="E4903" s="64">
        <v>9.424</v>
      </c>
    </row>
    <row r="4904" ht="22.5" customHeight="1">
      <c r="A4904" s="66">
        <v>10.84596</v>
      </c>
      <c r="B4904" s="67">
        <v>106.7785</v>
      </c>
      <c r="C4904" s="67">
        <v>10.84737</v>
      </c>
      <c r="D4904" s="67">
        <v>106.7766</v>
      </c>
      <c r="E4904" s="68">
        <v>0.274</v>
      </c>
    </row>
    <row r="4905" ht="22.5" customHeight="1">
      <c r="A4905" s="61">
        <v>10.84596</v>
      </c>
      <c r="B4905" s="63">
        <v>106.7785</v>
      </c>
      <c r="C4905" s="63">
        <v>10.85295</v>
      </c>
      <c r="D4905" s="63">
        <v>106.7922</v>
      </c>
      <c r="E4905" s="64">
        <v>2.294</v>
      </c>
    </row>
    <row r="4906" ht="22.5" customHeight="1">
      <c r="A4906" s="66">
        <v>10.8469</v>
      </c>
      <c r="B4906" s="67">
        <v>106.7512</v>
      </c>
      <c r="C4906" s="67">
        <v>10.83771</v>
      </c>
      <c r="D4906" s="67">
        <v>106.8442</v>
      </c>
      <c r="E4906" s="68">
        <v>15.546</v>
      </c>
    </row>
    <row r="4907" ht="22.5" customHeight="1">
      <c r="A4907" s="61">
        <v>10.8469</v>
      </c>
      <c r="B4907" s="63">
        <v>106.7512</v>
      </c>
      <c r="C4907" s="63">
        <v>10.839</v>
      </c>
      <c r="D4907" s="63">
        <v>106.8435</v>
      </c>
      <c r="E4907" s="64">
        <v>15.566</v>
      </c>
    </row>
    <row r="4908" ht="22.5" customHeight="1">
      <c r="A4908" s="66">
        <v>10.8469</v>
      </c>
      <c r="B4908" s="67">
        <v>106.7512</v>
      </c>
      <c r="C4908" s="67">
        <v>10.843</v>
      </c>
      <c r="D4908" s="67">
        <v>106.7308</v>
      </c>
      <c r="E4908" s="68">
        <v>3.115</v>
      </c>
    </row>
    <row r="4909" ht="22.5" customHeight="1">
      <c r="A4909" s="61">
        <v>10.8469</v>
      </c>
      <c r="B4909" s="63">
        <v>106.7512</v>
      </c>
      <c r="C4909" s="63">
        <v>10.84514</v>
      </c>
      <c r="D4909" s="63">
        <v>106.7274</v>
      </c>
      <c r="E4909" s="64">
        <v>3.577</v>
      </c>
    </row>
    <row r="4910" ht="22.5" customHeight="1">
      <c r="A4910" s="66">
        <v>10.8469</v>
      </c>
      <c r="B4910" s="67">
        <v>106.7512</v>
      </c>
      <c r="C4910" s="67">
        <v>10.8507</v>
      </c>
      <c r="D4910" s="67">
        <v>106.7548</v>
      </c>
      <c r="E4910" s="68">
        <v>3.027</v>
      </c>
    </row>
    <row r="4911" ht="22.5" customHeight="1">
      <c r="A4911" s="61">
        <v>10.8469</v>
      </c>
      <c r="B4911" s="63">
        <v>106.7512</v>
      </c>
      <c r="C4911" s="63">
        <v>10.85846</v>
      </c>
      <c r="D4911" s="63">
        <v>106.7487</v>
      </c>
      <c r="E4911" s="64">
        <v>2.824</v>
      </c>
    </row>
    <row r="4912" ht="22.5" customHeight="1">
      <c r="A4912" s="66">
        <v>10.8469</v>
      </c>
      <c r="B4912" s="67">
        <v>106.7512</v>
      </c>
      <c r="C4912" s="67">
        <v>10.86052</v>
      </c>
      <c r="D4912" s="67">
        <v>106.7606</v>
      </c>
      <c r="E4912" s="68">
        <v>3.779</v>
      </c>
    </row>
    <row r="4913" ht="22.5" customHeight="1">
      <c r="A4913" s="61">
        <v>10.8469</v>
      </c>
      <c r="B4913" s="63">
        <v>106.7512</v>
      </c>
      <c r="C4913" s="63">
        <v>10.86444</v>
      </c>
      <c r="D4913" s="63">
        <v>106.7457</v>
      </c>
      <c r="E4913" s="64">
        <v>3.635</v>
      </c>
    </row>
    <row r="4914" ht="22.5" customHeight="1">
      <c r="A4914" s="66">
        <v>10.8469</v>
      </c>
      <c r="B4914" s="67">
        <v>106.7512</v>
      </c>
      <c r="C4914" s="67">
        <v>10.87116</v>
      </c>
      <c r="D4914" s="67">
        <v>106.7635</v>
      </c>
      <c r="E4914" s="68">
        <v>5.003</v>
      </c>
    </row>
    <row r="4915" ht="22.5" customHeight="1">
      <c r="A4915" s="61">
        <v>10.8469</v>
      </c>
      <c r="B4915" s="63">
        <v>106.7512</v>
      </c>
      <c r="C4915" s="63">
        <v>10.88518</v>
      </c>
      <c r="D4915" s="63">
        <v>106.7286</v>
      </c>
      <c r="E4915" s="64">
        <v>7.175</v>
      </c>
    </row>
    <row r="4916" ht="22.5" customHeight="1">
      <c r="A4916" s="66">
        <v>10.84695</v>
      </c>
      <c r="B4916" s="67">
        <v>106.7774</v>
      </c>
      <c r="C4916" s="67">
        <v>10.79036</v>
      </c>
      <c r="D4916" s="67">
        <v>106.6973</v>
      </c>
      <c r="E4916" s="68">
        <v>13.7</v>
      </c>
    </row>
    <row r="4917" ht="22.5" customHeight="1">
      <c r="A4917" s="61">
        <v>10.84695</v>
      </c>
      <c r="B4917" s="63">
        <v>106.7774</v>
      </c>
      <c r="C4917" s="63">
        <v>10.83771</v>
      </c>
      <c r="D4917" s="63">
        <v>106.8442</v>
      </c>
      <c r="E4917" s="64">
        <v>8.909</v>
      </c>
    </row>
    <row r="4918" ht="22.5" customHeight="1">
      <c r="A4918" s="66">
        <v>10.84695</v>
      </c>
      <c r="B4918" s="67">
        <v>106.7774</v>
      </c>
      <c r="C4918" s="67">
        <v>10.843</v>
      </c>
      <c r="D4918" s="67">
        <v>106.7308</v>
      </c>
      <c r="E4918" s="68">
        <v>6.974</v>
      </c>
    </row>
    <row r="4919" ht="22.5" customHeight="1">
      <c r="A4919" s="61">
        <v>10.84695</v>
      </c>
      <c r="B4919" s="63">
        <v>106.7774</v>
      </c>
      <c r="C4919" s="63">
        <v>10.84473</v>
      </c>
      <c r="D4919" s="63">
        <v>106.7921</v>
      </c>
      <c r="E4919" s="64">
        <v>2.163</v>
      </c>
    </row>
    <row r="4920" ht="22.5" customHeight="1">
      <c r="A4920" s="66">
        <v>10.84695</v>
      </c>
      <c r="B4920" s="67">
        <v>106.7774</v>
      </c>
      <c r="C4920" s="67">
        <v>10.84737</v>
      </c>
      <c r="D4920" s="67">
        <v>106.7766</v>
      </c>
      <c r="E4920" s="68">
        <v>0.07</v>
      </c>
    </row>
    <row r="4921" ht="22.5" customHeight="1">
      <c r="A4921" s="61">
        <v>10.84718</v>
      </c>
      <c r="B4921" s="63">
        <v>106.8375</v>
      </c>
      <c r="C4921" s="63">
        <v>10.84737</v>
      </c>
      <c r="D4921" s="63">
        <v>106.7766</v>
      </c>
      <c r="E4921" s="64">
        <v>8.982</v>
      </c>
    </row>
    <row r="4922" ht="22.5" customHeight="1">
      <c r="A4922" s="66">
        <v>10.84728</v>
      </c>
      <c r="B4922" s="67">
        <v>106.6597</v>
      </c>
      <c r="C4922" s="67">
        <v>10.84253</v>
      </c>
      <c r="D4922" s="67">
        <v>106.6427</v>
      </c>
      <c r="E4922" s="68">
        <v>3.017</v>
      </c>
    </row>
    <row r="4923" ht="22.5" customHeight="1">
      <c r="A4923" s="61">
        <v>10.84737</v>
      </c>
      <c r="B4923" s="63">
        <v>106.7766</v>
      </c>
      <c r="C4923" s="63">
        <v>10.73595</v>
      </c>
      <c r="D4923" s="63">
        <v>106.9345</v>
      </c>
      <c r="E4923" s="64">
        <v>39.5</v>
      </c>
    </row>
    <row r="4924" ht="22.5" customHeight="1">
      <c r="A4924" s="66">
        <v>10.84737</v>
      </c>
      <c r="B4924" s="67">
        <v>106.7766</v>
      </c>
      <c r="C4924" s="67">
        <v>10.79036</v>
      </c>
      <c r="D4924" s="67">
        <v>106.6973</v>
      </c>
      <c r="E4924" s="68">
        <v>12.6</v>
      </c>
    </row>
    <row r="4925" ht="22.5" customHeight="1">
      <c r="A4925" s="61">
        <v>10.84737</v>
      </c>
      <c r="B4925" s="63">
        <v>106.7766</v>
      </c>
      <c r="C4925" s="63">
        <v>10.79203</v>
      </c>
      <c r="D4925" s="63">
        <v>106.7304</v>
      </c>
      <c r="E4925" s="64">
        <v>9.443</v>
      </c>
    </row>
    <row r="4926" ht="22.5" customHeight="1">
      <c r="A4926" s="66">
        <v>10.84737</v>
      </c>
      <c r="B4926" s="67">
        <v>106.7766</v>
      </c>
      <c r="C4926" s="67">
        <v>10.79462</v>
      </c>
      <c r="D4926" s="67">
        <v>106.9453</v>
      </c>
      <c r="E4926" s="68">
        <v>30.0</v>
      </c>
    </row>
    <row r="4927" ht="22.5" customHeight="1">
      <c r="A4927" s="61">
        <v>10.84737</v>
      </c>
      <c r="B4927" s="63">
        <v>106.7766</v>
      </c>
      <c r="C4927" s="63">
        <v>10.80027</v>
      </c>
      <c r="D4927" s="63">
        <v>106.7109</v>
      </c>
      <c r="E4927" s="64">
        <v>11.6</v>
      </c>
    </row>
    <row r="4928" ht="22.5" customHeight="1">
      <c r="A4928" s="66">
        <v>10.84737</v>
      </c>
      <c r="B4928" s="67">
        <v>106.7766</v>
      </c>
      <c r="C4928" s="67">
        <v>10.81819</v>
      </c>
      <c r="D4928" s="67">
        <v>106.7731</v>
      </c>
      <c r="E4928" s="68">
        <v>4.3</v>
      </c>
    </row>
    <row r="4929" ht="22.5" customHeight="1">
      <c r="A4929" s="61">
        <v>10.84737</v>
      </c>
      <c r="B4929" s="63">
        <v>106.7766</v>
      </c>
      <c r="C4929" s="63">
        <v>10.81991</v>
      </c>
      <c r="D4929" s="63">
        <v>106.8322</v>
      </c>
      <c r="E4929" s="64">
        <v>9.1</v>
      </c>
    </row>
    <row r="4930" ht="22.5" customHeight="1">
      <c r="A4930" s="66">
        <v>10.84737</v>
      </c>
      <c r="B4930" s="67">
        <v>106.7766</v>
      </c>
      <c r="C4930" s="67">
        <v>10.82729</v>
      </c>
      <c r="D4930" s="67">
        <v>106.769</v>
      </c>
      <c r="E4930" s="68">
        <v>3.2</v>
      </c>
    </row>
    <row r="4931" ht="22.5" customHeight="1">
      <c r="A4931" s="61">
        <v>10.84737</v>
      </c>
      <c r="B4931" s="63">
        <v>106.7766</v>
      </c>
      <c r="C4931" s="63">
        <v>10.82848</v>
      </c>
      <c r="D4931" s="63">
        <v>106.7685</v>
      </c>
      <c r="E4931" s="64">
        <v>3.0</v>
      </c>
    </row>
    <row r="4932" ht="22.5" customHeight="1">
      <c r="A4932" s="66">
        <v>10.84737</v>
      </c>
      <c r="B4932" s="67">
        <v>106.7766</v>
      </c>
      <c r="C4932" s="67">
        <v>10.83388</v>
      </c>
      <c r="D4932" s="67">
        <v>106.7618</v>
      </c>
      <c r="E4932" s="68">
        <v>2.7</v>
      </c>
    </row>
    <row r="4933" ht="22.5" customHeight="1">
      <c r="A4933" s="61">
        <v>10.84737</v>
      </c>
      <c r="B4933" s="63">
        <v>106.7766</v>
      </c>
      <c r="C4933" s="63">
        <v>10.83771</v>
      </c>
      <c r="D4933" s="63">
        <v>106.8442</v>
      </c>
      <c r="E4933" s="64">
        <v>9.0</v>
      </c>
    </row>
    <row r="4934" ht="22.5" customHeight="1">
      <c r="A4934" s="66">
        <v>10.84737</v>
      </c>
      <c r="B4934" s="67">
        <v>106.7766</v>
      </c>
      <c r="C4934" s="67">
        <v>10.839</v>
      </c>
      <c r="D4934" s="67">
        <v>106.8435</v>
      </c>
      <c r="E4934" s="68">
        <v>9.0</v>
      </c>
    </row>
    <row r="4935" ht="22.5" customHeight="1">
      <c r="A4935" s="61">
        <v>10.84737</v>
      </c>
      <c r="B4935" s="63">
        <v>106.7766</v>
      </c>
      <c r="C4935" s="63">
        <v>10.843</v>
      </c>
      <c r="D4935" s="63">
        <v>106.7308</v>
      </c>
      <c r="E4935" s="64">
        <v>6.6</v>
      </c>
    </row>
    <row r="4936" ht="22.5" customHeight="1">
      <c r="A4936" s="66">
        <v>10.84737</v>
      </c>
      <c r="B4936" s="67">
        <v>106.7766</v>
      </c>
      <c r="C4936" s="67">
        <v>10.84462</v>
      </c>
      <c r="D4936" s="67">
        <v>106.7812</v>
      </c>
      <c r="E4936" s="68">
        <v>0.7</v>
      </c>
    </row>
    <row r="4937" ht="22.5" customHeight="1">
      <c r="A4937" s="61">
        <v>10.84737</v>
      </c>
      <c r="B4937" s="63">
        <v>106.7766</v>
      </c>
      <c r="C4937" s="63">
        <v>10.84463</v>
      </c>
      <c r="D4937" s="63">
        <v>106.818</v>
      </c>
      <c r="E4937" s="64">
        <v>5.1</v>
      </c>
    </row>
    <row r="4938" ht="22.5" customHeight="1">
      <c r="A4938" s="66">
        <v>10.84737</v>
      </c>
      <c r="B4938" s="67">
        <v>106.7766</v>
      </c>
      <c r="C4938" s="67">
        <v>10.84514</v>
      </c>
      <c r="D4938" s="67">
        <v>106.7274</v>
      </c>
      <c r="E4938" s="68">
        <v>7.1</v>
      </c>
    </row>
    <row r="4939" ht="22.5" customHeight="1">
      <c r="A4939" s="61">
        <v>10.84737</v>
      </c>
      <c r="B4939" s="63">
        <v>106.7766</v>
      </c>
      <c r="C4939" s="63">
        <v>10.84545</v>
      </c>
      <c r="D4939" s="63">
        <v>106.7867</v>
      </c>
      <c r="E4939" s="64">
        <v>1.3</v>
      </c>
    </row>
    <row r="4940" ht="22.5" customHeight="1">
      <c r="A4940" s="66">
        <v>10.84737</v>
      </c>
      <c r="B4940" s="67">
        <v>106.7766</v>
      </c>
      <c r="C4940" s="67">
        <v>10.8469</v>
      </c>
      <c r="D4940" s="67">
        <v>106.7512</v>
      </c>
      <c r="E4940" s="68">
        <v>3.2</v>
      </c>
    </row>
    <row r="4941" ht="22.5" customHeight="1">
      <c r="A4941" s="61">
        <v>10.84737</v>
      </c>
      <c r="B4941" s="63">
        <v>106.7766</v>
      </c>
      <c r="C4941" s="63">
        <v>10.84695</v>
      </c>
      <c r="D4941" s="63">
        <v>106.7774</v>
      </c>
      <c r="E4941" s="64">
        <v>0.1</v>
      </c>
    </row>
    <row r="4942" ht="22.5" customHeight="1">
      <c r="A4942" s="66">
        <v>10.84737</v>
      </c>
      <c r="B4942" s="67">
        <v>106.7766</v>
      </c>
      <c r="C4942" s="67">
        <v>10.84737</v>
      </c>
      <c r="D4942" s="67">
        <v>106.7766</v>
      </c>
      <c r="E4942" s="68">
        <v>0.0</v>
      </c>
    </row>
    <row r="4943" ht="22.5" customHeight="1">
      <c r="A4943" s="61">
        <v>10.84737</v>
      </c>
      <c r="B4943" s="63">
        <v>106.7766</v>
      </c>
      <c r="C4943" s="63">
        <v>10.84784</v>
      </c>
      <c r="D4943" s="63">
        <v>106.7754</v>
      </c>
      <c r="E4943" s="64">
        <v>0.2</v>
      </c>
    </row>
    <row r="4944" ht="22.5" customHeight="1">
      <c r="A4944" s="66">
        <v>10.84737</v>
      </c>
      <c r="B4944" s="67">
        <v>106.7766</v>
      </c>
      <c r="C4944" s="67">
        <v>10.8498</v>
      </c>
      <c r="D4944" s="67">
        <v>106.8113</v>
      </c>
      <c r="E4944" s="68">
        <v>4.3</v>
      </c>
    </row>
    <row r="4945" ht="22.5" customHeight="1">
      <c r="A4945" s="61">
        <v>10.84737</v>
      </c>
      <c r="B4945" s="63">
        <v>106.7766</v>
      </c>
      <c r="C4945" s="63">
        <v>10.8507</v>
      </c>
      <c r="D4945" s="63">
        <v>106.7548</v>
      </c>
      <c r="E4945" s="64">
        <v>2.7</v>
      </c>
    </row>
    <row r="4946" ht="22.5" customHeight="1">
      <c r="A4946" s="66">
        <v>10.84737</v>
      </c>
      <c r="B4946" s="67">
        <v>106.7766</v>
      </c>
      <c r="C4946" s="67">
        <v>10.85295</v>
      </c>
      <c r="D4946" s="67">
        <v>106.7922</v>
      </c>
      <c r="E4946" s="68">
        <v>2.6</v>
      </c>
    </row>
    <row r="4947" ht="22.5" customHeight="1">
      <c r="A4947" s="61">
        <v>10.84737</v>
      </c>
      <c r="B4947" s="63">
        <v>106.7766</v>
      </c>
      <c r="C4947" s="63">
        <v>10.85846</v>
      </c>
      <c r="D4947" s="63">
        <v>106.7487</v>
      </c>
      <c r="E4947" s="64">
        <v>3.7</v>
      </c>
    </row>
    <row r="4948" ht="22.5" customHeight="1">
      <c r="A4948" s="66">
        <v>10.84737</v>
      </c>
      <c r="B4948" s="67">
        <v>106.7766</v>
      </c>
      <c r="C4948" s="67">
        <v>10.86052</v>
      </c>
      <c r="D4948" s="67">
        <v>106.7606</v>
      </c>
      <c r="E4948" s="68">
        <v>2.7</v>
      </c>
    </row>
    <row r="4949" ht="22.5" customHeight="1">
      <c r="A4949" s="61">
        <v>10.84737</v>
      </c>
      <c r="B4949" s="63">
        <v>106.7766</v>
      </c>
      <c r="C4949" s="63">
        <v>10.86434</v>
      </c>
      <c r="D4949" s="63">
        <v>106.7457</v>
      </c>
      <c r="E4949" s="64">
        <v>4.4</v>
      </c>
    </row>
    <row r="4950" ht="22.5" customHeight="1">
      <c r="A4950" s="66">
        <v>10.84737</v>
      </c>
      <c r="B4950" s="67">
        <v>106.7766</v>
      </c>
      <c r="C4950" s="67">
        <v>10.86444</v>
      </c>
      <c r="D4950" s="67">
        <v>106.7457</v>
      </c>
      <c r="E4950" s="68">
        <v>4.4</v>
      </c>
    </row>
    <row r="4951" ht="22.5" customHeight="1">
      <c r="A4951" s="61">
        <v>10.84737</v>
      </c>
      <c r="B4951" s="63">
        <v>106.7766</v>
      </c>
      <c r="C4951" s="63">
        <v>10.86502</v>
      </c>
      <c r="D4951" s="63">
        <v>106.8108</v>
      </c>
      <c r="E4951" s="64">
        <v>5.6</v>
      </c>
    </row>
    <row r="4952" ht="22.5" customHeight="1">
      <c r="A4952" s="66">
        <v>10.84737</v>
      </c>
      <c r="B4952" s="67">
        <v>106.7766</v>
      </c>
      <c r="C4952" s="67">
        <v>10.86892</v>
      </c>
      <c r="D4952" s="67">
        <v>106.8071</v>
      </c>
      <c r="E4952" s="68">
        <v>5.2</v>
      </c>
    </row>
    <row r="4953" ht="22.5" customHeight="1">
      <c r="A4953" s="61">
        <v>10.84737</v>
      </c>
      <c r="B4953" s="63">
        <v>106.7766</v>
      </c>
      <c r="C4953" s="63">
        <v>10.86915</v>
      </c>
      <c r="D4953" s="63">
        <v>106.974</v>
      </c>
      <c r="E4953" s="64">
        <v>28.4</v>
      </c>
    </row>
    <row r="4954" ht="22.5" customHeight="1">
      <c r="A4954" s="66">
        <v>10.84737</v>
      </c>
      <c r="B4954" s="67">
        <v>106.7766</v>
      </c>
      <c r="C4954" s="67">
        <v>10.87116</v>
      </c>
      <c r="D4954" s="67">
        <v>106.7635</v>
      </c>
      <c r="E4954" s="68">
        <v>4.1</v>
      </c>
    </row>
    <row r="4955" ht="22.5" customHeight="1">
      <c r="A4955" s="61">
        <v>10.84737</v>
      </c>
      <c r="B4955" s="63">
        <v>106.7766</v>
      </c>
      <c r="C4955" s="63">
        <v>10.87819</v>
      </c>
      <c r="D4955" s="63">
        <v>106.7317</v>
      </c>
      <c r="E4955" s="64">
        <v>7.0</v>
      </c>
    </row>
    <row r="4956" ht="22.5" customHeight="1">
      <c r="A4956" s="66">
        <v>10.84737</v>
      </c>
      <c r="B4956" s="67">
        <v>106.7766</v>
      </c>
      <c r="C4956" s="67">
        <v>10.87884</v>
      </c>
      <c r="D4956" s="67">
        <v>106.7667</v>
      </c>
      <c r="E4956" s="68">
        <v>5.3</v>
      </c>
    </row>
    <row r="4957" ht="22.5" customHeight="1">
      <c r="A4957" s="61">
        <v>10.84737</v>
      </c>
      <c r="B4957" s="63">
        <v>106.7766</v>
      </c>
      <c r="C4957" s="63">
        <v>10.8789</v>
      </c>
      <c r="D4957" s="63">
        <v>106.7779</v>
      </c>
      <c r="E4957" s="64">
        <v>4.9</v>
      </c>
    </row>
    <row r="4958" ht="22.5" customHeight="1">
      <c r="A4958" s="66">
        <v>10.84737</v>
      </c>
      <c r="B4958" s="67">
        <v>106.7766</v>
      </c>
      <c r="C4958" s="67">
        <v>10.90181</v>
      </c>
      <c r="D4958" s="67">
        <v>106.8523</v>
      </c>
      <c r="E4958" s="68">
        <v>12.5</v>
      </c>
    </row>
    <row r="4959" ht="22.5" customHeight="1">
      <c r="A4959" s="61">
        <v>10.84737</v>
      </c>
      <c r="B4959" s="63">
        <v>106.7766</v>
      </c>
      <c r="C4959" s="63">
        <v>10.94731</v>
      </c>
      <c r="D4959" s="63">
        <v>106.8284</v>
      </c>
      <c r="E4959" s="64">
        <v>17.5</v>
      </c>
    </row>
    <row r="4960" ht="22.5" customHeight="1">
      <c r="A4960" s="66">
        <v>10.84737</v>
      </c>
      <c r="B4960" s="67">
        <v>106.7766</v>
      </c>
      <c r="C4960" s="67">
        <v>10.94783</v>
      </c>
      <c r="D4960" s="67">
        <v>106.8285</v>
      </c>
      <c r="E4960" s="68">
        <v>17.6</v>
      </c>
    </row>
    <row r="4961" ht="22.5" customHeight="1">
      <c r="A4961" s="61">
        <v>10.84783</v>
      </c>
      <c r="B4961" s="63">
        <v>106.5904</v>
      </c>
      <c r="C4961" s="63">
        <v>10.84581</v>
      </c>
      <c r="D4961" s="63">
        <v>106.593</v>
      </c>
      <c r="E4961" s="64">
        <v>0.35</v>
      </c>
    </row>
    <row r="4962" ht="22.5" customHeight="1">
      <c r="A4962" s="66">
        <v>10.84783</v>
      </c>
      <c r="B4962" s="67">
        <v>106.5904</v>
      </c>
      <c r="C4962" s="67">
        <v>10.85292</v>
      </c>
      <c r="D4962" s="67">
        <v>106.5839</v>
      </c>
      <c r="E4962" s="68">
        <v>0.9</v>
      </c>
    </row>
    <row r="4963" ht="22.5" customHeight="1">
      <c r="A4963" s="61">
        <v>10.84784</v>
      </c>
      <c r="B4963" s="63">
        <v>106.647</v>
      </c>
      <c r="C4963" s="63">
        <v>10.83926</v>
      </c>
      <c r="D4963" s="63">
        <v>106.6297</v>
      </c>
      <c r="E4963" s="64">
        <v>2.652</v>
      </c>
    </row>
    <row r="4964" ht="22.5" customHeight="1">
      <c r="A4964" s="66">
        <v>10.84784</v>
      </c>
      <c r="B4964" s="67">
        <v>106.647</v>
      </c>
      <c r="C4964" s="67">
        <v>10.84253</v>
      </c>
      <c r="D4964" s="67">
        <v>106.6427</v>
      </c>
      <c r="E4964" s="68">
        <v>1.2</v>
      </c>
    </row>
    <row r="4965" ht="22.5" customHeight="1">
      <c r="A4965" s="61">
        <v>10.84784</v>
      </c>
      <c r="B4965" s="63">
        <v>106.7754</v>
      </c>
      <c r="C4965" s="63">
        <v>10.84695</v>
      </c>
      <c r="D4965" s="63">
        <v>106.7774</v>
      </c>
      <c r="E4965" s="64">
        <v>0.264</v>
      </c>
    </row>
    <row r="4966" ht="22.5" customHeight="1">
      <c r="A4966" s="66">
        <v>10.84784</v>
      </c>
      <c r="B4966" s="67">
        <v>106.7754</v>
      </c>
      <c r="C4966" s="67">
        <v>10.84737</v>
      </c>
      <c r="D4966" s="67">
        <v>106.7766</v>
      </c>
      <c r="E4966" s="68">
        <v>0.16</v>
      </c>
    </row>
    <row r="4967" ht="22.5" customHeight="1">
      <c r="A4967" s="61">
        <v>10.84858</v>
      </c>
      <c r="B4967" s="63">
        <v>106.7725</v>
      </c>
      <c r="C4967" s="63">
        <v>10.84737</v>
      </c>
      <c r="D4967" s="63">
        <v>106.7766</v>
      </c>
      <c r="E4967" s="64">
        <v>0.58</v>
      </c>
    </row>
    <row r="4968" ht="22.5" customHeight="1">
      <c r="A4968" s="66">
        <v>10.84906</v>
      </c>
      <c r="B4968" s="67">
        <v>106.5876</v>
      </c>
      <c r="C4968" s="67">
        <v>10.88801</v>
      </c>
      <c r="D4968" s="67">
        <v>106.5985</v>
      </c>
      <c r="E4968" s="68">
        <v>5.678</v>
      </c>
    </row>
    <row r="4969" ht="22.5" customHeight="1">
      <c r="A4969" s="61">
        <v>10.84909</v>
      </c>
      <c r="B4969" s="63">
        <v>106.5874</v>
      </c>
      <c r="C4969" s="63">
        <v>10.79975</v>
      </c>
      <c r="D4969" s="63">
        <v>106.6696</v>
      </c>
      <c r="E4969" s="64">
        <v>11.495</v>
      </c>
    </row>
    <row r="4970" ht="22.5" customHeight="1">
      <c r="A4970" s="66">
        <v>10.84909</v>
      </c>
      <c r="B4970" s="67">
        <v>106.5874</v>
      </c>
      <c r="C4970" s="67">
        <v>10.82721</v>
      </c>
      <c r="D4970" s="67">
        <v>106.6247</v>
      </c>
      <c r="E4970" s="68">
        <v>4.879</v>
      </c>
    </row>
    <row r="4971" ht="22.5" customHeight="1">
      <c r="A4971" s="61">
        <v>10.84909</v>
      </c>
      <c r="B4971" s="63">
        <v>106.5874</v>
      </c>
      <c r="C4971" s="63">
        <v>10.84581</v>
      </c>
      <c r="D4971" s="63">
        <v>106.593</v>
      </c>
      <c r="E4971" s="64">
        <v>0.764</v>
      </c>
    </row>
    <row r="4972" ht="22.5" customHeight="1">
      <c r="A4972" s="66">
        <v>10.84909</v>
      </c>
      <c r="B4972" s="67">
        <v>106.5874</v>
      </c>
      <c r="C4972" s="67">
        <v>10.84909</v>
      </c>
      <c r="D4972" s="67">
        <v>106.5874</v>
      </c>
      <c r="E4972" s="68">
        <v>0.0</v>
      </c>
    </row>
    <row r="4973" ht="22.5" customHeight="1">
      <c r="A4973" s="61">
        <v>10.84909</v>
      </c>
      <c r="B4973" s="63">
        <v>106.5874</v>
      </c>
      <c r="C4973" s="63">
        <v>10.84941</v>
      </c>
      <c r="D4973" s="63">
        <v>106.588</v>
      </c>
      <c r="E4973" s="64">
        <v>0.069</v>
      </c>
    </row>
    <row r="4974" ht="22.5" customHeight="1">
      <c r="A4974" s="66">
        <v>10.84909</v>
      </c>
      <c r="B4974" s="67">
        <v>106.5874</v>
      </c>
      <c r="C4974" s="67">
        <v>10.85059</v>
      </c>
      <c r="D4974" s="67">
        <v>106.5865</v>
      </c>
      <c r="E4974" s="68">
        <v>0.355</v>
      </c>
    </row>
    <row r="4975" ht="22.5" customHeight="1">
      <c r="A4975" s="61">
        <v>10.84909</v>
      </c>
      <c r="B4975" s="63">
        <v>106.5874</v>
      </c>
      <c r="C4975" s="63">
        <v>10.85292</v>
      </c>
      <c r="D4975" s="63">
        <v>106.5839</v>
      </c>
      <c r="E4975" s="64">
        <v>0.677</v>
      </c>
    </row>
    <row r="4976" ht="22.5" customHeight="1">
      <c r="A4976" s="66">
        <v>10.84909</v>
      </c>
      <c r="B4976" s="67">
        <v>106.5874</v>
      </c>
      <c r="C4976" s="67">
        <v>10.86494</v>
      </c>
      <c r="D4976" s="67">
        <v>106.5703</v>
      </c>
      <c r="E4976" s="68">
        <v>2.826</v>
      </c>
    </row>
    <row r="4977" ht="22.5" customHeight="1">
      <c r="A4977" s="61">
        <v>10.84909</v>
      </c>
      <c r="B4977" s="63">
        <v>106.5874</v>
      </c>
      <c r="C4977" s="63">
        <v>10.87189</v>
      </c>
      <c r="D4977" s="63">
        <v>106.5975</v>
      </c>
      <c r="E4977" s="64">
        <v>4.235</v>
      </c>
    </row>
    <row r="4978" ht="22.5" customHeight="1">
      <c r="A4978" s="66">
        <v>10.84909</v>
      </c>
      <c r="B4978" s="67">
        <v>106.5874</v>
      </c>
      <c r="C4978" s="67">
        <v>10.88436</v>
      </c>
      <c r="D4978" s="67">
        <v>106.595</v>
      </c>
      <c r="E4978" s="68">
        <v>5.635</v>
      </c>
    </row>
    <row r="4979" ht="22.5" customHeight="1">
      <c r="A4979" s="61">
        <v>10.84909</v>
      </c>
      <c r="B4979" s="63">
        <v>106.5874</v>
      </c>
      <c r="C4979" s="63">
        <v>10.88715</v>
      </c>
      <c r="D4979" s="63">
        <v>106.6074</v>
      </c>
      <c r="E4979" s="64">
        <v>6.859</v>
      </c>
    </row>
    <row r="4980" ht="22.5" customHeight="1">
      <c r="A4980" s="66">
        <v>10.84909</v>
      </c>
      <c r="B4980" s="67">
        <v>106.5874</v>
      </c>
      <c r="C4980" s="67">
        <v>10.88801</v>
      </c>
      <c r="D4980" s="67">
        <v>106.5985</v>
      </c>
      <c r="E4980" s="68">
        <v>4.987</v>
      </c>
    </row>
    <row r="4981" ht="22.5" customHeight="1">
      <c r="A4981" s="61">
        <v>10.84909</v>
      </c>
      <c r="B4981" s="63">
        <v>106.5874</v>
      </c>
      <c r="C4981" s="63">
        <v>10.89471</v>
      </c>
      <c r="D4981" s="63">
        <v>106.5794</v>
      </c>
      <c r="E4981" s="64">
        <v>7.223</v>
      </c>
    </row>
    <row r="4982" ht="22.5" customHeight="1">
      <c r="A4982" s="66">
        <v>10.84909</v>
      </c>
      <c r="B4982" s="67">
        <v>106.5874</v>
      </c>
      <c r="C4982" s="67">
        <v>10.8955</v>
      </c>
      <c r="D4982" s="67">
        <v>106.5788</v>
      </c>
      <c r="E4982" s="68">
        <v>7.313</v>
      </c>
    </row>
    <row r="4983" ht="22.5" customHeight="1">
      <c r="A4983" s="61">
        <v>10.84929</v>
      </c>
      <c r="B4983" s="63">
        <v>106.7666</v>
      </c>
      <c r="C4983" s="63">
        <v>10.84737</v>
      </c>
      <c r="D4983" s="63">
        <v>106.7766</v>
      </c>
      <c r="E4983" s="64">
        <v>1.253</v>
      </c>
    </row>
    <row r="4984" ht="22.5" customHeight="1">
      <c r="A4984" s="66">
        <v>10.84929</v>
      </c>
      <c r="B4984" s="67">
        <v>106.7666</v>
      </c>
      <c r="C4984" s="67">
        <v>10.85846</v>
      </c>
      <c r="D4984" s="67">
        <v>106.7487</v>
      </c>
      <c r="E4984" s="68">
        <v>3.0</v>
      </c>
    </row>
    <row r="4985" ht="22.5" customHeight="1">
      <c r="A4985" s="61">
        <v>10.84929</v>
      </c>
      <c r="B4985" s="63">
        <v>106.6499</v>
      </c>
      <c r="C4985" s="63">
        <v>10.77509</v>
      </c>
      <c r="D4985" s="63">
        <v>106.6727</v>
      </c>
      <c r="E4985" s="64">
        <v>13.29</v>
      </c>
    </row>
    <row r="4986" ht="22.5" customHeight="1">
      <c r="A4986" s="66">
        <v>10.84929</v>
      </c>
      <c r="B4986" s="67">
        <v>106.6499</v>
      </c>
      <c r="C4986" s="67">
        <v>10.79975</v>
      </c>
      <c r="D4986" s="67">
        <v>106.6696</v>
      </c>
      <c r="E4986" s="68">
        <v>9.298</v>
      </c>
    </row>
    <row r="4987" ht="22.5" customHeight="1">
      <c r="A4987" s="61">
        <v>10.84929</v>
      </c>
      <c r="B4987" s="63">
        <v>106.6499</v>
      </c>
      <c r="C4987" s="63">
        <v>10.81679</v>
      </c>
      <c r="D4987" s="63">
        <v>106.675</v>
      </c>
      <c r="E4987" s="64">
        <v>6.975</v>
      </c>
    </row>
    <row r="4988" ht="22.5" customHeight="1">
      <c r="A4988" s="66">
        <v>10.84929</v>
      </c>
      <c r="B4988" s="67">
        <v>106.6499</v>
      </c>
      <c r="C4988" s="67">
        <v>10.82084</v>
      </c>
      <c r="D4988" s="67">
        <v>106.6837</v>
      </c>
      <c r="E4988" s="68">
        <v>6.401</v>
      </c>
    </row>
    <row r="4989" ht="22.5" customHeight="1">
      <c r="A4989" s="61">
        <v>10.84929</v>
      </c>
      <c r="B4989" s="63">
        <v>106.6499</v>
      </c>
      <c r="C4989" s="63">
        <v>10.82721</v>
      </c>
      <c r="D4989" s="63">
        <v>106.6247</v>
      </c>
      <c r="E4989" s="64">
        <v>6.477</v>
      </c>
    </row>
    <row r="4990" ht="22.5" customHeight="1">
      <c r="A4990" s="66">
        <v>10.84929</v>
      </c>
      <c r="B4990" s="67">
        <v>106.6499</v>
      </c>
      <c r="C4990" s="67">
        <v>10.83497</v>
      </c>
      <c r="D4990" s="67">
        <v>106.6655</v>
      </c>
      <c r="E4990" s="68">
        <v>3.182</v>
      </c>
    </row>
    <row r="4991" ht="22.5" customHeight="1">
      <c r="A4991" s="61">
        <v>10.84929</v>
      </c>
      <c r="B4991" s="63">
        <v>106.6499</v>
      </c>
      <c r="C4991" s="63">
        <v>10.83648</v>
      </c>
      <c r="D4991" s="63">
        <v>106.6647</v>
      </c>
      <c r="E4991" s="64">
        <v>2.958</v>
      </c>
    </row>
    <row r="4992" ht="22.5" customHeight="1">
      <c r="A4992" s="66">
        <v>10.84929</v>
      </c>
      <c r="B4992" s="67">
        <v>106.6499</v>
      </c>
      <c r="C4992" s="67">
        <v>10.83926</v>
      </c>
      <c r="D4992" s="67">
        <v>106.6297</v>
      </c>
      <c r="E4992" s="68">
        <v>2.997</v>
      </c>
    </row>
    <row r="4993" ht="22.5" customHeight="1">
      <c r="A4993" s="61">
        <v>10.84929</v>
      </c>
      <c r="B4993" s="63">
        <v>106.6499</v>
      </c>
      <c r="C4993" s="63">
        <v>10.84172</v>
      </c>
      <c r="D4993" s="63">
        <v>106.6764</v>
      </c>
      <c r="E4993" s="64">
        <v>4.906</v>
      </c>
    </row>
    <row r="4994" ht="22.5" customHeight="1">
      <c r="A4994" s="66">
        <v>10.84929</v>
      </c>
      <c r="B4994" s="67">
        <v>106.6499</v>
      </c>
      <c r="C4994" s="67">
        <v>10.84253</v>
      </c>
      <c r="D4994" s="67">
        <v>106.6427</v>
      </c>
      <c r="E4994" s="68">
        <v>1.528</v>
      </c>
    </row>
    <row r="4995" ht="22.5" customHeight="1">
      <c r="A4995" s="61">
        <v>10.84929</v>
      </c>
      <c r="B4995" s="63">
        <v>106.6499</v>
      </c>
      <c r="C4995" s="63">
        <v>10.84317</v>
      </c>
      <c r="D4995" s="63">
        <v>106.6767</v>
      </c>
      <c r="E4995" s="64">
        <v>3.981</v>
      </c>
    </row>
    <row r="4996" ht="22.5" customHeight="1">
      <c r="A4996" s="66">
        <v>10.84929</v>
      </c>
      <c r="B4996" s="67">
        <v>106.6499</v>
      </c>
      <c r="C4996" s="67">
        <v>10.8445</v>
      </c>
      <c r="D4996" s="67">
        <v>106.6396</v>
      </c>
      <c r="E4996" s="68">
        <v>1.384</v>
      </c>
    </row>
    <row r="4997" ht="22.5" customHeight="1">
      <c r="A4997" s="61">
        <v>10.84929</v>
      </c>
      <c r="B4997" s="63">
        <v>106.6499</v>
      </c>
      <c r="C4997" s="63">
        <v>10.84494</v>
      </c>
      <c r="D4997" s="63">
        <v>106.639</v>
      </c>
      <c r="E4997" s="64">
        <v>1.333</v>
      </c>
    </row>
    <row r="4998" ht="22.5" customHeight="1">
      <c r="A4998" s="66">
        <v>10.84929</v>
      </c>
      <c r="B4998" s="67">
        <v>106.6499</v>
      </c>
      <c r="C4998" s="67">
        <v>10.85051</v>
      </c>
      <c r="D4998" s="67">
        <v>106.6368</v>
      </c>
      <c r="E4998" s="68">
        <v>2.206</v>
      </c>
    </row>
    <row r="4999" ht="22.5" customHeight="1">
      <c r="A4999" s="61">
        <v>10.84929</v>
      </c>
      <c r="B4999" s="63">
        <v>106.6499</v>
      </c>
      <c r="C4999" s="63">
        <v>10.85078</v>
      </c>
      <c r="D4999" s="63">
        <v>106.6543</v>
      </c>
      <c r="E4999" s="64">
        <v>0.513</v>
      </c>
    </row>
    <row r="5000" ht="22.5" customHeight="1">
      <c r="A5000" s="66">
        <v>10.84929</v>
      </c>
      <c r="B5000" s="67">
        <v>106.6499</v>
      </c>
      <c r="C5000" s="67">
        <v>10.85276</v>
      </c>
      <c r="D5000" s="67">
        <v>106.6604</v>
      </c>
      <c r="E5000" s="68">
        <v>1.294</v>
      </c>
    </row>
    <row r="5001" ht="22.5" customHeight="1">
      <c r="A5001" s="61">
        <v>10.84929</v>
      </c>
      <c r="B5001" s="63">
        <v>106.6499</v>
      </c>
      <c r="C5001" s="63">
        <v>10.85548</v>
      </c>
      <c r="D5001" s="63">
        <v>106.6391</v>
      </c>
      <c r="E5001" s="64">
        <v>2.834</v>
      </c>
    </row>
    <row r="5002" ht="22.5" customHeight="1">
      <c r="A5002" s="66">
        <v>10.84929</v>
      </c>
      <c r="B5002" s="67">
        <v>106.6499</v>
      </c>
      <c r="C5002" s="67">
        <v>10.86294</v>
      </c>
      <c r="D5002" s="67">
        <v>106.6496</v>
      </c>
      <c r="E5002" s="68">
        <v>2.145</v>
      </c>
    </row>
    <row r="5003" ht="22.5" customHeight="1">
      <c r="A5003" s="61">
        <v>10.84929</v>
      </c>
      <c r="B5003" s="63">
        <v>106.6499</v>
      </c>
      <c r="C5003" s="63">
        <v>10.86793</v>
      </c>
      <c r="D5003" s="63">
        <v>106.6494</v>
      </c>
      <c r="E5003" s="64">
        <v>2.667</v>
      </c>
    </row>
    <row r="5004" ht="22.5" customHeight="1">
      <c r="A5004" s="66">
        <v>10.84929</v>
      </c>
      <c r="B5004" s="67">
        <v>106.6499</v>
      </c>
      <c r="C5004" s="67">
        <v>10.87371</v>
      </c>
      <c r="D5004" s="67">
        <v>106.6217</v>
      </c>
      <c r="E5004" s="68">
        <v>5.826</v>
      </c>
    </row>
    <row r="5005" ht="22.5" customHeight="1">
      <c r="A5005" s="61">
        <v>10.84929</v>
      </c>
      <c r="B5005" s="63">
        <v>106.6499</v>
      </c>
      <c r="C5005" s="63">
        <v>10.87822</v>
      </c>
      <c r="D5005" s="63">
        <v>106.6503</v>
      </c>
      <c r="E5005" s="64">
        <v>4.062</v>
      </c>
    </row>
    <row r="5006" ht="22.5" customHeight="1">
      <c r="A5006" s="66">
        <v>10.84929</v>
      </c>
      <c r="B5006" s="67">
        <v>106.6499</v>
      </c>
      <c r="C5006" s="67">
        <v>10.88583</v>
      </c>
      <c r="D5006" s="67">
        <v>106.6824</v>
      </c>
      <c r="E5006" s="68">
        <v>6.154</v>
      </c>
    </row>
    <row r="5007" ht="22.5" customHeight="1">
      <c r="A5007" s="61">
        <v>10.84929</v>
      </c>
      <c r="B5007" s="63">
        <v>106.6499</v>
      </c>
      <c r="C5007" s="63">
        <v>10.89317</v>
      </c>
      <c r="D5007" s="63">
        <v>106.6879</v>
      </c>
      <c r="E5007" s="64">
        <v>7.28</v>
      </c>
    </row>
    <row r="5008" ht="22.5" customHeight="1">
      <c r="A5008" s="66">
        <v>10.84941</v>
      </c>
      <c r="B5008" s="67">
        <v>106.588</v>
      </c>
      <c r="C5008" s="67">
        <v>10.79975</v>
      </c>
      <c r="D5008" s="67">
        <v>106.6696</v>
      </c>
      <c r="E5008" s="68">
        <v>11.7</v>
      </c>
    </row>
    <row r="5009" ht="22.5" customHeight="1">
      <c r="A5009" s="61">
        <v>10.84941</v>
      </c>
      <c r="B5009" s="63">
        <v>106.588</v>
      </c>
      <c r="C5009" s="63">
        <v>10.82721</v>
      </c>
      <c r="D5009" s="63">
        <v>106.6247</v>
      </c>
      <c r="E5009" s="64">
        <v>4.4</v>
      </c>
    </row>
    <row r="5010" ht="22.5" customHeight="1">
      <c r="A5010" s="66">
        <v>10.84941</v>
      </c>
      <c r="B5010" s="67">
        <v>106.588</v>
      </c>
      <c r="C5010" s="67">
        <v>10.85292</v>
      </c>
      <c r="D5010" s="67">
        <v>106.5839</v>
      </c>
      <c r="E5010" s="68">
        <v>0.571</v>
      </c>
    </row>
    <row r="5011" ht="22.5" customHeight="1">
      <c r="A5011" s="61">
        <v>10.84941</v>
      </c>
      <c r="B5011" s="63">
        <v>106.588</v>
      </c>
      <c r="C5011" s="63">
        <v>10.87189</v>
      </c>
      <c r="D5011" s="63">
        <v>106.5975</v>
      </c>
      <c r="E5011" s="64">
        <v>4.151</v>
      </c>
    </row>
    <row r="5012" ht="22.5" customHeight="1">
      <c r="A5012" s="66">
        <v>10.84941</v>
      </c>
      <c r="B5012" s="67">
        <v>106.588</v>
      </c>
      <c r="C5012" s="67">
        <v>10.87507</v>
      </c>
      <c r="D5012" s="67">
        <v>106.5985</v>
      </c>
      <c r="E5012" s="68">
        <v>4.479</v>
      </c>
    </row>
    <row r="5013" ht="22.5" customHeight="1">
      <c r="A5013" s="61">
        <v>10.84941</v>
      </c>
      <c r="B5013" s="63">
        <v>106.588</v>
      </c>
      <c r="C5013" s="63">
        <v>10.88436</v>
      </c>
      <c r="D5013" s="63">
        <v>106.595</v>
      </c>
      <c r="E5013" s="64">
        <v>5.545</v>
      </c>
    </row>
    <row r="5014" ht="22.5" customHeight="1">
      <c r="A5014" s="66">
        <v>10.84941</v>
      </c>
      <c r="B5014" s="67">
        <v>106.588</v>
      </c>
      <c r="C5014" s="67">
        <v>10.88706</v>
      </c>
      <c r="D5014" s="67">
        <v>106.5911</v>
      </c>
      <c r="E5014" s="68">
        <v>4.76</v>
      </c>
    </row>
    <row r="5015" ht="22.5" customHeight="1">
      <c r="A5015" s="61">
        <v>10.84941</v>
      </c>
      <c r="B5015" s="63">
        <v>106.588</v>
      </c>
      <c r="C5015" s="63">
        <v>10.88801</v>
      </c>
      <c r="D5015" s="63">
        <v>106.5985</v>
      </c>
      <c r="E5015" s="64">
        <v>6.3</v>
      </c>
    </row>
    <row r="5016" ht="22.5" customHeight="1">
      <c r="A5016" s="66">
        <v>10.84941</v>
      </c>
      <c r="B5016" s="67">
        <v>106.588</v>
      </c>
      <c r="C5016" s="67">
        <v>10.8937</v>
      </c>
      <c r="D5016" s="67">
        <v>106.6123</v>
      </c>
      <c r="E5016" s="68">
        <v>8.149</v>
      </c>
    </row>
    <row r="5017" ht="22.5" customHeight="1">
      <c r="A5017" s="61">
        <v>10.84941</v>
      </c>
      <c r="B5017" s="63">
        <v>106.588</v>
      </c>
      <c r="C5017" s="63">
        <v>10.8955</v>
      </c>
      <c r="D5017" s="63">
        <v>106.5788</v>
      </c>
      <c r="E5017" s="64">
        <v>7.252</v>
      </c>
    </row>
    <row r="5018" ht="22.5" customHeight="1">
      <c r="A5018" s="66">
        <v>10.84941</v>
      </c>
      <c r="B5018" s="67">
        <v>106.588</v>
      </c>
      <c r="C5018" s="67">
        <v>10.90586</v>
      </c>
      <c r="D5018" s="67">
        <v>106.6438</v>
      </c>
      <c r="E5018" s="68">
        <v>10.086</v>
      </c>
    </row>
    <row r="5019" ht="22.5" customHeight="1">
      <c r="A5019" s="61">
        <v>10.84941</v>
      </c>
      <c r="B5019" s="63">
        <v>106.6654</v>
      </c>
      <c r="C5019" s="63">
        <v>10.84253</v>
      </c>
      <c r="D5019" s="63">
        <v>106.6427</v>
      </c>
      <c r="E5019" s="64">
        <v>3.5</v>
      </c>
    </row>
    <row r="5020" ht="22.5" customHeight="1">
      <c r="A5020" s="66">
        <v>10.8498</v>
      </c>
      <c r="B5020" s="67">
        <v>106.8113</v>
      </c>
      <c r="C5020" s="67">
        <v>10.79036</v>
      </c>
      <c r="D5020" s="67">
        <v>106.6973</v>
      </c>
      <c r="E5020" s="68">
        <v>17.634</v>
      </c>
    </row>
    <row r="5021" ht="22.5" customHeight="1">
      <c r="A5021" s="61">
        <v>10.8498</v>
      </c>
      <c r="B5021" s="63">
        <v>106.8113</v>
      </c>
      <c r="C5021" s="63">
        <v>10.82848</v>
      </c>
      <c r="D5021" s="63">
        <v>106.7685</v>
      </c>
      <c r="E5021" s="64">
        <v>6.599</v>
      </c>
    </row>
    <row r="5022" ht="22.5" customHeight="1">
      <c r="A5022" s="66">
        <v>10.8498</v>
      </c>
      <c r="B5022" s="67">
        <v>106.8113</v>
      </c>
      <c r="C5022" s="67">
        <v>10.83771</v>
      </c>
      <c r="D5022" s="67">
        <v>106.8442</v>
      </c>
      <c r="E5022" s="68">
        <v>4.941</v>
      </c>
    </row>
    <row r="5023" ht="22.5" customHeight="1">
      <c r="A5023" s="61">
        <v>10.8498</v>
      </c>
      <c r="B5023" s="63">
        <v>106.8113</v>
      </c>
      <c r="C5023" s="63">
        <v>10.839</v>
      </c>
      <c r="D5023" s="63">
        <v>106.8435</v>
      </c>
      <c r="E5023" s="64">
        <v>5.791</v>
      </c>
    </row>
    <row r="5024" ht="22.5" customHeight="1">
      <c r="A5024" s="66">
        <v>10.8498</v>
      </c>
      <c r="B5024" s="67">
        <v>106.8113</v>
      </c>
      <c r="C5024" s="67">
        <v>10.83978</v>
      </c>
      <c r="D5024" s="67">
        <v>106.7932</v>
      </c>
      <c r="E5024" s="68">
        <v>2.634</v>
      </c>
    </row>
    <row r="5025" ht="22.5" customHeight="1">
      <c r="A5025" s="61">
        <v>10.8498</v>
      </c>
      <c r="B5025" s="63">
        <v>106.8113</v>
      </c>
      <c r="C5025" s="63">
        <v>10.843</v>
      </c>
      <c r="D5025" s="63">
        <v>106.7308</v>
      </c>
      <c r="E5025" s="64">
        <v>13.038</v>
      </c>
    </row>
    <row r="5026" ht="22.5" customHeight="1">
      <c r="A5026" s="66">
        <v>10.8498</v>
      </c>
      <c r="B5026" s="67">
        <v>106.8113</v>
      </c>
      <c r="C5026" s="67">
        <v>10.84462</v>
      </c>
      <c r="D5026" s="67">
        <v>106.7812</v>
      </c>
      <c r="E5026" s="68">
        <v>3.44</v>
      </c>
    </row>
    <row r="5027" ht="22.5" customHeight="1">
      <c r="A5027" s="61">
        <v>10.8498</v>
      </c>
      <c r="B5027" s="63">
        <v>106.8113</v>
      </c>
      <c r="C5027" s="63">
        <v>10.84545</v>
      </c>
      <c r="D5027" s="63">
        <v>106.7867</v>
      </c>
      <c r="E5027" s="64">
        <v>2.799</v>
      </c>
    </row>
    <row r="5028" ht="22.5" customHeight="1">
      <c r="A5028" s="66">
        <v>10.8498</v>
      </c>
      <c r="B5028" s="67">
        <v>106.8113</v>
      </c>
      <c r="C5028" s="67">
        <v>10.84737</v>
      </c>
      <c r="D5028" s="67">
        <v>106.7766</v>
      </c>
      <c r="E5028" s="68">
        <v>4.017</v>
      </c>
    </row>
    <row r="5029" ht="22.5" customHeight="1">
      <c r="A5029" s="61">
        <v>10.8498</v>
      </c>
      <c r="B5029" s="63">
        <v>106.8113</v>
      </c>
      <c r="C5029" s="63">
        <v>10.85295</v>
      </c>
      <c r="D5029" s="63">
        <v>106.7922</v>
      </c>
      <c r="E5029" s="64">
        <v>2.377</v>
      </c>
    </row>
    <row r="5030" ht="22.5" customHeight="1">
      <c r="A5030" s="66">
        <v>10.85029</v>
      </c>
      <c r="B5030" s="67">
        <v>106.7667</v>
      </c>
      <c r="C5030" s="67">
        <v>10.84737</v>
      </c>
      <c r="D5030" s="67">
        <v>106.7766</v>
      </c>
      <c r="E5030" s="68">
        <v>1.204</v>
      </c>
    </row>
    <row r="5031" ht="22.5" customHeight="1">
      <c r="A5031" s="61">
        <v>10.85051</v>
      </c>
      <c r="B5031" s="63">
        <v>106.6368</v>
      </c>
      <c r="C5031" s="63">
        <v>10.79975</v>
      </c>
      <c r="D5031" s="63">
        <v>106.6696</v>
      </c>
      <c r="E5031" s="64">
        <v>11.819</v>
      </c>
    </row>
    <row r="5032" ht="22.5" customHeight="1">
      <c r="A5032" s="66">
        <v>10.85051</v>
      </c>
      <c r="B5032" s="67">
        <v>106.6368</v>
      </c>
      <c r="C5032" s="67">
        <v>10.82721</v>
      </c>
      <c r="D5032" s="67">
        <v>106.6247</v>
      </c>
      <c r="E5032" s="68">
        <v>7.21</v>
      </c>
    </row>
    <row r="5033" ht="22.5" customHeight="1">
      <c r="A5033" s="61">
        <v>10.85051</v>
      </c>
      <c r="B5033" s="63">
        <v>106.6368</v>
      </c>
      <c r="C5033" s="63">
        <v>10.83648</v>
      </c>
      <c r="D5033" s="63">
        <v>106.6647</v>
      </c>
      <c r="E5033" s="64">
        <v>5.673</v>
      </c>
    </row>
    <row r="5034" ht="22.5" customHeight="1">
      <c r="A5034" s="66">
        <v>10.85051</v>
      </c>
      <c r="B5034" s="67">
        <v>106.6368</v>
      </c>
      <c r="C5034" s="67">
        <v>10.83926</v>
      </c>
      <c r="D5034" s="67">
        <v>106.6297</v>
      </c>
      <c r="E5034" s="68">
        <v>7.268</v>
      </c>
    </row>
    <row r="5035" ht="22.5" customHeight="1">
      <c r="A5035" s="61">
        <v>10.85051</v>
      </c>
      <c r="B5035" s="63">
        <v>106.6368</v>
      </c>
      <c r="C5035" s="63">
        <v>10.84253</v>
      </c>
      <c r="D5035" s="63">
        <v>106.6427</v>
      </c>
      <c r="E5035" s="64">
        <v>4.496</v>
      </c>
    </row>
    <row r="5036" ht="22.5" customHeight="1">
      <c r="A5036" s="66">
        <v>10.85051</v>
      </c>
      <c r="B5036" s="67">
        <v>106.6368</v>
      </c>
      <c r="C5036" s="67">
        <v>10.8445</v>
      </c>
      <c r="D5036" s="67">
        <v>106.6396</v>
      </c>
      <c r="E5036" s="68">
        <v>5.511</v>
      </c>
    </row>
    <row r="5037" ht="22.5" customHeight="1">
      <c r="A5037" s="61">
        <v>10.85051</v>
      </c>
      <c r="B5037" s="63">
        <v>106.6368</v>
      </c>
      <c r="C5037" s="63">
        <v>10.84494</v>
      </c>
      <c r="D5037" s="63">
        <v>106.639</v>
      </c>
      <c r="E5037" s="64">
        <v>5.37</v>
      </c>
    </row>
    <row r="5038" ht="22.5" customHeight="1">
      <c r="A5038" s="66">
        <v>10.85051</v>
      </c>
      <c r="B5038" s="67">
        <v>106.6368</v>
      </c>
      <c r="C5038" s="67">
        <v>10.84929</v>
      </c>
      <c r="D5038" s="67">
        <v>106.6499</v>
      </c>
      <c r="E5038" s="68">
        <v>4.103</v>
      </c>
    </row>
    <row r="5039" ht="22.5" customHeight="1">
      <c r="A5039" s="61">
        <v>10.85051</v>
      </c>
      <c r="B5039" s="63">
        <v>106.6368</v>
      </c>
      <c r="C5039" s="63">
        <v>10.86294</v>
      </c>
      <c r="D5039" s="63">
        <v>106.6496</v>
      </c>
      <c r="E5039" s="64">
        <v>2.161</v>
      </c>
    </row>
    <row r="5040" ht="22.5" customHeight="1">
      <c r="A5040" s="66">
        <v>10.85051</v>
      </c>
      <c r="B5040" s="67">
        <v>106.6368</v>
      </c>
      <c r="C5040" s="67">
        <v>10.86696</v>
      </c>
      <c r="D5040" s="67">
        <v>106.6153</v>
      </c>
      <c r="E5040" s="68">
        <v>6.938</v>
      </c>
    </row>
    <row r="5041" ht="22.5" customHeight="1">
      <c r="A5041" s="61">
        <v>10.85051</v>
      </c>
      <c r="B5041" s="63">
        <v>106.6368</v>
      </c>
      <c r="C5041" s="63">
        <v>10.86793</v>
      </c>
      <c r="D5041" s="63">
        <v>106.6494</v>
      </c>
      <c r="E5041" s="64">
        <v>2.692</v>
      </c>
    </row>
    <row r="5042" ht="22.5" customHeight="1">
      <c r="A5042" s="66">
        <v>10.85051</v>
      </c>
      <c r="B5042" s="67">
        <v>106.6368</v>
      </c>
      <c r="C5042" s="67">
        <v>10.8732</v>
      </c>
      <c r="D5042" s="67">
        <v>106.6214</v>
      </c>
      <c r="E5042" s="68">
        <v>5.969</v>
      </c>
    </row>
    <row r="5043" ht="22.5" customHeight="1">
      <c r="A5043" s="61">
        <v>10.85051</v>
      </c>
      <c r="B5043" s="63">
        <v>106.6368</v>
      </c>
      <c r="C5043" s="63">
        <v>10.87371</v>
      </c>
      <c r="D5043" s="63">
        <v>106.6217</v>
      </c>
      <c r="E5043" s="64">
        <v>5.974</v>
      </c>
    </row>
    <row r="5044" ht="22.5" customHeight="1">
      <c r="A5044" s="66">
        <v>10.85051</v>
      </c>
      <c r="B5044" s="67">
        <v>106.6368</v>
      </c>
      <c r="C5044" s="67">
        <v>10.88583</v>
      </c>
      <c r="D5044" s="67">
        <v>106.6824</v>
      </c>
      <c r="E5044" s="68">
        <v>7.74</v>
      </c>
    </row>
    <row r="5045" ht="22.5" customHeight="1">
      <c r="A5045" s="61">
        <v>10.85051</v>
      </c>
      <c r="B5045" s="63">
        <v>106.6368</v>
      </c>
      <c r="C5045" s="63">
        <v>10.89317</v>
      </c>
      <c r="D5045" s="63">
        <v>106.6879</v>
      </c>
      <c r="E5045" s="64">
        <v>8.642</v>
      </c>
    </row>
    <row r="5046" ht="22.5" customHeight="1">
      <c r="A5046" s="66">
        <v>10.85059</v>
      </c>
      <c r="B5046" s="67">
        <v>106.5865</v>
      </c>
      <c r="C5046" s="67">
        <v>10.79975</v>
      </c>
      <c r="D5046" s="67">
        <v>106.6696</v>
      </c>
      <c r="E5046" s="68">
        <v>11.712</v>
      </c>
    </row>
    <row r="5047" ht="22.5" customHeight="1">
      <c r="A5047" s="61">
        <v>10.85059</v>
      </c>
      <c r="B5047" s="63">
        <v>106.5865</v>
      </c>
      <c r="C5047" s="63">
        <v>10.82721</v>
      </c>
      <c r="D5047" s="63">
        <v>106.6247</v>
      </c>
      <c r="E5047" s="64">
        <v>5.08</v>
      </c>
    </row>
    <row r="5048" ht="22.5" customHeight="1">
      <c r="A5048" s="66">
        <v>10.85059</v>
      </c>
      <c r="B5048" s="67">
        <v>106.5865</v>
      </c>
      <c r="C5048" s="67">
        <v>10.84909</v>
      </c>
      <c r="D5048" s="67">
        <v>106.5874</v>
      </c>
      <c r="E5048" s="68">
        <v>0.352</v>
      </c>
    </row>
    <row r="5049" ht="22.5" customHeight="1">
      <c r="A5049" s="61">
        <v>10.85059</v>
      </c>
      <c r="B5049" s="63">
        <v>106.5865</v>
      </c>
      <c r="C5049" s="63">
        <v>10.85292</v>
      </c>
      <c r="D5049" s="63">
        <v>106.5839</v>
      </c>
      <c r="E5049" s="64">
        <v>0.432</v>
      </c>
    </row>
    <row r="5050" ht="22.5" customHeight="1">
      <c r="A5050" s="66">
        <v>10.85059</v>
      </c>
      <c r="B5050" s="67">
        <v>106.5865</v>
      </c>
      <c r="C5050" s="67">
        <v>10.87189</v>
      </c>
      <c r="D5050" s="67">
        <v>106.5975</v>
      </c>
      <c r="E5050" s="68">
        <v>4.771</v>
      </c>
    </row>
    <row r="5051" ht="22.5" customHeight="1">
      <c r="A5051" s="61">
        <v>10.85059</v>
      </c>
      <c r="B5051" s="63">
        <v>106.5865</v>
      </c>
      <c r="C5051" s="63">
        <v>10.88436</v>
      </c>
      <c r="D5051" s="63">
        <v>106.595</v>
      </c>
      <c r="E5051" s="64">
        <v>5.792</v>
      </c>
    </row>
    <row r="5052" ht="22.5" customHeight="1">
      <c r="A5052" s="66">
        <v>10.85059</v>
      </c>
      <c r="B5052" s="67">
        <v>106.5865</v>
      </c>
      <c r="C5052" s="67">
        <v>10.88801</v>
      </c>
      <c r="D5052" s="67">
        <v>106.5985</v>
      </c>
      <c r="E5052" s="68">
        <v>5.134</v>
      </c>
    </row>
    <row r="5053" ht="22.5" customHeight="1">
      <c r="A5053" s="61">
        <v>10.85059</v>
      </c>
      <c r="B5053" s="63">
        <v>106.5865</v>
      </c>
      <c r="C5053" s="63">
        <v>10.8937</v>
      </c>
      <c r="D5053" s="63">
        <v>106.6123</v>
      </c>
      <c r="E5053" s="64">
        <v>7.938</v>
      </c>
    </row>
    <row r="5054" ht="22.5" customHeight="1">
      <c r="A5054" s="66">
        <v>10.85059</v>
      </c>
      <c r="B5054" s="67">
        <v>106.5865</v>
      </c>
      <c r="C5054" s="67">
        <v>10.8955</v>
      </c>
      <c r="D5054" s="67">
        <v>106.5788</v>
      </c>
      <c r="E5054" s="68">
        <v>5.979</v>
      </c>
    </row>
    <row r="5055" ht="22.5" customHeight="1">
      <c r="A5055" s="61">
        <v>10.8507</v>
      </c>
      <c r="B5055" s="63">
        <v>106.7548</v>
      </c>
      <c r="C5055" s="63">
        <v>10.79036</v>
      </c>
      <c r="D5055" s="63">
        <v>106.6973</v>
      </c>
      <c r="E5055" s="64">
        <v>14.0</v>
      </c>
    </row>
    <row r="5056" ht="22.5" customHeight="1">
      <c r="A5056" s="66">
        <v>10.8507</v>
      </c>
      <c r="B5056" s="67">
        <v>106.7548</v>
      </c>
      <c r="C5056" s="67">
        <v>10.83771</v>
      </c>
      <c r="D5056" s="67">
        <v>106.8442</v>
      </c>
      <c r="E5056" s="68">
        <v>11.52</v>
      </c>
    </row>
    <row r="5057" ht="22.5" customHeight="1">
      <c r="A5057" s="61">
        <v>10.8507</v>
      </c>
      <c r="B5057" s="63">
        <v>106.7548</v>
      </c>
      <c r="C5057" s="63">
        <v>10.839</v>
      </c>
      <c r="D5057" s="63">
        <v>106.8435</v>
      </c>
      <c r="E5057" s="64">
        <v>12.22</v>
      </c>
    </row>
    <row r="5058" ht="22.5" customHeight="1">
      <c r="A5058" s="66">
        <v>10.8507</v>
      </c>
      <c r="B5058" s="67">
        <v>106.7548</v>
      </c>
      <c r="C5058" s="67">
        <v>10.843</v>
      </c>
      <c r="D5058" s="67">
        <v>106.7308</v>
      </c>
      <c r="E5058" s="68">
        <v>4.429</v>
      </c>
    </row>
    <row r="5059" ht="22.5" customHeight="1">
      <c r="A5059" s="61">
        <v>10.8507</v>
      </c>
      <c r="B5059" s="63">
        <v>106.7548</v>
      </c>
      <c r="C5059" s="63">
        <v>10.84462</v>
      </c>
      <c r="D5059" s="63">
        <v>106.7812</v>
      </c>
      <c r="E5059" s="64">
        <v>3.137</v>
      </c>
    </row>
    <row r="5060" ht="22.5" customHeight="1">
      <c r="A5060" s="66">
        <v>10.8507</v>
      </c>
      <c r="B5060" s="67">
        <v>106.7548</v>
      </c>
      <c r="C5060" s="67">
        <v>10.84514</v>
      </c>
      <c r="D5060" s="67">
        <v>106.7274</v>
      </c>
      <c r="E5060" s="68">
        <v>4.63</v>
      </c>
    </row>
    <row r="5061" ht="22.5" customHeight="1">
      <c r="A5061" s="61">
        <v>10.8507</v>
      </c>
      <c r="B5061" s="63">
        <v>106.7548</v>
      </c>
      <c r="C5061" s="63">
        <v>10.84737</v>
      </c>
      <c r="D5061" s="63">
        <v>106.7766</v>
      </c>
      <c r="E5061" s="64">
        <v>2.6</v>
      </c>
    </row>
    <row r="5062" ht="22.5" customHeight="1">
      <c r="A5062" s="66">
        <v>10.8507</v>
      </c>
      <c r="B5062" s="67">
        <v>106.7548</v>
      </c>
      <c r="C5062" s="67">
        <v>10.8523</v>
      </c>
      <c r="D5062" s="67">
        <v>106.7209</v>
      </c>
      <c r="E5062" s="68">
        <v>6.33</v>
      </c>
    </row>
    <row r="5063" ht="22.5" customHeight="1">
      <c r="A5063" s="61">
        <v>10.8507</v>
      </c>
      <c r="B5063" s="63">
        <v>106.7548</v>
      </c>
      <c r="C5063" s="63">
        <v>10.85295</v>
      </c>
      <c r="D5063" s="63">
        <v>106.7922</v>
      </c>
      <c r="E5063" s="64">
        <v>4.741</v>
      </c>
    </row>
    <row r="5064" ht="22.5" customHeight="1">
      <c r="A5064" s="66">
        <v>10.8507</v>
      </c>
      <c r="B5064" s="67">
        <v>106.7548</v>
      </c>
      <c r="C5064" s="67">
        <v>10.85846</v>
      </c>
      <c r="D5064" s="67">
        <v>106.7487</v>
      </c>
      <c r="E5064" s="68">
        <v>1.9</v>
      </c>
    </row>
    <row r="5065" ht="22.5" customHeight="1">
      <c r="A5065" s="61">
        <v>10.8507</v>
      </c>
      <c r="B5065" s="63">
        <v>106.7548</v>
      </c>
      <c r="C5065" s="63">
        <v>10.86052</v>
      </c>
      <c r="D5065" s="63">
        <v>106.7606</v>
      </c>
      <c r="E5065" s="64">
        <v>1.366</v>
      </c>
    </row>
    <row r="5066" ht="22.5" customHeight="1">
      <c r="A5066" s="66">
        <v>10.8507</v>
      </c>
      <c r="B5066" s="67">
        <v>106.7548</v>
      </c>
      <c r="C5066" s="67">
        <v>10.86444</v>
      </c>
      <c r="D5066" s="67">
        <v>106.7457</v>
      </c>
      <c r="E5066" s="68">
        <v>2.193</v>
      </c>
    </row>
    <row r="5067" ht="22.5" customHeight="1">
      <c r="A5067" s="61">
        <v>10.8507</v>
      </c>
      <c r="B5067" s="63">
        <v>106.7548</v>
      </c>
      <c r="C5067" s="63">
        <v>10.87116</v>
      </c>
      <c r="D5067" s="63">
        <v>106.7635</v>
      </c>
      <c r="E5067" s="64">
        <v>2.835</v>
      </c>
    </row>
    <row r="5068" ht="22.5" customHeight="1">
      <c r="A5068" s="66">
        <v>10.85078</v>
      </c>
      <c r="B5068" s="67">
        <v>106.6543</v>
      </c>
      <c r="C5068" s="67">
        <v>10.79975</v>
      </c>
      <c r="D5068" s="67">
        <v>106.6696</v>
      </c>
      <c r="E5068" s="68">
        <v>9.2</v>
      </c>
    </row>
    <row r="5069" ht="22.5" customHeight="1">
      <c r="A5069" s="61">
        <v>10.85078</v>
      </c>
      <c r="B5069" s="63">
        <v>106.6543</v>
      </c>
      <c r="C5069" s="63">
        <v>10.84253</v>
      </c>
      <c r="D5069" s="63">
        <v>106.6427</v>
      </c>
      <c r="E5069" s="64">
        <v>1.8</v>
      </c>
    </row>
    <row r="5070" ht="22.5" customHeight="1">
      <c r="A5070" s="66">
        <v>10.85078</v>
      </c>
      <c r="B5070" s="67">
        <v>106.6543</v>
      </c>
      <c r="C5070" s="67">
        <v>10.88583</v>
      </c>
      <c r="D5070" s="67">
        <v>106.6824</v>
      </c>
      <c r="E5070" s="68">
        <v>5.689</v>
      </c>
    </row>
    <row r="5071" ht="22.5" customHeight="1">
      <c r="A5071" s="61">
        <v>10.85154</v>
      </c>
      <c r="B5071" s="63">
        <v>106.7547</v>
      </c>
      <c r="C5071" s="63">
        <v>10.85846</v>
      </c>
      <c r="D5071" s="63">
        <v>106.7487</v>
      </c>
      <c r="E5071" s="64">
        <v>1.145</v>
      </c>
    </row>
    <row r="5072" ht="22.5" customHeight="1">
      <c r="A5072" s="66">
        <v>10.85154</v>
      </c>
      <c r="B5072" s="67">
        <v>106.7547</v>
      </c>
      <c r="C5072" s="67">
        <v>10.87884</v>
      </c>
      <c r="D5072" s="67">
        <v>106.7667</v>
      </c>
      <c r="E5072" s="68">
        <v>3.455</v>
      </c>
    </row>
    <row r="5073" ht="22.5" customHeight="1">
      <c r="A5073" s="61">
        <v>10.85158</v>
      </c>
      <c r="B5073" s="63">
        <v>106.6284</v>
      </c>
      <c r="C5073" s="63">
        <v>10.84253</v>
      </c>
      <c r="D5073" s="63">
        <v>106.6427</v>
      </c>
      <c r="E5073" s="64">
        <v>2.652</v>
      </c>
    </row>
    <row r="5074" ht="22.5" customHeight="1">
      <c r="A5074" s="66">
        <v>10.85188</v>
      </c>
      <c r="B5074" s="67">
        <v>106.6654</v>
      </c>
      <c r="C5074" s="67">
        <v>10.79975</v>
      </c>
      <c r="D5074" s="67">
        <v>106.6696</v>
      </c>
      <c r="E5074" s="68">
        <v>7.8</v>
      </c>
    </row>
    <row r="5075" ht="22.5" customHeight="1">
      <c r="A5075" s="61">
        <v>10.85188</v>
      </c>
      <c r="B5075" s="63">
        <v>106.6654</v>
      </c>
      <c r="C5075" s="63">
        <v>10.82721</v>
      </c>
      <c r="D5075" s="63">
        <v>106.6247</v>
      </c>
      <c r="E5075" s="64">
        <v>8.527</v>
      </c>
    </row>
    <row r="5076" ht="22.5" customHeight="1">
      <c r="A5076" s="66">
        <v>10.85188</v>
      </c>
      <c r="B5076" s="67">
        <v>106.6654</v>
      </c>
      <c r="C5076" s="67">
        <v>10.82927</v>
      </c>
      <c r="D5076" s="67">
        <v>106.6816</v>
      </c>
      <c r="E5076" s="68">
        <v>3.482</v>
      </c>
    </row>
    <row r="5077" ht="22.5" customHeight="1">
      <c r="A5077" s="61">
        <v>10.85188</v>
      </c>
      <c r="B5077" s="63">
        <v>106.6654</v>
      </c>
      <c r="C5077" s="63">
        <v>10.8359</v>
      </c>
      <c r="D5077" s="63">
        <v>106.6599</v>
      </c>
      <c r="E5077" s="64">
        <v>3.145</v>
      </c>
    </row>
    <row r="5078" ht="22.5" customHeight="1">
      <c r="A5078" s="66">
        <v>10.85188</v>
      </c>
      <c r="B5078" s="67">
        <v>106.6654</v>
      </c>
      <c r="C5078" s="67">
        <v>10.83648</v>
      </c>
      <c r="D5078" s="67">
        <v>106.6647</v>
      </c>
      <c r="E5078" s="68">
        <v>1.741</v>
      </c>
    </row>
    <row r="5079" ht="22.5" customHeight="1">
      <c r="A5079" s="61">
        <v>10.85188</v>
      </c>
      <c r="B5079" s="63">
        <v>106.6654</v>
      </c>
      <c r="C5079" s="63">
        <v>10.83784</v>
      </c>
      <c r="D5079" s="63">
        <v>106.6692</v>
      </c>
      <c r="E5079" s="64">
        <v>1.999</v>
      </c>
    </row>
    <row r="5080" ht="22.5" customHeight="1">
      <c r="A5080" s="66">
        <v>10.85188</v>
      </c>
      <c r="B5080" s="67">
        <v>106.6654</v>
      </c>
      <c r="C5080" s="67">
        <v>10.84253</v>
      </c>
      <c r="D5080" s="67">
        <v>106.6427</v>
      </c>
      <c r="E5080" s="68">
        <v>3.7</v>
      </c>
    </row>
    <row r="5081" ht="22.5" customHeight="1">
      <c r="A5081" s="61">
        <v>10.85188</v>
      </c>
      <c r="B5081" s="63">
        <v>106.6654</v>
      </c>
      <c r="C5081" s="63">
        <v>10.84317</v>
      </c>
      <c r="D5081" s="63">
        <v>106.6767</v>
      </c>
      <c r="E5081" s="64">
        <v>1.864</v>
      </c>
    </row>
    <row r="5082" ht="22.5" customHeight="1">
      <c r="A5082" s="66">
        <v>10.85188</v>
      </c>
      <c r="B5082" s="67">
        <v>106.6654</v>
      </c>
      <c r="C5082" s="67">
        <v>10.84929</v>
      </c>
      <c r="D5082" s="67">
        <v>106.6499</v>
      </c>
      <c r="E5082" s="68">
        <v>2.033</v>
      </c>
    </row>
    <row r="5083" ht="22.5" customHeight="1">
      <c r="A5083" s="61">
        <v>10.85188</v>
      </c>
      <c r="B5083" s="63">
        <v>106.6654</v>
      </c>
      <c r="C5083" s="63">
        <v>10.85276</v>
      </c>
      <c r="D5083" s="63">
        <v>106.6604</v>
      </c>
      <c r="E5083" s="64">
        <v>0.821</v>
      </c>
    </row>
    <row r="5084" ht="22.5" customHeight="1">
      <c r="A5084" s="66">
        <v>10.85188</v>
      </c>
      <c r="B5084" s="67">
        <v>106.6654</v>
      </c>
      <c r="C5084" s="67">
        <v>10.86294</v>
      </c>
      <c r="D5084" s="67">
        <v>106.6496</v>
      </c>
      <c r="E5084" s="68">
        <v>2.874</v>
      </c>
    </row>
    <row r="5085" ht="22.5" customHeight="1">
      <c r="A5085" s="61">
        <v>10.8523</v>
      </c>
      <c r="B5085" s="63">
        <v>106.7209</v>
      </c>
      <c r="C5085" s="63">
        <v>10.843</v>
      </c>
      <c r="D5085" s="63">
        <v>106.7308</v>
      </c>
      <c r="E5085" s="64">
        <v>2.323</v>
      </c>
    </row>
    <row r="5086" ht="22.5" customHeight="1">
      <c r="A5086" s="66">
        <v>10.8523</v>
      </c>
      <c r="B5086" s="67">
        <v>106.7209</v>
      </c>
      <c r="C5086" s="67">
        <v>10.84462</v>
      </c>
      <c r="D5086" s="67">
        <v>106.7812</v>
      </c>
      <c r="E5086" s="68">
        <v>9.173</v>
      </c>
    </row>
    <row r="5087" ht="22.5" customHeight="1">
      <c r="A5087" s="61">
        <v>10.8523</v>
      </c>
      <c r="B5087" s="63">
        <v>106.7209</v>
      </c>
      <c r="C5087" s="63">
        <v>10.85846</v>
      </c>
      <c r="D5087" s="63">
        <v>106.7487</v>
      </c>
      <c r="E5087" s="64">
        <v>4.792</v>
      </c>
    </row>
    <row r="5088" ht="22.5" customHeight="1">
      <c r="A5088" s="66">
        <v>10.8523</v>
      </c>
      <c r="B5088" s="67">
        <v>106.7209</v>
      </c>
      <c r="C5088" s="67">
        <v>10.88518</v>
      </c>
      <c r="D5088" s="67">
        <v>106.7286</v>
      </c>
      <c r="E5088" s="68">
        <v>4.8</v>
      </c>
    </row>
    <row r="5089" ht="22.5" customHeight="1">
      <c r="A5089" s="61">
        <v>10.85276</v>
      </c>
      <c r="B5089" s="63">
        <v>106.6604</v>
      </c>
      <c r="C5089" s="63">
        <v>10.79975</v>
      </c>
      <c r="D5089" s="63">
        <v>106.6696</v>
      </c>
      <c r="E5089" s="64">
        <v>8.131</v>
      </c>
    </row>
    <row r="5090" ht="22.5" customHeight="1">
      <c r="A5090" s="66">
        <v>10.85276</v>
      </c>
      <c r="B5090" s="67">
        <v>106.6604</v>
      </c>
      <c r="C5090" s="67">
        <v>10.82721</v>
      </c>
      <c r="D5090" s="67">
        <v>106.6247</v>
      </c>
      <c r="E5090" s="68">
        <v>7.941</v>
      </c>
    </row>
    <row r="5091" ht="22.5" customHeight="1">
      <c r="A5091" s="61">
        <v>10.85276</v>
      </c>
      <c r="B5091" s="63">
        <v>106.6604</v>
      </c>
      <c r="C5091" s="63">
        <v>10.83465</v>
      </c>
      <c r="D5091" s="63">
        <v>106.6616</v>
      </c>
      <c r="E5091" s="64">
        <v>2.634</v>
      </c>
    </row>
    <row r="5092" ht="22.5" customHeight="1">
      <c r="A5092" s="66">
        <v>10.85276</v>
      </c>
      <c r="B5092" s="67">
        <v>106.6604</v>
      </c>
      <c r="C5092" s="67">
        <v>10.83648</v>
      </c>
      <c r="D5092" s="67">
        <v>106.6647</v>
      </c>
      <c r="E5092" s="68">
        <v>2.102</v>
      </c>
    </row>
    <row r="5093" ht="22.5" customHeight="1">
      <c r="A5093" s="61">
        <v>10.85276</v>
      </c>
      <c r="B5093" s="63">
        <v>106.6604</v>
      </c>
      <c r="C5093" s="63">
        <v>10.84207</v>
      </c>
      <c r="D5093" s="63">
        <v>106.6605</v>
      </c>
      <c r="E5093" s="64">
        <v>1.772</v>
      </c>
    </row>
    <row r="5094" ht="22.5" customHeight="1">
      <c r="A5094" s="66">
        <v>10.85276</v>
      </c>
      <c r="B5094" s="67">
        <v>106.6604</v>
      </c>
      <c r="C5094" s="67">
        <v>10.84253</v>
      </c>
      <c r="D5094" s="67">
        <v>106.6427</v>
      </c>
      <c r="E5094" s="68">
        <v>2.808</v>
      </c>
    </row>
    <row r="5095" ht="22.5" customHeight="1">
      <c r="A5095" s="61">
        <v>10.85276</v>
      </c>
      <c r="B5095" s="63">
        <v>106.6604</v>
      </c>
      <c r="C5095" s="63">
        <v>10.84317</v>
      </c>
      <c r="D5095" s="63">
        <v>106.6767</v>
      </c>
      <c r="E5095" s="64">
        <v>2.226</v>
      </c>
    </row>
    <row r="5096" ht="22.5" customHeight="1">
      <c r="A5096" s="66">
        <v>10.85276</v>
      </c>
      <c r="B5096" s="67">
        <v>106.6604</v>
      </c>
      <c r="C5096" s="67">
        <v>10.8445</v>
      </c>
      <c r="D5096" s="67">
        <v>106.6396</v>
      </c>
      <c r="E5096" s="68">
        <v>2.643</v>
      </c>
    </row>
    <row r="5097" ht="22.5" customHeight="1">
      <c r="A5097" s="61">
        <v>10.85276</v>
      </c>
      <c r="B5097" s="63">
        <v>106.6604</v>
      </c>
      <c r="C5097" s="63">
        <v>10.84494</v>
      </c>
      <c r="D5097" s="63">
        <v>106.639</v>
      </c>
      <c r="E5097" s="64">
        <v>2.591</v>
      </c>
    </row>
    <row r="5098" ht="22.5" customHeight="1">
      <c r="A5098" s="66">
        <v>10.85276</v>
      </c>
      <c r="B5098" s="67">
        <v>106.6604</v>
      </c>
      <c r="C5098" s="67">
        <v>10.84929</v>
      </c>
      <c r="D5098" s="67">
        <v>106.6499</v>
      </c>
      <c r="E5098" s="68">
        <v>1.269</v>
      </c>
    </row>
    <row r="5099" ht="22.5" customHeight="1">
      <c r="A5099" s="61">
        <v>10.85276</v>
      </c>
      <c r="B5099" s="63">
        <v>106.6604</v>
      </c>
      <c r="C5099" s="63">
        <v>10.85051</v>
      </c>
      <c r="D5099" s="63">
        <v>106.6368</v>
      </c>
      <c r="E5099" s="64">
        <v>3.482</v>
      </c>
    </row>
    <row r="5100" ht="22.5" customHeight="1">
      <c r="A5100" s="66">
        <v>10.85276</v>
      </c>
      <c r="B5100" s="67">
        <v>106.6604</v>
      </c>
      <c r="C5100" s="67">
        <v>10.85188</v>
      </c>
      <c r="D5100" s="67">
        <v>106.6654</v>
      </c>
      <c r="E5100" s="68">
        <v>0.848</v>
      </c>
    </row>
    <row r="5101" ht="22.5" customHeight="1">
      <c r="A5101" s="61">
        <v>10.85276</v>
      </c>
      <c r="B5101" s="63">
        <v>106.6604</v>
      </c>
      <c r="C5101" s="63">
        <v>10.86294</v>
      </c>
      <c r="D5101" s="63">
        <v>106.6496</v>
      </c>
      <c r="E5101" s="64">
        <v>2.11</v>
      </c>
    </row>
    <row r="5102" ht="22.5" customHeight="1">
      <c r="A5102" s="66">
        <v>10.85276</v>
      </c>
      <c r="B5102" s="67">
        <v>106.6604</v>
      </c>
      <c r="C5102" s="67">
        <v>10.86793</v>
      </c>
      <c r="D5102" s="67">
        <v>106.6494</v>
      </c>
      <c r="E5102" s="68">
        <v>2.262</v>
      </c>
    </row>
    <row r="5103" ht="22.5" customHeight="1">
      <c r="A5103" s="61">
        <v>10.85276</v>
      </c>
      <c r="B5103" s="63">
        <v>106.6604</v>
      </c>
      <c r="C5103" s="63">
        <v>10.87822</v>
      </c>
      <c r="D5103" s="63">
        <v>106.6503</v>
      </c>
      <c r="E5103" s="64">
        <v>3.931</v>
      </c>
    </row>
    <row r="5104" ht="22.5" customHeight="1">
      <c r="A5104" s="66">
        <v>10.85276</v>
      </c>
      <c r="B5104" s="67">
        <v>106.6604</v>
      </c>
      <c r="C5104" s="67">
        <v>10.89317</v>
      </c>
      <c r="D5104" s="67">
        <v>106.6879</v>
      </c>
      <c r="E5104" s="68">
        <v>6.887</v>
      </c>
    </row>
    <row r="5105" ht="22.5" customHeight="1">
      <c r="A5105" s="61">
        <v>10.85292</v>
      </c>
      <c r="B5105" s="63">
        <v>106.5839</v>
      </c>
      <c r="C5105" s="63">
        <v>10.79975</v>
      </c>
      <c r="D5105" s="63">
        <v>106.6696</v>
      </c>
      <c r="E5105" s="64">
        <v>12.022</v>
      </c>
    </row>
    <row r="5106" ht="22.5" customHeight="1">
      <c r="A5106" s="66">
        <v>10.85292</v>
      </c>
      <c r="B5106" s="67">
        <v>106.5839</v>
      </c>
      <c r="C5106" s="67">
        <v>10.82721</v>
      </c>
      <c r="D5106" s="67">
        <v>106.6247</v>
      </c>
      <c r="E5106" s="68">
        <v>5.393</v>
      </c>
    </row>
    <row r="5107" ht="22.5" customHeight="1">
      <c r="A5107" s="61">
        <v>10.85292</v>
      </c>
      <c r="B5107" s="63">
        <v>106.5839</v>
      </c>
      <c r="C5107" s="63">
        <v>10.84581</v>
      </c>
      <c r="D5107" s="63">
        <v>106.593</v>
      </c>
      <c r="E5107" s="64">
        <v>1.268</v>
      </c>
    </row>
    <row r="5108" ht="22.5" customHeight="1">
      <c r="A5108" s="66">
        <v>10.85292</v>
      </c>
      <c r="B5108" s="67">
        <v>106.5839</v>
      </c>
      <c r="C5108" s="67">
        <v>10.84909</v>
      </c>
      <c r="D5108" s="67">
        <v>106.5874</v>
      </c>
      <c r="E5108" s="68">
        <v>0.68</v>
      </c>
    </row>
    <row r="5109" ht="22.5" customHeight="1">
      <c r="A5109" s="61">
        <v>10.85292</v>
      </c>
      <c r="B5109" s="63">
        <v>106.5839</v>
      </c>
      <c r="C5109" s="63">
        <v>10.84941</v>
      </c>
      <c r="D5109" s="63">
        <v>106.588</v>
      </c>
      <c r="E5109" s="64">
        <v>0.596</v>
      </c>
    </row>
    <row r="5110" ht="22.5" customHeight="1">
      <c r="A5110" s="66">
        <v>10.85292</v>
      </c>
      <c r="B5110" s="67">
        <v>106.5839</v>
      </c>
      <c r="C5110" s="67">
        <v>10.85059</v>
      </c>
      <c r="D5110" s="67">
        <v>106.5865</v>
      </c>
      <c r="E5110" s="68">
        <v>0.447</v>
      </c>
    </row>
    <row r="5111" ht="22.5" customHeight="1">
      <c r="A5111" s="61">
        <v>10.85292</v>
      </c>
      <c r="B5111" s="63">
        <v>106.5839</v>
      </c>
      <c r="C5111" s="63">
        <v>10.85292</v>
      </c>
      <c r="D5111" s="63">
        <v>106.5839</v>
      </c>
      <c r="E5111" s="64">
        <v>0.013</v>
      </c>
    </row>
    <row r="5112" ht="22.5" customHeight="1">
      <c r="A5112" s="66">
        <v>10.85292</v>
      </c>
      <c r="B5112" s="67">
        <v>106.5839</v>
      </c>
      <c r="C5112" s="67">
        <v>10.86494</v>
      </c>
      <c r="D5112" s="67">
        <v>106.5703</v>
      </c>
      <c r="E5112" s="68">
        <v>2.113</v>
      </c>
    </row>
    <row r="5113" ht="22.5" customHeight="1">
      <c r="A5113" s="61">
        <v>10.85292</v>
      </c>
      <c r="B5113" s="63">
        <v>106.5839</v>
      </c>
      <c r="C5113" s="63">
        <v>10.87189</v>
      </c>
      <c r="D5113" s="63">
        <v>106.5975</v>
      </c>
      <c r="E5113" s="64">
        <v>4.834</v>
      </c>
    </row>
    <row r="5114" ht="22.5" customHeight="1">
      <c r="A5114" s="66">
        <v>10.85292</v>
      </c>
      <c r="B5114" s="67">
        <v>106.5839</v>
      </c>
      <c r="C5114" s="67">
        <v>10.87507</v>
      </c>
      <c r="D5114" s="67">
        <v>106.5985</v>
      </c>
      <c r="E5114" s="68">
        <v>4.854</v>
      </c>
    </row>
    <row r="5115" ht="22.5" customHeight="1">
      <c r="A5115" s="61">
        <v>10.85292</v>
      </c>
      <c r="B5115" s="63">
        <v>106.5839</v>
      </c>
      <c r="C5115" s="63">
        <v>10.88073</v>
      </c>
      <c r="D5115" s="63">
        <v>106.5826</v>
      </c>
      <c r="E5115" s="64">
        <v>5.145</v>
      </c>
    </row>
    <row r="5116" ht="22.5" customHeight="1">
      <c r="A5116" s="66">
        <v>10.85292</v>
      </c>
      <c r="B5116" s="67">
        <v>106.5839</v>
      </c>
      <c r="C5116" s="67">
        <v>10.88436</v>
      </c>
      <c r="D5116" s="67">
        <v>106.595</v>
      </c>
      <c r="E5116" s="68">
        <v>5.723</v>
      </c>
    </row>
    <row r="5117" ht="22.5" customHeight="1">
      <c r="A5117" s="61">
        <v>10.85292</v>
      </c>
      <c r="B5117" s="63">
        <v>106.5839</v>
      </c>
      <c r="C5117" s="63">
        <v>10.88706</v>
      </c>
      <c r="D5117" s="63">
        <v>106.5911</v>
      </c>
      <c r="E5117" s="64">
        <v>5.031</v>
      </c>
    </row>
    <row r="5118" ht="22.5" customHeight="1">
      <c r="A5118" s="66">
        <v>10.85292</v>
      </c>
      <c r="B5118" s="67">
        <v>106.5839</v>
      </c>
      <c r="C5118" s="67">
        <v>10.88715</v>
      </c>
      <c r="D5118" s="67">
        <v>106.6074</v>
      </c>
      <c r="E5118" s="68">
        <v>7.176</v>
      </c>
    </row>
    <row r="5119" ht="22.5" customHeight="1">
      <c r="A5119" s="61">
        <v>10.85292</v>
      </c>
      <c r="B5119" s="63">
        <v>106.5839</v>
      </c>
      <c r="C5119" s="63">
        <v>10.88718</v>
      </c>
      <c r="D5119" s="63">
        <v>106.6075</v>
      </c>
      <c r="E5119" s="64">
        <v>7.187</v>
      </c>
    </row>
    <row r="5120" ht="22.5" customHeight="1">
      <c r="A5120" s="66">
        <v>10.85292</v>
      </c>
      <c r="B5120" s="67">
        <v>106.5839</v>
      </c>
      <c r="C5120" s="67">
        <v>10.88801</v>
      </c>
      <c r="D5120" s="67">
        <v>106.5985</v>
      </c>
      <c r="E5120" s="68">
        <v>5.199</v>
      </c>
    </row>
    <row r="5121" ht="22.5" customHeight="1">
      <c r="A5121" s="61">
        <v>10.85292</v>
      </c>
      <c r="B5121" s="63">
        <v>106.5839</v>
      </c>
      <c r="C5121" s="63">
        <v>10.89115</v>
      </c>
      <c r="D5121" s="63">
        <v>106.6142</v>
      </c>
      <c r="E5121" s="64">
        <v>9.607</v>
      </c>
    </row>
    <row r="5122" ht="22.5" customHeight="1">
      <c r="A5122" s="66">
        <v>10.85292</v>
      </c>
      <c r="B5122" s="67">
        <v>106.5839</v>
      </c>
      <c r="C5122" s="67">
        <v>10.8937</v>
      </c>
      <c r="D5122" s="67">
        <v>106.6123</v>
      </c>
      <c r="E5122" s="68">
        <v>7.95</v>
      </c>
    </row>
    <row r="5123" ht="22.5" customHeight="1">
      <c r="A5123" s="61">
        <v>10.85292</v>
      </c>
      <c r="B5123" s="63">
        <v>106.5839</v>
      </c>
      <c r="C5123" s="63">
        <v>10.8955</v>
      </c>
      <c r="D5123" s="63">
        <v>106.5788</v>
      </c>
      <c r="E5123" s="64">
        <v>6.95</v>
      </c>
    </row>
    <row r="5124" ht="22.5" customHeight="1">
      <c r="A5124" s="66">
        <v>10.85292</v>
      </c>
      <c r="B5124" s="67">
        <v>106.5839</v>
      </c>
      <c r="C5124" s="67">
        <v>10.9021</v>
      </c>
      <c r="D5124" s="67">
        <v>106.5531</v>
      </c>
      <c r="E5124" s="68">
        <v>14.0</v>
      </c>
    </row>
    <row r="5125" ht="22.5" customHeight="1">
      <c r="A5125" s="61">
        <v>10.85292</v>
      </c>
      <c r="B5125" s="63">
        <v>106.5839</v>
      </c>
      <c r="C5125" s="63">
        <v>10.90586</v>
      </c>
      <c r="D5125" s="63">
        <v>106.6438</v>
      </c>
      <c r="E5125" s="64">
        <v>10.692</v>
      </c>
    </row>
    <row r="5126" ht="22.5" customHeight="1">
      <c r="A5126" s="66">
        <v>10.85292</v>
      </c>
      <c r="B5126" s="67">
        <v>106.5839</v>
      </c>
      <c r="C5126" s="67">
        <v>10.90753</v>
      </c>
      <c r="D5126" s="67">
        <v>106.6417</v>
      </c>
      <c r="E5126" s="68">
        <v>10.764</v>
      </c>
    </row>
    <row r="5127" ht="22.5" customHeight="1">
      <c r="A5127" s="61">
        <v>10.85295</v>
      </c>
      <c r="B5127" s="63">
        <v>106.7922</v>
      </c>
      <c r="C5127" s="63">
        <v>10.79036</v>
      </c>
      <c r="D5127" s="63">
        <v>106.6973</v>
      </c>
      <c r="E5127" s="64">
        <v>15.767</v>
      </c>
    </row>
    <row r="5128" ht="22.5" customHeight="1">
      <c r="A5128" s="66">
        <v>10.85295</v>
      </c>
      <c r="B5128" s="67">
        <v>106.7922</v>
      </c>
      <c r="C5128" s="67">
        <v>10.82729</v>
      </c>
      <c r="D5128" s="67">
        <v>106.769</v>
      </c>
      <c r="E5128" s="68">
        <v>4.822</v>
      </c>
    </row>
    <row r="5129" ht="22.5" customHeight="1">
      <c r="A5129" s="61">
        <v>10.85295</v>
      </c>
      <c r="B5129" s="63">
        <v>106.7922</v>
      </c>
      <c r="C5129" s="63">
        <v>10.82848</v>
      </c>
      <c r="D5129" s="63">
        <v>106.7685</v>
      </c>
      <c r="E5129" s="64">
        <v>5.083</v>
      </c>
    </row>
    <row r="5130" ht="22.5" customHeight="1">
      <c r="A5130" s="66">
        <v>10.85295</v>
      </c>
      <c r="B5130" s="67">
        <v>106.7922</v>
      </c>
      <c r="C5130" s="67">
        <v>10.83771</v>
      </c>
      <c r="D5130" s="67">
        <v>106.8442</v>
      </c>
      <c r="E5130" s="68">
        <v>7.424</v>
      </c>
    </row>
    <row r="5131" ht="22.5" customHeight="1">
      <c r="A5131" s="61">
        <v>10.85295</v>
      </c>
      <c r="B5131" s="63">
        <v>106.7922</v>
      </c>
      <c r="C5131" s="63">
        <v>10.839</v>
      </c>
      <c r="D5131" s="63">
        <v>106.8435</v>
      </c>
      <c r="E5131" s="64">
        <v>7.464</v>
      </c>
    </row>
    <row r="5132" ht="22.5" customHeight="1">
      <c r="A5132" s="66">
        <v>10.85295</v>
      </c>
      <c r="B5132" s="67">
        <v>106.7922</v>
      </c>
      <c r="C5132" s="67">
        <v>10.83978</v>
      </c>
      <c r="D5132" s="67">
        <v>106.7932</v>
      </c>
      <c r="E5132" s="68">
        <v>2.331</v>
      </c>
    </row>
    <row r="5133" ht="22.5" customHeight="1">
      <c r="A5133" s="61">
        <v>10.85295</v>
      </c>
      <c r="B5133" s="63">
        <v>106.7922</v>
      </c>
      <c r="C5133" s="63">
        <v>10.843</v>
      </c>
      <c r="D5133" s="63">
        <v>106.7308</v>
      </c>
      <c r="E5133" s="64">
        <v>10.629</v>
      </c>
    </row>
    <row r="5134" ht="22.5" customHeight="1">
      <c r="A5134" s="66">
        <v>10.85295</v>
      </c>
      <c r="B5134" s="67">
        <v>106.7922</v>
      </c>
      <c r="C5134" s="67">
        <v>10.84462</v>
      </c>
      <c r="D5134" s="67">
        <v>106.7812</v>
      </c>
      <c r="E5134" s="68">
        <v>1.985</v>
      </c>
    </row>
    <row r="5135" ht="22.5" customHeight="1">
      <c r="A5135" s="61">
        <v>10.85295</v>
      </c>
      <c r="B5135" s="63">
        <v>106.7922</v>
      </c>
      <c r="C5135" s="63">
        <v>10.84473</v>
      </c>
      <c r="D5135" s="63">
        <v>106.7921</v>
      </c>
      <c r="E5135" s="64">
        <v>1.957</v>
      </c>
    </row>
    <row r="5136" ht="22.5" customHeight="1">
      <c r="A5136" s="66">
        <v>10.85295</v>
      </c>
      <c r="B5136" s="67">
        <v>106.7922</v>
      </c>
      <c r="C5136" s="67">
        <v>10.84545</v>
      </c>
      <c r="D5136" s="67">
        <v>106.7867</v>
      </c>
      <c r="E5136" s="68">
        <v>1.304</v>
      </c>
    </row>
    <row r="5137" ht="22.5" customHeight="1">
      <c r="A5137" s="61">
        <v>10.85295</v>
      </c>
      <c r="B5137" s="63">
        <v>106.7922</v>
      </c>
      <c r="C5137" s="63">
        <v>10.84695</v>
      </c>
      <c r="D5137" s="63">
        <v>106.7774</v>
      </c>
      <c r="E5137" s="64">
        <v>2.34</v>
      </c>
    </row>
    <row r="5138" ht="22.5" customHeight="1">
      <c r="A5138" s="66">
        <v>10.85295</v>
      </c>
      <c r="B5138" s="67">
        <v>106.7922</v>
      </c>
      <c r="C5138" s="67">
        <v>10.84737</v>
      </c>
      <c r="D5138" s="67">
        <v>106.7766</v>
      </c>
      <c r="E5138" s="68">
        <v>2.449</v>
      </c>
    </row>
    <row r="5139" ht="22.5" customHeight="1">
      <c r="A5139" s="61">
        <v>10.85295</v>
      </c>
      <c r="B5139" s="63">
        <v>106.7922</v>
      </c>
      <c r="C5139" s="63">
        <v>10.84784</v>
      </c>
      <c r="D5139" s="63">
        <v>106.7754</v>
      </c>
      <c r="E5139" s="64">
        <v>2.573</v>
      </c>
    </row>
    <row r="5140" ht="22.5" customHeight="1">
      <c r="A5140" s="66">
        <v>10.85295</v>
      </c>
      <c r="B5140" s="67">
        <v>106.7922</v>
      </c>
      <c r="C5140" s="67">
        <v>10.8498</v>
      </c>
      <c r="D5140" s="67">
        <v>106.8113</v>
      </c>
      <c r="E5140" s="68">
        <v>2.694</v>
      </c>
    </row>
    <row r="5141" ht="22.5" customHeight="1">
      <c r="A5141" s="61">
        <v>10.85295</v>
      </c>
      <c r="B5141" s="63">
        <v>106.7922</v>
      </c>
      <c r="C5141" s="63">
        <v>10.85295</v>
      </c>
      <c r="D5141" s="63">
        <v>106.7922</v>
      </c>
      <c r="E5141" s="64">
        <v>0.0</v>
      </c>
    </row>
    <row r="5142" ht="22.5" customHeight="1">
      <c r="A5142" s="66">
        <v>10.85295</v>
      </c>
      <c r="B5142" s="67">
        <v>106.7922</v>
      </c>
      <c r="C5142" s="67">
        <v>10.86052</v>
      </c>
      <c r="D5142" s="67">
        <v>106.7606</v>
      </c>
      <c r="E5142" s="68">
        <v>4.911</v>
      </c>
    </row>
    <row r="5143" ht="22.5" customHeight="1">
      <c r="A5143" s="61">
        <v>10.85295</v>
      </c>
      <c r="B5143" s="63">
        <v>106.7922</v>
      </c>
      <c r="C5143" s="63">
        <v>10.86137</v>
      </c>
      <c r="D5143" s="63">
        <v>106.7799</v>
      </c>
      <c r="E5143" s="64">
        <v>4.475</v>
      </c>
    </row>
    <row r="5144" ht="22.5" customHeight="1">
      <c r="A5144" s="66">
        <v>10.85295</v>
      </c>
      <c r="B5144" s="67">
        <v>106.7922</v>
      </c>
      <c r="C5144" s="67">
        <v>10.86502</v>
      </c>
      <c r="D5144" s="67">
        <v>106.8108</v>
      </c>
      <c r="E5144" s="68">
        <v>4.646</v>
      </c>
    </row>
    <row r="5145" ht="22.5" customHeight="1">
      <c r="A5145" s="61">
        <v>10.85295</v>
      </c>
      <c r="B5145" s="63">
        <v>106.7922</v>
      </c>
      <c r="C5145" s="63">
        <v>10.86892</v>
      </c>
      <c r="D5145" s="63">
        <v>106.8071</v>
      </c>
      <c r="E5145" s="64">
        <v>4.842</v>
      </c>
    </row>
    <row r="5146" ht="22.5" customHeight="1">
      <c r="A5146" s="66">
        <v>10.85526</v>
      </c>
      <c r="B5146" s="67">
        <v>106.6759</v>
      </c>
      <c r="C5146" s="67">
        <v>10.77509</v>
      </c>
      <c r="D5146" s="67">
        <v>106.6727</v>
      </c>
      <c r="E5146" s="68">
        <v>11.487</v>
      </c>
    </row>
    <row r="5147" ht="22.5" customHeight="1">
      <c r="A5147" s="61">
        <v>10.85526</v>
      </c>
      <c r="B5147" s="63">
        <v>106.6759</v>
      </c>
      <c r="C5147" s="63">
        <v>10.79975</v>
      </c>
      <c r="D5147" s="63">
        <v>106.6696</v>
      </c>
      <c r="E5147" s="64">
        <v>8.05</v>
      </c>
    </row>
    <row r="5148" ht="22.5" customHeight="1">
      <c r="A5148" s="66">
        <v>10.85526</v>
      </c>
      <c r="B5148" s="67">
        <v>106.6759</v>
      </c>
      <c r="C5148" s="67">
        <v>10.83648</v>
      </c>
      <c r="D5148" s="67">
        <v>106.6647</v>
      </c>
      <c r="E5148" s="68">
        <v>3.917</v>
      </c>
    </row>
    <row r="5149" ht="22.5" customHeight="1">
      <c r="A5149" s="61">
        <v>10.85526</v>
      </c>
      <c r="B5149" s="63">
        <v>106.6759</v>
      </c>
      <c r="C5149" s="63">
        <v>10.84253</v>
      </c>
      <c r="D5149" s="63">
        <v>106.6427</v>
      </c>
      <c r="E5149" s="64">
        <v>6.298</v>
      </c>
    </row>
    <row r="5150" ht="22.5" customHeight="1">
      <c r="A5150" s="66">
        <v>10.85526</v>
      </c>
      <c r="B5150" s="67">
        <v>106.6759</v>
      </c>
      <c r="C5150" s="67">
        <v>10.85276</v>
      </c>
      <c r="D5150" s="67">
        <v>106.6604</v>
      </c>
      <c r="E5150" s="68">
        <v>3.526</v>
      </c>
    </row>
    <row r="5151" ht="22.5" customHeight="1">
      <c r="A5151" s="61">
        <v>10.85526</v>
      </c>
      <c r="B5151" s="63">
        <v>106.6759</v>
      </c>
      <c r="C5151" s="63">
        <v>10.86294</v>
      </c>
      <c r="D5151" s="63">
        <v>106.6496</v>
      </c>
      <c r="E5151" s="64">
        <v>5.279</v>
      </c>
    </row>
    <row r="5152" ht="22.5" customHeight="1">
      <c r="A5152" s="66">
        <v>10.85526</v>
      </c>
      <c r="B5152" s="67">
        <v>106.6759</v>
      </c>
      <c r="C5152" s="67">
        <v>10.87599</v>
      </c>
      <c r="D5152" s="67">
        <v>106.6239</v>
      </c>
      <c r="E5152" s="68">
        <v>9.627</v>
      </c>
    </row>
    <row r="5153" ht="22.5" customHeight="1">
      <c r="A5153" s="61">
        <v>10.85526</v>
      </c>
      <c r="B5153" s="63">
        <v>106.6759</v>
      </c>
      <c r="C5153" s="63">
        <v>10.88583</v>
      </c>
      <c r="D5153" s="63">
        <v>106.6824</v>
      </c>
      <c r="E5153" s="64">
        <v>4.456</v>
      </c>
    </row>
    <row r="5154" ht="22.5" customHeight="1">
      <c r="A5154" s="66">
        <v>10.85526</v>
      </c>
      <c r="B5154" s="67">
        <v>106.6759</v>
      </c>
      <c r="C5154" s="67">
        <v>10.89317</v>
      </c>
      <c r="D5154" s="67">
        <v>106.6879</v>
      </c>
      <c r="E5154" s="68">
        <v>5.476</v>
      </c>
    </row>
    <row r="5155" ht="22.5" customHeight="1">
      <c r="A5155" s="61">
        <v>10.85548</v>
      </c>
      <c r="B5155" s="63">
        <v>106.6391</v>
      </c>
      <c r="C5155" s="63">
        <v>10.79975</v>
      </c>
      <c r="D5155" s="63">
        <v>106.6696</v>
      </c>
      <c r="E5155" s="64">
        <v>11.9</v>
      </c>
    </row>
    <row r="5156" ht="22.5" customHeight="1">
      <c r="A5156" s="66">
        <v>10.85548</v>
      </c>
      <c r="B5156" s="67">
        <v>106.6391</v>
      </c>
      <c r="C5156" s="67">
        <v>10.83926</v>
      </c>
      <c r="D5156" s="67">
        <v>106.6297</v>
      </c>
      <c r="E5156" s="68">
        <v>6.622</v>
      </c>
    </row>
    <row r="5157" ht="22.5" customHeight="1">
      <c r="A5157" s="61">
        <v>10.85548</v>
      </c>
      <c r="B5157" s="63">
        <v>106.6391</v>
      </c>
      <c r="C5157" s="63">
        <v>10.84253</v>
      </c>
      <c r="D5157" s="63">
        <v>106.6427</v>
      </c>
      <c r="E5157" s="64">
        <v>4.0</v>
      </c>
    </row>
    <row r="5158" ht="22.5" customHeight="1">
      <c r="A5158" s="66">
        <v>10.85548</v>
      </c>
      <c r="B5158" s="67">
        <v>106.6391</v>
      </c>
      <c r="C5158" s="67">
        <v>10.84494</v>
      </c>
      <c r="D5158" s="67">
        <v>106.639</v>
      </c>
      <c r="E5158" s="68">
        <v>5.769</v>
      </c>
    </row>
    <row r="5159" ht="22.5" customHeight="1">
      <c r="A5159" s="61">
        <v>10.85548</v>
      </c>
      <c r="B5159" s="63">
        <v>106.6391</v>
      </c>
      <c r="C5159" s="63">
        <v>10.85051</v>
      </c>
      <c r="D5159" s="63">
        <v>106.6368</v>
      </c>
      <c r="E5159" s="64">
        <v>5.752</v>
      </c>
    </row>
    <row r="5160" ht="22.5" customHeight="1">
      <c r="A5160" s="66">
        <v>10.85548</v>
      </c>
      <c r="B5160" s="67">
        <v>106.6391</v>
      </c>
      <c r="C5160" s="67">
        <v>10.87371</v>
      </c>
      <c r="D5160" s="67">
        <v>106.6217</v>
      </c>
      <c r="E5160" s="68">
        <v>5.363</v>
      </c>
    </row>
    <row r="5161" ht="22.5" customHeight="1">
      <c r="A5161" s="61">
        <v>10.85548</v>
      </c>
      <c r="B5161" s="63">
        <v>106.6391</v>
      </c>
      <c r="C5161" s="63">
        <v>10.89317</v>
      </c>
      <c r="D5161" s="63">
        <v>106.6879</v>
      </c>
      <c r="E5161" s="64">
        <v>8.896</v>
      </c>
    </row>
    <row r="5162" ht="22.5" customHeight="1">
      <c r="A5162" s="66">
        <v>10.85564</v>
      </c>
      <c r="B5162" s="67">
        <v>106.938</v>
      </c>
      <c r="C5162" s="67">
        <v>10.94731</v>
      </c>
      <c r="D5162" s="67">
        <v>106.8284</v>
      </c>
      <c r="E5162" s="68">
        <v>19.107</v>
      </c>
    </row>
    <row r="5163" ht="22.5" customHeight="1">
      <c r="A5163" s="61">
        <v>10.85646</v>
      </c>
      <c r="B5163" s="63">
        <v>106.6159</v>
      </c>
      <c r="C5163" s="63">
        <v>10.79975</v>
      </c>
      <c r="D5163" s="63">
        <v>106.6696</v>
      </c>
      <c r="E5163" s="64">
        <v>10.61</v>
      </c>
    </row>
    <row r="5164" ht="22.5" customHeight="1">
      <c r="A5164" s="66">
        <v>10.85646</v>
      </c>
      <c r="B5164" s="67">
        <v>106.6159</v>
      </c>
      <c r="C5164" s="67">
        <v>10.82721</v>
      </c>
      <c r="D5164" s="67">
        <v>106.6247</v>
      </c>
      <c r="E5164" s="68">
        <v>5.402</v>
      </c>
    </row>
    <row r="5165" ht="22.5" customHeight="1">
      <c r="A5165" s="61">
        <v>10.85646</v>
      </c>
      <c r="B5165" s="63">
        <v>106.6159</v>
      </c>
      <c r="C5165" s="63">
        <v>10.83926</v>
      </c>
      <c r="D5165" s="63">
        <v>106.6297</v>
      </c>
      <c r="E5165" s="64">
        <v>3.759</v>
      </c>
    </row>
    <row r="5166" ht="22.5" customHeight="1">
      <c r="A5166" s="66">
        <v>10.85646</v>
      </c>
      <c r="B5166" s="67">
        <v>106.6159</v>
      </c>
      <c r="C5166" s="67">
        <v>10.84253</v>
      </c>
      <c r="D5166" s="67">
        <v>106.6427</v>
      </c>
      <c r="E5166" s="68">
        <v>3.613</v>
      </c>
    </row>
    <row r="5167" ht="22.5" customHeight="1">
      <c r="A5167" s="61">
        <v>10.85646</v>
      </c>
      <c r="B5167" s="63">
        <v>106.6159</v>
      </c>
      <c r="C5167" s="63">
        <v>10.8445</v>
      </c>
      <c r="D5167" s="63">
        <v>106.6396</v>
      </c>
      <c r="E5167" s="64">
        <v>3.206</v>
      </c>
    </row>
    <row r="5168" ht="22.5" customHeight="1">
      <c r="A5168" s="66">
        <v>10.85646</v>
      </c>
      <c r="B5168" s="67">
        <v>106.6159</v>
      </c>
      <c r="C5168" s="67">
        <v>10.84494</v>
      </c>
      <c r="D5168" s="67">
        <v>106.639</v>
      </c>
      <c r="E5168" s="68">
        <v>3.146</v>
      </c>
    </row>
    <row r="5169" ht="22.5" customHeight="1">
      <c r="A5169" s="61">
        <v>10.85646</v>
      </c>
      <c r="B5169" s="63">
        <v>106.6159</v>
      </c>
      <c r="C5169" s="63">
        <v>10.85051</v>
      </c>
      <c r="D5169" s="63">
        <v>106.6368</v>
      </c>
      <c r="E5169" s="64">
        <v>2.998</v>
      </c>
    </row>
    <row r="5170" ht="22.5" customHeight="1">
      <c r="A5170" s="66">
        <v>10.85646</v>
      </c>
      <c r="B5170" s="67">
        <v>106.6159</v>
      </c>
      <c r="C5170" s="67">
        <v>10.85911</v>
      </c>
      <c r="D5170" s="67">
        <v>106.6124</v>
      </c>
      <c r="E5170" s="68">
        <v>0.481</v>
      </c>
    </row>
    <row r="5171" ht="22.5" customHeight="1">
      <c r="A5171" s="61">
        <v>10.85646</v>
      </c>
      <c r="B5171" s="63">
        <v>106.6159</v>
      </c>
      <c r="C5171" s="63">
        <v>10.86573</v>
      </c>
      <c r="D5171" s="63">
        <v>106.6344</v>
      </c>
      <c r="E5171" s="64">
        <v>2.829</v>
      </c>
    </row>
    <row r="5172" ht="22.5" customHeight="1">
      <c r="A5172" s="66">
        <v>10.85646</v>
      </c>
      <c r="B5172" s="67">
        <v>106.6159</v>
      </c>
      <c r="C5172" s="67">
        <v>10.86793</v>
      </c>
      <c r="D5172" s="67">
        <v>106.6494</v>
      </c>
      <c r="E5172" s="68">
        <v>5.435</v>
      </c>
    </row>
    <row r="5173" ht="22.5" customHeight="1">
      <c r="A5173" s="61">
        <v>10.85646</v>
      </c>
      <c r="B5173" s="63">
        <v>106.6159</v>
      </c>
      <c r="C5173" s="63">
        <v>10.8732</v>
      </c>
      <c r="D5173" s="63">
        <v>106.6214</v>
      </c>
      <c r="E5173" s="64">
        <v>2.47</v>
      </c>
    </row>
    <row r="5174" ht="22.5" customHeight="1">
      <c r="A5174" s="66">
        <v>10.85646</v>
      </c>
      <c r="B5174" s="67">
        <v>106.6159</v>
      </c>
      <c r="C5174" s="67">
        <v>10.87371</v>
      </c>
      <c r="D5174" s="67">
        <v>106.6217</v>
      </c>
      <c r="E5174" s="68">
        <v>2.522</v>
      </c>
    </row>
    <row r="5175" ht="22.5" customHeight="1">
      <c r="A5175" s="61">
        <v>10.85838</v>
      </c>
      <c r="B5175" s="63">
        <v>106.6799</v>
      </c>
      <c r="C5175" s="63">
        <v>10.84253</v>
      </c>
      <c r="D5175" s="63">
        <v>106.6427</v>
      </c>
      <c r="E5175" s="64">
        <v>7.083</v>
      </c>
    </row>
    <row r="5176" ht="22.5" customHeight="1">
      <c r="A5176" s="66">
        <v>10.85846</v>
      </c>
      <c r="B5176" s="67">
        <v>106.7487</v>
      </c>
      <c r="C5176" s="67">
        <v>10.80027</v>
      </c>
      <c r="D5176" s="67">
        <v>106.7109</v>
      </c>
      <c r="E5176" s="68">
        <v>9.117</v>
      </c>
    </row>
    <row r="5177" ht="22.5" customHeight="1">
      <c r="A5177" s="61">
        <v>10.85846</v>
      </c>
      <c r="B5177" s="63">
        <v>106.7487</v>
      </c>
      <c r="C5177" s="63">
        <v>10.81991</v>
      </c>
      <c r="D5177" s="63">
        <v>106.8322</v>
      </c>
      <c r="E5177" s="64">
        <v>12.7</v>
      </c>
    </row>
    <row r="5178" ht="22.5" customHeight="1">
      <c r="A5178" s="66">
        <v>10.85846</v>
      </c>
      <c r="B5178" s="67">
        <v>106.7487</v>
      </c>
      <c r="C5178" s="67">
        <v>10.82729</v>
      </c>
      <c r="D5178" s="67">
        <v>106.769</v>
      </c>
      <c r="E5178" s="68">
        <v>4.7</v>
      </c>
    </row>
    <row r="5179" ht="22.5" customHeight="1">
      <c r="A5179" s="61">
        <v>10.85846</v>
      </c>
      <c r="B5179" s="63">
        <v>106.7487</v>
      </c>
      <c r="C5179" s="63">
        <v>10.82848</v>
      </c>
      <c r="D5179" s="63">
        <v>106.7685</v>
      </c>
      <c r="E5179" s="64">
        <v>4.5</v>
      </c>
    </row>
    <row r="5180" ht="22.5" customHeight="1">
      <c r="A5180" s="66">
        <v>10.85846</v>
      </c>
      <c r="B5180" s="67">
        <v>106.7487</v>
      </c>
      <c r="C5180" s="67">
        <v>10.83771</v>
      </c>
      <c r="D5180" s="67">
        <v>106.8442</v>
      </c>
      <c r="E5180" s="68">
        <v>12.6</v>
      </c>
    </row>
    <row r="5181" ht="22.5" customHeight="1">
      <c r="A5181" s="61">
        <v>10.85846</v>
      </c>
      <c r="B5181" s="63">
        <v>106.7487</v>
      </c>
      <c r="C5181" s="63">
        <v>10.839</v>
      </c>
      <c r="D5181" s="63">
        <v>106.8435</v>
      </c>
      <c r="E5181" s="64">
        <v>12.6</v>
      </c>
    </row>
    <row r="5182" ht="22.5" customHeight="1">
      <c r="A5182" s="66">
        <v>10.85846</v>
      </c>
      <c r="B5182" s="67">
        <v>106.7487</v>
      </c>
      <c r="C5182" s="67">
        <v>10.83978</v>
      </c>
      <c r="D5182" s="67">
        <v>106.7932</v>
      </c>
      <c r="E5182" s="68">
        <v>5.8</v>
      </c>
    </row>
    <row r="5183" ht="22.5" customHeight="1">
      <c r="A5183" s="61">
        <v>10.85846</v>
      </c>
      <c r="B5183" s="63">
        <v>106.7487</v>
      </c>
      <c r="C5183" s="63">
        <v>10.843</v>
      </c>
      <c r="D5183" s="63">
        <v>106.7308</v>
      </c>
      <c r="E5183" s="64">
        <v>4.2</v>
      </c>
    </row>
    <row r="5184" ht="22.5" customHeight="1">
      <c r="A5184" s="66">
        <v>10.85846</v>
      </c>
      <c r="B5184" s="67">
        <v>106.7487</v>
      </c>
      <c r="C5184" s="67">
        <v>10.84463</v>
      </c>
      <c r="D5184" s="67">
        <v>106.818</v>
      </c>
      <c r="E5184" s="68">
        <v>8.7</v>
      </c>
    </row>
    <row r="5185" ht="22.5" customHeight="1">
      <c r="A5185" s="61">
        <v>10.85846</v>
      </c>
      <c r="B5185" s="63">
        <v>106.7487</v>
      </c>
      <c r="C5185" s="63">
        <v>10.84514</v>
      </c>
      <c r="D5185" s="63">
        <v>106.7274</v>
      </c>
      <c r="E5185" s="64">
        <v>4.6</v>
      </c>
    </row>
    <row r="5186" ht="22.5" customHeight="1">
      <c r="A5186" s="66">
        <v>10.85846</v>
      </c>
      <c r="B5186" s="67">
        <v>106.7487</v>
      </c>
      <c r="C5186" s="67">
        <v>10.8469</v>
      </c>
      <c r="D5186" s="67">
        <v>106.7512</v>
      </c>
      <c r="E5186" s="68">
        <v>1.6</v>
      </c>
    </row>
    <row r="5187" ht="22.5" customHeight="1">
      <c r="A5187" s="61">
        <v>10.85846</v>
      </c>
      <c r="B5187" s="63">
        <v>106.7487</v>
      </c>
      <c r="C5187" s="63">
        <v>10.84695</v>
      </c>
      <c r="D5187" s="63">
        <v>106.7774</v>
      </c>
      <c r="E5187" s="64">
        <v>3.8</v>
      </c>
    </row>
    <row r="5188" ht="22.5" customHeight="1">
      <c r="A5188" s="66">
        <v>10.85846</v>
      </c>
      <c r="B5188" s="67">
        <v>106.7487</v>
      </c>
      <c r="C5188" s="67">
        <v>10.84737</v>
      </c>
      <c r="D5188" s="67">
        <v>106.7766</v>
      </c>
      <c r="E5188" s="68">
        <v>4.023</v>
      </c>
    </row>
    <row r="5189" ht="22.5" customHeight="1">
      <c r="A5189" s="61">
        <v>10.85846</v>
      </c>
      <c r="B5189" s="63">
        <v>106.7487</v>
      </c>
      <c r="C5189" s="63">
        <v>10.8498</v>
      </c>
      <c r="D5189" s="63">
        <v>106.8113</v>
      </c>
      <c r="E5189" s="64">
        <v>7.9</v>
      </c>
    </row>
    <row r="5190" ht="22.5" customHeight="1">
      <c r="A5190" s="66">
        <v>10.85846</v>
      </c>
      <c r="B5190" s="67">
        <v>106.7487</v>
      </c>
      <c r="C5190" s="67">
        <v>10.8507</v>
      </c>
      <c r="D5190" s="67">
        <v>106.7548</v>
      </c>
      <c r="E5190" s="68">
        <v>1.4</v>
      </c>
    </row>
    <row r="5191" ht="22.5" customHeight="1">
      <c r="A5191" s="61">
        <v>10.85846</v>
      </c>
      <c r="B5191" s="63">
        <v>106.7487</v>
      </c>
      <c r="C5191" s="63">
        <v>10.85295</v>
      </c>
      <c r="D5191" s="63">
        <v>106.7922</v>
      </c>
      <c r="E5191" s="64">
        <v>5.8</v>
      </c>
    </row>
    <row r="5192" ht="22.5" customHeight="1">
      <c r="A5192" s="66">
        <v>10.85846</v>
      </c>
      <c r="B5192" s="67">
        <v>106.7487</v>
      </c>
      <c r="C5192" s="67">
        <v>10.85846</v>
      </c>
      <c r="D5192" s="67">
        <v>106.7487</v>
      </c>
      <c r="E5192" s="68">
        <v>0.004</v>
      </c>
    </row>
    <row r="5193" ht="22.5" customHeight="1">
      <c r="A5193" s="61">
        <v>10.85846</v>
      </c>
      <c r="B5193" s="63">
        <v>106.7487</v>
      </c>
      <c r="C5193" s="63">
        <v>10.86052</v>
      </c>
      <c r="D5193" s="63">
        <v>106.7606</v>
      </c>
      <c r="E5193" s="64">
        <v>2.3</v>
      </c>
    </row>
    <row r="5194" ht="22.5" customHeight="1">
      <c r="A5194" s="66">
        <v>10.85846</v>
      </c>
      <c r="B5194" s="67">
        <v>106.7487</v>
      </c>
      <c r="C5194" s="67">
        <v>10.86434</v>
      </c>
      <c r="D5194" s="67">
        <v>106.7457</v>
      </c>
      <c r="E5194" s="68">
        <v>0.7</v>
      </c>
    </row>
    <row r="5195" ht="22.5" customHeight="1">
      <c r="A5195" s="61">
        <v>10.85846</v>
      </c>
      <c r="B5195" s="63">
        <v>106.7487</v>
      </c>
      <c r="C5195" s="63">
        <v>10.86444</v>
      </c>
      <c r="D5195" s="63">
        <v>106.7457</v>
      </c>
      <c r="E5195" s="64">
        <v>0.8</v>
      </c>
    </row>
    <row r="5196" ht="22.5" customHeight="1">
      <c r="A5196" s="66">
        <v>10.85846</v>
      </c>
      <c r="B5196" s="67">
        <v>106.7487</v>
      </c>
      <c r="C5196" s="67">
        <v>10.86826</v>
      </c>
      <c r="D5196" s="67">
        <v>106.7145</v>
      </c>
      <c r="E5196" s="68">
        <v>7.0</v>
      </c>
    </row>
    <row r="5197" ht="22.5" customHeight="1">
      <c r="A5197" s="61">
        <v>10.85846</v>
      </c>
      <c r="B5197" s="63">
        <v>106.7487</v>
      </c>
      <c r="C5197" s="63">
        <v>10.87116</v>
      </c>
      <c r="D5197" s="63">
        <v>106.7635</v>
      </c>
      <c r="E5197" s="64">
        <v>3.4</v>
      </c>
    </row>
    <row r="5198" ht="22.5" customHeight="1">
      <c r="A5198" s="66">
        <v>10.85846</v>
      </c>
      <c r="B5198" s="67">
        <v>106.7487</v>
      </c>
      <c r="C5198" s="67">
        <v>10.87819</v>
      </c>
      <c r="D5198" s="67">
        <v>106.7317</v>
      </c>
      <c r="E5198" s="68">
        <v>3.4</v>
      </c>
    </row>
    <row r="5199" ht="22.5" customHeight="1">
      <c r="A5199" s="61">
        <v>10.85846</v>
      </c>
      <c r="B5199" s="63">
        <v>106.7487</v>
      </c>
      <c r="C5199" s="63">
        <v>10.87884</v>
      </c>
      <c r="D5199" s="63">
        <v>106.7667</v>
      </c>
      <c r="E5199" s="64">
        <v>4.6</v>
      </c>
    </row>
    <row r="5200" ht="22.5" customHeight="1">
      <c r="A5200" s="66">
        <v>10.85846</v>
      </c>
      <c r="B5200" s="67">
        <v>106.7487</v>
      </c>
      <c r="C5200" s="67">
        <v>10.8789</v>
      </c>
      <c r="D5200" s="67">
        <v>106.7779</v>
      </c>
      <c r="E5200" s="68">
        <v>5.8</v>
      </c>
    </row>
    <row r="5201" ht="22.5" customHeight="1">
      <c r="A5201" s="61">
        <v>10.85846</v>
      </c>
      <c r="B5201" s="63">
        <v>106.7487</v>
      </c>
      <c r="C5201" s="63">
        <v>10.88374</v>
      </c>
      <c r="D5201" s="63">
        <v>106.7088</v>
      </c>
      <c r="E5201" s="64">
        <v>8.2</v>
      </c>
    </row>
    <row r="5202" ht="22.5" customHeight="1">
      <c r="A5202" s="66">
        <v>10.85846</v>
      </c>
      <c r="B5202" s="67">
        <v>106.7487</v>
      </c>
      <c r="C5202" s="67">
        <v>10.88633</v>
      </c>
      <c r="D5202" s="67">
        <v>106.7043</v>
      </c>
      <c r="E5202" s="68">
        <v>8.9</v>
      </c>
    </row>
    <row r="5203" ht="22.5" customHeight="1">
      <c r="A5203" s="61">
        <v>10.85846</v>
      </c>
      <c r="B5203" s="63">
        <v>106.7487</v>
      </c>
      <c r="C5203" s="63">
        <v>10.88979</v>
      </c>
      <c r="D5203" s="63">
        <v>106.7399</v>
      </c>
      <c r="E5203" s="64">
        <v>4.8</v>
      </c>
    </row>
    <row r="5204" ht="22.5" customHeight="1">
      <c r="A5204" s="66">
        <v>10.85846</v>
      </c>
      <c r="B5204" s="67">
        <v>106.7487</v>
      </c>
      <c r="C5204" s="67">
        <v>10.88984</v>
      </c>
      <c r="D5204" s="67">
        <v>106.7399</v>
      </c>
      <c r="E5204" s="68">
        <v>4.8</v>
      </c>
    </row>
    <row r="5205" ht="22.5" customHeight="1">
      <c r="A5205" s="61">
        <v>10.85846</v>
      </c>
      <c r="B5205" s="63">
        <v>106.7487</v>
      </c>
      <c r="C5205" s="63">
        <v>10.90561</v>
      </c>
      <c r="D5205" s="63">
        <v>106.7682</v>
      </c>
      <c r="E5205" s="64">
        <v>7.6</v>
      </c>
    </row>
    <row r="5206" ht="22.5" customHeight="1">
      <c r="A5206" s="66">
        <v>10.85846</v>
      </c>
      <c r="B5206" s="67">
        <v>106.7487</v>
      </c>
      <c r="C5206" s="67">
        <v>10.90631</v>
      </c>
      <c r="D5206" s="67">
        <v>106.7526</v>
      </c>
      <c r="E5206" s="68">
        <v>6.8</v>
      </c>
    </row>
    <row r="5207" ht="22.5" customHeight="1">
      <c r="A5207" s="61">
        <v>10.85846</v>
      </c>
      <c r="B5207" s="63">
        <v>106.7487</v>
      </c>
      <c r="C5207" s="63">
        <v>10.90752</v>
      </c>
      <c r="D5207" s="63">
        <v>106.7495</v>
      </c>
      <c r="E5207" s="64">
        <v>8.0</v>
      </c>
    </row>
    <row r="5208" ht="22.5" customHeight="1">
      <c r="A5208" s="66">
        <v>10.85846</v>
      </c>
      <c r="B5208" s="67">
        <v>106.7487</v>
      </c>
      <c r="C5208" s="67">
        <v>10.90779</v>
      </c>
      <c r="D5208" s="67">
        <v>106.76</v>
      </c>
      <c r="E5208" s="68">
        <v>7.0</v>
      </c>
    </row>
    <row r="5209" ht="22.5" customHeight="1">
      <c r="A5209" s="61">
        <v>10.85846</v>
      </c>
      <c r="B5209" s="63">
        <v>106.7487</v>
      </c>
      <c r="C5209" s="63">
        <v>10.90835</v>
      </c>
      <c r="D5209" s="63">
        <v>106.7014</v>
      </c>
      <c r="E5209" s="64">
        <v>9.0</v>
      </c>
    </row>
    <row r="5210" ht="22.5" customHeight="1">
      <c r="A5210" s="66">
        <v>10.85846</v>
      </c>
      <c r="B5210" s="67">
        <v>106.7487</v>
      </c>
      <c r="C5210" s="67">
        <v>10.90846</v>
      </c>
      <c r="D5210" s="67">
        <v>106.7403</v>
      </c>
      <c r="E5210" s="68">
        <v>7.3</v>
      </c>
    </row>
    <row r="5211" ht="22.5" customHeight="1">
      <c r="A5211" s="61">
        <v>10.85846</v>
      </c>
      <c r="B5211" s="63">
        <v>106.7487</v>
      </c>
      <c r="C5211" s="63">
        <v>10.90871</v>
      </c>
      <c r="D5211" s="63">
        <v>106.7019</v>
      </c>
      <c r="E5211" s="64">
        <v>9.1</v>
      </c>
    </row>
    <row r="5212" ht="22.5" customHeight="1">
      <c r="A5212" s="66">
        <v>10.85846</v>
      </c>
      <c r="B5212" s="67">
        <v>106.7487</v>
      </c>
      <c r="C5212" s="67">
        <v>10.91102</v>
      </c>
      <c r="D5212" s="67">
        <v>106.7814</v>
      </c>
      <c r="E5212" s="68">
        <v>10.5</v>
      </c>
    </row>
    <row r="5213" ht="22.5" customHeight="1">
      <c r="A5213" s="61">
        <v>10.85846</v>
      </c>
      <c r="B5213" s="63">
        <v>106.7487</v>
      </c>
      <c r="C5213" s="63">
        <v>10.9137</v>
      </c>
      <c r="D5213" s="63">
        <v>106.7688</v>
      </c>
      <c r="E5213" s="64">
        <v>8.7</v>
      </c>
    </row>
    <row r="5214" ht="22.5" customHeight="1">
      <c r="A5214" s="66">
        <v>10.85846</v>
      </c>
      <c r="B5214" s="67">
        <v>106.7487</v>
      </c>
      <c r="C5214" s="67">
        <v>10.91936</v>
      </c>
      <c r="D5214" s="67">
        <v>106.7125</v>
      </c>
      <c r="E5214" s="68">
        <v>9.6</v>
      </c>
    </row>
    <row r="5215" ht="22.5" customHeight="1">
      <c r="A5215" s="61">
        <v>10.85846</v>
      </c>
      <c r="B5215" s="63">
        <v>106.7487</v>
      </c>
      <c r="C5215" s="63">
        <v>10.92893</v>
      </c>
      <c r="D5215" s="63">
        <v>106.7125</v>
      </c>
      <c r="E5215" s="64">
        <v>11.1</v>
      </c>
    </row>
    <row r="5216" ht="22.5" customHeight="1">
      <c r="A5216" s="66">
        <v>10.85846</v>
      </c>
      <c r="B5216" s="67">
        <v>106.7487</v>
      </c>
      <c r="C5216" s="67">
        <v>10.93659</v>
      </c>
      <c r="D5216" s="67">
        <v>106.7427</v>
      </c>
      <c r="E5216" s="68">
        <v>10.0</v>
      </c>
    </row>
    <row r="5217" ht="22.5" customHeight="1">
      <c r="A5217" s="61">
        <v>10.85846</v>
      </c>
      <c r="B5217" s="63">
        <v>106.7487</v>
      </c>
      <c r="C5217" s="63">
        <v>10.94228</v>
      </c>
      <c r="D5217" s="63">
        <v>106.725</v>
      </c>
      <c r="E5217" s="64">
        <v>13.3</v>
      </c>
    </row>
    <row r="5218" ht="22.5" customHeight="1">
      <c r="A5218" s="66">
        <v>10.85846</v>
      </c>
      <c r="B5218" s="67">
        <v>106.7487</v>
      </c>
      <c r="C5218" s="67">
        <v>10.94838</v>
      </c>
      <c r="D5218" s="67">
        <v>106.7224</v>
      </c>
      <c r="E5218" s="68">
        <v>13.2</v>
      </c>
    </row>
    <row r="5219" ht="22.5" customHeight="1">
      <c r="A5219" s="61">
        <v>10.85846</v>
      </c>
      <c r="B5219" s="63">
        <v>106.7487</v>
      </c>
      <c r="C5219" s="63">
        <v>10.94876</v>
      </c>
      <c r="D5219" s="63">
        <v>106.6885</v>
      </c>
      <c r="E5219" s="64">
        <v>15.5</v>
      </c>
    </row>
    <row r="5220" ht="22.5" customHeight="1">
      <c r="A5220" s="66">
        <v>10.85846</v>
      </c>
      <c r="B5220" s="67">
        <v>106.7487</v>
      </c>
      <c r="C5220" s="67">
        <v>10.94892</v>
      </c>
      <c r="D5220" s="67">
        <v>106.6883</v>
      </c>
      <c r="E5220" s="68">
        <v>15.5</v>
      </c>
    </row>
    <row r="5221" ht="22.5" customHeight="1">
      <c r="A5221" s="61">
        <v>10.85846</v>
      </c>
      <c r="B5221" s="63">
        <v>106.7487</v>
      </c>
      <c r="C5221" s="63">
        <v>10.95115</v>
      </c>
      <c r="D5221" s="63">
        <v>106.7072</v>
      </c>
      <c r="E5221" s="64">
        <v>12.9</v>
      </c>
    </row>
    <row r="5222" ht="22.5" customHeight="1">
      <c r="A5222" s="66">
        <v>10.85846</v>
      </c>
      <c r="B5222" s="67">
        <v>106.7487</v>
      </c>
      <c r="C5222" s="67">
        <v>10.96776</v>
      </c>
      <c r="D5222" s="67">
        <v>106.7421</v>
      </c>
      <c r="E5222" s="68">
        <v>13.4</v>
      </c>
    </row>
    <row r="5223" ht="22.5" customHeight="1">
      <c r="A5223" s="61">
        <v>10.85846</v>
      </c>
      <c r="B5223" s="63">
        <v>106.7487</v>
      </c>
      <c r="C5223" s="63">
        <v>10.9756</v>
      </c>
      <c r="D5223" s="63">
        <v>106.6583</v>
      </c>
      <c r="E5223" s="64">
        <v>19.7</v>
      </c>
    </row>
    <row r="5224" ht="22.5" customHeight="1">
      <c r="A5224" s="66">
        <v>10.85846</v>
      </c>
      <c r="B5224" s="67">
        <v>106.7487</v>
      </c>
      <c r="C5224" s="67">
        <v>10.97636</v>
      </c>
      <c r="D5224" s="67">
        <v>106.6705</v>
      </c>
      <c r="E5224" s="68">
        <v>17.9</v>
      </c>
    </row>
    <row r="5225" ht="22.5" customHeight="1">
      <c r="A5225" s="61">
        <v>10.85846</v>
      </c>
      <c r="B5225" s="63">
        <v>106.7487</v>
      </c>
      <c r="C5225" s="63">
        <v>10.97922</v>
      </c>
      <c r="D5225" s="63">
        <v>106.6555</v>
      </c>
      <c r="E5225" s="64">
        <v>19.7</v>
      </c>
    </row>
    <row r="5226" ht="22.5" customHeight="1">
      <c r="A5226" s="66">
        <v>10.85846</v>
      </c>
      <c r="B5226" s="67">
        <v>106.7487</v>
      </c>
      <c r="C5226" s="67">
        <v>10.97933</v>
      </c>
      <c r="D5226" s="67">
        <v>106.7402</v>
      </c>
      <c r="E5226" s="68">
        <v>15.5</v>
      </c>
    </row>
    <row r="5227" ht="22.5" customHeight="1">
      <c r="A5227" s="61">
        <v>10.85846</v>
      </c>
      <c r="B5227" s="63">
        <v>106.7487</v>
      </c>
      <c r="C5227" s="63">
        <v>11.02204</v>
      </c>
      <c r="D5227" s="63">
        <v>106.6516</v>
      </c>
      <c r="E5227" s="64">
        <v>24.4</v>
      </c>
    </row>
    <row r="5228" ht="22.5" customHeight="1">
      <c r="A5228" s="66">
        <v>10.85911</v>
      </c>
      <c r="B5228" s="67">
        <v>106.6124</v>
      </c>
      <c r="C5228" s="67">
        <v>10.82721</v>
      </c>
      <c r="D5228" s="67">
        <v>106.6247</v>
      </c>
      <c r="E5228" s="68">
        <v>5.823</v>
      </c>
    </row>
    <row r="5229" ht="22.5" customHeight="1">
      <c r="A5229" s="61">
        <v>10.85911</v>
      </c>
      <c r="B5229" s="63">
        <v>106.6124</v>
      </c>
      <c r="C5229" s="63">
        <v>10.83926</v>
      </c>
      <c r="D5229" s="63">
        <v>106.6297</v>
      </c>
      <c r="E5229" s="64">
        <v>4.25</v>
      </c>
    </row>
    <row r="5230" ht="22.5" customHeight="1">
      <c r="A5230" s="66">
        <v>10.85911</v>
      </c>
      <c r="B5230" s="67">
        <v>106.6124</v>
      </c>
      <c r="C5230" s="67">
        <v>10.84253</v>
      </c>
      <c r="D5230" s="67">
        <v>106.6427</v>
      </c>
      <c r="E5230" s="68">
        <v>4.114</v>
      </c>
    </row>
    <row r="5231" ht="22.5" customHeight="1">
      <c r="A5231" s="61">
        <v>10.85911</v>
      </c>
      <c r="B5231" s="63">
        <v>106.6124</v>
      </c>
      <c r="C5231" s="63">
        <v>10.85646</v>
      </c>
      <c r="D5231" s="63">
        <v>106.6159</v>
      </c>
      <c r="E5231" s="64">
        <v>0.479</v>
      </c>
    </row>
    <row r="5232" ht="22.5" customHeight="1">
      <c r="A5232" s="66">
        <v>10.86033</v>
      </c>
      <c r="B5232" s="67">
        <v>106.6104</v>
      </c>
      <c r="C5232" s="67">
        <v>10.88801</v>
      </c>
      <c r="D5232" s="67">
        <v>106.5985</v>
      </c>
      <c r="E5232" s="68">
        <v>4.054</v>
      </c>
    </row>
    <row r="5233" ht="22.5" customHeight="1">
      <c r="A5233" s="61">
        <v>10.86052</v>
      </c>
      <c r="B5233" s="63">
        <v>106.7606</v>
      </c>
      <c r="C5233" s="63">
        <v>10.79036</v>
      </c>
      <c r="D5233" s="63">
        <v>106.6973</v>
      </c>
      <c r="E5233" s="64">
        <v>12.492</v>
      </c>
    </row>
    <row r="5234" ht="22.5" customHeight="1">
      <c r="A5234" s="66">
        <v>10.86052</v>
      </c>
      <c r="B5234" s="67">
        <v>106.7606</v>
      </c>
      <c r="C5234" s="67">
        <v>10.80788</v>
      </c>
      <c r="D5234" s="67">
        <v>106.8271</v>
      </c>
      <c r="E5234" s="68">
        <v>12.831</v>
      </c>
    </row>
    <row r="5235" ht="22.5" customHeight="1">
      <c r="A5235" s="61">
        <v>10.86052</v>
      </c>
      <c r="B5235" s="63">
        <v>106.7606</v>
      </c>
      <c r="C5235" s="63">
        <v>10.82848</v>
      </c>
      <c r="D5235" s="63">
        <v>106.7685</v>
      </c>
      <c r="E5235" s="64">
        <v>4.552</v>
      </c>
    </row>
    <row r="5236" ht="22.5" customHeight="1">
      <c r="A5236" s="66">
        <v>10.86052</v>
      </c>
      <c r="B5236" s="67">
        <v>106.7606</v>
      </c>
      <c r="C5236" s="67">
        <v>10.83665</v>
      </c>
      <c r="D5236" s="67">
        <v>106.7272</v>
      </c>
      <c r="E5236" s="68">
        <v>5.402</v>
      </c>
    </row>
    <row r="5237" ht="22.5" customHeight="1">
      <c r="A5237" s="61">
        <v>10.86052</v>
      </c>
      <c r="B5237" s="63">
        <v>106.7606</v>
      </c>
      <c r="C5237" s="63">
        <v>10.83771</v>
      </c>
      <c r="D5237" s="63">
        <v>106.8442</v>
      </c>
      <c r="E5237" s="64">
        <v>12.245</v>
      </c>
    </row>
    <row r="5238" ht="22.5" customHeight="1">
      <c r="A5238" s="66">
        <v>10.86052</v>
      </c>
      <c r="B5238" s="67">
        <v>106.7606</v>
      </c>
      <c r="C5238" s="67">
        <v>10.839</v>
      </c>
      <c r="D5238" s="67">
        <v>106.8435</v>
      </c>
      <c r="E5238" s="68">
        <v>12.643</v>
      </c>
    </row>
    <row r="5239" ht="22.5" customHeight="1">
      <c r="A5239" s="61">
        <v>10.86052</v>
      </c>
      <c r="B5239" s="63">
        <v>106.7606</v>
      </c>
      <c r="C5239" s="63">
        <v>10.843</v>
      </c>
      <c r="D5239" s="63">
        <v>106.7308</v>
      </c>
      <c r="E5239" s="64">
        <v>5.716</v>
      </c>
    </row>
    <row r="5240" ht="22.5" customHeight="1">
      <c r="A5240" s="66">
        <v>10.86052</v>
      </c>
      <c r="B5240" s="67">
        <v>106.7606</v>
      </c>
      <c r="C5240" s="67">
        <v>10.84462</v>
      </c>
      <c r="D5240" s="67">
        <v>106.7812</v>
      </c>
      <c r="E5240" s="68">
        <v>3.58</v>
      </c>
    </row>
    <row r="5241" ht="22.5" customHeight="1">
      <c r="A5241" s="61">
        <v>10.86052</v>
      </c>
      <c r="B5241" s="63">
        <v>106.7606</v>
      </c>
      <c r="C5241" s="63">
        <v>10.84473</v>
      </c>
      <c r="D5241" s="63">
        <v>106.7921</v>
      </c>
      <c r="E5241" s="64">
        <v>5.349</v>
      </c>
    </row>
    <row r="5242" ht="22.5" customHeight="1">
      <c r="A5242" s="66">
        <v>10.86052</v>
      </c>
      <c r="B5242" s="67">
        <v>106.7606</v>
      </c>
      <c r="C5242" s="67">
        <v>10.84514</v>
      </c>
      <c r="D5242" s="67">
        <v>106.7274</v>
      </c>
      <c r="E5242" s="68">
        <v>5.47</v>
      </c>
    </row>
    <row r="5243" ht="22.5" customHeight="1">
      <c r="A5243" s="61">
        <v>10.86052</v>
      </c>
      <c r="B5243" s="63">
        <v>106.7606</v>
      </c>
      <c r="C5243" s="63">
        <v>10.8469</v>
      </c>
      <c r="D5243" s="63">
        <v>106.7512</v>
      </c>
      <c r="E5243" s="64">
        <v>4.19</v>
      </c>
    </row>
    <row r="5244" ht="22.5" customHeight="1">
      <c r="A5244" s="66">
        <v>10.86052</v>
      </c>
      <c r="B5244" s="67">
        <v>106.7606</v>
      </c>
      <c r="C5244" s="67">
        <v>10.84695</v>
      </c>
      <c r="D5244" s="67">
        <v>106.7774</v>
      </c>
      <c r="E5244" s="68">
        <v>3.045</v>
      </c>
    </row>
    <row r="5245" ht="22.5" customHeight="1">
      <c r="A5245" s="61">
        <v>10.86052</v>
      </c>
      <c r="B5245" s="63">
        <v>106.7606</v>
      </c>
      <c r="C5245" s="63">
        <v>10.84737</v>
      </c>
      <c r="D5245" s="63">
        <v>106.7766</v>
      </c>
      <c r="E5245" s="64">
        <v>2.731</v>
      </c>
    </row>
    <row r="5246" ht="22.5" customHeight="1">
      <c r="A5246" s="66">
        <v>10.86052</v>
      </c>
      <c r="B5246" s="67">
        <v>106.7606</v>
      </c>
      <c r="C5246" s="67">
        <v>10.8507</v>
      </c>
      <c r="D5246" s="67">
        <v>106.7548</v>
      </c>
      <c r="E5246" s="68">
        <v>1.756</v>
      </c>
    </row>
    <row r="5247" ht="22.5" customHeight="1">
      <c r="A5247" s="61">
        <v>10.86052</v>
      </c>
      <c r="B5247" s="63">
        <v>106.7606</v>
      </c>
      <c r="C5247" s="63">
        <v>10.85154</v>
      </c>
      <c r="D5247" s="63">
        <v>106.7547</v>
      </c>
      <c r="E5247" s="64">
        <v>1.263</v>
      </c>
    </row>
    <row r="5248" ht="22.5" customHeight="1">
      <c r="A5248" s="66">
        <v>10.86052</v>
      </c>
      <c r="B5248" s="67">
        <v>106.7606</v>
      </c>
      <c r="C5248" s="67">
        <v>10.85295</v>
      </c>
      <c r="D5248" s="67">
        <v>106.7922</v>
      </c>
      <c r="E5248" s="68">
        <v>5.174</v>
      </c>
    </row>
    <row r="5249" ht="22.5" customHeight="1">
      <c r="A5249" s="61">
        <v>10.86052</v>
      </c>
      <c r="B5249" s="63">
        <v>106.7606</v>
      </c>
      <c r="C5249" s="63">
        <v>10.85846</v>
      </c>
      <c r="D5249" s="63">
        <v>106.7487</v>
      </c>
      <c r="E5249" s="64">
        <v>2.059</v>
      </c>
    </row>
    <row r="5250" ht="22.5" customHeight="1">
      <c r="A5250" s="66">
        <v>10.86052</v>
      </c>
      <c r="B5250" s="67">
        <v>106.7606</v>
      </c>
      <c r="C5250" s="67">
        <v>10.86052</v>
      </c>
      <c r="D5250" s="67">
        <v>106.7606</v>
      </c>
      <c r="E5250" s="68">
        <v>0.0</v>
      </c>
    </row>
    <row r="5251" ht="22.5" customHeight="1">
      <c r="A5251" s="61">
        <v>10.86052</v>
      </c>
      <c r="B5251" s="63">
        <v>106.7606</v>
      </c>
      <c r="C5251" s="63">
        <v>10.86444</v>
      </c>
      <c r="D5251" s="63">
        <v>106.7457</v>
      </c>
      <c r="E5251" s="64">
        <v>2.72</v>
      </c>
    </row>
    <row r="5252" ht="22.5" customHeight="1">
      <c r="A5252" s="66">
        <v>10.86052</v>
      </c>
      <c r="B5252" s="67">
        <v>106.7606</v>
      </c>
      <c r="C5252" s="67">
        <v>10.86595</v>
      </c>
      <c r="D5252" s="67">
        <v>106.7401</v>
      </c>
      <c r="E5252" s="68">
        <v>3.56</v>
      </c>
    </row>
    <row r="5253" ht="22.5" customHeight="1">
      <c r="A5253" s="61">
        <v>10.86052</v>
      </c>
      <c r="B5253" s="63">
        <v>106.7606</v>
      </c>
      <c r="C5253" s="63">
        <v>10.86892</v>
      </c>
      <c r="D5253" s="63">
        <v>106.8071</v>
      </c>
      <c r="E5253" s="64">
        <v>6.262</v>
      </c>
    </row>
    <row r="5254" ht="22.5" customHeight="1">
      <c r="A5254" s="66">
        <v>10.86052</v>
      </c>
      <c r="B5254" s="67">
        <v>106.7606</v>
      </c>
      <c r="C5254" s="67">
        <v>10.87116</v>
      </c>
      <c r="D5254" s="67">
        <v>106.7635</v>
      </c>
      <c r="E5254" s="68">
        <v>1.253</v>
      </c>
    </row>
    <row r="5255" ht="22.5" customHeight="1">
      <c r="A5255" s="61">
        <v>10.86052</v>
      </c>
      <c r="B5255" s="63">
        <v>106.7606</v>
      </c>
      <c r="C5255" s="63">
        <v>10.87223</v>
      </c>
      <c r="D5255" s="63">
        <v>106.7336</v>
      </c>
      <c r="E5255" s="64">
        <v>4.415</v>
      </c>
    </row>
    <row r="5256" ht="22.5" customHeight="1">
      <c r="A5256" s="66">
        <v>10.86052</v>
      </c>
      <c r="B5256" s="67">
        <v>106.7606</v>
      </c>
      <c r="C5256" s="67">
        <v>10.87819</v>
      </c>
      <c r="D5256" s="67">
        <v>106.7317</v>
      </c>
      <c r="E5256" s="68">
        <v>5.1</v>
      </c>
    </row>
    <row r="5257" ht="22.5" customHeight="1">
      <c r="A5257" s="61">
        <v>10.86052</v>
      </c>
      <c r="B5257" s="63">
        <v>106.7606</v>
      </c>
      <c r="C5257" s="63">
        <v>10.87884</v>
      </c>
      <c r="D5257" s="63">
        <v>106.7667</v>
      </c>
      <c r="E5257" s="64">
        <v>2.189</v>
      </c>
    </row>
    <row r="5258" ht="22.5" customHeight="1">
      <c r="A5258" s="66">
        <v>10.86052</v>
      </c>
      <c r="B5258" s="67">
        <v>106.7606</v>
      </c>
      <c r="C5258" s="67">
        <v>10.8789</v>
      </c>
      <c r="D5258" s="67">
        <v>106.7779</v>
      </c>
      <c r="E5258" s="68">
        <v>3.747</v>
      </c>
    </row>
    <row r="5259" ht="22.5" customHeight="1">
      <c r="A5259" s="61">
        <v>10.86052</v>
      </c>
      <c r="B5259" s="63">
        <v>106.7606</v>
      </c>
      <c r="C5259" s="63">
        <v>10.88518</v>
      </c>
      <c r="D5259" s="63">
        <v>106.7286</v>
      </c>
      <c r="E5259" s="64">
        <v>5.991</v>
      </c>
    </row>
    <row r="5260" ht="22.5" customHeight="1">
      <c r="A5260" s="66">
        <v>10.86054</v>
      </c>
      <c r="B5260" s="67">
        <v>106.7606</v>
      </c>
      <c r="C5260" s="67">
        <v>10.85846</v>
      </c>
      <c r="D5260" s="67">
        <v>106.7487</v>
      </c>
      <c r="E5260" s="68">
        <v>2.059</v>
      </c>
    </row>
    <row r="5261" ht="22.5" customHeight="1">
      <c r="A5261" s="61">
        <v>10.86137</v>
      </c>
      <c r="B5261" s="63">
        <v>106.7799</v>
      </c>
      <c r="C5261" s="63">
        <v>10.84737</v>
      </c>
      <c r="D5261" s="63">
        <v>106.7766</v>
      </c>
      <c r="E5261" s="64">
        <v>2.23</v>
      </c>
    </row>
    <row r="5262" ht="22.5" customHeight="1">
      <c r="A5262" s="66">
        <v>10.86139</v>
      </c>
      <c r="B5262" s="67">
        <v>106.6114</v>
      </c>
      <c r="C5262" s="67">
        <v>10.84253</v>
      </c>
      <c r="D5262" s="67">
        <v>106.6427</v>
      </c>
      <c r="E5262" s="68">
        <v>4.607</v>
      </c>
    </row>
    <row r="5263" ht="22.5" customHeight="1">
      <c r="A5263" s="61">
        <v>10.86149</v>
      </c>
      <c r="B5263" s="63">
        <v>106.7804</v>
      </c>
      <c r="C5263" s="63">
        <v>10.84514</v>
      </c>
      <c r="D5263" s="63">
        <v>106.7274</v>
      </c>
      <c r="E5263" s="64">
        <v>8.906</v>
      </c>
    </row>
    <row r="5264" ht="22.5" customHeight="1">
      <c r="A5264" s="66">
        <v>10.86149</v>
      </c>
      <c r="B5264" s="67">
        <v>106.7804</v>
      </c>
      <c r="C5264" s="67">
        <v>10.84695</v>
      </c>
      <c r="D5264" s="67">
        <v>106.7774</v>
      </c>
      <c r="E5264" s="68">
        <v>2.929</v>
      </c>
    </row>
    <row r="5265" ht="22.5" customHeight="1">
      <c r="A5265" s="61">
        <v>10.86149</v>
      </c>
      <c r="B5265" s="63">
        <v>106.7804</v>
      </c>
      <c r="C5265" s="63">
        <v>10.84737</v>
      </c>
      <c r="D5265" s="63">
        <v>106.7766</v>
      </c>
      <c r="E5265" s="64">
        <v>2.304</v>
      </c>
    </row>
    <row r="5266" ht="22.5" customHeight="1">
      <c r="A5266" s="66">
        <v>10.86149</v>
      </c>
      <c r="B5266" s="67">
        <v>106.7804</v>
      </c>
      <c r="C5266" s="67">
        <v>10.85846</v>
      </c>
      <c r="D5266" s="67">
        <v>106.7487</v>
      </c>
      <c r="E5266" s="68">
        <v>4.838</v>
      </c>
    </row>
    <row r="5267" ht="22.5" customHeight="1">
      <c r="A5267" s="61">
        <v>10.86294</v>
      </c>
      <c r="B5267" s="63">
        <v>106.6496</v>
      </c>
      <c r="C5267" s="63">
        <v>10.79975</v>
      </c>
      <c r="D5267" s="63">
        <v>106.6696</v>
      </c>
      <c r="E5267" s="64">
        <v>10.2</v>
      </c>
    </row>
    <row r="5268" ht="22.5" customHeight="1">
      <c r="A5268" s="66">
        <v>10.86294</v>
      </c>
      <c r="B5268" s="67">
        <v>106.6496</v>
      </c>
      <c r="C5268" s="67">
        <v>10.82721</v>
      </c>
      <c r="D5268" s="67">
        <v>106.6247</v>
      </c>
      <c r="E5268" s="68">
        <v>8.0</v>
      </c>
    </row>
    <row r="5269" ht="22.5" customHeight="1">
      <c r="A5269" s="61">
        <v>10.86294</v>
      </c>
      <c r="B5269" s="63">
        <v>106.6496</v>
      </c>
      <c r="C5269" s="63">
        <v>10.83497</v>
      </c>
      <c r="D5269" s="63">
        <v>106.6655</v>
      </c>
      <c r="E5269" s="64">
        <v>4.181</v>
      </c>
    </row>
    <row r="5270" ht="22.5" customHeight="1">
      <c r="A5270" s="66">
        <v>10.86294</v>
      </c>
      <c r="B5270" s="67">
        <v>106.6496</v>
      </c>
      <c r="C5270" s="67">
        <v>10.83926</v>
      </c>
      <c r="D5270" s="67">
        <v>106.6297</v>
      </c>
      <c r="E5270" s="68">
        <v>5.357</v>
      </c>
    </row>
    <row r="5271" ht="22.5" customHeight="1">
      <c r="A5271" s="61">
        <v>10.86294</v>
      </c>
      <c r="B5271" s="63">
        <v>106.6496</v>
      </c>
      <c r="C5271" s="63">
        <v>10.83929</v>
      </c>
      <c r="D5271" s="63">
        <v>106.6575</v>
      </c>
      <c r="E5271" s="64">
        <v>3.947</v>
      </c>
    </row>
    <row r="5272" ht="22.5" customHeight="1">
      <c r="A5272" s="66">
        <v>10.86294</v>
      </c>
      <c r="B5272" s="67">
        <v>106.6496</v>
      </c>
      <c r="C5272" s="67">
        <v>10.84253</v>
      </c>
      <c r="D5272" s="67">
        <v>106.6427</v>
      </c>
      <c r="E5272" s="68">
        <v>5.2</v>
      </c>
    </row>
    <row r="5273" ht="22.5" customHeight="1">
      <c r="A5273" s="61">
        <v>10.86294</v>
      </c>
      <c r="B5273" s="63">
        <v>106.6496</v>
      </c>
      <c r="C5273" s="63">
        <v>10.84317</v>
      </c>
      <c r="D5273" s="63">
        <v>106.6767</v>
      </c>
      <c r="E5273" s="64">
        <v>4.333</v>
      </c>
    </row>
    <row r="5274" ht="22.5" customHeight="1">
      <c r="A5274" s="66">
        <v>10.86294</v>
      </c>
      <c r="B5274" s="67">
        <v>106.6496</v>
      </c>
      <c r="C5274" s="67">
        <v>10.84494</v>
      </c>
      <c r="D5274" s="67">
        <v>106.639</v>
      </c>
      <c r="E5274" s="68">
        <v>4.745</v>
      </c>
    </row>
    <row r="5275" ht="22.5" customHeight="1">
      <c r="A5275" s="61">
        <v>10.86294</v>
      </c>
      <c r="B5275" s="63">
        <v>106.6496</v>
      </c>
      <c r="C5275" s="63">
        <v>10.84929</v>
      </c>
      <c r="D5275" s="63">
        <v>106.6499</v>
      </c>
      <c r="E5275" s="64">
        <v>2.225</v>
      </c>
    </row>
    <row r="5276" ht="22.5" customHeight="1">
      <c r="A5276" s="66">
        <v>10.86294</v>
      </c>
      <c r="B5276" s="67">
        <v>106.6496</v>
      </c>
      <c r="C5276" s="67">
        <v>10.85051</v>
      </c>
      <c r="D5276" s="67">
        <v>106.6368</v>
      </c>
      <c r="E5276" s="68">
        <v>4.597</v>
      </c>
    </row>
    <row r="5277" ht="22.5" customHeight="1">
      <c r="A5277" s="61">
        <v>10.86294</v>
      </c>
      <c r="B5277" s="63">
        <v>106.6496</v>
      </c>
      <c r="C5277" s="63">
        <v>10.85276</v>
      </c>
      <c r="D5277" s="63">
        <v>106.6604</v>
      </c>
      <c r="E5277" s="64">
        <v>1.806</v>
      </c>
    </row>
    <row r="5278" ht="22.5" customHeight="1">
      <c r="A5278" s="66">
        <v>10.86294</v>
      </c>
      <c r="B5278" s="67">
        <v>106.6496</v>
      </c>
      <c r="C5278" s="67">
        <v>10.85526</v>
      </c>
      <c r="D5278" s="67">
        <v>106.6759</v>
      </c>
      <c r="E5278" s="68">
        <v>3.73</v>
      </c>
    </row>
    <row r="5279" ht="22.5" customHeight="1">
      <c r="A5279" s="61">
        <v>10.86294</v>
      </c>
      <c r="B5279" s="63">
        <v>106.6496</v>
      </c>
      <c r="C5279" s="63">
        <v>10.85646</v>
      </c>
      <c r="D5279" s="63">
        <v>106.6159</v>
      </c>
      <c r="E5279" s="64">
        <v>5.549</v>
      </c>
    </row>
    <row r="5280" ht="22.5" customHeight="1">
      <c r="A5280" s="66">
        <v>10.86294</v>
      </c>
      <c r="B5280" s="67">
        <v>106.6496</v>
      </c>
      <c r="C5280" s="67">
        <v>10.86573</v>
      </c>
      <c r="D5280" s="67">
        <v>106.6344</v>
      </c>
      <c r="E5280" s="68">
        <v>2.104</v>
      </c>
    </row>
    <row r="5281" ht="22.5" customHeight="1">
      <c r="A5281" s="61">
        <v>10.86294</v>
      </c>
      <c r="B5281" s="63">
        <v>106.6496</v>
      </c>
      <c r="C5281" s="63">
        <v>10.86696</v>
      </c>
      <c r="D5281" s="63">
        <v>106.6153</v>
      </c>
      <c r="E5281" s="64">
        <v>4.667</v>
      </c>
    </row>
    <row r="5282" ht="22.5" customHeight="1">
      <c r="A5282" s="66">
        <v>10.86294</v>
      </c>
      <c r="B5282" s="67">
        <v>106.6496</v>
      </c>
      <c r="C5282" s="67">
        <v>10.86793</v>
      </c>
      <c r="D5282" s="67">
        <v>106.6494</v>
      </c>
      <c r="E5282" s="68">
        <v>0.549</v>
      </c>
    </row>
    <row r="5283" ht="22.5" customHeight="1">
      <c r="A5283" s="61">
        <v>10.86294</v>
      </c>
      <c r="B5283" s="63">
        <v>106.6496</v>
      </c>
      <c r="C5283" s="63">
        <v>10.87257</v>
      </c>
      <c r="D5283" s="63">
        <v>106.6494</v>
      </c>
      <c r="E5283" s="64">
        <v>1.456</v>
      </c>
    </row>
    <row r="5284" ht="22.5" customHeight="1">
      <c r="A5284" s="66">
        <v>10.86294</v>
      </c>
      <c r="B5284" s="67">
        <v>106.6496</v>
      </c>
      <c r="C5284" s="67">
        <v>10.8732</v>
      </c>
      <c r="D5284" s="67">
        <v>106.6214</v>
      </c>
      <c r="E5284" s="68">
        <v>3.743</v>
      </c>
    </row>
    <row r="5285" ht="22.5" customHeight="1">
      <c r="A5285" s="61">
        <v>10.86294</v>
      </c>
      <c r="B5285" s="63">
        <v>106.6496</v>
      </c>
      <c r="C5285" s="63">
        <v>10.87371</v>
      </c>
      <c r="D5285" s="63">
        <v>106.6217</v>
      </c>
      <c r="E5285" s="64">
        <v>3.813</v>
      </c>
    </row>
    <row r="5286" ht="22.5" customHeight="1">
      <c r="A5286" s="66">
        <v>10.86294</v>
      </c>
      <c r="B5286" s="67">
        <v>106.6496</v>
      </c>
      <c r="C5286" s="67">
        <v>10.87599</v>
      </c>
      <c r="D5286" s="67">
        <v>106.6239</v>
      </c>
      <c r="E5286" s="68">
        <v>3.634</v>
      </c>
    </row>
    <row r="5287" ht="22.5" customHeight="1">
      <c r="A5287" s="61">
        <v>10.86294</v>
      </c>
      <c r="B5287" s="63">
        <v>106.6496</v>
      </c>
      <c r="C5287" s="63">
        <v>10.87625</v>
      </c>
      <c r="D5287" s="63">
        <v>106.6407</v>
      </c>
      <c r="E5287" s="64">
        <v>2.304</v>
      </c>
    </row>
    <row r="5288" ht="22.5" customHeight="1">
      <c r="A5288" s="66">
        <v>10.86294</v>
      </c>
      <c r="B5288" s="67">
        <v>106.6496</v>
      </c>
      <c r="C5288" s="67">
        <v>10.87822</v>
      </c>
      <c r="D5288" s="67">
        <v>106.6503</v>
      </c>
      <c r="E5288" s="68">
        <v>1.811</v>
      </c>
    </row>
    <row r="5289" ht="22.5" customHeight="1">
      <c r="A5289" s="61">
        <v>10.86294</v>
      </c>
      <c r="B5289" s="63">
        <v>106.6496</v>
      </c>
      <c r="C5289" s="63">
        <v>10.88583</v>
      </c>
      <c r="D5289" s="63">
        <v>106.6824</v>
      </c>
      <c r="E5289" s="64">
        <v>5.916</v>
      </c>
    </row>
    <row r="5290" ht="22.5" customHeight="1">
      <c r="A5290" s="66">
        <v>10.86409</v>
      </c>
      <c r="B5290" s="67">
        <v>106.746</v>
      </c>
      <c r="C5290" s="67">
        <v>10.85846</v>
      </c>
      <c r="D5290" s="67">
        <v>106.7487</v>
      </c>
      <c r="E5290" s="68">
        <v>0.736</v>
      </c>
    </row>
    <row r="5291" ht="22.5" customHeight="1">
      <c r="A5291" s="61">
        <v>10.86421</v>
      </c>
      <c r="B5291" s="63">
        <v>106.7455</v>
      </c>
      <c r="C5291" s="63">
        <v>10.843</v>
      </c>
      <c r="D5291" s="63">
        <v>106.7308</v>
      </c>
      <c r="E5291" s="64">
        <v>3.499</v>
      </c>
    </row>
    <row r="5292" ht="22.5" customHeight="1">
      <c r="A5292" s="66">
        <v>10.86421</v>
      </c>
      <c r="B5292" s="67">
        <v>106.7455</v>
      </c>
      <c r="C5292" s="67">
        <v>10.8507</v>
      </c>
      <c r="D5292" s="67">
        <v>106.7548</v>
      </c>
      <c r="E5292" s="68">
        <v>2.197</v>
      </c>
    </row>
    <row r="5293" ht="22.5" customHeight="1">
      <c r="A5293" s="61">
        <v>10.86421</v>
      </c>
      <c r="B5293" s="63">
        <v>106.7455</v>
      </c>
      <c r="C5293" s="63">
        <v>10.85846</v>
      </c>
      <c r="D5293" s="63">
        <v>106.7487</v>
      </c>
      <c r="E5293" s="64">
        <v>0.76</v>
      </c>
    </row>
    <row r="5294" ht="22.5" customHeight="1">
      <c r="A5294" s="61">
        <v>10.86421</v>
      </c>
      <c r="B5294" s="63">
        <v>106.7455</v>
      </c>
      <c r="C5294" s="63">
        <v>10.87819</v>
      </c>
      <c r="D5294" s="63">
        <v>106.7317</v>
      </c>
      <c r="E5294" s="64">
        <v>2.976</v>
      </c>
    </row>
    <row r="5295" ht="22.5" customHeight="1">
      <c r="A5295" s="66">
        <v>10.86433</v>
      </c>
      <c r="B5295" s="67">
        <v>106.7456</v>
      </c>
      <c r="C5295" s="67">
        <v>10.85846</v>
      </c>
      <c r="D5295" s="67">
        <v>106.7487</v>
      </c>
      <c r="E5295" s="68">
        <v>0.673</v>
      </c>
    </row>
    <row r="5296" ht="22.5" customHeight="1">
      <c r="A5296" s="61">
        <v>10.86434</v>
      </c>
      <c r="B5296" s="63">
        <v>106.7457</v>
      </c>
      <c r="C5296" s="63">
        <v>10.843</v>
      </c>
      <c r="D5296" s="63">
        <v>106.7308</v>
      </c>
      <c r="E5296" s="64">
        <v>3.546</v>
      </c>
    </row>
    <row r="5297" ht="22.5" customHeight="1">
      <c r="A5297" s="66">
        <v>10.86434</v>
      </c>
      <c r="B5297" s="67">
        <v>106.7457</v>
      </c>
      <c r="C5297" s="67">
        <v>10.84514</v>
      </c>
      <c r="D5297" s="67">
        <v>106.7274</v>
      </c>
      <c r="E5297" s="68">
        <v>3.251</v>
      </c>
    </row>
    <row r="5298" ht="22.5" customHeight="1">
      <c r="A5298" s="61">
        <v>10.86434</v>
      </c>
      <c r="B5298" s="63">
        <v>106.7457</v>
      </c>
      <c r="C5298" s="63">
        <v>10.85846</v>
      </c>
      <c r="D5298" s="63">
        <v>106.7487</v>
      </c>
      <c r="E5298" s="64">
        <v>0.687</v>
      </c>
    </row>
    <row r="5299" ht="22.5" customHeight="1">
      <c r="A5299" s="66">
        <v>10.86444</v>
      </c>
      <c r="B5299" s="67">
        <v>106.7457</v>
      </c>
      <c r="C5299" s="67">
        <v>10.7881</v>
      </c>
      <c r="D5299" s="67">
        <v>106.7662</v>
      </c>
      <c r="E5299" s="68">
        <v>1.053</v>
      </c>
    </row>
    <row r="5300" ht="22.5" customHeight="1">
      <c r="A5300" s="61">
        <v>10.86444</v>
      </c>
      <c r="B5300" s="63">
        <v>106.7457</v>
      </c>
      <c r="C5300" s="63">
        <v>10.85846</v>
      </c>
      <c r="D5300" s="63">
        <v>106.7487</v>
      </c>
      <c r="E5300" s="64">
        <v>0.678</v>
      </c>
    </row>
    <row r="5301" ht="22.5" customHeight="1">
      <c r="A5301" s="66">
        <v>10.86444</v>
      </c>
      <c r="B5301" s="67">
        <v>106.7457</v>
      </c>
      <c r="C5301" s="67">
        <v>10.86434</v>
      </c>
      <c r="D5301" s="67">
        <v>106.7457</v>
      </c>
      <c r="E5301" s="68">
        <v>0.169</v>
      </c>
    </row>
    <row r="5302" ht="22.5" customHeight="1">
      <c r="A5302" s="61">
        <v>10.86444</v>
      </c>
      <c r="B5302" s="63">
        <v>106.7457</v>
      </c>
      <c r="C5302" s="63">
        <v>10.87819</v>
      </c>
      <c r="D5302" s="63">
        <v>106.7317</v>
      </c>
      <c r="E5302" s="64">
        <v>2.88</v>
      </c>
    </row>
    <row r="5303" ht="22.5" customHeight="1">
      <c r="A5303" s="66">
        <v>10.86444</v>
      </c>
      <c r="B5303" s="67">
        <v>106.7457</v>
      </c>
      <c r="C5303" s="67">
        <v>10.88518</v>
      </c>
      <c r="D5303" s="67">
        <v>106.7286</v>
      </c>
      <c r="E5303" s="68">
        <v>3.754</v>
      </c>
    </row>
    <row r="5304" ht="22.5" customHeight="1">
      <c r="A5304" s="61">
        <v>10.86445</v>
      </c>
      <c r="B5304" s="63">
        <v>106.7457</v>
      </c>
      <c r="C5304" s="63">
        <v>10.85846</v>
      </c>
      <c r="D5304" s="63">
        <v>106.7487</v>
      </c>
      <c r="E5304" s="64">
        <v>0.725</v>
      </c>
    </row>
    <row r="5305" ht="22.5" customHeight="1">
      <c r="A5305" s="66">
        <v>10.86494</v>
      </c>
      <c r="B5305" s="67">
        <v>106.5703</v>
      </c>
      <c r="C5305" s="67">
        <v>10.82721</v>
      </c>
      <c r="D5305" s="67">
        <v>106.6247</v>
      </c>
      <c r="E5305" s="68">
        <v>7.556</v>
      </c>
    </row>
    <row r="5306" ht="22.5" customHeight="1">
      <c r="A5306" s="61">
        <v>10.86494</v>
      </c>
      <c r="B5306" s="63">
        <v>106.5703</v>
      </c>
      <c r="C5306" s="63">
        <v>10.84941</v>
      </c>
      <c r="D5306" s="63">
        <v>106.588</v>
      </c>
      <c r="E5306" s="64">
        <v>2.765</v>
      </c>
    </row>
    <row r="5307" ht="22.5" customHeight="1">
      <c r="A5307" s="66">
        <v>10.86494</v>
      </c>
      <c r="B5307" s="67">
        <v>106.5703</v>
      </c>
      <c r="C5307" s="67">
        <v>10.85292</v>
      </c>
      <c r="D5307" s="67">
        <v>106.5839</v>
      </c>
      <c r="E5307" s="68">
        <v>2.158</v>
      </c>
    </row>
    <row r="5308" ht="22.5" customHeight="1">
      <c r="A5308" s="61">
        <v>10.86494</v>
      </c>
      <c r="B5308" s="63">
        <v>106.5703</v>
      </c>
      <c r="C5308" s="63">
        <v>10.88436</v>
      </c>
      <c r="D5308" s="63">
        <v>106.595</v>
      </c>
      <c r="E5308" s="64">
        <v>5.503</v>
      </c>
    </row>
    <row r="5309" ht="22.5" customHeight="1">
      <c r="A5309" s="66">
        <v>10.86494</v>
      </c>
      <c r="B5309" s="67">
        <v>106.5703</v>
      </c>
      <c r="C5309" s="67">
        <v>10.88706</v>
      </c>
      <c r="D5309" s="67">
        <v>106.5911</v>
      </c>
      <c r="E5309" s="68">
        <v>4.681</v>
      </c>
    </row>
    <row r="5310" ht="22.5" customHeight="1">
      <c r="A5310" s="61">
        <v>10.86494</v>
      </c>
      <c r="B5310" s="63">
        <v>106.5703</v>
      </c>
      <c r="C5310" s="63">
        <v>10.88801</v>
      </c>
      <c r="D5310" s="63">
        <v>106.5985</v>
      </c>
      <c r="E5310" s="64">
        <v>5.55</v>
      </c>
    </row>
    <row r="5311" ht="22.5" customHeight="1">
      <c r="A5311" s="66">
        <v>10.86494</v>
      </c>
      <c r="B5311" s="67">
        <v>106.5703</v>
      </c>
      <c r="C5311" s="67">
        <v>10.8955</v>
      </c>
      <c r="D5311" s="67">
        <v>106.5788</v>
      </c>
      <c r="E5311" s="68">
        <v>5.204</v>
      </c>
    </row>
    <row r="5312" ht="22.5" customHeight="1">
      <c r="A5312" s="61">
        <v>10.86502</v>
      </c>
      <c r="B5312" s="63">
        <v>106.8108</v>
      </c>
      <c r="C5312" s="63">
        <v>10.79036</v>
      </c>
      <c r="D5312" s="63">
        <v>106.6973</v>
      </c>
      <c r="E5312" s="64">
        <v>19.905</v>
      </c>
    </row>
    <row r="5313" ht="22.5" customHeight="1">
      <c r="A5313" s="66">
        <v>10.86502</v>
      </c>
      <c r="B5313" s="67">
        <v>106.8108</v>
      </c>
      <c r="C5313" s="67">
        <v>10.82729</v>
      </c>
      <c r="D5313" s="67">
        <v>106.769</v>
      </c>
      <c r="E5313" s="68">
        <v>8.642</v>
      </c>
    </row>
    <row r="5314" ht="22.5" customHeight="1">
      <c r="A5314" s="61">
        <v>10.86502</v>
      </c>
      <c r="B5314" s="63">
        <v>106.8108</v>
      </c>
      <c r="C5314" s="63">
        <v>10.83771</v>
      </c>
      <c r="D5314" s="63">
        <v>106.8442</v>
      </c>
      <c r="E5314" s="64">
        <v>6.647</v>
      </c>
    </row>
    <row r="5315" ht="22.5" customHeight="1">
      <c r="A5315" s="66">
        <v>10.86502</v>
      </c>
      <c r="B5315" s="67">
        <v>106.8108</v>
      </c>
      <c r="C5315" s="67">
        <v>10.839</v>
      </c>
      <c r="D5315" s="67">
        <v>106.8435</v>
      </c>
      <c r="E5315" s="68">
        <v>6.722</v>
      </c>
    </row>
    <row r="5316" ht="22.5" customHeight="1">
      <c r="A5316" s="61">
        <v>10.86502</v>
      </c>
      <c r="B5316" s="63">
        <v>106.8108</v>
      </c>
      <c r="C5316" s="63">
        <v>10.84462</v>
      </c>
      <c r="D5316" s="63">
        <v>106.7812</v>
      </c>
      <c r="E5316" s="64">
        <v>5.634</v>
      </c>
    </row>
    <row r="5317" ht="22.5" customHeight="1">
      <c r="A5317" s="66">
        <v>10.86502</v>
      </c>
      <c r="B5317" s="67">
        <v>106.8108</v>
      </c>
      <c r="C5317" s="67">
        <v>10.84545</v>
      </c>
      <c r="D5317" s="67">
        <v>106.7867</v>
      </c>
      <c r="E5317" s="68">
        <v>5.02</v>
      </c>
    </row>
    <row r="5318" ht="22.5" customHeight="1">
      <c r="A5318" s="61">
        <v>10.86502</v>
      </c>
      <c r="B5318" s="63">
        <v>106.8108</v>
      </c>
      <c r="C5318" s="63">
        <v>10.84737</v>
      </c>
      <c r="D5318" s="63">
        <v>106.7766</v>
      </c>
      <c r="E5318" s="64">
        <v>7.022</v>
      </c>
    </row>
    <row r="5319" ht="22.5" customHeight="1">
      <c r="A5319" s="66">
        <v>10.86502</v>
      </c>
      <c r="B5319" s="67">
        <v>106.8108</v>
      </c>
      <c r="C5319" s="67">
        <v>10.8498</v>
      </c>
      <c r="D5319" s="67">
        <v>106.8113</v>
      </c>
      <c r="E5319" s="68">
        <v>2.227</v>
      </c>
    </row>
    <row r="5320" ht="22.5" customHeight="1">
      <c r="A5320" s="61">
        <v>10.86502</v>
      </c>
      <c r="B5320" s="63">
        <v>106.8108</v>
      </c>
      <c r="C5320" s="63">
        <v>10.85295</v>
      </c>
      <c r="D5320" s="63">
        <v>106.7922</v>
      </c>
      <c r="E5320" s="64">
        <v>4.716</v>
      </c>
    </row>
    <row r="5321" ht="22.5" customHeight="1">
      <c r="A5321" s="66">
        <v>10.86502</v>
      </c>
      <c r="B5321" s="67">
        <v>106.8108</v>
      </c>
      <c r="C5321" s="67">
        <v>10.86502</v>
      </c>
      <c r="D5321" s="67">
        <v>106.8108</v>
      </c>
      <c r="E5321" s="68">
        <v>0.002</v>
      </c>
    </row>
    <row r="5322" ht="22.5" customHeight="1">
      <c r="A5322" s="61">
        <v>10.86573</v>
      </c>
      <c r="B5322" s="63">
        <v>106.6344</v>
      </c>
      <c r="C5322" s="63">
        <v>10.79975</v>
      </c>
      <c r="D5322" s="63">
        <v>106.6696</v>
      </c>
      <c r="E5322" s="64">
        <v>12.696</v>
      </c>
    </row>
    <row r="5323" ht="22.5" customHeight="1">
      <c r="A5323" s="66">
        <v>10.86573</v>
      </c>
      <c r="B5323" s="67">
        <v>106.6344</v>
      </c>
      <c r="C5323" s="67">
        <v>10.83926</v>
      </c>
      <c r="D5323" s="67">
        <v>106.6297</v>
      </c>
      <c r="E5323" s="68">
        <v>4.555</v>
      </c>
    </row>
    <row r="5324" ht="22.5" customHeight="1">
      <c r="A5324" s="61">
        <v>10.86573</v>
      </c>
      <c r="B5324" s="63">
        <v>106.6344</v>
      </c>
      <c r="C5324" s="63">
        <v>10.84253</v>
      </c>
      <c r="D5324" s="63">
        <v>106.6427</v>
      </c>
      <c r="E5324" s="64">
        <v>4.429</v>
      </c>
    </row>
    <row r="5325" ht="22.5" customHeight="1">
      <c r="A5325" s="66">
        <v>10.86573</v>
      </c>
      <c r="B5325" s="67">
        <v>106.6344</v>
      </c>
      <c r="C5325" s="67">
        <v>10.8445</v>
      </c>
      <c r="D5325" s="67">
        <v>106.6396</v>
      </c>
      <c r="E5325" s="68">
        <v>4.01</v>
      </c>
    </row>
    <row r="5326" ht="22.5" customHeight="1">
      <c r="A5326" s="61">
        <v>10.86573</v>
      </c>
      <c r="B5326" s="63">
        <v>106.6344</v>
      </c>
      <c r="C5326" s="63">
        <v>10.85051</v>
      </c>
      <c r="D5326" s="63">
        <v>106.6368</v>
      </c>
      <c r="E5326" s="64">
        <v>3.817</v>
      </c>
    </row>
    <row r="5327" ht="22.5" customHeight="1">
      <c r="A5327" s="66">
        <v>10.86573</v>
      </c>
      <c r="B5327" s="67">
        <v>106.6344</v>
      </c>
      <c r="C5327" s="67">
        <v>10.86294</v>
      </c>
      <c r="D5327" s="67">
        <v>106.6496</v>
      </c>
      <c r="E5327" s="68">
        <v>2.116</v>
      </c>
    </row>
    <row r="5328" ht="22.5" customHeight="1">
      <c r="A5328" s="61">
        <v>10.86573</v>
      </c>
      <c r="B5328" s="63">
        <v>106.6344</v>
      </c>
      <c r="C5328" s="63">
        <v>10.86793</v>
      </c>
      <c r="D5328" s="63">
        <v>106.6494</v>
      </c>
      <c r="E5328" s="64">
        <v>2.605</v>
      </c>
    </row>
    <row r="5329" ht="22.5" customHeight="1">
      <c r="A5329" s="66">
        <v>10.86573</v>
      </c>
      <c r="B5329" s="67">
        <v>106.6344</v>
      </c>
      <c r="C5329" s="67">
        <v>10.87371</v>
      </c>
      <c r="D5329" s="67">
        <v>106.6217</v>
      </c>
      <c r="E5329" s="68">
        <v>2.165</v>
      </c>
    </row>
    <row r="5330" ht="22.5" customHeight="1">
      <c r="A5330" s="61">
        <v>10.86573</v>
      </c>
      <c r="B5330" s="63">
        <v>106.6344</v>
      </c>
      <c r="C5330" s="63">
        <v>10.87599</v>
      </c>
      <c r="D5330" s="63">
        <v>106.6239</v>
      </c>
      <c r="E5330" s="64">
        <v>2.28</v>
      </c>
    </row>
    <row r="5331" ht="22.5" customHeight="1">
      <c r="A5331" s="66">
        <v>10.86573</v>
      </c>
      <c r="B5331" s="67">
        <v>106.6344</v>
      </c>
      <c r="C5331" s="67">
        <v>10.88583</v>
      </c>
      <c r="D5331" s="67">
        <v>106.6824</v>
      </c>
      <c r="E5331" s="68">
        <v>6.931</v>
      </c>
    </row>
    <row r="5332" ht="22.5" customHeight="1">
      <c r="A5332" s="61">
        <v>10.86595</v>
      </c>
      <c r="B5332" s="63">
        <v>106.7401</v>
      </c>
      <c r="C5332" s="63">
        <v>10.85846</v>
      </c>
      <c r="D5332" s="63">
        <v>106.7487</v>
      </c>
      <c r="E5332" s="64">
        <v>1.365</v>
      </c>
    </row>
    <row r="5333" ht="22.5" customHeight="1">
      <c r="A5333" s="66">
        <v>10.86696</v>
      </c>
      <c r="B5333" s="67">
        <v>106.6153</v>
      </c>
      <c r="C5333" s="67">
        <v>10.79975</v>
      </c>
      <c r="D5333" s="67">
        <v>106.6696</v>
      </c>
      <c r="E5333" s="68">
        <v>11.826</v>
      </c>
    </row>
    <row r="5334" ht="22.5" customHeight="1">
      <c r="A5334" s="61">
        <v>10.86696</v>
      </c>
      <c r="B5334" s="63">
        <v>106.6153</v>
      </c>
      <c r="C5334" s="63">
        <v>10.82721</v>
      </c>
      <c r="D5334" s="63">
        <v>106.6247</v>
      </c>
      <c r="E5334" s="64">
        <v>6.951</v>
      </c>
    </row>
    <row r="5335" ht="22.5" customHeight="1">
      <c r="A5335" s="66">
        <v>10.86696</v>
      </c>
      <c r="B5335" s="67">
        <v>106.6153</v>
      </c>
      <c r="C5335" s="67">
        <v>10.84253</v>
      </c>
      <c r="D5335" s="67">
        <v>106.6427</v>
      </c>
      <c r="E5335" s="68">
        <v>4.34</v>
      </c>
    </row>
    <row r="5336" ht="22.5" customHeight="1">
      <c r="A5336" s="61">
        <v>10.86696</v>
      </c>
      <c r="B5336" s="63">
        <v>106.6153</v>
      </c>
      <c r="C5336" s="63">
        <v>10.8445</v>
      </c>
      <c r="D5336" s="63">
        <v>106.6396</v>
      </c>
      <c r="E5336" s="64">
        <v>3.938</v>
      </c>
    </row>
    <row r="5337" ht="22.5" customHeight="1">
      <c r="A5337" s="66">
        <v>10.86696</v>
      </c>
      <c r="B5337" s="67">
        <v>106.6153</v>
      </c>
      <c r="C5337" s="67">
        <v>10.84494</v>
      </c>
      <c r="D5337" s="67">
        <v>106.639</v>
      </c>
      <c r="E5337" s="68">
        <v>3.861</v>
      </c>
    </row>
    <row r="5338" ht="22.5" customHeight="1">
      <c r="A5338" s="61">
        <v>10.86696</v>
      </c>
      <c r="B5338" s="63">
        <v>106.6153</v>
      </c>
      <c r="C5338" s="63">
        <v>10.85051</v>
      </c>
      <c r="D5338" s="63">
        <v>106.6368</v>
      </c>
      <c r="E5338" s="64">
        <v>3.7</v>
      </c>
    </row>
    <row r="5339" ht="22.5" customHeight="1">
      <c r="A5339" s="66">
        <v>10.86696</v>
      </c>
      <c r="B5339" s="67">
        <v>106.6153</v>
      </c>
      <c r="C5339" s="67">
        <v>10.85911</v>
      </c>
      <c r="D5339" s="67">
        <v>106.6124</v>
      </c>
      <c r="E5339" s="68">
        <v>1.119</v>
      </c>
    </row>
    <row r="5340" ht="22.5" customHeight="1">
      <c r="A5340" s="61">
        <v>10.86696</v>
      </c>
      <c r="B5340" s="63">
        <v>106.6153</v>
      </c>
      <c r="C5340" s="63">
        <v>10.86573</v>
      </c>
      <c r="D5340" s="63">
        <v>106.6344</v>
      </c>
      <c r="E5340" s="64">
        <v>3.024</v>
      </c>
    </row>
    <row r="5341" ht="22.5" customHeight="1">
      <c r="A5341" s="66">
        <v>10.86696</v>
      </c>
      <c r="B5341" s="67">
        <v>106.6153</v>
      </c>
      <c r="C5341" s="67">
        <v>10.86793</v>
      </c>
      <c r="D5341" s="67">
        <v>106.6494</v>
      </c>
      <c r="E5341" s="68">
        <v>5.141</v>
      </c>
    </row>
    <row r="5342" ht="22.5" customHeight="1">
      <c r="A5342" s="61">
        <v>10.86696</v>
      </c>
      <c r="B5342" s="63">
        <v>106.6153</v>
      </c>
      <c r="C5342" s="63">
        <v>10.8732</v>
      </c>
      <c r="D5342" s="63">
        <v>106.6214</v>
      </c>
      <c r="E5342" s="64">
        <v>0.999</v>
      </c>
    </row>
    <row r="5343" ht="22.5" customHeight="1">
      <c r="A5343" s="66">
        <v>10.86696</v>
      </c>
      <c r="B5343" s="67">
        <v>106.6153</v>
      </c>
      <c r="C5343" s="67">
        <v>10.87371</v>
      </c>
      <c r="D5343" s="67">
        <v>106.6217</v>
      </c>
      <c r="E5343" s="68">
        <v>0.997</v>
      </c>
    </row>
    <row r="5344" ht="22.5" customHeight="1">
      <c r="A5344" s="61">
        <v>10.86719</v>
      </c>
      <c r="B5344" s="63">
        <v>106.8138</v>
      </c>
      <c r="C5344" s="63">
        <v>10.83771</v>
      </c>
      <c r="D5344" s="63">
        <v>106.8442</v>
      </c>
      <c r="E5344" s="64">
        <v>6.575</v>
      </c>
    </row>
    <row r="5345" ht="22.5" customHeight="1">
      <c r="A5345" s="66">
        <v>10.86719</v>
      </c>
      <c r="B5345" s="67">
        <v>106.8138</v>
      </c>
      <c r="C5345" s="67">
        <v>10.84737</v>
      </c>
      <c r="D5345" s="67">
        <v>106.7766</v>
      </c>
      <c r="E5345" s="68">
        <v>6.177</v>
      </c>
    </row>
    <row r="5346" ht="22.5" customHeight="1">
      <c r="A5346" s="61">
        <v>10.86793</v>
      </c>
      <c r="B5346" s="63">
        <v>106.6494</v>
      </c>
      <c r="C5346" s="63">
        <v>10.79975</v>
      </c>
      <c r="D5346" s="63">
        <v>106.6696</v>
      </c>
      <c r="E5346" s="64">
        <v>10.369</v>
      </c>
    </row>
    <row r="5347" ht="22.5" customHeight="1">
      <c r="A5347" s="66">
        <v>10.86793</v>
      </c>
      <c r="B5347" s="67">
        <v>106.6494</v>
      </c>
      <c r="C5347" s="67">
        <v>10.81679</v>
      </c>
      <c r="D5347" s="67">
        <v>106.675</v>
      </c>
      <c r="E5347" s="68">
        <v>8.091</v>
      </c>
    </row>
    <row r="5348" ht="22.5" customHeight="1">
      <c r="A5348" s="61">
        <v>10.86793</v>
      </c>
      <c r="B5348" s="63">
        <v>106.6494</v>
      </c>
      <c r="C5348" s="63">
        <v>10.82084</v>
      </c>
      <c r="D5348" s="63">
        <v>106.6837</v>
      </c>
      <c r="E5348" s="64">
        <v>7.795</v>
      </c>
    </row>
    <row r="5349" ht="22.5" customHeight="1">
      <c r="A5349" s="66">
        <v>10.86793</v>
      </c>
      <c r="B5349" s="67">
        <v>106.6494</v>
      </c>
      <c r="C5349" s="67">
        <v>10.82721</v>
      </c>
      <c r="D5349" s="67">
        <v>106.6247</v>
      </c>
      <c r="E5349" s="68">
        <v>8.424</v>
      </c>
    </row>
    <row r="5350" ht="22.5" customHeight="1">
      <c r="A5350" s="61">
        <v>10.86793</v>
      </c>
      <c r="B5350" s="63">
        <v>106.6494</v>
      </c>
      <c r="C5350" s="63">
        <v>10.83465</v>
      </c>
      <c r="D5350" s="63">
        <v>106.6616</v>
      </c>
      <c r="E5350" s="64">
        <v>4.488</v>
      </c>
    </row>
    <row r="5351" ht="22.5" customHeight="1">
      <c r="A5351" s="66">
        <v>10.86793</v>
      </c>
      <c r="B5351" s="67">
        <v>106.6494</v>
      </c>
      <c r="C5351" s="67">
        <v>10.83497</v>
      </c>
      <c r="D5351" s="67">
        <v>106.6655</v>
      </c>
      <c r="E5351" s="68">
        <v>4.567</v>
      </c>
    </row>
    <row r="5352" ht="22.5" customHeight="1">
      <c r="A5352" s="61">
        <v>10.86793</v>
      </c>
      <c r="B5352" s="63">
        <v>106.6494</v>
      </c>
      <c r="C5352" s="63">
        <v>10.83648</v>
      </c>
      <c r="D5352" s="63">
        <v>106.6647</v>
      </c>
      <c r="E5352" s="64">
        <v>4.344</v>
      </c>
    </row>
    <row r="5353" ht="22.5" customHeight="1">
      <c r="A5353" s="66">
        <v>10.86793</v>
      </c>
      <c r="B5353" s="67">
        <v>106.6494</v>
      </c>
      <c r="C5353" s="67">
        <v>10.83926</v>
      </c>
      <c r="D5353" s="67">
        <v>106.6297</v>
      </c>
      <c r="E5353" s="68">
        <v>5.815</v>
      </c>
    </row>
    <row r="5354" ht="22.5" customHeight="1">
      <c r="A5354" s="61">
        <v>10.86793</v>
      </c>
      <c r="B5354" s="63">
        <v>106.6494</v>
      </c>
      <c r="C5354" s="63">
        <v>10.83929</v>
      </c>
      <c r="D5354" s="63">
        <v>106.6575</v>
      </c>
      <c r="E5354" s="64">
        <v>4.418</v>
      </c>
    </row>
    <row r="5355" ht="22.5" customHeight="1">
      <c r="A5355" s="66">
        <v>10.86793</v>
      </c>
      <c r="B5355" s="67">
        <v>106.6494</v>
      </c>
      <c r="C5355" s="67">
        <v>10.84253</v>
      </c>
      <c r="D5355" s="67">
        <v>106.6427</v>
      </c>
      <c r="E5355" s="68">
        <v>4.375</v>
      </c>
    </row>
    <row r="5356" ht="22.5" customHeight="1">
      <c r="A5356" s="61">
        <v>10.86793</v>
      </c>
      <c r="B5356" s="63">
        <v>106.6494</v>
      </c>
      <c r="C5356" s="63">
        <v>10.84317</v>
      </c>
      <c r="D5356" s="63">
        <v>106.6767</v>
      </c>
      <c r="E5356" s="64">
        <v>5.454</v>
      </c>
    </row>
    <row r="5357" ht="22.5" customHeight="1">
      <c r="A5357" s="66">
        <v>10.86793</v>
      </c>
      <c r="B5357" s="67">
        <v>106.6494</v>
      </c>
      <c r="C5357" s="67">
        <v>10.84494</v>
      </c>
      <c r="D5357" s="67">
        <v>106.639</v>
      </c>
      <c r="E5357" s="68">
        <v>4.046</v>
      </c>
    </row>
    <row r="5358" ht="22.5" customHeight="1">
      <c r="A5358" s="61">
        <v>10.86793</v>
      </c>
      <c r="B5358" s="63">
        <v>106.6494</v>
      </c>
      <c r="C5358" s="63">
        <v>10.84929</v>
      </c>
      <c r="D5358" s="63">
        <v>106.6499</v>
      </c>
      <c r="E5358" s="64">
        <v>2.686</v>
      </c>
    </row>
    <row r="5359" ht="22.5" customHeight="1">
      <c r="A5359" s="66">
        <v>10.86793</v>
      </c>
      <c r="B5359" s="67">
        <v>106.6494</v>
      </c>
      <c r="C5359" s="67">
        <v>10.85078</v>
      </c>
      <c r="D5359" s="67">
        <v>106.6543</v>
      </c>
      <c r="E5359" s="68">
        <v>2.321</v>
      </c>
    </row>
    <row r="5360" ht="22.5" customHeight="1">
      <c r="A5360" s="61">
        <v>10.86793</v>
      </c>
      <c r="B5360" s="63">
        <v>106.6494</v>
      </c>
      <c r="C5360" s="63">
        <v>10.85188</v>
      </c>
      <c r="D5360" s="63">
        <v>106.6654</v>
      </c>
      <c r="E5360" s="64">
        <v>3.441</v>
      </c>
    </row>
    <row r="5361" ht="22.5" customHeight="1">
      <c r="A5361" s="66">
        <v>10.86793</v>
      </c>
      <c r="B5361" s="67">
        <v>106.6494</v>
      </c>
      <c r="C5361" s="67">
        <v>10.85276</v>
      </c>
      <c r="D5361" s="67">
        <v>106.6604</v>
      </c>
      <c r="E5361" s="68">
        <v>2.287</v>
      </c>
    </row>
    <row r="5362" ht="22.5" customHeight="1">
      <c r="A5362" s="61">
        <v>10.86793</v>
      </c>
      <c r="B5362" s="63">
        <v>106.6494</v>
      </c>
      <c r="C5362" s="63">
        <v>10.85548</v>
      </c>
      <c r="D5362" s="63">
        <v>106.6391</v>
      </c>
      <c r="E5362" s="64">
        <v>5.678</v>
      </c>
    </row>
    <row r="5363" ht="22.5" customHeight="1">
      <c r="A5363" s="66">
        <v>10.86793</v>
      </c>
      <c r="B5363" s="67">
        <v>106.6494</v>
      </c>
      <c r="C5363" s="67">
        <v>10.85646</v>
      </c>
      <c r="D5363" s="67">
        <v>106.6159</v>
      </c>
      <c r="E5363" s="68">
        <v>5.25</v>
      </c>
    </row>
    <row r="5364" ht="22.5" customHeight="1">
      <c r="A5364" s="61">
        <v>10.86793</v>
      </c>
      <c r="B5364" s="63">
        <v>106.6494</v>
      </c>
      <c r="C5364" s="63">
        <v>10.86294</v>
      </c>
      <c r="D5364" s="63">
        <v>106.6496</v>
      </c>
      <c r="E5364" s="64">
        <v>0.85</v>
      </c>
    </row>
    <row r="5365" ht="22.5" customHeight="1">
      <c r="A5365" s="66">
        <v>10.86793</v>
      </c>
      <c r="B5365" s="67">
        <v>106.6494</v>
      </c>
      <c r="C5365" s="67">
        <v>10.86573</v>
      </c>
      <c r="D5365" s="67">
        <v>106.6344</v>
      </c>
      <c r="E5365" s="68">
        <v>2.601</v>
      </c>
    </row>
    <row r="5366" ht="22.5" customHeight="1">
      <c r="A5366" s="61">
        <v>10.86793</v>
      </c>
      <c r="B5366" s="63">
        <v>106.6494</v>
      </c>
      <c r="C5366" s="63">
        <v>10.86793</v>
      </c>
      <c r="D5366" s="63">
        <v>106.6494</v>
      </c>
      <c r="E5366" s="64">
        <v>0.002</v>
      </c>
    </row>
    <row r="5367" ht="22.5" customHeight="1">
      <c r="A5367" s="66">
        <v>10.86793</v>
      </c>
      <c r="B5367" s="67">
        <v>106.6494</v>
      </c>
      <c r="C5367" s="67">
        <v>10.8732</v>
      </c>
      <c r="D5367" s="67">
        <v>106.6214</v>
      </c>
      <c r="E5367" s="68">
        <v>4.152</v>
      </c>
    </row>
    <row r="5368" ht="22.5" customHeight="1">
      <c r="A5368" s="61">
        <v>10.86793</v>
      </c>
      <c r="B5368" s="63">
        <v>106.6494</v>
      </c>
      <c r="C5368" s="63">
        <v>10.87371</v>
      </c>
      <c r="D5368" s="63">
        <v>106.6217</v>
      </c>
      <c r="E5368" s="64">
        <v>4.076</v>
      </c>
    </row>
    <row r="5369" ht="22.5" customHeight="1">
      <c r="A5369" s="66">
        <v>10.86793</v>
      </c>
      <c r="B5369" s="67">
        <v>106.6494</v>
      </c>
      <c r="C5369" s="67">
        <v>10.87599</v>
      </c>
      <c r="D5369" s="67">
        <v>106.6239</v>
      </c>
      <c r="E5369" s="68">
        <v>3.714</v>
      </c>
    </row>
    <row r="5370" ht="22.5" customHeight="1">
      <c r="A5370" s="61">
        <v>10.86793</v>
      </c>
      <c r="B5370" s="63">
        <v>106.6494</v>
      </c>
      <c r="C5370" s="63">
        <v>10.87625</v>
      </c>
      <c r="D5370" s="63">
        <v>106.6407</v>
      </c>
      <c r="E5370" s="64">
        <v>1.912</v>
      </c>
    </row>
    <row r="5371" ht="22.5" customHeight="1">
      <c r="A5371" s="66">
        <v>10.86793</v>
      </c>
      <c r="B5371" s="67">
        <v>106.6494</v>
      </c>
      <c r="C5371" s="67">
        <v>10.88583</v>
      </c>
      <c r="D5371" s="67">
        <v>106.6824</v>
      </c>
      <c r="E5371" s="68">
        <v>5.475</v>
      </c>
    </row>
    <row r="5372" ht="22.5" customHeight="1">
      <c r="A5372" s="61">
        <v>10.86793</v>
      </c>
      <c r="B5372" s="63">
        <v>106.6494</v>
      </c>
      <c r="C5372" s="63">
        <v>10.89317</v>
      </c>
      <c r="D5372" s="63">
        <v>106.6879</v>
      </c>
      <c r="E5372" s="64">
        <v>6.407</v>
      </c>
    </row>
    <row r="5373" ht="22.5" customHeight="1">
      <c r="A5373" s="66">
        <v>10.86817</v>
      </c>
      <c r="B5373" s="67">
        <v>106.6853</v>
      </c>
      <c r="C5373" s="67">
        <v>10.84253</v>
      </c>
      <c r="D5373" s="67">
        <v>106.6427</v>
      </c>
      <c r="E5373" s="68">
        <v>7.897</v>
      </c>
    </row>
    <row r="5374" ht="22.5" customHeight="1">
      <c r="A5374" s="61">
        <v>10.86817</v>
      </c>
      <c r="B5374" s="63">
        <v>106.6853</v>
      </c>
      <c r="C5374" s="63">
        <v>10.85051</v>
      </c>
      <c r="D5374" s="63">
        <v>106.6368</v>
      </c>
      <c r="E5374" s="64">
        <v>8.564</v>
      </c>
    </row>
    <row r="5375" ht="22.5" customHeight="1">
      <c r="A5375" s="66">
        <v>10.86817</v>
      </c>
      <c r="B5375" s="67">
        <v>106.6853</v>
      </c>
      <c r="C5375" s="67">
        <v>10.86294</v>
      </c>
      <c r="D5375" s="67">
        <v>106.6496</v>
      </c>
      <c r="E5375" s="68">
        <v>4.648</v>
      </c>
    </row>
    <row r="5376" ht="22.5" customHeight="1">
      <c r="A5376" s="61">
        <v>10.86817</v>
      </c>
      <c r="B5376" s="63">
        <v>106.6853</v>
      </c>
      <c r="C5376" s="63">
        <v>10.86793</v>
      </c>
      <c r="D5376" s="63">
        <v>106.6494</v>
      </c>
      <c r="E5376" s="64">
        <v>5.219</v>
      </c>
    </row>
    <row r="5377" ht="22.5" customHeight="1">
      <c r="A5377" s="66">
        <v>10.86817</v>
      </c>
      <c r="B5377" s="67">
        <v>106.6853</v>
      </c>
      <c r="C5377" s="67">
        <v>10.87599</v>
      </c>
      <c r="D5377" s="67">
        <v>106.6239</v>
      </c>
      <c r="E5377" s="68">
        <v>8.325</v>
      </c>
    </row>
    <row r="5378" ht="22.5" customHeight="1">
      <c r="A5378" s="61">
        <v>10.86817</v>
      </c>
      <c r="B5378" s="63">
        <v>106.6853</v>
      </c>
      <c r="C5378" s="63">
        <v>10.89317</v>
      </c>
      <c r="D5378" s="63">
        <v>106.6879</v>
      </c>
      <c r="E5378" s="64">
        <v>4.406</v>
      </c>
    </row>
    <row r="5379" ht="22.5" customHeight="1">
      <c r="A5379" s="66">
        <v>10.86826</v>
      </c>
      <c r="B5379" s="67">
        <v>106.7145</v>
      </c>
      <c r="C5379" s="67">
        <v>10.77509</v>
      </c>
      <c r="D5379" s="67">
        <v>106.6727</v>
      </c>
      <c r="E5379" s="68">
        <v>16.602</v>
      </c>
    </row>
    <row r="5380" ht="22.5" customHeight="1">
      <c r="A5380" s="61">
        <v>10.86826</v>
      </c>
      <c r="B5380" s="63">
        <v>106.7145</v>
      </c>
      <c r="C5380" s="63">
        <v>10.85846</v>
      </c>
      <c r="D5380" s="63">
        <v>106.7487</v>
      </c>
      <c r="E5380" s="64">
        <v>6.503</v>
      </c>
    </row>
    <row r="5381" ht="22.5" customHeight="1">
      <c r="A5381" s="66">
        <v>10.86826</v>
      </c>
      <c r="B5381" s="67">
        <v>106.7145</v>
      </c>
      <c r="C5381" s="67">
        <v>10.90416</v>
      </c>
      <c r="D5381" s="67">
        <v>106.7027</v>
      </c>
      <c r="E5381" s="68">
        <v>5.7</v>
      </c>
    </row>
    <row r="5382" ht="22.5" customHeight="1">
      <c r="A5382" s="61">
        <v>10.86826</v>
      </c>
      <c r="B5382" s="63">
        <v>106.7145</v>
      </c>
      <c r="C5382" s="63">
        <v>10.90835</v>
      </c>
      <c r="D5382" s="63">
        <v>106.7014</v>
      </c>
      <c r="E5382" s="64">
        <v>6.775</v>
      </c>
    </row>
    <row r="5383" ht="22.5" customHeight="1">
      <c r="A5383" s="66">
        <v>10.86892</v>
      </c>
      <c r="B5383" s="67">
        <v>106.8071</v>
      </c>
      <c r="C5383" s="67">
        <v>10.83771</v>
      </c>
      <c r="D5383" s="67">
        <v>106.8442</v>
      </c>
      <c r="E5383" s="68">
        <v>8.012</v>
      </c>
    </row>
    <row r="5384" ht="22.5" customHeight="1">
      <c r="A5384" s="61">
        <v>10.86892</v>
      </c>
      <c r="B5384" s="63">
        <v>106.8071</v>
      </c>
      <c r="C5384" s="63">
        <v>10.84462</v>
      </c>
      <c r="D5384" s="63">
        <v>106.7812</v>
      </c>
      <c r="E5384" s="64">
        <v>6.139</v>
      </c>
    </row>
    <row r="5385" ht="22.5" customHeight="1">
      <c r="A5385" s="66">
        <v>10.86892</v>
      </c>
      <c r="B5385" s="67">
        <v>106.8071</v>
      </c>
      <c r="C5385" s="67">
        <v>10.84695</v>
      </c>
      <c r="D5385" s="67">
        <v>106.7774</v>
      </c>
      <c r="E5385" s="68">
        <v>6.256</v>
      </c>
    </row>
    <row r="5386" ht="22.5" customHeight="1">
      <c r="A5386" s="61">
        <v>10.86892</v>
      </c>
      <c r="B5386" s="63">
        <v>106.8071</v>
      </c>
      <c r="C5386" s="63">
        <v>10.84737</v>
      </c>
      <c r="D5386" s="63">
        <v>106.7766</v>
      </c>
      <c r="E5386" s="64">
        <v>6.137</v>
      </c>
    </row>
    <row r="5387" ht="22.5" customHeight="1">
      <c r="A5387" s="66">
        <v>10.86892</v>
      </c>
      <c r="B5387" s="67">
        <v>106.8071</v>
      </c>
      <c r="C5387" s="67">
        <v>10.85295</v>
      </c>
      <c r="D5387" s="67">
        <v>106.7922</v>
      </c>
      <c r="E5387" s="68">
        <v>6.0</v>
      </c>
    </row>
    <row r="5388" ht="22.5" customHeight="1">
      <c r="A5388" s="61">
        <v>10.86894</v>
      </c>
      <c r="B5388" s="63">
        <v>106.5974</v>
      </c>
      <c r="C5388" s="63">
        <v>10.87507</v>
      </c>
      <c r="D5388" s="63">
        <v>106.5985</v>
      </c>
      <c r="E5388" s="64">
        <v>2.805</v>
      </c>
    </row>
    <row r="5389" ht="22.5" customHeight="1">
      <c r="A5389" s="66">
        <v>10.86915</v>
      </c>
      <c r="B5389" s="67">
        <v>106.974</v>
      </c>
      <c r="C5389" s="67">
        <v>10.73595</v>
      </c>
      <c r="D5389" s="67">
        <v>106.9345</v>
      </c>
      <c r="E5389" s="68">
        <v>21.9</v>
      </c>
    </row>
    <row r="5390" ht="22.5" customHeight="1">
      <c r="A5390" s="61">
        <v>10.86915</v>
      </c>
      <c r="B5390" s="63">
        <v>106.974</v>
      </c>
      <c r="C5390" s="63">
        <v>10.79462</v>
      </c>
      <c r="D5390" s="63">
        <v>106.9453</v>
      </c>
      <c r="E5390" s="64">
        <v>12.371</v>
      </c>
    </row>
    <row r="5391" ht="22.5" customHeight="1">
      <c r="A5391" s="66">
        <v>10.86915</v>
      </c>
      <c r="B5391" s="67">
        <v>106.974</v>
      </c>
      <c r="C5391" s="67">
        <v>10.88161</v>
      </c>
      <c r="D5391" s="67">
        <v>106.9941</v>
      </c>
      <c r="E5391" s="68">
        <v>3.277</v>
      </c>
    </row>
    <row r="5392" ht="22.5" customHeight="1">
      <c r="A5392" s="61">
        <v>10.86915</v>
      </c>
      <c r="B5392" s="63">
        <v>106.974</v>
      </c>
      <c r="C5392" s="63">
        <v>10.90181</v>
      </c>
      <c r="D5392" s="63">
        <v>106.8523</v>
      </c>
      <c r="E5392" s="64">
        <v>16.746</v>
      </c>
    </row>
    <row r="5393" ht="22.5" customHeight="1">
      <c r="A5393" s="66">
        <v>10.86915</v>
      </c>
      <c r="B5393" s="67">
        <v>106.974</v>
      </c>
      <c r="C5393" s="67">
        <v>10.94731</v>
      </c>
      <c r="D5393" s="67">
        <v>106.8284</v>
      </c>
      <c r="E5393" s="68">
        <v>23.088</v>
      </c>
    </row>
    <row r="5394" ht="22.5" customHeight="1">
      <c r="A5394" s="61">
        <v>10.87116</v>
      </c>
      <c r="B5394" s="63">
        <v>106.7635</v>
      </c>
      <c r="C5394" s="63">
        <v>10.81991</v>
      </c>
      <c r="D5394" s="63">
        <v>106.8322</v>
      </c>
      <c r="E5394" s="64">
        <v>12.041</v>
      </c>
    </row>
    <row r="5395" ht="22.5" customHeight="1">
      <c r="A5395" s="66">
        <v>10.87116</v>
      </c>
      <c r="B5395" s="67">
        <v>106.7635</v>
      </c>
      <c r="C5395" s="67">
        <v>10.83665</v>
      </c>
      <c r="D5395" s="67">
        <v>106.7272</v>
      </c>
      <c r="E5395" s="68">
        <v>7.011</v>
      </c>
    </row>
    <row r="5396" ht="22.5" customHeight="1">
      <c r="A5396" s="61">
        <v>10.87116</v>
      </c>
      <c r="B5396" s="63">
        <v>106.7635</v>
      </c>
      <c r="C5396" s="63">
        <v>10.843</v>
      </c>
      <c r="D5396" s="63">
        <v>106.7308</v>
      </c>
      <c r="E5396" s="64">
        <v>6.123</v>
      </c>
    </row>
    <row r="5397" ht="22.5" customHeight="1">
      <c r="A5397" s="66">
        <v>10.87116</v>
      </c>
      <c r="B5397" s="67">
        <v>106.7635</v>
      </c>
      <c r="C5397" s="67">
        <v>10.8469</v>
      </c>
      <c r="D5397" s="67">
        <v>106.7512</v>
      </c>
      <c r="E5397" s="68">
        <v>5.32</v>
      </c>
    </row>
    <row r="5398" ht="22.5" customHeight="1">
      <c r="A5398" s="61">
        <v>10.87116</v>
      </c>
      <c r="B5398" s="63">
        <v>106.7635</v>
      </c>
      <c r="C5398" s="63">
        <v>10.84737</v>
      </c>
      <c r="D5398" s="63">
        <v>106.7766</v>
      </c>
      <c r="E5398" s="64">
        <v>4.187</v>
      </c>
    </row>
    <row r="5399" ht="22.5" customHeight="1">
      <c r="A5399" s="66">
        <v>10.87116</v>
      </c>
      <c r="B5399" s="67">
        <v>106.7635</v>
      </c>
      <c r="C5399" s="67">
        <v>10.8507</v>
      </c>
      <c r="D5399" s="67">
        <v>106.7548</v>
      </c>
      <c r="E5399" s="68">
        <v>3.073</v>
      </c>
    </row>
    <row r="5400" ht="22.5" customHeight="1">
      <c r="A5400" s="61">
        <v>10.87116</v>
      </c>
      <c r="B5400" s="63">
        <v>106.7635</v>
      </c>
      <c r="C5400" s="63">
        <v>10.85846</v>
      </c>
      <c r="D5400" s="63">
        <v>106.7487</v>
      </c>
      <c r="E5400" s="64">
        <v>3.16</v>
      </c>
    </row>
    <row r="5401" ht="22.5" customHeight="1">
      <c r="A5401" s="66">
        <v>10.87116</v>
      </c>
      <c r="B5401" s="67">
        <v>106.7635</v>
      </c>
      <c r="C5401" s="67">
        <v>10.86052</v>
      </c>
      <c r="D5401" s="67">
        <v>106.7606</v>
      </c>
      <c r="E5401" s="68">
        <v>1.293</v>
      </c>
    </row>
    <row r="5402" ht="22.5" customHeight="1">
      <c r="A5402" s="61">
        <v>10.87189</v>
      </c>
      <c r="B5402" s="63">
        <v>106.5975</v>
      </c>
      <c r="C5402" s="63">
        <v>10.79975</v>
      </c>
      <c r="D5402" s="63">
        <v>106.6696</v>
      </c>
      <c r="E5402" s="64">
        <v>12.578</v>
      </c>
    </row>
    <row r="5403" ht="22.5" customHeight="1">
      <c r="A5403" s="66">
        <v>10.87189</v>
      </c>
      <c r="B5403" s="67">
        <v>106.5975</v>
      </c>
      <c r="C5403" s="67">
        <v>10.82721</v>
      </c>
      <c r="D5403" s="67">
        <v>106.6247</v>
      </c>
      <c r="E5403" s="68">
        <v>7.271</v>
      </c>
    </row>
    <row r="5404" ht="22.5" customHeight="1">
      <c r="A5404" s="61">
        <v>10.87189</v>
      </c>
      <c r="B5404" s="63">
        <v>106.5975</v>
      </c>
      <c r="C5404" s="63">
        <v>10.84581</v>
      </c>
      <c r="D5404" s="63">
        <v>106.593</v>
      </c>
      <c r="E5404" s="64">
        <v>4.053</v>
      </c>
    </row>
    <row r="5405" ht="22.5" customHeight="1">
      <c r="A5405" s="66">
        <v>10.87189</v>
      </c>
      <c r="B5405" s="67">
        <v>106.5975</v>
      </c>
      <c r="C5405" s="67">
        <v>10.84909</v>
      </c>
      <c r="D5405" s="67">
        <v>106.5874</v>
      </c>
      <c r="E5405" s="68">
        <v>3.45</v>
      </c>
    </row>
    <row r="5406" ht="22.5" customHeight="1">
      <c r="A5406" s="61">
        <v>10.87189</v>
      </c>
      <c r="B5406" s="63">
        <v>106.5975</v>
      </c>
      <c r="C5406" s="63">
        <v>10.84941</v>
      </c>
      <c r="D5406" s="63">
        <v>106.588</v>
      </c>
      <c r="E5406" s="64">
        <v>3.813</v>
      </c>
    </row>
    <row r="5407" ht="22.5" customHeight="1">
      <c r="A5407" s="66">
        <v>10.87189</v>
      </c>
      <c r="B5407" s="67">
        <v>106.5975</v>
      </c>
      <c r="C5407" s="67">
        <v>10.85059</v>
      </c>
      <c r="D5407" s="67">
        <v>106.5865</v>
      </c>
      <c r="E5407" s="68">
        <v>3.592</v>
      </c>
    </row>
    <row r="5408" ht="22.5" customHeight="1">
      <c r="A5408" s="61">
        <v>10.87189</v>
      </c>
      <c r="B5408" s="63">
        <v>106.5975</v>
      </c>
      <c r="C5408" s="63">
        <v>10.85292</v>
      </c>
      <c r="D5408" s="63">
        <v>106.5839</v>
      </c>
      <c r="E5408" s="64">
        <v>3.651</v>
      </c>
    </row>
    <row r="5409" ht="22.5" customHeight="1">
      <c r="A5409" s="66">
        <v>10.87189</v>
      </c>
      <c r="B5409" s="67">
        <v>106.5975</v>
      </c>
      <c r="C5409" s="67">
        <v>10.86494</v>
      </c>
      <c r="D5409" s="67">
        <v>106.5703</v>
      </c>
      <c r="E5409" s="68">
        <v>4.885</v>
      </c>
    </row>
    <row r="5410" ht="22.5" customHeight="1">
      <c r="A5410" s="61">
        <v>10.87189</v>
      </c>
      <c r="B5410" s="63">
        <v>106.5975</v>
      </c>
      <c r="C5410" s="63">
        <v>10.87189</v>
      </c>
      <c r="D5410" s="63">
        <v>106.5975</v>
      </c>
      <c r="E5410" s="64">
        <v>0.001</v>
      </c>
    </row>
    <row r="5411" ht="22.5" customHeight="1">
      <c r="A5411" s="66">
        <v>10.87189</v>
      </c>
      <c r="B5411" s="67">
        <v>106.5975</v>
      </c>
      <c r="C5411" s="67">
        <v>10.87507</v>
      </c>
      <c r="D5411" s="67">
        <v>106.5985</v>
      </c>
      <c r="E5411" s="68">
        <v>0.342</v>
      </c>
    </row>
    <row r="5412" ht="22.5" customHeight="1">
      <c r="A5412" s="61">
        <v>10.87189</v>
      </c>
      <c r="B5412" s="63">
        <v>106.5975</v>
      </c>
      <c r="C5412" s="63">
        <v>10.88436</v>
      </c>
      <c r="D5412" s="63">
        <v>106.595</v>
      </c>
      <c r="E5412" s="64">
        <v>1.505</v>
      </c>
    </row>
    <row r="5413" ht="22.5" customHeight="1">
      <c r="A5413" s="66">
        <v>10.87189</v>
      </c>
      <c r="B5413" s="67">
        <v>106.5975</v>
      </c>
      <c r="C5413" s="67">
        <v>10.88706</v>
      </c>
      <c r="D5413" s="67">
        <v>106.5911</v>
      </c>
      <c r="E5413" s="68">
        <v>2.214</v>
      </c>
    </row>
    <row r="5414" ht="22.5" customHeight="1">
      <c r="A5414" s="61">
        <v>10.87189</v>
      </c>
      <c r="B5414" s="63">
        <v>106.5975</v>
      </c>
      <c r="C5414" s="63">
        <v>10.88718</v>
      </c>
      <c r="D5414" s="63">
        <v>106.6075</v>
      </c>
      <c r="E5414" s="64">
        <v>3.758</v>
      </c>
    </row>
    <row r="5415" ht="22.5" customHeight="1">
      <c r="A5415" s="66">
        <v>10.87189</v>
      </c>
      <c r="B5415" s="67">
        <v>106.5975</v>
      </c>
      <c r="C5415" s="67">
        <v>10.88801</v>
      </c>
      <c r="D5415" s="67">
        <v>106.5985</v>
      </c>
      <c r="E5415" s="68">
        <v>1.938</v>
      </c>
    </row>
    <row r="5416" ht="22.5" customHeight="1">
      <c r="A5416" s="61">
        <v>10.87189</v>
      </c>
      <c r="B5416" s="63">
        <v>106.5975</v>
      </c>
      <c r="C5416" s="63">
        <v>10.89115</v>
      </c>
      <c r="D5416" s="63">
        <v>106.6142</v>
      </c>
      <c r="E5416" s="64">
        <v>5.637</v>
      </c>
    </row>
    <row r="5417" ht="22.5" customHeight="1">
      <c r="A5417" s="66">
        <v>10.87189</v>
      </c>
      <c r="B5417" s="67">
        <v>106.5975</v>
      </c>
      <c r="C5417" s="67">
        <v>10.8937</v>
      </c>
      <c r="D5417" s="67">
        <v>106.6123</v>
      </c>
      <c r="E5417" s="68">
        <v>3.961</v>
      </c>
    </row>
    <row r="5418" ht="22.5" customHeight="1">
      <c r="A5418" s="61">
        <v>10.87189</v>
      </c>
      <c r="B5418" s="63">
        <v>106.5975</v>
      </c>
      <c r="C5418" s="63">
        <v>10.8955</v>
      </c>
      <c r="D5418" s="63">
        <v>106.5788</v>
      </c>
      <c r="E5418" s="64">
        <v>3.561</v>
      </c>
    </row>
    <row r="5419" ht="22.5" customHeight="1">
      <c r="A5419" s="66">
        <v>10.87223</v>
      </c>
      <c r="B5419" s="67">
        <v>106.7336</v>
      </c>
      <c r="C5419" s="67">
        <v>10.77509</v>
      </c>
      <c r="D5419" s="67">
        <v>106.6727</v>
      </c>
      <c r="E5419" s="68">
        <v>14.905</v>
      </c>
    </row>
    <row r="5420" ht="22.5" customHeight="1">
      <c r="A5420" s="61">
        <v>10.87223</v>
      </c>
      <c r="B5420" s="63">
        <v>106.7336</v>
      </c>
      <c r="C5420" s="63">
        <v>10.79203</v>
      </c>
      <c r="D5420" s="63">
        <v>106.7304</v>
      </c>
      <c r="E5420" s="64">
        <v>12.848</v>
      </c>
    </row>
    <row r="5421" ht="22.5" customHeight="1">
      <c r="A5421" s="66">
        <v>10.87223</v>
      </c>
      <c r="B5421" s="67">
        <v>106.7336</v>
      </c>
      <c r="C5421" s="67">
        <v>10.843</v>
      </c>
      <c r="D5421" s="67">
        <v>106.7308</v>
      </c>
      <c r="E5421" s="68">
        <v>5.004</v>
      </c>
    </row>
    <row r="5422" ht="22.5" customHeight="1">
      <c r="A5422" s="61">
        <v>10.87223</v>
      </c>
      <c r="B5422" s="63">
        <v>106.7336</v>
      </c>
      <c r="C5422" s="63">
        <v>10.8507</v>
      </c>
      <c r="D5422" s="63">
        <v>106.7548</v>
      </c>
      <c r="E5422" s="64">
        <v>4.64</v>
      </c>
    </row>
    <row r="5423" ht="22.5" customHeight="1">
      <c r="A5423" s="66">
        <v>10.87223</v>
      </c>
      <c r="B5423" s="67">
        <v>106.7336</v>
      </c>
      <c r="C5423" s="67">
        <v>10.85846</v>
      </c>
      <c r="D5423" s="67">
        <v>106.7487</v>
      </c>
      <c r="E5423" s="68">
        <v>3.049</v>
      </c>
    </row>
    <row r="5424" ht="22.5" customHeight="1">
      <c r="A5424" s="61">
        <v>10.87257</v>
      </c>
      <c r="B5424" s="63">
        <v>106.6494</v>
      </c>
      <c r="C5424" s="63">
        <v>10.84253</v>
      </c>
      <c r="D5424" s="63">
        <v>106.6427</v>
      </c>
      <c r="E5424" s="64">
        <v>4.915</v>
      </c>
    </row>
    <row r="5425" ht="22.5" customHeight="1">
      <c r="A5425" s="66">
        <v>10.87257</v>
      </c>
      <c r="B5425" s="67">
        <v>106.6494</v>
      </c>
      <c r="C5425" s="67">
        <v>10.85158</v>
      </c>
      <c r="D5425" s="67">
        <v>106.6284</v>
      </c>
      <c r="E5425" s="68">
        <v>3.848</v>
      </c>
    </row>
    <row r="5426" ht="22.5" customHeight="1">
      <c r="A5426" s="61">
        <v>10.87257</v>
      </c>
      <c r="B5426" s="63">
        <v>106.6494</v>
      </c>
      <c r="C5426" s="63">
        <v>10.85276</v>
      </c>
      <c r="D5426" s="63">
        <v>106.6604</v>
      </c>
      <c r="E5426" s="64">
        <v>3.188</v>
      </c>
    </row>
    <row r="5427" ht="22.5" customHeight="1">
      <c r="A5427" s="66">
        <v>10.87257</v>
      </c>
      <c r="B5427" s="67">
        <v>106.6494</v>
      </c>
      <c r="C5427" s="67">
        <v>10.85548</v>
      </c>
      <c r="D5427" s="67">
        <v>106.6391</v>
      </c>
      <c r="E5427" s="68">
        <v>6.187</v>
      </c>
    </row>
    <row r="5428" ht="22.5" customHeight="1">
      <c r="A5428" s="61">
        <v>10.87257</v>
      </c>
      <c r="B5428" s="63">
        <v>106.6494</v>
      </c>
      <c r="C5428" s="63">
        <v>10.86793</v>
      </c>
      <c r="D5428" s="63">
        <v>106.6494</v>
      </c>
      <c r="E5428" s="64">
        <v>0.522</v>
      </c>
    </row>
    <row r="5429" ht="22.5" customHeight="1">
      <c r="A5429" s="66">
        <v>10.87257</v>
      </c>
      <c r="B5429" s="67">
        <v>106.6494</v>
      </c>
      <c r="C5429" s="67">
        <v>10.8732</v>
      </c>
      <c r="D5429" s="67">
        <v>106.6214</v>
      </c>
      <c r="E5429" s="68">
        <v>4.153</v>
      </c>
    </row>
    <row r="5430" ht="22.5" customHeight="1">
      <c r="A5430" s="61">
        <v>10.87257</v>
      </c>
      <c r="B5430" s="63">
        <v>106.6494</v>
      </c>
      <c r="C5430" s="63">
        <v>10.87371</v>
      </c>
      <c r="D5430" s="63">
        <v>106.6217</v>
      </c>
      <c r="E5430" s="64">
        <v>4.064</v>
      </c>
    </row>
    <row r="5431" ht="22.5" customHeight="1">
      <c r="A5431" s="66">
        <v>10.8732</v>
      </c>
      <c r="B5431" s="67">
        <v>106.6214</v>
      </c>
      <c r="C5431" s="67">
        <v>10.79975</v>
      </c>
      <c r="D5431" s="67">
        <v>106.6696</v>
      </c>
      <c r="E5431" s="68">
        <v>12.815</v>
      </c>
    </row>
    <row r="5432" ht="22.5" customHeight="1">
      <c r="A5432" s="61">
        <v>10.8732</v>
      </c>
      <c r="B5432" s="63">
        <v>106.6214</v>
      </c>
      <c r="C5432" s="63">
        <v>10.82721</v>
      </c>
      <c r="D5432" s="63">
        <v>106.6247</v>
      </c>
      <c r="E5432" s="64">
        <v>7.59</v>
      </c>
    </row>
    <row r="5433" ht="22.5" customHeight="1">
      <c r="A5433" s="66">
        <v>10.8732</v>
      </c>
      <c r="B5433" s="67">
        <v>106.6214</v>
      </c>
      <c r="C5433" s="67">
        <v>10.83497</v>
      </c>
      <c r="D5433" s="67">
        <v>106.6655</v>
      </c>
      <c r="E5433" s="68">
        <v>7.864</v>
      </c>
    </row>
    <row r="5434" ht="22.5" customHeight="1">
      <c r="A5434" s="61">
        <v>10.8732</v>
      </c>
      <c r="B5434" s="63">
        <v>106.6214</v>
      </c>
      <c r="C5434" s="63">
        <v>10.83648</v>
      </c>
      <c r="D5434" s="63">
        <v>106.6647</v>
      </c>
      <c r="E5434" s="64">
        <v>7.565</v>
      </c>
    </row>
    <row r="5435" ht="22.5" customHeight="1">
      <c r="A5435" s="66">
        <v>10.8732</v>
      </c>
      <c r="B5435" s="67">
        <v>106.6214</v>
      </c>
      <c r="C5435" s="67">
        <v>10.83926</v>
      </c>
      <c r="D5435" s="67">
        <v>106.6297</v>
      </c>
      <c r="E5435" s="68">
        <v>5.34</v>
      </c>
    </row>
    <row r="5436" ht="22.5" customHeight="1">
      <c r="A5436" s="61">
        <v>10.8732</v>
      </c>
      <c r="B5436" s="63">
        <v>106.6214</v>
      </c>
      <c r="C5436" s="63">
        <v>10.84253</v>
      </c>
      <c r="D5436" s="63">
        <v>106.6427</v>
      </c>
      <c r="E5436" s="64">
        <v>5.227</v>
      </c>
    </row>
    <row r="5437" ht="22.5" customHeight="1">
      <c r="A5437" s="66">
        <v>10.8732</v>
      </c>
      <c r="B5437" s="67">
        <v>106.6214</v>
      </c>
      <c r="C5437" s="67">
        <v>10.84494</v>
      </c>
      <c r="D5437" s="67">
        <v>106.639</v>
      </c>
      <c r="E5437" s="68">
        <v>4.747</v>
      </c>
    </row>
    <row r="5438" ht="22.5" customHeight="1">
      <c r="A5438" s="61">
        <v>10.8732</v>
      </c>
      <c r="B5438" s="63">
        <v>106.6214</v>
      </c>
      <c r="C5438" s="63">
        <v>10.85051</v>
      </c>
      <c r="D5438" s="63">
        <v>106.6368</v>
      </c>
      <c r="E5438" s="64">
        <v>4.674</v>
      </c>
    </row>
    <row r="5439" ht="22.5" customHeight="1">
      <c r="A5439" s="66">
        <v>10.8732</v>
      </c>
      <c r="B5439" s="67">
        <v>106.6214</v>
      </c>
      <c r="C5439" s="67">
        <v>10.85276</v>
      </c>
      <c r="D5439" s="67">
        <v>106.6604</v>
      </c>
      <c r="E5439" s="68">
        <v>5.874</v>
      </c>
    </row>
    <row r="5440" ht="22.5" customHeight="1">
      <c r="A5440" s="61">
        <v>10.8732</v>
      </c>
      <c r="B5440" s="63">
        <v>106.6214</v>
      </c>
      <c r="C5440" s="63">
        <v>10.85911</v>
      </c>
      <c r="D5440" s="63">
        <v>106.6124</v>
      </c>
      <c r="E5440" s="64">
        <v>2.184</v>
      </c>
    </row>
    <row r="5441" ht="22.5" customHeight="1">
      <c r="A5441" s="66">
        <v>10.8732</v>
      </c>
      <c r="B5441" s="67">
        <v>106.6214</v>
      </c>
      <c r="C5441" s="67">
        <v>10.86294</v>
      </c>
      <c r="D5441" s="67">
        <v>106.6496</v>
      </c>
      <c r="E5441" s="68">
        <v>3.73</v>
      </c>
    </row>
    <row r="5442" ht="22.5" customHeight="1">
      <c r="A5442" s="61">
        <v>10.8732</v>
      </c>
      <c r="B5442" s="63">
        <v>106.6214</v>
      </c>
      <c r="C5442" s="63">
        <v>10.86573</v>
      </c>
      <c r="D5442" s="63">
        <v>106.6344</v>
      </c>
      <c r="E5442" s="64">
        <v>2.155</v>
      </c>
    </row>
    <row r="5443" ht="22.5" customHeight="1">
      <c r="A5443" s="66">
        <v>10.8732</v>
      </c>
      <c r="B5443" s="67">
        <v>106.6214</v>
      </c>
      <c r="C5443" s="67">
        <v>10.86696</v>
      </c>
      <c r="D5443" s="67">
        <v>106.6153</v>
      </c>
      <c r="E5443" s="68">
        <v>0.986</v>
      </c>
    </row>
    <row r="5444" ht="22.5" customHeight="1">
      <c r="A5444" s="61">
        <v>10.8732</v>
      </c>
      <c r="B5444" s="63">
        <v>106.6214</v>
      </c>
      <c r="C5444" s="63">
        <v>10.86793</v>
      </c>
      <c r="D5444" s="63">
        <v>106.6494</v>
      </c>
      <c r="E5444" s="64">
        <v>4.145</v>
      </c>
    </row>
    <row r="5445" ht="22.5" customHeight="1">
      <c r="A5445" s="66">
        <v>10.8732</v>
      </c>
      <c r="B5445" s="67">
        <v>106.6214</v>
      </c>
      <c r="C5445" s="67">
        <v>10.87371</v>
      </c>
      <c r="D5445" s="67">
        <v>106.6217</v>
      </c>
      <c r="E5445" s="68">
        <v>0.004</v>
      </c>
    </row>
    <row r="5446" ht="22.5" customHeight="1">
      <c r="A5446" s="61">
        <v>10.8732</v>
      </c>
      <c r="B5446" s="63">
        <v>106.6214</v>
      </c>
      <c r="C5446" s="63">
        <v>10.87583</v>
      </c>
      <c r="D5446" s="63">
        <v>106.6238</v>
      </c>
      <c r="E5446" s="64">
        <v>0.389</v>
      </c>
    </row>
    <row r="5447" ht="22.5" customHeight="1">
      <c r="A5447" s="66">
        <v>10.8732</v>
      </c>
      <c r="B5447" s="67">
        <v>106.6214</v>
      </c>
      <c r="C5447" s="67">
        <v>10.88436</v>
      </c>
      <c r="D5447" s="67">
        <v>106.595</v>
      </c>
      <c r="E5447" s="68">
        <v>4.216</v>
      </c>
    </row>
    <row r="5448" ht="22.5" customHeight="1">
      <c r="A5448" s="61">
        <v>10.8732</v>
      </c>
      <c r="B5448" s="63">
        <v>106.6214</v>
      </c>
      <c r="C5448" s="63">
        <v>10.88583</v>
      </c>
      <c r="D5448" s="63">
        <v>106.6824</v>
      </c>
      <c r="E5448" s="64">
        <v>8.34</v>
      </c>
    </row>
    <row r="5449" ht="22.5" customHeight="1">
      <c r="A5449" s="66">
        <v>10.8732</v>
      </c>
      <c r="B5449" s="67">
        <v>106.6214</v>
      </c>
      <c r="C5449" s="67">
        <v>10.88801</v>
      </c>
      <c r="D5449" s="67">
        <v>106.5985</v>
      </c>
      <c r="E5449" s="68">
        <v>3.491</v>
      </c>
    </row>
    <row r="5450" ht="22.5" customHeight="1">
      <c r="A5450" s="61">
        <v>10.8732</v>
      </c>
      <c r="B5450" s="63">
        <v>106.6214</v>
      </c>
      <c r="C5450" s="63">
        <v>10.89317</v>
      </c>
      <c r="D5450" s="63">
        <v>106.6879</v>
      </c>
      <c r="E5450" s="64">
        <v>10.349</v>
      </c>
    </row>
    <row r="5451" ht="22.5" customHeight="1">
      <c r="A5451" s="66">
        <v>10.87371</v>
      </c>
      <c r="B5451" s="67">
        <v>106.6217</v>
      </c>
      <c r="C5451" s="67">
        <v>10.79975</v>
      </c>
      <c r="D5451" s="67">
        <v>106.6696</v>
      </c>
      <c r="E5451" s="68">
        <v>12.879</v>
      </c>
    </row>
    <row r="5452" ht="22.5" customHeight="1">
      <c r="A5452" s="61">
        <v>10.87371</v>
      </c>
      <c r="B5452" s="63">
        <v>106.6217</v>
      </c>
      <c r="C5452" s="63">
        <v>10.82721</v>
      </c>
      <c r="D5452" s="63">
        <v>106.6247</v>
      </c>
      <c r="E5452" s="64">
        <v>7.587</v>
      </c>
    </row>
    <row r="5453" ht="22.5" customHeight="1">
      <c r="A5453" s="66">
        <v>10.87371</v>
      </c>
      <c r="B5453" s="67">
        <v>106.6217</v>
      </c>
      <c r="C5453" s="67">
        <v>10.83174</v>
      </c>
      <c r="D5453" s="67">
        <v>106.6218</v>
      </c>
      <c r="E5453" s="68">
        <v>5.82</v>
      </c>
    </row>
    <row r="5454" ht="22.5" customHeight="1">
      <c r="A5454" s="61">
        <v>10.87371</v>
      </c>
      <c r="B5454" s="63">
        <v>106.6217</v>
      </c>
      <c r="C5454" s="63">
        <v>10.83497</v>
      </c>
      <c r="D5454" s="63">
        <v>106.6655</v>
      </c>
      <c r="E5454" s="64">
        <v>7.875</v>
      </c>
    </row>
    <row r="5455" ht="22.5" customHeight="1">
      <c r="A5455" s="66">
        <v>10.87371</v>
      </c>
      <c r="B5455" s="67">
        <v>106.6217</v>
      </c>
      <c r="C5455" s="67">
        <v>10.83648</v>
      </c>
      <c r="D5455" s="67">
        <v>106.6647</v>
      </c>
      <c r="E5455" s="68">
        <v>7.578</v>
      </c>
    </row>
    <row r="5456" ht="22.5" customHeight="1">
      <c r="A5456" s="61">
        <v>10.87371</v>
      </c>
      <c r="B5456" s="63">
        <v>106.6217</v>
      </c>
      <c r="C5456" s="63">
        <v>10.83926</v>
      </c>
      <c r="D5456" s="63">
        <v>106.6297</v>
      </c>
      <c r="E5456" s="64">
        <v>5.431</v>
      </c>
    </row>
    <row r="5457" ht="22.5" customHeight="1">
      <c r="A5457" s="66">
        <v>10.87371</v>
      </c>
      <c r="B5457" s="67">
        <v>106.6217</v>
      </c>
      <c r="C5457" s="67">
        <v>10.84253</v>
      </c>
      <c r="D5457" s="67">
        <v>106.6427</v>
      </c>
      <c r="E5457" s="68">
        <v>5.239</v>
      </c>
    </row>
    <row r="5458" ht="22.5" customHeight="1">
      <c r="A5458" s="61">
        <v>10.87371</v>
      </c>
      <c r="B5458" s="63">
        <v>106.6217</v>
      </c>
      <c r="C5458" s="63">
        <v>10.84317</v>
      </c>
      <c r="D5458" s="63">
        <v>106.6767</v>
      </c>
      <c r="E5458" s="64">
        <v>8.128</v>
      </c>
    </row>
    <row r="5459" ht="22.5" customHeight="1">
      <c r="A5459" s="66">
        <v>10.87371</v>
      </c>
      <c r="B5459" s="67">
        <v>106.6217</v>
      </c>
      <c r="C5459" s="67">
        <v>10.84494</v>
      </c>
      <c r="D5459" s="67">
        <v>106.639</v>
      </c>
      <c r="E5459" s="68">
        <v>5.65</v>
      </c>
    </row>
    <row r="5460" ht="22.5" customHeight="1">
      <c r="A5460" s="61">
        <v>10.87371</v>
      </c>
      <c r="B5460" s="63">
        <v>106.6217</v>
      </c>
      <c r="C5460" s="63">
        <v>10.84929</v>
      </c>
      <c r="D5460" s="63">
        <v>106.6499</v>
      </c>
      <c r="E5460" s="64">
        <v>5.912</v>
      </c>
    </row>
    <row r="5461" ht="22.5" customHeight="1">
      <c r="A5461" s="66">
        <v>10.87371</v>
      </c>
      <c r="B5461" s="67">
        <v>106.6217</v>
      </c>
      <c r="C5461" s="67">
        <v>10.85051</v>
      </c>
      <c r="D5461" s="67">
        <v>106.6368</v>
      </c>
      <c r="E5461" s="68">
        <v>4.667</v>
      </c>
    </row>
    <row r="5462" ht="22.5" customHeight="1">
      <c r="A5462" s="61">
        <v>10.87371</v>
      </c>
      <c r="B5462" s="63">
        <v>106.6217</v>
      </c>
      <c r="C5462" s="63">
        <v>10.85646</v>
      </c>
      <c r="D5462" s="63">
        <v>106.6159</v>
      </c>
      <c r="E5462" s="64">
        <v>2.185</v>
      </c>
    </row>
    <row r="5463" ht="22.5" customHeight="1">
      <c r="A5463" s="66">
        <v>10.87371</v>
      </c>
      <c r="B5463" s="67">
        <v>106.6217</v>
      </c>
      <c r="C5463" s="67">
        <v>10.85911</v>
      </c>
      <c r="D5463" s="67">
        <v>106.6124</v>
      </c>
      <c r="E5463" s="68">
        <v>2.18</v>
      </c>
    </row>
    <row r="5464" ht="22.5" customHeight="1">
      <c r="A5464" s="61">
        <v>10.87371</v>
      </c>
      <c r="B5464" s="63">
        <v>106.6217</v>
      </c>
      <c r="C5464" s="63">
        <v>10.86294</v>
      </c>
      <c r="D5464" s="63">
        <v>106.6496</v>
      </c>
      <c r="E5464" s="64">
        <v>4.037</v>
      </c>
    </row>
    <row r="5465" ht="22.5" customHeight="1">
      <c r="A5465" s="66">
        <v>10.87371</v>
      </c>
      <c r="B5465" s="67">
        <v>106.6217</v>
      </c>
      <c r="C5465" s="67">
        <v>10.86573</v>
      </c>
      <c r="D5465" s="67">
        <v>106.6344</v>
      </c>
      <c r="E5465" s="68">
        <v>2.167</v>
      </c>
    </row>
    <row r="5466" ht="22.5" customHeight="1">
      <c r="A5466" s="61">
        <v>10.87371</v>
      </c>
      <c r="B5466" s="63">
        <v>106.6217</v>
      </c>
      <c r="C5466" s="63">
        <v>10.86696</v>
      </c>
      <c r="D5466" s="63">
        <v>106.6153</v>
      </c>
      <c r="E5466" s="64">
        <v>0.997</v>
      </c>
    </row>
    <row r="5467" ht="22.5" customHeight="1">
      <c r="A5467" s="66">
        <v>10.87371</v>
      </c>
      <c r="B5467" s="67">
        <v>106.6217</v>
      </c>
      <c r="C5467" s="67">
        <v>10.86793</v>
      </c>
      <c r="D5467" s="67">
        <v>106.6494</v>
      </c>
      <c r="E5467" s="68">
        <v>4.15</v>
      </c>
    </row>
    <row r="5468" ht="22.5" customHeight="1">
      <c r="A5468" s="61">
        <v>10.87371</v>
      </c>
      <c r="B5468" s="63">
        <v>106.6217</v>
      </c>
      <c r="C5468" s="63">
        <v>10.8732</v>
      </c>
      <c r="D5468" s="63">
        <v>106.6214</v>
      </c>
      <c r="E5468" s="64">
        <v>0.0</v>
      </c>
    </row>
    <row r="5469" ht="22.5" customHeight="1">
      <c r="A5469" s="66">
        <v>10.87371</v>
      </c>
      <c r="B5469" s="67">
        <v>106.6217</v>
      </c>
      <c r="C5469" s="67">
        <v>10.87583</v>
      </c>
      <c r="D5469" s="67">
        <v>106.6238</v>
      </c>
      <c r="E5469" s="68">
        <v>0.322</v>
      </c>
    </row>
    <row r="5470" ht="22.5" customHeight="1">
      <c r="A5470" s="61">
        <v>10.87371</v>
      </c>
      <c r="B5470" s="63">
        <v>106.6217</v>
      </c>
      <c r="C5470" s="63">
        <v>10.87599</v>
      </c>
      <c r="D5470" s="63">
        <v>106.6239</v>
      </c>
      <c r="E5470" s="64">
        <v>0.36</v>
      </c>
    </row>
    <row r="5471" ht="22.5" customHeight="1">
      <c r="A5471" s="66">
        <v>10.87371</v>
      </c>
      <c r="B5471" s="67">
        <v>106.6217</v>
      </c>
      <c r="C5471" s="67">
        <v>10.87822</v>
      </c>
      <c r="D5471" s="67">
        <v>106.6503</v>
      </c>
      <c r="E5471" s="68">
        <v>4.196</v>
      </c>
    </row>
    <row r="5472" ht="22.5" customHeight="1">
      <c r="A5472" s="61">
        <v>10.87371</v>
      </c>
      <c r="B5472" s="63">
        <v>106.6217</v>
      </c>
      <c r="C5472" s="63">
        <v>10.88583</v>
      </c>
      <c r="D5472" s="63">
        <v>106.6824</v>
      </c>
      <c r="E5472" s="64">
        <v>8.323</v>
      </c>
    </row>
    <row r="5473" ht="22.5" customHeight="1">
      <c r="A5473" s="66">
        <v>10.87371</v>
      </c>
      <c r="B5473" s="67">
        <v>106.6217</v>
      </c>
      <c r="C5473" s="67">
        <v>10.88801</v>
      </c>
      <c r="D5473" s="67">
        <v>106.5985</v>
      </c>
      <c r="E5473" s="68">
        <v>3.496</v>
      </c>
    </row>
    <row r="5474" ht="22.5" customHeight="1">
      <c r="A5474" s="61">
        <v>10.87371</v>
      </c>
      <c r="B5474" s="63">
        <v>106.6217</v>
      </c>
      <c r="C5474" s="63">
        <v>10.89317</v>
      </c>
      <c r="D5474" s="63">
        <v>106.6879</v>
      </c>
      <c r="E5474" s="64">
        <v>9.466</v>
      </c>
    </row>
    <row r="5475" ht="22.5" customHeight="1">
      <c r="A5475" s="66">
        <v>10.87371</v>
      </c>
      <c r="B5475" s="67">
        <v>106.6217</v>
      </c>
      <c r="C5475" s="67">
        <v>10.90586</v>
      </c>
      <c r="D5475" s="67">
        <v>106.6438</v>
      </c>
      <c r="E5475" s="68">
        <v>4.569</v>
      </c>
    </row>
    <row r="5476" ht="22.5" customHeight="1">
      <c r="A5476" s="61">
        <v>10.87431</v>
      </c>
      <c r="B5476" s="63">
        <v>106.6122</v>
      </c>
      <c r="C5476" s="63">
        <v>10.77509</v>
      </c>
      <c r="D5476" s="63">
        <v>106.6727</v>
      </c>
      <c r="E5476" s="64">
        <v>16.515</v>
      </c>
    </row>
    <row r="5477" ht="22.5" customHeight="1">
      <c r="A5477" s="66">
        <v>10.87431</v>
      </c>
      <c r="B5477" s="67">
        <v>106.6122</v>
      </c>
      <c r="C5477" s="67">
        <v>10.79975</v>
      </c>
      <c r="D5477" s="67">
        <v>106.6696</v>
      </c>
      <c r="E5477" s="68">
        <v>13.3</v>
      </c>
    </row>
    <row r="5478" ht="22.5" customHeight="1">
      <c r="A5478" s="61">
        <v>10.87431</v>
      </c>
      <c r="B5478" s="63">
        <v>106.6122</v>
      </c>
      <c r="C5478" s="63">
        <v>10.82721</v>
      </c>
      <c r="D5478" s="63">
        <v>106.6247</v>
      </c>
      <c r="E5478" s="64">
        <v>8.1</v>
      </c>
    </row>
    <row r="5479" ht="22.5" customHeight="1">
      <c r="A5479" s="66">
        <v>10.87431</v>
      </c>
      <c r="B5479" s="67">
        <v>106.6122</v>
      </c>
      <c r="C5479" s="67">
        <v>10.88715</v>
      </c>
      <c r="D5479" s="67">
        <v>106.6074</v>
      </c>
      <c r="E5479" s="68">
        <v>1.761</v>
      </c>
    </row>
    <row r="5480" ht="22.5" customHeight="1">
      <c r="A5480" s="61">
        <v>10.87431</v>
      </c>
      <c r="B5480" s="63">
        <v>106.6122</v>
      </c>
      <c r="C5480" s="63">
        <v>10.88801</v>
      </c>
      <c r="D5480" s="63">
        <v>106.5985</v>
      </c>
      <c r="E5480" s="64">
        <v>2.2</v>
      </c>
    </row>
    <row r="5481" ht="22.5" customHeight="1">
      <c r="A5481" s="66">
        <v>10.87431</v>
      </c>
      <c r="B5481" s="67">
        <v>106.6122</v>
      </c>
      <c r="C5481" s="67">
        <v>10.89115</v>
      </c>
      <c r="D5481" s="67">
        <v>106.6142</v>
      </c>
      <c r="E5481" s="68">
        <v>3.202</v>
      </c>
    </row>
    <row r="5482" ht="22.5" customHeight="1">
      <c r="A5482" s="61">
        <v>10.87431</v>
      </c>
      <c r="B5482" s="63">
        <v>106.6122</v>
      </c>
      <c r="C5482" s="63">
        <v>10.8955</v>
      </c>
      <c r="D5482" s="63">
        <v>106.5788</v>
      </c>
      <c r="E5482" s="64">
        <v>7.487</v>
      </c>
    </row>
    <row r="5483" ht="22.5" customHeight="1">
      <c r="A5483" s="66">
        <v>10.87507</v>
      </c>
      <c r="B5483" s="67">
        <v>106.5985</v>
      </c>
      <c r="C5483" s="67">
        <v>10.79975</v>
      </c>
      <c r="D5483" s="67">
        <v>106.6696</v>
      </c>
      <c r="E5483" s="68">
        <v>12.9</v>
      </c>
    </row>
    <row r="5484" ht="22.5" customHeight="1">
      <c r="A5484" s="61">
        <v>10.87507</v>
      </c>
      <c r="B5484" s="63">
        <v>106.5985</v>
      </c>
      <c r="C5484" s="63">
        <v>10.82721</v>
      </c>
      <c r="D5484" s="63">
        <v>106.6247</v>
      </c>
      <c r="E5484" s="64">
        <v>9.4</v>
      </c>
    </row>
    <row r="5485" ht="22.5" customHeight="1">
      <c r="A5485" s="66">
        <v>10.87507</v>
      </c>
      <c r="B5485" s="67">
        <v>106.5985</v>
      </c>
      <c r="C5485" s="67">
        <v>10.87189</v>
      </c>
      <c r="D5485" s="67">
        <v>106.5975</v>
      </c>
      <c r="E5485" s="68">
        <v>0.345</v>
      </c>
    </row>
    <row r="5486" ht="22.5" customHeight="1">
      <c r="A5486" s="61">
        <v>10.87507</v>
      </c>
      <c r="B5486" s="63">
        <v>106.5985</v>
      </c>
      <c r="C5486" s="63">
        <v>10.88436</v>
      </c>
      <c r="D5486" s="63">
        <v>106.595</v>
      </c>
      <c r="E5486" s="64">
        <v>1.496</v>
      </c>
    </row>
    <row r="5487" ht="22.5" customHeight="1">
      <c r="A5487" s="66">
        <v>10.87507</v>
      </c>
      <c r="B5487" s="67">
        <v>106.5985</v>
      </c>
      <c r="C5487" s="67">
        <v>10.88706</v>
      </c>
      <c r="D5487" s="67">
        <v>106.5911</v>
      </c>
      <c r="E5487" s="68">
        <v>2.307</v>
      </c>
    </row>
    <row r="5488" ht="22.5" customHeight="1">
      <c r="A5488" s="61">
        <v>10.87507</v>
      </c>
      <c r="B5488" s="63">
        <v>106.5985</v>
      </c>
      <c r="C5488" s="63">
        <v>10.88718</v>
      </c>
      <c r="D5488" s="63">
        <v>106.6075</v>
      </c>
      <c r="E5488" s="64">
        <v>3.415</v>
      </c>
    </row>
    <row r="5489" ht="22.5" customHeight="1">
      <c r="A5489" s="66">
        <v>10.87507</v>
      </c>
      <c r="B5489" s="67">
        <v>106.5985</v>
      </c>
      <c r="C5489" s="67">
        <v>10.88801</v>
      </c>
      <c r="D5489" s="67">
        <v>106.5985</v>
      </c>
      <c r="E5489" s="68">
        <v>1.1</v>
      </c>
    </row>
    <row r="5490" ht="22.5" customHeight="1">
      <c r="A5490" s="61">
        <v>10.87507</v>
      </c>
      <c r="B5490" s="63">
        <v>106.5985</v>
      </c>
      <c r="C5490" s="63">
        <v>10.89115</v>
      </c>
      <c r="D5490" s="63">
        <v>106.6142</v>
      </c>
      <c r="E5490" s="64">
        <v>5.299</v>
      </c>
    </row>
    <row r="5491" ht="22.5" customHeight="1">
      <c r="A5491" s="66">
        <v>10.87507</v>
      </c>
      <c r="B5491" s="67">
        <v>106.5985</v>
      </c>
      <c r="C5491" s="67">
        <v>10.8937</v>
      </c>
      <c r="D5491" s="67">
        <v>106.6123</v>
      </c>
      <c r="E5491" s="68">
        <v>3.642</v>
      </c>
    </row>
    <row r="5492" ht="22.5" customHeight="1">
      <c r="A5492" s="61">
        <v>10.87507</v>
      </c>
      <c r="B5492" s="63">
        <v>106.5985</v>
      </c>
      <c r="C5492" s="63">
        <v>10.89471</v>
      </c>
      <c r="D5492" s="63">
        <v>106.5794</v>
      </c>
      <c r="E5492" s="64">
        <v>5.36</v>
      </c>
    </row>
    <row r="5493" ht="22.5" customHeight="1">
      <c r="A5493" s="66">
        <v>10.87507</v>
      </c>
      <c r="B5493" s="67">
        <v>106.5985</v>
      </c>
      <c r="C5493" s="67">
        <v>10.8955</v>
      </c>
      <c r="D5493" s="67">
        <v>106.5788</v>
      </c>
      <c r="E5493" s="68">
        <v>4.972</v>
      </c>
    </row>
    <row r="5494" ht="22.5" customHeight="1">
      <c r="A5494" s="61">
        <v>10.87583</v>
      </c>
      <c r="B5494" s="63">
        <v>106.6238</v>
      </c>
      <c r="C5494" s="63">
        <v>10.82721</v>
      </c>
      <c r="D5494" s="63">
        <v>106.6247</v>
      </c>
      <c r="E5494" s="64">
        <v>7.908</v>
      </c>
    </row>
    <row r="5495" ht="22.5" customHeight="1">
      <c r="A5495" s="66">
        <v>10.87583</v>
      </c>
      <c r="B5495" s="67">
        <v>106.6238</v>
      </c>
      <c r="C5495" s="67">
        <v>10.83648</v>
      </c>
      <c r="D5495" s="67">
        <v>106.6647</v>
      </c>
      <c r="E5495" s="68">
        <v>7.471</v>
      </c>
    </row>
    <row r="5496" ht="22.5" customHeight="1">
      <c r="A5496" s="61">
        <v>10.87583</v>
      </c>
      <c r="B5496" s="63">
        <v>106.6238</v>
      </c>
      <c r="C5496" s="63">
        <v>10.83926</v>
      </c>
      <c r="D5496" s="63">
        <v>106.6297</v>
      </c>
      <c r="E5496" s="64">
        <v>5.751</v>
      </c>
    </row>
    <row r="5497" ht="22.5" customHeight="1">
      <c r="A5497" s="66">
        <v>10.87583</v>
      </c>
      <c r="B5497" s="67">
        <v>106.6238</v>
      </c>
      <c r="C5497" s="67">
        <v>10.84253</v>
      </c>
      <c r="D5497" s="67">
        <v>106.6427</v>
      </c>
      <c r="E5497" s="68">
        <v>5.62</v>
      </c>
    </row>
    <row r="5498" ht="22.5" customHeight="1">
      <c r="A5498" s="61">
        <v>10.87583</v>
      </c>
      <c r="B5498" s="63">
        <v>106.6238</v>
      </c>
      <c r="C5498" s="63">
        <v>10.85051</v>
      </c>
      <c r="D5498" s="63">
        <v>106.6368</v>
      </c>
      <c r="E5498" s="64">
        <v>5.001</v>
      </c>
    </row>
    <row r="5499" ht="22.5" customHeight="1">
      <c r="A5499" s="66">
        <v>10.87583</v>
      </c>
      <c r="B5499" s="67">
        <v>106.6238</v>
      </c>
      <c r="C5499" s="67">
        <v>10.85276</v>
      </c>
      <c r="D5499" s="67">
        <v>106.6604</v>
      </c>
      <c r="E5499" s="68">
        <v>5.431</v>
      </c>
    </row>
    <row r="5500" ht="22.5" customHeight="1">
      <c r="A5500" s="61">
        <v>10.87583</v>
      </c>
      <c r="B5500" s="63">
        <v>106.6238</v>
      </c>
      <c r="C5500" s="63">
        <v>10.85646</v>
      </c>
      <c r="D5500" s="63">
        <v>106.6159</v>
      </c>
      <c r="E5500" s="64">
        <v>2.556</v>
      </c>
    </row>
    <row r="5501" ht="22.5" customHeight="1">
      <c r="A5501" s="66">
        <v>10.87583</v>
      </c>
      <c r="B5501" s="67">
        <v>106.6238</v>
      </c>
      <c r="C5501" s="67">
        <v>10.86294</v>
      </c>
      <c r="D5501" s="67">
        <v>106.6496</v>
      </c>
      <c r="E5501" s="68">
        <v>3.758</v>
      </c>
    </row>
    <row r="5502" ht="22.5" customHeight="1">
      <c r="A5502" s="61">
        <v>10.87583</v>
      </c>
      <c r="B5502" s="63">
        <v>106.6238</v>
      </c>
      <c r="C5502" s="63">
        <v>10.86573</v>
      </c>
      <c r="D5502" s="63">
        <v>106.6344</v>
      </c>
      <c r="E5502" s="64">
        <v>2.328</v>
      </c>
    </row>
    <row r="5503" ht="22.5" customHeight="1">
      <c r="A5503" s="66">
        <v>10.87583</v>
      </c>
      <c r="B5503" s="67">
        <v>106.6238</v>
      </c>
      <c r="C5503" s="67">
        <v>10.8732</v>
      </c>
      <c r="D5503" s="67">
        <v>106.6214</v>
      </c>
      <c r="E5503" s="68">
        <v>0.359</v>
      </c>
    </row>
    <row r="5504" ht="22.5" customHeight="1">
      <c r="A5504" s="61">
        <v>10.87583</v>
      </c>
      <c r="B5504" s="63">
        <v>106.6238</v>
      </c>
      <c r="C5504" s="63">
        <v>10.87371</v>
      </c>
      <c r="D5504" s="63">
        <v>106.6217</v>
      </c>
      <c r="E5504" s="64">
        <v>0.387</v>
      </c>
    </row>
    <row r="5505" ht="22.5" customHeight="1">
      <c r="A5505" s="66">
        <v>10.87583</v>
      </c>
      <c r="B5505" s="67">
        <v>106.6238</v>
      </c>
      <c r="C5505" s="67">
        <v>10.87599</v>
      </c>
      <c r="D5505" s="67">
        <v>106.6239</v>
      </c>
      <c r="E5505" s="68">
        <v>0.024</v>
      </c>
    </row>
    <row r="5506" ht="22.5" customHeight="1">
      <c r="A5506" s="61">
        <v>10.87583</v>
      </c>
      <c r="B5506" s="63">
        <v>106.6238</v>
      </c>
      <c r="C5506" s="63">
        <v>10.88583</v>
      </c>
      <c r="D5506" s="63">
        <v>106.6824</v>
      </c>
      <c r="E5506" s="64">
        <v>7.999</v>
      </c>
    </row>
    <row r="5507" ht="22.5" customHeight="1">
      <c r="A5507" s="66">
        <v>10.87583</v>
      </c>
      <c r="B5507" s="67">
        <v>106.6238</v>
      </c>
      <c r="C5507" s="67">
        <v>10.88801</v>
      </c>
      <c r="D5507" s="67">
        <v>106.5985</v>
      </c>
      <c r="E5507" s="68">
        <v>3.403</v>
      </c>
    </row>
    <row r="5508" ht="22.5" customHeight="1">
      <c r="A5508" s="61">
        <v>10.87599</v>
      </c>
      <c r="B5508" s="63">
        <v>106.6239</v>
      </c>
      <c r="C5508" s="63">
        <v>10.79975</v>
      </c>
      <c r="D5508" s="63">
        <v>106.6696</v>
      </c>
      <c r="E5508" s="64">
        <v>13.2</v>
      </c>
    </row>
    <row r="5509" ht="22.5" customHeight="1">
      <c r="A5509" s="66">
        <v>10.87599</v>
      </c>
      <c r="B5509" s="67">
        <v>106.6239</v>
      </c>
      <c r="C5509" s="67">
        <v>10.82721</v>
      </c>
      <c r="D5509" s="67">
        <v>106.6247</v>
      </c>
      <c r="E5509" s="68">
        <v>7.7</v>
      </c>
    </row>
    <row r="5510" ht="22.5" customHeight="1">
      <c r="A5510" s="61">
        <v>10.87599</v>
      </c>
      <c r="B5510" s="63">
        <v>106.6239</v>
      </c>
      <c r="C5510" s="63">
        <v>10.8322</v>
      </c>
      <c r="D5510" s="63">
        <v>106.6337</v>
      </c>
      <c r="E5510" s="64">
        <v>6.838</v>
      </c>
    </row>
    <row r="5511" ht="22.5" customHeight="1">
      <c r="A5511" s="66">
        <v>10.87599</v>
      </c>
      <c r="B5511" s="67">
        <v>106.6239</v>
      </c>
      <c r="C5511" s="67">
        <v>10.83926</v>
      </c>
      <c r="D5511" s="67">
        <v>106.6297</v>
      </c>
      <c r="E5511" s="68">
        <v>5.487</v>
      </c>
    </row>
    <row r="5512" ht="22.5" customHeight="1">
      <c r="A5512" s="61">
        <v>10.87599</v>
      </c>
      <c r="B5512" s="63">
        <v>106.6239</v>
      </c>
      <c r="C5512" s="63">
        <v>10.84253</v>
      </c>
      <c r="D5512" s="63">
        <v>106.6427</v>
      </c>
      <c r="E5512" s="64">
        <v>5.1</v>
      </c>
    </row>
    <row r="5513" ht="22.5" customHeight="1">
      <c r="A5513" s="66">
        <v>10.87599</v>
      </c>
      <c r="B5513" s="67">
        <v>106.6239</v>
      </c>
      <c r="C5513" s="67">
        <v>10.84494</v>
      </c>
      <c r="D5513" s="67">
        <v>106.639</v>
      </c>
      <c r="E5513" s="68">
        <v>5.169</v>
      </c>
    </row>
    <row r="5514" ht="22.5" customHeight="1">
      <c r="A5514" s="61">
        <v>10.87599</v>
      </c>
      <c r="B5514" s="63">
        <v>106.6239</v>
      </c>
      <c r="C5514" s="63">
        <v>10.84929</v>
      </c>
      <c r="D5514" s="63">
        <v>106.6499</v>
      </c>
      <c r="E5514" s="64">
        <v>5.932</v>
      </c>
    </row>
    <row r="5515" ht="22.5" customHeight="1">
      <c r="A5515" s="66">
        <v>10.87599</v>
      </c>
      <c r="B5515" s="67">
        <v>106.6239</v>
      </c>
      <c r="C5515" s="67">
        <v>10.85051</v>
      </c>
      <c r="D5515" s="67">
        <v>106.6368</v>
      </c>
      <c r="E5515" s="68">
        <v>5.05</v>
      </c>
    </row>
    <row r="5516" ht="22.5" customHeight="1">
      <c r="A5516" s="61">
        <v>10.87599</v>
      </c>
      <c r="B5516" s="63">
        <v>106.6239</v>
      </c>
      <c r="C5516" s="63">
        <v>10.85548</v>
      </c>
      <c r="D5516" s="63">
        <v>106.6391</v>
      </c>
      <c r="E5516" s="64">
        <v>5.677</v>
      </c>
    </row>
    <row r="5517" ht="22.5" customHeight="1">
      <c r="A5517" s="66">
        <v>10.87599</v>
      </c>
      <c r="B5517" s="67">
        <v>106.6239</v>
      </c>
      <c r="C5517" s="67">
        <v>10.86696</v>
      </c>
      <c r="D5517" s="67">
        <v>106.6153</v>
      </c>
      <c r="E5517" s="68">
        <v>1.437</v>
      </c>
    </row>
    <row r="5518" ht="22.5" customHeight="1">
      <c r="A5518" s="61">
        <v>10.87599</v>
      </c>
      <c r="B5518" s="63">
        <v>106.6239</v>
      </c>
      <c r="C5518" s="63">
        <v>10.8732</v>
      </c>
      <c r="D5518" s="63">
        <v>106.6214</v>
      </c>
      <c r="E5518" s="64">
        <v>0.053</v>
      </c>
    </row>
    <row r="5519" ht="22.5" customHeight="1">
      <c r="A5519" s="66">
        <v>10.87599</v>
      </c>
      <c r="B5519" s="67">
        <v>106.6239</v>
      </c>
      <c r="C5519" s="67">
        <v>10.87371</v>
      </c>
      <c r="D5519" s="67">
        <v>106.6217</v>
      </c>
      <c r="E5519" s="68">
        <v>0.355</v>
      </c>
    </row>
    <row r="5520" ht="22.5" customHeight="1">
      <c r="A5520" s="61">
        <v>10.87599</v>
      </c>
      <c r="B5520" s="63">
        <v>106.6239</v>
      </c>
      <c r="C5520" s="63">
        <v>10.87583</v>
      </c>
      <c r="D5520" s="63">
        <v>106.6238</v>
      </c>
      <c r="E5520" s="64">
        <v>0.0</v>
      </c>
    </row>
    <row r="5521" ht="22.5" customHeight="1">
      <c r="A5521" s="66">
        <v>10.87599</v>
      </c>
      <c r="B5521" s="67">
        <v>106.6239</v>
      </c>
      <c r="C5521" s="67">
        <v>10.88583</v>
      </c>
      <c r="D5521" s="67">
        <v>106.6824</v>
      </c>
      <c r="E5521" s="68">
        <v>7.959</v>
      </c>
    </row>
    <row r="5522" ht="22.5" customHeight="1">
      <c r="A5522" s="61">
        <v>10.87599</v>
      </c>
      <c r="B5522" s="63">
        <v>106.6239</v>
      </c>
      <c r="C5522" s="63">
        <v>10.88801</v>
      </c>
      <c r="D5522" s="63">
        <v>106.5985</v>
      </c>
      <c r="E5522" s="64">
        <v>3.351</v>
      </c>
    </row>
    <row r="5523" ht="22.5" customHeight="1">
      <c r="A5523" s="66">
        <v>10.87599</v>
      </c>
      <c r="B5523" s="67">
        <v>106.6239</v>
      </c>
      <c r="C5523" s="67">
        <v>10.89317</v>
      </c>
      <c r="D5523" s="67">
        <v>106.6879</v>
      </c>
      <c r="E5523" s="68">
        <v>9.901</v>
      </c>
    </row>
    <row r="5524" ht="22.5" customHeight="1">
      <c r="A5524" s="61">
        <v>10.87625</v>
      </c>
      <c r="B5524" s="63">
        <v>106.6407</v>
      </c>
      <c r="C5524" s="63">
        <v>10.79975</v>
      </c>
      <c r="D5524" s="63">
        <v>106.6696</v>
      </c>
      <c r="E5524" s="64">
        <v>12.481</v>
      </c>
    </row>
    <row r="5525" ht="22.5" customHeight="1">
      <c r="A5525" s="66">
        <v>10.87625</v>
      </c>
      <c r="B5525" s="67">
        <v>106.6407</v>
      </c>
      <c r="C5525" s="67">
        <v>10.83926</v>
      </c>
      <c r="D5525" s="67">
        <v>106.6297</v>
      </c>
      <c r="E5525" s="68">
        <v>5.912</v>
      </c>
    </row>
    <row r="5526" ht="22.5" customHeight="1">
      <c r="A5526" s="61">
        <v>10.87625</v>
      </c>
      <c r="B5526" s="63">
        <v>106.6407</v>
      </c>
      <c r="C5526" s="63">
        <v>10.84253</v>
      </c>
      <c r="D5526" s="63">
        <v>106.6427</v>
      </c>
      <c r="E5526" s="64">
        <v>5.772</v>
      </c>
    </row>
    <row r="5527" ht="22.5" customHeight="1">
      <c r="A5527" s="66">
        <v>10.87625</v>
      </c>
      <c r="B5527" s="67">
        <v>106.6407</v>
      </c>
      <c r="C5527" s="67">
        <v>10.85548</v>
      </c>
      <c r="D5527" s="67">
        <v>106.6391</v>
      </c>
      <c r="E5527" s="68">
        <v>5.764</v>
      </c>
    </row>
    <row r="5528" ht="22.5" customHeight="1">
      <c r="A5528" s="61">
        <v>10.87625</v>
      </c>
      <c r="B5528" s="63">
        <v>106.6407</v>
      </c>
      <c r="C5528" s="63">
        <v>10.86294</v>
      </c>
      <c r="D5528" s="63">
        <v>106.6496</v>
      </c>
      <c r="E5528" s="64">
        <v>2.582</v>
      </c>
    </row>
    <row r="5529" ht="22.5" customHeight="1">
      <c r="A5529" s="66">
        <v>10.87819</v>
      </c>
      <c r="B5529" s="67">
        <v>106.7317</v>
      </c>
      <c r="C5529" s="67">
        <v>10.79203</v>
      </c>
      <c r="D5529" s="67">
        <v>106.7304</v>
      </c>
      <c r="E5529" s="68">
        <v>13.413</v>
      </c>
    </row>
    <row r="5530" ht="22.5" customHeight="1">
      <c r="A5530" s="61">
        <v>10.87819</v>
      </c>
      <c r="B5530" s="63">
        <v>106.7317</v>
      </c>
      <c r="C5530" s="63">
        <v>10.84514</v>
      </c>
      <c r="D5530" s="63">
        <v>106.7274</v>
      </c>
      <c r="E5530" s="64">
        <v>5.047</v>
      </c>
    </row>
    <row r="5531" ht="22.5" customHeight="1">
      <c r="A5531" s="66">
        <v>10.87819</v>
      </c>
      <c r="B5531" s="67">
        <v>106.7317</v>
      </c>
      <c r="C5531" s="67">
        <v>10.85846</v>
      </c>
      <c r="D5531" s="67">
        <v>106.7487</v>
      </c>
      <c r="E5531" s="68">
        <v>3.498</v>
      </c>
    </row>
    <row r="5532" ht="22.5" customHeight="1">
      <c r="A5532" s="61">
        <v>10.87819</v>
      </c>
      <c r="B5532" s="63">
        <v>106.7317</v>
      </c>
      <c r="C5532" s="63">
        <v>10.86052</v>
      </c>
      <c r="D5532" s="63">
        <v>106.7606</v>
      </c>
      <c r="E5532" s="64">
        <v>5.555</v>
      </c>
    </row>
    <row r="5533" ht="22.5" customHeight="1">
      <c r="A5533" s="66">
        <v>10.87819</v>
      </c>
      <c r="B5533" s="67">
        <v>106.7317</v>
      </c>
      <c r="C5533" s="67">
        <v>10.86421</v>
      </c>
      <c r="D5533" s="67">
        <v>106.7455</v>
      </c>
      <c r="E5533" s="68">
        <v>3.074</v>
      </c>
    </row>
    <row r="5534" ht="22.5" customHeight="1">
      <c r="A5534" s="61">
        <v>10.87819</v>
      </c>
      <c r="B5534" s="63">
        <v>106.7317</v>
      </c>
      <c r="C5534" s="63">
        <v>10.86444</v>
      </c>
      <c r="D5534" s="63">
        <v>106.7457</v>
      </c>
      <c r="E5534" s="64">
        <v>2.89</v>
      </c>
    </row>
    <row r="5535" ht="22.5" customHeight="1">
      <c r="A5535" s="66">
        <v>10.87819</v>
      </c>
      <c r="B5535" s="67">
        <v>106.7317</v>
      </c>
      <c r="C5535" s="67">
        <v>10.87116</v>
      </c>
      <c r="D5535" s="67">
        <v>106.7635</v>
      </c>
      <c r="E5535" s="68">
        <v>5.273</v>
      </c>
    </row>
    <row r="5536" ht="22.5" customHeight="1">
      <c r="A5536" s="61">
        <v>10.87819</v>
      </c>
      <c r="B5536" s="63">
        <v>106.7317</v>
      </c>
      <c r="C5536" s="63">
        <v>10.87223</v>
      </c>
      <c r="D5536" s="63">
        <v>106.7336</v>
      </c>
      <c r="E5536" s="64">
        <v>0.811</v>
      </c>
    </row>
    <row r="5537" ht="22.5" customHeight="1">
      <c r="A5537" s="66">
        <v>10.87819</v>
      </c>
      <c r="B5537" s="67">
        <v>106.7317</v>
      </c>
      <c r="C5537" s="67">
        <v>10.87857</v>
      </c>
      <c r="D5537" s="67">
        <v>106.7247</v>
      </c>
      <c r="E5537" s="68">
        <v>1.567</v>
      </c>
    </row>
    <row r="5538" ht="22.5" customHeight="1">
      <c r="A5538" s="61">
        <v>10.87819</v>
      </c>
      <c r="B5538" s="63">
        <v>106.7317</v>
      </c>
      <c r="C5538" s="63">
        <v>10.8789</v>
      </c>
      <c r="D5538" s="63">
        <v>106.7779</v>
      </c>
      <c r="E5538" s="64">
        <v>7.292</v>
      </c>
    </row>
    <row r="5539" ht="22.5" customHeight="1">
      <c r="A5539" s="66">
        <v>10.87822</v>
      </c>
      <c r="B5539" s="67">
        <v>106.6503</v>
      </c>
      <c r="C5539" s="67">
        <v>10.8359</v>
      </c>
      <c r="D5539" s="67">
        <v>106.6599</v>
      </c>
      <c r="E5539" s="68">
        <v>5.588</v>
      </c>
    </row>
    <row r="5540" ht="22.5" customHeight="1">
      <c r="A5540" s="61">
        <v>10.87822</v>
      </c>
      <c r="B5540" s="63">
        <v>106.6503</v>
      </c>
      <c r="C5540" s="63">
        <v>10.83926</v>
      </c>
      <c r="D5540" s="63">
        <v>106.6297</v>
      </c>
      <c r="E5540" s="64">
        <v>6.958</v>
      </c>
    </row>
    <row r="5541" ht="22.5" customHeight="1">
      <c r="A5541" s="66">
        <v>10.87822</v>
      </c>
      <c r="B5541" s="67">
        <v>106.6503</v>
      </c>
      <c r="C5541" s="67">
        <v>10.84253</v>
      </c>
      <c r="D5541" s="67">
        <v>106.6427</v>
      </c>
      <c r="E5541" s="68">
        <v>5.571</v>
      </c>
    </row>
    <row r="5542" ht="22.5" customHeight="1">
      <c r="A5542" s="61">
        <v>10.87822</v>
      </c>
      <c r="B5542" s="63">
        <v>106.6503</v>
      </c>
      <c r="C5542" s="63">
        <v>10.84784</v>
      </c>
      <c r="D5542" s="63">
        <v>106.647</v>
      </c>
      <c r="E5542" s="64">
        <v>4.528</v>
      </c>
    </row>
    <row r="5543" ht="22.5" customHeight="1">
      <c r="A5543" s="66">
        <v>10.87822</v>
      </c>
      <c r="B5543" s="67">
        <v>106.6503</v>
      </c>
      <c r="C5543" s="67">
        <v>10.85051</v>
      </c>
      <c r="D5543" s="67">
        <v>106.6368</v>
      </c>
      <c r="E5543" s="68">
        <v>6.352</v>
      </c>
    </row>
    <row r="5544" ht="22.5" customHeight="1">
      <c r="A5544" s="61">
        <v>10.87822</v>
      </c>
      <c r="B5544" s="63">
        <v>106.6503</v>
      </c>
      <c r="C5544" s="63">
        <v>10.86294</v>
      </c>
      <c r="D5544" s="63">
        <v>106.6496</v>
      </c>
      <c r="E5544" s="64">
        <v>2.138</v>
      </c>
    </row>
    <row r="5545" ht="22.5" customHeight="1">
      <c r="A5545" s="66">
        <v>10.87822</v>
      </c>
      <c r="B5545" s="67">
        <v>106.6503</v>
      </c>
      <c r="C5545" s="67">
        <v>10.8732</v>
      </c>
      <c r="D5545" s="67">
        <v>106.6214</v>
      </c>
      <c r="E5545" s="68">
        <v>4.125</v>
      </c>
    </row>
    <row r="5546" ht="22.5" customHeight="1">
      <c r="A5546" s="61">
        <v>10.87822</v>
      </c>
      <c r="B5546" s="63">
        <v>106.6503</v>
      </c>
      <c r="C5546" s="63">
        <v>10.87583</v>
      </c>
      <c r="D5546" s="63">
        <v>106.6238</v>
      </c>
      <c r="E5546" s="64">
        <v>3.752</v>
      </c>
    </row>
    <row r="5547" ht="22.5" customHeight="1">
      <c r="A5547" s="66">
        <v>10.87822</v>
      </c>
      <c r="B5547" s="67">
        <v>106.6503</v>
      </c>
      <c r="C5547" s="67">
        <v>10.87599</v>
      </c>
      <c r="D5547" s="67">
        <v>106.6239</v>
      </c>
      <c r="E5547" s="68">
        <v>4.005</v>
      </c>
    </row>
    <row r="5548" ht="22.5" customHeight="1">
      <c r="A5548" s="61">
        <v>10.87822</v>
      </c>
      <c r="B5548" s="63">
        <v>106.6503</v>
      </c>
      <c r="C5548" s="63">
        <v>10.88583</v>
      </c>
      <c r="D5548" s="63">
        <v>106.6824</v>
      </c>
      <c r="E5548" s="64">
        <v>4.322</v>
      </c>
    </row>
    <row r="5549" ht="22.5" customHeight="1">
      <c r="A5549" s="66">
        <v>10.87857</v>
      </c>
      <c r="B5549" s="67">
        <v>106.7247</v>
      </c>
      <c r="C5549" s="67">
        <v>10.85846</v>
      </c>
      <c r="D5549" s="67">
        <v>106.7487</v>
      </c>
      <c r="E5549" s="68">
        <v>4.362</v>
      </c>
    </row>
    <row r="5550" ht="22.5" customHeight="1">
      <c r="A5550" s="61">
        <v>10.87857</v>
      </c>
      <c r="B5550" s="63">
        <v>106.7247</v>
      </c>
      <c r="C5550" s="63">
        <v>10.87819</v>
      </c>
      <c r="D5550" s="63">
        <v>106.7317</v>
      </c>
      <c r="E5550" s="64">
        <v>1.589</v>
      </c>
    </row>
    <row r="5551" ht="22.5" customHeight="1">
      <c r="A5551" s="66">
        <v>10.87884</v>
      </c>
      <c r="B5551" s="67">
        <v>106.7667</v>
      </c>
      <c r="C5551" s="67">
        <v>10.843</v>
      </c>
      <c r="D5551" s="67">
        <v>106.7308</v>
      </c>
      <c r="E5551" s="68">
        <v>7.074</v>
      </c>
    </row>
    <row r="5552" ht="22.5" customHeight="1">
      <c r="A5552" s="61">
        <v>10.87884</v>
      </c>
      <c r="B5552" s="63">
        <v>106.7667</v>
      </c>
      <c r="C5552" s="63">
        <v>10.8469</v>
      </c>
      <c r="D5552" s="63">
        <v>106.7512</v>
      </c>
      <c r="E5552" s="64">
        <v>6.247</v>
      </c>
    </row>
    <row r="5553" ht="22.5" customHeight="1">
      <c r="A5553" s="66">
        <v>10.87884</v>
      </c>
      <c r="B5553" s="67">
        <v>106.7667</v>
      </c>
      <c r="C5553" s="67">
        <v>10.85846</v>
      </c>
      <c r="D5553" s="67">
        <v>106.7487</v>
      </c>
      <c r="E5553" s="68">
        <v>4.104</v>
      </c>
    </row>
    <row r="5554" ht="22.5" customHeight="1">
      <c r="A5554" s="61">
        <v>10.87884</v>
      </c>
      <c r="B5554" s="63">
        <v>106.7667</v>
      </c>
      <c r="C5554" s="63">
        <v>10.86052</v>
      </c>
      <c r="D5554" s="63">
        <v>106.7606</v>
      </c>
      <c r="E5554" s="64">
        <v>2.239</v>
      </c>
    </row>
    <row r="5555" ht="22.5" customHeight="1">
      <c r="A5555" s="66">
        <v>10.87884</v>
      </c>
      <c r="B5555" s="67">
        <v>106.7667</v>
      </c>
      <c r="C5555" s="67">
        <v>10.8789</v>
      </c>
      <c r="D5555" s="67">
        <v>106.7779</v>
      </c>
      <c r="E5555" s="68">
        <v>2.704</v>
      </c>
    </row>
    <row r="5556" ht="22.5" customHeight="1">
      <c r="A5556" s="61">
        <v>10.87885</v>
      </c>
      <c r="B5556" s="63">
        <v>106.7667</v>
      </c>
      <c r="C5556" s="63">
        <v>10.85846</v>
      </c>
      <c r="D5556" s="63">
        <v>106.7487</v>
      </c>
      <c r="E5556" s="64">
        <v>4.107</v>
      </c>
    </row>
    <row r="5557" ht="22.5" customHeight="1">
      <c r="A5557" s="66">
        <v>10.8789</v>
      </c>
      <c r="B5557" s="67">
        <v>106.7779</v>
      </c>
      <c r="C5557" s="67">
        <v>10.843</v>
      </c>
      <c r="D5557" s="67">
        <v>106.7308</v>
      </c>
      <c r="E5557" s="68">
        <v>8.645</v>
      </c>
    </row>
    <row r="5558" ht="22.5" customHeight="1">
      <c r="A5558" s="61">
        <v>10.8789</v>
      </c>
      <c r="B5558" s="63">
        <v>106.7779</v>
      </c>
      <c r="C5558" s="63">
        <v>10.8469</v>
      </c>
      <c r="D5558" s="63">
        <v>106.7512</v>
      </c>
      <c r="E5558" s="64">
        <v>7.845</v>
      </c>
    </row>
    <row r="5559" ht="22.5" customHeight="1">
      <c r="A5559" s="66">
        <v>10.8789</v>
      </c>
      <c r="B5559" s="67">
        <v>106.7779</v>
      </c>
      <c r="C5559" s="67">
        <v>10.8507</v>
      </c>
      <c r="D5559" s="67">
        <v>106.7548</v>
      </c>
      <c r="E5559" s="68">
        <v>5.954</v>
      </c>
    </row>
    <row r="5560" ht="22.5" customHeight="1">
      <c r="A5560" s="61">
        <v>10.8789</v>
      </c>
      <c r="B5560" s="63">
        <v>106.7779</v>
      </c>
      <c r="C5560" s="63">
        <v>10.85846</v>
      </c>
      <c r="D5560" s="63">
        <v>106.7487</v>
      </c>
      <c r="E5560" s="64">
        <v>5.704</v>
      </c>
    </row>
    <row r="5561" ht="22.5" customHeight="1">
      <c r="A5561" s="66">
        <v>10.8789</v>
      </c>
      <c r="B5561" s="67">
        <v>106.7779</v>
      </c>
      <c r="C5561" s="67">
        <v>10.86052</v>
      </c>
      <c r="D5561" s="67">
        <v>106.7606</v>
      </c>
      <c r="E5561" s="68">
        <v>3.736</v>
      </c>
    </row>
    <row r="5562" ht="22.5" customHeight="1">
      <c r="A5562" s="61">
        <v>10.8789</v>
      </c>
      <c r="B5562" s="63">
        <v>106.7779</v>
      </c>
      <c r="C5562" s="63">
        <v>10.86421</v>
      </c>
      <c r="D5562" s="63">
        <v>106.7455</v>
      </c>
      <c r="E5562" s="64">
        <v>6.438</v>
      </c>
    </row>
    <row r="5563" ht="22.5" customHeight="1">
      <c r="A5563" s="66">
        <v>10.8789</v>
      </c>
      <c r="B5563" s="67">
        <v>106.7779</v>
      </c>
      <c r="C5563" s="67">
        <v>10.87116</v>
      </c>
      <c r="D5563" s="67">
        <v>106.7635</v>
      </c>
      <c r="E5563" s="68">
        <v>2.437</v>
      </c>
    </row>
    <row r="5564" ht="22.5" customHeight="1">
      <c r="A5564" s="61">
        <v>10.8789</v>
      </c>
      <c r="B5564" s="63">
        <v>106.7779</v>
      </c>
      <c r="C5564" s="63">
        <v>10.88374</v>
      </c>
      <c r="D5564" s="63">
        <v>106.7088</v>
      </c>
      <c r="E5564" s="64">
        <v>11.044</v>
      </c>
    </row>
    <row r="5565" ht="22.5" customHeight="1">
      <c r="A5565" s="66">
        <v>10.88003</v>
      </c>
      <c r="B5565" s="67">
        <v>106.6801</v>
      </c>
      <c r="C5565" s="67">
        <v>10.82927</v>
      </c>
      <c r="D5565" s="67">
        <v>106.6816</v>
      </c>
      <c r="E5565" s="68">
        <v>7.013</v>
      </c>
    </row>
    <row r="5566" ht="22.5" customHeight="1">
      <c r="A5566" s="61">
        <v>10.88003</v>
      </c>
      <c r="B5566" s="63">
        <v>106.6801</v>
      </c>
      <c r="C5566" s="63">
        <v>10.84253</v>
      </c>
      <c r="D5566" s="63">
        <v>106.6427</v>
      </c>
      <c r="E5566" s="64">
        <v>9.132</v>
      </c>
    </row>
    <row r="5567" ht="22.5" customHeight="1">
      <c r="A5567" s="66">
        <v>10.88003</v>
      </c>
      <c r="B5567" s="67">
        <v>106.6801</v>
      </c>
      <c r="C5567" s="67">
        <v>10.85526</v>
      </c>
      <c r="D5567" s="67">
        <v>106.6759</v>
      </c>
      <c r="E5567" s="68">
        <v>4.055</v>
      </c>
    </row>
    <row r="5568" ht="22.5" customHeight="1">
      <c r="A5568" s="61">
        <v>10.88003</v>
      </c>
      <c r="B5568" s="63">
        <v>106.6801</v>
      </c>
      <c r="C5568" s="63">
        <v>10.86573</v>
      </c>
      <c r="D5568" s="63">
        <v>106.6344</v>
      </c>
      <c r="E5568" s="64">
        <v>6.704</v>
      </c>
    </row>
    <row r="5569" ht="22.5" customHeight="1">
      <c r="A5569" s="66">
        <v>10.88073</v>
      </c>
      <c r="B5569" s="67">
        <v>106.5826</v>
      </c>
      <c r="C5569" s="67">
        <v>10.79975</v>
      </c>
      <c r="D5569" s="67">
        <v>106.6696</v>
      </c>
      <c r="E5569" s="68">
        <v>15.291</v>
      </c>
    </row>
    <row r="5570" ht="22.5" customHeight="1">
      <c r="A5570" s="61">
        <v>10.88073</v>
      </c>
      <c r="B5570" s="63">
        <v>106.5826</v>
      </c>
      <c r="C5570" s="63">
        <v>10.85292</v>
      </c>
      <c r="D5570" s="63">
        <v>106.5839</v>
      </c>
      <c r="E5570" s="64">
        <v>3.681</v>
      </c>
    </row>
    <row r="5571" ht="22.5" customHeight="1">
      <c r="A5571" s="66">
        <v>10.88073</v>
      </c>
      <c r="B5571" s="67">
        <v>106.5826</v>
      </c>
      <c r="C5571" s="67">
        <v>10.88436</v>
      </c>
      <c r="D5571" s="67">
        <v>106.595</v>
      </c>
      <c r="E5571" s="68">
        <v>3.217</v>
      </c>
    </row>
    <row r="5572" ht="22.5" customHeight="1">
      <c r="A5572" s="61">
        <v>10.88073</v>
      </c>
      <c r="B5572" s="63">
        <v>106.5826</v>
      </c>
      <c r="C5572" s="63">
        <v>10.88801</v>
      </c>
      <c r="D5572" s="63">
        <v>106.5985</v>
      </c>
      <c r="E5572" s="64">
        <v>2.102</v>
      </c>
    </row>
    <row r="5573" ht="22.5" customHeight="1">
      <c r="A5573" s="66">
        <v>10.88161</v>
      </c>
      <c r="B5573" s="67">
        <v>106.9941</v>
      </c>
      <c r="C5573" s="67">
        <v>10.94731</v>
      </c>
      <c r="D5573" s="67">
        <v>106.8284</v>
      </c>
      <c r="E5573" s="68">
        <v>25.958</v>
      </c>
    </row>
    <row r="5574" ht="22.5" customHeight="1">
      <c r="A5574" s="61">
        <v>10.88329</v>
      </c>
      <c r="B5574" s="63">
        <v>106.6288</v>
      </c>
      <c r="C5574" s="63">
        <v>10.79975</v>
      </c>
      <c r="D5574" s="63">
        <v>106.6696</v>
      </c>
      <c r="E5574" s="64">
        <v>14.3</v>
      </c>
    </row>
    <row r="5575" ht="22.5" customHeight="1">
      <c r="A5575" s="66">
        <v>10.88329</v>
      </c>
      <c r="B5575" s="67">
        <v>106.6288</v>
      </c>
      <c r="C5575" s="67">
        <v>10.82721</v>
      </c>
      <c r="D5575" s="67">
        <v>106.6247</v>
      </c>
      <c r="E5575" s="68">
        <v>9.0</v>
      </c>
    </row>
    <row r="5576" ht="22.5" customHeight="1">
      <c r="A5576" s="61">
        <v>10.88329</v>
      </c>
      <c r="B5576" s="63">
        <v>106.6288</v>
      </c>
      <c r="C5576" s="63">
        <v>10.84253</v>
      </c>
      <c r="D5576" s="63">
        <v>106.6427</v>
      </c>
      <c r="E5576" s="64">
        <v>6.7</v>
      </c>
    </row>
    <row r="5577" ht="22.5" customHeight="1">
      <c r="A5577" s="66">
        <v>10.88329</v>
      </c>
      <c r="B5577" s="67">
        <v>106.6288</v>
      </c>
      <c r="C5577" s="67">
        <v>10.85276</v>
      </c>
      <c r="D5577" s="67">
        <v>106.6604</v>
      </c>
      <c r="E5577" s="68">
        <v>5.623</v>
      </c>
    </row>
    <row r="5578" ht="22.5" customHeight="1">
      <c r="A5578" s="61">
        <v>10.88329</v>
      </c>
      <c r="B5578" s="63">
        <v>106.6288</v>
      </c>
      <c r="C5578" s="63">
        <v>10.87371</v>
      </c>
      <c r="D5578" s="63">
        <v>106.6217</v>
      </c>
      <c r="E5578" s="64">
        <v>1.439</v>
      </c>
    </row>
    <row r="5579" ht="22.5" customHeight="1">
      <c r="A5579" s="66">
        <v>10.88329</v>
      </c>
      <c r="B5579" s="67">
        <v>106.6288</v>
      </c>
      <c r="C5579" s="67">
        <v>10.87583</v>
      </c>
      <c r="D5579" s="67">
        <v>106.6238</v>
      </c>
      <c r="E5579" s="68">
        <v>1.045</v>
      </c>
    </row>
    <row r="5580" ht="22.5" customHeight="1">
      <c r="A5580" s="61">
        <v>10.88374</v>
      </c>
      <c r="B5580" s="63">
        <v>106.7088</v>
      </c>
      <c r="C5580" s="63">
        <v>10.85846</v>
      </c>
      <c r="D5580" s="63">
        <v>106.7487</v>
      </c>
      <c r="E5580" s="64">
        <v>7.317</v>
      </c>
    </row>
    <row r="5581" ht="22.5" customHeight="1">
      <c r="A5581" s="66">
        <v>10.88374</v>
      </c>
      <c r="B5581" s="67">
        <v>106.7088</v>
      </c>
      <c r="C5581" s="67">
        <v>10.90835</v>
      </c>
      <c r="D5581" s="67">
        <v>106.7014</v>
      </c>
      <c r="E5581" s="68">
        <v>5.159</v>
      </c>
    </row>
    <row r="5582" ht="22.5" customHeight="1">
      <c r="A5582" s="61">
        <v>10.88375</v>
      </c>
      <c r="B5582" s="63">
        <v>106.6978</v>
      </c>
      <c r="C5582" s="63">
        <v>10.88979</v>
      </c>
      <c r="D5582" s="63">
        <v>106.7399</v>
      </c>
      <c r="E5582" s="64">
        <v>7.952</v>
      </c>
    </row>
    <row r="5583" ht="22.5" customHeight="1">
      <c r="A5583" s="66">
        <v>10.88375</v>
      </c>
      <c r="B5583" s="67">
        <v>106.6978</v>
      </c>
      <c r="C5583" s="67">
        <v>10.90835</v>
      </c>
      <c r="D5583" s="67">
        <v>106.7014</v>
      </c>
      <c r="E5583" s="68">
        <v>4.112</v>
      </c>
    </row>
    <row r="5584" ht="22.5" customHeight="1">
      <c r="A5584" s="61">
        <v>10.88436</v>
      </c>
      <c r="B5584" s="63">
        <v>106.595</v>
      </c>
      <c r="C5584" s="63">
        <v>10.79975</v>
      </c>
      <c r="D5584" s="63">
        <v>106.6696</v>
      </c>
      <c r="E5584" s="64">
        <v>14.182</v>
      </c>
    </row>
    <row r="5585" ht="22.5" customHeight="1">
      <c r="A5585" s="66">
        <v>10.88436</v>
      </c>
      <c r="B5585" s="67">
        <v>106.595</v>
      </c>
      <c r="C5585" s="67">
        <v>10.82721</v>
      </c>
      <c r="D5585" s="67">
        <v>106.6247</v>
      </c>
      <c r="E5585" s="68">
        <v>8.879</v>
      </c>
    </row>
    <row r="5586" ht="22.5" customHeight="1">
      <c r="A5586" s="61">
        <v>10.88436</v>
      </c>
      <c r="B5586" s="63">
        <v>106.595</v>
      </c>
      <c r="C5586" s="63">
        <v>10.84941</v>
      </c>
      <c r="D5586" s="63">
        <v>106.588</v>
      </c>
      <c r="E5586" s="64">
        <v>4.221</v>
      </c>
    </row>
    <row r="5587" ht="22.5" customHeight="1">
      <c r="A5587" s="66">
        <v>10.88436</v>
      </c>
      <c r="B5587" s="67">
        <v>106.595</v>
      </c>
      <c r="C5587" s="67">
        <v>10.85059</v>
      </c>
      <c r="D5587" s="67">
        <v>106.5865</v>
      </c>
      <c r="E5587" s="68">
        <v>4.386</v>
      </c>
    </row>
    <row r="5588" ht="22.5" customHeight="1">
      <c r="A5588" s="61">
        <v>10.88436</v>
      </c>
      <c r="B5588" s="63">
        <v>106.595</v>
      </c>
      <c r="C5588" s="63">
        <v>10.85292</v>
      </c>
      <c r="D5588" s="63">
        <v>106.5839</v>
      </c>
      <c r="E5588" s="64">
        <v>4.455</v>
      </c>
    </row>
    <row r="5589" ht="22.5" customHeight="1">
      <c r="A5589" s="66">
        <v>10.88436</v>
      </c>
      <c r="B5589" s="67">
        <v>106.595</v>
      </c>
      <c r="C5589" s="67">
        <v>10.87189</v>
      </c>
      <c r="D5589" s="67">
        <v>106.5975</v>
      </c>
      <c r="E5589" s="68">
        <v>1.592</v>
      </c>
    </row>
    <row r="5590" ht="22.5" customHeight="1">
      <c r="A5590" s="61">
        <v>10.88436</v>
      </c>
      <c r="B5590" s="63">
        <v>106.595</v>
      </c>
      <c r="C5590" s="63">
        <v>10.87431</v>
      </c>
      <c r="D5590" s="63">
        <v>106.6122</v>
      </c>
      <c r="E5590" s="64">
        <v>4.088</v>
      </c>
    </row>
    <row r="5591" ht="22.5" customHeight="1">
      <c r="A5591" s="66">
        <v>10.88436</v>
      </c>
      <c r="B5591" s="67">
        <v>106.595</v>
      </c>
      <c r="C5591" s="67">
        <v>10.88436</v>
      </c>
      <c r="D5591" s="67">
        <v>106.595</v>
      </c>
      <c r="E5591" s="68">
        <v>0.005</v>
      </c>
    </row>
    <row r="5592" ht="22.5" customHeight="1">
      <c r="A5592" s="61">
        <v>10.88436</v>
      </c>
      <c r="B5592" s="63">
        <v>106.595</v>
      </c>
      <c r="C5592" s="63">
        <v>10.88706</v>
      </c>
      <c r="D5592" s="63">
        <v>106.5911</v>
      </c>
      <c r="E5592" s="64">
        <v>0.814</v>
      </c>
    </row>
    <row r="5593" ht="22.5" customHeight="1">
      <c r="A5593" s="66">
        <v>10.88436</v>
      </c>
      <c r="B5593" s="67">
        <v>106.595</v>
      </c>
      <c r="C5593" s="67">
        <v>10.88718</v>
      </c>
      <c r="D5593" s="67">
        <v>106.6075</v>
      </c>
      <c r="E5593" s="68">
        <v>3.89</v>
      </c>
    </row>
    <row r="5594" ht="22.5" customHeight="1">
      <c r="A5594" s="61">
        <v>10.88436</v>
      </c>
      <c r="B5594" s="63">
        <v>106.595</v>
      </c>
      <c r="C5594" s="63">
        <v>10.88801</v>
      </c>
      <c r="D5594" s="63">
        <v>106.5985</v>
      </c>
      <c r="E5594" s="64">
        <v>0.747</v>
      </c>
    </row>
    <row r="5595" ht="22.5" customHeight="1">
      <c r="A5595" s="66">
        <v>10.88436</v>
      </c>
      <c r="B5595" s="67">
        <v>106.595</v>
      </c>
      <c r="C5595" s="67">
        <v>10.89115</v>
      </c>
      <c r="D5595" s="67">
        <v>106.6142</v>
      </c>
      <c r="E5595" s="68">
        <v>2.538</v>
      </c>
    </row>
    <row r="5596" ht="22.5" customHeight="1">
      <c r="A5596" s="61">
        <v>10.88436</v>
      </c>
      <c r="B5596" s="63">
        <v>106.595</v>
      </c>
      <c r="C5596" s="63">
        <v>10.8937</v>
      </c>
      <c r="D5596" s="63">
        <v>106.6123</v>
      </c>
      <c r="E5596" s="64">
        <v>2.788</v>
      </c>
    </row>
    <row r="5597" ht="22.5" customHeight="1">
      <c r="A5597" s="66">
        <v>10.88436</v>
      </c>
      <c r="B5597" s="67">
        <v>106.595</v>
      </c>
      <c r="C5597" s="67">
        <v>10.8955</v>
      </c>
      <c r="D5597" s="67">
        <v>106.5788</v>
      </c>
      <c r="E5597" s="68">
        <v>3.758</v>
      </c>
    </row>
    <row r="5598" ht="22.5" customHeight="1">
      <c r="A5598" s="61">
        <v>10.88517</v>
      </c>
      <c r="B5598" s="63">
        <v>106.773</v>
      </c>
      <c r="C5598" s="63">
        <v>10.86052</v>
      </c>
      <c r="D5598" s="63">
        <v>106.7606</v>
      </c>
      <c r="E5598" s="64">
        <v>4.28</v>
      </c>
    </row>
    <row r="5599" ht="22.5" customHeight="1">
      <c r="A5599" s="66">
        <v>10.88517</v>
      </c>
      <c r="B5599" s="67">
        <v>106.773</v>
      </c>
      <c r="C5599" s="67">
        <v>10.87819</v>
      </c>
      <c r="D5599" s="67">
        <v>106.7317</v>
      </c>
      <c r="E5599" s="68">
        <v>7.109</v>
      </c>
    </row>
    <row r="5600" ht="22.5" customHeight="1">
      <c r="A5600" s="61">
        <v>10.88518</v>
      </c>
      <c r="B5600" s="63">
        <v>106.7286</v>
      </c>
      <c r="C5600" s="63">
        <v>10.79036</v>
      </c>
      <c r="D5600" s="63">
        <v>106.6973</v>
      </c>
      <c r="E5600" s="64">
        <v>13.336</v>
      </c>
    </row>
    <row r="5601" ht="22.5" customHeight="1">
      <c r="A5601" s="66">
        <v>10.88518</v>
      </c>
      <c r="B5601" s="67">
        <v>106.7286</v>
      </c>
      <c r="C5601" s="67">
        <v>10.843</v>
      </c>
      <c r="D5601" s="67">
        <v>106.7308</v>
      </c>
      <c r="E5601" s="68">
        <v>6.4</v>
      </c>
    </row>
    <row r="5602" ht="22.5" customHeight="1">
      <c r="A5602" s="61">
        <v>10.88518</v>
      </c>
      <c r="B5602" s="63">
        <v>106.7286</v>
      </c>
      <c r="C5602" s="63">
        <v>10.84514</v>
      </c>
      <c r="D5602" s="63">
        <v>106.7274</v>
      </c>
      <c r="E5602" s="64">
        <v>5.928</v>
      </c>
    </row>
    <row r="5603" ht="22.5" customHeight="1">
      <c r="A5603" s="66">
        <v>10.88518</v>
      </c>
      <c r="B5603" s="67">
        <v>106.7286</v>
      </c>
      <c r="C5603" s="67">
        <v>10.85846</v>
      </c>
      <c r="D5603" s="67">
        <v>106.7487</v>
      </c>
      <c r="E5603" s="68">
        <v>4.377</v>
      </c>
    </row>
    <row r="5604" ht="22.5" customHeight="1">
      <c r="A5604" s="61">
        <v>10.88518</v>
      </c>
      <c r="B5604" s="63">
        <v>106.7286</v>
      </c>
      <c r="C5604" s="63">
        <v>10.86052</v>
      </c>
      <c r="D5604" s="63">
        <v>106.7606</v>
      </c>
      <c r="E5604" s="64">
        <v>6.438</v>
      </c>
    </row>
    <row r="5605" ht="22.5" customHeight="1">
      <c r="A5605" s="66">
        <v>10.88518</v>
      </c>
      <c r="B5605" s="67">
        <v>106.7286</v>
      </c>
      <c r="C5605" s="67">
        <v>10.86826</v>
      </c>
      <c r="D5605" s="67">
        <v>106.7145</v>
      </c>
      <c r="E5605" s="68">
        <v>4.92</v>
      </c>
    </row>
    <row r="5606" ht="22.5" customHeight="1">
      <c r="A5606" s="61">
        <v>10.88518</v>
      </c>
      <c r="B5606" s="63">
        <v>106.7286</v>
      </c>
      <c r="C5606" s="63">
        <v>10.87116</v>
      </c>
      <c r="D5606" s="63">
        <v>106.7635</v>
      </c>
      <c r="E5606" s="64">
        <v>6.229</v>
      </c>
    </row>
    <row r="5607" ht="22.5" customHeight="1">
      <c r="A5607" s="66">
        <v>10.88518</v>
      </c>
      <c r="B5607" s="67">
        <v>106.7286</v>
      </c>
      <c r="C5607" s="67">
        <v>10.87819</v>
      </c>
      <c r="D5607" s="67">
        <v>106.7317</v>
      </c>
      <c r="E5607" s="68">
        <v>0.918</v>
      </c>
    </row>
    <row r="5608" ht="22.5" customHeight="1">
      <c r="A5608" s="61">
        <v>10.88543</v>
      </c>
      <c r="B5608" s="63">
        <v>106.7541</v>
      </c>
      <c r="C5608" s="63">
        <v>10.90561</v>
      </c>
      <c r="D5608" s="63">
        <v>106.7682</v>
      </c>
      <c r="E5608" s="64">
        <v>3.192</v>
      </c>
    </row>
    <row r="5609" ht="22.5" customHeight="1">
      <c r="A5609" s="66">
        <v>10.88543</v>
      </c>
      <c r="B5609" s="67">
        <v>106.7541</v>
      </c>
      <c r="C5609" s="67">
        <v>10.9137</v>
      </c>
      <c r="D5609" s="67">
        <v>106.7688</v>
      </c>
      <c r="E5609" s="68">
        <v>4.242</v>
      </c>
    </row>
    <row r="5610" ht="22.5" customHeight="1">
      <c r="A5610" s="61">
        <v>10.8855</v>
      </c>
      <c r="B5610" s="63">
        <v>106.7586</v>
      </c>
      <c r="C5610" s="63">
        <v>10.90561</v>
      </c>
      <c r="D5610" s="63">
        <v>106.7682</v>
      </c>
      <c r="E5610" s="64">
        <v>2.489</v>
      </c>
    </row>
    <row r="5611" ht="22.5" customHeight="1">
      <c r="A5611" s="66">
        <v>10.88565</v>
      </c>
      <c r="B5611" s="67">
        <v>106.7004</v>
      </c>
      <c r="C5611" s="67">
        <v>10.90835</v>
      </c>
      <c r="D5611" s="67">
        <v>106.7014</v>
      </c>
      <c r="E5611" s="68">
        <v>3.988</v>
      </c>
    </row>
    <row r="5612" ht="22.5" customHeight="1">
      <c r="A5612" s="61">
        <v>10.88583</v>
      </c>
      <c r="B5612" s="63">
        <v>106.6824</v>
      </c>
      <c r="C5612" s="63">
        <v>10.79975</v>
      </c>
      <c r="D5612" s="63">
        <v>106.6696</v>
      </c>
      <c r="E5612" s="64">
        <v>11.285</v>
      </c>
    </row>
    <row r="5613" ht="22.5" customHeight="1">
      <c r="A5613" s="66">
        <v>10.88583</v>
      </c>
      <c r="B5613" s="67">
        <v>106.6824</v>
      </c>
      <c r="C5613" s="67">
        <v>10.82721</v>
      </c>
      <c r="D5613" s="67">
        <v>106.6247</v>
      </c>
      <c r="E5613" s="68">
        <v>13.421</v>
      </c>
    </row>
    <row r="5614" ht="22.5" customHeight="1">
      <c r="A5614" s="61">
        <v>10.88583</v>
      </c>
      <c r="B5614" s="63">
        <v>106.6824</v>
      </c>
      <c r="C5614" s="63">
        <v>10.82927</v>
      </c>
      <c r="D5614" s="63">
        <v>106.6816</v>
      </c>
      <c r="E5614" s="64">
        <v>7.019</v>
      </c>
    </row>
    <row r="5615" ht="22.5" customHeight="1">
      <c r="A5615" s="66">
        <v>10.88583</v>
      </c>
      <c r="B5615" s="67">
        <v>106.6824</v>
      </c>
      <c r="C5615" s="67">
        <v>10.8322</v>
      </c>
      <c r="D5615" s="67">
        <v>106.6337</v>
      </c>
      <c r="E5615" s="68">
        <v>10.009</v>
      </c>
    </row>
    <row r="5616" ht="22.5" customHeight="1">
      <c r="A5616" s="61">
        <v>10.88583</v>
      </c>
      <c r="B5616" s="63">
        <v>106.6824</v>
      </c>
      <c r="C5616" s="63">
        <v>10.83497</v>
      </c>
      <c r="D5616" s="63">
        <v>106.6655</v>
      </c>
      <c r="E5616" s="64">
        <v>7.254</v>
      </c>
    </row>
    <row r="5617" ht="22.5" customHeight="1">
      <c r="A5617" s="66">
        <v>10.88583</v>
      </c>
      <c r="B5617" s="67">
        <v>106.6824</v>
      </c>
      <c r="C5617" s="67">
        <v>10.83648</v>
      </c>
      <c r="D5617" s="67">
        <v>106.6647</v>
      </c>
      <c r="E5617" s="68">
        <v>7.236</v>
      </c>
    </row>
    <row r="5618" ht="22.5" customHeight="1">
      <c r="A5618" s="61">
        <v>10.88583</v>
      </c>
      <c r="B5618" s="63">
        <v>106.6824</v>
      </c>
      <c r="C5618" s="63">
        <v>10.83926</v>
      </c>
      <c r="D5618" s="63">
        <v>106.6297</v>
      </c>
      <c r="E5618" s="64">
        <v>10.828</v>
      </c>
    </row>
    <row r="5619" ht="22.5" customHeight="1">
      <c r="A5619" s="66">
        <v>10.88583</v>
      </c>
      <c r="B5619" s="67">
        <v>106.6824</v>
      </c>
      <c r="C5619" s="67">
        <v>10.84253</v>
      </c>
      <c r="D5619" s="67">
        <v>106.6427</v>
      </c>
      <c r="E5619" s="68">
        <v>8.894</v>
      </c>
    </row>
    <row r="5620" ht="22.5" customHeight="1">
      <c r="A5620" s="61">
        <v>10.88583</v>
      </c>
      <c r="B5620" s="63">
        <v>106.6824</v>
      </c>
      <c r="C5620" s="63">
        <v>10.84317</v>
      </c>
      <c r="D5620" s="63">
        <v>106.6767</v>
      </c>
      <c r="E5620" s="64">
        <v>5.139</v>
      </c>
    </row>
    <row r="5621" ht="22.5" customHeight="1">
      <c r="A5621" s="66">
        <v>10.88583</v>
      </c>
      <c r="B5621" s="67">
        <v>106.6824</v>
      </c>
      <c r="C5621" s="67">
        <v>10.84494</v>
      </c>
      <c r="D5621" s="67">
        <v>106.639</v>
      </c>
      <c r="E5621" s="68">
        <v>10.211</v>
      </c>
    </row>
    <row r="5622" ht="22.5" customHeight="1">
      <c r="A5622" s="61">
        <v>10.88583</v>
      </c>
      <c r="B5622" s="63">
        <v>106.6824</v>
      </c>
      <c r="C5622" s="63">
        <v>10.84929</v>
      </c>
      <c r="D5622" s="63">
        <v>106.6499</v>
      </c>
      <c r="E5622" s="64">
        <v>7.414</v>
      </c>
    </row>
    <row r="5623" ht="22.5" customHeight="1">
      <c r="A5623" s="66">
        <v>10.88583</v>
      </c>
      <c r="B5623" s="67">
        <v>106.6824</v>
      </c>
      <c r="C5623" s="67">
        <v>10.85276</v>
      </c>
      <c r="D5623" s="67">
        <v>106.6604</v>
      </c>
      <c r="E5623" s="68">
        <v>6.087</v>
      </c>
    </row>
    <row r="5624" ht="22.5" customHeight="1">
      <c r="A5624" s="61">
        <v>10.88583</v>
      </c>
      <c r="B5624" s="63">
        <v>106.6824</v>
      </c>
      <c r="C5624" s="63">
        <v>10.85526</v>
      </c>
      <c r="D5624" s="63">
        <v>106.6759</v>
      </c>
      <c r="E5624" s="64">
        <v>4.452</v>
      </c>
    </row>
    <row r="5625" ht="22.5" customHeight="1">
      <c r="A5625" s="66">
        <v>10.88583</v>
      </c>
      <c r="B5625" s="67">
        <v>106.6824</v>
      </c>
      <c r="C5625" s="67">
        <v>10.85846</v>
      </c>
      <c r="D5625" s="67">
        <v>106.7487</v>
      </c>
      <c r="E5625" s="68">
        <v>10.339</v>
      </c>
    </row>
    <row r="5626" ht="22.5" customHeight="1">
      <c r="A5626" s="61">
        <v>10.88583</v>
      </c>
      <c r="B5626" s="63">
        <v>106.6824</v>
      </c>
      <c r="C5626" s="63">
        <v>10.86294</v>
      </c>
      <c r="D5626" s="63">
        <v>106.6496</v>
      </c>
      <c r="E5626" s="64">
        <v>5.63</v>
      </c>
    </row>
    <row r="5627" ht="22.5" customHeight="1">
      <c r="A5627" s="66">
        <v>10.88583</v>
      </c>
      <c r="B5627" s="67">
        <v>106.6824</v>
      </c>
      <c r="C5627" s="67">
        <v>10.86696</v>
      </c>
      <c r="D5627" s="67">
        <v>106.6153</v>
      </c>
      <c r="E5627" s="68">
        <v>9.493</v>
      </c>
    </row>
    <row r="5628" ht="22.5" customHeight="1">
      <c r="A5628" s="61">
        <v>10.88583</v>
      </c>
      <c r="B5628" s="63">
        <v>106.6824</v>
      </c>
      <c r="C5628" s="63">
        <v>10.86793</v>
      </c>
      <c r="D5628" s="63">
        <v>106.6494</v>
      </c>
      <c r="E5628" s="64">
        <v>5.388</v>
      </c>
    </row>
    <row r="5629" ht="22.5" customHeight="1">
      <c r="A5629" s="66">
        <v>10.88583</v>
      </c>
      <c r="B5629" s="67">
        <v>106.6824</v>
      </c>
      <c r="C5629" s="67">
        <v>10.87257</v>
      </c>
      <c r="D5629" s="67">
        <v>106.6494</v>
      </c>
      <c r="E5629" s="68">
        <v>5.1</v>
      </c>
    </row>
    <row r="5630" ht="22.5" customHeight="1">
      <c r="A5630" s="61">
        <v>10.88583</v>
      </c>
      <c r="B5630" s="63">
        <v>106.6824</v>
      </c>
      <c r="C5630" s="63">
        <v>10.87371</v>
      </c>
      <c r="D5630" s="63">
        <v>106.6217</v>
      </c>
      <c r="E5630" s="64">
        <v>8.373</v>
      </c>
    </row>
    <row r="5631" ht="22.5" customHeight="1">
      <c r="A5631" s="66">
        <v>10.88583</v>
      </c>
      <c r="B5631" s="67">
        <v>106.6824</v>
      </c>
      <c r="C5631" s="67">
        <v>10.87599</v>
      </c>
      <c r="D5631" s="67">
        <v>106.6239</v>
      </c>
      <c r="E5631" s="68">
        <v>8.448</v>
      </c>
    </row>
    <row r="5632" ht="22.5" customHeight="1">
      <c r="A5632" s="61">
        <v>10.88583</v>
      </c>
      <c r="B5632" s="63">
        <v>106.6824</v>
      </c>
      <c r="C5632" s="63">
        <v>10.87625</v>
      </c>
      <c r="D5632" s="63">
        <v>106.6407</v>
      </c>
      <c r="E5632" s="64">
        <v>5.62</v>
      </c>
    </row>
    <row r="5633" ht="22.5" customHeight="1">
      <c r="A5633" s="66">
        <v>10.88583</v>
      </c>
      <c r="B5633" s="67">
        <v>106.6824</v>
      </c>
      <c r="C5633" s="67">
        <v>10.87822</v>
      </c>
      <c r="D5633" s="67">
        <v>106.6503</v>
      </c>
      <c r="E5633" s="68">
        <v>4.193</v>
      </c>
    </row>
    <row r="5634" ht="22.5" customHeight="1">
      <c r="A5634" s="61">
        <v>10.88583</v>
      </c>
      <c r="B5634" s="63">
        <v>106.6824</v>
      </c>
      <c r="C5634" s="63">
        <v>10.89317</v>
      </c>
      <c r="D5634" s="63">
        <v>106.6879</v>
      </c>
      <c r="E5634" s="64">
        <v>1.012</v>
      </c>
    </row>
    <row r="5635" ht="22.5" customHeight="1">
      <c r="A5635" s="66">
        <v>10.88615</v>
      </c>
      <c r="B5635" s="67">
        <v>106.7039</v>
      </c>
      <c r="C5635" s="67">
        <v>10.85846</v>
      </c>
      <c r="D5635" s="67">
        <v>106.7487</v>
      </c>
      <c r="E5635" s="68">
        <v>7.722</v>
      </c>
    </row>
    <row r="5636" ht="22.5" customHeight="1">
      <c r="A5636" s="61">
        <v>10.88615</v>
      </c>
      <c r="B5636" s="63">
        <v>106.7039</v>
      </c>
      <c r="C5636" s="63">
        <v>10.90835</v>
      </c>
      <c r="D5636" s="63">
        <v>106.7014</v>
      </c>
      <c r="E5636" s="64">
        <v>4.042</v>
      </c>
    </row>
    <row r="5637" ht="22.5" customHeight="1">
      <c r="A5637" s="66">
        <v>10.88633</v>
      </c>
      <c r="B5637" s="67">
        <v>106.7043</v>
      </c>
      <c r="C5637" s="67">
        <v>10.85846</v>
      </c>
      <c r="D5637" s="67">
        <v>106.7487</v>
      </c>
      <c r="E5637" s="68">
        <v>7.718</v>
      </c>
    </row>
    <row r="5638" ht="22.5" customHeight="1">
      <c r="A5638" s="61">
        <v>10.88633</v>
      </c>
      <c r="B5638" s="63">
        <v>106.7043</v>
      </c>
      <c r="C5638" s="63">
        <v>10.86826</v>
      </c>
      <c r="D5638" s="63">
        <v>106.7145</v>
      </c>
      <c r="E5638" s="64">
        <v>3.54</v>
      </c>
    </row>
    <row r="5639" ht="22.5" customHeight="1">
      <c r="A5639" s="66">
        <v>10.88633</v>
      </c>
      <c r="B5639" s="67">
        <v>106.7043</v>
      </c>
      <c r="C5639" s="67">
        <v>10.88979</v>
      </c>
      <c r="D5639" s="67">
        <v>106.7399</v>
      </c>
      <c r="E5639" s="68">
        <v>7.922</v>
      </c>
    </row>
    <row r="5640" ht="22.5" customHeight="1">
      <c r="A5640" s="61">
        <v>10.88633</v>
      </c>
      <c r="B5640" s="63">
        <v>106.7043</v>
      </c>
      <c r="C5640" s="63">
        <v>10.9019</v>
      </c>
      <c r="D5640" s="63">
        <v>106.7035</v>
      </c>
      <c r="E5640" s="64">
        <v>3.741</v>
      </c>
    </row>
    <row r="5641" ht="22.5" customHeight="1">
      <c r="A5641" s="66">
        <v>10.88633</v>
      </c>
      <c r="B5641" s="67">
        <v>106.7043</v>
      </c>
      <c r="C5641" s="67">
        <v>10.90835</v>
      </c>
      <c r="D5641" s="67">
        <v>106.7014</v>
      </c>
      <c r="E5641" s="68">
        <v>4.056</v>
      </c>
    </row>
    <row r="5642" ht="22.5" customHeight="1">
      <c r="A5642" s="61">
        <v>10.88633</v>
      </c>
      <c r="B5642" s="63">
        <v>106.7043</v>
      </c>
      <c r="C5642" s="63">
        <v>10.91936</v>
      </c>
      <c r="D5642" s="63">
        <v>106.7125</v>
      </c>
      <c r="E5642" s="64">
        <v>5.19</v>
      </c>
    </row>
    <row r="5643" ht="22.5" customHeight="1">
      <c r="A5643" s="66">
        <v>10.88706</v>
      </c>
      <c r="B5643" s="67">
        <v>106.5911</v>
      </c>
      <c r="C5643" s="67">
        <v>10.82721</v>
      </c>
      <c r="D5643" s="67">
        <v>106.6247</v>
      </c>
      <c r="E5643" s="68">
        <v>9.6</v>
      </c>
    </row>
    <row r="5644" ht="22.5" customHeight="1">
      <c r="A5644" s="61">
        <v>10.88706</v>
      </c>
      <c r="B5644" s="63">
        <v>106.5911</v>
      </c>
      <c r="C5644" s="63">
        <v>10.84581</v>
      </c>
      <c r="D5644" s="63">
        <v>106.593</v>
      </c>
      <c r="E5644" s="64">
        <v>5.512</v>
      </c>
    </row>
    <row r="5645" ht="22.5" customHeight="1">
      <c r="A5645" s="66">
        <v>10.88706</v>
      </c>
      <c r="B5645" s="67">
        <v>106.5911</v>
      </c>
      <c r="C5645" s="67">
        <v>10.84909</v>
      </c>
      <c r="D5645" s="67">
        <v>106.5874</v>
      </c>
      <c r="E5645" s="68">
        <v>4.865</v>
      </c>
    </row>
    <row r="5646" ht="22.5" customHeight="1">
      <c r="A5646" s="61">
        <v>10.88706</v>
      </c>
      <c r="B5646" s="63">
        <v>106.5911</v>
      </c>
      <c r="C5646" s="63">
        <v>10.85292</v>
      </c>
      <c r="D5646" s="63">
        <v>106.5839</v>
      </c>
      <c r="E5646" s="64">
        <v>4.929</v>
      </c>
    </row>
    <row r="5647" ht="22.5" customHeight="1">
      <c r="A5647" s="66">
        <v>10.88706</v>
      </c>
      <c r="B5647" s="67">
        <v>106.5911</v>
      </c>
      <c r="C5647" s="67">
        <v>10.87189</v>
      </c>
      <c r="D5647" s="67">
        <v>106.5975</v>
      </c>
      <c r="E5647" s="68">
        <v>2.236</v>
      </c>
    </row>
    <row r="5648" ht="22.5" customHeight="1">
      <c r="A5648" s="61">
        <v>10.88706</v>
      </c>
      <c r="B5648" s="63">
        <v>106.5911</v>
      </c>
      <c r="C5648" s="63">
        <v>10.88436</v>
      </c>
      <c r="D5648" s="63">
        <v>106.595</v>
      </c>
      <c r="E5648" s="64">
        <v>0.807</v>
      </c>
    </row>
    <row r="5649" ht="22.5" customHeight="1">
      <c r="A5649" s="66">
        <v>10.88706</v>
      </c>
      <c r="B5649" s="67">
        <v>106.5911</v>
      </c>
      <c r="C5649" s="67">
        <v>10.88715</v>
      </c>
      <c r="D5649" s="67">
        <v>106.6074</v>
      </c>
      <c r="E5649" s="68">
        <v>4.09</v>
      </c>
    </row>
    <row r="5650" ht="22.5" customHeight="1">
      <c r="A5650" s="61">
        <v>10.88706</v>
      </c>
      <c r="B5650" s="63">
        <v>106.5911</v>
      </c>
      <c r="C5650" s="63">
        <v>10.88801</v>
      </c>
      <c r="D5650" s="63">
        <v>106.5985</v>
      </c>
      <c r="E5650" s="64">
        <v>0.85</v>
      </c>
    </row>
    <row r="5651" ht="22.5" customHeight="1">
      <c r="A5651" s="66">
        <v>10.88706</v>
      </c>
      <c r="B5651" s="67">
        <v>106.5911</v>
      </c>
      <c r="C5651" s="67">
        <v>10.8937</v>
      </c>
      <c r="D5651" s="67">
        <v>106.6123</v>
      </c>
      <c r="E5651" s="68">
        <v>2.906</v>
      </c>
    </row>
    <row r="5652" ht="22.5" customHeight="1">
      <c r="A5652" s="61">
        <v>10.88706</v>
      </c>
      <c r="B5652" s="63">
        <v>106.5911</v>
      </c>
      <c r="C5652" s="63">
        <v>10.8955</v>
      </c>
      <c r="D5652" s="63">
        <v>106.5788</v>
      </c>
      <c r="E5652" s="64">
        <v>3.4</v>
      </c>
    </row>
    <row r="5653" ht="22.5" customHeight="1">
      <c r="A5653" s="66">
        <v>10.88715</v>
      </c>
      <c r="B5653" s="67">
        <v>106.6074</v>
      </c>
      <c r="C5653" s="67">
        <v>10.82721</v>
      </c>
      <c r="D5653" s="67">
        <v>106.6247</v>
      </c>
      <c r="E5653" s="68">
        <v>9.576</v>
      </c>
    </row>
    <row r="5654" ht="22.5" customHeight="1">
      <c r="A5654" s="61">
        <v>10.88715</v>
      </c>
      <c r="B5654" s="63">
        <v>106.6074</v>
      </c>
      <c r="C5654" s="63">
        <v>10.84909</v>
      </c>
      <c r="D5654" s="63">
        <v>106.5874</v>
      </c>
      <c r="E5654" s="64">
        <v>6.181</v>
      </c>
    </row>
    <row r="5655" ht="22.5" customHeight="1">
      <c r="A5655" s="66">
        <v>10.88715</v>
      </c>
      <c r="B5655" s="67">
        <v>106.6074</v>
      </c>
      <c r="C5655" s="67">
        <v>10.85292</v>
      </c>
      <c r="D5655" s="67">
        <v>106.5839</v>
      </c>
      <c r="E5655" s="68">
        <v>6.387</v>
      </c>
    </row>
    <row r="5656" ht="22.5" customHeight="1">
      <c r="A5656" s="61">
        <v>10.88715</v>
      </c>
      <c r="B5656" s="63">
        <v>106.6074</v>
      </c>
      <c r="C5656" s="63">
        <v>10.88436</v>
      </c>
      <c r="D5656" s="63">
        <v>106.595</v>
      </c>
      <c r="E5656" s="64">
        <v>2.214</v>
      </c>
    </row>
    <row r="5657" ht="22.5" customHeight="1">
      <c r="A5657" s="66">
        <v>10.88715</v>
      </c>
      <c r="B5657" s="67">
        <v>106.6074</v>
      </c>
      <c r="C5657" s="67">
        <v>10.88801</v>
      </c>
      <c r="D5657" s="67">
        <v>106.5985</v>
      </c>
      <c r="E5657" s="68">
        <v>1.176</v>
      </c>
    </row>
    <row r="5658" ht="22.5" customHeight="1">
      <c r="A5658" s="61">
        <v>10.88715</v>
      </c>
      <c r="B5658" s="63">
        <v>106.6074</v>
      </c>
      <c r="C5658" s="63">
        <v>10.89617</v>
      </c>
      <c r="D5658" s="63">
        <v>106.6226</v>
      </c>
      <c r="E5658" s="64">
        <v>4.309</v>
      </c>
    </row>
    <row r="5659" ht="22.5" customHeight="1">
      <c r="A5659" s="66">
        <v>10.88715</v>
      </c>
      <c r="B5659" s="67">
        <v>106.6074</v>
      </c>
      <c r="C5659" s="67">
        <v>10.90586</v>
      </c>
      <c r="D5659" s="67">
        <v>106.6438</v>
      </c>
      <c r="E5659" s="68">
        <v>6.05</v>
      </c>
    </row>
    <row r="5660" ht="22.5" customHeight="1">
      <c r="A5660" s="61">
        <v>10.88718</v>
      </c>
      <c r="B5660" s="63">
        <v>106.6075</v>
      </c>
      <c r="C5660" s="63">
        <v>10.82721</v>
      </c>
      <c r="D5660" s="63">
        <v>106.6247</v>
      </c>
      <c r="E5660" s="64">
        <v>9.47</v>
      </c>
    </row>
    <row r="5661" ht="22.5" customHeight="1">
      <c r="A5661" s="66">
        <v>10.88718</v>
      </c>
      <c r="B5661" s="67">
        <v>106.6075</v>
      </c>
      <c r="C5661" s="67">
        <v>10.85292</v>
      </c>
      <c r="D5661" s="67">
        <v>106.5839</v>
      </c>
      <c r="E5661" s="68">
        <v>6.408</v>
      </c>
    </row>
    <row r="5662" ht="22.5" customHeight="1">
      <c r="A5662" s="61">
        <v>10.88718</v>
      </c>
      <c r="B5662" s="63">
        <v>106.6075</v>
      </c>
      <c r="C5662" s="63">
        <v>10.87189</v>
      </c>
      <c r="D5662" s="63">
        <v>106.5975</v>
      </c>
      <c r="E5662" s="64">
        <v>2.858</v>
      </c>
    </row>
    <row r="5663" ht="22.5" customHeight="1">
      <c r="A5663" s="66">
        <v>10.88718</v>
      </c>
      <c r="B5663" s="67">
        <v>106.6075</v>
      </c>
      <c r="C5663" s="67">
        <v>10.88718</v>
      </c>
      <c r="D5663" s="67">
        <v>106.6075</v>
      </c>
      <c r="E5663" s="68">
        <v>0.005</v>
      </c>
    </row>
    <row r="5664" ht="22.5" customHeight="1">
      <c r="A5664" s="61">
        <v>10.88718</v>
      </c>
      <c r="B5664" s="63">
        <v>106.6075</v>
      </c>
      <c r="C5664" s="63">
        <v>10.88801</v>
      </c>
      <c r="D5664" s="63">
        <v>106.5985</v>
      </c>
      <c r="E5664" s="64">
        <v>1.095</v>
      </c>
    </row>
    <row r="5665" ht="22.5" customHeight="1">
      <c r="A5665" s="66">
        <v>10.88718</v>
      </c>
      <c r="B5665" s="67">
        <v>106.6075</v>
      </c>
      <c r="C5665" s="67">
        <v>10.89115</v>
      </c>
      <c r="D5665" s="67">
        <v>106.6142</v>
      </c>
      <c r="E5665" s="68">
        <v>2.056</v>
      </c>
    </row>
    <row r="5666" ht="22.5" customHeight="1">
      <c r="A5666" s="61">
        <v>10.88718</v>
      </c>
      <c r="B5666" s="63">
        <v>106.6075</v>
      </c>
      <c r="C5666" s="63">
        <v>10.8955</v>
      </c>
      <c r="D5666" s="63">
        <v>106.5788</v>
      </c>
      <c r="E5666" s="64">
        <v>4.678</v>
      </c>
    </row>
    <row r="5667" ht="22.5" customHeight="1">
      <c r="A5667" s="66">
        <v>10.88788</v>
      </c>
      <c r="B5667" s="67">
        <v>106.7737</v>
      </c>
      <c r="C5667" s="67">
        <v>10.85846</v>
      </c>
      <c r="D5667" s="67">
        <v>106.7487</v>
      </c>
      <c r="E5667" s="68">
        <v>5.646</v>
      </c>
    </row>
    <row r="5668" ht="22.5" customHeight="1">
      <c r="A5668" s="61">
        <v>10.88788</v>
      </c>
      <c r="B5668" s="63">
        <v>106.7737</v>
      </c>
      <c r="C5668" s="63">
        <v>10.86052</v>
      </c>
      <c r="D5668" s="63">
        <v>106.7606</v>
      </c>
      <c r="E5668" s="64">
        <v>3.708</v>
      </c>
    </row>
    <row r="5669" ht="22.5" customHeight="1">
      <c r="A5669" s="66">
        <v>10.88788</v>
      </c>
      <c r="B5669" s="67">
        <v>106.7737</v>
      </c>
      <c r="C5669" s="67">
        <v>10.8789</v>
      </c>
      <c r="D5669" s="67">
        <v>106.7779</v>
      </c>
      <c r="E5669" s="68">
        <v>2.125</v>
      </c>
    </row>
    <row r="5670" ht="22.5" customHeight="1">
      <c r="A5670" s="61">
        <v>10.88801</v>
      </c>
      <c r="B5670" s="63">
        <v>106.5985</v>
      </c>
      <c r="C5670" s="63">
        <v>10.79975</v>
      </c>
      <c r="D5670" s="63">
        <v>106.6696</v>
      </c>
      <c r="E5670" s="64">
        <v>14.511</v>
      </c>
    </row>
    <row r="5671" ht="22.5" customHeight="1">
      <c r="A5671" s="66">
        <v>10.88801</v>
      </c>
      <c r="B5671" s="67">
        <v>106.5985</v>
      </c>
      <c r="C5671" s="67">
        <v>10.82721</v>
      </c>
      <c r="D5671" s="67">
        <v>106.6247</v>
      </c>
      <c r="E5671" s="68">
        <v>9.9</v>
      </c>
    </row>
    <row r="5672" ht="22.5" customHeight="1">
      <c r="A5672" s="61">
        <v>10.88801</v>
      </c>
      <c r="B5672" s="63">
        <v>106.5985</v>
      </c>
      <c r="C5672" s="63">
        <v>10.84581</v>
      </c>
      <c r="D5672" s="63">
        <v>106.593</v>
      </c>
      <c r="E5672" s="64">
        <v>5.5</v>
      </c>
    </row>
    <row r="5673" ht="22.5" customHeight="1">
      <c r="A5673" s="66">
        <v>10.88801</v>
      </c>
      <c r="B5673" s="67">
        <v>106.5985</v>
      </c>
      <c r="C5673" s="67">
        <v>10.84909</v>
      </c>
      <c r="D5673" s="67">
        <v>106.5874</v>
      </c>
      <c r="E5673" s="68">
        <v>5.076</v>
      </c>
    </row>
    <row r="5674" ht="22.5" customHeight="1">
      <c r="A5674" s="61">
        <v>10.88801</v>
      </c>
      <c r="B5674" s="63">
        <v>106.5985</v>
      </c>
      <c r="C5674" s="63">
        <v>10.85292</v>
      </c>
      <c r="D5674" s="63">
        <v>106.5839</v>
      </c>
      <c r="E5674" s="64">
        <v>5.819</v>
      </c>
    </row>
    <row r="5675" ht="22.5" customHeight="1">
      <c r="A5675" s="66">
        <v>10.88801</v>
      </c>
      <c r="B5675" s="67">
        <v>106.5985</v>
      </c>
      <c r="C5675" s="67">
        <v>10.87189</v>
      </c>
      <c r="D5675" s="67">
        <v>106.5975</v>
      </c>
      <c r="E5675" s="68">
        <v>1.9</v>
      </c>
    </row>
    <row r="5676" ht="22.5" customHeight="1">
      <c r="A5676" s="61">
        <v>10.88801</v>
      </c>
      <c r="B5676" s="63">
        <v>106.5985</v>
      </c>
      <c r="C5676" s="63">
        <v>10.87371</v>
      </c>
      <c r="D5676" s="63">
        <v>106.6217</v>
      </c>
      <c r="E5676" s="64">
        <v>3.705</v>
      </c>
    </row>
    <row r="5677" ht="22.5" customHeight="1">
      <c r="A5677" s="66">
        <v>10.88801</v>
      </c>
      <c r="B5677" s="67">
        <v>106.5985</v>
      </c>
      <c r="C5677" s="67">
        <v>10.87507</v>
      </c>
      <c r="D5677" s="67">
        <v>106.5985</v>
      </c>
      <c r="E5677" s="68">
        <v>1.62</v>
      </c>
    </row>
    <row r="5678" ht="22.5" customHeight="1">
      <c r="A5678" s="61">
        <v>10.88801</v>
      </c>
      <c r="B5678" s="63">
        <v>106.5985</v>
      </c>
      <c r="C5678" s="63">
        <v>10.87599</v>
      </c>
      <c r="D5678" s="63">
        <v>106.6239</v>
      </c>
      <c r="E5678" s="64">
        <v>3.952</v>
      </c>
    </row>
    <row r="5679" ht="22.5" customHeight="1">
      <c r="A5679" s="66">
        <v>10.88801</v>
      </c>
      <c r="B5679" s="67">
        <v>106.5985</v>
      </c>
      <c r="C5679" s="67">
        <v>10.88436</v>
      </c>
      <c r="D5679" s="67">
        <v>106.595</v>
      </c>
      <c r="E5679" s="68">
        <v>0.7</v>
      </c>
    </row>
    <row r="5680" ht="22.5" customHeight="1">
      <c r="A5680" s="61">
        <v>10.88801</v>
      </c>
      <c r="B5680" s="63">
        <v>106.5985</v>
      </c>
      <c r="C5680" s="63">
        <v>10.88706</v>
      </c>
      <c r="D5680" s="63">
        <v>106.5911</v>
      </c>
      <c r="E5680" s="64">
        <v>0.872</v>
      </c>
    </row>
    <row r="5681" ht="22.5" customHeight="1">
      <c r="A5681" s="66">
        <v>10.88801</v>
      </c>
      <c r="B5681" s="67">
        <v>106.5985</v>
      </c>
      <c r="C5681" s="67">
        <v>10.88718</v>
      </c>
      <c r="D5681" s="67">
        <v>106.6075</v>
      </c>
      <c r="E5681" s="68">
        <v>3.232</v>
      </c>
    </row>
    <row r="5682" ht="22.5" customHeight="1">
      <c r="A5682" s="61">
        <v>10.88801</v>
      </c>
      <c r="B5682" s="63">
        <v>106.5985</v>
      </c>
      <c r="C5682" s="63">
        <v>10.89115</v>
      </c>
      <c r="D5682" s="63">
        <v>106.6142</v>
      </c>
      <c r="E5682" s="64">
        <v>3.7</v>
      </c>
    </row>
    <row r="5683" ht="22.5" customHeight="1">
      <c r="A5683" s="66">
        <v>10.88801</v>
      </c>
      <c r="B5683" s="67">
        <v>106.5985</v>
      </c>
      <c r="C5683" s="67">
        <v>10.8937</v>
      </c>
      <c r="D5683" s="67">
        <v>106.6123</v>
      </c>
      <c r="E5683" s="68">
        <v>2.1</v>
      </c>
    </row>
    <row r="5684" ht="22.5" customHeight="1">
      <c r="A5684" s="61">
        <v>10.88801</v>
      </c>
      <c r="B5684" s="63">
        <v>106.5985</v>
      </c>
      <c r="C5684" s="63">
        <v>10.8955</v>
      </c>
      <c r="D5684" s="63">
        <v>106.5788</v>
      </c>
      <c r="E5684" s="64">
        <v>3.5</v>
      </c>
    </row>
    <row r="5685" ht="22.5" customHeight="1">
      <c r="A5685" s="66">
        <v>10.88801</v>
      </c>
      <c r="B5685" s="67">
        <v>106.5985</v>
      </c>
      <c r="C5685" s="67">
        <v>10.89617</v>
      </c>
      <c r="D5685" s="67">
        <v>106.6226</v>
      </c>
      <c r="E5685" s="68">
        <v>4.071</v>
      </c>
    </row>
    <row r="5686" ht="22.5" customHeight="1">
      <c r="A5686" s="61">
        <v>10.88801</v>
      </c>
      <c r="B5686" s="63">
        <v>106.5985</v>
      </c>
      <c r="C5686" s="63">
        <v>10.9021</v>
      </c>
      <c r="D5686" s="63">
        <v>106.5531</v>
      </c>
      <c r="E5686" s="64">
        <v>6.398</v>
      </c>
    </row>
    <row r="5687" ht="22.5" customHeight="1">
      <c r="A5687" s="66">
        <v>10.88801</v>
      </c>
      <c r="B5687" s="67">
        <v>106.5985</v>
      </c>
      <c r="C5687" s="67">
        <v>10.90586</v>
      </c>
      <c r="D5687" s="67">
        <v>106.6438</v>
      </c>
      <c r="E5687" s="68">
        <v>5.783</v>
      </c>
    </row>
    <row r="5688" ht="22.5" customHeight="1">
      <c r="A5688" s="61">
        <v>10.88979</v>
      </c>
      <c r="B5688" s="63">
        <v>106.7399</v>
      </c>
      <c r="C5688" s="63">
        <v>10.77509</v>
      </c>
      <c r="D5688" s="63">
        <v>106.6727</v>
      </c>
      <c r="E5688" s="64">
        <v>17.459</v>
      </c>
    </row>
    <row r="5689" ht="22.5" customHeight="1">
      <c r="A5689" s="66">
        <v>10.88979</v>
      </c>
      <c r="B5689" s="67">
        <v>106.7399</v>
      </c>
      <c r="C5689" s="67">
        <v>10.85846</v>
      </c>
      <c r="D5689" s="67">
        <v>106.7487</v>
      </c>
      <c r="E5689" s="68">
        <v>5.368</v>
      </c>
    </row>
    <row r="5690" ht="22.5" customHeight="1">
      <c r="A5690" s="61">
        <v>10.88979</v>
      </c>
      <c r="B5690" s="63">
        <v>106.7399</v>
      </c>
      <c r="C5690" s="63">
        <v>10.86826</v>
      </c>
      <c r="D5690" s="63">
        <v>106.7145</v>
      </c>
      <c r="E5690" s="64">
        <v>7.33</v>
      </c>
    </row>
    <row r="5691" ht="22.5" customHeight="1">
      <c r="A5691" s="66">
        <v>10.88979</v>
      </c>
      <c r="B5691" s="67">
        <v>106.7399</v>
      </c>
      <c r="C5691" s="67">
        <v>10.88633</v>
      </c>
      <c r="D5691" s="67">
        <v>106.7043</v>
      </c>
      <c r="E5691" s="68">
        <v>7.352</v>
      </c>
    </row>
    <row r="5692" ht="22.5" customHeight="1">
      <c r="A5692" s="61">
        <v>10.88979</v>
      </c>
      <c r="B5692" s="63">
        <v>106.7399</v>
      </c>
      <c r="C5692" s="63">
        <v>10.88984</v>
      </c>
      <c r="D5692" s="63">
        <v>106.7399</v>
      </c>
      <c r="E5692" s="64">
        <v>0.0</v>
      </c>
    </row>
    <row r="5693" ht="22.5" customHeight="1">
      <c r="A5693" s="66">
        <v>10.88979</v>
      </c>
      <c r="B5693" s="67">
        <v>106.7399</v>
      </c>
      <c r="C5693" s="67">
        <v>10.90107</v>
      </c>
      <c r="D5693" s="67">
        <v>106.6983</v>
      </c>
      <c r="E5693" s="68">
        <v>7.102</v>
      </c>
    </row>
    <row r="5694" ht="22.5" customHeight="1">
      <c r="A5694" s="61">
        <v>10.88979</v>
      </c>
      <c r="B5694" s="63">
        <v>106.7399</v>
      </c>
      <c r="C5694" s="63">
        <v>10.9019</v>
      </c>
      <c r="D5694" s="63">
        <v>106.7035</v>
      </c>
      <c r="E5694" s="64">
        <v>6.233</v>
      </c>
    </row>
    <row r="5695" ht="22.5" customHeight="1">
      <c r="A5695" s="66">
        <v>10.88979</v>
      </c>
      <c r="B5695" s="67">
        <v>106.7399</v>
      </c>
      <c r="C5695" s="67">
        <v>10.90416</v>
      </c>
      <c r="D5695" s="67">
        <v>106.7027</v>
      </c>
      <c r="E5695" s="68">
        <v>6.585</v>
      </c>
    </row>
    <row r="5696" ht="22.5" customHeight="1">
      <c r="A5696" s="61">
        <v>10.88979</v>
      </c>
      <c r="B5696" s="63">
        <v>106.7399</v>
      </c>
      <c r="C5696" s="63">
        <v>10.90752</v>
      </c>
      <c r="D5696" s="63">
        <v>106.7495</v>
      </c>
      <c r="E5696" s="64">
        <v>2.965</v>
      </c>
    </row>
    <row r="5697" ht="22.5" customHeight="1">
      <c r="A5697" s="66">
        <v>10.88979</v>
      </c>
      <c r="B5697" s="67">
        <v>106.7399</v>
      </c>
      <c r="C5697" s="67">
        <v>10.90835</v>
      </c>
      <c r="D5697" s="67">
        <v>106.7014</v>
      </c>
      <c r="E5697" s="68">
        <v>7.386</v>
      </c>
    </row>
    <row r="5698" ht="22.5" customHeight="1">
      <c r="A5698" s="61">
        <v>10.88979</v>
      </c>
      <c r="B5698" s="63">
        <v>106.7399</v>
      </c>
      <c r="C5698" s="63">
        <v>10.90846</v>
      </c>
      <c r="D5698" s="63">
        <v>106.7403</v>
      </c>
      <c r="E5698" s="64">
        <v>2.341</v>
      </c>
    </row>
    <row r="5699" ht="22.5" customHeight="1">
      <c r="A5699" s="66">
        <v>10.88979</v>
      </c>
      <c r="B5699" s="67">
        <v>106.7399</v>
      </c>
      <c r="C5699" s="67">
        <v>10.90871</v>
      </c>
      <c r="D5699" s="67">
        <v>106.7019</v>
      </c>
      <c r="E5699" s="68">
        <v>7.073</v>
      </c>
    </row>
    <row r="5700" ht="22.5" customHeight="1">
      <c r="A5700" s="61">
        <v>10.88979</v>
      </c>
      <c r="B5700" s="63">
        <v>106.7399</v>
      </c>
      <c r="C5700" s="63">
        <v>10.91936</v>
      </c>
      <c r="D5700" s="63">
        <v>106.7125</v>
      </c>
      <c r="E5700" s="64">
        <v>7.146</v>
      </c>
    </row>
    <row r="5701" ht="22.5" customHeight="1">
      <c r="A5701" s="66">
        <v>10.88979</v>
      </c>
      <c r="B5701" s="67">
        <v>106.7399</v>
      </c>
      <c r="C5701" s="67">
        <v>10.92893</v>
      </c>
      <c r="D5701" s="67">
        <v>106.7125</v>
      </c>
      <c r="E5701" s="68">
        <v>7.992</v>
      </c>
    </row>
    <row r="5702" ht="22.5" customHeight="1">
      <c r="A5702" s="61">
        <v>10.88979</v>
      </c>
      <c r="B5702" s="63">
        <v>106.7399</v>
      </c>
      <c r="C5702" s="63">
        <v>10.93659</v>
      </c>
      <c r="D5702" s="63">
        <v>106.7427</v>
      </c>
      <c r="E5702" s="64">
        <v>5.268</v>
      </c>
    </row>
    <row r="5703" ht="22.5" customHeight="1">
      <c r="A5703" s="66">
        <v>10.88979</v>
      </c>
      <c r="B5703" s="67">
        <v>106.7399</v>
      </c>
      <c r="C5703" s="67">
        <v>10.94228</v>
      </c>
      <c r="D5703" s="67">
        <v>106.725</v>
      </c>
      <c r="E5703" s="68">
        <v>8.231</v>
      </c>
    </row>
    <row r="5704" ht="22.5" customHeight="1">
      <c r="A5704" s="61">
        <v>10.88979</v>
      </c>
      <c r="B5704" s="63">
        <v>106.7399</v>
      </c>
      <c r="C5704" s="63">
        <v>10.94485</v>
      </c>
      <c r="D5704" s="63">
        <v>106.7368</v>
      </c>
      <c r="E5704" s="64">
        <v>7.731</v>
      </c>
    </row>
    <row r="5705" ht="22.5" customHeight="1">
      <c r="A5705" s="66">
        <v>10.88979</v>
      </c>
      <c r="B5705" s="67">
        <v>106.7399</v>
      </c>
      <c r="C5705" s="67">
        <v>10.9464</v>
      </c>
      <c r="D5705" s="67">
        <v>106.7316</v>
      </c>
      <c r="E5705" s="68">
        <v>8.186</v>
      </c>
    </row>
    <row r="5706" ht="22.5" customHeight="1">
      <c r="A5706" s="61">
        <v>10.88979</v>
      </c>
      <c r="B5706" s="63">
        <v>106.7399</v>
      </c>
      <c r="C5706" s="63">
        <v>10.94876</v>
      </c>
      <c r="D5706" s="63">
        <v>106.6885</v>
      </c>
      <c r="E5706" s="64">
        <v>12.667</v>
      </c>
    </row>
    <row r="5707" ht="22.5" customHeight="1">
      <c r="A5707" s="66">
        <v>10.88979</v>
      </c>
      <c r="B5707" s="67">
        <v>106.7399</v>
      </c>
      <c r="C5707" s="67">
        <v>10.94892</v>
      </c>
      <c r="D5707" s="67">
        <v>106.6883</v>
      </c>
      <c r="E5707" s="68">
        <v>12.688</v>
      </c>
    </row>
    <row r="5708" ht="22.5" customHeight="1">
      <c r="A5708" s="61">
        <v>10.88979</v>
      </c>
      <c r="B5708" s="63">
        <v>106.7399</v>
      </c>
      <c r="C5708" s="63">
        <v>10.95115</v>
      </c>
      <c r="D5708" s="63">
        <v>106.7072</v>
      </c>
      <c r="E5708" s="64">
        <v>10.685</v>
      </c>
    </row>
    <row r="5709" ht="22.5" customHeight="1">
      <c r="A5709" s="66">
        <v>10.88979</v>
      </c>
      <c r="B5709" s="67">
        <v>106.7399</v>
      </c>
      <c r="C5709" s="67">
        <v>10.97933</v>
      </c>
      <c r="D5709" s="67">
        <v>106.7402</v>
      </c>
      <c r="E5709" s="68">
        <v>11.298</v>
      </c>
    </row>
    <row r="5710" ht="22.5" customHeight="1">
      <c r="A5710" s="61">
        <v>10.88981</v>
      </c>
      <c r="B5710" s="63">
        <v>106.74</v>
      </c>
      <c r="C5710" s="63">
        <v>10.90835</v>
      </c>
      <c r="D5710" s="63">
        <v>106.7014</v>
      </c>
      <c r="E5710" s="64">
        <v>7.05</v>
      </c>
    </row>
    <row r="5711" ht="22.5" customHeight="1">
      <c r="A5711" s="66">
        <v>10.88984</v>
      </c>
      <c r="B5711" s="67">
        <v>106.7399</v>
      </c>
      <c r="C5711" s="67">
        <v>10.77509</v>
      </c>
      <c r="D5711" s="67">
        <v>106.6727</v>
      </c>
      <c r="E5711" s="68">
        <v>17.376</v>
      </c>
    </row>
    <row r="5712" ht="22.5" customHeight="1">
      <c r="A5712" s="61">
        <v>10.88984</v>
      </c>
      <c r="B5712" s="63">
        <v>106.7399</v>
      </c>
      <c r="C5712" s="63">
        <v>10.88979</v>
      </c>
      <c r="D5712" s="63">
        <v>106.7399</v>
      </c>
      <c r="E5712" s="64">
        <v>0.002</v>
      </c>
    </row>
    <row r="5713" ht="22.5" customHeight="1">
      <c r="A5713" s="66">
        <v>10.88984</v>
      </c>
      <c r="B5713" s="67">
        <v>106.7399</v>
      </c>
      <c r="C5713" s="67">
        <v>10.90752</v>
      </c>
      <c r="D5713" s="67">
        <v>106.7495</v>
      </c>
      <c r="E5713" s="68">
        <v>3.333</v>
      </c>
    </row>
    <row r="5714" ht="22.5" customHeight="1">
      <c r="A5714" s="61">
        <v>10.88984</v>
      </c>
      <c r="B5714" s="63">
        <v>106.7399</v>
      </c>
      <c r="C5714" s="63">
        <v>10.90835</v>
      </c>
      <c r="D5714" s="63">
        <v>106.7014</v>
      </c>
      <c r="E5714" s="64">
        <v>6.868</v>
      </c>
    </row>
    <row r="5715" ht="22.5" customHeight="1">
      <c r="A5715" s="66">
        <v>10.88984</v>
      </c>
      <c r="B5715" s="67">
        <v>106.7399</v>
      </c>
      <c r="C5715" s="67">
        <v>10.94228</v>
      </c>
      <c r="D5715" s="67">
        <v>106.725</v>
      </c>
      <c r="E5715" s="68">
        <v>8.125</v>
      </c>
    </row>
    <row r="5716" ht="22.5" customHeight="1">
      <c r="A5716" s="61">
        <v>10.88984</v>
      </c>
      <c r="B5716" s="63">
        <v>106.7399</v>
      </c>
      <c r="C5716" s="63">
        <v>10.9464</v>
      </c>
      <c r="D5716" s="63">
        <v>106.7316</v>
      </c>
      <c r="E5716" s="64">
        <v>8.207</v>
      </c>
    </row>
    <row r="5717" ht="22.5" customHeight="1">
      <c r="A5717" s="66">
        <v>10.88984</v>
      </c>
      <c r="B5717" s="67">
        <v>106.7399</v>
      </c>
      <c r="C5717" s="67">
        <v>10.96776</v>
      </c>
      <c r="D5717" s="67">
        <v>106.7421</v>
      </c>
      <c r="E5717" s="68">
        <v>9.199</v>
      </c>
    </row>
    <row r="5718" ht="22.5" customHeight="1">
      <c r="A5718" s="61">
        <v>10.88984</v>
      </c>
      <c r="B5718" s="63">
        <v>106.7399</v>
      </c>
      <c r="C5718" s="63">
        <v>10.97933</v>
      </c>
      <c r="D5718" s="63">
        <v>106.7402</v>
      </c>
      <c r="E5718" s="64">
        <v>11.306</v>
      </c>
    </row>
    <row r="5719" ht="22.5" customHeight="1">
      <c r="A5719" s="66">
        <v>10.89083</v>
      </c>
      <c r="B5719" s="67">
        <v>106.7295</v>
      </c>
      <c r="C5719" s="67">
        <v>10.90835</v>
      </c>
      <c r="D5719" s="67">
        <v>106.7014</v>
      </c>
      <c r="E5719" s="68">
        <v>4.414</v>
      </c>
    </row>
    <row r="5720" ht="22.5" customHeight="1">
      <c r="A5720" s="61">
        <v>10.89112</v>
      </c>
      <c r="B5720" s="63">
        <v>106.7276</v>
      </c>
      <c r="C5720" s="63">
        <v>10.85846</v>
      </c>
      <c r="D5720" s="63">
        <v>106.7487</v>
      </c>
      <c r="E5720" s="64">
        <v>5.1</v>
      </c>
    </row>
    <row r="5721" ht="22.5" customHeight="1">
      <c r="A5721" s="66">
        <v>10.89112</v>
      </c>
      <c r="B5721" s="67">
        <v>106.7276</v>
      </c>
      <c r="C5721" s="67">
        <v>10.90416</v>
      </c>
      <c r="D5721" s="67">
        <v>106.7027</v>
      </c>
      <c r="E5721" s="68">
        <v>3.754</v>
      </c>
    </row>
    <row r="5722" ht="22.5" customHeight="1">
      <c r="A5722" s="61">
        <v>10.89112</v>
      </c>
      <c r="B5722" s="63">
        <v>106.7276</v>
      </c>
      <c r="C5722" s="63">
        <v>10.90835</v>
      </c>
      <c r="D5722" s="63">
        <v>106.7014</v>
      </c>
      <c r="E5722" s="64">
        <v>4.2</v>
      </c>
    </row>
    <row r="5723" ht="22.5" customHeight="1">
      <c r="A5723" s="66">
        <v>10.89115</v>
      </c>
      <c r="B5723" s="67">
        <v>106.6142</v>
      </c>
      <c r="C5723" s="67">
        <v>10.79975</v>
      </c>
      <c r="D5723" s="67">
        <v>106.6696</v>
      </c>
      <c r="E5723" s="68">
        <v>14.731</v>
      </c>
    </row>
    <row r="5724" ht="22.5" customHeight="1">
      <c r="A5724" s="61">
        <v>10.89115</v>
      </c>
      <c r="B5724" s="63">
        <v>106.6142</v>
      </c>
      <c r="C5724" s="63">
        <v>10.82721</v>
      </c>
      <c r="D5724" s="63">
        <v>106.6247</v>
      </c>
      <c r="E5724" s="64">
        <v>9.437</v>
      </c>
    </row>
    <row r="5725" ht="22.5" customHeight="1">
      <c r="A5725" s="66">
        <v>10.89115</v>
      </c>
      <c r="B5725" s="67">
        <v>106.6142</v>
      </c>
      <c r="C5725" s="67">
        <v>10.84581</v>
      </c>
      <c r="D5725" s="67">
        <v>106.593</v>
      </c>
      <c r="E5725" s="68">
        <v>8.052</v>
      </c>
    </row>
    <row r="5726" ht="22.5" customHeight="1">
      <c r="A5726" s="61">
        <v>10.89115</v>
      </c>
      <c r="B5726" s="63">
        <v>106.6142</v>
      </c>
      <c r="C5726" s="63">
        <v>10.84941</v>
      </c>
      <c r="D5726" s="63">
        <v>106.588</v>
      </c>
      <c r="E5726" s="64">
        <v>6.766</v>
      </c>
    </row>
    <row r="5727" ht="22.5" customHeight="1">
      <c r="A5727" s="66">
        <v>10.89115</v>
      </c>
      <c r="B5727" s="67">
        <v>106.6142</v>
      </c>
      <c r="C5727" s="67">
        <v>10.85059</v>
      </c>
      <c r="D5727" s="67">
        <v>106.5865</v>
      </c>
      <c r="E5727" s="68">
        <v>7.666</v>
      </c>
    </row>
    <row r="5728" ht="22.5" customHeight="1">
      <c r="A5728" s="61">
        <v>10.89115</v>
      </c>
      <c r="B5728" s="63">
        <v>106.6142</v>
      </c>
      <c r="C5728" s="63">
        <v>10.85292</v>
      </c>
      <c r="D5728" s="63">
        <v>106.5839</v>
      </c>
      <c r="E5728" s="64">
        <v>7.536</v>
      </c>
    </row>
    <row r="5729" ht="22.5" customHeight="1">
      <c r="A5729" s="66">
        <v>10.89115</v>
      </c>
      <c r="B5729" s="67">
        <v>106.6142</v>
      </c>
      <c r="C5729" s="67">
        <v>10.87189</v>
      </c>
      <c r="D5729" s="67">
        <v>106.5975</v>
      </c>
      <c r="E5729" s="68">
        <v>3.531</v>
      </c>
    </row>
    <row r="5730" ht="22.5" customHeight="1">
      <c r="A5730" s="61">
        <v>10.89115</v>
      </c>
      <c r="B5730" s="63">
        <v>106.6142</v>
      </c>
      <c r="C5730" s="63">
        <v>10.87507</v>
      </c>
      <c r="D5730" s="63">
        <v>106.5985</v>
      </c>
      <c r="E5730" s="64">
        <v>3.363</v>
      </c>
    </row>
    <row r="5731" ht="22.5" customHeight="1">
      <c r="A5731" s="66">
        <v>10.89115</v>
      </c>
      <c r="B5731" s="67">
        <v>106.6142</v>
      </c>
      <c r="C5731" s="67">
        <v>10.88436</v>
      </c>
      <c r="D5731" s="67">
        <v>106.595</v>
      </c>
      <c r="E5731" s="68">
        <v>2.866</v>
      </c>
    </row>
    <row r="5732" ht="22.5" customHeight="1">
      <c r="A5732" s="61">
        <v>10.89115</v>
      </c>
      <c r="B5732" s="63">
        <v>106.6142</v>
      </c>
      <c r="C5732" s="63">
        <v>10.88706</v>
      </c>
      <c r="D5732" s="63">
        <v>106.5911</v>
      </c>
      <c r="E5732" s="64">
        <v>2.671</v>
      </c>
    </row>
    <row r="5733" ht="22.5" customHeight="1">
      <c r="A5733" s="66">
        <v>10.89115</v>
      </c>
      <c r="B5733" s="67">
        <v>106.6142</v>
      </c>
      <c r="C5733" s="67">
        <v>10.88801</v>
      </c>
      <c r="D5733" s="67">
        <v>106.5985</v>
      </c>
      <c r="E5733" s="68">
        <v>2.074</v>
      </c>
    </row>
    <row r="5734" ht="22.5" customHeight="1">
      <c r="A5734" s="61">
        <v>10.89115</v>
      </c>
      <c r="B5734" s="63">
        <v>106.6142</v>
      </c>
      <c r="C5734" s="63">
        <v>10.8937</v>
      </c>
      <c r="D5734" s="63">
        <v>106.6123</v>
      </c>
      <c r="E5734" s="64">
        <v>0.463</v>
      </c>
    </row>
    <row r="5735" ht="22.5" customHeight="1">
      <c r="A5735" s="66">
        <v>10.89115</v>
      </c>
      <c r="B5735" s="67">
        <v>106.6142</v>
      </c>
      <c r="C5735" s="67">
        <v>10.89471</v>
      </c>
      <c r="D5735" s="67">
        <v>106.5794</v>
      </c>
      <c r="E5735" s="68">
        <v>5.455</v>
      </c>
    </row>
    <row r="5736" ht="22.5" customHeight="1">
      <c r="A5736" s="61">
        <v>10.89115</v>
      </c>
      <c r="B5736" s="63">
        <v>106.6142</v>
      </c>
      <c r="C5736" s="63">
        <v>10.8955</v>
      </c>
      <c r="D5736" s="63">
        <v>106.5788</v>
      </c>
      <c r="E5736" s="64">
        <v>4.469</v>
      </c>
    </row>
    <row r="5737" ht="22.5" customHeight="1">
      <c r="A5737" s="66">
        <v>10.89317</v>
      </c>
      <c r="B5737" s="67">
        <v>106.6879</v>
      </c>
      <c r="C5737" s="67">
        <v>10.74602</v>
      </c>
      <c r="D5737" s="67">
        <v>106.6123</v>
      </c>
      <c r="E5737" s="68">
        <v>23.982</v>
      </c>
    </row>
    <row r="5738" ht="22.5" customHeight="1">
      <c r="A5738" s="61">
        <v>10.89317</v>
      </c>
      <c r="B5738" s="63">
        <v>106.6879</v>
      </c>
      <c r="C5738" s="63">
        <v>10.79975</v>
      </c>
      <c r="D5738" s="63">
        <v>106.6696</v>
      </c>
      <c r="E5738" s="64">
        <v>12.3</v>
      </c>
    </row>
    <row r="5739" ht="22.5" customHeight="1">
      <c r="A5739" s="66">
        <v>10.89317</v>
      </c>
      <c r="B5739" s="67">
        <v>106.6879</v>
      </c>
      <c r="C5739" s="67">
        <v>10.82721</v>
      </c>
      <c r="D5739" s="67">
        <v>106.6247</v>
      </c>
      <c r="E5739" s="68">
        <v>14.442</v>
      </c>
    </row>
    <row r="5740" ht="22.5" customHeight="1">
      <c r="A5740" s="61">
        <v>10.89317</v>
      </c>
      <c r="B5740" s="63">
        <v>106.6879</v>
      </c>
      <c r="C5740" s="63">
        <v>10.83648</v>
      </c>
      <c r="D5740" s="63">
        <v>106.6647</v>
      </c>
      <c r="E5740" s="64">
        <v>7.993</v>
      </c>
    </row>
    <row r="5741" ht="22.5" customHeight="1">
      <c r="A5741" s="66">
        <v>10.89317</v>
      </c>
      <c r="B5741" s="67">
        <v>106.6879</v>
      </c>
      <c r="C5741" s="67">
        <v>10.83926</v>
      </c>
      <c r="D5741" s="67">
        <v>106.6297</v>
      </c>
      <c r="E5741" s="68">
        <v>12.648</v>
      </c>
    </row>
    <row r="5742" ht="22.5" customHeight="1">
      <c r="A5742" s="61">
        <v>10.89317</v>
      </c>
      <c r="B5742" s="63">
        <v>106.6879</v>
      </c>
      <c r="C5742" s="63">
        <v>10.84253</v>
      </c>
      <c r="D5742" s="63">
        <v>106.6427</v>
      </c>
      <c r="E5742" s="64">
        <v>9.9</v>
      </c>
    </row>
    <row r="5743" ht="22.5" customHeight="1">
      <c r="A5743" s="66">
        <v>10.89317</v>
      </c>
      <c r="B5743" s="67">
        <v>106.6879</v>
      </c>
      <c r="C5743" s="67">
        <v>10.84317</v>
      </c>
      <c r="D5743" s="67">
        <v>106.6767</v>
      </c>
      <c r="E5743" s="68">
        <v>6.413</v>
      </c>
    </row>
    <row r="5744" ht="22.5" customHeight="1">
      <c r="A5744" s="61">
        <v>10.89317</v>
      </c>
      <c r="B5744" s="63">
        <v>106.6879</v>
      </c>
      <c r="C5744" s="63">
        <v>10.84494</v>
      </c>
      <c r="D5744" s="63">
        <v>106.639</v>
      </c>
      <c r="E5744" s="64">
        <v>9.678</v>
      </c>
    </row>
    <row r="5745" ht="22.5" customHeight="1">
      <c r="A5745" s="66">
        <v>10.89317</v>
      </c>
      <c r="B5745" s="67">
        <v>106.6879</v>
      </c>
      <c r="C5745" s="67">
        <v>10.84494</v>
      </c>
      <c r="D5745" s="67">
        <v>106.6731</v>
      </c>
      <c r="E5745" s="68">
        <v>6.4</v>
      </c>
    </row>
    <row r="5746" ht="22.5" customHeight="1">
      <c r="A5746" s="61">
        <v>10.89317</v>
      </c>
      <c r="B5746" s="63">
        <v>106.6879</v>
      </c>
      <c r="C5746" s="63">
        <v>10.84929</v>
      </c>
      <c r="D5746" s="63">
        <v>106.6499</v>
      </c>
      <c r="E5746" s="64">
        <v>8.436</v>
      </c>
    </row>
    <row r="5747" ht="22.5" customHeight="1">
      <c r="A5747" s="66">
        <v>10.89317</v>
      </c>
      <c r="B5747" s="67">
        <v>106.6879</v>
      </c>
      <c r="C5747" s="67">
        <v>10.85051</v>
      </c>
      <c r="D5747" s="67">
        <v>106.6368</v>
      </c>
      <c r="E5747" s="68">
        <v>10.608</v>
      </c>
    </row>
    <row r="5748" ht="22.5" customHeight="1">
      <c r="A5748" s="61">
        <v>10.89317</v>
      </c>
      <c r="B5748" s="63">
        <v>106.6879</v>
      </c>
      <c r="C5748" s="63">
        <v>10.85188</v>
      </c>
      <c r="D5748" s="63">
        <v>106.6654</v>
      </c>
      <c r="E5748" s="64">
        <v>6.749</v>
      </c>
    </row>
    <row r="5749" ht="22.5" customHeight="1">
      <c r="A5749" s="66">
        <v>10.89317</v>
      </c>
      <c r="B5749" s="67">
        <v>106.6879</v>
      </c>
      <c r="C5749" s="67">
        <v>10.85276</v>
      </c>
      <c r="D5749" s="67">
        <v>106.6604</v>
      </c>
      <c r="E5749" s="68">
        <v>7.092</v>
      </c>
    </row>
    <row r="5750" ht="22.5" customHeight="1">
      <c r="A5750" s="61">
        <v>10.89317</v>
      </c>
      <c r="B5750" s="63">
        <v>106.6879</v>
      </c>
      <c r="C5750" s="63">
        <v>10.85526</v>
      </c>
      <c r="D5750" s="63">
        <v>106.6759</v>
      </c>
      <c r="E5750" s="64">
        <v>5.414</v>
      </c>
    </row>
    <row r="5751" ht="22.5" customHeight="1">
      <c r="A5751" s="66">
        <v>10.89317</v>
      </c>
      <c r="B5751" s="67">
        <v>106.6879</v>
      </c>
      <c r="C5751" s="67">
        <v>10.85548</v>
      </c>
      <c r="D5751" s="67">
        <v>106.6391</v>
      </c>
      <c r="E5751" s="68">
        <v>11.12</v>
      </c>
    </row>
    <row r="5752" ht="22.5" customHeight="1">
      <c r="A5752" s="61">
        <v>10.89317</v>
      </c>
      <c r="B5752" s="63">
        <v>106.6879</v>
      </c>
      <c r="C5752" s="63">
        <v>10.85646</v>
      </c>
      <c r="D5752" s="63">
        <v>106.6159</v>
      </c>
      <c r="E5752" s="64">
        <v>11.959</v>
      </c>
    </row>
    <row r="5753" ht="22.5" customHeight="1">
      <c r="A5753" s="66">
        <v>10.89317</v>
      </c>
      <c r="B5753" s="67">
        <v>106.6879</v>
      </c>
      <c r="C5753" s="67">
        <v>10.86294</v>
      </c>
      <c r="D5753" s="67">
        <v>106.6496</v>
      </c>
      <c r="E5753" s="68">
        <v>6.645</v>
      </c>
    </row>
    <row r="5754" ht="22.5" customHeight="1">
      <c r="A5754" s="61">
        <v>10.89317</v>
      </c>
      <c r="B5754" s="63">
        <v>106.6879</v>
      </c>
      <c r="C5754" s="63">
        <v>10.86573</v>
      </c>
      <c r="D5754" s="63">
        <v>106.6344</v>
      </c>
      <c r="E5754" s="64">
        <v>8.105</v>
      </c>
    </row>
    <row r="5755" ht="22.5" customHeight="1">
      <c r="A5755" s="66">
        <v>10.89317</v>
      </c>
      <c r="B5755" s="67">
        <v>106.6879</v>
      </c>
      <c r="C5755" s="67">
        <v>10.86793</v>
      </c>
      <c r="D5755" s="67">
        <v>106.6494</v>
      </c>
      <c r="E5755" s="68">
        <v>6.361</v>
      </c>
    </row>
    <row r="5756" ht="22.5" customHeight="1">
      <c r="A5756" s="61">
        <v>10.89317</v>
      </c>
      <c r="B5756" s="63">
        <v>106.6879</v>
      </c>
      <c r="C5756" s="63">
        <v>10.86817</v>
      </c>
      <c r="D5756" s="63">
        <v>106.6853</v>
      </c>
      <c r="E5756" s="64">
        <v>3.669</v>
      </c>
    </row>
    <row r="5757" ht="22.5" customHeight="1">
      <c r="A5757" s="66">
        <v>10.89317</v>
      </c>
      <c r="B5757" s="67">
        <v>106.6879</v>
      </c>
      <c r="C5757" s="67">
        <v>10.8732</v>
      </c>
      <c r="D5757" s="67">
        <v>106.6214</v>
      </c>
      <c r="E5757" s="68">
        <v>9.515</v>
      </c>
    </row>
    <row r="5758" ht="22.5" customHeight="1">
      <c r="A5758" s="61">
        <v>10.89317</v>
      </c>
      <c r="B5758" s="63">
        <v>106.6879</v>
      </c>
      <c r="C5758" s="63">
        <v>10.87583</v>
      </c>
      <c r="D5758" s="63">
        <v>106.6238</v>
      </c>
      <c r="E5758" s="64">
        <v>9.118</v>
      </c>
    </row>
    <row r="5759" ht="22.5" customHeight="1">
      <c r="A5759" s="66">
        <v>10.89317</v>
      </c>
      <c r="B5759" s="67">
        <v>106.6879</v>
      </c>
      <c r="C5759" s="67">
        <v>10.87599</v>
      </c>
      <c r="D5759" s="67">
        <v>106.6239</v>
      </c>
      <c r="E5759" s="68">
        <v>9.085</v>
      </c>
    </row>
    <row r="5760" ht="22.5" customHeight="1">
      <c r="A5760" s="61">
        <v>10.89317</v>
      </c>
      <c r="B5760" s="63">
        <v>106.6879</v>
      </c>
      <c r="C5760" s="63">
        <v>10.87822</v>
      </c>
      <c r="D5760" s="63">
        <v>106.6503</v>
      </c>
      <c r="E5760" s="64">
        <v>5.206</v>
      </c>
    </row>
    <row r="5761" ht="22.5" customHeight="1">
      <c r="A5761" s="66">
        <v>10.89317</v>
      </c>
      <c r="B5761" s="67">
        <v>106.6879</v>
      </c>
      <c r="C5761" s="67">
        <v>10.88003</v>
      </c>
      <c r="D5761" s="67">
        <v>106.6801</v>
      </c>
      <c r="E5761" s="68">
        <v>1.812</v>
      </c>
    </row>
    <row r="5762" ht="22.5" customHeight="1">
      <c r="A5762" s="61">
        <v>10.89317</v>
      </c>
      <c r="B5762" s="63">
        <v>106.6879</v>
      </c>
      <c r="C5762" s="63">
        <v>10.88329</v>
      </c>
      <c r="D5762" s="63">
        <v>106.6288</v>
      </c>
      <c r="E5762" s="64">
        <v>8.18</v>
      </c>
    </row>
    <row r="5763" ht="22.5" customHeight="1">
      <c r="A5763" s="66">
        <v>10.89317</v>
      </c>
      <c r="B5763" s="67">
        <v>106.6879</v>
      </c>
      <c r="C5763" s="67">
        <v>10.88583</v>
      </c>
      <c r="D5763" s="67">
        <v>106.6824</v>
      </c>
      <c r="E5763" s="68">
        <v>1.004</v>
      </c>
    </row>
    <row r="5764" ht="22.5" customHeight="1">
      <c r="A5764" s="61">
        <v>10.89317</v>
      </c>
      <c r="B5764" s="63">
        <v>106.6879</v>
      </c>
      <c r="C5764" s="63">
        <v>10.89317</v>
      </c>
      <c r="D5764" s="63">
        <v>106.6879</v>
      </c>
      <c r="E5764" s="64">
        <v>0.0</v>
      </c>
    </row>
    <row r="5765" ht="22.5" customHeight="1">
      <c r="A5765" s="66">
        <v>10.8937</v>
      </c>
      <c r="B5765" s="67">
        <v>106.6123</v>
      </c>
      <c r="C5765" s="67">
        <v>10.82721</v>
      </c>
      <c r="D5765" s="67">
        <v>106.6247</v>
      </c>
      <c r="E5765" s="68">
        <v>9.724</v>
      </c>
    </row>
    <row r="5766" ht="22.5" customHeight="1">
      <c r="A5766" s="61">
        <v>10.8937</v>
      </c>
      <c r="B5766" s="63">
        <v>106.6123</v>
      </c>
      <c r="C5766" s="63">
        <v>10.84941</v>
      </c>
      <c r="D5766" s="63">
        <v>106.588</v>
      </c>
      <c r="E5766" s="64">
        <v>7.692</v>
      </c>
    </row>
    <row r="5767" ht="22.5" customHeight="1">
      <c r="A5767" s="66">
        <v>10.8937</v>
      </c>
      <c r="B5767" s="67">
        <v>106.6123</v>
      </c>
      <c r="C5767" s="67">
        <v>10.87189</v>
      </c>
      <c r="D5767" s="67">
        <v>106.5975</v>
      </c>
      <c r="E5767" s="68">
        <v>3.818</v>
      </c>
    </row>
    <row r="5768" ht="22.5" customHeight="1">
      <c r="A5768" s="61">
        <v>10.8937</v>
      </c>
      <c r="B5768" s="63">
        <v>106.6123</v>
      </c>
      <c r="C5768" s="63">
        <v>10.88436</v>
      </c>
      <c r="D5768" s="63">
        <v>106.595</v>
      </c>
      <c r="E5768" s="64">
        <v>3.102</v>
      </c>
    </row>
    <row r="5769" ht="22.5" customHeight="1">
      <c r="A5769" s="66">
        <v>10.8937</v>
      </c>
      <c r="B5769" s="67">
        <v>106.6123</v>
      </c>
      <c r="C5769" s="67">
        <v>10.88801</v>
      </c>
      <c r="D5769" s="67">
        <v>106.5985</v>
      </c>
      <c r="E5769" s="68">
        <v>2.08</v>
      </c>
    </row>
    <row r="5770" ht="22.5" customHeight="1">
      <c r="A5770" s="61">
        <v>10.8937</v>
      </c>
      <c r="B5770" s="63">
        <v>106.6123</v>
      </c>
      <c r="C5770" s="63">
        <v>10.89115</v>
      </c>
      <c r="D5770" s="63">
        <v>106.6142</v>
      </c>
      <c r="E5770" s="64">
        <v>1.658</v>
      </c>
    </row>
    <row r="5771" ht="22.5" customHeight="1">
      <c r="A5771" s="66">
        <v>10.8937</v>
      </c>
      <c r="B5771" s="67">
        <v>106.6123</v>
      </c>
      <c r="C5771" s="67">
        <v>10.8937</v>
      </c>
      <c r="D5771" s="67">
        <v>106.6123</v>
      </c>
      <c r="E5771" s="68">
        <v>0.001</v>
      </c>
    </row>
    <row r="5772" ht="22.5" customHeight="1">
      <c r="A5772" s="61">
        <v>10.8937</v>
      </c>
      <c r="B5772" s="63">
        <v>106.6123</v>
      </c>
      <c r="C5772" s="63">
        <v>10.89471</v>
      </c>
      <c r="D5772" s="63">
        <v>106.5794</v>
      </c>
      <c r="E5772" s="64">
        <v>5.707</v>
      </c>
    </row>
    <row r="5773" ht="22.5" customHeight="1">
      <c r="A5773" s="66">
        <v>10.8937</v>
      </c>
      <c r="B5773" s="67">
        <v>106.6123</v>
      </c>
      <c r="C5773" s="67">
        <v>10.8955</v>
      </c>
      <c r="D5773" s="67">
        <v>106.5788</v>
      </c>
      <c r="E5773" s="68">
        <v>4.999</v>
      </c>
    </row>
    <row r="5774" ht="22.5" customHeight="1">
      <c r="A5774" s="61">
        <v>10.8937</v>
      </c>
      <c r="B5774" s="63">
        <v>106.6123</v>
      </c>
      <c r="C5774" s="63">
        <v>10.90753</v>
      </c>
      <c r="D5774" s="63">
        <v>106.6417</v>
      </c>
      <c r="E5774" s="64">
        <v>4.029</v>
      </c>
    </row>
    <row r="5775" ht="22.5" customHeight="1">
      <c r="A5775" s="66">
        <v>10.89471</v>
      </c>
      <c r="B5775" s="67">
        <v>106.5794</v>
      </c>
      <c r="C5775" s="67">
        <v>10.82721</v>
      </c>
      <c r="D5775" s="67">
        <v>106.6247</v>
      </c>
      <c r="E5775" s="68">
        <v>10.4</v>
      </c>
    </row>
    <row r="5776" ht="22.5" customHeight="1">
      <c r="A5776" s="61">
        <v>10.89471</v>
      </c>
      <c r="B5776" s="63">
        <v>106.5794</v>
      </c>
      <c r="C5776" s="63">
        <v>10.87507</v>
      </c>
      <c r="D5776" s="63">
        <v>106.5985</v>
      </c>
      <c r="E5776" s="64">
        <v>4.369</v>
      </c>
    </row>
    <row r="5777" ht="22.5" customHeight="1">
      <c r="A5777" s="66">
        <v>10.89471</v>
      </c>
      <c r="B5777" s="67">
        <v>106.5794</v>
      </c>
      <c r="C5777" s="67">
        <v>10.88436</v>
      </c>
      <c r="D5777" s="67">
        <v>106.595</v>
      </c>
      <c r="E5777" s="68">
        <v>3.363</v>
      </c>
    </row>
    <row r="5778" ht="22.5" customHeight="1">
      <c r="A5778" s="61">
        <v>10.89471</v>
      </c>
      <c r="B5778" s="63">
        <v>106.5794</v>
      </c>
      <c r="C5778" s="63">
        <v>10.88801</v>
      </c>
      <c r="D5778" s="63">
        <v>106.5985</v>
      </c>
      <c r="E5778" s="64">
        <v>2.6</v>
      </c>
    </row>
    <row r="5779" ht="22.5" customHeight="1">
      <c r="A5779" s="66">
        <v>10.89471</v>
      </c>
      <c r="B5779" s="67">
        <v>106.5794</v>
      </c>
      <c r="C5779" s="67">
        <v>10.89115</v>
      </c>
      <c r="D5779" s="67">
        <v>106.6142</v>
      </c>
      <c r="E5779" s="68">
        <v>6.342</v>
      </c>
    </row>
    <row r="5780" ht="22.5" customHeight="1">
      <c r="A5780" s="61">
        <v>10.89471</v>
      </c>
      <c r="B5780" s="63">
        <v>106.5794</v>
      </c>
      <c r="C5780" s="63">
        <v>10.8955</v>
      </c>
      <c r="D5780" s="63">
        <v>106.5788</v>
      </c>
      <c r="E5780" s="64">
        <v>0.595</v>
      </c>
    </row>
    <row r="5781" ht="22.5" customHeight="1">
      <c r="A5781" s="66">
        <v>10.8955</v>
      </c>
      <c r="B5781" s="67">
        <v>106.5788</v>
      </c>
      <c r="C5781" s="67">
        <v>10.77509</v>
      </c>
      <c r="D5781" s="67">
        <v>106.6727</v>
      </c>
      <c r="E5781" s="68">
        <v>18.419</v>
      </c>
    </row>
    <row r="5782" ht="22.5" customHeight="1">
      <c r="A5782" s="61">
        <v>10.8955</v>
      </c>
      <c r="B5782" s="63">
        <v>106.5788</v>
      </c>
      <c r="C5782" s="63">
        <v>10.79975</v>
      </c>
      <c r="D5782" s="63">
        <v>106.6696</v>
      </c>
      <c r="E5782" s="64">
        <v>15.752</v>
      </c>
    </row>
    <row r="5783" ht="22.5" customHeight="1">
      <c r="A5783" s="66">
        <v>10.8955</v>
      </c>
      <c r="B5783" s="67">
        <v>106.5788</v>
      </c>
      <c r="C5783" s="67">
        <v>10.82721</v>
      </c>
      <c r="D5783" s="67">
        <v>106.6247</v>
      </c>
      <c r="E5783" s="68">
        <v>10.307</v>
      </c>
    </row>
    <row r="5784" ht="22.5" customHeight="1">
      <c r="A5784" s="61">
        <v>10.8955</v>
      </c>
      <c r="B5784" s="63">
        <v>106.5788</v>
      </c>
      <c r="C5784" s="63">
        <v>10.84581</v>
      </c>
      <c r="D5784" s="63">
        <v>106.593</v>
      </c>
      <c r="E5784" s="64">
        <v>6.402</v>
      </c>
    </row>
    <row r="5785" ht="22.5" customHeight="1">
      <c r="A5785" s="66">
        <v>10.8955</v>
      </c>
      <c r="B5785" s="67">
        <v>106.5788</v>
      </c>
      <c r="C5785" s="67">
        <v>10.84909</v>
      </c>
      <c r="D5785" s="67">
        <v>106.5874</v>
      </c>
      <c r="E5785" s="68">
        <v>5.794</v>
      </c>
    </row>
    <row r="5786" ht="22.5" customHeight="1">
      <c r="A5786" s="61">
        <v>10.8955</v>
      </c>
      <c r="B5786" s="63">
        <v>106.5788</v>
      </c>
      <c r="C5786" s="63">
        <v>10.84941</v>
      </c>
      <c r="D5786" s="63">
        <v>106.588</v>
      </c>
      <c r="E5786" s="64">
        <v>5.738</v>
      </c>
    </row>
    <row r="5787" ht="22.5" customHeight="1">
      <c r="A5787" s="66">
        <v>10.8955</v>
      </c>
      <c r="B5787" s="67">
        <v>106.5788</v>
      </c>
      <c r="C5787" s="67">
        <v>10.85059</v>
      </c>
      <c r="D5787" s="67">
        <v>106.5865</v>
      </c>
      <c r="E5787" s="68">
        <v>6.353</v>
      </c>
    </row>
    <row r="5788" ht="22.5" customHeight="1">
      <c r="A5788" s="61">
        <v>10.8955</v>
      </c>
      <c r="B5788" s="63">
        <v>106.5788</v>
      </c>
      <c r="C5788" s="63">
        <v>10.85292</v>
      </c>
      <c r="D5788" s="63">
        <v>106.5839</v>
      </c>
      <c r="E5788" s="64">
        <v>5.918</v>
      </c>
    </row>
    <row r="5789" ht="22.5" customHeight="1">
      <c r="A5789" s="66">
        <v>10.8955</v>
      </c>
      <c r="B5789" s="67">
        <v>106.5788</v>
      </c>
      <c r="C5789" s="67">
        <v>10.86494</v>
      </c>
      <c r="D5789" s="67">
        <v>106.5703</v>
      </c>
      <c r="E5789" s="68">
        <v>5.158</v>
      </c>
    </row>
    <row r="5790" ht="22.5" customHeight="1">
      <c r="A5790" s="61">
        <v>10.8955</v>
      </c>
      <c r="B5790" s="63">
        <v>106.5788</v>
      </c>
      <c r="C5790" s="63">
        <v>10.87189</v>
      </c>
      <c r="D5790" s="63">
        <v>106.5975</v>
      </c>
      <c r="E5790" s="64">
        <v>3.635</v>
      </c>
    </row>
    <row r="5791" ht="22.5" customHeight="1">
      <c r="A5791" s="66">
        <v>10.8955</v>
      </c>
      <c r="B5791" s="67">
        <v>106.5788</v>
      </c>
      <c r="C5791" s="67">
        <v>10.87507</v>
      </c>
      <c r="D5791" s="67">
        <v>106.5985</v>
      </c>
      <c r="E5791" s="68">
        <v>3.824</v>
      </c>
    </row>
    <row r="5792" ht="22.5" customHeight="1">
      <c r="A5792" s="61">
        <v>10.8955</v>
      </c>
      <c r="B5792" s="63">
        <v>106.5788</v>
      </c>
      <c r="C5792" s="63">
        <v>10.88436</v>
      </c>
      <c r="D5792" s="63">
        <v>106.595</v>
      </c>
      <c r="E5792" s="64">
        <v>2.997</v>
      </c>
    </row>
    <row r="5793" ht="22.5" customHeight="1">
      <c r="A5793" s="66">
        <v>10.8955</v>
      </c>
      <c r="B5793" s="67">
        <v>106.5788</v>
      </c>
      <c r="C5793" s="67">
        <v>10.88706</v>
      </c>
      <c r="D5793" s="67">
        <v>106.5911</v>
      </c>
      <c r="E5793" s="68">
        <v>2.177</v>
      </c>
    </row>
    <row r="5794" ht="22.5" customHeight="1">
      <c r="A5794" s="61">
        <v>10.8955</v>
      </c>
      <c r="B5794" s="63">
        <v>106.5788</v>
      </c>
      <c r="C5794" s="63">
        <v>10.88718</v>
      </c>
      <c r="D5794" s="63">
        <v>106.6075</v>
      </c>
      <c r="E5794" s="64">
        <v>5.954</v>
      </c>
    </row>
    <row r="5795" ht="22.5" customHeight="1">
      <c r="A5795" s="66">
        <v>10.8955</v>
      </c>
      <c r="B5795" s="67">
        <v>106.5788</v>
      </c>
      <c r="C5795" s="67">
        <v>10.88801</v>
      </c>
      <c r="D5795" s="67">
        <v>106.5985</v>
      </c>
      <c r="E5795" s="68">
        <v>2.711</v>
      </c>
    </row>
    <row r="5796" ht="22.5" customHeight="1">
      <c r="A5796" s="61">
        <v>10.8955</v>
      </c>
      <c r="B5796" s="63">
        <v>106.5788</v>
      </c>
      <c r="C5796" s="63">
        <v>10.89115</v>
      </c>
      <c r="D5796" s="63">
        <v>106.6142</v>
      </c>
      <c r="E5796" s="64">
        <v>6.43</v>
      </c>
    </row>
    <row r="5797" ht="22.5" customHeight="1">
      <c r="A5797" s="66">
        <v>10.8955</v>
      </c>
      <c r="B5797" s="67">
        <v>106.5788</v>
      </c>
      <c r="C5797" s="67">
        <v>10.8937</v>
      </c>
      <c r="D5797" s="67">
        <v>106.6123</v>
      </c>
      <c r="E5797" s="68">
        <v>4.758</v>
      </c>
    </row>
    <row r="5798" ht="22.5" customHeight="1">
      <c r="A5798" s="61">
        <v>10.8955</v>
      </c>
      <c r="B5798" s="63">
        <v>106.5788</v>
      </c>
      <c r="C5798" s="63">
        <v>10.89471</v>
      </c>
      <c r="D5798" s="63">
        <v>106.5794</v>
      </c>
      <c r="E5798" s="64">
        <v>0.1</v>
      </c>
    </row>
    <row r="5799" ht="22.5" customHeight="1">
      <c r="A5799" s="66">
        <v>10.8955</v>
      </c>
      <c r="B5799" s="67">
        <v>106.5788</v>
      </c>
      <c r="C5799" s="67">
        <v>10.8955</v>
      </c>
      <c r="D5799" s="67">
        <v>106.5788</v>
      </c>
      <c r="E5799" s="68">
        <v>2.086</v>
      </c>
    </row>
    <row r="5800" ht="22.5" customHeight="1">
      <c r="A5800" s="61">
        <v>10.8955</v>
      </c>
      <c r="B5800" s="63">
        <v>106.5788</v>
      </c>
      <c r="C5800" s="63">
        <v>10.90753</v>
      </c>
      <c r="D5800" s="63">
        <v>106.6417</v>
      </c>
      <c r="E5800" s="64">
        <v>8.041</v>
      </c>
    </row>
    <row r="5801" ht="22.5" customHeight="1">
      <c r="A5801" s="66">
        <v>10.89617</v>
      </c>
      <c r="B5801" s="67">
        <v>106.6226</v>
      </c>
      <c r="C5801" s="67">
        <v>10.82721</v>
      </c>
      <c r="D5801" s="67">
        <v>106.6247</v>
      </c>
      <c r="E5801" s="68">
        <v>10.526</v>
      </c>
    </row>
    <row r="5802" ht="22.5" customHeight="1">
      <c r="A5802" s="61">
        <v>10.89617</v>
      </c>
      <c r="B5802" s="63">
        <v>106.6226</v>
      </c>
      <c r="C5802" s="63">
        <v>10.84783</v>
      </c>
      <c r="D5802" s="63">
        <v>106.5904</v>
      </c>
      <c r="E5802" s="64">
        <v>8.157</v>
      </c>
    </row>
    <row r="5803" ht="22.5" customHeight="1">
      <c r="A5803" s="66">
        <v>10.89617</v>
      </c>
      <c r="B5803" s="67">
        <v>106.6226</v>
      </c>
      <c r="C5803" s="67">
        <v>10.88801</v>
      </c>
      <c r="D5803" s="67">
        <v>106.5985</v>
      </c>
      <c r="E5803" s="68">
        <v>2.908</v>
      </c>
    </row>
    <row r="5804" ht="22.5" customHeight="1">
      <c r="A5804" s="61">
        <v>10.89617</v>
      </c>
      <c r="B5804" s="63">
        <v>106.6226</v>
      </c>
      <c r="C5804" s="63">
        <v>10.8937</v>
      </c>
      <c r="D5804" s="63">
        <v>106.6123</v>
      </c>
      <c r="E5804" s="64">
        <v>1.581</v>
      </c>
    </row>
    <row r="5805" ht="22.5" customHeight="1">
      <c r="A5805" s="66">
        <v>10.89617</v>
      </c>
      <c r="B5805" s="67">
        <v>106.6226</v>
      </c>
      <c r="C5805" s="67">
        <v>10.8955</v>
      </c>
      <c r="D5805" s="67">
        <v>106.5788</v>
      </c>
      <c r="E5805" s="68">
        <v>6.4</v>
      </c>
    </row>
    <row r="5806" ht="22.5" customHeight="1">
      <c r="A5806" s="61">
        <v>10.89995</v>
      </c>
      <c r="B5806" s="63">
        <v>106.7992</v>
      </c>
      <c r="C5806" s="63">
        <v>10.90561</v>
      </c>
      <c r="D5806" s="63">
        <v>106.7682</v>
      </c>
      <c r="E5806" s="64">
        <v>6.298</v>
      </c>
    </row>
    <row r="5807" ht="22.5" customHeight="1">
      <c r="A5807" s="66">
        <v>10.89995</v>
      </c>
      <c r="B5807" s="67">
        <v>106.7992</v>
      </c>
      <c r="C5807" s="67">
        <v>10.90752</v>
      </c>
      <c r="D5807" s="67">
        <v>106.7495</v>
      </c>
      <c r="E5807" s="68">
        <v>7.039</v>
      </c>
    </row>
    <row r="5808" ht="22.5" customHeight="1">
      <c r="A5808" s="61">
        <v>10.89995</v>
      </c>
      <c r="B5808" s="63">
        <v>106.7992</v>
      </c>
      <c r="C5808" s="63">
        <v>10.9137</v>
      </c>
      <c r="D5808" s="63">
        <v>106.7688</v>
      </c>
      <c r="E5808" s="64">
        <v>5.015</v>
      </c>
    </row>
    <row r="5809" ht="22.5" customHeight="1">
      <c r="A5809" s="66">
        <v>10.90107</v>
      </c>
      <c r="B5809" s="67">
        <v>106.6983</v>
      </c>
      <c r="C5809" s="67">
        <v>10.77509</v>
      </c>
      <c r="D5809" s="67">
        <v>106.6727</v>
      </c>
      <c r="E5809" s="68">
        <v>19.766</v>
      </c>
    </row>
    <row r="5810" ht="22.5" customHeight="1">
      <c r="A5810" s="61">
        <v>10.90107</v>
      </c>
      <c r="B5810" s="63">
        <v>106.6983</v>
      </c>
      <c r="C5810" s="63">
        <v>10.90835</v>
      </c>
      <c r="D5810" s="63">
        <v>106.7014</v>
      </c>
      <c r="E5810" s="64">
        <v>2.65</v>
      </c>
    </row>
    <row r="5811" ht="22.5" customHeight="1">
      <c r="A5811" s="66">
        <v>10.90181</v>
      </c>
      <c r="B5811" s="67">
        <v>106.8523</v>
      </c>
      <c r="C5811" s="67">
        <v>10.79462</v>
      </c>
      <c r="D5811" s="67">
        <v>106.9453</v>
      </c>
      <c r="E5811" s="68">
        <v>18.22</v>
      </c>
    </row>
    <row r="5812" ht="22.5" customHeight="1">
      <c r="A5812" s="61">
        <v>10.90181</v>
      </c>
      <c r="B5812" s="63">
        <v>106.8523</v>
      </c>
      <c r="C5812" s="63">
        <v>10.93234</v>
      </c>
      <c r="D5812" s="63">
        <v>106.8332</v>
      </c>
      <c r="E5812" s="64">
        <v>4.274</v>
      </c>
    </row>
    <row r="5813" ht="22.5" customHeight="1">
      <c r="A5813" s="66">
        <v>10.90181</v>
      </c>
      <c r="B5813" s="67">
        <v>106.8523</v>
      </c>
      <c r="C5813" s="67">
        <v>10.93313</v>
      </c>
      <c r="D5813" s="67">
        <v>106.877</v>
      </c>
      <c r="E5813" s="68">
        <v>5.629</v>
      </c>
    </row>
    <row r="5814" ht="22.5" customHeight="1">
      <c r="A5814" s="61">
        <v>10.90181</v>
      </c>
      <c r="B5814" s="63">
        <v>106.8523</v>
      </c>
      <c r="C5814" s="63">
        <v>10.93753</v>
      </c>
      <c r="D5814" s="63">
        <v>106.804</v>
      </c>
      <c r="E5814" s="64">
        <v>9.017</v>
      </c>
    </row>
    <row r="5815" ht="22.5" customHeight="1">
      <c r="A5815" s="66">
        <v>10.90181</v>
      </c>
      <c r="B5815" s="67">
        <v>106.8523</v>
      </c>
      <c r="C5815" s="67">
        <v>10.94731</v>
      </c>
      <c r="D5815" s="67">
        <v>106.8284</v>
      </c>
      <c r="E5815" s="68">
        <v>6.673</v>
      </c>
    </row>
    <row r="5816" ht="22.5" customHeight="1">
      <c r="A5816" s="61">
        <v>10.90181</v>
      </c>
      <c r="B5816" s="63">
        <v>106.8523</v>
      </c>
      <c r="C5816" s="63">
        <v>10.94783</v>
      </c>
      <c r="D5816" s="63">
        <v>106.8285</v>
      </c>
      <c r="E5816" s="64">
        <v>6.8</v>
      </c>
    </row>
    <row r="5817" ht="22.5" customHeight="1">
      <c r="A5817" s="66">
        <v>10.90181</v>
      </c>
      <c r="B5817" s="67">
        <v>106.8523</v>
      </c>
      <c r="C5817" s="67">
        <v>10.95268</v>
      </c>
      <c r="D5817" s="67">
        <v>106.8679</v>
      </c>
      <c r="E5817" s="68">
        <v>8.259</v>
      </c>
    </row>
    <row r="5818" ht="22.5" customHeight="1">
      <c r="A5818" s="61">
        <v>10.90181</v>
      </c>
      <c r="B5818" s="63">
        <v>106.8523</v>
      </c>
      <c r="C5818" s="63">
        <v>10.9541</v>
      </c>
      <c r="D5818" s="63">
        <v>106.8685</v>
      </c>
      <c r="E5818" s="64">
        <v>7.039</v>
      </c>
    </row>
    <row r="5819" ht="22.5" customHeight="1">
      <c r="A5819" s="66">
        <v>10.90181</v>
      </c>
      <c r="B5819" s="67">
        <v>106.8523</v>
      </c>
      <c r="C5819" s="67">
        <v>10.95634</v>
      </c>
      <c r="D5819" s="67">
        <v>106.8054</v>
      </c>
      <c r="E5819" s="68">
        <v>8.494</v>
      </c>
    </row>
    <row r="5820" ht="22.5" customHeight="1">
      <c r="A5820" s="61">
        <v>10.90181</v>
      </c>
      <c r="B5820" s="63">
        <v>106.8523</v>
      </c>
      <c r="C5820" s="63">
        <v>10.96281</v>
      </c>
      <c r="D5820" s="63">
        <v>106.8871</v>
      </c>
      <c r="E5820" s="64">
        <v>8.852</v>
      </c>
    </row>
    <row r="5821" ht="22.5" customHeight="1">
      <c r="A5821" s="66">
        <v>10.90181</v>
      </c>
      <c r="B5821" s="67">
        <v>106.8523</v>
      </c>
      <c r="C5821" s="67">
        <v>10.98353</v>
      </c>
      <c r="D5821" s="67">
        <v>106.9093</v>
      </c>
      <c r="E5821" s="68">
        <v>12.244</v>
      </c>
    </row>
    <row r="5822" ht="22.5" customHeight="1">
      <c r="A5822" s="61">
        <v>10.90181</v>
      </c>
      <c r="B5822" s="63">
        <v>106.8523</v>
      </c>
      <c r="C5822" s="63">
        <v>10.9893</v>
      </c>
      <c r="D5822" s="63">
        <v>106.8786</v>
      </c>
      <c r="E5822" s="64">
        <v>13.027</v>
      </c>
    </row>
    <row r="5823" ht="22.5" customHeight="1">
      <c r="A5823" s="66">
        <v>10.9019</v>
      </c>
      <c r="B5823" s="67">
        <v>106.7035</v>
      </c>
      <c r="C5823" s="67">
        <v>10.85846</v>
      </c>
      <c r="D5823" s="67">
        <v>106.7487</v>
      </c>
      <c r="E5823" s="68">
        <v>8.211</v>
      </c>
    </row>
    <row r="5824" ht="22.5" customHeight="1">
      <c r="A5824" s="61">
        <v>10.9019</v>
      </c>
      <c r="B5824" s="63">
        <v>106.7035</v>
      </c>
      <c r="C5824" s="63">
        <v>10.90835</v>
      </c>
      <c r="D5824" s="63">
        <v>106.7014</v>
      </c>
      <c r="E5824" s="64">
        <v>1.028</v>
      </c>
    </row>
    <row r="5825" ht="22.5" customHeight="1">
      <c r="A5825" s="66">
        <v>10.9019</v>
      </c>
      <c r="B5825" s="67">
        <v>106.7035</v>
      </c>
      <c r="C5825" s="67">
        <v>10.90871</v>
      </c>
      <c r="D5825" s="67">
        <v>106.7019</v>
      </c>
      <c r="E5825" s="68">
        <v>1.187</v>
      </c>
    </row>
    <row r="5826" ht="22.5" customHeight="1">
      <c r="A5826" s="61">
        <v>10.9019</v>
      </c>
      <c r="B5826" s="63">
        <v>106.7035</v>
      </c>
      <c r="C5826" s="63">
        <v>10.94228</v>
      </c>
      <c r="D5826" s="63">
        <v>106.725</v>
      </c>
      <c r="E5826" s="64">
        <v>7.15</v>
      </c>
    </row>
    <row r="5827" ht="22.5" customHeight="1">
      <c r="A5827" s="66">
        <v>10.90198</v>
      </c>
      <c r="B5827" s="67">
        <v>106.5531</v>
      </c>
      <c r="C5827" s="67">
        <v>10.88801</v>
      </c>
      <c r="D5827" s="67">
        <v>106.5985</v>
      </c>
      <c r="E5827" s="68">
        <v>7.252</v>
      </c>
    </row>
    <row r="5828" ht="22.5" customHeight="1">
      <c r="A5828" s="61">
        <v>10.9021</v>
      </c>
      <c r="B5828" s="63">
        <v>106.5531</v>
      </c>
      <c r="C5828" s="63">
        <v>10.82721</v>
      </c>
      <c r="D5828" s="63">
        <v>106.6247</v>
      </c>
      <c r="E5828" s="64">
        <v>15.419</v>
      </c>
    </row>
    <row r="5829" ht="22.5" customHeight="1">
      <c r="A5829" s="66">
        <v>10.9021</v>
      </c>
      <c r="B5829" s="67">
        <v>106.5531</v>
      </c>
      <c r="C5829" s="67">
        <v>10.84941</v>
      </c>
      <c r="D5829" s="67">
        <v>106.588</v>
      </c>
      <c r="E5829" s="68">
        <v>10.288</v>
      </c>
    </row>
    <row r="5830" ht="22.5" customHeight="1">
      <c r="A5830" s="61">
        <v>10.9021</v>
      </c>
      <c r="B5830" s="63">
        <v>106.5531</v>
      </c>
      <c r="C5830" s="63">
        <v>10.88801</v>
      </c>
      <c r="D5830" s="63">
        <v>106.5985</v>
      </c>
      <c r="E5830" s="64">
        <v>7.0</v>
      </c>
    </row>
    <row r="5831" ht="22.5" customHeight="1">
      <c r="A5831" s="66">
        <v>10.90325</v>
      </c>
      <c r="B5831" s="67">
        <v>106.7555</v>
      </c>
      <c r="C5831" s="67">
        <v>10.90325</v>
      </c>
      <c r="D5831" s="67">
        <v>106.7555</v>
      </c>
      <c r="E5831" s="68">
        <v>0.01</v>
      </c>
    </row>
    <row r="5832" ht="22.5" customHeight="1">
      <c r="A5832" s="61">
        <v>10.90325</v>
      </c>
      <c r="B5832" s="63">
        <v>106.7555</v>
      </c>
      <c r="C5832" s="63">
        <v>10.90561</v>
      </c>
      <c r="D5832" s="63">
        <v>106.7682</v>
      </c>
      <c r="E5832" s="64">
        <v>1.701</v>
      </c>
    </row>
    <row r="5833" ht="22.5" customHeight="1">
      <c r="A5833" s="66">
        <v>10.90325</v>
      </c>
      <c r="B5833" s="67">
        <v>106.7555</v>
      </c>
      <c r="C5833" s="67">
        <v>10.90752</v>
      </c>
      <c r="D5833" s="67">
        <v>106.7495</v>
      </c>
      <c r="E5833" s="68">
        <v>1.3</v>
      </c>
    </row>
    <row r="5834" ht="22.5" customHeight="1">
      <c r="A5834" s="61">
        <v>10.90409</v>
      </c>
      <c r="B5834" s="63">
        <v>106.7098</v>
      </c>
      <c r="C5834" s="63">
        <v>10.90835</v>
      </c>
      <c r="D5834" s="63">
        <v>106.7014</v>
      </c>
      <c r="E5834" s="64">
        <v>1.958</v>
      </c>
    </row>
    <row r="5835" ht="22.5" customHeight="1">
      <c r="A5835" s="66">
        <v>10.90416</v>
      </c>
      <c r="B5835" s="67">
        <v>106.7027</v>
      </c>
      <c r="C5835" s="67">
        <v>10.77509</v>
      </c>
      <c r="D5835" s="67">
        <v>106.6727</v>
      </c>
      <c r="E5835" s="68">
        <v>20.305</v>
      </c>
    </row>
    <row r="5836" ht="22.5" customHeight="1">
      <c r="A5836" s="61">
        <v>10.90416</v>
      </c>
      <c r="B5836" s="63">
        <v>106.7027</v>
      </c>
      <c r="C5836" s="63">
        <v>10.85846</v>
      </c>
      <c r="D5836" s="63">
        <v>106.7487</v>
      </c>
      <c r="E5836" s="64">
        <v>8.67</v>
      </c>
    </row>
    <row r="5837" ht="22.5" customHeight="1">
      <c r="A5837" s="66">
        <v>10.90416</v>
      </c>
      <c r="B5837" s="67">
        <v>106.7027</v>
      </c>
      <c r="C5837" s="67">
        <v>10.90107</v>
      </c>
      <c r="D5837" s="67">
        <v>106.6983</v>
      </c>
      <c r="E5837" s="68">
        <v>0.811</v>
      </c>
    </row>
    <row r="5838" ht="22.5" customHeight="1">
      <c r="A5838" s="61">
        <v>10.90416</v>
      </c>
      <c r="B5838" s="63">
        <v>106.7027</v>
      </c>
      <c r="C5838" s="63">
        <v>10.90835</v>
      </c>
      <c r="D5838" s="63">
        <v>106.7014</v>
      </c>
      <c r="E5838" s="64">
        <v>0.691</v>
      </c>
    </row>
    <row r="5839" ht="22.5" customHeight="1">
      <c r="A5839" s="66">
        <v>10.90561</v>
      </c>
      <c r="B5839" s="67">
        <v>106.7682</v>
      </c>
      <c r="C5839" s="67">
        <v>10.85846</v>
      </c>
      <c r="D5839" s="67">
        <v>106.7487</v>
      </c>
      <c r="E5839" s="68">
        <v>8.0</v>
      </c>
    </row>
    <row r="5840" ht="22.5" customHeight="1">
      <c r="A5840" s="61">
        <v>10.90561</v>
      </c>
      <c r="B5840" s="63">
        <v>106.7682</v>
      </c>
      <c r="C5840" s="63">
        <v>10.90561</v>
      </c>
      <c r="D5840" s="63">
        <v>106.7682</v>
      </c>
      <c r="E5840" s="64">
        <v>0.001</v>
      </c>
    </row>
    <row r="5841" ht="22.5" customHeight="1">
      <c r="A5841" s="66">
        <v>10.90561</v>
      </c>
      <c r="B5841" s="67">
        <v>106.7682</v>
      </c>
      <c r="C5841" s="67">
        <v>10.9137</v>
      </c>
      <c r="D5841" s="67">
        <v>106.7688</v>
      </c>
      <c r="E5841" s="68">
        <v>1.1</v>
      </c>
    </row>
    <row r="5842" ht="22.5" customHeight="1">
      <c r="A5842" s="61">
        <v>10.90586</v>
      </c>
      <c r="B5842" s="63">
        <v>106.6438</v>
      </c>
      <c r="C5842" s="63">
        <v>10.82721</v>
      </c>
      <c r="D5842" s="63">
        <v>106.6247</v>
      </c>
      <c r="E5842" s="64">
        <v>12.156</v>
      </c>
    </row>
    <row r="5843" ht="22.5" customHeight="1">
      <c r="A5843" s="66">
        <v>10.90586</v>
      </c>
      <c r="B5843" s="67">
        <v>106.6438</v>
      </c>
      <c r="C5843" s="67">
        <v>10.85292</v>
      </c>
      <c r="D5843" s="67">
        <v>106.5839</v>
      </c>
      <c r="E5843" s="68">
        <v>10.696</v>
      </c>
    </row>
    <row r="5844" ht="22.5" customHeight="1">
      <c r="A5844" s="61">
        <v>10.90586</v>
      </c>
      <c r="B5844" s="63">
        <v>106.6438</v>
      </c>
      <c r="C5844" s="63">
        <v>10.86793</v>
      </c>
      <c r="D5844" s="63">
        <v>106.6494</v>
      </c>
      <c r="E5844" s="64">
        <v>4.288</v>
      </c>
    </row>
    <row r="5845" ht="22.5" customHeight="1">
      <c r="A5845" s="66">
        <v>10.90586</v>
      </c>
      <c r="B5845" s="67">
        <v>106.6438</v>
      </c>
      <c r="C5845" s="67">
        <v>10.87189</v>
      </c>
      <c r="D5845" s="67">
        <v>106.5975</v>
      </c>
      <c r="E5845" s="68">
        <v>7.742</v>
      </c>
    </row>
    <row r="5846" ht="22.5" customHeight="1">
      <c r="A5846" s="61">
        <v>10.90586</v>
      </c>
      <c r="B5846" s="63">
        <v>106.6438</v>
      </c>
      <c r="C5846" s="63">
        <v>10.88436</v>
      </c>
      <c r="D5846" s="63">
        <v>106.595</v>
      </c>
      <c r="E5846" s="64">
        <v>6.753</v>
      </c>
    </row>
    <row r="5847" ht="22.5" customHeight="1">
      <c r="A5847" s="66">
        <v>10.90586</v>
      </c>
      <c r="B5847" s="67">
        <v>106.6438</v>
      </c>
      <c r="C5847" s="67">
        <v>10.88706</v>
      </c>
      <c r="D5847" s="67">
        <v>106.5911</v>
      </c>
      <c r="E5847" s="68">
        <v>6.878</v>
      </c>
    </row>
    <row r="5848" ht="22.5" customHeight="1">
      <c r="A5848" s="61">
        <v>10.90586</v>
      </c>
      <c r="B5848" s="63">
        <v>106.6438</v>
      </c>
      <c r="C5848" s="63">
        <v>10.88801</v>
      </c>
      <c r="D5848" s="63">
        <v>106.5985</v>
      </c>
      <c r="E5848" s="64">
        <v>6.032</v>
      </c>
    </row>
    <row r="5849" ht="22.5" customHeight="1">
      <c r="A5849" s="66">
        <v>10.90586</v>
      </c>
      <c r="B5849" s="67">
        <v>106.6438</v>
      </c>
      <c r="C5849" s="67">
        <v>10.89115</v>
      </c>
      <c r="D5849" s="67">
        <v>106.6142</v>
      </c>
      <c r="E5849" s="68">
        <v>4.212</v>
      </c>
    </row>
    <row r="5850" ht="22.5" customHeight="1">
      <c r="A5850" s="61">
        <v>10.90586</v>
      </c>
      <c r="B5850" s="63">
        <v>106.6438</v>
      </c>
      <c r="C5850" s="63">
        <v>10.8937</v>
      </c>
      <c r="D5850" s="63">
        <v>106.6123</v>
      </c>
      <c r="E5850" s="64">
        <v>4.961</v>
      </c>
    </row>
    <row r="5851" ht="22.5" customHeight="1">
      <c r="A5851" s="66">
        <v>10.90586</v>
      </c>
      <c r="B5851" s="67">
        <v>106.6438</v>
      </c>
      <c r="C5851" s="67">
        <v>10.8955</v>
      </c>
      <c r="D5851" s="67">
        <v>106.5788</v>
      </c>
      <c r="E5851" s="68">
        <v>9.522</v>
      </c>
    </row>
    <row r="5852" ht="22.5" customHeight="1">
      <c r="A5852" s="61">
        <v>10.90631</v>
      </c>
      <c r="B5852" s="63">
        <v>106.7526</v>
      </c>
      <c r="C5852" s="63">
        <v>10.90561</v>
      </c>
      <c r="D5852" s="63">
        <v>106.7682</v>
      </c>
      <c r="E5852" s="64">
        <v>1.94</v>
      </c>
    </row>
    <row r="5853" ht="22.5" customHeight="1">
      <c r="A5853" s="66">
        <v>10.90631</v>
      </c>
      <c r="B5853" s="67">
        <v>106.7526</v>
      </c>
      <c r="C5853" s="67">
        <v>10.9105</v>
      </c>
      <c r="D5853" s="67">
        <v>106.7816</v>
      </c>
      <c r="E5853" s="68">
        <v>3.933</v>
      </c>
    </row>
    <row r="5854" ht="22.5" customHeight="1">
      <c r="A5854" s="61">
        <v>10.90631</v>
      </c>
      <c r="B5854" s="63">
        <v>106.7526</v>
      </c>
      <c r="C5854" s="63">
        <v>10.9137</v>
      </c>
      <c r="D5854" s="63">
        <v>106.7688</v>
      </c>
      <c r="E5854" s="64">
        <v>2.541</v>
      </c>
    </row>
    <row r="5855" ht="22.5" customHeight="1">
      <c r="A5855" s="66">
        <v>10.90752</v>
      </c>
      <c r="B5855" s="67">
        <v>106.7495</v>
      </c>
      <c r="C5855" s="67">
        <v>10.89995</v>
      </c>
      <c r="D5855" s="67">
        <v>106.7992</v>
      </c>
      <c r="E5855" s="68">
        <v>7.159</v>
      </c>
    </row>
    <row r="5856" ht="22.5" customHeight="1">
      <c r="A5856" s="61">
        <v>10.90752</v>
      </c>
      <c r="B5856" s="63">
        <v>106.7495</v>
      </c>
      <c r="C5856" s="63">
        <v>10.90325</v>
      </c>
      <c r="D5856" s="63">
        <v>106.7555</v>
      </c>
      <c r="E5856" s="64">
        <v>1.396</v>
      </c>
    </row>
    <row r="5857" ht="22.5" customHeight="1">
      <c r="A5857" s="66">
        <v>10.90752</v>
      </c>
      <c r="B5857" s="67">
        <v>106.7495</v>
      </c>
      <c r="C5857" s="67">
        <v>10.90561</v>
      </c>
      <c r="D5857" s="67">
        <v>106.7682</v>
      </c>
      <c r="E5857" s="68">
        <v>2.214</v>
      </c>
    </row>
    <row r="5858" ht="22.5" customHeight="1">
      <c r="A5858" s="61">
        <v>10.90752</v>
      </c>
      <c r="B5858" s="63">
        <v>106.7495</v>
      </c>
      <c r="C5858" s="63">
        <v>10.90752</v>
      </c>
      <c r="D5858" s="63">
        <v>106.7495</v>
      </c>
      <c r="E5858" s="64">
        <v>0.0</v>
      </c>
    </row>
    <row r="5859" ht="22.5" customHeight="1">
      <c r="A5859" s="66">
        <v>10.90752</v>
      </c>
      <c r="B5859" s="67">
        <v>106.7495</v>
      </c>
      <c r="C5859" s="67">
        <v>10.90779</v>
      </c>
      <c r="D5859" s="67">
        <v>106.76</v>
      </c>
      <c r="E5859" s="68">
        <v>1.191</v>
      </c>
    </row>
    <row r="5860" ht="22.5" customHeight="1">
      <c r="A5860" s="61">
        <v>10.90752</v>
      </c>
      <c r="B5860" s="63">
        <v>106.7495</v>
      </c>
      <c r="C5860" s="63">
        <v>10.90846</v>
      </c>
      <c r="D5860" s="63">
        <v>106.7403</v>
      </c>
      <c r="E5860" s="64">
        <v>3.068</v>
      </c>
    </row>
    <row r="5861" ht="22.5" customHeight="1">
      <c r="A5861" s="66">
        <v>10.90752</v>
      </c>
      <c r="B5861" s="67">
        <v>106.7495</v>
      </c>
      <c r="C5861" s="67">
        <v>10.9137</v>
      </c>
      <c r="D5861" s="67">
        <v>106.7688</v>
      </c>
      <c r="E5861" s="68">
        <v>2.9</v>
      </c>
    </row>
    <row r="5862" ht="22.5" customHeight="1">
      <c r="A5862" s="61">
        <v>10.90752</v>
      </c>
      <c r="B5862" s="63">
        <v>106.7495</v>
      </c>
      <c r="C5862" s="63">
        <v>10.91628</v>
      </c>
      <c r="D5862" s="63">
        <v>106.7843</v>
      </c>
      <c r="E5862" s="64">
        <v>5.334</v>
      </c>
    </row>
    <row r="5863" ht="22.5" customHeight="1">
      <c r="A5863" s="66">
        <v>10.90752</v>
      </c>
      <c r="B5863" s="67">
        <v>106.7495</v>
      </c>
      <c r="C5863" s="67">
        <v>10.94228</v>
      </c>
      <c r="D5863" s="67">
        <v>106.725</v>
      </c>
      <c r="E5863" s="68">
        <v>7.048</v>
      </c>
    </row>
    <row r="5864" ht="22.5" customHeight="1">
      <c r="A5864" s="61">
        <v>10.90753</v>
      </c>
      <c r="B5864" s="63">
        <v>106.6417</v>
      </c>
      <c r="C5864" s="63">
        <v>10.79975</v>
      </c>
      <c r="D5864" s="63">
        <v>106.6696</v>
      </c>
      <c r="E5864" s="64">
        <v>17.531</v>
      </c>
    </row>
    <row r="5865" ht="22.5" customHeight="1">
      <c r="A5865" s="66">
        <v>10.90753</v>
      </c>
      <c r="B5865" s="67">
        <v>106.6417</v>
      </c>
      <c r="C5865" s="67">
        <v>10.84941</v>
      </c>
      <c r="D5865" s="67">
        <v>106.588</v>
      </c>
      <c r="E5865" s="68">
        <v>10.768</v>
      </c>
    </row>
    <row r="5866" ht="22.5" customHeight="1">
      <c r="A5866" s="61">
        <v>10.90753</v>
      </c>
      <c r="B5866" s="63">
        <v>106.6417</v>
      </c>
      <c r="C5866" s="63">
        <v>10.88436</v>
      </c>
      <c r="D5866" s="63">
        <v>106.595</v>
      </c>
      <c r="E5866" s="64">
        <v>7.041</v>
      </c>
    </row>
    <row r="5867" ht="22.5" customHeight="1">
      <c r="A5867" s="66">
        <v>10.90753</v>
      </c>
      <c r="B5867" s="67">
        <v>106.6417</v>
      </c>
      <c r="C5867" s="67">
        <v>10.88706</v>
      </c>
      <c r="D5867" s="67">
        <v>106.5911</v>
      </c>
      <c r="E5867" s="68">
        <v>6.963</v>
      </c>
    </row>
    <row r="5868" ht="22.5" customHeight="1">
      <c r="A5868" s="61">
        <v>10.90753</v>
      </c>
      <c r="B5868" s="63">
        <v>106.6417</v>
      </c>
      <c r="C5868" s="63">
        <v>10.88801</v>
      </c>
      <c r="D5868" s="63">
        <v>106.5985</v>
      </c>
      <c r="E5868" s="64">
        <v>5.343</v>
      </c>
    </row>
    <row r="5869" ht="22.5" customHeight="1">
      <c r="A5869" s="66">
        <v>10.90753</v>
      </c>
      <c r="B5869" s="67">
        <v>106.6417</v>
      </c>
      <c r="C5869" s="67">
        <v>10.89115</v>
      </c>
      <c r="D5869" s="67">
        <v>106.6142</v>
      </c>
      <c r="E5869" s="68">
        <v>4.302</v>
      </c>
    </row>
    <row r="5870" ht="22.5" customHeight="1">
      <c r="A5870" s="61">
        <v>10.90753</v>
      </c>
      <c r="B5870" s="63">
        <v>106.6417</v>
      </c>
      <c r="C5870" s="63">
        <v>10.8937</v>
      </c>
      <c r="D5870" s="63">
        <v>106.6123</v>
      </c>
      <c r="E5870" s="64">
        <v>4.018</v>
      </c>
    </row>
    <row r="5871" ht="22.5" customHeight="1">
      <c r="A5871" s="66">
        <v>10.90753</v>
      </c>
      <c r="B5871" s="67">
        <v>106.6417</v>
      </c>
      <c r="C5871" s="67">
        <v>10.8955</v>
      </c>
      <c r="D5871" s="67">
        <v>106.5788</v>
      </c>
      <c r="E5871" s="68">
        <v>9.608</v>
      </c>
    </row>
    <row r="5872" ht="22.5" customHeight="1">
      <c r="A5872" s="61">
        <v>10.90769</v>
      </c>
      <c r="B5872" s="63">
        <v>106.89</v>
      </c>
      <c r="C5872" s="63">
        <v>10.84737</v>
      </c>
      <c r="D5872" s="63">
        <v>106.7766</v>
      </c>
      <c r="E5872" s="64">
        <v>17.183</v>
      </c>
    </row>
    <row r="5873" ht="22.5" customHeight="1">
      <c r="A5873" s="66">
        <v>10.90769</v>
      </c>
      <c r="B5873" s="67">
        <v>106.89</v>
      </c>
      <c r="C5873" s="67">
        <v>10.90181</v>
      </c>
      <c r="D5873" s="67">
        <v>106.8523</v>
      </c>
      <c r="E5873" s="68">
        <v>5.981</v>
      </c>
    </row>
    <row r="5874" ht="22.5" customHeight="1">
      <c r="A5874" s="61">
        <v>10.90769</v>
      </c>
      <c r="B5874" s="63">
        <v>106.89</v>
      </c>
      <c r="C5874" s="63">
        <v>10.93313</v>
      </c>
      <c r="D5874" s="63">
        <v>106.877</v>
      </c>
      <c r="E5874" s="64">
        <v>3.464</v>
      </c>
    </row>
    <row r="5875" ht="22.5" customHeight="1">
      <c r="A5875" s="66">
        <v>10.90769</v>
      </c>
      <c r="B5875" s="67">
        <v>106.89</v>
      </c>
      <c r="C5875" s="67">
        <v>10.93753</v>
      </c>
      <c r="D5875" s="67">
        <v>106.804</v>
      </c>
      <c r="E5875" s="68">
        <v>13.952</v>
      </c>
    </row>
    <row r="5876" ht="22.5" customHeight="1">
      <c r="A5876" s="61">
        <v>10.90769</v>
      </c>
      <c r="B5876" s="63">
        <v>106.89</v>
      </c>
      <c r="C5876" s="63">
        <v>10.94731</v>
      </c>
      <c r="D5876" s="63">
        <v>106.8284</v>
      </c>
      <c r="E5876" s="64">
        <v>10.34</v>
      </c>
    </row>
    <row r="5877" ht="22.5" customHeight="1">
      <c r="A5877" s="66">
        <v>10.90769</v>
      </c>
      <c r="B5877" s="67">
        <v>106.89</v>
      </c>
      <c r="C5877" s="67">
        <v>10.94783</v>
      </c>
      <c r="D5877" s="67">
        <v>106.8285</v>
      </c>
      <c r="E5877" s="68">
        <v>10.33</v>
      </c>
    </row>
    <row r="5878" ht="22.5" customHeight="1">
      <c r="A5878" s="61">
        <v>10.90769</v>
      </c>
      <c r="B5878" s="63">
        <v>106.89</v>
      </c>
      <c r="C5878" s="63">
        <v>10.95634</v>
      </c>
      <c r="D5878" s="63">
        <v>106.8054</v>
      </c>
      <c r="E5878" s="64">
        <v>12.327</v>
      </c>
    </row>
    <row r="5879" ht="22.5" customHeight="1">
      <c r="A5879" s="66">
        <v>10.90769</v>
      </c>
      <c r="B5879" s="67">
        <v>106.89</v>
      </c>
      <c r="C5879" s="67">
        <v>10.96281</v>
      </c>
      <c r="D5879" s="67">
        <v>106.8871</v>
      </c>
      <c r="E5879" s="68">
        <v>7.992</v>
      </c>
    </row>
    <row r="5880" ht="22.5" customHeight="1">
      <c r="A5880" s="61">
        <v>10.90769</v>
      </c>
      <c r="B5880" s="63">
        <v>106.89</v>
      </c>
      <c r="C5880" s="63">
        <v>10.98353</v>
      </c>
      <c r="D5880" s="63">
        <v>106.9093</v>
      </c>
      <c r="E5880" s="64">
        <v>7.302</v>
      </c>
    </row>
    <row r="5881" ht="22.5" customHeight="1">
      <c r="A5881" s="66">
        <v>10.90769</v>
      </c>
      <c r="B5881" s="67">
        <v>106.89</v>
      </c>
      <c r="C5881" s="67">
        <v>10.9893</v>
      </c>
      <c r="D5881" s="67">
        <v>106.8786</v>
      </c>
      <c r="E5881" s="68">
        <v>12.148</v>
      </c>
    </row>
    <row r="5882" ht="22.5" customHeight="1">
      <c r="A5882" s="61">
        <v>10.90779</v>
      </c>
      <c r="B5882" s="63">
        <v>106.76</v>
      </c>
      <c r="C5882" s="63">
        <v>10.90561</v>
      </c>
      <c r="D5882" s="63">
        <v>106.7682</v>
      </c>
      <c r="E5882" s="64">
        <v>0.999</v>
      </c>
    </row>
    <row r="5883" ht="22.5" customHeight="1">
      <c r="A5883" s="66">
        <v>10.90779</v>
      </c>
      <c r="B5883" s="67">
        <v>106.76</v>
      </c>
      <c r="C5883" s="67">
        <v>10.90752</v>
      </c>
      <c r="D5883" s="67">
        <v>106.7495</v>
      </c>
      <c r="E5883" s="68">
        <v>1.243</v>
      </c>
    </row>
    <row r="5884" ht="22.5" customHeight="1">
      <c r="A5884" s="61">
        <v>10.90779</v>
      </c>
      <c r="B5884" s="63">
        <v>106.76</v>
      </c>
      <c r="C5884" s="63">
        <v>10.90779</v>
      </c>
      <c r="D5884" s="63">
        <v>106.76</v>
      </c>
      <c r="E5884" s="64">
        <v>0.001</v>
      </c>
    </row>
    <row r="5885" ht="22.5" customHeight="1">
      <c r="A5885" s="66">
        <v>10.90779</v>
      </c>
      <c r="B5885" s="67">
        <v>106.76</v>
      </c>
      <c r="C5885" s="67">
        <v>10.9137</v>
      </c>
      <c r="D5885" s="67">
        <v>106.7688</v>
      </c>
      <c r="E5885" s="68">
        <v>1.893</v>
      </c>
    </row>
    <row r="5886" ht="22.5" customHeight="1">
      <c r="A5886" s="61">
        <v>10.90811</v>
      </c>
      <c r="B5886" s="63">
        <v>106.7547</v>
      </c>
      <c r="C5886" s="63">
        <v>10.90561</v>
      </c>
      <c r="D5886" s="63">
        <v>106.7682</v>
      </c>
      <c r="E5886" s="64">
        <v>1.652</v>
      </c>
    </row>
    <row r="5887" ht="22.5" customHeight="1">
      <c r="A5887" s="66">
        <v>10.90835</v>
      </c>
      <c r="B5887" s="67">
        <v>106.7014</v>
      </c>
      <c r="C5887" s="67">
        <v>10.85846</v>
      </c>
      <c r="D5887" s="67">
        <v>106.7487</v>
      </c>
      <c r="E5887" s="68">
        <v>8.9</v>
      </c>
    </row>
    <row r="5888" ht="22.5" customHeight="1">
      <c r="A5888" s="61">
        <v>10.90835</v>
      </c>
      <c r="B5888" s="63">
        <v>106.7014</v>
      </c>
      <c r="C5888" s="63">
        <v>10.86826</v>
      </c>
      <c r="D5888" s="63">
        <v>106.7145</v>
      </c>
      <c r="E5888" s="64">
        <v>5.9</v>
      </c>
    </row>
    <row r="5889" ht="22.5" customHeight="1">
      <c r="A5889" s="66">
        <v>10.90835</v>
      </c>
      <c r="B5889" s="67">
        <v>106.7014</v>
      </c>
      <c r="C5889" s="67">
        <v>10.88374</v>
      </c>
      <c r="D5889" s="67">
        <v>106.7088</v>
      </c>
      <c r="E5889" s="68">
        <v>4.0</v>
      </c>
    </row>
    <row r="5890" ht="22.5" customHeight="1">
      <c r="A5890" s="61">
        <v>10.90835</v>
      </c>
      <c r="B5890" s="63">
        <v>106.7014</v>
      </c>
      <c r="C5890" s="63">
        <v>10.88583</v>
      </c>
      <c r="D5890" s="63">
        <v>106.6824</v>
      </c>
      <c r="E5890" s="64">
        <v>5.129</v>
      </c>
    </row>
    <row r="5891" ht="22.5" customHeight="1">
      <c r="A5891" s="66">
        <v>10.90835</v>
      </c>
      <c r="B5891" s="67">
        <v>106.7014</v>
      </c>
      <c r="C5891" s="67">
        <v>10.88633</v>
      </c>
      <c r="D5891" s="67">
        <v>106.7043</v>
      </c>
      <c r="E5891" s="68">
        <v>3.0</v>
      </c>
    </row>
    <row r="5892" ht="22.5" customHeight="1">
      <c r="A5892" s="61">
        <v>10.90835</v>
      </c>
      <c r="B5892" s="63">
        <v>106.7014</v>
      </c>
      <c r="C5892" s="63">
        <v>10.88979</v>
      </c>
      <c r="D5892" s="63">
        <v>106.7399</v>
      </c>
      <c r="E5892" s="64">
        <v>6.8</v>
      </c>
    </row>
    <row r="5893" ht="22.5" customHeight="1">
      <c r="A5893" s="66">
        <v>10.90835</v>
      </c>
      <c r="B5893" s="67">
        <v>106.7014</v>
      </c>
      <c r="C5893" s="67">
        <v>10.88984</v>
      </c>
      <c r="D5893" s="67">
        <v>106.7399</v>
      </c>
      <c r="E5893" s="68">
        <v>6.8</v>
      </c>
    </row>
    <row r="5894" ht="22.5" customHeight="1">
      <c r="A5894" s="61">
        <v>10.90835</v>
      </c>
      <c r="B5894" s="63">
        <v>106.7014</v>
      </c>
      <c r="C5894" s="63">
        <v>10.90107</v>
      </c>
      <c r="D5894" s="63">
        <v>106.6983</v>
      </c>
      <c r="E5894" s="64">
        <v>0.9</v>
      </c>
    </row>
    <row r="5895" ht="22.5" customHeight="1">
      <c r="A5895" s="66">
        <v>10.90835</v>
      </c>
      <c r="B5895" s="67">
        <v>106.7014</v>
      </c>
      <c r="C5895" s="67">
        <v>10.9019</v>
      </c>
      <c r="D5895" s="67">
        <v>106.7035</v>
      </c>
      <c r="E5895" s="68">
        <v>1.1</v>
      </c>
    </row>
    <row r="5896" ht="22.5" customHeight="1">
      <c r="A5896" s="61">
        <v>10.90835</v>
      </c>
      <c r="B5896" s="63">
        <v>106.7014</v>
      </c>
      <c r="C5896" s="63">
        <v>10.90416</v>
      </c>
      <c r="D5896" s="63">
        <v>106.7027</v>
      </c>
      <c r="E5896" s="64">
        <v>0.7</v>
      </c>
    </row>
    <row r="5897" ht="22.5" customHeight="1">
      <c r="A5897" s="66">
        <v>10.90835</v>
      </c>
      <c r="B5897" s="67">
        <v>106.7014</v>
      </c>
      <c r="C5897" s="67">
        <v>10.90835</v>
      </c>
      <c r="D5897" s="67">
        <v>106.7014</v>
      </c>
      <c r="E5897" s="68">
        <v>0.0</v>
      </c>
    </row>
    <row r="5898" ht="22.5" customHeight="1">
      <c r="A5898" s="61">
        <v>10.90835</v>
      </c>
      <c r="B5898" s="63">
        <v>106.7014</v>
      </c>
      <c r="C5898" s="63">
        <v>10.90846</v>
      </c>
      <c r="D5898" s="63">
        <v>106.7403</v>
      </c>
      <c r="E5898" s="64">
        <v>5.2</v>
      </c>
    </row>
    <row r="5899" ht="22.5" customHeight="1">
      <c r="A5899" s="66">
        <v>10.90835</v>
      </c>
      <c r="B5899" s="67">
        <v>106.7014</v>
      </c>
      <c r="C5899" s="67">
        <v>10.90871</v>
      </c>
      <c r="D5899" s="67">
        <v>106.7019</v>
      </c>
      <c r="E5899" s="68">
        <v>0.1</v>
      </c>
    </row>
    <row r="5900" ht="22.5" customHeight="1">
      <c r="A5900" s="61">
        <v>10.90835</v>
      </c>
      <c r="B5900" s="63">
        <v>106.7014</v>
      </c>
      <c r="C5900" s="63">
        <v>10.91936</v>
      </c>
      <c r="D5900" s="63">
        <v>106.7125</v>
      </c>
      <c r="E5900" s="64">
        <v>1.7</v>
      </c>
    </row>
    <row r="5901" ht="22.5" customHeight="1">
      <c r="A5901" s="66">
        <v>10.90835</v>
      </c>
      <c r="B5901" s="67">
        <v>106.7014</v>
      </c>
      <c r="C5901" s="67">
        <v>10.92893</v>
      </c>
      <c r="D5901" s="67">
        <v>106.7125</v>
      </c>
      <c r="E5901" s="68">
        <v>3.7</v>
      </c>
    </row>
    <row r="5902" ht="22.5" customHeight="1">
      <c r="A5902" s="61">
        <v>10.90835</v>
      </c>
      <c r="B5902" s="63">
        <v>106.7014</v>
      </c>
      <c r="C5902" s="63">
        <v>10.92897</v>
      </c>
      <c r="D5902" s="63">
        <v>106.712</v>
      </c>
      <c r="E5902" s="64">
        <v>2.9</v>
      </c>
    </row>
    <row r="5903" ht="22.5" customHeight="1">
      <c r="A5903" s="66">
        <v>10.90835</v>
      </c>
      <c r="B5903" s="67">
        <v>106.7014</v>
      </c>
      <c r="C5903" s="67">
        <v>10.93659</v>
      </c>
      <c r="D5903" s="67">
        <v>106.7427</v>
      </c>
      <c r="E5903" s="68">
        <v>8.4</v>
      </c>
    </row>
    <row r="5904" ht="22.5" customHeight="1">
      <c r="A5904" s="61">
        <v>10.90835</v>
      </c>
      <c r="B5904" s="63">
        <v>106.7014</v>
      </c>
      <c r="C5904" s="63">
        <v>10.94228</v>
      </c>
      <c r="D5904" s="63">
        <v>106.725</v>
      </c>
      <c r="E5904" s="64">
        <v>5.9</v>
      </c>
    </row>
    <row r="5905" ht="22.5" customHeight="1">
      <c r="A5905" s="66">
        <v>10.90835</v>
      </c>
      <c r="B5905" s="67">
        <v>106.7014</v>
      </c>
      <c r="C5905" s="67">
        <v>10.9464</v>
      </c>
      <c r="D5905" s="67">
        <v>106.7316</v>
      </c>
      <c r="E5905" s="68">
        <v>6.8</v>
      </c>
    </row>
    <row r="5906" ht="22.5" customHeight="1">
      <c r="A5906" s="61">
        <v>10.90835</v>
      </c>
      <c r="B5906" s="63">
        <v>106.7014</v>
      </c>
      <c r="C5906" s="63">
        <v>10.94838</v>
      </c>
      <c r="D5906" s="63">
        <v>106.7224</v>
      </c>
      <c r="E5906" s="64">
        <v>7.1</v>
      </c>
    </row>
    <row r="5907" ht="22.5" customHeight="1">
      <c r="A5907" s="66">
        <v>10.90835</v>
      </c>
      <c r="B5907" s="67">
        <v>106.7014</v>
      </c>
      <c r="C5907" s="67">
        <v>10.94876</v>
      </c>
      <c r="D5907" s="67">
        <v>106.6885</v>
      </c>
      <c r="E5907" s="68">
        <v>5.0</v>
      </c>
    </row>
    <row r="5908" ht="22.5" customHeight="1">
      <c r="A5908" s="61">
        <v>10.90835</v>
      </c>
      <c r="B5908" s="63">
        <v>106.7014</v>
      </c>
      <c r="C5908" s="63">
        <v>10.94892</v>
      </c>
      <c r="D5908" s="63">
        <v>106.6883</v>
      </c>
      <c r="E5908" s="64">
        <v>5.0</v>
      </c>
    </row>
    <row r="5909" ht="22.5" customHeight="1">
      <c r="A5909" s="66">
        <v>10.90835</v>
      </c>
      <c r="B5909" s="67">
        <v>106.7014</v>
      </c>
      <c r="C5909" s="67">
        <v>10.95115</v>
      </c>
      <c r="D5909" s="67">
        <v>106.7072</v>
      </c>
      <c r="E5909" s="68">
        <v>5.5</v>
      </c>
    </row>
    <row r="5910" ht="22.5" customHeight="1">
      <c r="A5910" s="61">
        <v>10.90846</v>
      </c>
      <c r="B5910" s="63">
        <v>106.7403</v>
      </c>
      <c r="C5910" s="63">
        <v>10.85846</v>
      </c>
      <c r="D5910" s="63">
        <v>106.7487</v>
      </c>
      <c r="E5910" s="64">
        <v>0.002</v>
      </c>
    </row>
    <row r="5911" ht="22.5" customHeight="1">
      <c r="A5911" s="66">
        <v>10.90846</v>
      </c>
      <c r="B5911" s="67">
        <v>106.7403</v>
      </c>
      <c r="C5911" s="67">
        <v>10.88374</v>
      </c>
      <c r="D5911" s="67">
        <v>106.7088</v>
      </c>
      <c r="E5911" s="68">
        <v>6.312</v>
      </c>
    </row>
    <row r="5912" ht="22.5" customHeight="1">
      <c r="A5912" s="61">
        <v>10.90846</v>
      </c>
      <c r="B5912" s="63">
        <v>106.7403</v>
      </c>
      <c r="C5912" s="63">
        <v>10.88979</v>
      </c>
      <c r="D5912" s="63">
        <v>106.7399</v>
      </c>
      <c r="E5912" s="64">
        <v>2.851</v>
      </c>
    </row>
    <row r="5913" ht="22.5" customHeight="1">
      <c r="A5913" s="66">
        <v>10.90846</v>
      </c>
      <c r="B5913" s="67">
        <v>106.7403</v>
      </c>
      <c r="C5913" s="67">
        <v>10.9019</v>
      </c>
      <c r="D5913" s="67">
        <v>106.7035</v>
      </c>
      <c r="E5913" s="68">
        <v>4.501</v>
      </c>
    </row>
    <row r="5914" ht="22.5" customHeight="1">
      <c r="A5914" s="61">
        <v>10.90846</v>
      </c>
      <c r="B5914" s="63">
        <v>106.7403</v>
      </c>
      <c r="C5914" s="63">
        <v>10.90835</v>
      </c>
      <c r="D5914" s="63">
        <v>106.7014</v>
      </c>
      <c r="E5914" s="64">
        <v>5.385</v>
      </c>
    </row>
    <row r="5915" ht="22.5" customHeight="1">
      <c r="A5915" s="66">
        <v>10.90846</v>
      </c>
      <c r="B5915" s="67">
        <v>106.7403</v>
      </c>
      <c r="C5915" s="67">
        <v>10.93659</v>
      </c>
      <c r="D5915" s="67">
        <v>106.7427</v>
      </c>
      <c r="E5915" s="68">
        <v>3.286</v>
      </c>
    </row>
    <row r="5916" ht="22.5" customHeight="1">
      <c r="A5916" s="61">
        <v>10.90846</v>
      </c>
      <c r="B5916" s="63">
        <v>106.7403</v>
      </c>
      <c r="C5916" s="63">
        <v>10.94228</v>
      </c>
      <c r="D5916" s="63">
        <v>106.725</v>
      </c>
      <c r="E5916" s="64">
        <v>5.847</v>
      </c>
    </row>
    <row r="5917" ht="22.5" customHeight="1">
      <c r="A5917" s="66">
        <v>10.90846</v>
      </c>
      <c r="B5917" s="67">
        <v>106.7403</v>
      </c>
      <c r="C5917" s="67">
        <v>10.9464</v>
      </c>
      <c r="D5917" s="67">
        <v>106.7316</v>
      </c>
      <c r="E5917" s="68">
        <v>6.099</v>
      </c>
    </row>
    <row r="5918" ht="22.5" customHeight="1">
      <c r="A5918" s="61">
        <v>10.90846</v>
      </c>
      <c r="B5918" s="63">
        <v>106.7403</v>
      </c>
      <c r="C5918" s="63">
        <v>10.97933</v>
      </c>
      <c r="D5918" s="63">
        <v>106.7402</v>
      </c>
      <c r="E5918" s="64">
        <v>9.143</v>
      </c>
    </row>
    <row r="5919" ht="22.5" customHeight="1">
      <c r="A5919" s="66">
        <v>10.90866</v>
      </c>
      <c r="B5919" s="67">
        <v>106.7016</v>
      </c>
      <c r="C5919" s="67">
        <v>10.90835</v>
      </c>
      <c r="D5919" s="67">
        <v>106.7014</v>
      </c>
      <c r="E5919" s="68">
        <v>0.006</v>
      </c>
    </row>
    <row r="5920" ht="22.5" customHeight="1">
      <c r="A5920" s="61">
        <v>10.90871</v>
      </c>
      <c r="B5920" s="63">
        <v>106.7019</v>
      </c>
      <c r="C5920" s="63">
        <v>10.86826</v>
      </c>
      <c r="D5920" s="63">
        <v>106.7145</v>
      </c>
      <c r="E5920" s="64">
        <v>5.9</v>
      </c>
    </row>
    <row r="5921" ht="22.5" customHeight="1">
      <c r="A5921" s="66">
        <v>10.90871</v>
      </c>
      <c r="B5921" s="67">
        <v>106.7019</v>
      </c>
      <c r="C5921" s="67">
        <v>10.88374</v>
      </c>
      <c r="D5921" s="67">
        <v>106.7088</v>
      </c>
      <c r="E5921" s="68">
        <v>4.514</v>
      </c>
    </row>
    <row r="5922" ht="22.5" customHeight="1">
      <c r="A5922" s="61">
        <v>10.90871</v>
      </c>
      <c r="B5922" s="63">
        <v>106.7019</v>
      </c>
      <c r="C5922" s="63">
        <v>10.88633</v>
      </c>
      <c r="D5922" s="63">
        <v>106.7043</v>
      </c>
      <c r="E5922" s="64">
        <v>4.207</v>
      </c>
    </row>
    <row r="5923" ht="22.5" customHeight="1">
      <c r="A5923" s="66">
        <v>10.90871</v>
      </c>
      <c r="B5923" s="67">
        <v>106.7019</v>
      </c>
      <c r="C5923" s="67">
        <v>10.90835</v>
      </c>
      <c r="D5923" s="67">
        <v>106.7014</v>
      </c>
      <c r="E5923" s="68">
        <v>0.004</v>
      </c>
    </row>
    <row r="5924" ht="22.5" customHeight="1">
      <c r="A5924" s="61">
        <v>10.90871</v>
      </c>
      <c r="B5924" s="63">
        <v>106.7019</v>
      </c>
      <c r="C5924" s="63">
        <v>10.91936</v>
      </c>
      <c r="D5924" s="63">
        <v>106.7125</v>
      </c>
      <c r="E5924" s="64">
        <v>1.746</v>
      </c>
    </row>
    <row r="5925" ht="22.5" customHeight="1">
      <c r="A5925" s="66">
        <v>10.90871</v>
      </c>
      <c r="B5925" s="67">
        <v>106.7019</v>
      </c>
      <c r="C5925" s="67">
        <v>10.94228</v>
      </c>
      <c r="D5925" s="67">
        <v>106.725</v>
      </c>
      <c r="E5925" s="68">
        <v>5.909</v>
      </c>
    </row>
    <row r="5926" ht="22.5" customHeight="1">
      <c r="A5926" s="61">
        <v>10.90871</v>
      </c>
      <c r="B5926" s="63">
        <v>106.7019</v>
      </c>
      <c r="C5926" s="63">
        <v>10.97933</v>
      </c>
      <c r="D5926" s="63">
        <v>106.7402</v>
      </c>
      <c r="E5926" s="64">
        <v>12.614</v>
      </c>
    </row>
    <row r="5927" ht="22.5" customHeight="1">
      <c r="A5927" s="66">
        <v>10.91035</v>
      </c>
      <c r="B5927" s="67">
        <v>106.701</v>
      </c>
      <c r="C5927" s="67">
        <v>10.90835</v>
      </c>
      <c r="D5927" s="67">
        <v>106.7014</v>
      </c>
      <c r="E5927" s="68">
        <v>0.351</v>
      </c>
    </row>
    <row r="5928" ht="22.5" customHeight="1">
      <c r="A5928" s="61">
        <v>10.9105</v>
      </c>
      <c r="B5928" s="63">
        <v>106.7816</v>
      </c>
      <c r="C5928" s="63">
        <v>10.90561</v>
      </c>
      <c r="D5928" s="63">
        <v>106.7682</v>
      </c>
      <c r="E5928" s="64">
        <v>2.752</v>
      </c>
    </row>
    <row r="5929" ht="22.5" customHeight="1">
      <c r="A5929" s="66">
        <v>10.9105</v>
      </c>
      <c r="B5929" s="67">
        <v>106.7816</v>
      </c>
      <c r="C5929" s="67">
        <v>10.90752</v>
      </c>
      <c r="D5929" s="67">
        <v>106.7495</v>
      </c>
      <c r="E5929" s="68">
        <v>4.224</v>
      </c>
    </row>
    <row r="5930" ht="22.5" customHeight="1">
      <c r="A5930" s="61">
        <v>10.9105</v>
      </c>
      <c r="B5930" s="63">
        <v>106.7816</v>
      </c>
      <c r="C5930" s="63">
        <v>10.9137</v>
      </c>
      <c r="D5930" s="63">
        <v>106.7688</v>
      </c>
      <c r="E5930" s="64">
        <v>2.744</v>
      </c>
    </row>
    <row r="5931" ht="22.5" customHeight="1">
      <c r="A5931" s="66">
        <v>10.91102</v>
      </c>
      <c r="B5931" s="67">
        <v>106.7814</v>
      </c>
      <c r="C5931" s="67">
        <v>10.90561</v>
      </c>
      <c r="D5931" s="67">
        <v>106.7682</v>
      </c>
      <c r="E5931" s="68">
        <v>4.256</v>
      </c>
    </row>
    <row r="5932" ht="22.5" customHeight="1">
      <c r="A5932" s="61">
        <v>10.9137</v>
      </c>
      <c r="B5932" s="63">
        <v>106.7688</v>
      </c>
      <c r="C5932" s="63">
        <v>10.77509</v>
      </c>
      <c r="D5932" s="63">
        <v>106.6727</v>
      </c>
      <c r="E5932" s="64">
        <v>23.486</v>
      </c>
    </row>
    <row r="5933" ht="22.5" customHeight="1">
      <c r="A5933" s="66">
        <v>10.9137</v>
      </c>
      <c r="B5933" s="67">
        <v>106.7688</v>
      </c>
      <c r="C5933" s="67">
        <v>10.843</v>
      </c>
      <c r="D5933" s="67">
        <v>106.7308</v>
      </c>
      <c r="E5933" s="68">
        <v>11.879</v>
      </c>
    </row>
    <row r="5934" ht="22.5" customHeight="1">
      <c r="A5934" s="61">
        <v>10.9137</v>
      </c>
      <c r="B5934" s="63">
        <v>106.7688</v>
      </c>
      <c r="C5934" s="63">
        <v>10.90325</v>
      </c>
      <c r="D5934" s="63">
        <v>106.7555</v>
      </c>
      <c r="E5934" s="64">
        <v>2.6</v>
      </c>
    </row>
    <row r="5935" ht="22.5" customHeight="1">
      <c r="A5935" s="66">
        <v>10.9137</v>
      </c>
      <c r="B5935" s="67">
        <v>106.7688</v>
      </c>
      <c r="C5935" s="67">
        <v>10.90561</v>
      </c>
      <c r="D5935" s="67">
        <v>106.7682</v>
      </c>
      <c r="E5935" s="68">
        <v>2.879</v>
      </c>
    </row>
    <row r="5936" ht="22.5" customHeight="1">
      <c r="A5936" s="61">
        <v>10.9137</v>
      </c>
      <c r="B5936" s="63">
        <v>106.7688</v>
      </c>
      <c r="C5936" s="63">
        <v>10.90752</v>
      </c>
      <c r="D5936" s="63">
        <v>106.7495</v>
      </c>
      <c r="E5936" s="64">
        <v>3.637</v>
      </c>
    </row>
    <row r="5937" ht="22.5" customHeight="1">
      <c r="A5937" s="66">
        <v>10.9137</v>
      </c>
      <c r="B5937" s="67">
        <v>106.7688</v>
      </c>
      <c r="C5937" s="67">
        <v>10.90779</v>
      </c>
      <c r="D5937" s="67">
        <v>106.76</v>
      </c>
      <c r="E5937" s="68">
        <v>1.883</v>
      </c>
    </row>
    <row r="5938" ht="22.5" customHeight="1">
      <c r="A5938" s="61">
        <v>10.9137</v>
      </c>
      <c r="B5938" s="63">
        <v>106.7688</v>
      </c>
      <c r="C5938" s="63">
        <v>10.9105</v>
      </c>
      <c r="D5938" s="63">
        <v>106.7816</v>
      </c>
      <c r="E5938" s="64">
        <v>1.815</v>
      </c>
    </row>
    <row r="5939" ht="22.5" customHeight="1">
      <c r="A5939" s="66">
        <v>10.9137</v>
      </c>
      <c r="B5939" s="67">
        <v>106.7688</v>
      </c>
      <c r="C5939" s="67">
        <v>10.91102</v>
      </c>
      <c r="D5939" s="67">
        <v>106.7814</v>
      </c>
      <c r="E5939" s="68">
        <v>1.813</v>
      </c>
    </row>
    <row r="5940" ht="22.5" customHeight="1">
      <c r="A5940" s="61">
        <v>10.91538</v>
      </c>
      <c r="B5940" s="63">
        <v>106.7694</v>
      </c>
      <c r="C5940" s="63">
        <v>10.90325</v>
      </c>
      <c r="D5940" s="63">
        <v>106.7555</v>
      </c>
      <c r="E5940" s="64">
        <v>2.3</v>
      </c>
    </row>
    <row r="5941" ht="22.5" customHeight="1">
      <c r="A5941" s="66">
        <v>10.91628</v>
      </c>
      <c r="B5941" s="67">
        <v>106.7843</v>
      </c>
      <c r="C5941" s="67">
        <v>10.89995</v>
      </c>
      <c r="D5941" s="67">
        <v>106.7992</v>
      </c>
      <c r="E5941" s="68">
        <v>3.498</v>
      </c>
    </row>
    <row r="5942" ht="22.5" customHeight="1">
      <c r="A5942" s="61">
        <v>10.91628</v>
      </c>
      <c r="B5942" s="63">
        <v>106.7843</v>
      </c>
      <c r="C5942" s="63">
        <v>10.90561</v>
      </c>
      <c r="D5942" s="63">
        <v>106.7682</v>
      </c>
      <c r="E5942" s="64">
        <v>3.591</v>
      </c>
    </row>
    <row r="5943" ht="22.5" customHeight="1">
      <c r="A5943" s="66">
        <v>10.91628</v>
      </c>
      <c r="B5943" s="67">
        <v>106.7843</v>
      </c>
      <c r="C5943" s="67">
        <v>10.9105</v>
      </c>
      <c r="D5943" s="67">
        <v>106.7816</v>
      </c>
      <c r="E5943" s="68">
        <v>0.851</v>
      </c>
    </row>
    <row r="5944" ht="22.5" customHeight="1">
      <c r="A5944" s="61">
        <v>10.91861</v>
      </c>
      <c r="B5944" s="63">
        <v>106.768</v>
      </c>
      <c r="C5944" s="63">
        <v>10.90561</v>
      </c>
      <c r="D5944" s="63">
        <v>106.7682</v>
      </c>
      <c r="E5944" s="64">
        <v>3.086</v>
      </c>
    </row>
    <row r="5945" ht="22.5" customHeight="1">
      <c r="A5945" s="66">
        <v>10.91861</v>
      </c>
      <c r="B5945" s="67">
        <v>106.768</v>
      </c>
      <c r="C5945" s="67">
        <v>10.90752</v>
      </c>
      <c r="D5945" s="67">
        <v>106.7495</v>
      </c>
      <c r="E5945" s="68">
        <v>4.174</v>
      </c>
    </row>
    <row r="5946" ht="22.5" customHeight="1">
      <c r="A5946" s="61">
        <v>10.91908</v>
      </c>
      <c r="B5946" s="63">
        <v>106.7302</v>
      </c>
      <c r="C5946" s="63">
        <v>10.90835</v>
      </c>
      <c r="D5946" s="63">
        <v>106.7014</v>
      </c>
      <c r="E5946" s="64">
        <v>4.745</v>
      </c>
    </row>
    <row r="5947" ht="22.5" customHeight="1">
      <c r="A5947" s="66">
        <v>10.91908</v>
      </c>
      <c r="B5947" s="67">
        <v>106.7302</v>
      </c>
      <c r="C5947" s="67">
        <v>10.91936</v>
      </c>
      <c r="D5947" s="67">
        <v>106.7125</v>
      </c>
      <c r="E5947" s="68">
        <v>3.06</v>
      </c>
    </row>
    <row r="5948" ht="22.5" customHeight="1">
      <c r="A5948" s="61">
        <v>10.91936</v>
      </c>
      <c r="B5948" s="63">
        <v>106.7125</v>
      </c>
      <c r="C5948" s="63">
        <v>10.77509</v>
      </c>
      <c r="D5948" s="63">
        <v>106.6727</v>
      </c>
      <c r="E5948" s="64">
        <v>21.924</v>
      </c>
    </row>
    <row r="5949" ht="22.5" customHeight="1">
      <c r="A5949" s="66">
        <v>10.91936</v>
      </c>
      <c r="B5949" s="67">
        <v>106.7125</v>
      </c>
      <c r="C5949" s="67">
        <v>10.85846</v>
      </c>
      <c r="D5949" s="67">
        <v>106.7487</v>
      </c>
      <c r="E5949" s="68">
        <v>9.718</v>
      </c>
    </row>
    <row r="5950" ht="22.5" customHeight="1">
      <c r="A5950" s="61">
        <v>10.91936</v>
      </c>
      <c r="B5950" s="63">
        <v>106.7125</v>
      </c>
      <c r="C5950" s="63">
        <v>10.86826</v>
      </c>
      <c r="D5950" s="63">
        <v>106.7145</v>
      </c>
      <c r="E5950" s="64">
        <v>7.737</v>
      </c>
    </row>
    <row r="5951" ht="22.5" customHeight="1">
      <c r="A5951" s="66">
        <v>10.91936</v>
      </c>
      <c r="B5951" s="67">
        <v>106.7125</v>
      </c>
      <c r="C5951" s="67">
        <v>10.9019</v>
      </c>
      <c r="D5951" s="67">
        <v>106.7035</v>
      </c>
      <c r="E5951" s="68">
        <v>2.481</v>
      </c>
    </row>
    <row r="5952" ht="22.5" customHeight="1">
      <c r="A5952" s="61">
        <v>10.91936</v>
      </c>
      <c r="B5952" s="63">
        <v>106.7125</v>
      </c>
      <c r="C5952" s="63">
        <v>10.90835</v>
      </c>
      <c r="D5952" s="63">
        <v>106.7014</v>
      </c>
      <c r="E5952" s="64">
        <v>1.632</v>
      </c>
    </row>
    <row r="5953" ht="22.5" customHeight="1">
      <c r="A5953" s="66">
        <v>10.91936</v>
      </c>
      <c r="B5953" s="67">
        <v>106.7125</v>
      </c>
      <c r="C5953" s="67">
        <v>10.92893</v>
      </c>
      <c r="D5953" s="67">
        <v>106.7125</v>
      </c>
      <c r="E5953" s="68">
        <v>1.338</v>
      </c>
    </row>
    <row r="5954" ht="22.5" customHeight="1">
      <c r="A5954" s="61">
        <v>10.91936</v>
      </c>
      <c r="B5954" s="63">
        <v>106.7125</v>
      </c>
      <c r="C5954" s="63">
        <v>10.94228</v>
      </c>
      <c r="D5954" s="63">
        <v>106.725</v>
      </c>
      <c r="E5954" s="64">
        <v>3.988</v>
      </c>
    </row>
    <row r="5955" ht="22.5" customHeight="1">
      <c r="A5955" s="66">
        <v>10.92001</v>
      </c>
      <c r="B5955" s="67">
        <v>106.7095</v>
      </c>
      <c r="C5955" s="67">
        <v>10.90835</v>
      </c>
      <c r="D5955" s="67">
        <v>106.7014</v>
      </c>
      <c r="E5955" s="68">
        <v>1.737</v>
      </c>
    </row>
    <row r="5956" ht="22.5" customHeight="1">
      <c r="A5956" s="61">
        <v>10.92334</v>
      </c>
      <c r="B5956" s="63">
        <v>106.7514</v>
      </c>
      <c r="C5956" s="63">
        <v>10.90561</v>
      </c>
      <c r="D5956" s="63">
        <v>106.7682</v>
      </c>
      <c r="E5956" s="64">
        <v>3.827</v>
      </c>
    </row>
    <row r="5957" ht="22.5" customHeight="1">
      <c r="A5957" s="66">
        <v>10.92617</v>
      </c>
      <c r="B5957" s="67">
        <v>106.7622</v>
      </c>
      <c r="C5957" s="67">
        <v>10.90561</v>
      </c>
      <c r="D5957" s="67">
        <v>106.7682</v>
      </c>
      <c r="E5957" s="68">
        <v>4.08</v>
      </c>
    </row>
    <row r="5958" ht="22.5" customHeight="1">
      <c r="A5958" s="61">
        <v>10.92645</v>
      </c>
      <c r="B5958" s="63">
        <v>106.7121</v>
      </c>
      <c r="C5958" s="63">
        <v>10.90835</v>
      </c>
      <c r="D5958" s="63">
        <v>106.7014</v>
      </c>
      <c r="E5958" s="64">
        <v>2.545</v>
      </c>
    </row>
    <row r="5959" ht="22.5" customHeight="1">
      <c r="A5959" s="66">
        <v>10.92645</v>
      </c>
      <c r="B5959" s="67">
        <v>106.7121</v>
      </c>
      <c r="C5959" s="67">
        <v>10.91936</v>
      </c>
      <c r="D5959" s="67">
        <v>106.7125</v>
      </c>
      <c r="E5959" s="68">
        <v>0.861</v>
      </c>
    </row>
    <row r="5960" ht="22.5" customHeight="1">
      <c r="A5960" s="61">
        <v>10.92645</v>
      </c>
      <c r="B5960" s="63">
        <v>106.7121</v>
      </c>
      <c r="C5960" s="63">
        <v>10.92001</v>
      </c>
      <c r="D5960" s="63">
        <v>106.7095</v>
      </c>
      <c r="E5960" s="64">
        <v>0.941</v>
      </c>
    </row>
    <row r="5961" ht="22.5" customHeight="1">
      <c r="A5961" s="66">
        <v>10.92645</v>
      </c>
      <c r="B5961" s="67">
        <v>106.7121</v>
      </c>
      <c r="C5961" s="67">
        <v>10.97922</v>
      </c>
      <c r="D5961" s="67">
        <v>106.6555</v>
      </c>
      <c r="E5961" s="68">
        <v>10.298</v>
      </c>
    </row>
    <row r="5962" ht="22.5" customHeight="1">
      <c r="A5962" s="61">
        <v>10.92802</v>
      </c>
      <c r="B5962" s="63">
        <v>106.5582</v>
      </c>
      <c r="C5962" s="63">
        <v>10.88801</v>
      </c>
      <c r="D5962" s="63">
        <v>106.5985</v>
      </c>
      <c r="E5962" s="64">
        <v>6.697</v>
      </c>
    </row>
    <row r="5963" ht="22.5" customHeight="1">
      <c r="A5963" s="66">
        <v>10.92802</v>
      </c>
      <c r="B5963" s="67">
        <v>106.5582</v>
      </c>
      <c r="C5963" s="67">
        <v>10.97037</v>
      </c>
      <c r="D5963" s="67">
        <v>106.4895</v>
      </c>
      <c r="E5963" s="68">
        <v>9.331</v>
      </c>
    </row>
    <row r="5964" ht="22.5" customHeight="1">
      <c r="A5964" s="61">
        <v>10.92893</v>
      </c>
      <c r="B5964" s="63">
        <v>106.7125</v>
      </c>
      <c r="C5964" s="63">
        <v>10.85846</v>
      </c>
      <c r="D5964" s="63">
        <v>106.7487</v>
      </c>
      <c r="E5964" s="64">
        <v>11.633</v>
      </c>
    </row>
    <row r="5965" ht="22.5" customHeight="1">
      <c r="A5965" s="66">
        <v>10.92893</v>
      </c>
      <c r="B5965" s="67">
        <v>106.7125</v>
      </c>
      <c r="C5965" s="67">
        <v>10.88633</v>
      </c>
      <c r="D5965" s="67">
        <v>106.7043</v>
      </c>
      <c r="E5965" s="68">
        <v>7.507</v>
      </c>
    </row>
    <row r="5966" ht="22.5" customHeight="1">
      <c r="A5966" s="61">
        <v>10.92893</v>
      </c>
      <c r="B5966" s="63">
        <v>106.7125</v>
      </c>
      <c r="C5966" s="63">
        <v>10.90835</v>
      </c>
      <c r="D5966" s="63">
        <v>106.7014</v>
      </c>
      <c r="E5966" s="64">
        <v>2.77</v>
      </c>
    </row>
    <row r="5967" ht="22.5" customHeight="1">
      <c r="A5967" s="66">
        <v>10.92893</v>
      </c>
      <c r="B5967" s="67">
        <v>106.7125</v>
      </c>
      <c r="C5967" s="67">
        <v>10.90846</v>
      </c>
      <c r="D5967" s="67">
        <v>106.7403</v>
      </c>
      <c r="E5967" s="68">
        <v>6.941</v>
      </c>
    </row>
    <row r="5968" ht="22.5" customHeight="1">
      <c r="A5968" s="61">
        <v>10.92893</v>
      </c>
      <c r="B5968" s="63">
        <v>106.7125</v>
      </c>
      <c r="C5968" s="63">
        <v>10.91936</v>
      </c>
      <c r="D5968" s="63">
        <v>106.7125</v>
      </c>
      <c r="E5968" s="64">
        <v>2.6</v>
      </c>
    </row>
    <row r="5969" ht="22.5" customHeight="1">
      <c r="A5969" s="66">
        <v>10.92893</v>
      </c>
      <c r="B5969" s="67">
        <v>106.7125</v>
      </c>
      <c r="C5969" s="67">
        <v>10.92001</v>
      </c>
      <c r="D5969" s="67">
        <v>106.7095</v>
      </c>
      <c r="E5969" s="68">
        <v>2.957</v>
      </c>
    </row>
    <row r="5970" ht="22.5" customHeight="1">
      <c r="A5970" s="61">
        <v>10.92893</v>
      </c>
      <c r="B5970" s="63">
        <v>106.7125</v>
      </c>
      <c r="C5970" s="63">
        <v>10.92897</v>
      </c>
      <c r="D5970" s="63">
        <v>106.712</v>
      </c>
      <c r="E5970" s="64">
        <v>0.011</v>
      </c>
    </row>
    <row r="5971" ht="22.5" customHeight="1">
      <c r="A5971" s="66">
        <v>10.92893</v>
      </c>
      <c r="B5971" s="67">
        <v>106.7125</v>
      </c>
      <c r="C5971" s="67">
        <v>10.93659</v>
      </c>
      <c r="D5971" s="67">
        <v>106.7427</v>
      </c>
      <c r="E5971" s="68">
        <v>5.947</v>
      </c>
    </row>
    <row r="5972" ht="22.5" customHeight="1">
      <c r="A5972" s="61">
        <v>10.92893</v>
      </c>
      <c r="B5972" s="63">
        <v>106.7125</v>
      </c>
      <c r="C5972" s="63">
        <v>10.94228</v>
      </c>
      <c r="D5972" s="63">
        <v>106.725</v>
      </c>
      <c r="E5972" s="64">
        <v>3.184</v>
      </c>
    </row>
    <row r="5973" ht="22.5" customHeight="1">
      <c r="A5973" s="66">
        <v>10.92893</v>
      </c>
      <c r="B5973" s="67">
        <v>106.7125</v>
      </c>
      <c r="C5973" s="67">
        <v>10.94876</v>
      </c>
      <c r="D5973" s="67">
        <v>106.6885</v>
      </c>
      <c r="E5973" s="68">
        <v>4.968</v>
      </c>
    </row>
    <row r="5974" ht="22.5" customHeight="1">
      <c r="A5974" s="61">
        <v>10.92893</v>
      </c>
      <c r="B5974" s="63">
        <v>106.7125</v>
      </c>
      <c r="C5974" s="63">
        <v>10.94892</v>
      </c>
      <c r="D5974" s="63">
        <v>106.6883</v>
      </c>
      <c r="E5974" s="64">
        <v>4.93</v>
      </c>
    </row>
    <row r="5975" ht="22.5" customHeight="1">
      <c r="A5975" s="66">
        <v>10.92897</v>
      </c>
      <c r="B5975" s="67">
        <v>106.712</v>
      </c>
      <c r="C5975" s="67">
        <v>10.90835</v>
      </c>
      <c r="D5975" s="67">
        <v>106.7014</v>
      </c>
      <c r="E5975" s="68">
        <v>2.727</v>
      </c>
    </row>
    <row r="5976" ht="22.5" customHeight="1">
      <c r="A5976" s="61">
        <v>10.92897</v>
      </c>
      <c r="B5976" s="63">
        <v>106.712</v>
      </c>
      <c r="C5976" s="63">
        <v>10.92893</v>
      </c>
      <c r="D5976" s="63">
        <v>106.7125</v>
      </c>
      <c r="E5976" s="64">
        <v>0.0</v>
      </c>
    </row>
    <row r="5977" ht="22.5" customHeight="1">
      <c r="A5977" s="66">
        <v>10.92897</v>
      </c>
      <c r="B5977" s="67">
        <v>106.712</v>
      </c>
      <c r="C5977" s="67">
        <v>10.94228</v>
      </c>
      <c r="D5977" s="67">
        <v>106.725</v>
      </c>
      <c r="E5977" s="68">
        <v>3.009</v>
      </c>
    </row>
    <row r="5978" ht="22.5" customHeight="1">
      <c r="A5978" s="61">
        <v>10.93177</v>
      </c>
      <c r="B5978" s="63">
        <v>106.6861</v>
      </c>
      <c r="C5978" s="63">
        <v>10.90835</v>
      </c>
      <c r="D5978" s="63">
        <v>106.7014</v>
      </c>
      <c r="E5978" s="64">
        <v>3.606</v>
      </c>
    </row>
    <row r="5979" ht="22.5" customHeight="1">
      <c r="A5979" s="66">
        <v>10.93234</v>
      </c>
      <c r="B5979" s="67">
        <v>106.8332</v>
      </c>
      <c r="C5979" s="67">
        <v>10.94731</v>
      </c>
      <c r="D5979" s="67">
        <v>106.8284</v>
      </c>
      <c r="E5979" s="68">
        <v>2.815</v>
      </c>
    </row>
    <row r="5980" ht="22.5" customHeight="1">
      <c r="A5980" s="61">
        <v>10.93313</v>
      </c>
      <c r="B5980" s="63">
        <v>106.877</v>
      </c>
      <c r="C5980" s="63">
        <v>10.90769</v>
      </c>
      <c r="D5980" s="63">
        <v>106.89</v>
      </c>
      <c r="E5980" s="64">
        <v>3.413</v>
      </c>
    </row>
    <row r="5981" ht="22.5" customHeight="1">
      <c r="A5981" s="66">
        <v>10.93313</v>
      </c>
      <c r="B5981" s="67">
        <v>106.877</v>
      </c>
      <c r="C5981" s="67">
        <v>10.93753</v>
      </c>
      <c r="D5981" s="67">
        <v>106.804</v>
      </c>
      <c r="E5981" s="68">
        <v>11.05</v>
      </c>
    </row>
    <row r="5982" ht="22.5" customHeight="1">
      <c r="A5982" s="61">
        <v>10.93313</v>
      </c>
      <c r="B5982" s="63">
        <v>106.877</v>
      </c>
      <c r="C5982" s="63">
        <v>10.94731</v>
      </c>
      <c r="D5982" s="63">
        <v>106.8284</v>
      </c>
      <c r="E5982" s="64">
        <v>7.411</v>
      </c>
    </row>
    <row r="5983" ht="22.5" customHeight="1">
      <c r="A5983" s="66">
        <v>10.93313</v>
      </c>
      <c r="B5983" s="67">
        <v>106.877</v>
      </c>
      <c r="C5983" s="67">
        <v>10.94783</v>
      </c>
      <c r="D5983" s="67">
        <v>106.8285</v>
      </c>
      <c r="E5983" s="68">
        <v>7.428</v>
      </c>
    </row>
    <row r="5984" ht="22.5" customHeight="1">
      <c r="A5984" s="61">
        <v>10.93313</v>
      </c>
      <c r="B5984" s="63">
        <v>106.877</v>
      </c>
      <c r="C5984" s="63">
        <v>10.9541</v>
      </c>
      <c r="D5984" s="63">
        <v>106.8685</v>
      </c>
      <c r="E5984" s="64">
        <v>3.48</v>
      </c>
    </row>
    <row r="5985" ht="22.5" customHeight="1">
      <c r="A5985" s="66">
        <v>10.93313</v>
      </c>
      <c r="B5985" s="67">
        <v>106.877</v>
      </c>
      <c r="C5985" s="67">
        <v>10.95634</v>
      </c>
      <c r="D5985" s="67">
        <v>106.8054</v>
      </c>
      <c r="E5985" s="68">
        <v>9.384</v>
      </c>
    </row>
    <row r="5986" ht="22.5" customHeight="1">
      <c r="A5986" s="61">
        <v>10.93313</v>
      </c>
      <c r="B5986" s="63">
        <v>106.877</v>
      </c>
      <c r="C5986" s="63">
        <v>10.95947</v>
      </c>
      <c r="D5986" s="63">
        <v>106.8433</v>
      </c>
      <c r="E5986" s="64">
        <v>5.416</v>
      </c>
    </row>
    <row r="5987" ht="22.5" customHeight="1">
      <c r="A5987" s="66">
        <v>10.93313</v>
      </c>
      <c r="B5987" s="67">
        <v>106.877</v>
      </c>
      <c r="C5987" s="67">
        <v>10.96281</v>
      </c>
      <c r="D5987" s="67">
        <v>106.8871</v>
      </c>
      <c r="E5987" s="68">
        <v>5.14</v>
      </c>
    </row>
    <row r="5988" ht="22.5" customHeight="1">
      <c r="A5988" s="61">
        <v>10.93313</v>
      </c>
      <c r="B5988" s="63">
        <v>106.877</v>
      </c>
      <c r="C5988" s="63">
        <v>10.9893</v>
      </c>
      <c r="D5988" s="63">
        <v>106.8786</v>
      </c>
      <c r="E5988" s="64">
        <v>9.211</v>
      </c>
    </row>
    <row r="5989" ht="22.5" customHeight="1">
      <c r="A5989" s="66">
        <v>10.9333</v>
      </c>
      <c r="B5989" s="67">
        <v>106.8542</v>
      </c>
      <c r="C5989" s="67">
        <v>10.94731</v>
      </c>
      <c r="D5989" s="67">
        <v>106.8284</v>
      </c>
      <c r="E5989" s="68">
        <v>7.076</v>
      </c>
    </row>
    <row r="5990" ht="22.5" customHeight="1">
      <c r="A5990" s="61">
        <v>10.9333</v>
      </c>
      <c r="B5990" s="63">
        <v>106.8542</v>
      </c>
      <c r="C5990" s="63">
        <v>10.95268</v>
      </c>
      <c r="D5990" s="63">
        <v>106.8679</v>
      </c>
      <c r="E5990" s="64">
        <v>4.254</v>
      </c>
    </row>
    <row r="5991" ht="22.5" customHeight="1">
      <c r="A5991" s="66">
        <v>10.93487</v>
      </c>
      <c r="B5991" s="67">
        <v>106.8057</v>
      </c>
      <c r="C5991" s="67">
        <v>10.94731</v>
      </c>
      <c r="D5991" s="67">
        <v>106.8284</v>
      </c>
      <c r="E5991" s="68">
        <v>5.033</v>
      </c>
    </row>
    <row r="5992" ht="22.5" customHeight="1">
      <c r="A5992" s="61">
        <v>10.93659</v>
      </c>
      <c r="B5992" s="63">
        <v>106.7427</v>
      </c>
      <c r="C5992" s="63">
        <v>10.77509</v>
      </c>
      <c r="D5992" s="63">
        <v>106.6727</v>
      </c>
      <c r="E5992" s="64">
        <v>22.095</v>
      </c>
    </row>
    <row r="5993" ht="22.5" customHeight="1">
      <c r="A5993" s="66">
        <v>10.93659</v>
      </c>
      <c r="B5993" s="67">
        <v>106.7427</v>
      </c>
      <c r="C5993" s="67">
        <v>10.86826</v>
      </c>
      <c r="D5993" s="67">
        <v>106.7145</v>
      </c>
      <c r="E5993" s="68">
        <v>11.57</v>
      </c>
    </row>
    <row r="5994" ht="22.5" customHeight="1">
      <c r="A5994" s="61">
        <v>10.93659</v>
      </c>
      <c r="B5994" s="63">
        <v>106.7427</v>
      </c>
      <c r="C5994" s="63">
        <v>10.88984</v>
      </c>
      <c r="D5994" s="63">
        <v>106.7399</v>
      </c>
      <c r="E5994" s="64">
        <v>6.108</v>
      </c>
    </row>
    <row r="5995" ht="22.5" customHeight="1">
      <c r="A5995" s="66">
        <v>10.93659</v>
      </c>
      <c r="B5995" s="67">
        <v>106.7427</v>
      </c>
      <c r="C5995" s="67">
        <v>10.9019</v>
      </c>
      <c r="D5995" s="67">
        <v>106.7035</v>
      </c>
      <c r="E5995" s="68">
        <v>7.374</v>
      </c>
    </row>
    <row r="5996" ht="22.5" customHeight="1">
      <c r="A5996" s="61">
        <v>10.93659</v>
      </c>
      <c r="B5996" s="63">
        <v>106.7427</v>
      </c>
      <c r="C5996" s="63">
        <v>10.90835</v>
      </c>
      <c r="D5996" s="63">
        <v>106.7014</v>
      </c>
      <c r="E5996" s="64">
        <v>6.624</v>
      </c>
    </row>
    <row r="5997" ht="22.5" customHeight="1">
      <c r="A5997" s="66">
        <v>10.93659</v>
      </c>
      <c r="B5997" s="67">
        <v>106.7427</v>
      </c>
      <c r="C5997" s="67">
        <v>10.92893</v>
      </c>
      <c r="D5997" s="67">
        <v>106.7125</v>
      </c>
      <c r="E5997" s="68">
        <v>5.178</v>
      </c>
    </row>
    <row r="5998" ht="22.5" customHeight="1">
      <c r="A5998" s="61">
        <v>10.93659</v>
      </c>
      <c r="B5998" s="63">
        <v>106.7427</v>
      </c>
      <c r="C5998" s="63">
        <v>10.94228</v>
      </c>
      <c r="D5998" s="63">
        <v>106.725</v>
      </c>
      <c r="E5998" s="64">
        <v>4.563</v>
      </c>
    </row>
    <row r="5999" ht="22.5" customHeight="1">
      <c r="A5999" s="66">
        <v>10.93659</v>
      </c>
      <c r="B5999" s="67">
        <v>106.7427</v>
      </c>
      <c r="C5999" s="67">
        <v>10.9464</v>
      </c>
      <c r="D5999" s="67">
        <v>106.7316</v>
      </c>
      <c r="E5999" s="68">
        <v>2.916</v>
      </c>
    </row>
    <row r="6000" ht="22.5" customHeight="1">
      <c r="A6000" s="61">
        <v>10.93659</v>
      </c>
      <c r="B6000" s="63">
        <v>106.7427</v>
      </c>
      <c r="C6000" s="63">
        <v>10.94876</v>
      </c>
      <c r="D6000" s="63">
        <v>106.6885</v>
      </c>
      <c r="E6000" s="64">
        <v>8.036</v>
      </c>
    </row>
    <row r="6001" ht="22.5" customHeight="1">
      <c r="A6001" s="66">
        <v>10.93659</v>
      </c>
      <c r="B6001" s="67">
        <v>106.7427</v>
      </c>
      <c r="C6001" s="67">
        <v>10.95115</v>
      </c>
      <c r="D6001" s="67">
        <v>106.7072</v>
      </c>
      <c r="E6001" s="68">
        <v>5.441</v>
      </c>
    </row>
    <row r="6002" ht="22.5" customHeight="1">
      <c r="A6002" s="61">
        <v>10.93659</v>
      </c>
      <c r="B6002" s="63">
        <v>106.7427</v>
      </c>
      <c r="C6002" s="63">
        <v>10.97933</v>
      </c>
      <c r="D6002" s="63">
        <v>106.7402</v>
      </c>
      <c r="E6002" s="64">
        <v>6.062</v>
      </c>
    </row>
    <row r="6003" ht="22.5" customHeight="1">
      <c r="A6003" s="66">
        <v>10.93712</v>
      </c>
      <c r="B6003" s="67">
        <v>106.8125</v>
      </c>
      <c r="C6003" s="67">
        <v>10.94731</v>
      </c>
      <c r="D6003" s="67">
        <v>106.8284</v>
      </c>
      <c r="E6003" s="68">
        <v>5.184</v>
      </c>
    </row>
    <row r="6004" ht="22.5" customHeight="1">
      <c r="A6004" s="61">
        <v>10.93753</v>
      </c>
      <c r="B6004" s="63">
        <v>106.804</v>
      </c>
      <c r="C6004" s="63">
        <v>10.84737</v>
      </c>
      <c r="D6004" s="63">
        <v>106.7766</v>
      </c>
      <c r="E6004" s="64">
        <v>13.447</v>
      </c>
    </row>
    <row r="6005" ht="22.5" customHeight="1">
      <c r="A6005" s="66">
        <v>10.93753</v>
      </c>
      <c r="B6005" s="67">
        <v>106.804</v>
      </c>
      <c r="C6005" s="67">
        <v>10.90181</v>
      </c>
      <c r="D6005" s="67">
        <v>106.8523</v>
      </c>
      <c r="E6005" s="68">
        <v>9.233</v>
      </c>
    </row>
    <row r="6006" ht="22.5" customHeight="1">
      <c r="A6006" s="61">
        <v>10.93753</v>
      </c>
      <c r="B6006" s="63">
        <v>106.804</v>
      </c>
      <c r="C6006" s="63">
        <v>10.94731</v>
      </c>
      <c r="D6006" s="63">
        <v>106.8284</v>
      </c>
      <c r="E6006" s="64">
        <v>4.758</v>
      </c>
    </row>
    <row r="6007" ht="22.5" customHeight="1">
      <c r="A6007" s="66">
        <v>10.93753</v>
      </c>
      <c r="B6007" s="67">
        <v>106.804</v>
      </c>
      <c r="C6007" s="67">
        <v>10.94783</v>
      </c>
      <c r="D6007" s="67">
        <v>106.8285</v>
      </c>
      <c r="E6007" s="68">
        <v>4.917</v>
      </c>
    </row>
    <row r="6008" ht="22.5" customHeight="1">
      <c r="A6008" s="61">
        <v>10.93753</v>
      </c>
      <c r="B6008" s="63">
        <v>106.804</v>
      </c>
      <c r="C6008" s="63">
        <v>10.95268</v>
      </c>
      <c r="D6008" s="63">
        <v>106.8679</v>
      </c>
      <c r="E6008" s="64">
        <v>10.0</v>
      </c>
    </row>
    <row r="6009" ht="22.5" customHeight="1">
      <c r="A6009" s="66">
        <v>10.93753</v>
      </c>
      <c r="B6009" s="67">
        <v>106.804</v>
      </c>
      <c r="C6009" s="67">
        <v>10.9541</v>
      </c>
      <c r="D6009" s="67">
        <v>106.8685</v>
      </c>
      <c r="E6009" s="68">
        <v>9.763</v>
      </c>
    </row>
    <row r="6010" ht="22.5" customHeight="1">
      <c r="A6010" s="61">
        <v>10.93753</v>
      </c>
      <c r="B6010" s="63">
        <v>106.804</v>
      </c>
      <c r="C6010" s="63">
        <v>10.95634</v>
      </c>
      <c r="D6010" s="63">
        <v>106.8054</v>
      </c>
      <c r="E6010" s="64">
        <v>2.692</v>
      </c>
    </row>
    <row r="6011" ht="22.5" customHeight="1">
      <c r="A6011" s="66">
        <v>10.93753</v>
      </c>
      <c r="B6011" s="67">
        <v>106.804</v>
      </c>
      <c r="C6011" s="67">
        <v>10.96172</v>
      </c>
      <c r="D6011" s="67">
        <v>106.835</v>
      </c>
      <c r="E6011" s="68">
        <v>5.39</v>
      </c>
    </row>
    <row r="6012" ht="22.5" customHeight="1">
      <c r="A6012" s="61">
        <v>10.93753</v>
      </c>
      <c r="B6012" s="63">
        <v>106.804</v>
      </c>
      <c r="C6012" s="63">
        <v>10.96281</v>
      </c>
      <c r="D6012" s="63">
        <v>106.8871</v>
      </c>
      <c r="E6012" s="64">
        <v>12.142</v>
      </c>
    </row>
    <row r="6013" ht="22.5" customHeight="1">
      <c r="A6013" s="66">
        <v>10.93753</v>
      </c>
      <c r="B6013" s="67">
        <v>106.804</v>
      </c>
      <c r="C6013" s="67">
        <v>10.9893</v>
      </c>
      <c r="D6013" s="67">
        <v>106.8786</v>
      </c>
      <c r="E6013" s="68">
        <v>12.4</v>
      </c>
    </row>
    <row r="6014" ht="22.5" customHeight="1">
      <c r="A6014" s="61">
        <v>10.93753</v>
      </c>
      <c r="B6014" s="63">
        <v>106.804</v>
      </c>
      <c r="C6014" s="63">
        <v>11.01129</v>
      </c>
      <c r="D6014" s="63">
        <v>106.8386</v>
      </c>
      <c r="E6014" s="64">
        <v>13.291</v>
      </c>
    </row>
    <row r="6015" ht="22.5" customHeight="1">
      <c r="A6015" s="66">
        <v>10.94228</v>
      </c>
      <c r="B6015" s="67">
        <v>106.725</v>
      </c>
      <c r="C6015" s="67">
        <v>10.77509</v>
      </c>
      <c r="D6015" s="67">
        <v>106.6727</v>
      </c>
      <c r="E6015" s="68">
        <v>25.739</v>
      </c>
    </row>
    <row r="6016" ht="22.5" customHeight="1">
      <c r="A6016" s="61">
        <v>10.94228</v>
      </c>
      <c r="B6016" s="63">
        <v>106.725</v>
      </c>
      <c r="C6016" s="63">
        <v>10.88633</v>
      </c>
      <c r="D6016" s="63">
        <v>106.7043</v>
      </c>
      <c r="E6016" s="64">
        <v>9.201</v>
      </c>
    </row>
    <row r="6017" ht="22.5" customHeight="1">
      <c r="A6017" s="66">
        <v>10.94228</v>
      </c>
      <c r="B6017" s="67">
        <v>106.725</v>
      </c>
      <c r="C6017" s="67">
        <v>10.90416</v>
      </c>
      <c r="D6017" s="67">
        <v>106.7027</v>
      </c>
      <c r="E6017" s="68">
        <v>6.507</v>
      </c>
    </row>
    <row r="6018" ht="22.5" customHeight="1">
      <c r="A6018" s="61">
        <v>10.94228</v>
      </c>
      <c r="B6018" s="63">
        <v>106.725</v>
      </c>
      <c r="C6018" s="63">
        <v>10.90835</v>
      </c>
      <c r="D6018" s="63">
        <v>106.7014</v>
      </c>
      <c r="E6018" s="64">
        <v>5.671</v>
      </c>
    </row>
    <row r="6019" ht="22.5" customHeight="1">
      <c r="A6019" s="66">
        <v>10.94228</v>
      </c>
      <c r="B6019" s="67">
        <v>106.725</v>
      </c>
      <c r="C6019" s="67">
        <v>10.90846</v>
      </c>
      <c r="D6019" s="67">
        <v>106.7403</v>
      </c>
      <c r="E6019" s="68">
        <v>5.764</v>
      </c>
    </row>
    <row r="6020" ht="22.5" customHeight="1">
      <c r="A6020" s="61">
        <v>10.94228</v>
      </c>
      <c r="B6020" s="63">
        <v>106.725</v>
      </c>
      <c r="C6020" s="63">
        <v>10.90871</v>
      </c>
      <c r="D6020" s="63">
        <v>106.7019</v>
      </c>
      <c r="E6020" s="64">
        <v>5.936</v>
      </c>
    </row>
    <row r="6021" ht="22.5" customHeight="1">
      <c r="A6021" s="66">
        <v>10.94228</v>
      </c>
      <c r="B6021" s="67">
        <v>106.725</v>
      </c>
      <c r="C6021" s="67">
        <v>10.91936</v>
      </c>
      <c r="D6021" s="67">
        <v>106.7125</v>
      </c>
      <c r="E6021" s="68">
        <v>3.853</v>
      </c>
    </row>
    <row r="6022" ht="22.5" customHeight="1">
      <c r="A6022" s="61">
        <v>10.94228</v>
      </c>
      <c r="B6022" s="63">
        <v>106.725</v>
      </c>
      <c r="C6022" s="63">
        <v>10.92001</v>
      </c>
      <c r="D6022" s="63">
        <v>106.7095</v>
      </c>
      <c r="E6022" s="64">
        <v>4.066</v>
      </c>
    </row>
    <row r="6023" ht="22.5" customHeight="1">
      <c r="A6023" s="66">
        <v>10.94228</v>
      </c>
      <c r="B6023" s="67">
        <v>106.725</v>
      </c>
      <c r="C6023" s="67">
        <v>10.92645</v>
      </c>
      <c r="D6023" s="67">
        <v>106.7121</v>
      </c>
      <c r="E6023" s="68">
        <v>3.386</v>
      </c>
    </row>
    <row r="6024" ht="22.5" customHeight="1">
      <c r="A6024" s="61">
        <v>10.94228</v>
      </c>
      <c r="B6024" s="63">
        <v>106.725</v>
      </c>
      <c r="C6024" s="63">
        <v>10.92893</v>
      </c>
      <c r="D6024" s="63">
        <v>106.7125</v>
      </c>
      <c r="E6024" s="64">
        <v>3.131</v>
      </c>
    </row>
    <row r="6025" ht="22.5" customHeight="1">
      <c r="A6025" s="66">
        <v>10.94228</v>
      </c>
      <c r="B6025" s="67">
        <v>106.725</v>
      </c>
      <c r="C6025" s="67">
        <v>10.93659</v>
      </c>
      <c r="D6025" s="67">
        <v>106.7427</v>
      </c>
      <c r="E6025" s="68">
        <v>3.492</v>
      </c>
    </row>
    <row r="6026" ht="22.5" customHeight="1">
      <c r="A6026" s="61">
        <v>10.94228</v>
      </c>
      <c r="B6026" s="63">
        <v>106.725</v>
      </c>
      <c r="C6026" s="63">
        <v>10.9464</v>
      </c>
      <c r="D6026" s="63">
        <v>106.7316</v>
      </c>
      <c r="E6026" s="64">
        <v>1.074</v>
      </c>
    </row>
    <row r="6027" ht="22.5" customHeight="1">
      <c r="A6027" s="66">
        <v>10.94228</v>
      </c>
      <c r="B6027" s="67">
        <v>106.725</v>
      </c>
      <c r="C6027" s="67">
        <v>10.94838</v>
      </c>
      <c r="D6027" s="67">
        <v>106.7224</v>
      </c>
      <c r="E6027" s="68">
        <v>0.0</v>
      </c>
    </row>
    <row r="6028" ht="22.5" customHeight="1">
      <c r="A6028" s="61">
        <v>10.94228</v>
      </c>
      <c r="B6028" s="63">
        <v>106.725</v>
      </c>
      <c r="C6028" s="63">
        <v>10.94876</v>
      </c>
      <c r="D6028" s="63">
        <v>106.6885</v>
      </c>
      <c r="E6028" s="64">
        <v>5.145</v>
      </c>
    </row>
    <row r="6029" ht="22.5" customHeight="1">
      <c r="A6029" s="66">
        <v>10.94228</v>
      </c>
      <c r="B6029" s="67">
        <v>106.725</v>
      </c>
      <c r="C6029" s="67">
        <v>10.94892</v>
      </c>
      <c r="D6029" s="67">
        <v>106.6883</v>
      </c>
      <c r="E6029" s="68">
        <v>5.11</v>
      </c>
    </row>
    <row r="6030" ht="22.5" customHeight="1">
      <c r="A6030" s="61">
        <v>10.94228</v>
      </c>
      <c r="B6030" s="63">
        <v>106.725</v>
      </c>
      <c r="C6030" s="63">
        <v>10.95115</v>
      </c>
      <c r="D6030" s="63">
        <v>106.7072</v>
      </c>
      <c r="E6030" s="64">
        <v>2.724</v>
      </c>
    </row>
    <row r="6031" ht="22.5" customHeight="1">
      <c r="A6031" s="66">
        <v>10.94228</v>
      </c>
      <c r="B6031" s="67">
        <v>106.725</v>
      </c>
      <c r="C6031" s="67">
        <v>10.97933</v>
      </c>
      <c r="D6031" s="67">
        <v>106.7402</v>
      </c>
      <c r="E6031" s="68">
        <v>7.123</v>
      </c>
    </row>
    <row r="6032" ht="22.5" customHeight="1">
      <c r="A6032" s="61">
        <v>10.94248</v>
      </c>
      <c r="B6032" s="63">
        <v>106.726</v>
      </c>
      <c r="C6032" s="63">
        <v>10.90835</v>
      </c>
      <c r="D6032" s="63">
        <v>106.7014</v>
      </c>
      <c r="E6032" s="64">
        <v>5.9</v>
      </c>
    </row>
    <row r="6033" ht="22.5" customHeight="1">
      <c r="A6033" s="66">
        <v>10.94444</v>
      </c>
      <c r="B6033" s="67">
        <v>106.8578</v>
      </c>
      <c r="C6033" s="67">
        <v>10.94731</v>
      </c>
      <c r="D6033" s="67">
        <v>106.8284</v>
      </c>
      <c r="E6033" s="68">
        <v>4.648</v>
      </c>
    </row>
    <row r="6034" ht="22.5" customHeight="1">
      <c r="A6034" s="61">
        <v>10.94485</v>
      </c>
      <c r="B6034" s="63">
        <v>106.7368</v>
      </c>
      <c r="C6034" s="63">
        <v>10.90835</v>
      </c>
      <c r="D6034" s="63">
        <v>106.7014</v>
      </c>
      <c r="E6034" s="64">
        <v>6.965</v>
      </c>
    </row>
    <row r="6035" ht="22.5" customHeight="1">
      <c r="A6035" s="66">
        <v>10.94485</v>
      </c>
      <c r="B6035" s="67">
        <v>106.7368</v>
      </c>
      <c r="C6035" s="67">
        <v>10.94228</v>
      </c>
      <c r="D6035" s="67">
        <v>106.725</v>
      </c>
      <c r="E6035" s="68">
        <v>1.55</v>
      </c>
    </row>
    <row r="6036" ht="22.5" customHeight="1">
      <c r="A6036" s="61">
        <v>10.94485</v>
      </c>
      <c r="B6036" s="63">
        <v>106.7368</v>
      </c>
      <c r="C6036" s="63">
        <v>10.94876</v>
      </c>
      <c r="D6036" s="63">
        <v>106.6885</v>
      </c>
      <c r="E6036" s="64">
        <v>6.07</v>
      </c>
    </row>
    <row r="6037" ht="22.5" customHeight="1">
      <c r="A6037" s="66">
        <v>10.94485</v>
      </c>
      <c r="B6037" s="67">
        <v>106.7368</v>
      </c>
      <c r="C6037" s="67">
        <v>10.95115</v>
      </c>
      <c r="D6037" s="67">
        <v>106.7072</v>
      </c>
      <c r="E6037" s="68">
        <v>3.711</v>
      </c>
    </row>
    <row r="6038" ht="22.5" customHeight="1">
      <c r="A6038" s="61">
        <v>10.9464</v>
      </c>
      <c r="B6038" s="63">
        <v>106.7316</v>
      </c>
      <c r="C6038" s="63">
        <v>10.90835</v>
      </c>
      <c r="D6038" s="63">
        <v>106.7014</v>
      </c>
      <c r="E6038" s="64">
        <v>6.6</v>
      </c>
    </row>
    <row r="6039" ht="22.5" customHeight="1">
      <c r="A6039" s="66">
        <v>10.9464</v>
      </c>
      <c r="B6039" s="67">
        <v>106.7316</v>
      </c>
      <c r="C6039" s="67">
        <v>10.91908</v>
      </c>
      <c r="D6039" s="67">
        <v>106.7302</v>
      </c>
      <c r="E6039" s="68">
        <v>4.498</v>
      </c>
    </row>
    <row r="6040" ht="22.5" customHeight="1">
      <c r="A6040" s="61">
        <v>10.9464</v>
      </c>
      <c r="B6040" s="63">
        <v>106.7316</v>
      </c>
      <c r="C6040" s="63">
        <v>10.91936</v>
      </c>
      <c r="D6040" s="63">
        <v>106.7125</v>
      </c>
      <c r="E6040" s="64">
        <v>4.902</v>
      </c>
    </row>
    <row r="6041" ht="22.5" customHeight="1">
      <c r="A6041" s="66">
        <v>10.9464</v>
      </c>
      <c r="B6041" s="67">
        <v>106.7316</v>
      </c>
      <c r="C6041" s="67">
        <v>10.93659</v>
      </c>
      <c r="D6041" s="67">
        <v>106.7427</v>
      </c>
      <c r="E6041" s="68">
        <v>2.468</v>
      </c>
    </row>
    <row r="6042" ht="22.5" customHeight="1">
      <c r="A6042" s="61">
        <v>10.9464</v>
      </c>
      <c r="B6042" s="63">
        <v>106.7316</v>
      </c>
      <c r="C6042" s="63">
        <v>10.94228</v>
      </c>
      <c r="D6042" s="63">
        <v>106.725</v>
      </c>
      <c r="E6042" s="64">
        <v>1.077</v>
      </c>
    </row>
    <row r="6043" ht="22.5" customHeight="1">
      <c r="A6043" s="66">
        <v>10.9464</v>
      </c>
      <c r="B6043" s="67">
        <v>106.7316</v>
      </c>
      <c r="C6043" s="67">
        <v>10.94876</v>
      </c>
      <c r="D6043" s="67">
        <v>106.6885</v>
      </c>
      <c r="E6043" s="68">
        <v>5.899</v>
      </c>
    </row>
    <row r="6044" ht="22.5" customHeight="1">
      <c r="A6044" s="61">
        <v>10.9464</v>
      </c>
      <c r="B6044" s="63">
        <v>106.7316</v>
      </c>
      <c r="C6044" s="63">
        <v>10.95115</v>
      </c>
      <c r="D6044" s="63">
        <v>106.7072</v>
      </c>
      <c r="E6044" s="64">
        <v>3.465</v>
      </c>
    </row>
    <row r="6045" ht="22.5" customHeight="1">
      <c r="A6045" s="66">
        <v>10.94731</v>
      </c>
      <c r="B6045" s="67">
        <v>106.8284</v>
      </c>
      <c r="C6045" s="67">
        <v>10.73595</v>
      </c>
      <c r="D6045" s="67">
        <v>106.9345</v>
      </c>
      <c r="E6045" s="68">
        <v>34.6</v>
      </c>
    </row>
    <row r="6046" ht="22.5" customHeight="1">
      <c r="A6046" s="61">
        <v>10.94731</v>
      </c>
      <c r="B6046" s="63">
        <v>106.8284</v>
      </c>
      <c r="C6046" s="63">
        <v>10.79036</v>
      </c>
      <c r="D6046" s="63">
        <v>106.6973</v>
      </c>
      <c r="E6046" s="64">
        <v>29.8</v>
      </c>
    </row>
    <row r="6047" ht="22.5" customHeight="1">
      <c r="A6047" s="66">
        <v>10.94731</v>
      </c>
      <c r="B6047" s="67">
        <v>106.8284</v>
      </c>
      <c r="C6047" s="67">
        <v>10.79462</v>
      </c>
      <c r="D6047" s="67">
        <v>106.9453</v>
      </c>
      <c r="E6047" s="68">
        <v>25.0</v>
      </c>
    </row>
    <row r="6048" ht="22.5" customHeight="1">
      <c r="A6048" s="61">
        <v>10.94731</v>
      </c>
      <c r="B6048" s="63">
        <v>106.8284</v>
      </c>
      <c r="C6048" s="63">
        <v>10.84737</v>
      </c>
      <c r="D6048" s="63">
        <v>106.7766</v>
      </c>
      <c r="E6048" s="64">
        <v>16.5</v>
      </c>
    </row>
    <row r="6049" ht="22.5" customHeight="1">
      <c r="A6049" s="66">
        <v>10.94731</v>
      </c>
      <c r="B6049" s="67">
        <v>106.8284</v>
      </c>
      <c r="C6049" s="67">
        <v>10.86915</v>
      </c>
      <c r="D6049" s="67">
        <v>106.974</v>
      </c>
      <c r="E6049" s="68">
        <v>23.4</v>
      </c>
    </row>
    <row r="6050" ht="22.5" customHeight="1">
      <c r="A6050" s="61">
        <v>10.94731</v>
      </c>
      <c r="B6050" s="63">
        <v>106.8284</v>
      </c>
      <c r="C6050" s="63">
        <v>10.90181</v>
      </c>
      <c r="D6050" s="63">
        <v>106.8523</v>
      </c>
      <c r="E6050" s="64">
        <v>7.2</v>
      </c>
    </row>
    <row r="6051" ht="22.5" customHeight="1">
      <c r="A6051" s="66">
        <v>10.94731</v>
      </c>
      <c r="B6051" s="67">
        <v>106.8284</v>
      </c>
      <c r="C6051" s="67">
        <v>10.90769</v>
      </c>
      <c r="D6051" s="67">
        <v>106.89</v>
      </c>
      <c r="E6051" s="68">
        <v>10.3</v>
      </c>
    </row>
    <row r="6052" ht="22.5" customHeight="1">
      <c r="A6052" s="61">
        <v>10.94731</v>
      </c>
      <c r="B6052" s="63">
        <v>106.8284</v>
      </c>
      <c r="C6052" s="63">
        <v>10.93313</v>
      </c>
      <c r="D6052" s="63">
        <v>106.877</v>
      </c>
      <c r="E6052" s="64">
        <v>7.4</v>
      </c>
    </row>
    <row r="6053" ht="22.5" customHeight="1">
      <c r="A6053" s="66">
        <v>10.94731</v>
      </c>
      <c r="B6053" s="67">
        <v>106.8284</v>
      </c>
      <c r="C6053" s="67">
        <v>10.93753</v>
      </c>
      <c r="D6053" s="67">
        <v>106.804</v>
      </c>
      <c r="E6053" s="68">
        <v>4.5</v>
      </c>
    </row>
    <row r="6054" ht="22.5" customHeight="1">
      <c r="A6054" s="61">
        <v>10.94731</v>
      </c>
      <c r="B6054" s="63">
        <v>106.8284</v>
      </c>
      <c r="C6054" s="63">
        <v>10.94731</v>
      </c>
      <c r="D6054" s="63">
        <v>106.8284</v>
      </c>
      <c r="E6054" s="64">
        <v>0.0</v>
      </c>
    </row>
    <row r="6055" ht="22.5" customHeight="1">
      <c r="A6055" s="66">
        <v>10.94731</v>
      </c>
      <c r="B6055" s="67">
        <v>106.8284</v>
      </c>
      <c r="C6055" s="67">
        <v>10.94783</v>
      </c>
      <c r="D6055" s="67">
        <v>106.8285</v>
      </c>
      <c r="E6055" s="68">
        <v>0.1</v>
      </c>
    </row>
    <row r="6056" ht="22.5" customHeight="1">
      <c r="A6056" s="61">
        <v>10.94731</v>
      </c>
      <c r="B6056" s="63">
        <v>106.8284</v>
      </c>
      <c r="C6056" s="63">
        <v>10.95268</v>
      </c>
      <c r="D6056" s="63">
        <v>106.8679</v>
      </c>
      <c r="E6056" s="64">
        <v>5.7</v>
      </c>
    </row>
    <row r="6057" ht="22.5" customHeight="1">
      <c r="A6057" s="66">
        <v>10.94731</v>
      </c>
      <c r="B6057" s="67">
        <v>106.8284</v>
      </c>
      <c r="C6057" s="67">
        <v>10.95275</v>
      </c>
      <c r="D6057" s="67">
        <v>106.8668</v>
      </c>
      <c r="E6057" s="68">
        <v>5.6</v>
      </c>
    </row>
    <row r="6058" ht="22.5" customHeight="1">
      <c r="A6058" s="61">
        <v>10.94731</v>
      </c>
      <c r="B6058" s="63">
        <v>106.8284</v>
      </c>
      <c r="C6058" s="63">
        <v>10.9541</v>
      </c>
      <c r="D6058" s="63">
        <v>106.8685</v>
      </c>
      <c r="E6058" s="64">
        <v>5.9</v>
      </c>
    </row>
    <row r="6059" ht="22.5" customHeight="1">
      <c r="A6059" s="66">
        <v>10.94731</v>
      </c>
      <c r="B6059" s="67">
        <v>106.8284</v>
      </c>
      <c r="C6059" s="67">
        <v>10.9562</v>
      </c>
      <c r="D6059" s="67">
        <v>106.8744</v>
      </c>
      <c r="E6059" s="68">
        <v>6.4</v>
      </c>
    </row>
    <row r="6060" ht="22.5" customHeight="1">
      <c r="A6060" s="61">
        <v>10.94731</v>
      </c>
      <c r="B6060" s="63">
        <v>106.8284</v>
      </c>
      <c r="C6060" s="63">
        <v>10.95634</v>
      </c>
      <c r="D6060" s="63">
        <v>106.8054</v>
      </c>
      <c r="E6060" s="64">
        <v>3.3</v>
      </c>
    </row>
    <row r="6061" ht="22.5" customHeight="1">
      <c r="A6061" s="66">
        <v>10.94731</v>
      </c>
      <c r="B6061" s="67">
        <v>106.8284</v>
      </c>
      <c r="C6061" s="67">
        <v>10.95947</v>
      </c>
      <c r="D6061" s="67">
        <v>106.8433</v>
      </c>
      <c r="E6061" s="68">
        <v>2.5</v>
      </c>
    </row>
    <row r="6062" ht="22.5" customHeight="1">
      <c r="A6062" s="61">
        <v>10.94731</v>
      </c>
      <c r="B6062" s="63">
        <v>106.8284</v>
      </c>
      <c r="C6062" s="63">
        <v>10.96172</v>
      </c>
      <c r="D6062" s="63">
        <v>106.835</v>
      </c>
      <c r="E6062" s="64">
        <v>2.3</v>
      </c>
    </row>
    <row r="6063" ht="22.5" customHeight="1">
      <c r="A6063" s="66">
        <v>10.94731</v>
      </c>
      <c r="B6063" s="67">
        <v>106.8284</v>
      </c>
      <c r="C6063" s="67">
        <v>10.96281</v>
      </c>
      <c r="D6063" s="67">
        <v>106.8871</v>
      </c>
      <c r="E6063" s="68">
        <v>9.8</v>
      </c>
    </row>
    <row r="6064" ht="22.5" customHeight="1">
      <c r="A6064" s="61">
        <v>10.94731</v>
      </c>
      <c r="B6064" s="63">
        <v>106.8284</v>
      </c>
      <c r="C6064" s="63">
        <v>10.96715</v>
      </c>
      <c r="D6064" s="63">
        <v>106.9003</v>
      </c>
      <c r="E6064" s="64">
        <v>9.8</v>
      </c>
    </row>
    <row r="6065" ht="22.5" customHeight="1">
      <c r="A6065" s="66">
        <v>10.94731</v>
      </c>
      <c r="B6065" s="67">
        <v>106.8284</v>
      </c>
      <c r="C6065" s="67">
        <v>10.9893</v>
      </c>
      <c r="D6065" s="67">
        <v>106.8786</v>
      </c>
      <c r="E6065" s="68">
        <v>9.0</v>
      </c>
    </row>
    <row r="6066" ht="22.5" customHeight="1">
      <c r="A6066" s="61">
        <v>10.94731</v>
      </c>
      <c r="B6066" s="63">
        <v>106.8284</v>
      </c>
      <c r="C6066" s="63">
        <v>11.01129</v>
      </c>
      <c r="D6066" s="63">
        <v>106.8386</v>
      </c>
      <c r="E6066" s="64">
        <v>11.7</v>
      </c>
    </row>
    <row r="6067" ht="22.5" customHeight="1">
      <c r="A6067" s="66">
        <v>10.94783</v>
      </c>
      <c r="B6067" s="67">
        <v>106.8285</v>
      </c>
      <c r="C6067" s="67">
        <v>10.90181</v>
      </c>
      <c r="D6067" s="67">
        <v>106.8523</v>
      </c>
      <c r="E6067" s="68">
        <v>7.302</v>
      </c>
    </row>
    <row r="6068" ht="22.5" customHeight="1">
      <c r="A6068" s="61">
        <v>10.94783</v>
      </c>
      <c r="B6068" s="63">
        <v>106.8285</v>
      </c>
      <c r="C6068" s="63">
        <v>10.93753</v>
      </c>
      <c r="D6068" s="63">
        <v>106.804</v>
      </c>
      <c r="E6068" s="64">
        <v>5.128</v>
      </c>
    </row>
    <row r="6069" ht="22.5" customHeight="1">
      <c r="A6069" s="66">
        <v>10.94783</v>
      </c>
      <c r="B6069" s="67">
        <v>106.8285</v>
      </c>
      <c r="C6069" s="67">
        <v>10.94731</v>
      </c>
      <c r="D6069" s="67">
        <v>106.8284</v>
      </c>
      <c r="E6069" s="68">
        <v>0.11</v>
      </c>
    </row>
    <row r="6070" ht="22.5" customHeight="1">
      <c r="A6070" s="61">
        <v>10.94783</v>
      </c>
      <c r="B6070" s="63">
        <v>106.8285</v>
      </c>
      <c r="C6070" s="63">
        <v>10.95268</v>
      </c>
      <c r="D6070" s="63">
        <v>106.8679</v>
      </c>
      <c r="E6070" s="64">
        <v>5.828</v>
      </c>
    </row>
    <row r="6071" ht="22.5" customHeight="1">
      <c r="A6071" s="66">
        <v>10.94783</v>
      </c>
      <c r="B6071" s="67">
        <v>106.8285</v>
      </c>
      <c r="C6071" s="67">
        <v>10.9541</v>
      </c>
      <c r="D6071" s="67">
        <v>106.8685</v>
      </c>
      <c r="E6071" s="68">
        <v>6.046</v>
      </c>
    </row>
    <row r="6072" ht="22.5" customHeight="1">
      <c r="A6072" s="61">
        <v>10.94783</v>
      </c>
      <c r="B6072" s="63">
        <v>106.8285</v>
      </c>
      <c r="C6072" s="63">
        <v>10.95634</v>
      </c>
      <c r="D6072" s="63">
        <v>106.8054</v>
      </c>
      <c r="E6072" s="64">
        <v>3.461</v>
      </c>
    </row>
    <row r="6073" ht="22.5" customHeight="1">
      <c r="A6073" s="66">
        <v>10.94783</v>
      </c>
      <c r="B6073" s="67">
        <v>106.8285</v>
      </c>
      <c r="C6073" s="67">
        <v>10.95947</v>
      </c>
      <c r="D6073" s="67">
        <v>106.8433</v>
      </c>
      <c r="E6073" s="68">
        <v>2.537</v>
      </c>
    </row>
    <row r="6074" ht="22.5" customHeight="1">
      <c r="A6074" s="61">
        <v>10.94783</v>
      </c>
      <c r="B6074" s="63">
        <v>106.8285</v>
      </c>
      <c r="C6074" s="63">
        <v>10.96172</v>
      </c>
      <c r="D6074" s="63">
        <v>106.835</v>
      </c>
      <c r="E6074" s="64">
        <v>2.212</v>
      </c>
    </row>
    <row r="6075" ht="22.5" customHeight="1">
      <c r="A6075" s="66">
        <v>10.94783</v>
      </c>
      <c r="B6075" s="67">
        <v>106.8285</v>
      </c>
      <c r="C6075" s="67">
        <v>10.96278</v>
      </c>
      <c r="D6075" s="67">
        <v>106.8872</v>
      </c>
      <c r="E6075" s="68">
        <v>8.658</v>
      </c>
    </row>
    <row r="6076" ht="22.5" customHeight="1">
      <c r="A6076" s="61">
        <v>10.94783</v>
      </c>
      <c r="B6076" s="63">
        <v>106.8285</v>
      </c>
      <c r="C6076" s="63">
        <v>10.96281</v>
      </c>
      <c r="D6076" s="63">
        <v>106.8871</v>
      </c>
      <c r="E6076" s="64">
        <v>8.48</v>
      </c>
    </row>
    <row r="6077" ht="22.5" customHeight="1">
      <c r="A6077" s="66">
        <v>10.94783</v>
      </c>
      <c r="B6077" s="67">
        <v>106.8285</v>
      </c>
      <c r="C6077" s="67">
        <v>10.97366</v>
      </c>
      <c r="D6077" s="67">
        <v>106.8519</v>
      </c>
      <c r="E6077" s="68">
        <v>5.632</v>
      </c>
    </row>
    <row r="6078" ht="22.5" customHeight="1">
      <c r="A6078" s="61">
        <v>10.94783</v>
      </c>
      <c r="B6078" s="63">
        <v>106.8285</v>
      </c>
      <c r="C6078" s="63">
        <v>10.9893</v>
      </c>
      <c r="D6078" s="63">
        <v>106.8786</v>
      </c>
      <c r="E6078" s="64">
        <v>9.076</v>
      </c>
    </row>
    <row r="6079" ht="22.5" customHeight="1">
      <c r="A6079" s="66">
        <v>10.94783</v>
      </c>
      <c r="B6079" s="67">
        <v>106.8285</v>
      </c>
      <c r="C6079" s="67">
        <v>11.01129</v>
      </c>
      <c r="D6079" s="67">
        <v>106.8386</v>
      </c>
      <c r="E6079" s="68">
        <v>10.532</v>
      </c>
    </row>
    <row r="6080" ht="22.5" customHeight="1">
      <c r="A6080" s="61">
        <v>10.94783</v>
      </c>
      <c r="B6080" s="63">
        <v>106.8285</v>
      </c>
      <c r="C6080" s="63">
        <v>11.02204</v>
      </c>
      <c r="D6080" s="63">
        <v>106.6516</v>
      </c>
      <c r="E6080" s="64">
        <v>30.128</v>
      </c>
    </row>
    <row r="6081" ht="22.5" customHeight="1">
      <c r="A6081" s="66">
        <v>10.94838</v>
      </c>
      <c r="B6081" s="67">
        <v>106.7224</v>
      </c>
      <c r="C6081" s="67">
        <v>10.90107</v>
      </c>
      <c r="D6081" s="67">
        <v>106.6983</v>
      </c>
      <c r="E6081" s="68">
        <v>7.936</v>
      </c>
    </row>
    <row r="6082" ht="22.5" customHeight="1">
      <c r="A6082" s="61">
        <v>10.94838</v>
      </c>
      <c r="B6082" s="63">
        <v>106.7224</v>
      </c>
      <c r="C6082" s="63">
        <v>10.90416</v>
      </c>
      <c r="D6082" s="63">
        <v>106.7027</v>
      </c>
      <c r="E6082" s="64">
        <v>7.055</v>
      </c>
    </row>
    <row r="6083" ht="22.5" customHeight="1">
      <c r="A6083" s="66">
        <v>10.94838</v>
      </c>
      <c r="B6083" s="67">
        <v>106.7224</v>
      </c>
      <c r="C6083" s="67">
        <v>10.90835</v>
      </c>
      <c r="D6083" s="67">
        <v>106.7014</v>
      </c>
      <c r="E6083" s="68">
        <v>6.267</v>
      </c>
    </row>
    <row r="6084" ht="22.5" customHeight="1">
      <c r="A6084" s="61">
        <v>10.94838</v>
      </c>
      <c r="B6084" s="63">
        <v>106.7224</v>
      </c>
      <c r="C6084" s="63">
        <v>10.91936</v>
      </c>
      <c r="D6084" s="63">
        <v>106.7125</v>
      </c>
      <c r="E6084" s="64">
        <v>4.561</v>
      </c>
    </row>
    <row r="6085" ht="22.5" customHeight="1">
      <c r="A6085" s="66">
        <v>10.94838</v>
      </c>
      <c r="B6085" s="67">
        <v>106.7224</v>
      </c>
      <c r="C6085" s="67">
        <v>10.92893</v>
      </c>
      <c r="D6085" s="67">
        <v>106.7125</v>
      </c>
      <c r="E6085" s="68">
        <v>4.223</v>
      </c>
    </row>
    <row r="6086" ht="22.5" customHeight="1">
      <c r="A6086" s="61">
        <v>10.94838</v>
      </c>
      <c r="B6086" s="63">
        <v>106.7224</v>
      </c>
      <c r="C6086" s="63">
        <v>10.92897</v>
      </c>
      <c r="D6086" s="63">
        <v>106.712</v>
      </c>
      <c r="E6086" s="64">
        <v>4.502</v>
      </c>
    </row>
    <row r="6087" ht="22.5" customHeight="1">
      <c r="A6087" s="66">
        <v>10.94838</v>
      </c>
      <c r="B6087" s="67">
        <v>106.7224</v>
      </c>
      <c r="C6087" s="67">
        <v>10.93659</v>
      </c>
      <c r="D6087" s="67">
        <v>106.7427</v>
      </c>
      <c r="E6087" s="68">
        <v>3.249</v>
      </c>
    </row>
    <row r="6088" ht="22.5" customHeight="1">
      <c r="A6088" s="61">
        <v>10.94838</v>
      </c>
      <c r="B6088" s="63">
        <v>106.7224</v>
      </c>
      <c r="C6088" s="63">
        <v>10.94228</v>
      </c>
      <c r="D6088" s="63">
        <v>106.725</v>
      </c>
      <c r="E6088" s="64">
        <v>1.133</v>
      </c>
    </row>
    <row r="6089" ht="22.5" customHeight="1">
      <c r="A6089" s="66">
        <v>10.94838</v>
      </c>
      <c r="B6089" s="67">
        <v>106.7224</v>
      </c>
      <c r="C6089" s="67">
        <v>10.9464</v>
      </c>
      <c r="D6089" s="67">
        <v>106.7316</v>
      </c>
      <c r="E6089" s="68">
        <v>1.149</v>
      </c>
    </row>
    <row r="6090" ht="22.5" customHeight="1">
      <c r="A6090" s="61">
        <v>10.94838</v>
      </c>
      <c r="B6090" s="63">
        <v>106.7224</v>
      </c>
      <c r="C6090" s="63">
        <v>10.94876</v>
      </c>
      <c r="D6090" s="63">
        <v>106.6885</v>
      </c>
      <c r="E6090" s="64">
        <v>4.145</v>
      </c>
    </row>
    <row r="6091" ht="22.5" customHeight="1">
      <c r="A6091" s="66">
        <v>10.94838</v>
      </c>
      <c r="B6091" s="67">
        <v>106.7224</v>
      </c>
      <c r="C6091" s="67">
        <v>10.95115</v>
      </c>
      <c r="D6091" s="67">
        <v>106.7072</v>
      </c>
      <c r="E6091" s="68">
        <v>1.769</v>
      </c>
    </row>
    <row r="6092" ht="22.5" customHeight="1">
      <c r="A6092" s="61">
        <v>10.94876</v>
      </c>
      <c r="B6092" s="63">
        <v>106.6885</v>
      </c>
      <c r="C6092" s="63">
        <v>10.85846</v>
      </c>
      <c r="D6092" s="63">
        <v>106.7487</v>
      </c>
      <c r="E6092" s="64">
        <v>14.448</v>
      </c>
    </row>
    <row r="6093" ht="22.5" customHeight="1">
      <c r="A6093" s="66">
        <v>10.94876</v>
      </c>
      <c r="B6093" s="67">
        <v>106.6885</v>
      </c>
      <c r="C6093" s="67">
        <v>10.86826</v>
      </c>
      <c r="D6093" s="67">
        <v>106.7145</v>
      </c>
      <c r="E6093" s="68">
        <v>11.41</v>
      </c>
    </row>
    <row r="6094" ht="22.5" customHeight="1">
      <c r="A6094" s="61">
        <v>10.94876</v>
      </c>
      <c r="B6094" s="63">
        <v>106.6885</v>
      </c>
      <c r="C6094" s="63">
        <v>10.90107</v>
      </c>
      <c r="D6094" s="63">
        <v>106.6983</v>
      </c>
      <c r="E6094" s="64">
        <v>5.914</v>
      </c>
    </row>
    <row r="6095" ht="22.5" customHeight="1">
      <c r="A6095" s="66">
        <v>10.94876</v>
      </c>
      <c r="B6095" s="67">
        <v>106.6885</v>
      </c>
      <c r="C6095" s="67">
        <v>10.90409</v>
      </c>
      <c r="D6095" s="67">
        <v>106.7098</v>
      </c>
      <c r="E6095" s="68">
        <v>6.376</v>
      </c>
    </row>
    <row r="6096" ht="22.5" customHeight="1">
      <c r="A6096" s="61">
        <v>10.94876</v>
      </c>
      <c r="B6096" s="63">
        <v>106.6885</v>
      </c>
      <c r="C6096" s="63">
        <v>10.90416</v>
      </c>
      <c r="D6096" s="63">
        <v>106.7027</v>
      </c>
      <c r="E6096" s="64">
        <v>5.614</v>
      </c>
    </row>
    <row r="6097" ht="22.5" customHeight="1">
      <c r="A6097" s="66">
        <v>10.94876</v>
      </c>
      <c r="B6097" s="67">
        <v>106.6885</v>
      </c>
      <c r="C6097" s="67">
        <v>10.90835</v>
      </c>
      <c r="D6097" s="67">
        <v>106.7014</v>
      </c>
      <c r="E6097" s="68">
        <v>4.855</v>
      </c>
    </row>
    <row r="6098" ht="22.5" customHeight="1">
      <c r="A6098" s="61">
        <v>10.94876</v>
      </c>
      <c r="B6098" s="63">
        <v>106.6885</v>
      </c>
      <c r="C6098" s="63">
        <v>10.90871</v>
      </c>
      <c r="D6098" s="63">
        <v>106.7019</v>
      </c>
      <c r="E6098" s="64">
        <v>4.997</v>
      </c>
    </row>
    <row r="6099" ht="22.5" customHeight="1">
      <c r="A6099" s="66">
        <v>10.94876</v>
      </c>
      <c r="B6099" s="67">
        <v>106.6885</v>
      </c>
      <c r="C6099" s="67">
        <v>10.91936</v>
      </c>
      <c r="D6099" s="67">
        <v>106.7125</v>
      </c>
      <c r="E6099" s="68">
        <v>5.125</v>
      </c>
    </row>
    <row r="6100" ht="22.5" customHeight="1">
      <c r="A6100" s="61">
        <v>10.94876</v>
      </c>
      <c r="B6100" s="63">
        <v>106.6885</v>
      </c>
      <c r="C6100" s="63">
        <v>10.92893</v>
      </c>
      <c r="D6100" s="63">
        <v>106.7125</v>
      </c>
      <c r="E6100" s="64">
        <v>5.299</v>
      </c>
    </row>
    <row r="6101" ht="22.5" customHeight="1">
      <c r="A6101" s="66">
        <v>10.94876</v>
      </c>
      <c r="B6101" s="67">
        <v>106.6885</v>
      </c>
      <c r="C6101" s="67">
        <v>10.93659</v>
      </c>
      <c r="D6101" s="67">
        <v>106.7427</v>
      </c>
      <c r="E6101" s="68">
        <v>7.687</v>
      </c>
    </row>
    <row r="6102" ht="22.5" customHeight="1">
      <c r="A6102" s="61">
        <v>10.94876</v>
      </c>
      <c r="B6102" s="63">
        <v>106.6885</v>
      </c>
      <c r="C6102" s="63">
        <v>10.94228</v>
      </c>
      <c r="D6102" s="63">
        <v>106.725</v>
      </c>
      <c r="E6102" s="64">
        <v>5.319</v>
      </c>
    </row>
    <row r="6103" ht="22.5" customHeight="1">
      <c r="A6103" s="66">
        <v>10.94876</v>
      </c>
      <c r="B6103" s="67">
        <v>106.6885</v>
      </c>
      <c r="C6103" s="67">
        <v>10.94838</v>
      </c>
      <c r="D6103" s="67">
        <v>106.7224</v>
      </c>
      <c r="E6103" s="68">
        <v>4.292</v>
      </c>
    </row>
    <row r="6104" ht="22.5" customHeight="1">
      <c r="A6104" s="61">
        <v>10.94876</v>
      </c>
      <c r="B6104" s="63">
        <v>106.6885</v>
      </c>
      <c r="C6104" s="63">
        <v>10.94876</v>
      </c>
      <c r="D6104" s="63">
        <v>106.6885</v>
      </c>
      <c r="E6104" s="64">
        <v>0.004</v>
      </c>
    </row>
    <row r="6105" ht="22.5" customHeight="1">
      <c r="A6105" s="66">
        <v>10.94876</v>
      </c>
      <c r="B6105" s="67">
        <v>106.6885</v>
      </c>
      <c r="C6105" s="67">
        <v>10.97933</v>
      </c>
      <c r="D6105" s="67">
        <v>106.7402</v>
      </c>
      <c r="E6105" s="68">
        <v>9.923</v>
      </c>
    </row>
    <row r="6106" ht="22.5" customHeight="1">
      <c r="A6106" s="61">
        <v>10.94892</v>
      </c>
      <c r="B6106" s="63">
        <v>106.6883</v>
      </c>
      <c r="C6106" s="63">
        <v>10.9019</v>
      </c>
      <c r="D6106" s="63">
        <v>106.7035</v>
      </c>
      <c r="E6106" s="64">
        <v>6.323</v>
      </c>
    </row>
    <row r="6107" ht="22.5" customHeight="1">
      <c r="A6107" s="66">
        <v>10.94892</v>
      </c>
      <c r="B6107" s="67">
        <v>106.6883</v>
      </c>
      <c r="C6107" s="67">
        <v>10.90416</v>
      </c>
      <c r="D6107" s="67">
        <v>106.7027</v>
      </c>
      <c r="E6107" s="68">
        <v>5.611</v>
      </c>
    </row>
    <row r="6108" ht="22.5" customHeight="1">
      <c r="A6108" s="61">
        <v>10.94892</v>
      </c>
      <c r="B6108" s="63">
        <v>106.6883</v>
      </c>
      <c r="C6108" s="63">
        <v>10.90835</v>
      </c>
      <c r="D6108" s="63">
        <v>106.7014</v>
      </c>
      <c r="E6108" s="64">
        <v>5.003</v>
      </c>
    </row>
    <row r="6109" ht="22.5" customHeight="1">
      <c r="A6109" s="66">
        <v>10.94892</v>
      </c>
      <c r="B6109" s="67">
        <v>106.6883</v>
      </c>
      <c r="C6109" s="67">
        <v>10.92001</v>
      </c>
      <c r="D6109" s="67">
        <v>106.7095</v>
      </c>
      <c r="E6109" s="68">
        <v>5.1</v>
      </c>
    </row>
    <row r="6110" ht="22.5" customHeight="1">
      <c r="A6110" s="61">
        <v>10.94892</v>
      </c>
      <c r="B6110" s="63">
        <v>106.6883</v>
      </c>
      <c r="C6110" s="63">
        <v>10.94228</v>
      </c>
      <c r="D6110" s="63">
        <v>106.725</v>
      </c>
      <c r="E6110" s="64">
        <v>5.323</v>
      </c>
    </row>
    <row r="6111" ht="22.5" customHeight="1">
      <c r="A6111" s="66">
        <v>10.94892</v>
      </c>
      <c r="B6111" s="67">
        <v>106.6883</v>
      </c>
      <c r="C6111" s="67">
        <v>10.94838</v>
      </c>
      <c r="D6111" s="67">
        <v>106.7224</v>
      </c>
      <c r="E6111" s="68">
        <v>4.333</v>
      </c>
    </row>
    <row r="6112" ht="22.5" customHeight="1">
      <c r="A6112" s="61">
        <v>10.95115</v>
      </c>
      <c r="B6112" s="63">
        <v>106.7072</v>
      </c>
      <c r="C6112" s="63">
        <v>10.77509</v>
      </c>
      <c r="D6112" s="63">
        <v>106.6727</v>
      </c>
      <c r="E6112" s="64">
        <v>24.39</v>
      </c>
    </row>
    <row r="6113" ht="22.5" customHeight="1">
      <c r="A6113" s="66">
        <v>10.95115</v>
      </c>
      <c r="B6113" s="67">
        <v>106.7072</v>
      </c>
      <c r="C6113" s="67">
        <v>10.86826</v>
      </c>
      <c r="D6113" s="67">
        <v>106.7145</v>
      </c>
      <c r="E6113" s="68">
        <v>11.084</v>
      </c>
    </row>
    <row r="6114" ht="22.5" customHeight="1">
      <c r="A6114" s="61">
        <v>10.95115</v>
      </c>
      <c r="B6114" s="63">
        <v>106.7072</v>
      </c>
      <c r="C6114" s="63">
        <v>10.88979</v>
      </c>
      <c r="D6114" s="63">
        <v>106.7399</v>
      </c>
      <c r="E6114" s="64">
        <v>11.036</v>
      </c>
    </row>
    <row r="6115" ht="22.5" customHeight="1">
      <c r="A6115" s="66">
        <v>10.95115</v>
      </c>
      <c r="B6115" s="67">
        <v>106.7072</v>
      </c>
      <c r="C6115" s="67">
        <v>10.90835</v>
      </c>
      <c r="D6115" s="67">
        <v>106.7014</v>
      </c>
      <c r="E6115" s="68">
        <v>5.478</v>
      </c>
    </row>
    <row r="6116" ht="22.5" customHeight="1">
      <c r="A6116" s="61">
        <v>10.95115</v>
      </c>
      <c r="B6116" s="63">
        <v>106.7072</v>
      </c>
      <c r="C6116" s="63">
        <v>10.90871</v>
      </c>
      <c r="D6116" s="63">
        <v>106.7019</v>
      </c>
      <c r="E6116" s="64">
        <v>6.344</v>
      </c>
    </row>
    <row r="6117" ht="22.5" customHeight="1">
      <c r="A6117" s="66">
        <v>10.95115</v>
      </c>
      <c r="B6117" s="67">
        <v>106.7072</v>
      </c>
      <c r="C6117" s="67">
        <v>10.91936</v>
      </c>
      <c r="D6117" s="67">
        <v>106.7125</v>
      </c>
      <c r="E6117" s="68">
        <v>3.801</v>
      </c>
    </row>
    <row r="6118" ht="22.5" customHeight="1">
      <c r="A6118" s="61">
        <v>10.95115</v>
      </c>
      <c r="B6118" s="63">
        <v>106.7072</v>
      </c>
      <c r="C6118" s="63">
        <v>10.92001</v>
      </c>
      <c r="D6118" s="63">
        <v>106.7095</v>
      </c>
      <c r="E6118" s="64">
        <v>4.071</v>
      </c>
    </row>
    <row r="6119" ht="22.5" customHeight="1">
      <c r="A6119" s="66">
        <v>10.95115</v>
      </c>
      <c r="B6119" s="67">
        <v>106.7072</v>
      </c>
      <c r="C6119" s="67">
        <v>10.92645</v>
      </c>
      <c r="D6119" s="67">
        <v>106.7121</v>
      </c>
      <c r="E6119" s="68">
        <v>2.934</v>
      </c>
    </row>
    <row r="6120" ht="22.5" customHeight="1">
      <c r="A6120" s="61">
        <v>10.95115</v>
      </c>
      <c r="B6120" s="63">
        <v>106.7072</v>
      </c>
      <c r="C6120" s="63">
        <v>10.92893</v>
      </c>
      <c r="D6120" s="63">
        <v>106.7125</v>
      </c>
      <c r="E6120" s="64">
        <v>2.731</v>
      </c>
    </row>
    <row r="6121" ht="22.5" customHeight="1">
      <c r="A6121" s="66">
        <v>10.95115</v>
      </c>
      <c r="B6121" s="67">
        <v>106.7072</v>
      </c>
      <c r="C6121" s="67">
        <v>10.92897</v>
      </c>
      <c r="D6121" s="67">
        <v>106.712</v>
      </c>
      <c r="E6121" s="68">
        <v>2.76</v>
      </c>
    </row>
    <row r="6122" ht="22.5" customHeight="1">
      <c r="A6122" s="61">
        <v>10.95115</v>
      </c>
      <c r="B6122" s="63">
        <v>106.7072</v>
      </c>
      <c r="C6122" s="63">
        <v>10.94228</v>
      </c>
      <c r="D6122" s="63">
        <v>106.725</v>
      </c>
      <c r="E6122" s="64">
        <v>2.773</v>
      </c>
    </row>
    <row r="6123" ht="22.5" customHeight="1">
      <c r="A6123" s="66">
        <v>10.95115</v>
      </c>
      <c r="B6123" s="67">
        <v>106.7072</v>
      </c>
      <c r="C6123" s="67">
        <v>10.94838</v>
      </c>
      <c r="D6123" s="67">
        <v>106.7224</v>
      </c>
      <c r="E6123" s="68">
        <v>1.791</v>
      </c>
    </row>
    <row r="6124" ht="22.5" customHeight="1">
      <c r="A6124" s="61">
        <v>10.95115</v>
      </c>
      <c r="B6124" s="63">
        <v>106.7072</v>
      </c>
      <c r="C6124" s="63">
        <v>10.94876</v>
      </c>
      <c r="D6124" s="63">
        <v>106.6885</v>
      </c>
      <c r="E6124" s="64">
        <v>2.4</v>
      </c>
    </row>
    <row r="6125" ht="22.5" customHeight="1">
      <c r="A6125" s="66">
        <v>10.95115</v>
      </c>
      <c r="B6125" s="67">
        <v>106.7072</v>
      </c>
      <c r="C6125" s="67">
        <v>10.94892</v>
      </c>
      <c r="D6125" s="67">
        <v>106.6883</v>
      </c>
      <c r="E6125" s="68">
        <v>2.47</v>
      </c>
    </row>
    <row r="6126" ht="22.5" customHeight="1">
      <c r="A6126" s="61">
        <v>10.95115</v>
      </c>
      <c r="B6126" s="63">
        <v>106.7072</v>
      </c>
      <c r="C6126" s="63">
        <v>10.95115</v>
      </c>
      <c r="D6126" s="63">
        <v>106.7072</v>
      </c>
      <c r="E6126" s="64">
        <v>0.0</v>
      </c>
    </row>
    <row r="6127" ht="22.5" customHeight="1">
      <c r="A6127" s="66">
        <v>10.95115</v>
      </c>
      <c r="B6127" s="67">
        <v>106.7072</v>
      </c>
      <c r="C6127" s="67">
        <v>10.96776</v>
      </c>
      <c r="D6127" s="67">
        <v>106.7421</v>
      </c>
      <c r="E6127" s="68">
        <v>5.277</v>
      </c>
    </row>
    <row r="6128" ht="22.5" customHeight="1">
      <c r="A6128" s="61">
        <v>10.95268</v>
      </c>
      <c r="B6128" s="63">
        <v>106.8679</v>
      </c>
      <c r="C6128" s="63">
        <v>10.90181</v>
      </c>
      <c r="D6128" s="63">
        <v>106.8523</v>
      </c>
      <c r="E6128" s="64">
        <v>7.135</v>
      </c>
    </row>
    <row r="6129" ht="22.5" customHeight="1">
      <c r="A6129" s="66">
        <v>10.95268</v>
      </c>
      <c r="B6129" s="67">
        <v>106.8679</v>
      </c>
      <c r="C6129" s="67">
        <v>10.93313</v>
      </c>
      <c r="D6129" s="67">
        <v>106.877</v>
      </c>
      <c r="E6129" s="68">
        <v>3.46</v>
      </c>
    </row>
    <row r="6130" ht="22.5" customHeight="1">
      <c r="A6130" s="61">
        <v>10.95268</v>
      </c>
      <c r="B6130" s="63">
        <v>106.8679</v>
      </c>
      <c r="C6130" s="63">
        <v>10.93753</v>
      </c>
      <c r="D6130" s="63">
        <v>106.804</v>
      </c>
      <c r="E6130" s="64">
        <v>9.434</v>
      </c>
    </row>
    <row r="6131" ht="22.5" customHeight="1">
      <c r="A6131" s="66">
        <v>10.95268</v>
      </c>
      <c r="B6131" s="67">
        <v>106.8679</v>
      </c>
      <c r="C6131" s="67">
        <v>10.94731</v>
      </c>
      <c r="D6131" s="67">
        <v>106.8284</v>
      </c>
      <c r="E6131" s="68">
        <v>5.971</v>
      </c>
    </row>
    <row r="6132" ht="22.5" customHeight="1">
      <c r="A6132" s="61">
        <v>10.95268</v>
      </c>
      <c r="B6132" s="63">
        <v>106.8679</v>
      </c>
      <c r="C6132" s="63">
        <v>10.94783</v>
      </c>
      <c r="D6132" s="63">
        <v>106.8285</v>
      </c>
      <c r="E6132" s="64">
        <v>6.087</v>
      </c>
    </row>
    <row r="6133" ht="22.5" customHeight="1">
      <c r="A6133" s="66">
        <v>10.95268</v>
      </c>
      <c r="B6133" s="67">
        <v>106.8679</v>
      </c>
      <c r="C6133" s="67">
        <v>10.95268</v>
      </c>
      <c r="D6133" s="67">
        <v>106.8679</v>
      </c>
      <c r="E6133" s="68">
        <v>0.396</v>
      </c>
    </row>
    <row r="6134" ht="22.5" customHeight="1">
      <c r="A6134" s="61">
        <v>10.95268</v>
      </c>
      <c r="B6134" s="63">
        <v>106.8679</v>
      </c>
      <c r="C6134" s="63">
        <v>10.9541</v>
      </c>
      <c r="D6134" s="63">
        <v>106.8685</v>
      </c>
      <c r="E6134" s="64">
        <v>0.432</v>
      </c>
    </row>
    <row r="6135" ht="22.5" customHeight="1">
      <c r="A6135" s="66">
        <v>10.95268</v>
      </c>
      <c r="B6135" s="67">
        <v>106.8679</v>
      </c>
      <c r="C6135" s="67">
        <v>10.9562</v>
      </c>
      <c r="D6135" s="67">
        <v>106.8744</v>
      </c>
      <c r="E6135" s="68">
        <v>1.061</v>
      </c>
    </row>
    <row r="6136" ht="22.5" customHeight="1">
      <c r="A6136" s="61">
        <v>10.95268</v>
      </c>
      <c r="B6136" s="63">
        <v>106.8679</v>
      </c>
      <c r="C6136" s="63">
        <v>10.95634</v>
      </c>
      <c r="D6136" s="63">
        <v>106.8054</v>
      </c>
      <c r="E6136" s="64">
        <v>7.916</v>
      </c>
    </row>
    <row r="6137" ht="22.5" customHeight="1">
      <c r="A6137" s="66">
        <v>10.95268</v>
      </c>
      <c r="B6137" s="67">
        <v>106.8679</v>
      </c>
      <c r="C6137" s="67">
        <v>10.95947</v>
      </c>
      <c r="D6137" s="67">
        <v>106.8433</v>
      </c>
      <c r="E6137" s="68">
        <v>3.869</v>
      </c>
    </row>
    <row r="6138" ht="22.5" customHeight="1">
      <c r="A6138" s="61">
        <v>10.95268</v>
      </c>
      <c r="B6138" s="63">
        <v>106.8679</v>
      </c>
      <c r="C6138" s="63">
        <v>10.96281</v>
      </c>
      <c r="D6138" s="63">
        <v>106.8871</v>
      </c>
      <c r="E6138" s="64">
        <v>2.877</v>
      </c>
    </row>
    <row r="6139" ht="22.5" customHeight="1">
      <c r="A6139" s="66">
        <v>10.95268</v>
      </c>
      <c r="B6139" s="67">
        <v>106.8679</v>
      </c>
      <c r="C6139" s="67">
        <v>10.97366</v>
      </c>
      <c r="D6139" s="67">
        <v>106.8519</v>
      </c>
      <c r="E6139" s="68">
        <v>4.2</v>
      </c>
    </row>
    <row r="6140" ht="22.5" customHeight="1">
      <c r="A6140" s="61">
        <v>10.95268</v>
      </c>
      <c r="B6140" s="63">
        <v>106.8679</v>
      </c>
      <c r="C6140" s="63">
        <v>10.98353</v>
      </c>
      <c r="D6140" s="63">
        <v>106.9093</v>
      </c>
      <c r="E6140" s="64">
        <v>6.399</v>
      </c>
    </row>
    <row r="6141" ht="22.5" customHeight="1">
      <c r="A6141" s="66">
        <v>10.95268</v>
      </c>
      <c r="B6141" s="67">
        <v>106.8679</v>
      </c>
      <c r="C6141" s="67">
        <v>10.9893</v>
      </c>
      <c r="D6141" s="67">
        <v>106.8786</v>
      </c>
      <c r="E6141" s="68">
        <v>7.052</v>
      </c>
    </row>
    <row r="6142" ht="22.5" customHeight="1">
      <c r="A6142" s="61">
        <v>10.95268</v>
      </c>
      <c r="B6142" s="63">
        <v>106.8679</v>
      </c>
      <c r="C6142" s="63">
        <v>11.01129</v>
      </c>
      <c r="D6142" s="63">
        <v>106.8386</v>
      </c>
      <c r="E6142" s="64">
        <v>8.867</v>
      </c>
    </row>
    <row r="6143" ht="22.5" customHeight="1">
      <c r="A6143" s="66">
        <v>10.95275</v>
      </c>
      <c r="B6143" s="67">
        <v>106.8668</v>
      </c>
      <c r="C6143" s="67">
        <v>10.90181</v>
      </c>
      <c r="D6143" s="67">
        <v>106.8523</v>
      </c>
      <c r="E6143" s="68">
        <v>7.279</v>
      </c>
    </row>
    <row r="6144" ht="22.5" customHeight="1">
      <c r="A6144" s="61">
        <v>10.95275</v>
      </c>
      <c r="B6144" s="63">
        <v>106.8668</v>
      </c>
      <c r="C6144" s="63">
        <v>10.90769</v>
      </c>
      <c r="D6144" s="63">
        <v>106.89</v>
      </c>
      <c r="E6144" s="64">
        <v>6.489</v>
      </c>
    </row>
    <row r="6145" ht="22.5" customHeight="1">
      <c r="A6145" s="66">
        <v>10.95275</v>
      </c>
      <c r="B6145" s="67">
        <v>106.8668</v>
      </c>
      <c r="C6145" s="67">
        <v>10.9333</v>
      </c>
      <c r="D6145" s="67">
        <v>106.8542</v>
      </c>
      <c r="E6145" s="68">
        <v>4.118</v>
      </c>
    </row>
    <row r="6146" ht="22.5" customHeight="1">
      <c r="A6146" s="61">
        <v>10.95275</v>
      </c>
      <c r="B6146" s="63">
        <v>106.8668</v>
      </c>
      <c r="C6146" s="63">
        <v>10.94731</v>
      </c>
      <c r="D6146" s="63">
        <v>106.8284</v>
      </c>
      <c r="E6146" s="64">
        <v>5.782</v>
      </c>
    </row>
    <row r="6147" ht="22.5" customHeight="1">
      <c r="A6147" s="66">
        <v>10.95275</v>
      </c>
      <c r="B6147" s="67">
        <v>106.8668</v>
      </c>
      <c r="C6147" s="67">
        <v>10.9893</v>
      </c>
      <c r="D6147" s="67">
        <v>106.8786</v>
      </c>
      <c r="E6147" s="68">
        <v>7.305</v>
      </c>
    </row>
    <row r="6148" ht="22.5" customHeight="1">
      <c r="A6148" s="61">
        <v>10.9541</v>
      </c>
      <c r="B6148" s="63">
        <v>106.8685</v>
      </c>
      <c r="C6148" s="63">
        <v>10.90181</v>
      </c>
      <c r="D6148" s="63">
        <v>106.8523</v>
      </c>
      <c r="E6148" s="64">
        <v>7.601</v>
      </c>
    </row>
    <row r="6149" ht="22.5" customHeight="1">
      <c r="A6149" s="66">
        <v>10.9541</v>
      </c>
      <c r="B6149" s="67">
        <v>106.8685</v>
      </c>
      <c r="C6149" s="67">
        <v>10.90769</v>
      </c>
      <c r="D6149" s="67">
        <v>106.89</v>
      </c>
      <c r="E6149" s="68">
        <v>6.509</v>
      </c>
    </row>
    <row r="6150" ht="22.5" customHeight="1">
      <c r="A6150" s="61">
        <v>10.9541</v>
      </c>
      <c r="B6150" s="63">
        <v>106.8685</v>
      </c>
      <c r="C6150" s="63">
        <v>10.93753</v>
      </c>
      <c r="D6150" s="63">
        <v>106.804</v>
      </c>
      <c r="E6150" s="64">
        <v>9.737</v>
      </c>
    </row>
    <row r="6151" ht="22.5" customHeight="1">
      <c r="A6151" s="66">
        <v>10.9541</v>
      </c>
      <c r="B6151" s="67">
        <v>106.8685</v>
      </c>
      <c r="C6151" s="67">
        <v>10.94731</v>
      </c>
      <c r="D6151" s="67">
        <v>106.8284</v>
      </c>
      <c r="E6151" s="68">
        <v>5.23</v>
      </c>
    </row>
    <row r="6152" ht="22.5" customHeight="1">
      <c r="A6152" s="61">
        <v>10.9541</v>
      </c>
      <c r="B6152" s="63">
        <v>106.8685</v>
      </c>
      <c r="C6152" s="63">
        <v>10.94783</v>
      </c>
      <c r="D6152" s="63">
        <v>106.8285</v>
      </c>
      <c r="E6152" s="64">
        <v>5.716</v>
      </c>
    </row>
    <row r="6153" ht="22.5" customHeight="1">
      <c r="A6153" s="66">
        <v>10.9541</v>
      </c>
      <c r="B6153" s="67">
        <v>106.8685</v>
      </c>
      <c r="C6153" s="67">
        <v>10.95268</v>
      </c>
      <c r="D6153" s="67">
        <v>106.8679</v>
      </c>
      <c r="E6153" s="68">
        <v>0.54</v>
      </c>
    </row>
    <row r="6154" ht="22.5" customHeight="1">
      <c r="A6154" s="61">
        <v>10.9541</v>
      </c>
      <c r="B6154" s="63">
        <v>106.8685</v>
      </c>
      <c r="C6154" s="63">
        <v>10.96172</v>
      </c>
      <c r="D6154" s="63">
        <v>106.835</v>
      </c>
      <c r="E6154" s="64">
        <v>4.534</v>
      </c>
    </row>
    <row r="6155" ht="22.5" customHeight="1">
      <c r="A6155" s="66">
        <v>10.9541</v>
      </c>
      <c r="B6155" s="67">
        <v>106.8685</v>
      </c>
      <c r="C6155" s="67">
        <v>10.96206</v>
      </c>
      <c r="D6155" s="67">
        <v>106.8349</v>
      </c>
      <c r="E6155" s="68">
        <v>5.463</v>
      </c>
    </row>
    <row r="6156" ht="22.5" customHeight="1">
      <c r="A6156" s="61">
        <v>10.9541</v>
      </c>
      <c r="B6156" s="63">
        <v>106.8685</v>
      </c>
      <c r="C6156" s="63">
        <v>10.96281</v>
      </c>
      <c r="D6156" s="63">
        <v>106.8871</v>
      </c>
      <c r="E6156" s="64">
        <v>3.152</v>
      </c>
    </row>
    <row r="6157" ht="22.5" customHeight="1">
      <c r="A6157" s="66">
        <v>10.9541</v>
      </c>
      <c r="B6157" s="67">
        <v>106.8685</v>
      </c>
      <c r="C6157" s="67">
        <v>10.98353</v>
      </c>
      <c r="D6157" s="67">
        <v>106.9093</v>
      </c>
      <c r="E6157" s="68">
        <v>6.509</v>
      </c>
    </row>
    <row r="6158" ht="22.5" customHeight="1">
      <c r="A6158" s="61">
        <v>10.9541</v>
      </c>
      <c r="B6158" s="63">
        <v>106.8685</v>
      </c>
      <c r="C6158" s="63">
        <v>10.9893</v>
      </c>
      <c r="D6158" s="63">
        <v>106.8786</v>
      </c>
      <c r="E6158" s="64">
        <v>7.08</v>
      </c>
    </row>
    <row r="6159" ht="22.5" customHeight="1">
      <c r="A6159" s="66">
        <v>10.9541</v>
      </c>
      <c r="B6159" s="67">
        <v>106.8685</v>
      </c>
      <c r="C6159" s="67">
        <v>11.01129</v>
      </c>
      <c r="D6159" s="67">
        <v>106.8386</v>
      </c>
      <c r="E6159" s="68">
        <v>8.589</v>
      </c>
    </row>
    <row r="6160" ht="22.5" customHeight="1">
      <c r="A6160" s="61">
        <v>10.95422</v>
      </c>
      <c r="B6160" s="63">
        <v>106.825</v>
      </c>
      <c r="C6160" s="63">
        <v>10.94731</v>
      </c>
      <c r="D6160" s="63">
        <v>106.8284</v>
      </c>
      <c r="E6160" s="64">
        <v>1.641</v>
      </c>
    </row>
    <row r="6161" ht="22.5" customHeight="1">
      <c r="A6161" s="66">
        <v>10.95577</v>
      </c>
      <c r="B6161" s="67">
        <v>106.8647</v>
      </c>
      <c r="C6161" s="67">
        <v>10.94731</v>
      </c>
      <c r="D6161" s="67">
        <v>106.8284</v>
      </c>
      <c r="E6161" s="68">
        <v>5.228</v>
      </c>
    </row>
    <row r="6162" ht="22.5" customHeight="1">
      <c r="A6162" s="61">
        <v>10.95619</v>
      </c>
      <c r="B6162" s="63">
        <v>106.8744</v>
      </c>
      <c r="C6162" s="63">
        <v>10.90769</v>
      </c>
      <c r="D6162" s="63">
        <v>106.89</v>
      </c>
      <c r="E6162" s="64">
        <v>6.438</v>
      </c>
    </row>
    <row r="6163" ht="22.5" customHeight="1">
      <c r="A6163" s="66">
        <v>10.9562</v>
      </c>
      <c r="B6163" s="67">
        <v>106.8744</v>
      </c>
      <c r="C6163" s="67">
        <v>10.90181</v>
      </c>
      <c r="D6163" s="67">
        <v>106.8523</v>
      </c>
      <c r="E6163" s="68">
        <v>7.362</v>
      </c>
    </row>
    <row r="6164" ht="22.5" customHeight="1">
      <c r="A6164" s="61">
        <v>10.9562</v>
      </c>
      <c r="B6164" s="63">
        <v>106.8744</v>
      </c>
      <c r="C6164" s="63">
        <v>10.94731</v>
      </c>
      <c r="D6164" s="63">
        <v>106.8284</v>
      </c>
      <c r="E6164" s="64">
        <v>6.8</v>
      </c>
    </row>
    <row r="6165" ht="22.5" customHeight="1">
      <c r="A6165" s="66">
        <v>10.9562</v>
      </c>
      <c r="B6165" s="67">
        <v>106.8744</v>
      </c>
      <c r="C6165" s="67">
        <v>10.94783</v>
      </c>
      <c r="D6165" s="67">
        <v>106.8285</v>
      </c>
      <c r="E6165" s="68">
        <v>6.832</v>
      </c>
    </row>
    <row r="6166" ht="22.5" customHeight="1">
      <c r="A6166" s="61">
        <v>10.9562</v>
      </c>
      <c r="B6166" s="63">
        <v>106.8744</v>
      </c>
      <c r="C6166" s="63">
        <v>10.95268</v>
      </c>
      <c r="D6166" s="63">
        <v>106.8679</v>
      </c>
      <c r="E6166" s="64">
        <v>1.163</v>
      </c>
    </row>
    <row r="6167" ht="22.5" customHeight="1">
      <c r="A6167" s="66">
        <v>10.9562</v>
      </c>
      <c r="B6167" s="67">
        <v>106.8744</v>
      </c>
      <c r="C6167" s="67">
        <v>10.9541</v>
      </c>
      <c r="D6167" s="67">
        <v>106.8685</v>
      </c>
      <c r="E6167" s="68">
        <v>1.11</v>
      </c>
    </row>
    <row r="6168" ht="22.5" customHeight="1">
      <c r="A6168" s="61">
        <v>10.9562</v>
      </c>
      <c r="B6168" s="63">
        <v>106.8744</v>
      </c>
      <c r="C6168" s="63">
        <v>10.95634</v>
      </c>
      <c r="D6168" s="63">
        <v>106.8054</v>
      </c>
      <c r="E6168" s="64">
        <v>9.267</v>
      </c>
    </row>
    <row r="6169" ht="22.5" customHeight="1">
      <c r="A6169" s="66">
        <v>10.9562</v>
      </c>
      <c r="B6169" s="67">
        <v>106.8744</v>
      </c>
      <c r="C6169" s="67">
        <v>10.96172</v>
      </c>
      <c r="D6169" s="67">
        <v>106.835</v>
      </c>
      <c r="E6169" s="68">
        <v>6.339</v>
      </c>
    </row>
    <row r="6170" ht="22.5" customHeight="1">
      <c r="A6170" s="61">
        <v>10.9562</v>
      </c>
      <c r="B6170" s="63">
        <v>106.8744</v>
      </c>
      <c r="C6170" s="63">
        <v>10.96281</v>
      </c>
      <c r="D6170" s="63">
        <v>106.8871</v>
      </c>
      <c r="E6170" s="64">
        <v>3.012</v>
      </c>
    </row>
    <row r="6171" ht="22.5" customHeight="1">
      <c r="A6171" s="66">
        <v>10.9562</v>
      </c>
      <c r="B6171" s="67">
        <v>106.8744</v>
      </c>
      <c r="C6171" s="67">
        <v>10.96715</v>
      </c>
      <c r="D6171" s="67">
        <v>106.9003</v>
      </c>
      <c r="E6171" s="68">
        <v>5.2</v>
      </c>
    </row>
    <row r="6172" ht="22.5" customHeight="1">
      <c r="A6172" s="61">
        <v>10.95634</v>
      </c>
      <c r="B6172" s="63">
        <v>106.8054</v>
      </c>
      <c r="C6172" s="63">
        <v>10.90181</v>
      </c>
      <c r="D6172" s="63">
        <v>106.8523</v>
      </c>
      <c r="E6172" s="64">
        <v>9.154</v>
      </c>
    </row>
    <row r="6173" ht="22.5" customHeight="1">
      <c r="A6173" s="66">
        <v>10.95634</v>
      </c>
      <c r="B6173" s="67">
        <v>106.8054</v>
      </c>
      <c r="C6173" s="67">
        <v>10.93313</v>
      </c>
      <c r="D6173" s="67">
        <v>106.877</v>
      </c>
      <c r="E6173" s="68">
        <v>9.457</v>
      </c>
    </row>
    <row r="6174" ht="22.5" customHeight="1">
      <c r="A6174" s="61">
        <v>10.95634</v>
      </c>
      <c r="B6174" s="63">
        <v>106.8054</v>
      </c>
      <c r="C6174" s="63">
        <v>10.93487</v>
      </c>
      <c r="D6174" s="63">
        <v>106.8057</v>
      </c>
      <c r="E6174" s="64">
        <v>3.361</v>
      </c>
    </row>
    <row r="6175" ht="22.5" customHeight="1">
      <c r="A6175" s="66">
        <v>10.95634</v>
      </c>
      <c r="B6175" s="67">
        <v>106.8054</v>
      </c>
      <c r="C6175" s="67">
        <v>10.93753</v>
      </c>
      <c r="D6175" s="67">
        <v>106.804</v>
      </c>
      <c r="E6175" s="68">
        <v>2.584</v>
      </c>
    </row>
    <row r="6176" ht="22.5" customHeight="1">
      <c r="A6176" s="61">
        <v>10.95634</v>
      </c>
      <c r="B6176" s="63">
        <v>106.8054</v>
      </c>
      <c r="C6176" s="63">
        <v>10.94731</v>
      </c>
      <c r="D6176" s="63">
        <v>106.8284</v>
      </c>
      <c r="E6176" s="64">
        <v>3.554</v>
      </c>
    </row>
    <row r="6177" ht="22.5" customHeight="1">
      <c r="A6177" s="66">
        <v>10.95634</v>
      </c>
      <c r="B6177" s="67">
        <v>106.8054</v>
      </c>
      <c r="C6177" s="67">
        <v>10.94783</v>
      </c>
      <c r="D6177" s="67">
        <v>106.8285</v>
      </c>
      <c r="E6177" s="68">
        <v>3.743</v>
      </c>
    </row>
    <row r="6178" ht="22.5" customHeight="1">
      <c r="A6178" s="61">
        <v>10.95634</v>
      </c>
      <c r="B6178" s="63">
        <v>106.8054</v>
      </c>
      <c r="C6178" s="63">
        <v>10.95268</v>
      </c>
      <c r="D6178" s="63">
        <v>106.8679</v>
      </c>
      <c r="E6178" s="64">
        <v>7.791</v>
      </c>
    </row>
    <row r="6179" ht="22.5" customHeight="1">
      <c r="A6179" s="66">
        <v>10.95634</v>
      </c>
      <c r="B6179" s="67">
        <v>106.8054</v>
      </c>
      <c r="C6179" s="67">
        <v>10.95275</v>
      </c>
      <c r="D6179" s="67">
        <v>106.8668</v>
      </c>
      <c r="E6179" s="68">
        <v>7.827</v>
      </c>
    </row>
    <row r="6180" ht="22.5" customHeight="1">
      <c r="A6180" s="61">
        <v>10.95634</v>
      </c>
      <c r="B6180" s="63">
        <v>106.8054</v>
      </c>
      <c r="C6180" s="63">
        <v>10.9541</v>
      </c>
      <c r="D6180" s="63">
        <v>106.8685</v>
      </c>
      <c r="E6180" s="64">
        <v>8.02</v>
      </c>
    </row>
    <row r="6181" ht="22.5" customHeight="1">
      <c r="A6181" s="66">
        <v>10.95634</v>
      </c>
      <c r="B6181" s="67">
        <v>106.8054</v>
      </c>
      <c r="C6181" s="67">
        <v>10.9562</v>
      </c>
      <c r="D6181" s="67">
        <v>106.8744</v>
      </c>
      <c r="E6181" s="68">
        <v>9.241</v>
      </c>
    </row>
    <row r="6182" ht="22.5" customHeight="1">
      <c r="A6182" s="61">
        <v>10.95634</v>
      </c>
      <c r="B6182" s="63">
        <v>106.8054</v>
      </c>
      <c r="C6182" s="63">
        <v>10.95634</v>
      </c>
      <c r="D6182" s="63">
        <v>106.8054</v>
      </c>
      <c r="E6182" s="64">
        <v>0.0</v>
      </c>
    </row>
    <row r="6183" ht="22.5" customHeight="1">
      <c r="A6183" s="66">
        <v>10.95634</v>
      </c>
      <c r="B6183" s="67">
        <v>106.8054</v>
      </c>
      <c r="C6183" s="67">
        <v>10.95947</v>
      </c>
      <c r="D6183" s="67">
        <v>106.8433</v>
      </c>
      <c r="E6183" s="68">
        <v>5.037</v>
      </c>
    </row>
    <row r="6184" ht="22.5" customHeight="1">
      <c r="A6184" s="61">
        <v>10.95634</v>
      </c>
      <c r="B6184" s="63">
        <v>106.8054</v>
      </c>
      <c r="C6184" s="63">
        <v>10.97366</v>
      </c>
      <c r="D6184" s="63">
        <v>106.8519</v>
      </c>
      <c r="E6184" s="64">
        <v>7.118</v>
      </c>
    </row>
    <row r="6185" ht="22.5" customHeight="1">
      <c r="A6185" s="66">
        <v>10.95634</v>
      </c>
      <c r="B6185" s="67">
        <v>106.8054</v>
      </c>
      <c r="C6185" s="67">
        <v>10.9893</v>
      </c>
      <c r="D6185" s="67">
        <v>106.8786</v>
      </c>
      <c r="E6185" s="68">
        <v>10.513</v>
      </c>
    </row>
    <row r="6186" ht="22.5" customHeight="1">
      <c r="A6186" s="61">
        <v>10.9576</v>
      </c>
      <c r="B6186" s="63">
        <v>106.8585</v>
      </c>
      <c r="C6186" s="63">
        <v>10.94731</v>
      </c>
      <c r="D6186" s="63">
        <v>106.8284</v>
      </c>
      <c r="E6186" s="64">
        <v>5.034</v>
      </c>
    </row>
    <row r="6187" ht="22.5" customHeight="1">
      <c r="A6187" s="66">
        <v>10.95847</v>
      </c>
      <c r="B6187" s="67">
        <v>106.716</v>
      </c>
      <c r="C6187" s="67">
        <v>10.90835</v>
      </c>
      <c r="D6187" s="67">
        <v>106.7014</v>
      </c>
      <c r="E6187" s="68">
        <v>8.166</v>
      </c>
    </row>
    <row r="6188" ht="22.5" customHeight="1">
      <c r="A6188" s="61">
        <v>10.95947</v>
      </c>
      <c r="B6188" s="63">
        <v>106.8433</v>
      </c>
      <c r="C6188" s="63">
        <v>10.90181</v>
      </c>
      <c r="D6188" s="63">
        <v>106.8523</v>
      </c>
      <c r="E6188" s="64">
        <v>9.366</v>
      </c>
    </row>
    <row r="6189" ht="22.5" customHeight="1">
      <c r="A6189" s="66">
        <v>10.95947</v>
      </c>
      <c r="B6189" s="67">
        <v>106.8433</v>
      </c>
      <c r="C6189" s="67">
        <v>10.93313</v>
      </c>
      <c r="D6189" s="67">
        <v>106.877</v>
      </c>
      <c r="E6189" s="68">
        <v>5.394</v>
      </c>
    </row>
    <row r="6190" ht="22.5" customHeight="1">
      <c r="A6190" s="61">
        <v>10.95947</v>
      </c>
      <c r="B6190" s="63">
        <v>106.8433</v>
      </c>
      <c r="C6190" s="63">
        <v>10.93753</v>
      </c>
      <c r="D6190" s="63">
        <v>106.804</v>
      </c>
      <c r="E6190" s="64">
        <v>6.121</v>
      </c>
    </row>
    <row r="6191" ht="22.5" customHeight="1">
      <c r="A6191" s="66">
        <v>10.95947</v>
      </c>
      <c r="B6191" s="67">
        <v>106.8433</v>
      </c>
      <c r="C6191" s="67">
        <v>10.94731</v>
      </c>
      <c r="D6191" s="67">
        <v>106.8284</v>
      </c>
      <c r="E6191" s="68">
        <v>2.487</v>
      </c>
    </row>
    <row r="6192" ht="22.5" customHeight="1">
      <c r="A6192" s="61">
        <v>10.95947</v>
      </c>
      <c r="B6192" s="63">
        <v>106.8433</v>
      </c>
      <c r="C6192" s="63">
        <v>10.95634</v>
      </c>
      <c r="D6192" s="63">
        <v>106.8054</v>
      </c>
      <c r="E6192" s="64">
        <v>4.466</v>
      </c>
    </row>
    <row r="6193" ht="22.5" customHeight="1">
      <c r="A6193" s="66">
        <v>10.95947</v>
      </c>
      <c r="B6193" s="67">
        <v>106.8433</v>
      </c>
      <c r="C6193" s="67">
        <v>10.96172</v>
      </c>
      <c r="D6193" s="67">
        <v>106.835</v>
      </c>
      <c r="E6193" s="68">
        <v>2.11</v>
      </c>
    </row>
    <row r="6194" ht="22.5" customHeight="1">
      <c r="A6194" s="61">
        <v>10.95947</v>
      </c>
      <c r="B6194" s="63">
        <v>106.8433</v>
      </c>
      <c r="C6194" s="63">
        <v>10.96281</v>
      </c>
      <c r="D6194" s="63">
        <v>106.8871</v>
      </c>
      <c r="E6194" s="64">
        <v>5.858</v>
      </c>
    </row>
    <row r="6195" ht="22.5" customHeight="1">
      <c r="A6195" s="66">
        <v>10.95947</v>
      </c>
      <c r="B6195" s="67">
        <v>106.8433</v>
      </c>
      <c r="C6195" s="67">
        <v>10.9893</v>
      </c>
      <c r="D6195" s="67">
        <v>106.8786</v>
      </c>
      <c r="E6195" s="68">
        <v>6.418</v>
      </c>
    </row>
    <row r="6196" ht="22.5" customHeight="1">
      <c r="A6196" s="61">
        <v>10.96172</v>
      </c>
      <c r="B6196" s="63">
        <v>106.835</v>
      </c>
      <c r="C6196" s="63">
        <v>10.94731</v>
      </c>
      <c r="D6196" s="63">
        <v>106.8284</v>
      </c>
      <c r="E6196" s="64">
        <v>3.33</v>
      </c>
    </row>
    <row r="6197" ht="22.5" customHeight="1">
      <c r="A6197" s="66">
        <v>10.96172</v>
      </c>
      <c r="B6197" s="67">
        <v>106.835</v>
      </c>
      <c r="C6197" s="67">
        <v>10.94783</v>
      </c>
      <c r="D6197" s="67">
        <v>106.8285</v>
      </c>
      <c r="E6197" s="68">
        <v>3.201</v>
      </c>
    </row>
    <row r="6198" ht="22.5" customHeight="1">
      <c r="A6198" s="61">
        <v>10.96172</v>
      </c>
      <c r="B6198" s="63">
        <v>106.835</v>
      </c>
      <c r="C6198" s="63">
        <v>10.95268</v>
      </c>
      <c r="D6198" s="63">
        <v>106.8679</v>
      </c>
      <c r="E6198" s="64">
        <v>4.72</v>
      </c>
    </row>
    <row r="6199" ht="22.5" customHeight="1">
      <c r="A6199" s="66">
        <v>10.96172</v>
      </c>
      <c r="B6199" s="67">
        <v>106.835</v>
      </c>
      <c r="C6199" s="67">
        <v>10.9562</v>
      </c>
      <c r="D6199" s="67">
        <v>106.8744</v>
      </c>
      <c r="E6199" s="68">
        <v>5.503</v>
      </c>
    </row>
    <row r="6200" ht="22.5" customHeight="1">
      <c r="A6200" s="61">
        <v>10.96172</v>
      </c>
      <c r="B6200" s="63">
        <v>106.835</v>
      </c>
      <c r="C6200" s="63">
        <v>10.9893</v>
      </c>
      <c r="D6200" s="63">
        <v>106.8786</v>
      </c>
      <c r="E6200" s="64">
        <v>6.913</v>
      </c>
    </row>
    <row r="6201" ht="22.5" customHeight="1">
      <c r="A6201" s="66">
        <v>10.96172</v>
      </c>
      <c r="B6201" s="67">
        <v>106.835</v>
      </c>
      <c r="C6201" s="67">
        <v>11.01129</v>
      </c>
      <c r="D6201" s="67">
        <v>106.8386</v>
      </c>
      <c r="E6201" s="68">
        <v>8.54</v>
      </c>
    </row>
    <row r="6202" ht="22.5" customHeight="1">
      <c r="A6202" s="61">
        <v>10.96206</v>
      </c>
      <c r="B6202" s="63">
        <v>106.8349</v>
      </c>
      <c r="C6202" s="63">
        <v>10.94731</v>
      </c>
      <c r="D6202" s="63">
        <v>106.8284</v>
      </c>
      <c r="E6202" s="64">
        <v>3.308</v>
      </c>
    </row>
    <row r="6203" ht="22.5" customHeight="1">
      <c r="A6203" s="66">
        <v>10.96206</v>
      </c>
      <c r="B6203" s="67">
        <v>106.8349</v>
      </c>
      <c r="C6203" s="67">
        <v>10.94783</v>
      </c>
      <c r="D6203" s="67">
        <v>106.8285</v>
      </c>
      <c r="E6203" s="68">
        <v>3.426</v>
      </c>
    </row>
    <row r="6204" ht="22.5" customHeight="1">
      <c r="A6204" s="61">
        <v>10.96254</v>
      </c>
      <c r="B6204" s="63">
        <v>106.6766</v>
      </c>
      <c r="C6204" s="63">
        <v>10.97636</v>
      </c>
      <c r="D6204" s="63">
        <v>106.6705</v>
      </c>
      <c r="E6204" s="64">
        <v>2.152</v>
      </c>
    </row>
    <row r="6205" ht="22.5" customHeight="1">
      <c r="A6205" s="66">
        <v>10.96254</v>
      </c>
      <c r="B6205" s="67">
        <v>106.6766</v>
      </c>
      <c r="C6205" s="67">
        <v>10.97922</v>
      </c>
      <c r="D6205" s="67">
        <v>106.6555</v>
      </c>
      <c r="E6205" s="68">
        <v>3.339</v>
      </c>
    </row>
    <row r="6206" ht="22.5" customHeight="1">
      <c r="A6206" s="61">
        <v>10.96254</v>
      </c>
      <c r="B6206" s="63">
        <v>106.6766</v>
      </c>
      <c r="C6206" s="63">
        <v>10.98262</v>
      </c>
      <c r="D6206" s="63">
        <v>106.6548</v>
      </c>
      <c r="E6206" s="64">
        <v>3.893</v>
      </c>
    </row>
    <row r="6207" ht="22.5" customHeight="1">
      <c r="A6207" s="66">
        <v>10.96254</v>
      </c>
      <c r="B6207" s="67">
        <v>106.6766</v>
      </c>
      <c r="C6207" s="67">
        <v>10.99725</v>
      </c>
      <c r="D6207" s="67">
        <v>106.6752</v>
      </c>
      <c r="E6207" s="68">
        <v>4.232</v>
      </c>
    </row>
    <row r="6208" ht="22.5" customHeight="1">
      <c r="A6208" s="61">
        <v>10.96278</v>
      </c>
      <c r="B6208" s="63">
        <v>106.8872</v>
      </c>
      <c r="C6208" s="63">
        <v>10.90181</v>
      </c>
      <c r="D6208" s="63">
        <v>106.8523</v>
      </c>
      <c r="E6208" s="64">
        <v>9.776</v>
      </c>
    </row>
    <row r="6209" ht="22.5" customHeight="1">
      <c r="A6209" s="66">
        <v>10.96278</v>
      </c>
      <c r="B6209" s="67">
        <v>106.8872</v>
      </c>
      <c r="C6209" s="67">
        <v>10.94731</v>
      </c>
      <c r="D6209" s="67">
        <v>106.8284</v>
      </c>
      <c r="E6209" s="68">
        <v>6.806</v>
      </c>
    </row>
    <row r="6210" ht="22.5" customHeight="1">
      <c r="A6210" s="61">
        <v>10.96278</v>
      </c>
      <c r="B6210" s="63">
        <v>106.8872</v>
      </c>
      <c r="C6210" s="63">
        <v>10.96281</v>
      </c>
      <c r="D6210" s="63">
        <v>106.8871</v>
      </c>
      <c r="E6210" s="64">
        <v>0.046</v>
      </c>
    </row>
    <row r="6211" ht="22.5" customHeight="1">
      <c r="A6211" s="66">
        <v>10.96281</v>
      </c>
      <c r="B6211" s="67">
        <v>106.8871</v>
      </c>
      <c r="C6211" s="67">
        <v>10.77509</v>
      </c>
      <c r="D6211" s="67">
        <v>106.6727</v>
      </c>
      <c r="E6211" s="68">
        <v>34.997</v>
      </c>
    </row>
    <row r="6212" ht="22.5" customHeight="1">
      <c r="A6212" s="61">
        <v>10.96281</v>
      </c>
      <c r="B6212" s="63">
        <v>106.8871</v>
      </c>
      <c r="C6212" s="63">
        <v>10.79462</v>
      </c>
      <c r="D6212" s="63">
        <v>106.9453</v>
      </c>
      <c r="E6212" s="64">
        <v>23.529</v>
      </c>
    </row>
    <row r="6213" ht="22.5" customHeight="1">
      <c r="A6213" s="66">
        <v>10.96281</v>
      </c>
      <c r="B6213" s="67">
        <v>106.8871</v>
      </c>
      <c r="C6213" s="67">
        <v>10.90769</v>
      </c>
      <c r="D6213" s="67">
        <v>106.89</v>
      </c>
      <c r="E6213" s="68">
        <v>8.279</v>
      </c>
    </row>
    <row r="6214" ht="22.5" customHeight="1">
      <c r="A6214" s="61">
        <v>10.96281</v>
      </c>
      <c r="B6214" s="63">
        <v>106.8871</v>
      </c>
      <c r="C6214" s="63">
        <v>10.9333</v>
      </c>
      <c r="D6214" s="63">
        <v>106.8542</v>
      </c>
      <c r="E6214" s="64">
        <v>5.878</v>
      </c>
    </row>
    <row r="6215" ht="22.5" customHeight="1">
      <c r="A6215" s="66">
        <v>10.96281</v>
      </c>
      <c r="B6215" s="67">
        <v>106.8871</v>
      </c>
      <c r="C6215" s="67">
        <v>10.93753</v>
      </c>
      <c r="D6215" s="67">
        <v>106.804</v>
      </c>
      <c r="E6215" s="68">
        <v>12.977</v>
      </c>
    </row>
    <row r="6216" ht="22.5" customHeight="1">
      <c r="A6216" s="61">
        <v>10.96281</v>
      </c>
      <c r="B6216" s="63">
        <v>106.8871</v>
      </c>
      <c r="C6216" s="63">
        <v>10.94731</v>
      </c>
      <c r="D6216" s="63">
        <v>106.8284</v>
      </c>
      <c r="E6216" s="64">
        <v>8.631</v>
      </c>
    </row>
    <row r="6217" ht="22.5" customHeight="1">
      <c r="A6217" s="66">
        <v>10.96281</v>
      </c>
      <c r="B6217" s="67">
        <v>106.8871</v>
      </c>
      <c r="C6217" s="67">
        <v>10.94783</v>
      </c>
      <c r="D6217" s="67">
        <v>106.8285</v>
      </c>
      <c r="E6217" s="68">
        <v>9.09</v>
      </c>
    </row>
    <row r="6218" ht="22.5" customHeight="1">
      <c r="A6218" s="61">
        <v>10.96281</v>
      </c>
      <c r="B6218" s="63">
        <v>106.8871</v>
      </c>
      <c r="C6218" s="63">
        <v>10.95268</v>
      </c>
      <c r="D6218" s="63">
        <v>106.8679</v>
      </c>
      <c r="E6218" s="64">
        <v>3.246</v>
      </c>
    </row>
    <row r="6219" ht="22.5" customHeight="1">
      <c r="A6219" s="66">
        <v>10.96281</v>
      </c>
      <c r="B6219" s="67">
        <v>106.8871</v>
      </c>
      <c r="C6219" s="67">
        <v>10.9541</v>
      </c>
      <c r="D6219" s="67">
        <v>106.8685</v>
      </c>
      <c r="E6219" s="68">
        <v>3.368</v>
      </c>
    </row>
    <row r="6220" ht="22.5" customHeight="1">
      <c r="A6220" s="61">
        <v>10.96281</v>
      </c>
      <c r="B6220" s="63">
        <v>106.8871</v>
      </c>
      <c r="C6220" s="63">
        <v>10.9562</v>
      </c>
      <c r="D6220" s="63">
        <v>106.8744</v>
      </c>
      <c r="E6220" s="64">
        <v>2.542</v>
      </c>
    </row>
    <row r="6221" ht="22.5" customHeight="1">
      <c r="A6221" s="66">
        <v>10.96281</v>
      </c>
      <c r="B6221" s="67">
        <v>106.8871</v>
      </c>
      <c r="C6221" s="67">
        <v>10.95634</v>
      </c>
      <c r="D6221" s="67">
        <v>106.8054</v>
      </c>
      <c r="E6221" s="68">
        <v>11.342</v>
      </c>
    </row>
    <row r="6222" ht="22.5" customHeight="1">
      <c r="A6222" s="61">
        <v>10.96281</v>
      </c>
      <c r="B6222" s="63">
        <v>106.8871</v>
      </c>
      <c r="C6222" s="63">
        <v>10.95947</v>
      </c>
      <c r="D6222" s="63">
        <v>106.8433</v>
      </c>
      <c r="E6222" s="64">
        <v>6.244</v>
      </c>
    </row>
    <row r="6223" ht="22.5" customHeight="1">
      <c r="A6223" s="66">
        <v>10.96281</v>
      </c>
      <c r="B6223" s="67">
        <v>106.8871</v>
      </c>
      <c r="C6223" s="67">
        <v>10.96281</v>
      </c>
      <c r="D6223" s="67">
        <v>106.8871</v>
      </c>
      <c r="E6223" s="68">
        <v>0.011</v>
      </c>
    </row>
    <row r="6224" ht="22.5" customHeight="1">
      <c r="A6224" s="61">
        <v>10.96281</v>
      </c>
      <c r="B6224" s="63">
        <v>106.8871</v>
      </c>
      <c r="C6224" s="63">
        <v>10.96715</v>
      </c>
      <c r="D6224" s="63">
        <v>106.9003</v>
      </c>
      <c r="E6224" s="64">
        <v>2.323</v>
      </c>
    </row>
    <row r="6225" ht="22.5" customHeight="1">
      <c r="A6225" s="66">
        <v>10.96281</v>
      </c>
      <c r="B6225" s="67">
        <v>106.8871</v>
      </c>
      <c r="C6225" s="67">
        <v>10.97192</v>
      </c>
      <c r="D6225" s="67">
        <v>106.8904</v>
      </c>
      <c r="E6225" s="68">
        <v>2.427</v>
      </c>
    </row>
    <row r="6226" ht="22.5" customHeight="1">
      <c r="A6226" s="61">
        <v>10.96281</v>
      </c>
      <c r="B6226" s="63">
        <v>106.8871</v>
      </c>
      <c r="C6226" s="63">
        <v>10.97366</v>
      </c>
      <c r="D6226" s="63">
        <v>106.8519</v>
      </c>
      <c r="E6226" s="64">
        <v>6.163</v>
      </c>
    </row>
    <row r="6227" ht="22.5" customHeight="1">
      <c r="A6227" s="66">
        <v>10.96281</v>
      </c>
      <c r="B6227" s="67">
        <v>106.8871</v>
      </c>
      <c r="C6227" s="67">
        <v>10.98353</v>
      </c>
      <c r="D6227" s="67">
        <v>106.9093</v>
      </c>
      <c r="E6227" s="68">
        <v>3.886</v>
      </c>
    </row>
    <row r="6228" ht="22.5" customHeight="1">
      <c r="A6228" s="61">
        <v>10.96281</v>
      </c>
      <c r="B6228" s="63">
        <v>106.8871</v>
      </c>
      <c r="C6228" s="63">
        <v>10.9893</v>
      </c>
      <c r="D6228" s="63">
        <v>106.8786</v>
      </c>
      <c r="E6228" s="64">
        <v>4.62</v>
      </c>
    </row>
    <row r="6229" ht="22.5" customHeight="1">
      <c r="A6229" s="66">
        <v>10.96709</v>
      </c>
      <c r="B6229" s="67">
        <v>106.9</v>
      </c>
      <c r="C6229" s="67">
        <v>10.94731</v>
      </c>
      <c r="D6229" s="67">
        <v>106.8284</v>
      </c>
      <c r="E6229" s="68">
        <v>9.564</v>
      </c>
    </row>
    <row r="6230" ht="22.5" customHeight="1">
      <c r="A6230" s="61">
        <v>10.96709</v>
      </c>
      <c r="B6230" s="63">
        <v>106.9</v>
      </c>
      <c r="C6230" s="63">
        <v>10.9541</v>
      </c>
      <c r="D6230" s="63">
        <v>106.8685</v>
      </c>
      <c r="E6230" s="64">
        <v>4.625</v>
      </c>
    </row>
    <row r="6231" ht="22.5" customHeight="1">
      <c r="A6231" s="66">
        <v>10.96715</v>
      </c>
      <c r="B6231" s="67">
        <v>106.9003</v>
      </c>
      <c r="C6231" s="67">
        <v>10.77509</v>
      </c>
      <c r="D6231" s="67">
        <v>106.6727</v>
      </c>
      <c r="E6231" s="68">
        <v>36.942</v>
      </c>
    </row>
    <row r="6232" ht="22.5" customHeight="1">
      <c r="A6232" s="61">
        <v>10.96715</v>
      </c>
      <c r="B6232" s="63">
        <v>106.9003</v>
      </c>
      <c r="C6232" s="63">
        <v>10.94731</v>
      </c>
      <c r="D6232" s="63">
        <v>106.8284</v>
      </c>
      <c r="E6232" s="64">
        <v>9.63</v>
      </c>
    </row>
    <row r="6233" ht="22.5" customHeight="1">
      <c r="A6233" s="66">
        <v>10.96715</v>
      </c>
      <c r="B6233" s="67">
        <v>106.9003</v>
      </c>
      <c r="C6233" s="67">
        <v>10.94783</v>
      </c>
      <c r="D6233" s="67">
        <v>106.8285</v>
      </c>
      <c r="E6233" s="68">
        <v>9.602</v>
      </c>
    </row>
    <row r="6234" ht="22.5" customHeight="1">
      <c r="A6234" s="61">
        <v>10.96715</v>
      </c>
      <c r="B6234" s="63">
        <v>106.9003</v>
      </c>
      <c r="C6234" s="63">
        <v>10.95268</v>
      </c>
      <c r="D6234" s="63">
        <v>106.8679</v>
      </c>
      <c r="E6234" s="64">
        <v>5.203</v>
      </c>
    </row>
    <row r="6235" ht="22.5" customHeight="1">
      <c r="A6235" s="66">
        <v>10.96715</v>
      </c>
      <c r="B6235" s="67">
        <v>106.9003</v>
      </c>
      <c r="C6235" s="67">
        <v>10.9541</v>
      </c>
      <c r="D6235" s="67">
        <v>106.8685</v>
      </c>
      <c r="E6235" s="68">
        <v>5.073</v>
      </c>
    </row>
    <row r="6236" ht="22.5" customHeight="1">
      <c r="A6236" s="61">
        <v>10.96715</v>
      </c>
      <c r="B6236" s="63">
        <v>106.9003</v>
      </c>
      <c r="C6236" s="63">
        <v>10.96281</v>
      </c>
      <c r="D6236" s="63">
        <v>106.8871</v>
      </c>
      <c r="E6236" s="64">
        <v>2.37</v>
      </c>
    </row>
    <row r="6237" ht="22.5" customHeight="1">
      <c r="A6237" s="66">
        <v>10.96776</v>
      </c>
      <c r="B6237" s="67">
        <v>106.7421</v>
      </c>
      <c r="C6237" s="67">
        <v>10.90835</v>
      </c>
      <c r="D6237" s="67">
        <v>106.7014</v>
      </c>
      <c r="E6237" s="68">
        <v>12.33</v>
      </c>
    </row>
    <row r="6238" ht="22.5" customHeight="1">
      <c r="A6238" s="61">
        <v>10.96776</v>
      </c>
      <c r="B6238" s="63">
        <v>106.7421</v>
      </c>
      <c r="C6238" s="63">
        <v>10.91936</v>
      </c>
      <c r="D6238" s="63">
        <v>106.7125</v>
      </c>
      <c r="E6238" s="64">
        <v>10.834</v>
      </c>
    </row>
    <row r="6239" ht="22.5" customHeight="1">
      <c r="A6239" s="66">
        <v>10.96776</v>
      </c>
      <c r="B6239" s="67">
        <v>106.7421</v>
      </c>
      <c r="C6239" s="67">
        <v>10.94228</v>
      </c>
      <c r="D6239" s="67">
        <v>106.725</v>
      </c>
      <c r="E6239" s="68">
        <v>4.546</v>
      </c>
    </row>
    <row r="6240" ht="22.5" customHeight="1">
      <c r="A6240" s="61">
        <v>10.96776</v>
      </c>
      <c r="B6240" s="63">
        <v>106.7421</v>
      </c>
      <c r="C6240" s="63">
        <v>10.94876</v>
      </c>
      <c r="D6240" s="63">
        <v>106.6885</v>
      </c>
      <c r="E6240" s="64">
        <v>9.744</v>
      </c>
    </row>
    <row r="6241" ht="22.5" customHeight="1">
      <c r="A6241" s="66">
        <v>10.96776</v>
      </c>
      <c r="B6241" s="67">
        <v>106.7421</v>
      </c>
      <c r="C6241" s="67">
        <v>10.95115</v>
      </c>
      <c r="D6241" s="67">
        <v>106.7072</v>
      </c>
      <c r="E6241" s="68">
        <v>7.881</v>
      </c>
    </row>
    <row r="6242" ht="22.5" customHeight="1">
      <c r="A6242" s="61">
        <v>10.96776</v>
      </c>
      <c r="B6242" s="63">
        <v>106.7421</v>
      </c>
      <c r="C6242" s="63">
        <v>10.97933</v>
      </c>
      <c r="D6242" s="63">
        <v>106.7402</v>
      </c>
      <c r="E6242" s="64">
        <v>2.131</v>
      </c>
    </row>
    <row r="6243" ht="22.5" customHeight="1">
      <c r="A6243" s="66">
        <v>10.96808</v>
      </c>
      <c r="B6243" s="67">
        <v>106.8358</v>
      </c>
      <c r="C6243" s="67">
        <v>10.90181</v>
      </c>
      <c r="D6243" s="67">
        <v>106.8523</v>
      </c>
      <c r="E6243" s="68">
        <v>10.004</v>
      </c>
    </row>
    <row r="6244" ht="22.5" customHeight="1">
      <c r="A6244" s="61">
        <v>10.96899</v>
      </c>
      <c r="B6244" s="63">
        <v>106.4846</v>
      </c>
      <c r="C6244" s="63">
        <v>10.97037</v>
      </c>
      <c r="D6244" s="63">
        <v>106.4895</v>
      </c>
      <c r="E6244" s="64">
        <v>1.07</v>
      </c>
    </row>
    <row r="6245" ht="22.5" customHeight="1">
      <c r="A6245" s="66">
        <v>10.97037</v>
      </c>
      <c r="B6245" s="67">
        <v>106.4895</v>
      </c>
      <c r="C6245" s="67">
        <v>10.97066</v>
      </c>
      <c r="D6245" s="67">
        <v>106.4827</v>
      </c>
      <c r="E6245" s="68">
        <v>0.86</v>
      </c>
    </row>
    <row r="6246" ht="22.5" customHeight="1">
      <c r="A6246" s="61">
        <v>10.97037</v>
      </c>
      <c r="B6246" s="63">
        <v>106.4895</v>
      </c>
      <c r="C6246" s="63">
        <v>10.97458</v>
      </c>
      <c r="D6246" s="63">
        <v>106.4804</v>
      </c>
      <c r="E6246" s="64">
        <v>1.6</v>
      </c>
    </row>
    <row r="6247" ht="22.5" customHeight="1">
      <c r="A6247" s="66">
        <v>10.97037</v>
      </c>
      <c r="B6247" s="67">
        <v>106.4895</v>
      </c>
      <c r="C6247" s="67">
        <v>10.97702</v>
      </c>
      <c r="D6247" s="67">
        <v>106.502</v>
      </c>
      <c r="E6247" s="68">
        <v>2.5</v>
      </c>
    </row>
    <row r="6248" ht="22.5" customHeight="1">
      <c r="A6248" s="61">
        <v>10.97037</v>
      </c>
      <c r="B6248" s="63">
        <v>106.4895</v>
      </c>
      <c r="C6248" s="63">
        <v>10.97728</v>
      </c>
      <c r="D6248" s="63">
        <v>106.5021</v>
      </c>
      <c r="E6248" s="64">
        <v>2.6</v>
      </c>
    </row>
    <row r="6249" ht="22.5" customHeight="1">
      <c r="A6249" s="66">
        <v>10.97037</v>
      </c>
      <c r="B6249" s="67">
        <v>106.4895</v>
      </c>
      <c r="C6249" s="67">
        <v>10.98168</v>
      </c>
      <c r="D6249" s="67">
        <v>106.6039</v>
      </c>
      <c r="E6249" s="68">
        <v>13.922</v>
      </c>
    </row>
    <row r="6250" ht="22.5" customHeight="1">
      <c r="A6250" s="61">
        <v>10.97037</v>
      </c>
      <c r="B6250" s="63">
        <v>106.4895</v>
      </c>
      <c r="C6250" s="63">
        <v>10.98366</v>
      </c>
      <c r="D6250" s="63">
        <v>106.574</v>
      </c>
      <c r="E6250" s="64">
        <v>10.681</v>
      </c>
    </row>
    <row r="6251" ht="22.5" customHeight="1">
      <c r="A6251" s="66">
        <v>10.97037</v>
      </c>
      <c r="B6251" s="67">
        <v>106.4895</v>
      </c>
      <c r="C6251" s="67">
        <v>11.02754</v>
      </c>
      <c r="D6251" s="67">
        <v>106.3768</v>
      </c>
      <c r="E6251" s="68">
        <v>17.2</v>
      </c>
    </row>
    <row r="6252" ht="22.5" customHeight="1">
      <c r="A6252" s="61">
        <v>10.97066</v>
      </c>
      <c r="B6252" s="63">
        <v>106.4827</v>
      </c>
      <c r="C6252" s="63">
        <v>10.82721</v>
      </c>
      <c r="D6252" s="63">
        <v>106.6247</v>
      </c>
      <c r="E6252" s="64">
        <v>24.584</v>
      </c>
    </row>
    <row r="6253" ht="22.5" customHeight="1">
      <c r="A6253" s="66">
        <v>10.97066</v>
      </c>
      <c r="B6253" s="67">
        <v>106.4827</v>
      </c>
      <c r="C6253" s="67">
        <v>10.97037</v>
      </c>
      <c r="D6253" s="67">
        <v>106.4895</v>
      </c>
      <c r="E6253" s="68">
        <v>1.345</v>
      </c>
    </row>
    <row r="6254" ht="22.5" customHeight="1">
      <c r="A6254" s="61">
        <v>10.97066</v>
      </c>
      <c r="B6254" s="63">
        <v>106.4827</v>
      </c>
      <c r="C6254" s="63">
        <v>10.97728</v>
      </c>
      <c r="D6254" s="63">
        <v>106.5021</v>
      </c>
      <c r="E6254" s="64">
        <v>2.857</v>
      </c>
    </row>
    <row r="6255" ht="22.5" customHeight="1">
      <c r="A6255" s="66">
        <v>10.97089</v>
      </c>
      <c r="B6255" s="67">
        <v>106.4823</v>
      </c>
      <c r="C6255" s="67">
        <v>10.97037</v>
      </c>
      <c r="D6255" s="67">
        <v>106.4895</v>
      </c>
      <c r="E6255" s="68">
        <v>2.0</v>
      </c>
    </row>
    <row r="6256" ht="22.5" customHeight="1">
      <c r="A6256" s="61">
        <v>10.97089</v>
      </c>
      <c r="B6256" s="63">
        <v>106.4823</v>
      </c>
      <c r="C6256" s="63">
        <v>10.97728</v>
      </c>
      <c r="D6256" s="63">
        <v>106.5021</v>
      </c>
      <c r="E6256" s="64">
        <v>2.785</v>
      </c>
    </row>
    <row r="6257" ht="22.5" customHeight="1">
      <c r="A6257" s="66">
        <v>10.97089</v>
      </c>
      <c r="B6257" s="67">
        <v>106.4823</v>
      </c>
      <c r="C6257" s="67">
        <v>11.02754</v>
      </c>
      <c r="D6257" s="67">
        <v>106.3768</v>
      </c>
      <c r="E6257" s="68">
        <v>16.289</v>
      </c>
    </row>
    <row r="6258" ht="22.5" customHeight="1">
      <c r="A6258" s="61">
        <v>10.97192</v>
      </c>
      <c r="B6258" s="63">
        <v>106.8904</v>
      </c>
      <c r="C6258" s="63">
        <v>10.94731</v>
      </c>
      <c r="D6258" s="63">
        <v>106.8284</v>
      </c>
      <c r="E6258" s="64">
        <v>8.359</v>
      </c>
    </row>
    <row r="6259" ht="22.5" customHeight="1">
      <c r="A6259" s="66">
        <v>10.97192</v>
      </c>
      <c r="B6259" s="67">
        <v>106.8904</v>
      </c>
      <c r="C6259" s="67">
        <v>10.9893</v>
      </c>
      <c r="D6259" s="67">
        <v>106.8786</v>
      </c>
      <c r="E6259" s="68">
        <v>3.239</v>
      </c>
    </row>
    <row r="6260" ht="22.5" customHeight="1">
      <c r="A6260" s="61">
        <v>10.97366</v>
      </c>
      <c r="B6260" s="63">
        <v>106.8519</v>
      </c>
      <c r="C6260" s="63">
        <v>10.77509</v>
      </c>
      <c r="D6260" s="63">
        <v>106.6727</v>
      </c>
      <c r="E6260" s="64">
        <v>36.111</v>
      </c>
    </row>
    <row r="6261" ht="22.5" customHeight="1">
      <c r="A6261" s="66">
        <v>10.97366</v>
      </c>
      <c r="B6261" s="67">
        <v>106.8519</v>
      </c>
      <c r="C6261" s="67">
        <v>10.93313</v>
      </c>
      <c r="D6261" s="67">
        <v>106.877</v>
      </c>
      <c r="E6261" s="68">
        <v>6.432</v>
      </c>
    </row>
    <row r="6262" ht="22.5" customHeight="1">
      <c r="A6262" s="61">
        <v>10.97366</v>
      </c>
      <c r="B6262" s="63">
        <v>106.8519</v>
      </c>
      <c r="C6262" s="63">
        <v>10.94731</v>
      </c>
      <c r="D6262" s="63">
        <v>106.8284</v>
      </c>
      <c r="E6262" s="64">
        <v>4.914</v>
      </c>
    </row>
    <row r="6263" ht="22.5" customHeight="1">
      <c r="A6263" s="66">
        <v>10.97366</v>
      </c>
      <c r="B6263" s="67">
        <v>106.8519</v>
      </c>
      <c r="C6263" s="67">
        <v>10.95268</v>
      </c>
      <c r="D6263" s="67">
        <v>106.8679</v>
      </c>
      <c r="E6263" s="68">
        <v>3.496</v>
      </c>
    </row>
    <row r="6264" ht="22.5" customHeight="1">
      <c r="A6264" s="61">
        <v>10.97366</v>
      </c>
      <c r="B6264" s="63">
        <v>106.8519</v>
      </c>
      <c r="C6264" s="63">
        <v>10.95634</v>
      </c>
      <c r="D6264" s="63">
        <v>106.8054</v>
      </c>
      <c r="E6264" s="64">
        <v>6.5</v>
      </c>
    </row>
    <row r="6265" ht="22.5" customHeight="1">
      <c r="A6265" s="66">
        <v>10.97366</v>
      </c>
      <c r="B6265" s="67">
        <v>106.8519</v>
      </c>
      <c r="C6265" s="67">
        <v>10.95947</v>
      </c>
      <c r="D6265" s="67">
        <v>106.8433</v>
      </c>
      <c r="E6265" s="68">
        <v>3.005</v>
      </c>
    </row>
    <row r="6266" ht="22.5" customHeight="1">
      <c r="A6266" s="61">
        <v>10.97366</v>
      </c>
      <c r="B6266" s="63">
        <v>106.8519</v>
      </c>
      <c r="C6266" s="63">
        <v>10.96278</v>
      </c>
      <c r="D6266" s="63">
        <v>106.8872</v>
      </c>
      <c r="E6266" s="64">
        <v>5.157</v>
      </c>
    </row>
    <row r="6267" ht="22.5" customHeight="1">
      <c r="A6267" s="66">
        <v>10.97366</v>
      </c>
      <c r="B6267" s="67">
        <v>106.8519</v>
      </c>
      <c r="C6267" s="67">
        <v>10.96281</v>
      </c>
      <c r="D6267" s="67">
        <v>106.8871</v>
      </c>
      <c r="E6267" s="68">
        <v>5.039</v>
      </c>
    </row>
    <row r="6268" ht="22.5" customHeight="1">
      <c r="A6268" s="61">
        <v>10.97458</v>
      </c>
      <c r="B6268" s="63">
        <v>106.4804</v>
      </c>
      <c r="C6268" s="63">
        <v>10.97037</v>
      </c>
      <c r="D6268" s="63">
        <v>106.4895</v>
      </c>
      <c r="E6268" s="64">
        <v>2.245</v>
      </c>
    </row>
    <row r="6269" ht="22.5" customHeight="1">
      <c r="A6269" s="66">
        <v>10.9756</v>
      </c>
      <c r="B6269" s="67">
        <v>106.6583</v>
      </c>
      <c r="C6269" s="67">
        <v>10.97628</v>
      </c>
      <c r="D6269" s="67">
        <v>106.6703</v>
      </c>
      <c r="E6269" s="68">
        <v>1.695</v>
      </c>
    </row>
    <row r="6270" ht="22.5" customHeight="1">
      <c r="A6270" s="61">
        <v>10.9756</v>
      </c>
      <c r="B6270" s="63">
        <v>106.6583</v>
      </c>
      <c r="C6270" s="63">
        <v>10.97922</v>
      </c>
      <c r="D6270" s="63">
        <v>106.6555</v>
      </c>
      <c r="E6270" s="64">
        <v>0.499</v>
      </c>
    </row>
    <row r="6271" ht="22.5" customHeight="1">
      <c r="A6271" s="66">
        <v>10.9756</v>
      </c>
      <c r="B6271" s="67">
        <v>106.6583</v>
      </c>
      <c r="C6271" s="67">
        <v>10.98262</v>
      </c>
      <c r="D6271" s="67">
        <v>106.6548</v>
      </c>
      <c r="E6271" s="68">
        <v>1.065</v>
      </c>
    </row>
    <row r="6272" ht="22.5" customHeight="1">
      <c r="A6272" s="61">
        <v>10.97569</v>
      </c>
      <c r="B6272" s="63">
        <v>106.5034</v>
      </c>
      <c r="C6272" s="63">
        <v>10.97037</v>
      </c>
      <c r="D6272" s="63">
        <v>106.4895</v>
      </c>
      <c r="E6272" s="64">
        <v>1.812</v>
      </c>
    </row>
    <row r="6273" ht="22.5" customHeight="1">
      <c r="A6273" s="66">
        <v>10.97573</v>
      </c>
      <c r="B6273" s="67">
        <v>106.4771</v>
      </c>
      <c r="C6273" s="67">
        <v>10.97037</v>
      </c>
      <c r="D6273" s="67">
        <v>106.4895</v>
      </c>
      <c r="E6273" s="68">
        <v>2.227</v>
      </c>
    </row>
    <row r="6274" ht="22.5" customHeight="1">
      <c r="A6274" s="61">
        <v>10.97628</v>
      </c>
      <c r="B6274" s="63">
        <v>106.6703</v>
      </c>
      <c r="C6274" s="63">
        <v>10.85846</v>
      </c>
      <c r="D6274" s="63">
        <v>106.7487</v>
      </c>
      <c r="E6274" s="64">
        <v>17.972</v>
      </c>
    </row>
    <row r="6275" ht="22.5" customHeight="1">
      <c r="A6275" s="66">
        <v>10.97628</v>
      </c>
      <c r="B6275" s="67">
        <v>106.6703</v>
      </c>
      <c r="C6275" s="67">
        <v>10.96254</v>
      </c>
      <c r="D6275" s="67">
        <v>106.6766</v>
      </c>
      <c r="E6275" s="68">
        <v>2.057</v>
      </c>
    </row>
    <row r="6276" ht="22.5" customHeight="1">
      <c r="A6276" s="61">
        <v>10.97628</v>
      </c>
      <c r="B6276" s="63">
        <v>106.6703</v>
      </c>
      <c r="C6276" s="63">
        <v>10.97922</v>
      </c>
      <c r="D6276" s="63">
        <v>106.6555</v>
      </c>
      <c r="E6276" s="64">
        <v>1.987</v>
      </c>
    </row>
    <row r="6277" ht="22.5" customHeight="1">
      <c r="A6277" s="66">
        <v>10.97628</v>
      </c>
      <c r="B6277" s="67">
        <v>106.6703</v>
      </c>
      <c r="C6277" s="67">
        <v>10.98201</v>
      </c>
      <c r="D6277" s="67">
        <v>106.6718</v>
      </c>
      <c r="E6277" s="68">
        <v>1.017</v>
      </c>
    </row>
    <row r="6278" ht="22.5" customHeight="1">
      <c r="A6278" s="61">
        <v>10.97628</v>
      </c>
      <c r="B6278" s="63">
        <v>106.6703</v>
      </c>
      <c r="C6278" s="63">
        <v>10.99739</v>
      </c>
      <c r="D6278" s="63">
        <v>106.6562</v>
      </c>
      <c r="E6278" s="64">
        <v>3.393</v>
      </c>
    </row>
    <row r="6279" ht="22.5" customHeight="1">
      <c r="A6279" s="66">
        <v>10.97636</v>
      </c>
      <c r="B6279" s="67">
        <v>106.6705</v>
      </c>
      <c r="C6279" s="67">
        <v>10.85846</v>
      </c>
      <c r="D6279" s="67">
        <v>106.7487</v>
      </c>
      <c r="E6279" s="68">
        <v>19.314</v>
      </c>
    </row>
    <row r="6280" ht="22.5" customHeight="1">
      <c r="A6280" s="61">
        <v>10.97636</v>
      </c>
      <c r="B6280" s="63">
        <v>106.6705</v>
      </c>
      <c r="C6280" s="63">
        <v>10.96254</v>
      </c>
      <c r="D6280" s="63">
        <v>106.6766</v>
      </c>
      <c r="E6280" s="64">
        <v>2.112</v>
      </c>
    </row>
    <row r="6281" ht="22.5" customHeight="1">
      <c r="A6281" s="66">
        <v>10.97636</v>
      </c>
      <c r="B6281" s="67">
        <v>106.6705</v>
      </c>
      <c r="C6281" s="67">
        <v>10.97922</v>
      </c>
      <c r="D6281" s="67">
        <v>106.6555</v>
      </c>
      <c r="E6281" s="68">
        <v>1.983</v>
      </c>
    </row>
    <row r="6282" ht="22.5" customHeight="1">
      <c r="A6282" s="61">
        <v>10.97636</v>
      </c>
      <c r="B6282" s="63">
        <v>106.6705</v>
      </c>
      <c r="C6282" s="63">
        <v>10.99725</v>
      </c>
      <c r="D6282" s="63">
        <v>106.6752</v>
      </c>
      <c r="E6282" s="64">
        <v>2.921</v>
      </c>
    </row>
    <row r="6283" ht="22.5" customHeight="1">
      <c r="A6283" s="66">
        <v>10.97636</v>
      </c>
      <c r="B6283" s="67">
        <v>106.6705</v>
      </c>
      <c r="C6283" s="67">
        <v>11.02204</v>
      </c>
      <c r="D6283" s="67">
        <v>106.6516</v>
      </c>
      <c r="E6283" s="68">
        <v>7.73</v>
      </c>
    </row>
    <row r="6284" ht="22.5" customHeight="1">
      <c r="A6284" s="61">
        <v>10.97702</v>
      </c>
      <c r="B6284" s="63">
        <v>106.502</v>
      </c>
      <c r="C6284" s="63">
        <v>10.82721</v>
      </c>
      <c r="D6284" s="63">
        <v>106.6247</v>
      </c>
      <c r="E6284" s="64">
        <v>23.6</v>
      </c>
    </row>
    <row r="6285" ht="22.5" customHeight="1">
      <c r="A6285" s="66">
        <v>10.97702</v>
      </c>
      <c r="B6285" s="67">
        <v>106.502</v>
      </c>
      <c r="C6285" s="67">
        <v>10.88801</v>
      </c>
      <c r="D6285" s="67">
        <v>106.5985</v>
      </c>
      <c r="E6285" s="68">
        <v>15.489</v>
      </c>
    </row>
    <row r="6286" ht="22.5" customHeight="1">
      <c r="A6286" s="61">
        <v>10.97702</v>
      </c>
      <c r="B6286" s="63">
        <v>106.502</v>
      </c>
      <c r="C6286" s="63">
        <v>10.97037</v>
      </c>
      <c r="D6286" s="63">
        <v>106.4895</v>
      </c>
      <c r="E6286" s="64">
        <v>3.4</v>
      </c>
    </row>
    <row r="6287" ht="22.5" customHeight="1">
      <c r="A6287" s="66">
        <v>10.97702</v>
      </c>
      <c r="B6287" s="67">
        <v>106.502</v>
      </c>
      <c r="C6287" s="67">
        <v>10.97089</v>
      </c>
      <c r="D6287" s="67">
        <v>106.4823</v>
      </c>
      <c r="E6287" s="68">
        <v>2.453</v>
      </c>
    </row>
    <row r="6288" ht="22.5" customHeight="1">
      <c r="A6288" s="61">
        <v>10.97702</v>
      </c>
      <c r="B6288" s="63">
        <v>106.502</v>
      </c>
      <c r="C6288" s="63">
        <v>10.97728</v>
      </c>
      <c r="D6288" s="63">
        <v>106.5021</v>
      </c>
      <c r="E6288" s="64">
        <v>1.468</v>
      </c>
    </row>
    <row r="6289" ht="22.5" customHeight="1">
      <c r="A6289" s="66">
        <v>10.97728</v>
      </c>
      <c r="B6289" s="67">
        <v>106.5021</v>
      </c>
      <c r="C6289" s="67">
        <v>10.82721</v>
      </c>
      <c r="D6289" s="67">
        <v>106.6247</v>
      </c>
      <c r="E6289" s="68">
        <v>23.607</v>
      </c>
    </row>
    <row r="6290" ht="22.5" customHeight="1">
      <c r="A6290" s="61">
        <v>10.97728</v>
      </c>
      <c r="B6290" s="63">
        <v>106.5021</v>
      </c>
      <c r="C6290" s="63">
        <v>10.97037</v>
      </c>
      <c r="D6290" s="63">
        <v>106.4895</v>
      </c>
      <c r="E6290" s="64">
        <v>1.604</v>
      </c>
    </row>
    <row r="6291" ht="22.5" customHeight="1">
      <c r="A6291" s="66">
        <v>10.97728</v>
      </c>
      <c r="B6291" s="67">
        <v>106.5021</v>
      </c>
      <c r="C6291" s="67">
        <v>10.97066</v>
      </c>
      <c r="D6291" s="67">
        <v>106.4827</v>
      </c>
      <c r="E6291" s="68">
        <v>2.799</v>
      </c>
    </row>
    <row r="6292" ht="22.5" customHeight="1">
      <c r="A6292" s="61">
        <v>10.97728</v>
      </c>
      <c r="B6292" s="63">
        <v>106.5021</v>
      </c>
      <c r="C6292" s="63">
        <v>10.97089</v>
      </c>
      <c r="D6292" s="63">
        <v>106.4823</v>
      </c>
      <c r="E6292" s="64">
        <v>2.521</v>
      </c>
    </row>
    <row r="6293" ht="22.5" customHeight="1">
      <c r="A6293" s="66">
        <v>10.97728</v>
      </c>
      <c r="B6293" s="67">
        <v>106.5021</v>
      </c>
      <c r="C6293" s="67">
        <v>10.97702</v>
      </c>
      <c r="D6293" s="67">
        <v>106.502</v>
      </c>
      <c r="E6293" s="68">
        <v>0.4</v>
      </c>
    </row>
    <row r="6294" ht="22.5" customHeight="1">
      <c r="A6294" s="61">
        <v>10.97728</v>
      </c>
      <c r="B6294" s="63">
        <v>106.5021</v>
      </c>
      <c r="C6294" s="63">
        <v>11.02754</v>
      </c>
      <c r="D6294" s="63">
        <v>106.3768</v>
      </c>
      <c r="E6294" s="64">
        <v>18.784</v>
      </c>
    </row>
    <row r="6295" ht="22.5" customHeight="1">
      <c r="A6295" s="66">
        <v>10.97922</v>
      </c>
      <c r="B6295" s="67">
        <v>106.6555</v>
      </c>
      <c r="C6295" s="67">
        <v>10.90835</v>
      </c>
      <c r="D6295" s="67">
        <v>106.7014</v>
      </c>
      <c r="E6295" s="68">
        <v>12.2</v>
      </c>
    </row>
    <row r="6296" ht="22.5" customHeight="1">
      <c r="A6296" s="61">
        <v>10.97922</v>
      </c>
      <c r="B6296" s="63">
        <v>106.6555</v>
      </c>
      <c r="C6296" s="63">
        <v>10.96254</v>
      </c>
      <c r="D6296" s="63">
        <v>106.6766</v>
      </c>
      <c r="E6296" s="64">
        <v>3.4</v>
      </c>
    </row>
    <row r="6297" ht="22.5" customHeight="1">
      <c r="A6297" s="66">
        <v>10.97922</v>
      </c>
      <c r="B6297" s="67">
        <v>106.6555</v>
      </c>
      <c r="C6297" s="67">
        <v>10.9756</v>
      </c>
      <c r="D6297" s="67">
        <v>106.6583</v>
      </c>
      <c r="E6297" s="68">
        <v>0.5</v>
      </c>
    </row>
    <row r="6298" ht="22.5" customHeight="1">
      <c r="A6298" s="61">
        <v>10.97922</v>
      </c>
      <c r="B6298" s="63">
        <v>106.6555</v>
      </c>
      <c r="C6298" s="63">
        <v>10.97628</v>
      </c>
      <c r="D6298" s="63">
        <v>106.6703</v>
      </c>
      <c r="E6298" s="64">
        <v>2.123</v>
      </c>
    </row>
    <row r="6299" ht="22.5" customHeight="1">
      <c r="A6299" s="66">
        <v>10.97922</v>
      </c>
      <c r="B6299" s="67">
        <v>106.6555</v>
      </c>
      <c r="C6299" s="67">
        <v>10.97636</v>
      </c>
      <c r="D6299" s="67">
        <v>106.6705</v>
      </c>
      <c r="E6299" s="68">
        <v>2.3</v>
      </c>
    </row>
    <row r="6300" ht="22.5" customHeight="1">
      <c r="A6300" s="61">
        <v>10.97922</v>
      </c>
      <c r="B6300" s="63">
        <v>106.6555</v>
      </c>
      <c r="C6300" s="63">
        <v>10.9821</v>
      </c>
      <c r="D6300" s="63">
        <v>106.668</v>
      </c>
      <c r="E6300" s="64">
        <v>2.1</v>
      </c>
    </row>
    <row r="6301" ht="22.5" customHeight="1">
      <c r="A6301" s="66">
        <v>10.97922</v>
      </c>
      <c r="B6301" s="67">
        <v>106.6555</v>
      </c>
      <c r="C6301" s="67">
        <v>10.98262</v>
      </c>
      <c r="D6301" s="67">
        <v>106.6548</v>
      </c>
      <c r="E6301" s="68">
        <v>0.5</v>
      </c>
    </row>
    <row r="6302" ht="22.5" customHeight="1">
      <c r="A6302" s="61">
        <v>10.97922</v>
      </c>
      <c r="B6302" s="63">
        <v>106.6555</v>
      </c>
      <c r="C6302" s="63">
        <v>10.99725</v>
      </c>
      <c r="D6302" s="63">
        <v>106.6752</v>
      </c>
      <c r="E6302" s="64">
        <v>3.8</v>
      </c>
    </row>
    <row r="6303" ht="22.5" customHeight="1">
      <c r="A6303" s="66">
        <v>10.97922</v>
      </c>
      <c r="B6303" s="67">
        <v>106.6555</v>
      </c>
      <c r="C6303" s="67">
        <v>11.02204</v>
      </c>
      <c r="D6303" s="67">
        <v>106.6516</v>
      </c>
      <c r="E6303" s="68">
        <v>5.5</v>
      </c>
    </row>
    <row r="6304" ht="22.5" customHeight="1">
      <c r="A6304" s="61">
        <v>10.97922</v>
      </c>
      <c r="B6304" s="63">
        <v>106.6555</v>
      </c>
      <c r="C6304" s="63">
        <v>11.09046</v>
      </c>
      <c r="D6304" s="63">
        <v>106.5435</v>
      </c>
      <c r="E6304" s="64">
        <v>18.6</v>
      </c>
    </row>
    <row r="6305" ht="22.5" customHeight="1">
      <c r="A6305" s="66">
        <v>10.97922</v>
      </c>
      <c r="B6305" s="67">
        <v>106.6555</v>
      </c>
      <c r="C6305" s="67">
        <v>11.12413</v>
      </c>
      <c r="D6305" s="67">
        <v>106.6037</v>
      </c>
      <c r="E6305" s="68">
        <v>18.9</v>
      </c>
    </row>
    <row r="6306" ht="22.5" customHeight="1">
      <c r="A6306" s="61">
        <v>10.97922</v>
      </c>
      <c r="B6306" s="63">
        <v>106.6555</v>
      </c>
      <c r="C6306" s="63">
        <v>11.13011</v>
      </c>
      <c r="D6306" s="63">
        <v>106.6034</v>
      </c>
      <c r="E6306" s="64">
        <v>19.3</v>
      </c>
    </row>
    <row r="6307" ht="22.5" customHeight="1">
      <c r="A6307" s="66">
        <v>10.97933</v>
      </c>
      <c r="B6307" s="67">
        <v>106.7402</v>
      </c>
      <c r="C6307" s="67">
        <v>10.90835</v>
      </c>
      <c r="D6307" s="67">
        <v>106.7014</v>
      </c>
      <c r="E6307" s="68">
        <v>11.564</v>
      </c>
    </row>
    <row r="6308" ht="22.5" customHeight="1">
      <c r="A6308" s="61">
        <v>10.97933</v>
      </c>
      <c r="B6308" s="63">
        <v>106.7402</v>
      </c>
      <c r="C6308" s="63">
        <v>10.92001</v>
      </c>
      <c r="D6308" s="63">
        <v>106.7095</v>
      </c>
      <c r="E6308" s="64">
        <v>10.277</v>
      </c>
    </row>
    <row r="6309" ht="22.5" customHeight="1">
      <c r="A6309" s="66">
        <v>10.97933</v>
      </c>
      <c r="B6309" s="67">
        <v>106.7402</v>
      </c>
      <c r="C6309" s="67">
        <v>10.92893</v>
      </c>
      <c r="D6309" s="67">
        <v>106.7125</v>
      </c>
      <c r="E6309" s="68">
        <v>10.169</v>
      </c>
    </row>
    <row r="6310" ht="22.5" customHeight="1">
      <c r="A6310" s="61">
        <v>10.97933</v>
      </c>
      <c r="B6310" s="63">
        <v>106.7402</v>
      </c>
      <c r="C6310" s="63">
        <v>10.93659</v>
      </c>
      <c r="D6310" s="63">
        <v>106.7427</v>
      </c>
      <c r="E6310" s="64">
        <v>5.498</v>
      </c>
    </row>
    <row r="6311" ht="22.5" customHeight="1">
      <c r="A6311" s="66">
        <v>10.97933</v>
      </c>
      <c r="B6311" s="67">
        <v>106.7402</v>
      </c>
      <c r="C6311" s="67">
        <v>10.94228</v>
      </c>
      <c r="D6311" s="67">
        <v>106.725</v>
      </c>
      <c r="E6311" s="68">
        <v>6.198</v>
      </c>
    </row>
    <row r="6312" ht="22.5" customHeight="1">
      <c r="A6312" s="61">
        <v>10.97933</v>
      </c>
      <c r="B6312" s="63">
        <v>106.7402</v>
      </c>
      <c r="C6312" s="63">
        <v>10.9464</v>
      </c>
      <c r="D6312" s="63">
        <v>106.7316</v>
      </c>
      <c r="E6312" s="64">
        <v>5.126</v>
      </c>
    </row>
    <row r="6313" ht="22.5" customHeight="1">
      <c r="A6313" s="66">
        <v>10.97933</v>
      </c>
      <c r="B6313" s="67">
        <v>106.7402</v>
      </c>
      <c r="C6313" s="67">
        <v>10.94876</v>
      </c>
      <c r="D6313" s="67">
        <v>106.6885</v>
      </c>
      <c r="E6313" s="68">
        <v>8.455</v>
      </c>
    </row>
    <row r="6314" ht="22.5" customHeight="1">
      <c r="A6314" s="61">
        <v>10.97933</v>
      </c>
      <c r="B6314" s="63">
        <v>106.7402</v>
      </c>
      <c r="C6314" s="63">
        <v>10.95115</v>
      </c>
      <c r="D6314" s="63">
        <v>106.7072</v>
      </c>
      <c r="E6314" s="64">
        <v>6.93</v>
      </c>
    </row>
    <row r="6315" ht="22.5" customHeight="1">
      <c r="A6315" s="66">
        <v>10.97938</v>
      </c>
      <c r="B6315" s="67">
        <v>106.6682</v>
      </c>
      <c r="C6315" s="67">
        <v>10.97922</v>
      </c>
      <c r="D6315" s="67">
        <v>106.6555</v>
      </c>
      <c r="E6315" s="68">
        <v>2.366</v>
      </c>
    </row>
    <row r="6316" ht="22.5" customHeight="1">
      <c r="A6316" s="61">
        <v>10.97954</v>
      </c>
      <c r="B6316" s="63">
        <v>106.843</v>
      </c>
      <c r="C6316" s="63">
        <v>10.94731</v>
      </c>
      <c r="D6316" s="63">
        <v>106.8284</v>
      </c>
      <c r="E6316" s="64">
        <v>6.351</v>
      </c>
    </row>
    <row r="6317" ht="22.5" customHeight="1">
      <c r="A6317" s="66">
        <v>10.97954</v>
      </c>
      <c r="B6317" s="67">
        <v>106.843</v>
      </c>
      <c r="C6317" s="67">
        <v>10.9541</v>
      </c>
      <c r="D6317" s="67">
        <v>106.8685</v>
      </c>
      <c r="E6317" s="68">
        <v>4.802</v>
      </c>
    </row>
    <row r="6318" ht="22.5" customHeight="1">
      <c r="A6318" s="61">
        <v>10.97954</v>
      </c>
      <c r="B6318" s="63">
        <v>106.843</v>
      </c>
      <c r="C6318" s="63">
        <v>10.9893</v>
      </c>
      <c r="D6318" s="63">
        <v>106.8786</v>
      </c>
      <c r="E6318" s="64">
        <v>5.504</v>
      </c>
    </row>
    <row r="6319" ht="22.5" customHeight="1">
      <c r="A6319" s="66">
        <v>10.98168</v>
      </c>
      <c r="B6319" s="67">
        <v>106.6039</v>
      </c>
      <c r="C6319" s="67">
        <v>10.82721</v>
      </c>
      <c r="D6319" s="67">
        <v>106.6247</v>
      </c>
      <c r="E6319" s="68">
        <v>20.349</v>
      </c>
    </row>
    <row r="6320" ht="22.5" customHeight="1">
      <c r="A6320" s="61">
        <v>10.98168</v>
      </c>
      <c r="B6320" s="63">
        <v>106.6039</v>
      </c>
      <c r="C6320" s="63">
        <v>10.97037</v>
      </c>
      <c r="D6320" s="63">
        <v>106.4895</v>
      </c>
      <c r="E6320" s="64">
        <v>12.931</v>
      </c>
    </row>
    <row r="6321" ht="22.5" customHeight="1">
      <c r="A6321" s="66">
        <v>10.98168</v>
      </c>
      <c r="B6321" s="67">
        <v>106.6039</v>
      </c>
      <c r="C6321" s="67">
        <v>10.97702</v>
      </c>
      <c r="D6321" s="67">
        <v>106.502</v>
      </c>
      <c r="E6321" s="68">
        <v>11.388</v>
      </c>
    </row>
    <row r="6322" ht="22.5" customHeight="1">
      <c r="A6322" s="61">
        <v>10.98168</v>
      </c>
      <c r="B6322" s="63">
        <v>106.6039</v>
      </c>
      <c r="C6322" s="63">
        <v>10.97728</v>
      </c>
      <c r="D6322" s="63">
        <v>106.5021</v>
      </c>
      <c r="E6322" s="64">
        <v>11.388</v>
      </c>
    </row>
    <row r="6323" ht="22.5" customHeight="1">
      <c r="A6323" s="66">
        <v>10.98201</v>
      </c>
      <c r="B6323" s="67">
        <v>106.6718</v>
      </c>
      <c r="C6323" s="67">
        <v>10.97922</v>
      </c>
      <c r="D6323" s="67">
        <v>106.6555</v>
      </c>
      <c r="E6323" s="68">
        <v>2.127</v>
      </c>
    </row>
    <row r="6324" ht="22.5" customHeight="1">
      <c r="A6324" s="61">
        <v>10.98201</v>
      </c>
      <c r="B6324" s="63">
        <v>106.6718</v>
      </c>
      <c r="C6324" s="63">
        <v>10.98262</v>
      </c>
      <c r="D6324" s="63">
        <v>106.6548</v>
      </c>
      <c r="E6324" s="64">
        <v>2.096</v>
      </c>
    </row>
    <row r="6325" ht="22.5" customHeight="1">
      <c r="A6325" s="66">
        <v>10.9821</v>
      </c>
      <c r="B6325" s="67">
        <v>106.668</v>
      </c>
      <c r="C6325" s="67">
        <v>10.97922</v>
      </c>
      <c r="D6325" s="67">
        <v>106.6555</v>
      </c>
      <c r="E6325" s="68">
        <v>2.613</v>
      </c>
    </row>
    <row r="6326" ht="22.5" customHeight="1">
      <c r="A6326" s="61">
        <v>10.9821</v>
      </c>
      <c r="B6326" s="63">
        <v>106.668</v>
      </c>
      <c r="C6326" s="63">
        <v>10.98262</v>
      </c>
      <c r="D6326" s="63">
        <v>106.6548</v>
      </c>
      <c r="E6326" s="64">
        <v>2.594</v>
      </c>
    </row>
    <row r="6327" ht="22.5" customHeight="1">
      <c r="A6327" s="66">
        <v>10.9821</v>
      </c>
      <c r="B6327" s="67">
        <v>106.668</v>
      </c>
      <c r="C6327" s="67">
        <v>10.99725</v>
      </c>
      <c r="D6327" s="67">
        <v>106.6752</v>
      </c>
      <c r="E6327" s="68">
        <v>2.266</v>
      </c>
    </row>
    <row r="6328" ht="22.5" customHeight="1">
      <c r="A6328" s="61">
        <v>10.98262</v>
      </c>
      <c r="B6328" s="63">
        <v>106.6548</v>
      </c>
      <c r="C6328" s="63">
        <v>10.77509</v>
      </c>
      <c r="D6328" s="63">
        <v>106.6727</v>
      </c>
      <c r="E6328" s="64">
        <v>31.634</v>
      </c>
    </row>
    <row r="6329" ht="22.5" customHeight="1">
      <c r="A6329" s="66">
        <v>10.98262</v>
      </c>
      <c r="B6329" s="67">
        <v>106.6548</v>
      </c>
      <c r="C6329" s="67">
        <v>10.97922</v>
      </c>
      <c r="D6329" s="67">
        <v>106.6555</v>
      </c>
      <c r="E6329" s="68">
        <v>0.605</v>
      </c>
    </row>
    <row r="6330" ht="22.5" customHeight="1">
      <c r="A6330" s="61">
        <v>10.98262</v>
      </c>
      <c r="B6330" s="63">
        <v>106.6548</v>
      </c>
      <c r="C6330" s="63">
        <v>10.99725</v>
      </c>
      <c r="D6330" s="63">
        <v>106.6752</v>
      </c>
      <c r="E6330" s="64">
        <v>3.422</v>
      </c>
    </row>
    <row r="6331" ht="22.5" customHeight="1">
      <c r="A6331" s="66">
        <v>10.98353</v>
      </c>
      <c r="B6331" s="67">
        <v>106.9093</v>
      </c>
      <c r="C6331" s="67">
        <v>10.9333</v>
      </c>
      <c r="D6331" s="67">
        <v>106.8542</v>
      </c>
      <c r="E6331" s="68">
        <v>9.983</v>
      </c>
    </row>
    <row r="6332" ht="22.5" customHeight="1">
      <c r="A6332" s="61">
        <v>10.98353</v>
      </c>
      <c r="B6332" s="63">
        <v>106.9093</v>
      </c>
      <c r="C6332" s="63">
        <v>10.93753</v>
      </c>
      <c r="D6332" s="63">
        <v>106.804</v>
      </c>
      <c r="E6332" s="64">
        <v>10.77</v>
      </c>
    </row>
    <row r="6333" ht="22.5" customHeight="1">
      <c r="A6333" s="66">
        <v>10.98353</v>
      </c>
      <c r="B6333" s="67">
        <v>106.9093</v>
      </c>
      <c r="C6333" s="67">
        <v>10.94731</v>
      </c>
      <c r="D6333" s="67">
        <v>106.8284</v>
      </c>
      <c r="E6333" s="68">
        <v>11.109</v>
      </c>
    </row>
    <row r="6334" ht="22.5" customHeight="1">
      <c r="A6334" s="61">
        <v>10.98353</v>
      </c>
      <c r="B6334" s="63">
        <v>106.9093</v>
      </c>
      <c r="C6334" s="63">
        <v>10.95947</v>
      </c>
      <c r="D6334" s="63">
        <v>106.8433</v>
      </c>
      <c r="E6334" s="64">
        <v>4.243</v>
      </c>
    </row>
    <row r="6335" ht="22.5" customHeight="1">
      <c r="A6335" s="66">
        <v>10.98353</v>
      </c>
      <c r="B6335" s="67">
        <v>106.9093</v>
      </c>
      <c r="C6335" s="67">
        <v>10.9893</v>
      </c>
      <c r="D6335" s="67">
        <v>106.8786</v>
      </c>
      <c r="E6335" s="68">
        <v>5.864</v>
      </c>
    </row>
    <row r="6336" ht="22.5" customHeight="1">
      <c r="A6336" s="61">
        <v>10.98366</v>
      </c>
      <c r="B6336" s="63">
        <v>106.574</v>
      </c>
      <c r="C6336" s="63">
        <v>10.82721</v>
      </c>
      <c r="D6336" s="63">
        <v>106.6247</v>
      </c>
      <c r="E6336" s="64">
        <v>22.697</v>
      </c>
    </row>
    <row r="6337" ht="22.5" customHeight="1">
      <c r="A6337" s="66">
        <v>10.98366</v>
      </c>
      <c r="B6337" s="67">
        <v>106.574</v>
      </c>
      <c r="C6337" s="67">
        <v>10.97037</v>
      </c>
      <c r="D6337" s="67">
        <v>106.4895</v>
      </c>
      <c r="E6337" s="68">
        <v>9.711</v>
      </c>
    </row>
    <row r="6338" ht="22.5" customHeight="1">
      <c r="A6338" s="61">
        <v>10.98366</v>
      </c>
      <c r="B6338" s="63">
        <v>106.574</v>
      </c>
      <c r="C6338" s="63">
        <v>10.97089</v>
      </c>
      <c r="D6338" s="63">
        <v>106.4823</v>
      </c>
      <c r="E6338" s="64">
        <v>10.628</v>
      </c>
    </row>
    <row r="6339" ht="22.5" customHeight="1">
      <c r="A6339" s="66">
        <v>10.98366</v>
      </c>
      <c r="B6339" s="67">
        <v>106.574</v>
      </c>
      <c r="C6339" s="67">
        <v>10.97458</v>
      </c>
      <c r="D6339" s="67">
        <v>106.4804</v>
      </c>
      <c r="E6339" s="68">
        <v>11.8</v>
      </c>
    </row>
    <row r="6340" ht="22.5" customHeight="1">
      <c r="A6340" s="61">
        <v>10.98366</v>
      </c>
      <c r="B6340" s="63">
        <v>106.574</v>
      </c>
      <c r="C6340" s="63">
        <v>10.97728</v>
      </c>
      <c r="D6340" s="63">
        <v>106.5021</v>
      </c>
      <c r="E6340" s="64">
        <v>8.14</v>
      </c>
    </row>
    <row r="6341" ht="22.5" customHeight="1">
      <c r="A6341" s="66">
        <v>10.98366</v>
      </c>
      <c r="B6341" s="67">
        <v>106.574</v>
      </c>
      <c r="C6341" s="67">
        <v>11.02754</v>
      </c>
      <c r="D6341" s="67">
        <v>106.3768</v>
      </c>
      <c r="E6341" s="68">
        <v>26.902</v>
      </c>
    </row>
    <row r="6342" ht="22.5" customHeight="1">
      <c r="A6342" s="61">
        <v>10.98366</v>
      </c>
      <c r="B6342" s="63">
        <v>106.574</v>
      </c>
      <c r="C6342" s="63">
        <v>11.05878</v>
      </c>
      <c r="D6342" s="63">
        <v>106.4749</v>
      </c>
      <c r="E6342" s="64">
        <v>17.878</v>
      </c>
    </row>
    <row r="6343" ht="22.5" customHeight="1">
      <c r="A6343" s="66">
        <v>10.98384</v>
      </c>
      <c r="B6343" s="67">
        <v>106.5746</v>
      </c>
      <c r="C6343" s="67">
        <v>10.97037</v>
      </c>
      <c r="D6343" s="67">
        <v>106.4895</v>
      </c>
      <c r="E6343" s="68">
        <v>9.602</v>
      </c>
    </row>
    <row r="6344" ht="22.5" customHeight="1">
      <c r="A6344" s="61">
        <v>10.98387</v>
      </c>
      <c r="B6344" s="63">
        <v>106.5754</v>
      </c>
      <c r="C6344" s="63">
        <v>10.97037</v>
      </c>
      <c r="D6344" s="63">
        <v>106.4895</v>
      </c>
      <c r="E6344" s="64">
        <v>12.978</v>
      </c>
    </row>
    <row r="6345" ht="22.5" customHeight="1">
      <c r="A6345" s="66">
        <v>10.98512</v>
      </c>
      <c r="B6345" s="67">
        <v>106.6662</v>
      </c>
      <c r="C6345" s="67">
        <v>10.97922</v>
      </c>
      <c r="D6345" s="67">
        <v>106.6555</v>
      </c>
      <c r="E6345" s="68">
        <v>1.875</v>
      </c>
    </row>
    <row r="6346" ht="22.5" customHeight="1">
      <c r="A6346" s="61">
        <v>10.98584</v>
      </c>
      <c r="B6346" s="63">
        <v>106.6793</v>
      </c>
      <c r="C6346" s="63">
        <v>10.97922</v>
      </c>
      <c r="D6346" s="63">
        <v>106.6555</v>
      </c>
      <c r="E6346" s="64">
        <v>3.232</v>
      </c>
    </row>
    <row r="6347" ht="22.5" customHeight="1">
      <c r="A6347" s="66">
        <v>10.9893</v>
      </c>
      <c r="B6347" s="67">
        <v>106.8786</v>
      </c>
      <c r="C6347" s="67">
        <v>10.77509</v>
      </c>
      <c r="D6347" s="67">
        <v>106.6727</v>
      </c>
      <c r="E6347" s="68">
        <v>38.264</v>
      </c>
    </row>
    <row r="6348" ht="22.5" customHeight="1">
      <c r="A6348" s="61">
        <v>10.9893</v>
      </c>
      <c r="B6348" s="63">
        <v>106.8786</v>
      </c>
      <c r="C6348" s="63">
        <v>10.79462</v>
      </c>
      <c r="D6348" s="63">
        <v>106.9453</v>
      </c>
      <c r="E6348" s="64">
        <v>26.255</v>
      </c>
    </row>
    <row r="6349" ht="22.5" customHeight="1">
      <c r="A6349" s="66">
        <v>10.9893</v>
      </c>
      <c r="B6349" s="67">
        <v>106.8786</v>
      </c>
      <c r="C6349" s="67">
        <v>10.90181</v>
      </c>
      <c r="D6349" s="67">
        <v>106.8523</v>
      </c>
      <c r="E6349" s="68">
        <v>12.807</v>
      </c>
    </row>
    <row r="6350" ht="22.5" customHeight="1">
      <c r="A6350" s="61">
        <v>10.9893</v>
      </c>
      <c r="B6350" s="63">
        <v>106.8786</v>
      </c>
      <c r="C6350" s="63">
        <v>10.93753</v>
      </c>
      <c r="D6350" s="63">
        <v>106.804</v>
      </c>
      <c r="E6350" s="64">
        <v>12.042</v>
      </c>
    </row>
    <row r="6351" ht="22.5" customHeight="1">
      <c r="A6351" s="66">
        <v>10.9893</v>
      </c>
      <c r="B6351" s="67">
        <v>106.8786</v>
      </c>
      <c r="C6351" s="67">
        <v>10.94731</v>
      </c>
      <c r="D6351" s="67">
        <v>106.8284</v>
      </c>
      <c r="E6351" s="68">
        <v>8.889</v>
      </c>
    </row>
    <row r="6352" ht="22.5" customHeight="1">
      <c r="A6352" s="61">
        <v>10.9893</v>
      </c>
      <c r="B6352" s="63">
        <v>106.8786</v>
      </c>
      <c r="C6352" s="63">
        <v>10.94783</v>
      </c>
      <c r="D6352" s="63">
        <v>106.8285</v>
      </c>
      <c r="E6352" s="64">
        <v>8.892</v>
      </c>
    </row>
    <row r="6353" ht="22.5" customHeight="1">
      <c r="A6353" s="66">
        <v>10.9893</v>
      </c>
      <c r="B6353" s="67">
        <v>106.8786</v>
      </c>
      <c r="C6353" s="67">
        <v>10.95268</v>
      </c>
      <c r="D6353" s="67">
        <v>106.8679</v>
      </c>
      <c r="E6353" s="68">
        <v>6.681</v>
      </c>
    </row>
    <row r="6354" ht="22.5" customHeight="1">
      <c r="A6354" s="61">
        <v>10.9893</v>
      </c>
      <c r="B6354" s="63">
        <v>106.8786</v>
      </c>
      <c r="C6354" s="63">
        <v>10.9541</v>
      </c>
      <c r="D6354" s="63">
        <v>106.8685</v>
      </c>
      <c r="E6354" s="64">
        <v>6.123</v>
      </c>
    </row>
    <row r="6355" ht="22.5" customHeight="1">
      <c r="A6355" s="66">
        <v>10.9893</v>
      </c>
      <c r="B6355" s="67">
        <v>106.8786</v>
      </c>
      <c r="C6355" s="67">
        <v>10.95634</v>
      </c>
      <c r="D6355" s="67">
        <v>106.8054</v>
      </c>
      <c r="E6355" s="68">
        <v>10.421</v>
      </c>
    </row>
    <row r="6356" ht="22.5" customHeight="1">
      <c r="A6356" s="61">
        <v>10.9893</v>
      </c>
      <c r="B6356" s="63">
        <v>106.8786</v>
      </c>
      <c r="C6356" s="63">
        <v>10.95947</v>
      </c>
      <c r="D6356" s="63">
        <v>106.8433</v>
      </c>
      <c r="E6356" s="64">
        <v>6.393</v>
      </c>
    </row>
    <row r="6357" ht="22.5" customHeight="1">
      <c r="A6357" s="66">
        <v>10.9893</v>
      </c>
      <c r="B6357" s="67">
        <v>106.8786</v>
      </c>
      <c r="C6357" s="67">
        <v>10.96281</v>
      </c>
      <c r="D6357" s="67">
        <v>106.8871</v>
      </c>
      <c r="E6357" s="68">
        <v>4.975</v>
      </c>
    </row>
    <row r="6358" ht="22.5" customHeight="1">
      <c r="A6358" s="61">
        <v>10.9893</v>
      </c>
      <c r="B6358" s="63">
        <v>106.8786</v>
      </c>
      <c r="C6358" s="63">
        <v>10.96715</v>
      </c>
      <c r="D6358" s="63">
        <v>106.9003</v>
      </c>
      <c r="E6358" s="64">
        <v>4.713</v>
      </c>
    </row>
    <row r="6359" ht="22.5" customHeight="1">
      <c r="A6359" s="66">
        <v>10.9893</v>
      </c>
      <c r="B6359" s="67">
        <v>106.8786</v>
      </c>
      <c r="C6359" s="67">
        <v>10.97366</v>
      </c>
      <c r="D6359" s="67">
        <v>106.8519</v>
      </c>
      <c r="E6359" s="68">
        <v>4.268</v>
      </c>
    </row>
    <row r="6360" ht="22.5" customHeight="1">
      <c r="A6360" s="61">
        <v>10.9893</v>
      </c>
      <c r="B6360" s="63">
        <v>106.8786</v>
      </c>
      <c r="C6360" s="63">
        <v>11.01129</v>
      </c>
      <c r="D6360" s="63">
        <v>106.8386</v>
      </c>
      <c r="E6360" s="64">
        <v>7.186</v>
      </c>
    </row>
    <row r="6361" ht="22.5" customHeight="1">
      <c r="A6361" s="66">
        <v>10.99131</v>
      </c>
      <c r="B6361" s="67">
        <v>106.8466</v>
      </c>
      <c r="C6361" s="67">
        <v>10.94731</v>
      </c>
      <c r="D6361" s="67">
        <v>106.8284</v>
      </c>
      <c r="E6361" s="68">
        <v>5.546</v>
      </c>
    </row>
    <row r="6362" ht="22.5" customHeight="1">
      <c r="A6362" s="61">
        <v>10.99131</v>
      </c>
      <c r="B6362" s="63">
        <v>106.8466</v>
      </c>
      <c r="C6362" s="63">
        <v>10.96281</v>
      </c>
      <c r="D6362" s="63">
        <v>106.8871</v>
      </c>
      <c r="E6362" s="64">
        <v>7.454</v>
      </c>
    </row>
    <row r="6363" ht="22.5" customHeight="1">
      <c r="A6363" s="66">
        <v>10.99605</v>
      </c>
      <c r="B6363" s="67">
        <v>106.6561</v>
      </c>
      <c r="C6363" s="67">
        <v>10.97922</v>
      </c>
      <c r="D6363" s="67">
        <v>106.6555</v>
      </c>
      <c r="E6363" s="68">
        <v>2.175</v>
      </c>
    </row>
    <row r="6364" ht="22.5" customHeight="1">
      <c r="A6364" s="61">
        <v>10.99653</v>
      </c>
      <c r="B6364" s="63">
        <v>106.6559</v>
      </c>
      <c r="C6364" s="63">
        <v>10.97922</v>
      </c>
      <c r="D6364" s="63">
        <v>106.6555</v>
      </c>
      <c r="E6364" s="64">
        <v>2.175</v>
      </c>
    </row>
    <row r="6365" ht="22.5" customHeight="1">
      <c r="A6365" s="66">
        <v>10.99674</v>
      </c>
      <c r="B6365" s="67">
        <v>106.6564</v>
      </c>
      <c r="C6365" s="67">
        <v>10.97922</v>
      </c>
      <c r="D6365" s="67">
        <v>106.6555</v>
      </c>
      <c r="E6365" s="68">
        <v>2.453</v>
      </c>
    </row>
    <row r="6366" ht="22.5" customHeight="1">
      <c r="A6366" s="61">
        <v>10.99696</v>
      </c>
      <c r="B6366" s="63">
        <v>106.6563</v>
      </c>
      <c r="C6366" s="63">
        <v>10.97922</v>
      </c>
      <c r="D6366" s="63">
        <v>106.6555</v>
      </c>
      <c r="E6366" s="64">
        <v>2.3</v>
      </c>
    </row>
    <row r="6367" ht="22.5" customHeight="1">
      <c r="A6367" s="66">
        <v>10.99725</v>
      </c>
      <c r="B6367" s="67">
        <v>106.6752</v>
      </c>
      <c r="C6367" s="67">
        <v>10.96254</v>
      </c>
      <c r="D6367" s="67">
        <v>106.6766</v>
      </c>
      <c r="E6367" s="68">
        <v>4.605</v>
      </c>
    </row>
    <row r="6368" ht="22.5" customHeight="1">
      <c r="A6368" s="61">
        <v>10.99725</v>
      </c>
      <c r="B6368" s="63">
        <v>106.6752</v>
      </c>
      <c r="C6368" s="63">
        <v>10.9756</v>
      </c>
      <c r="D6368" s="63">
        <v>106.6583</v>
      </c>
      <c r="E6368" s="64">
        <v>4.936</v>
      </c>
    </row>
    <row r="6369" ht="22.5" customHeight="1">
      <c r="A6369" s="66">
        <v>10.99725</v>
      </c>
      <c r="B6369" s="67">
        <v>106.6752</v>
      </c>
      <c r="C6369" s="67">
        <v>10.97628</v>
      </c>
      <c r="D6369" s="67">
        <v>106.6703</v>
      </c>
      <c r="E6369" s="68">
        <v>2.928</v>
      </c>
    </row>
    <row r="6370" ht="22.5" customHeight="1">
      <c r="A6370" s="61">
        <v>10.99725</v>
      </c>
      <c r="B6370" s="63">
        <v>106.6752</v>
      </c>
      <c r="C6370" s="63">
        <v>10.97636</v>
      </c>
      <c r="D6370" s="63">
        <v>106.6705</v>
      </c>
      <c r="E6370" s="64">
        <v>2.771</v>
      </c>
    </row>
    <row r="6371" ht="22.5" customHeight="1">
      <c r="A6371" s="66">
        <v>10.99725</v>
      </c>
      <c r="B6371" s="67">
        <v>106.6752</v>
      </c>
      <c r="C6371" s="67">
        <v>10.97922</v>
      </c>
      <c r="D6371" s="67">
        <v>106.6555</v>
      </c>
      <c r="E6371" s="68">
        <v>4.422</v>
      </c>
    </row>
    <row r="6372" ht="22.5" customHeight="1">
      <c r="A6372" s="61">
        <v>10.99725</v>
      </c>
      <c r="B6372" s="63">
        <v>106.6752</v>
      </c>
      <c r="C6372" s="63">
        <v>10.98201</v>
      </c>
      <c r="D6372" s="63">
        <v>106.6718</v>
      </c>
      <c r="E6372" s="64">
        <v>3.504</v>
      </c>
    </row>
    <row r="6373" ht="22.5" customHeight="1">
      <c r="A6373" s="66">
        <v>10.99725</v>
      </c>
      <c r="B6373" s="67">
        <v>106.6752</v>
      </c>
      <c r="C6373" s="67">
        <v>10.9821</v>
      </c>
      <c r="D6373" s="67">
        <v>106.668</v>
      </c>
      <c r="E6373" s="68">
        <v>2.764</v>
      </c>
    </row>
    <row r="6374" ht="22.5" customHeight="1">
      <c r="A6374" s="61">
        <v>10.99725</v>
      </c>
      <c r="B6374" s="63">
        <v>106.6752</v>
      </c>
      <c r="C6374" s="63">
        <v>10.98262</v>
      </c>
      <c r="D6374" s="63">
        <v>106.6548</v>
      </c>
      <c r="E6374" s="64">
        <v>3.393</v>
      </c>
    </row>
    <row r="6375" ht="22.5" customHeight="1">
      <c r="A6375" s="66">
        <v>10.99725</v>
      </c>
      <c r="B6375" s="67">
        <v>106.6752</v>
      </c>
      <c r="C6375" s="67">
        <v>11.02204</v>
      </c>
      <c r="D6375" s="67">
        <v>106.6516</v>
      </c>
      <c r="E6375" s="68">
        <v>5.242</v>
      </c>
    </row>
    <row r="6376" ht="22.5" customHeight="1">
      <c r="A6376" s="61">
        <v>10.99739</v>
      </c>
      <c r="B6376" s="63">
        <v>106.6562</v>
      </c>
      <c r="C6376" s="63">
        <v>10.97922</v>
      </c>
      <c r="D6376" s="63">
        <v>106.6555</v>
      </c>
      <c r="E6376" s="64">
        <v>2.166</v>
      </c>
    </row>
    <row r="6377" ht="22.5" customHeight="1">
      <c r="A6377" s="66">
        <v>11.00738</v>
      </c>
      <c r="B6377" s="67">
        <v>106.6348</v>
      </c>
      <c r="C6377" s="67">
        <v>10.97922</v>
      </c>
      <c r="D6377" s="67">
        <v>106.6555</v>
      </c>
      <c r="E6377" s="68">
        <v>4.665</v>
      </c>
    </row>
    <row r="6378" ht="22.5" customHeight="1">
      <c r="A6378" s="61">
        <v>11.00788</v>
      </c>
      <c r="B6378" s="63">
        <v>106.4283</v>
      </c>
      <c r="C6378" s="63">
        <v>10.97037</v>
      </c>
      <c r="D6378" s="63">
        <v>106.4895</v>
      </c>
      <c r="E6378" s="64">
        <v>8.855</v>
      </c>
    </row>
    <row r="6379" ht="22.5" customHeight="1">
      <c r="A6379" s="66">
        <v>11.01129</v>
      </c>
      <c r="B6379" s="67">
        <v>106.8386</v>
      </c>
      <c r="C6379" s="67">
        <v>10.93753</v>
      </c>
      <c r="D6379" s="67">
        <v>106.804</v>
      </c>
      <c r="E6379" s="68">
        <v>13.479</v>
      </c>
    </row>
    <row r="6380" ht="22.5" customHeight="1">
      <c r="A6380" s="61">
        <v>11.01129</v>
      </c>
      <c r="B6380" s="63">
        <v>106.8386</v>
      </c>
      <c r="C6380" s="63">
        <v>10.94731</v>
      </c>
      <c r="D6380" s="63">
        <v>106.8284</v>
      </c>
      <c r="E6380" s="64">
        <v>10.376</v>
      </c>
    </row>
    <row r="6381" ht="22.5" customHeight="1">
      <c r="A6381" s="66">
        <v>11.01129</v>
      </c>
      <c r="B6381" s="67">
        <v>106.8386</v>
      </c>
      <c r="C6381" s="67">
        <v>10.94783</v>
      </c>
      <c r="D6381" s="67">
        <v>106.8285</v>
      </c>
      <c r="E6381" s="68">
        <v>10.239</v>
      </c>
    </row>
    <row r="6382" ht="22.5" customHeight="1">
      <c r="A6382" s="61">
        <v>11.01129</v>
      </c>
      <c r="B6382" s="63">
        <v>106.8386</v>
      </c>
      <c r="C6382" s="63">
        <v>10.95268</v>
      </c>
      <c r="D6382" s="63">
        <v>106.8679</v>
      </c>
      <c r="E6382" s="64">
        <v>8.812</v>
      </c>
    </row>
    <row r="6383" ht="22.5" customHeight="1">
      <c r="A6383" s="66">
        <v>11.01129</v>
      </c>
      <c r="B6383" s="67">
        <v>106.8386</v>
      </c>
      <c r="C6383" s="67">
        <v>10.9541</v>
      </c>
      <c r="D6383" s="67">
        <v>106.8685</v>
      </c>
      <c r="E6383" s="68">
        <v>8.786</v>
      </c>
    </row>
    <row r="6384" ht="22.5" customHeight="1">
      <c r="A6384" s="61">
        <v>11.01129</v>
      </c>
      <c r="B6384" s="63">
        <v>106.8386</v>
      </c>
      <c r="C6384" s="63">
        <v>10.96172</v>
      </c>
      <c r="D6384" s="63">
        <v>106.835</v>
      </c>
      <c r="E6384" s="64">
        <v>8.782</v>
      </c>
    </row>
    <row r="6385" ht="22.5" customHeight="1">
      <c r="A6385" s="66">
        <v>11.01129</v>
      </c>
      <c r="B6385" s="67">
        <v>106.8386</v>
      </c>
      <c r="C6385" s="67">
        <v>10.9893</v>
      </c>
      <c r="D6385" s="67">
        <v>106.8786</v>
      </c>
      <c r="E6385" s="68">
        <v>7.252</v>
      </c>
    </row>
    <row r="6386" ht="22.5" customHeight="1">
      <c r="A6386" s="61">
        <v>11.02204</v>
      </c>
      <c r="B6386" s="63">
        <v>106.6516</v>
      </c>
      <c r="C6386" s="63">
        <v>10.77509</v>
      </c>
      <c r="D6386" s="63">
        <v>106.6727</v>
      </c>
      <c r="E6386" s="64">
        <v>33.516</v>
      </c>
    </row>
    <row r="6387" ht="22.5" customHeight="1">
      <c r="A6387" s="66">
        <v>11.02204</v>
      </c>
      <c r="B6387" s="67">
        <v>106.6516</v>
      </c>
      <c r="C6387" s="67">
        <v>10.95115</v>
      </c>
      <c r="D6387" s="67">
        <v>106.7072</v>
      </c>
      <c r="E6387" s="68">
        <v>11.49</v>
      </c>
    </row>
    <row r="6388" ht="22.5" customHeight="1">
      <c r="A6388" s="61">
        <v>11.02204</v>
      </c>
      <c r="B6388" s="63">
        <v>106.6516</v>
      </c>
      <c r="C6388" s="63">
        <v>10.96254</v>
      </c>
      <c r="D6388" s="63">
        <v>106.6766</v>
      </c>
      <c r="E6388" s="64">
        <v>9.702</v>
      </c>
    </row>
    <row r="6389" ht="22.5" customHeight="1">
      <c r="A6389" s="66">
        <v>11.02204</v>
      </c>
      <c r="B6389" s="67">
        <v>106.6516</v>
      </c>
      <c r="C6389" s="67">
        <v>10.9756</v>
      </c>
      <c r="D6389" s="67">
        <v>106.6583</v>
      </c>
      <c r="E6389" s="68">
        <v>6.84</v>
      </c>
    </row>
    <row r="6390" ht="22.5" customHeight="1">
      <c r="A6390" s="61">
        <v>11.02204</v>
      </c>
      <c r="B6390" s="63">
        <v>106.6516</v>
      </c>
      <c r="C6390" s="63">
        <v>10.97922</v>
      </c>
      <c r="D6390" s="63">
        <v>106.6555</v>
      </c>
      <c r="E6390" s="64">
        <v>6.052</v>
      </c>
    </row>
    <row r="6391" ht="22.5" customHeight="1">
      <c r="A6391" s="66">
        <v>11.02204</v>
      </c>
      <c r="B6391" s="67">
        <v>106.6516</v>
      </c>
      <c r="C6391" s="67">
        <v>10.9821</v>
      </c>
      <c r="D6391" s="67">
        <v>106.668</v>
      </c>
      <c r="E6391" s="68">
        <v>6.966</v>
      </c>
    </row>
    <row r="6392" ht="22.5" customHeight="1">
      <c r="A6392" s="61">
        <v>11.02204</v>
      </c>
      <c r="B6392" s="63">
        <v>106.6516</v>
      </c>
      <c r="C6392" s="63">
        <v>10.98262</v>
      </c>
      <c r="D6392" s="63">
        <v>106.6548</v>
      </c>
      <c r="E6392" s="64">
        <v>6.343</v>
      </c>
    </row>
    <row r="6393" ht="22.5" customHeight="1">
      <c r="A6393" s="66">
        <v>11.02204</v>
      </c>
      <c r="B6393" s="67">
        <v>106.6516</v>
      </c>
      <c r="C6393" s="67">
        <v>10.99605</v>
      </c>
      <c r="D6393" s="67">
        <v>106.6561</v>
      </c>
      <c r="E6393" s="68">
        <v>4.913</v>
      </c>
    </row>
    <row r="6394" ht="22.5" customHeight="1">
      <c r="A6394" s="61">
        <v>11.02204</v>
      </c>
      <c r="B6394" s="63">
        <v>106.6516</v>
      </c>
      <c r="C6394" s="63">
        <v>10.99725</v>
      </c>
      <c r="D6394" s="63">
        <v>106.6752</v>
      </c>
      <c r="E6394" s="64">
        <v>4.573</v>
      </c>
    </row>
    <row r="6395" ht="22.5" customHeight="1">
      <c r="A6395" s="66">
        <v>11.02204</v>
      </c>
      <c r="B6395" s="67">
        <v>106.6516</v>
      </c>
      <c r="C6395" s="67">
        <v>11.09046</v>
      </c>
      <c r="D6395" s="67">
        <v>106.5435</v>
      </c>
      <c r="E6395" s="68">
        <v>17.446</v>
      </c>
    </row>
    <row r="6396" ht="22.5" customHeight="1">
      <c r="A6396" s="61">
        <v>11.02204</v>
      </c>
      <c r="B6396" s="63">
        <v>106.6516</v>
      </c>
      <c r="C6396" s="63">
        <v>11.12413</v>
      </c>
      <c r="D6396" s="63">
        <v>106.6037</v>
      </c>
      <c r="E6396" s="64">
        <v>15.087</v>
      </c>
    </row>
    <row r="6397" ht="22.5" customHeight="1">
      <c r="A6397" s="66">
        <v>11.02204</v>
      </c>
      <c r="B6397" s="67">
        <v>106.6516</v>
      </c>
      <c r="C6397" s="67">
        <v>11.13011</v>
      </c>
      <c r="D6397" s="67">
        <v>106.6034</v>
      </c>
      <c r="E6397" s="68">
        <v>14.875</v>
      </c>
    </row>
    <row r="6398" ht="22.5" customHeight="1">
      <c r="A6398" s="61">
        <v>11.02429</v>
      </c>
      <c r="B6398" s="63">
        <v>106.7179</v>
      </c>
      <c r="C6398" s="63">
        <v>10.97922</v>
      </c>
      <c r="D6398" s="63">
        <v>106.6555</v>
      </c>
      <c r="E6398" s="64">
        <v>11.37</v>
      </c>
    </row>
    <row r="6399" ht="22.5" customHeight="1">
      <c r="A6399" s="66">
        <v>11.02429</v>
      </c>
      <c r="B6399" s="67">
        <v>106.7179</v>
      </c>
      <c r="C6399" s="67">
        <v>11.08544</v>
      </c>
      <c r="D6399" s="67">
        <v>106.7803</v>
      </c>
      <c r="E6399" s="68">
        <v>12.628</v>
      </c>
    </row>
    <row r="6400" ht="22.5" customHeight="1">
      <c r="A6400" s="61">
        <v>11.02713</v>
      </c>
      <c r="B6400" s="63">
        <v>106.6461</v>
      </c>
      <c r="C6400" s="63">
        <v>10.97922</v>
      </c>
      <c r="D6400" s="63">
        <v>106.6555</v>
      </c>
      <c r="E6400" s="64">
        <v>7.609</v>
      </c>
    </row>
    <row r="6401" ht="22.5" customHeight="1">
      <c r="A6401" s="66">
        <v>11.02754</v>
      </c>
      <c r="B6401" s="67">
        <v>106.3768</v>
      </c>
      <c r="C6401" s="67">
        <v>10.97037</v>
      </c>
      <c r="D6401" s="67">
        <v>106.4895</v>
      </c>
      <c r="E6401" s="68">
        <v>14.717</v>
      </c>
    </row>
    <row r="6402" ht="22.5" customHeight="1">
      <c r="A6402" s="61">
        <v>11.02754</v>
      </c>
      <c r="B6402" s="63">
        <v>106.3768</v>
      </c>
      <c r="C6402" s="63">
        <v>10.97089</v>
      </c>
      <c r="D6402" s="63">
        <v>106.4823</v>
      </c>
      <c r="E6402" s="64">
        <v>14.385</v>
      </c>
    </row>
    <row r="6403" ht="22.5" customHeight="1">
      <c r="A6403" s="66">
        <v>11.02754</v>
      </c>
      <c r="B6403" s="67">
        <v>106.3768</v>
      </c>
      <c r="C6403" s="67">
        <v>10.97458</v>
      </c>
      <c r="D6403" s="67">
        <v>106.4804</v>
      </c>
      <c r="E6403" s="68">
        <v>12.838</v>
      </c>
    </row>
    <row r="6404" ht="22.5" customHeight="1">
      <c r="A6404" s="61">
        <v>11.02754</v>
      </c>
      <c r="B6404" s="63">
        <v>106.3768</v>
      </c>
      <c r="C6404" s="63">
        <v>10.97728</v>
      </c>
      <c r="D6404" s="63">
        <v>106.5021</v>
      </c>
      <c r="E6404" s="64">
        <v>15.897</v>
      </c>
    </row>
    <row r="6405" ht="22.5" customHeight="1">
      <c r="A6405" s="66">
        <v>11.02754</v>
      </c>
      <c r="B6405" s="67">
        <v>106.3768</v>
      </c>
      <c r="C6405" s="67">
        <v>10.98366</v>
      </c>
      <c r="D6405" s="67">
        <v>106.574</v>
      </c>
      <c r="E6405" s="68">
        <v>24.017</v>
      </c>
    </row>
    <row r="6406" ht="22.5" customHeight="1">
      <c r="A6406" s="61">
        <v>11.02754</v>
      </c>
      <c r="B6406" s="63">
        <v>106.3768</v>
      </c>
      <c r="C6406" s="63">
        <v>10.98384</v>
      </c>
      <c r="D6406" s="63">
        <v>106.5746</v>
      </c>
      <c r="E6406" s="64">
        <v>24.1</v>
      </c>
    </row>
    <row r="6407" ht="22.5" customHeight="1">
      <c r="A6407" s="66">
        <v>11.02754</v>
      </c>
      <c r="B6407" s="67">
        <v>106.3768</v>
      </c>
      <c r="C6407" s="67">
        <v>11.05878</v>
      </c>
      <c r="D6407" s="67">
        <v>106.4749</v>
      </c>
      <c r="E6407" s="68">
        <v>14.78</v>
      </c>
    </row>
    <row r="6408" ht="22.5" customHeight="1">
      <c r="A6408" s="61">
        <v>11.04031</v>
      </c>
      <c r="B6408" s="63">
        <v>106.4538</v>
      </c>
      <c r="C6408" s="63">
        <v>10.97037</v>
      </c>
      <c r="D6408" s="63">
        <v>106.4895</v>
      </c>
      <c r="E6408" s="64">
        <v>10.437</v>
      </c>
    </row>
    <row r="6409" ht="22.5" customHeight="1">
      <c r="A6409" s="66">
        <v>11.04031</v>
      </c>
      <c r="B6409" s="67">
        <v>106.4538</v>
      </c>
      <c r="C6409" s="67">
        <v>10.97728</v>
      </c>
      <c r="D6409" s="67">
        <v>106.5021</v>
      </c>
      <c r="E6409" s="68">
        <v>10.771</v>
      </c>
    </row>
    <row r="6410" ht="22.5" customHeight="1">
      <c r="A6410" s="61">
        <v>11.04915</v>
      </c>
      <c r="B6410" s="63">
        <v>106.6806</v>
      </c>
      <c r="C6410" s="63">
        <v>10.97922</v>
      </c>
      <c r="D6410" s="63">
        <v>106.6555</v>
      </c>
      <c r="E6410" s="64">
        <v>9.37</v>
      </c>
    </row>
    <row r="6411" ht="22.5" customHeight="1">
      <c r="A6411" s="66">
        <v>11.05878</v>
      </c>
      <c r="B6411" s="67">
        <v>106.4749</v>
      </c>
      <c r="C6411" s="67">
        <v>10.97037</v>
      </c>
      <c r="D6411" s="67">
        <v>106.4895</v>
      </c>
      <c r="E6411" s="68">
        <v>12.53</v>
      </c>
    </row>
    <row r="6412" ht="22.5" customHeight="1">
      <c r="A6412" s="61">
        <v>11.05878</v>
      </c>
      <c r="B6412" s="63">
        <v>106.4749</v>
      </c>
      <c r="C6412" s="63">
        <v>10.97702</v>
      </c>
      <c r="D6412" s="63">
        <v>106.502</v>
      </c>
      <c r="E6412" s="64">
        <v>12.658</v>
      </c>
    </row>
    <row r="6413" ht="22.5" customHeight="1">
      <c r="A6413" s="66">
        <v>11.05878</v>
      </c>
      <c r="B6413" s="67">
        <v>106.4749</v>
      </c>
      <c r="C6413" s="67">
        <v>10.97728</v>
      </c>
      <c r="D6413" s="67">
        <v>106.5021</v>
      </c>
      <c r="E6413" s="68">
        <v>12.662</v>
      </c>
    </row>
    <row r="6414" ht="22.5" customHeight="1">
      <c r="A6414" s="61">
        <v>11.07795</v>
      </c>
      <c r="B6414" s="63">
        <v>106.7973</v>
      </c>
      <c r="C6414" s="63">
        <v>10.97922</v>
      </c>
      <c r="D6414" s="63">
        <v>106.6555</v>
      </c>
      <c r="E6414" s="64">
        <v>23.514</v>
      </c>
    </row>
    <row r="6415" ht="22.5" customHeight="1">
      <c r="A6415" s="66">
        <v>11.08541</v>
      </c>
      <c r="B6415" s="67">
        <v>106.5093</v>
      </c>
      <c r="C6415" s="67">
        <v>10.97037</v>
      </c>
      <c r="D6415" s="67">
        <v>106.4895</v>
      </c>
      <c r="E6415" s="68">
        <v>16.571</v>
      </c>
    </row>
    <row r="6416" ht="22.5" customHeight="1">
      <c r="A6416" s="61">
        <v>11.08543</v>
      </c>
      <c r="B6416" s="63">
        <v>106.7803</v>
      </c>
      <c r="C6416" s="63">
        <v>10.97922</v>
      </c>
      <c r="D6416" s="63">
        <v>106.6555</v>
      </c>
      <c r="E6416" s="64">
        <v>23.768</v>
      </c>
    </row>
    <row r="6417" ht="22.5" customHeight="1">
      <c r="A6417" s="66">
        <v>11.08544</v>
      </c>
      <c r="B6417" s="67">
        <v>106.7803</v>
      </c>
      <c r="C6417" s="67">
        <v>10.97922</v>
      </c>
      <c r="D6417" s="67">
        <v>106.6555</v>
      </c>
      <c r="E6417" s="68">
        <v>25.204</v>
      </c>
    </row>
    <row r="6418" ht="22.5" customHeight="1">
      <c r="A6418" s="61">
        <v>11.08544</v>
      </c>
      <c r="B6418" s="63">
        <v>106.7803</v>
      </c>
      <c r="C6418" s="63">
        <v>11.12413</v>
      </c>
      <c r="D6418" s="63">
        <v>106.6037</v>
      </c>
      <c r="E6418" s="64">
        <v>27.468</v>
      </c>
    </row>
    <row r="6419" ht="22.5" customHeight="1">
      <c r="A6419" s="66">
        <v>11.08544</v>
      </c>
      <c r="B6419" s="67">
        <v>106.7803</v>
      </c>
      <c r="C6419" s="67">
        <v>11.13011</v>
      </c>
      <c r="D6419" s="67">
        <v>106.6034</v>
      </c>
      <c r="E6419" s="68">
        <v>27.25</v>
      </c>
    </row>
    <row r="6420" ht="22.5" customHeight="1">
      <c r="A6420" s="61">
        <v>11.09046</v>
      </c>
      <c r="B6420" s="63">
        <v>106.5435</v>
      </c>
      <c r="C6420" s="63">
        <v>10.97922</v>
      </c>
      <c r="D6420" s="63">
        <v>106.6555</v>
      </c>
      <c r="E6420" s="64">
        <v>18.219</v>
      </c>
    </row>
    <row r="6421" ht="22.5" customHeight="1">
      <c r="A6421" s="66">
        <v>11.09046</v>
      </c>
      <c r="B6421" s="67">
        <v>106.5435</v>
      </c>
      <c r="C6421" s="67">
        <v>10.99725</v>
      </c>
      <c r="D6421" s="67">
        <v>106.6752</v>
      </c>
      <c r="E6421" s="68">
        <v>19.218</v>
      </c>
    </row>
    <row r="6422" ht="22.5" customHeight="1">
      <c r="A6422" s="61">
        <v>11.09046</v>
      </c>
      <c r="B6422" s="63">
        <v>106.5435</v>
      </c>
      <c r="C6422" s="63">
        <v>11.00738</v>
      </c>
      <c r="D6422" s="63">
        <v>106.6348</v>
      </c>
      <c r="E6422" s="64">
        <v>14.574</v>
      </c>
    </row>
    <row r="6423" ht="22.5" customHeight="1">
      <c r="A6423" s="66">
        <v>11.09046</v>
      </c>
      <c r="B6423" s="67">
        <v>106.5435</v>
      </c>
      <c r="C6423" s="67">
        <v>11.02204</v>
      </c>
      <c r="D6423" s="67">
        <v>106.6516</v>
      </c>
      <c r="E6423" s="68">
        <v>14.969</v>
      </c>
    </row>
    <row r="6424" ht="22.5" customHeight="1">
      <c r="A6424" s="61">
        <v>11.09046</v>
      </c>
      <c r="B6424" s="63">
        <v>106.5435</v>
      </c>
      <c r="C6424" s="63">
        <v>11.12413</v>
      </c>
      <c r="D6424" s="63">
        <v>106.6037</v>
      </c>
      <c r="E6424" s="64">
        <v>11.475</v>
      </c>
    </row>
    <row r="6425" ht="22.5" customHeight="1">
      <c r="A6425" s="66">
        <v>11.09046</v>
      </c>
      <c r="B6425" s="67">
        <v>106.5435</v>
      </c>
      <c r="C6425" s="67">
        <v>11.13011</v>
      </c>
      <c r="D6425" s="67">
        <v>106.6034</v>
      </c>
      <c r="E6425" s="68">
        <v>12.032</v>
      </c>
    </row>
    <row r="6426" ht="22.5" customHeight="1">
      <c r="A6426" s="61">
        <v>11.0935</v>
      </c>
      <c r="B6426" s="63">
        <v>106.8333</v>
      </c>
      <c r="C6426" s="63">
        <v>10.97922</v>
      </c>
      <c r="D6426" s="63">
        <v>106.6555</v>
      </c>
      <c r="E6426" s="64">
        <v>28.267</v>
      </c>
    </row>
    <row r="6427" ht="22.5" customHeight="1">
      <c r="A6427" s="66">
        <v>11.12413</v>
      </c>
      <c r="B6427" s="67">
        <v>106.6037</v>
      </c>
      <c r="C6427" s="67">
        <v>10.97922</v>
      </c>
      <c r="D6427" s="67">
        <v>106.6555</v>
      </c>
      <c r="E6427" s="68">
        <v>19.048</v>
      </c>
    </row>
    <row r="6428" ht="22.5" customHeight="1">
      <c r="A6428" s="61">
        <v>11.12413</v>
      </c>
      <c r="B6428" s="63">
        <v>106.6037</v>
      </c>
      <c r="C6428" s="63">
        <v>10.99725</v>
      </c>
      <c r="D6428" s="63">
        <v>106.6752</v>
      </c>
      <c r="E6428" s="64">
        <v>21.402</v>
      </c>
    </row>
    <row r="6429" ht="22.5" customHeight="1">
      <c r="A6429" s="66">
        <v>11.12413</v>
      </c>
      <c r="B6429" s="67">
        <v>106.6037</v>
      </c>
      <c r="C6429" s="67">
        <v>11.02204</v>
      </c>
      <c r="D6429" s="67">
        <v>106.6516</v>
      </c>
      <c r="E6429" s="68">
        <v>14.805</v>
      </c>
    </row>
    <row r="6430" ht="22.5" customHeight="1">
      <c r="A6430" s="61">
        <v>11.12413</v>
      </c>
      <c r="B6430" s="63">
        <v>106.6037</v>
      </c>
      <c r="C6430" s="63">
        <v>11.09046</v>
      </c>
      <c r="D6430" s="63">
        <v>106.5435</v>
      </c>
      <c r="E6430" s="64">
        <v>13.692</v>
      </c>
    </row>
    <row r="6431" ht="22.5" customHeight="1">
      <c r="A6431" s="66">
        <v>11.12413</v>
      </c>
      <c r="B6431" s="67">
        <v>106.6037</v>
      </c>
      <c r="C6431" s="67">
        <v>11.13011</v>
      </c>
      <c r="D6431" s="67">
        <v>106.6034</v>
      </c>
      <c r="E6431" s="68">
        <v>0.648</v>
      </c>
    </row>
    <row r="6432" ht="22.5" customHeight="1">
      <c r="A6432" s="61">
        <v>11.13011</v>
      </c>
      <c r="B6432" s="63">
        <v>106.6034</v>
      </c>
      <c r="C6432" s="63">
        <v>10.97922</v>
      </c>
      <c r="D6432" s="63">
        <v>106.6555</v>
      </c>
      <c r="E6432" s="64">
        <v>19.285</v>
      </c>
    </row>
    <row r="6433" ht="22.5" customHeight="1">
      <c r="A6433" s="66">
        <v>11.13011</v>
      </c>
      <c r="B6433" s="67">
        <v>106.6034</v>
      </c>
      <c r="C6433" s="67">
        <v>10.98262</v>
      </c>
      <c r="D6433" s="67">
        <v>106.6548</v>
      </c>
      <c r="E6433" s="68">
        <v>19.344</v>
      </c>
    </row>
    <row r="6434" ht="22.5" customHeight="1">
      <c r="A6434" s="61">
        <v>11.13011</v>
      </c>
      <c r="B6434" s="63">
        <v>106.6034</v>
      </c>
      <c r="C6434" s="63">
        <v>10.99725</v>
      </c>
      <c r="D6434" s="63">
        <v>106.6752</v>
      </c>
      <c r="E6434" s="64">
        <v>20.212</v>
      </c>
    </row>
    <row r="6435" ht="22.5" customHeight="1">
      <c r="A6435" s="66">
        <v>11.13011</v>
      </c>
      <c r="B6435" s="67">
        <v>106.6034</v>
      </c>
      <c r="C6435" s="67">
        <v>11.02204</v>
      </c>
      <c r="D6435" s="67">
        <v>106.6516</v>
      </c>
      <c r="E6435" s="68">
        <v>14.564</v>
      </c>
    </row>
    <row r="6436" ht="22.5" customHeight="1">
      <c r="A6436" s="61">
        <v>11.13011</v>
      </c>
      <c r="B6436" s="63">
        <v>106.6034</v>
      </c>
      <c r="C6436" s="63">
        <v>11.09046</v>
      </c>
      <c r="D6436" s="63">
        <v>106.5435</v>
      </c>
      <c r="E6436" s="64">
        <v>14.329</v>
      </c>
    </row>
    <row r="6437" ht="22.5" customHeight="1">
      <c r="A6437" s="66">
        <v>11.13011</v>
      </c>
      <c r="B6437" s="67">
        <v>106.6034</v>
      </c>
      <c r="C6437" s="67">
        <v>11.12413</v>
      </c>
      <c r="D6437" s="67">
        <v>106.6037</v>
      </c>
      <c r="E6437" s="68">
        <v>0.645</v>
      </c>
    </row>
    <row r="6438" ht="22.5" customHeight="1">
      <c r="A6438" s="61">
        <v>11.14534</v>
      </c>
      <c r="B6438" s="63">
        <v>106.6</v>
      </c>
      <c r="C6438" s="63">
        <v>10.97922</v>
      </c>
      <c r="D6438" s="63">
        <v>106.6555</v>
      </c>
      <c r="E6438" s="64">
        <v>20.572</v>
      </c>
    </row>
    <row r="6439" ht="22.5" customHeight="1">
      <c r="A6439" s="71">
        <v>10.76163</v>
      </c>
      <c r="B6439" s="71">
        <v>106.6769</v>
      </c>
      <c r="C6439" s="71">
        <v>10.97922</v>
      </c>
      <c r="D6439" s="71">
        <v>106.6555</v>
      </c>
      <c r="E6439" s="71">
        <v>32.7</v>
      </c>
    </row>
    <row r="6440" ht="22.5" customHeight="1">
      <c r="A6440" s="71">
        <v>10.76163</v>
      </c>
      <c r="B6440" s="71">
        <v>106.6769</v>
      </c>
      <c r="C6440" s="71">
        <v>10.77509</v>
      </c>
      <c r="D6440" s="71">
        <v>106.6727</v>
      </c>
      <c r="E6440" s="71">
        <v>1.7</v>
      </c>
    </row>
    <row r="6441" ht="22.5" customHeight="1">
      <c r="A6441" s="71">
        <v>10.76163</v>
      </c>
      <c r="B6441" s="71">
        <v>106.6769</v>
      </c>
      <c r="C6441" s="71">
        <v>10.77509</v>
      </c>
      <c r="D6441" s="71">
        <v>106.6727</v>
      </c>
      <c r="E6441" s="71">
        <v>1.7</v>
      </c>
    </row>
    <row r="6442" ht="22.5" customHeight="1">
      <c r="A6442" s="71">
        <v>10.90846</v>
      </c>
      <c r="B6442" s="71">
        <v>106.7403</v>
      </c>
      <c r="C6442" s="71">
        <v>10.90561</v>
      </c>
      <c r="D6442" s="71">
        <v>106.7682</v>
      </c>
      <c r="E6442" s="71">
        <v>3.3</v>
      </c>
    </row>
    <row r="6443" ht="22.5" customHeight="1">
      <c r="A6443" s="71">
        <v>10.76163</v>
      </c>
      <c r="B6443" s="71">
        <v>106.6769</v>
      </c>
      <c r="C6443" s="71">
        <v>10.75113</v>
      </c>
      <c r="D6443" s="71">
        <v>106.635</v>
      </c>
      <c r="E6443" s="71">
        <v>5.3</v>
      </c>
    </row>
    <row r="6444" ht="22.5" customHeight="1">
      <c r="A6444" s="71">
        <v>10.76656</v>
      </c>
      <c r="B6444" s="71">
        <v>106.726</v>
      </c>
      <c r="C6444" s="71">
        <v>10.79036</v>
      </c>
      <c r="D6444" s="71">
        <v>106.6973</v>
      </c>
      <c r="E6444" s="71">
        <v>4.9</v>
      </c>
    </row>
    <row r="6445" ht="22.5" customHeight="1">
      <c r="A6445" s="71">
        <v>10.76163</v>
      </c>
      <c r="B6445" s="71">
        <v>106.6769</v>
      </c>
      <c r="C6445" s="71">
        <v>10.85846</v>
      </c>
      <c r="D6445" s="71">
        <v>106.7487</v>
      </c>
      <c r="E6445" s="71">
        <v>15.0</v>
      </c>
    </row>
    <row r="6446" ht="22.5" customHeight="1">
      <c r="A6446" s="71">
        <v>10.85911</v>
      </c>
      <c r="B6446" s="71">
        <v>106.6124</v>
      </c>
      <c r="C6446" s="71">
        <v>10.79975</v>
      </c>
      <c r="D6446" s="71">
        <v>106.6696</v>
      </c>
      <c r="E6446" s="71">
        <v>11.2</v>
      </c>
    </row>
    <row r="6447" ht="22.5" customHeight="1">
      <c r="A6447" s="71">
        <v>10.77212</v>
      </c>
      <c r="B6447" s="71">
        <v>106.6497</v>
      </c>
      <c r="C6447" s="71">
        <v>10.77509</v>
      </c>
      <c r="D6447" s="71">
        <v>106.6727</v>
      </c>
      <c r="E6447" s="71">
        <v>4.0</v>
      </c>
    </row>
    <row r="6448" ht="22.5" customHeight="1">
      <c r="A6448" s="71">
        <v>10.80128</v>
      </c>
      <c r="B6448" s="71">
        <v>106.7329</v>
      </c>
      <c r="C6448" s="71">
        <v>10.79036</v>
      </c>
      <c r="D6448" s="71">
        <v>106.6973</v>
      </c>
      <c r="E6448" s="71">
        <v>7.3</v>
      </c>
    </row>
    <row r="6449" ht="22.5" customHeight="1">
      <c r="A6449" s="71">
        <v>10.76163</v>
      </c>
      <c r="B6449" s="71">
        <v>106.6769</v>
      </c>
      <c r="C6449" s="71">
        <v>10.77509</v>
      </c>
      <c r="D6449" s="71">
        <v>106.6727</v>
      </c>
      <c r="E6449" s="71">
        <v>1.7</v>
      </c>
    </row>
    <row r="6450" ht="22.5" customHeight="1">
      <c r="A6450" s="71">
        <v>10.87223</v>
      </c>
      <c r="B6450" s="71">
        <v>106.7336</v>
      </c>
      <c r="C6450" s="71">
        <v>10.79036</v>
      </c>
      <c r="D6450" s="71">
        <v>106.6973</v>
      </c>
      <c r="E6450" s="71">
        <v>11.7</v>
      </c>
    </row>
    <row r="6451" ht="22.5" customHeight="1">
      <c r="A6451" s="71">
        <v>10.79792</v>
      </c>
      <c r="B6451" s="71">
        <v>106.7177</v>
      </c>
      <c r="C6451" s="71">
        <v>10.77509</v>
      </c>
      <c r="D6451" s="71">
        <v>106.6727</v>
      </c>
      <c r="E6451" s="71">
        <v>7.6</v>
      </c>
    </row>
    <row r="6452" ht="22.5" customHeight="1">
      <c r="A6452" s="71">
        <v>10.90586</v>
      </c>
      <c r="B6452" s="71">
        <v>106.6438</v>
      </c>
      <c r="C6452" s="71">
        <v>10.79975</v>
      </c>
      <c r="D6452" s="71">
        <v>106.6696</v>
      </c>
      <c r="E6452" s="71">
        <v>14.8</v>
      </c>
    </row>
    <row r="6453" ht="22.5" customHeight="1">
      <c r="A6453" s="71">
        <v>10.76163</v>
      </c>
      <c r="B6453" s="71">
        <v>106.6769</v>
      </c>
      <c r="C6453" s="71">
        <v>10.75807</v>
      </c>
      <c r="D6453" s="71">
        <v>106.6856</v>
      </c>
      <c r="E6453" s="71">
        <v>1.6</v>
      </c>
    </row>
    <row r="6454" ht="22.5" customHeight="1">
      <c r="A6454" s="71">
        <v>10.76163</v>
      </c>
      <c r="B6454" s="71">
        <v>106.6769</v>
      </c>
      <c r="C6454" s="71">
        <v>10.75643</v>
      </c>
      <c r="D6454" s="71">
        <v>106.6734</v>
      </c>
      <c r="E6454" s="71">
        <v>1.0</v>
      </c>
    </row>
    <row r="6455" ht="22.5" customHeight="1">
      <c r="A6455" s="71">
        <v>10.90325</v>
      </c>
      <c r="B6455" s="71">
        <v>106.7555</v>
      </c>
      <c r="C6455" s="71">
        <v>10.85846</v>
      </c>
      <c r="D6455" s="71">
        <v>106.7487</v>
      </c>
      <c r="E6455" s="71">
        <v>6.2</v>
      </c>
    </row>
    <row r="6456" ht="22.5" customHeight="1">
      <c r="A6456" s="71">
        <v>10.80788</v>
      </c>
      <c r="B6456" s="71">
        <v>106.8271</v>
      </c>
      <c r="C6456" s="71">
        <v>10.79036</v>
      </c>
      <c r="D6456" s="71">
        <v>106.6973</v>
      </c>
      <c r="E6456" s="71">
        <v>17.3</v>
      </c>
    </row>
    <row r="6457" ht="22.5" customHeight="1">
      <c r="A6457" s="71">
        <v>10.77584</v>
      </c>
      <c r="B6457" s="71">
        <v>106.6133</v>
      </c>
      <c r="C6457" s="71">
        <v>10.74602</v>
      </c>
      <c r="D6457" s="71">
        <v>106.6123</v>
      </c>
      <c r="E6457" s="71">
        <v>3.7</v>
      </c>
    </row>
    <row r="6458" ht="22.5" customHeight="1">
      <c r="A6458" s="71">
        <v>10.81494</v>
      </c>
      <c r="B6458" s="71">
        <v>106.5854</v>
      </c>
      <c r="C6458" s="71">
        <v>10.76707</v>
      </c>
      <c r="D6458" s="71">
        <v>106.6493</v>
      </c>
      <c r="E6458" s="71">
        <v>10.5</v>
      </c>
    </row>
    <row r="6459" ht="22.5" customHeight="1">
      <c r="A6459" s="71">
        <v>10.76163</v>
      </c>
      <c r="B6459" s="71">
        <v>106.6769</v>
      </c>
      <c r="C6459" s="71">
        <v>10.75643</v>
      </c>
      <c r="D6459" s="71">
        <v>106.6734</v>
      </c>
      <c r="E6459" s="71">
        <v>1.0</v>
      </c>
    </row>
    <row r="6460" ht="22.5" customHeight="1">
      <c r="A6460" s="71">
        <v>10.76163</v>
      </c>
      <c r="B6460" s="71">
        <v>106.6769</v>
      </c>
      <c r="C6460" s="71">
        <v>10.76195</v>
      </c>
      <c r="D6460" s="71">
        <v>106.6569</v>
      </c>
      <c r="E6460" s="71">
        <v>2.9</v>
      </c>
    </row>
    <row r="6461" ht="22.5" customHeight="1">
      <c r="A6461" s="71">
        <v>10.75327</v>
      </c>
      <c r="B6461" s="71">
        <v>106.6539</v>
      </c>
      <c r="C6461" s="71">
        <v>10.77509</v>
      </c>
      <c r="D6461" s="71">
        <v>106.6727</v>
      </c>
      <c r="E6461" s="71">
        <v>3.9</v>
      </c>
    </row>
    <row r="6462" ht="22.5" customHeight="1">
      <c r="A6462" s="71">
        <v>10.76163</v>
      </c>
      <c r="B6462" s="71">
        <v>106.6769</v>
      </c>
      <c r="C6462" s="71">
        <v>10.77509</v>
      </c>
      <c r="D6462" s="71">
        <v>106.6727</v>
      </c>
      <c r="E6462" s="71">
        <v>1.7</v>
      </c>
    </row>
    <row r="6463" ht="22.5" customHeight="1">
      <c r="A6463" s="71">
        <v>10.76163</v>
      </c>
      <c r="B6463" s="71">
        <v>106.6769</v>
      </c>
      <c r="C6463" s="71">
        <v>10.36121</v>
      </c>
      <c r="D6463" s="71">
        <v>107.0756</v>
      </c>
      <c r="E6463" s="71">
        <v>114.3</v>
      </c>
    </row>
    <row r="6464" ht="22.5" customHeight="1">
      <c r="A6464" s="71">
        <v>10.67316</v>
      </c>
      <c r="B6464" s="71">
        <v>106.7308</v>
      </c>
      <c r="C6464" s="71">
        <v>10.73842</v>
      </c>
      <c r="D6464" s="71">
        <v>106.7164</v>
      </c>
      <c r="E6464" s="71">
        <v>10.4</v>
      </c>
    </row>
    <row r="6465" ht="22.5" customHeight="1">
      <c r="A6465" s="71">
        <v>10.98384</v>
      </c>
      <c r="B6465" s="71">
        <v>106.5746</v>
      </c>
      <c r="C6465" s="71">
        <v>10.82721</v>
      </c>
      <c r="D6465" s="71">
        <v>106.6247</v>
      </c>
      <c r="E6465" s="71">
        <v>20.5</v>
      </c>
    </row>
    <row r="6466" ht="22.5" customHeight="1">
      <c r="A6466" s="71">
        <v>10.87884</v>
      </c>
      <c r="B6466" s="71">
        <v>106.7667</v>
      </c>
      <c r="C6466" s="71">
        <v>10.79036</v>
      </c>
      <c r="D6466" s="71">
        <v>106.6973</v>
      </c>
      <c r="E6466" s="71">
        <v>14.4</v>
      </c>
    </row>
    <row r="6467" ht="22.5" customHeight="1">
      <c r="A6467" s="71">
        <v>10.7716</v>
      </c>
      <c r="B6467" s="71">
        <v>106.6285</v>
      </c>
      <c r="C6467" s="71">
        <v>10.77509</v>
      </c>
      <c r="D6467" s="71">
        <v>106.6727</v>
      </c>
      <c r="E6467" s="71">
        <v>6.3</v>
      </c>
    </row>
    <row r="6468" ht="22.5" customHeight="1">
      <c r="A6468" s="71">
        <v>10.86595</v>
      </c>
      <c r="B6468" s="71">
        <v>106.7401</v>
      </c>
      <c r="C6468" s="71">
        <v>10.79036</v>
      </c>
      <c r="D6468" s="71">
        <v>106.6973</v>
      </c>
      <c r="E6468" s="71">
        <v>12.9</v>
      </c>
    </row>
    <row r="6469" ht="22.5" customHeight="1">
      <c r="A6469" s="71">
        <v>10.76163</v>
      </c>
      <c r="B6469" s="71">
        <v>106.6769</v>
      </c>
      <c r="C6469" s="71">
        <v>10.85846</v>
      </c>
      <c r="D6469" s="71">
        <v>106.7487</v>
      </c>
      <c r="E6469" s="71">
        <v>15.0</v>
      </c>
    </row>
    <row r="6470" ht="22.5" customHeight="1">
      <c r="A6470" s="71">
        <v>10.99725</v>
      </c>
      <c r="B6470" s="71">
        <v>106.6752</v>
      </c>
      <c r="C6470" s="71">
        <v>10.85846</v>
      </c>
      <c r="D6470" s="71">
        <v>106.7487</v>
      </c>
      <c r="E6470" s="71">
        <v>21.4</v>
      </c>
    </row>
    <row r="6471" ht="22.5" customHeight="1">
      <c r="A6471" s="71">
        <v>10.76163</v>
      </c>
      <c r="B6471" s="71">
        <v>106.6769</v>
      </c>
      <c r="C6471" s="71">
        <v>10.77509</v>
      </c>
      <c r="D6471" s="71">
        <v>106.6727</v>
      </c>
      <c r="E6471" s="71">
        <v>1.7</v>
      </c>
    </row>
    <row r="6472" ht="22.5" customHeight="1"/>
    <row r="6473" ht="22.5" customHeight="1"/>
    <row r="6474" ht="22.5" customHeight="1"/>
    <row r="6475" ht="22.5" customHeight="1"/>
    <row r="6476" ht="22.5" customHeight="1"/>
    <row r="6477" ht="22.5" customHeight="1"/>
    <row r="6478" ht="22.5" customHeight="1"/>
    <row r="6479" ht="22.5" customHeight="1"/>
    <row r="6480" ht="22.5" customHeight="1"/>
    <row r="6481" ht="22.5" customHeight="1"/>
    <row r="6482" ht="22.5" customHeight="1"/>
    <row r="6483" ht="22.5" customHeight="1"/>
    <row r="6484" ht="22.5" customHeight="1"/>
    <row r="6485" ht="22.5" customHeight="1"/>
    <row r="6486" ht="22.5" customHeight="1"/>
    <row r="6487" ht="22.5" customHeight="1"/>
    <row r="6488" ht="22.5" customHeight="1"/>
    <row r="6489" ht="22.5" customHeight="1"/>
    <row r="6490" ht="22.5" customHeight="1"/>
    <row r="6491" ht="22.5" customHeight="1"/>
    <row r="6492" ht="22.5" customHeight="1"/>
    <row r="6493" ht="22.5" customHeight="1"/>
    <row r="6494" ht="22.5" customHeight="1"/>
    <row r="6495" ht="22.5" customHeight="1"/>
    <row r="6496" ht="22.5" customHeight="1"/>
    <row r="6497" ht="22.5" customHeight="1"/>
    <row r="6498" ht="22.5" customHeight="1"/>
    <row r="6499" ht="22.5" customHeight="1"/>
    <row r="6500" ht="22.5" customHeight="1"/>
    <row r="6501" ht="22.5" customHeight="1"/>
    <row r="6502" ht="22.5" customHeight="1"/>
    <row r="6503" ht="22.5" customHeight="1"/>
    <row r="6504" ht="22.5" customHeight="1"/>
    <row r="6505" ht="22.5" customHeight="1"/>
    <row r="6506" ht="22.5" customHeight="1"/>
    <row r="6507" ht="22.5" customHeight="1"/>
    <row r="6508" ht="22.5" customHeight="1"/>
    <row r="6509" ht="22.5" customHeight="1"/>
    <row r="6510" ht="22.5" customHeight="1"/>
    <row r="6511" ht="22.5" customHeight="1"/>
    <row r="6512" ht="22.5" customHeight="1"/>
    <row r="6513" ht="22.5" customHeight="1"/>
    <row r="6514" ht="22.5" customHeight="1"/>
    <row r="6515" ht="22.5" customHeight="1"/>
    <row r="6516" ht="22.5" customHeight="1"/>
    <row r="6517" ht="22.5" customHeight="1"/>
    <row r="6518" ht="22.5" customHeight="1"/>
    <row r="6519" ht="22.5" customHeight="1"/>
    <row r="6520" ht="22.5" customHeight="1"/>
    <row r="6521" ht="22.5" customHeight="1"/>
    <row r="6522" ht="22.5" customHeight="1"/>
    <row r="6523" ht="22.5" customHeight="1"/>
    <row r="6524" ht="22.5" customHeight="1"/>
    <row r="6525" ht="22.5" customHeight="1"/>
    <row r="6526" ht="22.5" customHeight="1"/>
    <row r="6527" ht="22.5" customHeight="1"/>
    <row r="6528" ht="22.5" customHeight="1"/>
    <row r="6529" ht="22.5" customHeight="1"/>
    <row r="6530" ht="22.5" customHeight="1"/>
    <row r="6531" ht="22.5" customHeight="1"/>
    <row r="6532" ht="22.5" customHeight="1"/>
    <row r="6533" ht="22.5" customHeight="1"/>
    <row r="6534" ht="22.5" customHeight="1"/>
    <row r="6535" ht="22.5" customHeight="1"/>
    <row r="6536" ht="22.5" customHeight="1"/>
    <row r="6537" ht="22.5" customHeight="1"/>
    <row r="6538" ht="22.5" customHeight="1"/>
    <row r="6539" ht="22.5" customHeight="1"/>
    <row r="6540" ht="22.5" customHeight="1"/>
    <row r="6541" ht="22.5" customHeight="1"/>
    <row r="6542" ht="22.5" customHeight="1"/>
    <row r="6543" ht="22.5" customHeight="1"/>
    <row r="6544" ht="22.5" customHeight="1"/>
    <row r="6545" ht="22.5" customHeight="1"/>
    <row r="6546" ht="22.5" customHeight="1"/>
    <row r="6547" ht="22.5" customHeight="1"/>
    <row r="6548" ht="22.5" customHeight="1"/>
    <row r="6549" ht="22.5" customHeight="1"/>
    <row r="6550" ht="22.5" customHeight="1"/>
    <row r="6551" ht="22.5" customHeight="1"/>
    <row r="6552" ht="22.5" customHeight="1"/>
    <row r="6553" ht="22.5" customHeight="1"/>
    <row r="6554" ht="22.5" customHeight="1"/>
    <row r="6555" ht="22.5" customHeight="1"/>
    <row r="6556" ht="22.5" customHeight="1"/>
    <row r="6557">
      <c r="A6557" s="72"/>
      <c r="B6557" s="72"/>
      <c r="C6557" s="72"/>
      <c r="D6557" s="72"/>
      <c r="E6557" s="72"/>
    </row>
    <row r="6558">
      <c r="A6558" s="72"/>
      <c r="B6558" s="72"/>
      <c r="C6558" s="72"/>
      <c r="D6558" s="72"/>
      <c r="E6558" s="72"/>
    </row>
    <row r="6559">
      <c r="A6559" s="72"/>
      <c r="B6559" s="72"/>
      <c r="C6559" s="72"/>
      <c r="D6559" s="72"/>
      <c r="E6559" s="72"/>
    </row>
    <row r="6560">
      <c r="A6560" s="72"/>
      <c r="B6560" s="72"/>
      <c r="C6560" s="72"/>
      <c r="D6560" s="72"/>
      <c r="E6560" s="72"/>
    </row>
    <row r="6561">
      <c r="A6561" s="72"/>
      <c r="B6561" s="72"/>
      <c r="C6561" s="72"/>
      <c r="D6561" s="72"/>
      <c r="E6561" s="72"/>
    </row>
    <row r="6562">
      <c r="A6562" s="72"/>
      <c r="B6562" s="72"/>
      <c r="C6562" s="72"/>
      <c r="D6562" s="72"/>
      <c r="E6562" s="72"/>
    </row>
    <row r="6563">
      <c r="A6563" s="72"/>
      <c r="B6563" s="72"/>
      <c r="C6563" s="72"/>
      <c r="D6563" s="72"/>
      <c r="E6563" s="72"/>
    </row>
    <row r="6564">
      <c r="A6564" s="72"/>
      <c r="B6564" s="72"/>
      <c r="C6564" s="72"/>
      <c r="D6564" s="72"/>
      <c r="E6564" s="72"/>
    </row>
    <row r="6565">
      <c r="A6565" s="72"/>
      <c r="B6565" s="72"/>
      <c r="C6565" s="72"/>
      <c r="D6565" s="72"/>
      <c r="E6565" s="72"/>
    </row>
    <row r="6566">
      <c r="A6566" s="72"/>
      <c r="B6566" s="72"/>
      <c r="C6566" s="72"/>
      <c r="D6566" s="72"/>
      <c r="E6566" s="72"/>
    </row>
    <row r="6567">
      <c r="A6567" s="72"/>
      <c r="B6567" s="72"/>
      <c r="C6567" s="72"/>
      <c r="D6567" s="72"/>
      <c r="E6567" s="72"/>
    </row>
    <row r="6568">
      <c r="A6568" s="72"/>
      <c r="B6568" s="72"/>
      <c r="C6568" s="72"/>
      <c r="D6568" s="72"/>
      <c r="E6568" s="72"/>
    </row>
    <row r="6569">
      <c r="A6569" s="72"/>
      <c r="B6569" s="72"/>
      <c r="C6569" s="72"/>
      <c r="D6569" s="72"/>
      <c r="E6569" s="72"/>
    </row>
    <row r="6570">
      <c r="A6570" s="72"/>
      <c r="B6570" s="72"/>
      <c r="C6570" s="72"/>
      <c r="D6570" s="72"/>
      <c r="E6570" s="72"/>
    </row>
    <row r="6571">
      <c r="A6571" s="72"/>
      <c r="B6571" s="72"/>
      <c r="C6571" s="72"/>
      <c r="D6571" s="72"/>
      <c r="E6571" s="72"/>
    </row>
    <row r="6572">
      <c r="A6572" s="72"/>
      <c r="B6572" s="72"/>
      <c r="C6572" s="72"/>
      <c r="D6572" s="72"/>
      <c r="E6572" s="72"/>
    </row>
    <row r="6573">
      <c r="A6573" s="72"/>
      <c r="B6573" s="72"/>
      <c r="C6573" s="72"/>
      <c r="D6573" s="72"/>
      <c r="E6573" s="72"/>
    </row>
    <row r="6574">
      <c r="A6574" s="72"/>
      <c r="B6574" s="72"/>
      <c r="C6574" s="72"/>
      <c r="D6574" s="72"/>
      <c r="E6574" s="72"/>
    </row>
    <row r="6575">
      <c r="A6575" s="72"/>
      <c r="B6575" s="72"/>
      <c r="C6575" s="72"/>
      <c r="D6575" s="72"/>
      <c r="E6575" s="72"/>
    </row>
    <row r="6576">
      <c r="A6576" s="72"/>
      <c r="B6576" s="72"/>
      <c r="C6576" s="72"/>
      <c r="D6576" s="72"/>
      <c r="E6576" s="72"/>
    </row>
    <row r="6577">
      <c r="A6577" s="72"/>
      <c r="B6577" s="72"/>
      <c r="C6577" s="72"/>
      <c r="D6577" s="72"/>
      <c r="E6577" s="72"/>
    </row>
    <row r="6578">
      <c r="A6578" s="72"/>
      <c r="B6578" s="72"/>
      <c r="C6578" s="72"/>
      <c r="D6578" s="72"/>
      <c r="E6578" s="72"/>
    </row>
    <row r="6579">
      <c r="A6579" s="72"/>
      <c r="B6579" s="72"/>
      <c r="C6579" s="72"/>
      <c r="D6579" s="72"/>
      <c r="E6579" s="72"/>
    </row>
    <row r="6580">
      <c r="A6580" s="72"/>
      <c r="B6580" s="72"/>
      <c r="C6580" s="72"/>
      <c r="D6580" s="72"/>
      <c r="E6580" s="72"/>
    </row>
    <row r="6581">
      <c r="A6581" s="72"/>
      <c r="B6581" s="72"/>
      <c r="C6581" s="72"/>
      <c r="D6581" s="72"/>
      <c r="E6581" s="72"/>
    </row>
    <row r="6582">
      <c r="A6582" s="72"/>
      <c r="B6582" s="72"/>
      <c r="C6582" s="72"/>
      <c r="D6582" s="72"/>
      <c r="E6582" s="72"/>
    </row>
    <row r="6583">
      <c r="A6583" s="72"/>
      <c r="B6583" s="72"/>
      <c r="C6583" s="72"/>
      <c r="D6583" s="72"/>
      <c r="E6583" s="72"/>
    </row>
    <row r="6584">
      <c r="A6584" s="72"/>
      <c r="B6584" s="72"/>
      <c r="C6584" s="72"/>
      <c r="D6584" s="72"/>
      <c r="E6584" s="72"/>
    </row>
    <row r="6585">
      <c r="A6585" s="72"/>
      <c r="B6585" s="72"/>
      <c r="C6585" s="72"/>
      <c r="D6585" s="72"/>
      <c r="E6585" s="72"/>
    </row>
    <row r="6586">
      <c r="A6586" s="72"/>
      <c r="B6586" s="72"/>
      <c r="C6586" s="72"/>
      <c r="D6586" s="72"/>
      <c r="E6586" s="72"/>
    </row>
    <row r="6587">
      <c r="A6587" s="72"/>
      <c r="B6587" s="72"/>
      <c r="C6587" s="72"/>
      <c r="D6587" s="72"/>
      <c r="E6587" s="72"/>
    </row>
    <row r="6588">
      <c r="A6588" s="72"/>
      <c r="B6588" s="72"/>
      <c r="C6588" s="72"/>
      <c r="D6588" s="72"/>
      <c r="E6588" s="72"/>
    </row>
    <row r="6589">
      <c r="A6589" s="72"/>
      <c r="B6589" s="72"/>
      <c r="C6589" s="72"/>
      <c r="D6589" s="72"/>
      <c r="E6589" s="72"/>
    </row>
    <row r="6590">
      <c r="A6590" s="72"/>
      <c r="B6590" s="72"/>
      <c r="C6590" s="72"/>
      <c r="D6590" s="72"/>
      <c r="E6590" s="72"/>
    </row>
    <row r="6591">
      <c r="A6591" s="72"/>
      <c r="B6591" s="72"/>
      <c r="C6591" s="72"/>
      <c r="D6591" s="72"/>
      <c r="E6591" s="72"/>
    </row>
    <row r="6592">
      <c r="A6592" s="72"/>
      <c r="B6592" s="72"/>
      <c r="C6592" s="72"/>
      <c r="D6592" s="72"/>
      <c r="E6592" s="72"/>
    </row>
    <row r="6593">
      <c r="A6593" s="72"/>
      <c r="B6593" s="72"/>
      <c r="C6593" s="72"/>
      <c r="D6593" s="72"/>
      <c r="E6593" s="72"/>
    </row>
    <row r="6594">
      <c r="A6594" s="72"/>
      <c r="B6594" s="72"/>
      <c r="C6594" s="72"/>
      <c r="D6594" s="72"/>
      <c r="E6594" s="72"/>
    </row>
    <row r="6595">
      <c r="A6595" s="72"/>
      <c r="B6595" s="72"/>
      <c r="C6595" s="72"/>
      <c r="D6595" s="72"/>
      <c r="E6595" s="72"/>
    </row>
    <row r="6596">
      <c r="A6596" s="72"/>
      <c r="B6596" s="72"/>
      <c r="C6596" s="72"/>
      <c r="D6596" s="72"/>
      <c r="E6596" s="72"/>
    </row>
    <row r="6597">
      <c r="A6597" s="72"/>
      <c r="B6597" s="72"/>
      <c r="C6597" s="72"/>
      <c r="D6597" s="72"/>
      <c r="E6597" s="72"/>
    </row>
    <row r="6598">
      <c r="A6598" s="72"/>
      <c r="B6598" s="72"/>
      <c r="C6598" s="72"/>
      <c r="D6598" s="72"/>
      <c r="E6598" s="72"/>
    </row>
    <row r="6599">
      <c r="A6599" s="72"/>
      <c r="B6599" s="72"/>
      <c r="C6599" s="72"/>
      <c r="D6599" s="72"/>
      <c r="E6599" s="72"/>
    </row>
    <row r="6600">
      <c r="A6600" s="72"/>
      <c r="B6600" s="72"/>
      <c r="C6600" s="72"/>
      <c r="D6600" s="72"/>
      <c r="E6600" s="72"/>
    </row>
    <row r="6601">
      <c r="A6601" s="72"/>
      <c r="B6601" s="72"/>
      <c r="C6601" s="72"/>
      <c r="D6601" s="72"/>
      <c r="E6601" s="72"/>
    </row>
    <row r="6602">
      <c r="A6602" s="72"/>
      <c r="B6602" s="72"/>
      <c r="C6602" s="72"/>
      <c r="D6602" s="72"/>
      <c r="E6602" s="72"/>
    </row>
    <row r="6603">
      <c r="A6603" s="72"/>
      <c r="B6603" s="72"/>
      <c r="C6603" s="72"/>
      <c r="D6603" s="72"/>
      <c r="E6603" s="72"/>
    </row>
    <row r="6604">
      <c r="A6604" s="72"/>
      <c r="B6604" s="72"/>
      <c r="C6604" s="72"/>
      <c r="D6604" s="72"/>
      <c r="E6604" s="72"/>
    </row>
    <row r="6605">
      <c r="A6605" s="72"/>
      <c r="B6605" s="72"/>
      <c r="C6605" s="72"/>
      <c r="D6605" s="72"/>
      <c r="E6605" s="72"/>
    </row>
    <row r="6606">
      <c r="A6606" s="72"/>
      <c r="B6606" s="72"/>
      <c r="C6606" s="72"/>
      <c r="D6606" s="72"/>
      <c r="E6606" s="72"/>
    </row>
    <row r="6607">
      <c r="A6607" s="72"/>
      <c r="B6607" s="72"/>
      <c r="C6607" s="72"/>
      <c r="D6607" s="72"/>
      <c r="E6607" s="72"/>
    </row>
    <row r="6608">
      <c r="A6608" s="72"/>
      <c r="B6608" s="72"/>
      <c r="C6608" s="72"/>
      <c r="D6608" s="72"/>
      <c r="E6608" s="72"/>
    </row>
    <row r="6609">
      <c r="A6609" s="72"/>
      <c r="B6609" s="72"/>
      <c r="C6609" s="72"/>
      <c r="D6609" s="72"/>
      <c r="E6609" s="72"/>
    </row>
    <row r="6610">
      <c r="A6610" s="72"/>
      <c r="B6610" s="72"/>
      <c r="C6610" s="72"/>
      <c r="D6610" s="72"/>
      <c r="E6610" s="72"/>
    </row>
    <row r="6611">
      <c r="A6611" s="72"/>
      <c r="B6611" s="72"/>
      <c r="C6611" s="72"/>
      <c r="D6611" s="72"/>
      <c r="E6611" s="72"/>
    </row>
    <row r="6612">
      <c r="A6612" s="72"/>
      <c r="B6612" s="72"/>
      <c r="C6612" s="72"/>
      <c r="D6612" s="72"/>
      <c r="E6612" s="72"/>
    </row>
    <row r="6613">
      <c r="A6613" s="72"/>
      <c r="B6613" s="72"/>
      <c r="C6613" s="72"/>
      <c r="D6613" s="72"/>
      <c r="E6613" s="72"/>
    </row>
    <row r="6614">
      <c r="A6614" s="72"/>
      <c r="B6614" s="72"/>
      <c r="C6614" s="72"/>
      <c r="D6614" s="72"/>
      <c r="E6614" s="72"/>
    </row>
    <row r="6615">
      <c r="A6615" s="72"/>
      <c r="B6615" s="72"/>
      <c r="C6615" s="72"/>
      <c r="D6615" s="72"/>
      <c r="E6615" s="72"/>
    </row>
    <row r="6616">
      <c r="A6616" s="72"/>
      <c r="B6616" s="72"/>
      <c r="C6616" s="72"/>
      <c r="D6616" s="72"/>
      <c r="E6616" s="72"/>
    </row>
    <row r="6617">
      <c r="A6617" s="72"/>
      <c r="B6617" s="72"/>
      <c r="C6617" s="72"/>
      <c r="D6617" s="72"/>
      <c r="E6617" s="72"/>
    </row>
    <row r="6618">
      <c r="A6618" s="72"/>
      <c r="B6618" s="72"/>
      <c r="C6618" s="72"/>
      <c r="D6618" s="72"/>
      <c r="E6618" s="72"/>
    </row>
    <row r="6619">
      <c r="A6619" s="72"/>
      <c r="B6619" s="72"/>
      <c r="C6619" s="72"/>
      <c r="D6619" s="72"/>
      <c r="E6619" s="72"/>
    </row>
    <row r="6620">
      <c r="A6620" s="72"/>
      <c r="B6620" s="72"/>
      <c r="C6620" s="72"/>
      <c r="D6620" s="72"/>
      <c r="E6620" s="72"/>
    </row>
    <row r="6621">
      <c r="A6621" s="72"/>
      <c r="B6621" s="72"/>
      <c r="C6621" s="72"/>
      <c r="D6621" s="72"/>
      <c r="E6621" s="72"/>
    </row>
    <row r="6622">
      <c r="A6622" s="72"/>
      <c r="B6622" s="72"/>
      <c r="C6622" s="72"/>
      <c r="D6622" s="72"/>
      <c r="E6622" s="72"/>
    </row>
    <row r="6623">
      <c r="A6623" s="72"/>
      <c r="B6623" s="72"/>
      <c r="C6623" s="72"/>
      <c r="D6623" s="72"/>
      <c r="E6623" s="72"/>
    </row>
    <row r="6624">
      <c r="A6624" s="72"/>
      <c r="B6624" s="72"/>
      <c r="C6624" s="72"/>
      <c r="D6624" s="72"/>
      <c r="E6624" s="72"/>
    </row>
    <row r="6625">
      <c r="A6625" s="72"/>
      <c r="B6625" s="72"/>
      <c r="C6625" s="72"/>
      <c r="D6625" s="72"/>
      <c r="E6625" s="72"/>
    </row>
    <row r="6626">
      <c r="A6626" s="72"/>
      <c r="B6626" s="72"/>
      <c r="C6626" s="72"/>
      <c r="D6626" s="72"/>
      <c r="E6626" s="72"/>
    </row>
    <row r="6627">
      <c r="A6627" s="72"/>
      <c r="B6627" s="72"/>
      <c r="C6627" s="72"/>
      <c r="D6627" s="72"/>
      <c r="E6627" s="72"/>
    </row>
    <row r="6628">
      <c r="A6628" s="72"/>
      <c r="B6628" s="72"/>
      <c r="C6628" s="72"/>
      <c r="D6628" s="72"/>
      <c r="E6628" s="72"/>
    </row>
    <row r="6629">
      <c r="A6629" s="72"/>
      <c r="B6629" s="72"/>
      <c r="C6629" s="72"/>
      <c r="D6629" s="72"/>
      <c r="E6629" s="72"/>
    </row>
    <row r="6630">
      <c r="A6630" s="72"/>
      <c r="B6630" s="72"/>
      <c r="C6630" s="72"/>
      <c r="D6630" s="72"/>
      <c r="E6630" s="72"/>
    </row>
    <row r="6631">
      <c r="A6631" s="72"/>
      <c r="B6631" s="72"/>
      <c r="C6631" s="72"/>
      <c r="D6631" s="72"/>
      <c r="E6631" s="72"/>
    </row>
    <row r="6632">
      <c r="A6632" s="72"/>
      <c r="B6632" s="72"/>
      <c r="C6632" s="72"/>
      <c r="D6632" s="72"/>
      <c r="E6632" s="72"/>
    </row>
    <row r="6633">
      <c r="A6633" s="72"/>
      <c r="B6633" s="72"/>
      <c r="C6633" s="72"/>
      <c r="D6633" s="72"/>
      <c r="E6633" s="72"/>
    </row>
    <row r="6634">
      <c r="A6634" s="72"/>
      <c r="B6634" s="72"/>
      <c r="C6634" s="72"/>
      <c r="D6634" s="72"/>
      <c r="E6634" s="72"/>
    </row>
    <row r="6635">
      <c r="A6635" s="72"/>
      <c r="B6635" s="72"/>
      <c r="C6635" s="72"/>
      <c r="D6635" s="72"/>
      <c r="E6635" s="72"/>
    </row>
    <row r="6636">
      <c r="A6636" s="72"/>
      <c r="B6636" s="72"/>
      <c r="C6636" s="72"/>
      <c r="D6636" s="72"/>
      <c r="E6636" s="72"/>
    </row>
    <row r="6637">
      <c r="A6637" s="72"/>
      <c r="B6637" s="72"/>
      <c r="C6637" s="72"/>
      <c r="D6637" s="72"/>
      <c r="E6637" s="72"/>
    </row>
    <row r="6638">
      <c r="A6638" s="72"/>
      <c r="B6638" s="72"/>
      <c r="C6638" s="72"/>
      <c r="D6638" s="72"/>
      <c r="E6638" s="72"/>
    </row>
    <row r="6639">
      <c r="A6639" s="72"/>
      <c r="B6639" s="72"/>
      <c r="C6639" s="72"/>
      <c r="D6639" s="72"/>
      <c r="E6639" s="72"/>
    </row>
    <row r="6640">
      <c r="A6640" s="72"/>
      <c r="B6640" s="72"/>
      <c r="C6640" s="72"/>
      <c r="D6640" s="72"/>
      <c r="E6640" s="72"/>
    </row>
    <row r="6641">
      <c r="A6641" s="72"/>
      <c r="B6641" s="72"/>
      <c r="C6641" s="72"/>
      <c r="D6641" s="72"/>
      <c r="E6641" s="72"/>
    </row>
    <row r="6642">
      <c r="A6642" s="72"/>
      <c r="B6642" s="72"/>
      <c r="C6642" s="72"/>
      <c r="D6642" s="72"/>
      <c r="E6642" s="72"/>
    </row>
    <row r="6643">
      <c r="A6643" s="72"/>
      <c r="B6643" s="72"/>
      <c r="C6643" s="72"/>
      <c r="D6643" s="72"/>
      <c r="E6643" s="72"/>
    </row>
    <row r="6644">
      <c r="A6644" s="72"/>
      <c r="B6644" s="72"/>
      <c r="C6644" s="72"/>
      <c r="D6644" s="72"/>
      <c r="E6644" s="72"/>
    </row>
    <row r="6645">
      <c r="A6645" s="72"/>
      <c r="B6645" s="72"/>
      <c r="C6645" s="72"/>
      <c r="D6645" s="72"/>
      <c r="E6645" s="72"/>
    </row>
    <row r="6646">
      <c r="A6646" s="72"/>
      <c r="B6646" s="72"/>
      <c r="C6646" s="72"/>
      <c r="D6646" s="72"/>
      <c r="E6646" s="72"/>
    </row>
    <row r="6647">
      <c r="A6647" s="72"/>
      <c r="B6647" s="72"/>
      <c r="C6647" s="72"/>
      <c r="D6647" s="72"/>
      <c r="E6647" s="72"/>
    </row>
    <row r="6648">
      <c r="A6648" s="72"/>
      <c r="B6648" s="72"/>
      <c r="C6648" s="72"/>
      <c r="D6648" s="72"/>
      <c r="E6648" s="72"/>
    </row>
    <row r="6649">
      <c r="A6649" s="72"/>
      <c r="B6649" s="72"/>
      <c r="C6649" s="72"/>
      <c r="D6649" s="72"/>
      <c r="E6649" s="72"/>
    </row>
    <row r="6650">
      <c r="A6650" s="72"/>
      <c r="B6650" s="72"/>
      <c r="C6650" s="72"/>
      <c r="D6650" s="72"/>
      <c r="E6650" s="72"/>
    </row>
    <row r="6651">
      <c r="A6651" s="72"/>
      <c r="B6651" s="72"/>
      <c r="C6651" s="72"/>
      <c r="D6651" s="72"/>
      <c r="E6651" s="72"/>
    </row>
    <row r="6652">
      <c r="A6652" s="72"/>
      <c r="B6652" s="72"/>
      <c r="C6652" s="72"/>
      <c r="D6652" s="72"/>
      <c r="E6652" s="72"/>
    </row>
    <row r="6653">
      <c r="A6653" s="72"/>
      <c r="B6653" s="72"/>
      <c r="C6653" s="72"/>
      <c r="D6653" s="72"/>
      <c r="E6653" s="72"/>
    </row>
    <row r="6654">
      <c r="A6654" s="72"/>
      <c r="B6654" s="72"/>
      <c r="C6654" s="72"/>
      <c r="D6654" s="72"/>
      <c r="E6654" s="72"/>
    </row>
    <row r="6655">
      <c r="A6655" s="72"/>
      <c r="B6655" s="72"/>
      <c r="C6655" s="72"/>
      <c r="D6655" s="72"/>
      <c r="E6655" s="72"/>
    </row>
    <row r="6656">
      <c r="A6656" s="72"/>
      <c r="B6656" s="72"/>
      <c r="C6656" s="72"/>
      <c r="D6656" s="72"/>
      <c r="E6656" s="72"/>
    </row>
    <row r="6657">
      <c r="A6657" s="72"/>
      <c r="B6657" s="72"/>
      <c r="C6657" s="72"/>
      <c r="D6657" s="72"/>
      <c r="E6657" s="72"/>
    </row>
    <row r="6658">
      <c r="A6658" s="72"/>
      <c r="B6658" s="72"/>
      <c r="C6658" s="72"/>
      <c r="D6658" s="72"/>
      <c r="E6658" s="72"/>
    </row>
    <row r="6659">
      <c r="A6659" s="72"/>
      <c r="B6659" s="72"/>
      <c r="C6659" s="72"/>
      <c r="D6659" s="72"/>
      <c r="E6659" s="72"/>
    </row>
    <row r="6660">
      <c r="A6660" s="72"/>
      <c r="B6660" s="72"/>
      <c r="C6660" s="72"/>
      <c r="D6660" s="72"/>
      <c r="E6660" s="72"/>
    </row>
    <row r="6661">
      <c r="A6661" s="72"/>
      <c r="B6661" s="72"/>
      <c r="C6661" s="72"/>
      <c r="D6661" s="72"/>
      <c r="E6661" s="72"/>
    </row>
    <row r="6662">
      <c r="A6662" s="72"/>
      <c r="B6662" s="72"/>
      <c r="C6662" s="72"/>
      <c r="D6662" s="72"/>
      <c r="E6662" s="72"/>
    </row>
    <row r="6663">
      <c r="A6663" s="72"/>
      <c r="B6663" s="72"/>
      <c r="C6663" s="72"/>
      <c r="D6663" s="72"/>
      <c r="E6663" s="72"/>
    </row>
    <row r="6664">
      <c r="A6664" s="72"/>
      <c r="B6664" s="72"/>
      <c r="C6664" s="72"/>
      <c r="D6664" s="72"/>
      <c r="E6664" s="72"/>
    </row>
    <row r="6665">
      <c r="A6665" s="72"/>
      <c r="B6665" s="72"/>
      <c r="C6665" s="72"/>
      <c r="D6665" s="72"/>
      <c r="E6665" s="72"/>
    </row>
    <row r="6666">
      <c r="A6666" s="72"/>
      <c r="B6666" s="72"/>
      <c r="C6666" s="72"/>
      <c r="D6666" s="72"/>
      <c r="E6666" s="72"/>
    </row>
    <row r="6667">
      <c r="A6667" s="72"/>
      <c r="B6667" s="72"/>
      <c r="C6667" s="72"/>
      <c r="D6667" s="72"/>
      <c r="E6667" s="72"/>
    </row>
    <row r="6668">
      <c r="A6668" s="72"/>
      <c r="B6668" s="72"/>
      <c r="C6668" s="72"/>
      <c r="D6668" s="72"/>
      <c r="E6668" s="72"/>
    </row>
    <row r="6669">
      <c r="A6669" s="72"/>
      <c r="B6669" s="72"/>
      <c r="C6669" s="72"/>
      <c r="D6669" s="72"/>
      <c r="E6669" s="72"/>
    </row>
    <row r="6670">
      <c r="A6670" s="72"/>
      <c r="B6670" s="72"/>
      <c r="C6670" s="72"/>
      <c r="D6670" s="72"/>
      <c r="E6670" s="72"/>
    </row>
    <row r="6671">
      <c r="A6671" s="72"/>
      <c r="B6671" s="72"/>
      <c r="C6671" s="72"/>
      <c r="D6671" s="72"/>
      <c r="E6671" s="72"/>
    </row>
    <row r="6672">
      <c r="A6672" s="72"/>
      <c r="B6672" s="72"/>
      <c r="C6672" s="72"/>
      <c r="D6672" s="72"/>
      <c r="E6672" s="72"/>
    </row>
    <row r="6673">
      <c r="A6673" s="72"/>
      <c r="B6673" s="72"/>
      <c r="C6673" s="72"/>
      <c r="D6673" s="72"/>
      <c r="E6673" s="72"/>
    </row>
    <row r="6674">
      <c r="A6674" s="72"/>
      <c r="B6674" s="72"/>
      <c r="C6674" s="72"/>
      <c r="D6674" s="72"/>
      <c r="E6674" s="72"/>
    </row>
    <row r="6675">
      <c r="A6675" s="72"/>
      <c r="B6675" s="72"/>
      <c r="C6675" s="72"/>
      <c r="D6675" s="72"/>
      <c r="E6675" s="72"/>
    </row>
    <row r="6676">
      <c r="A6676" s="72"/>
      <c r="B6676" s="72"/>
      <c r="C6676" s="72"/>
      <c r="D6676" s="72"/>
      <c r="E6676" s="72"/>
    </row>
    <row r="6677">
      <c r="A6677" s="72"/>
      <c r="B6677" s="72"/>
      <c r="C6677" s="72"/>
      <c r="D6677" s="72"/>
      <c r="E6677" s="72"/>
    </row>
    <row r="6678">
      <c r="A6678" s="72"/>
      <c r="B6678" s="72"/>
      <c r="C6678" s="72"/>
      <c r="D6678" s="72"/>
      <c r="E6678" s="72"/>
    </row>
    <row r="6679">
      <c r="A6679" s="72"/>
      <c r="B6679" s="72"/>
      <c r="C6679" s="72"/>
      <c r="D6679" s="72"/>
      <c r="E6679" s="72"/>
    </row>
    <row r="6680">
      <c r="A6680" s="72"/>
      <c r="B6680" s="72"/>
      <c r="C6680" s="72"/>
      <c r="D6680" s="72"/>
      <c r="E6680" s="72"/>
    </row>
    <row r="6681">
      <c r="A6681" s="72"/>
      <c r="B6681" s="72"/>
      <c r="C6681" s="72"/>
      <c r="D6681" s="72"/>
      <c r="E6681" s="72"/>
    </row>
    <row r="6682">
      <c r="A6682" s="72"/>
      <c r="B6682" s="72"/>
      <c r="C6682" s="72"/>
      <c r="D6682" s="72"/>
      <c r="E6682" s="72"/>
    </row>
    <row r="6683">
      <c r="A6683" s="72"/>
      <c r="B6683" s="72"/>
      <c r="C6683" s="72"/>
      <c r="D6683" s="72"/>
      <c r="E6683" s="72"/>
    </row>
    <row r="6684">
      <c r="A6684" s="72"/>
      <c r="B6684" s="72"/>
      <c r="C6684" s="72"/>
      <c r="D6684" s="72"/>
      <c r="E6684" s="72"/>
    </row>
    <row r="6685">
      <c r="A6685" s="72"/>
      <c r="B6685" s="72"/>
      <c r="C6685" s="72"/>
      <c r="D6685" s="72"/>
      <c r="E6685" s="72"/>
    </row>
    <row r="6686">
      <c r="A6686" s="72"/>
      <c r="B6686" s="72"/>
      <c r="C6686" s="72"/>
      <c r="D6686" s="72"/>
      <c r="E6686" s="72"/>
    </row>
    <row r="6687">
      <c r="A6687" s="72"/>
      <c r="B6687" s="72"/>
      <c r="C6687" s="72"/>
      <c r="D6687" s="72"/>
      <c r="E6687" s="72"/>
    </row>
    <row r="6688">
      <c r="A6688" s="72"/>
      <c r="B6688" s="72"/>
      <c r="C6688" s="72"/>
      <c r="D6688" s="72"/>
      <c r="E6688" s="72"/>
    </row>
    <row r="6689">
      <c r="A6689" s="72"/>
      <c r="B6689" s="72"/>
      <c r="C6689" s="72"/>
      <c r="D6689" s="72"/>
      <c r="E6689" s="72"/>
    </row>
    <row r="6690">
      <c r="A6690" s="72"/>
      <c r="B6690" s="72"/>
      <c r="C6690" s="72"/>
      <c r="D6690" s="72"/>
      <c r="E6690" s="72"/>
    </row>
    <row r="6691">
      <c r="A6691" s="72"/>
      <c r="B6691" s="72"/>
      <c r="C6691" s="72"/>
      <c r="D6691" s="72"/>
      <c r="E6691" s="72"/>
    </row>
    <row r="6692">
      <c r="A6692" s="72"/>
      <c r="B6692" s="72"/>
      <c r="C6692" s="72"/>
      <c r="D6692" s="72"/>
      <c r="E6692" s="72"/>
    </row>
    <row r="6693">
      <c r="A6693" s="72"/>
      <c r="B6693" s="72"/>
      <c r="C6693" s="72"/>
      <c r="D6693" s="72"/>
      <c r="E6693" s="72"/>
    </row>
    <row r="6694">
      <c r="A6694" s="72"/>
      <c r="B6694" s="72"/>
      <c r="C6694" s="72"/>
      <c r="D6694" s="72"/>
      <c r="E6694" s="72"/>
    </row>
    <row r="6695">
      <c r="A6695" s="72"/>
      <c r="B6695" s="72"/>
      <c r="C6695" s="72"/>
      <c r="D6695" s="72"/>
      <c r="E6695" s="72"/>
    </row>
    <row r="6696">
      <c r="A6696" s="72"/>
      <c r="B6696" s="72"/>
      <c r="C6696" s="72"/>
      <c r="D6696" s="72"/>
      <c r="E6696" s="72"/>
    </row>
    <row r="6697">
      <c r="A6697" s="72"/>
      <c r="B6697" s="72"/>
      <c r="C6697" s="72"/>
      <c r="D6697" s="72"/>
      <c r="E6697" s="72"/>
    </row>
    <row r="6698">
      <c r="A6698" s="72"/>
      <c r="B6698" s="72"/>
      <c r="C6698" s="72"/>
      <c r="D6698" s="72"/>
      <c r="E6698" s="72"/>
    </row>
    <row r="6699">
      <c r="A6699" s="72"/>
      <c r="B6699" s="72"/>
      <c r="C6699" s="72"/>
      <c r="D6699" s="72"/>
      <c r="E6699" s="72"/>
    </row>
    <row r="6700">
      <c r="A6700" s="72"/>
      <c r="B6700" s="72"/>
      <c r="C6700" s="72"/>
      <c r="D6700" s="72"/>
      <c r="E6700" s="72"/>
    </row>
    <row r="6701">
      <c r="A6701" s="72"/>
      <c r="B6701" s="72"/>
      <c r="C6701" s="72"/>
      <c r="D6701" s="72"/>
      <c r="E6701" s="72"/>
    </row>
    <row r="6702">
      <c r="A6702" s="72"/>
      <c r="B6702" s="72"/>
      <c r="C6702" s="72"/>
      <c r="D6702" s="72"/>
      <c r="E6702" s="72"/>
    </row>
    <row r="6703">
      <c r="A6703" s="72"/>
      <c r="B6703" s="72"/>
      <c r="C6703" s="72"/>
      <c r="D6703" s="72"/>
      <c r="E6703" s="72"/>
    </row>
    <row r="6704">
      <c r="A6704" s="72"/>
      <c r="B6704" s="72"/>
      <c r="C6704" s="72"/>
      <c r="D6704" s="72"/>
      <c r="E6704" s="72"/>
    </row>
    <row r="6705">
      <c r="A6705" s="72"/>
      <c r="B6705" s="72"/>
      <c r="C6705" s="72"/>
      <c r="D6705" s="72"/>
      <c r="E6705" s="72"/>
    </row>
    <row r="6706">
      <c r="A6706" s="72"/>
      <c r="B6706" s="72"/>
      <c r="C6706" s="72"/>
      <c r="D6706" s="72"/>
      <c r="E6706" s="72"/>
    </row>
    <row r="6707">
      <c r="A6707" s="72"/>
      <c r="B6707" s="72"/>
      <c r="C6707" s="72"/>
      <c r="D6707" s="72"/>
      <c r="E6707" s="72"/>
    </row>
    <row r="6708">
      <c r="A6708" s="72"/>
      <c r="B6708" s="72"/>
      <c r="C6708" s="72"/>
      <c r="D6708" s="72"/>
      <c r="E6708" s="72"/>
    </row>
    <row r="6709">
      <c r="A6709" s="72"/>
      <c r="B6709" s="72"/>
      <c r="C6709" s="72"/>
      <c r="D6709" s="72"/>
      <c r="E6709" s="72"/>
    </row>
    <row r="6710">
      <c r="A6710" s="72"/>
      <c r="B6710" s="72"/>
      <c r="C6710" s="72"/>
      <c r="D6710" s="72"/>
      <c r="E6710" s="72"/>
    </row>
    <row r="6711">
      <c r="A6711" s="72"/>
      <c r="B6711" s="72"/>
      <c r="C6711" s="72"/>
      <c r="D6711" s="72"/>
      <c r="E6711" s="72"/>
    </row>
    <row r="6712">
      <c r="A6712" s="72"/>
      <c r="B6712" s="72"/>
      <c r="C6712" s="72"/>
      <c r="D6712" s="72"/>
      <c r="E6712" s="72"/>
    </row>
    <row r="6713">
      <c r="A6713" s="72"/>
      <c r="B6713" s="72"/>
      <c r="C6713" s="72"/>
      <c r="D6713" s="72"/>
      <c r="E6713" s="72"/>
    </row>
    <row r="6714">
      <c r="A6714" s="72"/>
      <c r="B6714" s="72"/>
      <c r="C6714" s="72"/>
      <c r="D6714" s="72"/>
      <c r="E6714" s="72"/>
    </row>
    <row r="6715">
      <c r="A6715" s="72"/>
      <c r="B6715" s="72"/>
      <c r="C6715" s="72"/>
      <c r="D6715" s="72"/>
      <c r="E6715" s="72"/>
    </row>
    <row r="6716">
      <c r="A6716" s="72"/>
      <c r="B6716" s="72"/>
      <c r="C6716" s="72"/>
      <c r="D6716" s="72"/>
      <c r="E6716" s="72"/>
    </row>
    <row r="6717">
      <c r="A6717" s="72"/>
      <c r="B6717" s="72"/>
      <c r="C6717" s="72"/>
      <c r="D6717" s="72"/>
      <c r="E6717" s="72"/>
    </row>
    <row r="6718">
      <c r="A6718" s="72"/>
      <c r="B6718" s="72"/>
      <c r="C6718" s="72"/>
      <c r="D6718" s="72"/>
      <c r="E6718" s="72"/>
    </row>
    <row r="6719">
      <c r="A6719" s="72"/>
      <c r="B6719" s="72"/>
      <c r="C6719" s="72"/>
      <c r="D6719" s="72"/>
      <c r="E6719" s="72"/>
    </row>
    <row r="6720">
      <c r="A6720" s="72"/>
      <c r="B6720" s="72"/>
      <c r="C6720" s="72"/>
      <c r="D6720" s="72"/>
      <c r="E6720" s="72"/>
    </row>
    <row r="6721">
      <c r="A6721" s="72"/>
      <c r="B6721" s="72"/>
      <c r="C6721" s="72"/>
      <c r="D6721" s="72"/>
      <c r="E6721" s="72"/>
    </row>
    <row r="6722">
      <c r="A6722" s="72"/>
      <c r="B6722" s="72"/>
      <c r="C6722" s="72"/>
      <c r="D6722" s="72"/>
      <c r="E6722" s="72"/>
    </row>
    <row r="6723">
      <c r="A6723" s="72"/>
      <c r="B6723" s="72"/>
      <c r="C6723" s="72"/>
      <c r="D6723" s="72"/>
      <c r="E6723" s="72"/>
    </row>
    <row r="6724">
      <c r="A6724" s="72"/>
      <c r="B6724" s="72"/>
      <c r="C6724" s="72"/>
      <c r="D6724" s="72"/>
      <c r="E6724" s="72"/>
    </row>
    <row r="6725">
      <c r="A6725" s="72"/>
      <c r="B6725" s="72"/>
      <c r="C6725" s="72"/>
      <c r="D6725" s="72"/>
      <c r="E6725" s="72"/>
    </row>
    <row r="6726">
      <c r="A6726" s="72"/>
      <c r="B6726" s="72"/>
      <c r="C6726" s="72"/>
      <c r="D6726" s="72"/>
      <c r="E6726" s="72"/>
    </row>
    <row r="6727">
      <c r="A6727" s="72"/>
      <c r="B6727" s="72"/>
      <c r="C6727" s="72"/>
      <c r="D6727" s="72"/>
      <c r="E6727" s="72"/>
    </row>
    <row r="6728">
      <c r="A6728" s="72"/>
      <c r="B6728" s="72"/>
      <c r="C6728" s="72"/>
      <c r="D6728" s="72"/>
      <c r="E6728" s="72"/>
    </row>
    <row r="6729">
      <c r="A6729" s="72"/>
      <c r="B6729" s="72"/>
      <c r="C6729" s="72"/>
      <c r="D6729" s="72"/>
      <c r="E6729" s="72"/>
    </row>
    <row r="6730">
      <c r="A6730" s="72"/>
      <c r="B6730" s="72"/>
      <c r="C6730" s="72"/>
      <c r="D6730" s="72"/>
      <c r="E6730" s="72"/>
    </row>
    <row r="6731">
      <c r="A6731" s="72"/>
      <c r="B6731" s="72"/>
      <c r="C6731" s="72"/>
      <c r="D6731" s="72"/>
      <c r="E6731" s="72"/>
    </row>
    <row r="6732">
      <c r="A6732" s="72"/>
      <c r="B6732" s="72"/>
      <c r="C6732" s="72"/>
      <c r="D6732" s="72"/>
      <c r="E6732" s="72"/>
    </row>
    <row r="6733">
      <c r="A6733" s="72"/>
      <c r="B6733" s="72"/>
      <c r="C6733" s="72"/>
      <c r="D6733" s="72"/>
      <c r="E6733" s="72"/>
    </row>
    <row r="6734">
      <c r="A6734" s="72"/>
      <c r="B6734" s="72"/>
      <c r="C6734" s="72"/>
      <c r="D6734" s="72"/>
      <c r="E6734" s="72"/>
    </row>
    <row r="6735">
      <c r="A6735" s="72"/>
      <c r="B6735" s="72"/>
      <c r="C6735" s="72"/>
      <c r="D6735" s="72"/>
      <c r="E6735" s="72"/>
    </row>
    <row r="6736">
      <c r="A6736" s="72"/>
      <c r="B6736" s="72"/>
      <c r="C6736" s="72"/>
      <c r="D6736" s="72"/>
      <c r="E6736" s="72"/>
    </row>
    <row r="6737">
      <c r="A6737" s="72"/>
      <c r="B6737" s="72"/>
      <c r="C6737" s="72"/>
      <c r="D6737" s="72"/>
      <c r="E6737" s="72"/>
    </row>
    <row r="6738">
      <c r="A6738" s="72"/>
      <c r="B6738" s="72"/>
      <c r="C6738" s="72"/>
      <c r="D6738" s="72"/>
      <c r="E6738" s="72"/>
    </row>
    <row r="6739">
      <c r="A6739" s="72"/>
      <c r="B6739" s="72"/>
      <c r="C6739" s="72"/>
      <c r="D6739" s="72"/>
      <c r="E6739" s="72"/>
    </row>
    <row r="6740">
      <c r="A6740" s="72"/>
      <c r="B6740" s="72"/>
      <c r="C6740" s="72"/>
      <c r="D6740" s="72"/>
      <c r="E6740" s="72"/>
    </row>
    <row r="6741">
      <c r="A6741" s="72"/>
      <c r="B6741" s="72"/>
      <c r="C6741" s="72"/>
      <c r="D6741" s="72"/>
      <c r="E6741" s="72"/>
    </row>
    <row r="6742">
      <c r="A6742" s="72"/>
      <c r="B6742" s="72"/>
      <c r="C6742" s="72"/>
      <c r="D6742" s="72"/>
      <c r="E6742" s="72"/>
    </row>
    <row r="6743">
      <c r="A6743" s="72"/>
      <c r="B6743" s="72"/>
      <c r="C6743" s="72"/>
      <c r="D6743" s="72"/>
      <c r="E6743" s="72"/>
    </row>
    <row r="6744">
      <c r="A6744" s="72"/>
      <c r="B6744" s="72"/>
      <c r="C6744" s="72"/>
      <c r="D6744" s="72"/>
      <c r="E6744" s="72"/>
    </row>
    <row r="6745">
      <c r="A6745" s="72"/>
      <c r="B6745" s="72"/>
      <c r="C6745" s="72"/>
      <c r="D6745" s="72"/>
      <c r="E6745" s="72"/>
    </row>
    <row r="6746">
      <c r="A6746" s="72"/>
      <c r="B6746" s="72"/>
      <c r="C6746" s="72"/>
      <c r="D6746" s="72"/>
      <c r="E6746" s="72"/>
    </row>
    <row r="6747">
      <c r="A6747" s="72"/>
      <c r="B6747" s="72"/>
      <c r="C6747" s="72"/>
      <c r="D6747" s="72"/>
      <c r="E6747" s="72"/>
    </row>
    <row r="6748">
      <c r="A6748" s="72"/>
      <c r="B6748" s="72"/>
      <c r="C6748" s="72"/>
      <c r="D6748" s="72"/>
      <c r="E6748" s="72"/>
    </row>
    <row r="6749">
      <c r="A6749" s="72"/>
      <c r="B6749" s="72"/>
      <c r="C6749" s="72"/>
      <c r="D6749" s="72"/>
      <c r="E6749" s="72"/>
    </row>
    <row r="6750">
      <c r="A6750" s="72"/>
      <c r="B6750" s="72"/>
      <c r="C6750" s="72"/>
      <c r="D6750" s="72"/>
      <c r="E6750" s="72"/>
    </row>
    <row r="6751">
      <c r="A6751" s="72"/>
      <c r="B6751" s="72"/>
      <c r="C6751" s="72"/>
      <c r="D6751" s="72"/>
      <c r="E6751" s="72"/>
    </row>
    <row r="6752">
      <c r="A6752" s="72"/>
      <c r="B6752" s="72"/>
      <c r="C6752" s="72"/>
      <c r="D6752" s="72"/>
      <c r="E6752" s="72"/>
    </row>
    <row r="6753">
      <c r="A6753" s="72"/>
      <c r="B6753" s="72"/>
      <c r="C6753" s="72"/>
      <c r="D6753" s="72"/>
      <c r="E6753" s="72"/>
    </row>
    <row r="6754">
      <c r="A6754" s="72"/>
      <c r="B6754" s="72"/>
      <c r="C6754" s="72"/>
      <c r="D6754" s="72"/>
      <c r="E6754" s="72"/>
    </row>
    <row r="6755">
      <c r="A6755" s="72"/>
      <c r="B6755" s="72"/>
      <c r="C6755" s="72"/>
      <c r="D6755" s="72"/>
      <c r="E6755" s="72"/>
    </row>
    <row r="6756">
      <c r="A6756" s="72"/>
      <c r="B6756" s="72"/>
      <c r="C6756" s="72"/>
      <c r="D6756" s="72"/>
      <c r="E6756" s="72"/>
    </row>
    <row r="6757">
      <c r="A6757" s="72"/>
      <c r="B6757" s="72"/>
      <c r="C6757" s="72"/>
      <c r="D6757" s="72"/>
      <c r="E6757" s="72"/>
    </row>
    <row r="6758">
      <c r="A6758" s="72"/>
      <c r="B6758" s="72"/>
      <c r="C6758" s="72"/>
      <c r="D6758" s="72"/>
      <c r="E6758" s="72"/>
    </row>
    <row r="6759">
      <c r="A6759" s="72"/>
      <c r="B6759" s="72"/>
      <c r="C6759" s="72"/>
      <c r="D6759" s="72"/>
      <c r="E6759" s="72"/>
    </row>
    <row r="6760">
      <c r="A6760" s="72"/>
      <c r="B6760" s="72"/>
      <c r="C6760" s="72"/>
      <c r="D6760" s="72"/>
      <c r="E6760" s="72"/>
    </row>
    <row r="6761">
      <c r="A6761" s="72"/>
      <c r="B6761" s="72"/>
      <c r="C6761" s="72"/>
      <c r="D6761" s="72"/>
      <c r="E6761" s="72"/>
    </row>
    <row r="6762">
      <c r="A6762" s="72"/>
      <c r="B6762" s="72"/>
      <c r="C6762" s="72"/>
      <c r="D6762" s="72"/>
      <c r="E6762" s="72"/>
    </row>
    <row r="6763">
      <c r="A6763" s="72"/>
      <c r="B6763" s="72"/>
      <c r="C6763" s="72"/>
      <c r="D6763" s="72"/>
      <c r="E6763" s="72"/>
    </row>
    <row r="6764">
      <c r="A6764" s="72"/>
      <c r="B6764" s="72"/>
      <c r="C6764" s="72"/>
      <c r="D6764" s="72"/>
      <c r="E6764" s="72"/>
    </row>
    <row r="6765">
      <c r="A6765" s="72"/>
      <c r="B6765" s="72"/>
      <c r="C6765" s="72"/>
      <c r="D6765" s="72"/>
      <c r="E6765" s="72"/>
    </row>
    <row r="6766">
      <c r="A6766" s="72"/>
      <c r="B6766" s="72"/>
      <c r="C6766" s="72"/>
      <c r="D6766" s="72"/>
      <c r="E6766" s="72"/>
    </row>
    <row r="6767">
      <c r="A6767" s="72"/>
      <c r="B6767" s="72"/>
      <c r="C6767" s="72"/>
      <c r="D6767" s="72"/>
      <c r="E6767" s="72"/>
    </row>
    <row r="6768">
      <c r="A6768" s="72"/>
      <c r="B6768" s="72"/>
      <c r="C6768" s="72"/>
      <c r="D6768" s="72"/>
      <c r="E6768" s="72"/>
    </row>
    <row r="6769">
      <c r="A6769" s="72"/>
      <c r="B6769" s="72"/>
      <c r="C6769" s="72"/>
      <c r="D6769" s="72"/>
      <c r="E6769" s="72"/>
    </row>
    <row r="6770">
      <c r="A6770" s="72"/>
      <c r="B6770" s="72"/>
      <c r="C6770" s="72"/>
      <c r="D6770" s="72"/>
      <c r="E6770" s="72"/>
    </row>
    <row r="6771">
      <c r="A6771" s="72"/>
      <c r="B6771" s="72"/>
      <c r="C6771" s="72"/>
      <c r="D6771" s="72"/>
      <c r="E6771" s="72"/>
    </row>
    <row r="6772">
      <c r="A6772" s="72"/>
      <c r="B6772" s="72"/>
      <c r="C6772" s="72"/>
      <c r="D6772" s="72"/>
      <c r="E6772" s="72"/>
    </row>
    <row r="6773">
      <c r="A6773" s="72"/>
      <c r="B6773" s="72"/>
      <c r="C6773" s="72"/>
      <c r="D6773" s="72"/>
      <c r="E6773" s="72"/>
    </row>
    <row r="6774">
      <c r="A6774" s="72"/>
      <c r="B6774" s="72"/>
      <c r="C6774" s="72"/>
      <c r="D6774" s="72"/>
      <c r="E6774" s="72"/>
    </row>
    <row r="6775">
      <c r="A6775" s="72"/>
      <c r="B6775" s="72"/>
      <c r="C6775" s="72"/>
      <c r="D6775" s="72"/>
      <c r="E6775" s="72"/>
    </row>
    <row r="6776">
      <c r="A6776" s="72"/>
      <c r="B6776" s="72"/>
      <c r="C6776" s="72"/>
      <c r="D6776" s="72"/>
      <c r="E6776" s="72"/>
    </row>
    <row r="6777">
      <c r="A6777" s="72"/>
      <c r="B6777" s="72"/>
      <c r="C6777" s="72"/>
      <c r="D6777" s="72"/>
      <c r="E6777" s="72"/>
    </row>
    <row r="6778">
      <c r="A6778" s="72"/>
      <c r="B6778" s="72"/>
      <c r="C6778" s="72"/>
      <c r="D6778" s="72"/>
      <c r="E6778" s="72"/>
    </row>
    <row r="6779">
      <c r="A6779" s="72"/>
      <c r="B6779" s="72"/>
      <c r="C6779" s="72"/>
      <c r="D6779" s="72"/>
      <c r="E6779" s="72"/>
    </row>
    <row r="6780">
      <c r="A6780" s="72"/>
      <c r="B6780" s="72"/>
      <c r="C6780" s="72"/>
      <c r="D6780" s="72"/>
      <c r="E6780" s="72"/>
    </row>
    <row r="6781">
      <c r="A6781" s="72"/>
      <c r="B6781" s="72"/>
      <c r="C6781" s="72"/>
      <c r="D6781" s="72"/>
      <c r="E6781" s="72"/>
    </row>
    <row r="6782">
      <c r="A6782" s="72"/>
      <c r="B6782" s="72"/>
      <c r="C6782" s="72"/>
      <c r="D6782" s="72"/>
      <c r="E6782" s="72"/>
    </row>
    <row r="6783">
      <c r="A6783" s="72"/>
      <c r="B6783" s="72"/>
      <c r="C6783" s="72"/>
      <c r="D6783" s="72"/>
      <c r="E6783" s="72"/>
    </row>
    <row r="6784">
      <c r="A6784" s="72"/>
      <c r="B6784" s="72"/>
      <c r="C6784" s="72"/>
      <c r="D6784" s="72"/>
      <c r="E6784" s="72"/>
    </row>
    <row r="6785">
      <c r="A6785" s="72"/>
      <c r="B6785" s="72"/>
      <c r="C6785" s="72"/>
      <c r="D6785" s="72"/>
      <c r="E6785" s="72"/>
    </row>
    <row r="6786">
      <c r="A6786" s="72"/>
      <c r="B6786" s="72"/>
      <c r="C6786" s="72"/>
      <c r="D6786" s="72"/>
      <c r="E6786" s="72"/>
    </row>
    <row r="6787">
      <c r="A6787" s="72"/>
      <c r="B6787" s="72"/>
      <c r="C6787" s="72"/>
      <c r="D6787" s="72"/>
      <c r="E6787" s="72"/>
    </row>
    <row r="6788">
      <c r="A6788" s="72"/>
      <c r="B6788" s="72"/>
      <c r="C6788" s="72"/>
      <c r="D6788" s="72"/>
      <c r="E6788" s="72"/>
    </row>
    <row r="6789">
      <c r="A6789" s="72"/>
      <c r="B6789" s="72"/>
      <c r="C6789" s="72"/>
      <c r="D6789" s="72"/>
      <c r="E6789" s="72"/>
    </row>
    <row r="6790">
      <c r="A6790" s="72"/>
      <c r="B6790" s="72"/>
      <c r="C6790" s="72"/>
      <c r="D6790" s="72"/>
      <c r="E6790" s="72"/>
    </row>
    <row r="6791">
      <c r="A6791" s="72"/>
      <c r="B6791" s="72"/>
      <c r="C6791" s="72"/>
      <c r="D6791" s="72"/>
      <c r="E6791" s="72"/>
    </row>
    <row r="6792">
      <c r="A6792" s="72"/>
      <c r="B6792" s="72"/>
      <c r="C6792" s="72"/>
      <c r="D6792" s="72"/>
      <c r="E6792" s="72"/>
    </row>
    <row r="6793">
      <c r="A6793" s="72"/>
      <c r="B6793" s="72"/>
      <c r="C6793" s="72"/>
      <c r="D6793" s="72"/>
      <c r="E6793" s="72"/>
    </row>
    <row r="6794">
      <c r="A6794" s="72"/>
      <c r="B6794" s="72"/>
      <c r="C6794" s="72"/>
      <c r="D6794" s="72"/>
      <c r="E6794" s="72"/>
    </row>
    <row r="6795">
      <c r="A6795" s="72"/>
      <c r="B6795" s="72"/>
      <c r="C6795" s="72"/>
      <c r="D6795" s="72"/>
      <c r="E6795" s="72"/>
    </row>
    <row r="6796">
      <c r="A6796" s="72"/>
      <c r="B6796" s="72"/>
      <c r="C6796" s="72"/>
      <c r="D6796" s="72"/>
      <c r="E6796" s="72"/>
    </row>
    <row r="6797">
      <c r="A6797" s="72"/>
      <c r="B6797" s="72"/>
      <c r="C6797" s="72"/>
      <c r="D6797" s="72"/>
      <c r="E6797" s="72"/>
    </row>
    <row r="6798">
      <c r="A6798" s="72"/>
      <c r="B6798" s="72"/>
      <c r="C6798" s="72"/>
      <c r="D6798" s="72"/>
      <c r="E6798" s="72"/>
    </row>
    <row r="6799">
      <c r="A6799" s="72"/>
      <c r="B6799" s="72"/>
      <c r="C6799" s="72"/>
      <c r="D6799" s="72"/>
      <c r="E6799" s="72"/>
    </row>
    <row r="6800">
      <c r="A6800" s="72"/>
      <c r="B6800" s="72"/>
      <c r="C6800" s="72"/>
      <c r="D6800" s="72"/>
      <c r="E6800" s="72"/>
    </row>
    <row r="6801">
      <c r="A6801" s="72"/>
      <c r="B6801" s="72"/>
      <c r="C6801" s="72"/>
      <c r="D6801" s="72"/>
      <c r="E6801" s="72"/>
    </row>
    <row r="6802">
      <c r="A6802" s="72"/>
      <c r="B6802" s="72"/>
      <c r="C6802" s="72"/>
      <c r="D6802" s="72"/>
      <c r="E6802" s="72"/>
    </row>
    <row r="6803">
      <c r="A6803" s="72"/>
      <c r="B6803" s="72"/>
      <c r="C6803" s="72"/>
      <c r="D6803" s="72"/>
      <c r="E6803" s="72"/>
    </row>
    <row r="6804">
      <c r="A6804" s="72"/>
      <c r="B6804" s="72"/>
      <c r="C6804" s="72"/>
      <c r="D6804" s="72"/>
      <c r="E6804" s="72"/>
    </row>
    <row r="6805">
      <c r="A6805" s="72"/>
      <c r="B6805" s="72"/>
      <c r="C6805" s="72"/>
      <c r="D6805" s="72"/>
      <c r="E6805" s="72"/>
    </row>
    <row r="6806">
      <c r="A6806" s="72"/>
      <c r="B6806" s="72"/>
      <c r="C6806" s="72"/>
      <c r="D6806" s="72"/>
      <c r="E6806" s="72"/>
    </row>
    <row r="6807">
      <c r="A6807" s="72"/>
      <c r="B6807" s="72"/>
      <c r="C6807" s="72"/>
      <c r="D6807" s="72"/>
      <c r="E6807" s="72"/>
    </row>
    <row r="6808">
      <c r="A6808" s="72"/>
      <c r="B6808" s="72"/>
      <c r="C6808" s="72"/>
      <c r="D6808" s="72"/>
      <c r="E6808" s="72"/>
    </row>
    <row r="6809">
      <c r="A6809" s="72"/>
      <c r="B6809" s="72"/>
      <c r="C6809" s="72"/>
      <c r="D6809" s="72"/>
      <c r="E6809" s="72"/>
    </row>
    <row r="6810">
      <c r="A6810" s="72"/>
      <c r="B6810" s="72"/>
      <c r="C6810" s="72"/>
      <c r="D6810" s="72"/>
      <c r="E6810" s="72"/>
    </row>
    <row r="6811">
      <c r="A6811" s="72"/>
      <c r="B6811" s="72"/>
      <c r="C6811" s="72"/>
      <c r="D6811" s="72"/>
      <c r="E6811" s="72"/>
    </row>
    <row r="6812">
      <c r="A6812" s="72"/>
      <c r="B6812" s="72"/>
      <c r="C6812" s="72"/>
      <c r="D6812" s="72"/>
      <c r="E6812" s="72"/>
    </row>
    <row r="6813">
      <c r="A6813" s="72"/>
      <c r="B6813" s="72"/>
      <c r="C6813" s="72"/>
      <c r="D6813" s="72"/>
      <c r="E6813" s="72"/>
    </row>
    <row r="6814">
      <c r="A6814" s="72"/>
      <c r="B6814" s="72"/>
      <c r="C6814" s="72"/>
      <c r="D6814" s="72"/>
      <c r="E6814" s="72"/>
    </row>
    <row r="6815">
      <c r="A6815" s="72"/>
      <c r="B6815" s="72"/>
      <c r="C6815" s="72"/>
      <c r="D6815" s="72"/>
      <c r="E6815" s="72"/>
    </row>
    <row r="6816">
      <c r="A6816" s="72"/>
      <c r="B6816" s="72"/>
      <c r="C6816" s="72"/>
      <c r="D6816" s="72"/>
      <c r="E6816" s="72"/>
    </row>
    <row r="6817">
      <c r="A6817" s="72"/>
      <c r="B6817" s="72"/>
      <c r="C6817" s="72"/>
      <c r="D6817" s="72"/>
      <c r="E6817" s="72"/>
    </row>
    <row r="6818">
      <c r="A6818" s="72"/>
      <c r="B6818" s="72"/>
      <c r="C6818" s="72"/>
      <c r="D6818" s="72"/>
      <c r="E6818" s="72"/>
    </row>
    <row r="6819">
      <c r="A6819" s="72"/>
      <c r="B6819" s="72"/>
      <c r="C6819" s="72"/>
      <c r="D6819" s="72"/>
      <c r="E6819" s="72"/>
    </row>
    <row r="6820">
      <c r="A6820" s="72"/>
      <c r="B6820" s="72"/>
      <c r="C6820" s="72"/>
      <c r="D6820" s="72"/>
      <c r="E6820" s="72"/>
    </row>
    <row r="6821">
      <c r="A6821" s="72"/>
      <c r="B6821" s="72"/>
      <c r="C6821" s="72"/>
      <c r="D6821" s="72"/>
      <c r="E6821" s="72"/>
    </row>
    <row r="6822">
      <c r="A6822" s="72"/>
      <c r="B6822" s="72"/>
      <c r="C6822" s="72"/>
      <c r="D6822" s="72"/>
      <c r="E6822" s="72"/>
    </row>
    <row r="6823">
      <c r="A6823" s="72"/>
      <c r="B6823" s="72"/>
      <c r="C6823" s="72"/>
      <c r="D6823" s="72"/>
      <c r="E6823" s="72"/>
    </row>
    <row r="6824">
      <c r="A6824" s="72"/>
      <c r="B6824" s="72"/>
      <c r="C6824" s="72"/>
      <c r="D6824" s="72"/>
      <c r="E6824" s="72"/>
    </row>
    <row r="6825">
      <c r="A6825" s="72"/>
      <c r="B6825" s="72"/>
      <c r="C6825" s="72"/>
      <c r="D6825" s="72"/>
      <c r="E6825" s="72"/>
    </row>
    <row r="6826">
      <c r="A6826" s="72"/>
      <c r="B6826" s="72"/>
      <c r="C6826" s="72"/>
      <c r="D6826" s="72"/>
      <c r="E6826" s="72"/>
    </row>
    <row r="6827">
      <c r="A6827" s="72"/>
      <c r="B6827" s="72"/>
      <c r="C6827" s="72"/>
      <c r="D6827" s="72"/>
      <c r="E6827" s="72"/>
    </row>
    <row r="6828">
      <c r="A6828" s="72"/>
      <c r="B6828" s="72"/>
      <c r="C6828" s="72"/>
      <c r="D6828" s="72"/>
      <c r="E6828" s="72"/>
    </row>
    <row r="6829">
      <c r="A6829" s="72"/>
      <c r="B6829" s="72"/>
      <c r="C6829" s="72"/>
      <c r="D6829" s="72"/>
      <c r="E6829" s="72"/>
    </row>
    <row r="6830">
      <c r="A6830" s="72"/>
      <c r="B6830" s="72"/>
      <c r="C6830" s="72"/>
      <c r="D6830" s="72"/>
      <c r="E6830" s="72"/>
    </row>
    <row r="6831">
      <c r="A6831" s="72"/>
      <c r="B6831" s="72"/>
      <c r="C6831" s="72"/>
      <c r="D6831" s="72"/>
      <c r="E6831" s="72"/>
    </row>
    <row r="6832">
      <c r="A6832" s="72"/>
      <c r="B6832" s="72"/>
      <c r="C6832" s="72"/>
      <c r="D6832" s="72"/>
      <c r="E6832" s="72"/>
    </row>
    <row r="6833">
      <c r="A6833" s="72"/>
      <c r="B6833" s="72"/>
      <c r="C6833" s="72"/>
      <c r="D6833" s="72"/>
      <c r="E6833" s="72"/>
    </row>
    <row r="6834">
      <c r="A6834" s="72"/>
      <c r="B6834" s="72"/>
      <c r="C6834" s="72"/>
      <c r="D6834" s="72"/>
      <c r="E6834" s="72"/>
    </row>
    <row r="6835">
      <c r="A6835" s="72"/>
      <c r="B6835" s="72"/>
      <c r="C6835" s="72"/>
      <c r="D6835" s="72"/>
      <c r="E6835" s="72"/>
    </row>
    <row r="6836">
      <c r="A6836" s="72"/>
      <c r="B6836" s="72"/>
      <c r="C6836" s="72"/>
      <c r="D6836" s="72"/>
      <c r="E6836" s="72"/>
    </row>
    <row r="6837">
      <c r="A6837" s="72"/>
      <c r="B6837" s="72"/>
      <c r="C6837" s="72"/>
      <c r="D6837" s="72"/>
      <c r="E6837" s="72"/>
    </row>
    <row r="6838">
      <c r="A6838" s="72"/>
      <c r="B6838" s="72"/>
      <c r="C6838" s="72"/>
      <c r="D6838" s="72"/>
      <c r="E6838" s="72"/>
    </row>
    <row r="6839">
      <c r="A6839" s="72"/>
      <c r="B6839" s="72"/>
      <c r="C6839" s="72"/>
      <c r="D6839" s="72"/>
      <c r="E6839" s="72"/>
    </row>
    <row r="6840">
      <c r="A6840" s="72"/>
      <c r="B6840" s="72"/>
      <c r="C6840" s="72"/>
      <c r="D6840" s="72"/>
      <c r="E6840" s="72"/>
    </row>
    <row r="6841">
      <c r="A6841" s="72"/>
      <c r="B6841" s="72"/>
      <c r="C6841" s="72"/>
      <c r="D6841" s="72"/>
      <c r="E6841" s="72"/>
    </row>
    <row r="6842">
      <c r="A6842" s="72"/>
      <c r="B6842" s="72"/>
      <c r="C6842" s="72"/>
      <c r="D6842" s="72"/>
      <c r="E6842" s="72"/>
    </row>
    <row r="6843">
      <c r="A6843" s="72"/>
      <c r="B6843" s="72"/>
      <c r="C6843" s="72"/>
      <c r="D6843" s="72"/>
      <c r="E6843" s="72"/>
    </row>
    <row r="6844">
      <c r="A6844" s="72"/>
      <c r="B6844" s="72"/>
      <c r="C6844" s="72"/>
      <c r="D6844" s="72"/>
      <c r="E6844" s="72"/>
    </row>
    <row r="6845">
      <c r="A6845" s="72"/>
      <c r="B6845" s="72"/>
      <c r="C6845" s="72"/>
      <c r="D6845" s="72"/>
      <c r="E6845" s="72"/>
    </row>
    <row r="6846">
      <c r="A6846" s="72"/>
      <c r="B6846" s="72"/>
      <c r="C6846" s="72"/>
      <c r="D6846" s="72"/>
      <c r="E6846" s="72"/>
    </row>
    <row r="6847">
      <c r="A6847" s="72"/>
      <c r="B6847" s="72"/>
      <c r="C6847" s="72"/>
      <c r="D6847" s="72"/>
      <c r="E6847" s="72"/>
    </row>
    <row r="6848">
      <c r="A6848" s="72"/>
      <c r="B6848" s="72"/>
      <c r="C6848" s="72"/>
      <c r="D6848" s="72"/>
      <c r="E6848" s="72"/>
    </row>
    <row r="6849">
      <c r="A6849" s="72"/>
      <c r="B6849" s="72"/>
      <c r="C6849" s="72"/>
      <c r="D6849" s="72"/>
      <c r="E6849" s="72"/>
    </row>
    <row r="6850">
      <c r="A6850" s="72"/>
      <c r="B6850" s="72"/>
      <c r="C6850" s="72"/>
      <c r="D6850" s="72"/>
      <c r="E6850" s="72"/>
    </row>
    <row r="6851">
      <c r="A6851" s="72"/>
      <c r="B6851" s="72"/>
      <c r="C6851" s="72"/>
      <c r="D6851" s="72"/>
      <c r="E6851" s="72"/>
    </row>
    <row r="6852">
      <c r="A6852" s="72"/>
      <c r="B6852" s="72"/>
      <c r="C6852" s="72"/>
      <c r="D6852" s="72"/>
      <c r="E6852" s="72"/>
    </row>
    <row r="6853">
      <c r="A6853" s="72"/>
      <c r="B6853" s="72"/>
      <c r="C6853" s="72"/>
      <c r="D6853" s="72"/>
      <c r="E6853" s="72"/>
    </row>
    <row r="6854">
      <c r="A6854" s="72"/>
      <c r="B6854" s="72"/>
      <c r="C6854" s="72"/>
      <c r="D6854" s="72"/>
      <c r="E6854" s="72"/>
    </row>
    <row r="6855">
      <c r="A6855" s="72"/>
      <c r="B6855" s="72"/>
      <c r="C6855" s="72"/>
      <c r="D6855" s="72"/>
      <c r="E6855" s="72"/>
    </row>
    <row r="6856">
      <c r="A6856" s="72"/>
      <c r="B6856" s="72"/>
      <c r="C6856" s="72"/>
      <c r="D6856" s="72"/>
      <c r="E6856" s="72"/>
    </row>
    <row r="6857">
      <c r="A6857" s="72"/>
      <c r="B6857" s="72"/>
      <c r="C6857" s="72"/>
      <c r="D6857" s="72"/>
      <c r="E6857" s="72"/>
    </row>
    <row r="6858">
      <c r="A6858" s="72"/>
      <c r="B6858" s="72"/>
      <c r="C6858" s="72"/>
      <c r="D6858" s="72"/>
      <c r="E6858" s="72"/>
    </row>
    <row r="6859">
      <c r="A6859" s="72"/>
      <c r="B6859" s="72"/>
      <c r="C6859" s="72"/>
      <c r="D6859" s="72"/>
      <c r="E6859" s="72"/>
    </row>
    <row r="6860">
      <c r="A6860" s="72"/>
      <c r="B6860" s="72"/>
      <c r="C6860" s="72"/>
      <c r="D6860" s="72"/>
      <c r="E6860" s="72"/>
    </row>
    <row r="6861">
      <c r="A6861" s="72"/>
      <c r="B6861" s="72"/>
      <c r="C6861" s="72"/>
      <c r="D6861" s="72"/>
      <c r="E6861" s="72"/>
    </row>
    <row r="6862">
      <c r="A6862" s="72"/>
      <c r="B6862" s="72"/>
      <c r="C6862" s="72"/>
      <c r="D6862" s="72"/>
      <c r="E6862" s="72"/>
    </row>
    <row r="6863">
      <c r="A6863" s="72"/>
      <c r="B6863" s="72"/>
      <c r="C6863" s="72"/>
      <c r="D6863" s="72"/>
      <c r="E6863" s="72"/>
    </row>
    <row r="6864">
      <c r="A6864" s="72"/>
      <c r="B6864" s="72"/>
      <c r="C6864" s="72"/>
      <c r="D6864" s="72"/>
      <c r="E6864" s="72"/>
    </row>
    <row r="6865">
      <c r="A6865" s="72"/>
      <c r="B6865" s="72"/>
      <c r="C6865" s="72"/>
      <c r="D6865" s="72"/>
      <c r="E6865" s="72"/>
    </row>
    <row r="6866">
      <c r="A6866" s="72"/>
      <c r="B6866" s="72"/>
      <c r="C6866" s="72"/>
      <c r="D6866" s="72"/>
      <c r="E6866" s="72"/>
    </row>
    <row r="6867">
      <c r="A6867" s="72"/>
      <c r="B6867" s="72"/>
      <c r="C6867" s="72"/>
      <c r="D6867" s="72"/>
      <c r="E6867" s="72"/>
    </row>
    <row r="6868">
      <c r="A6868" s="72"/>
      <c r="B6868" s="72"/>
      <c r="C6868" s="72"/>
      <c r="D6868" s="72"/>
      <c r="E6868" s="72"/>
    </row>
    <row r="6869">
      <c r="A6869" s="72"/>
      <c r="B6869" s="72"/>
      <c r="C6869" s="72"/>
      <c r="D6869" s="72"/>
      <c r="E6869" s="72"/>
    </row>
    <row r="6870">
      <c r="A6870" s="72"/>
      <c r="B6870" s="72"/>
      <c r="C6870" s="72"/>
      <c r="D6870" s="72"/>
      <c r="E6870" s="72"/>
    </row>
    <row r="6871">
      <c r="A6871" s="72"/>
      <c r="B6871" s="72"/>
      <c r="C6871" s="72"/>
      <c r="D6871" s="72"/>
      <c r="E6871" s="72"/>
    </row>
    <row r="6872">
      <c r="A6872" s="72"/>
      <c r="B6872" s="72"/>
      <c r="C6872" s="72"/>
      <c r="D6872" s="72"/>
      <c r="E6872" s="72"/>
    </row>
    <row r="6873">
      <c r="A6873" s="72"/>
      <c r="B6873" s="72"/>
      <c r="C6873" s="72"/>
      <c r="D6873" s="72"/>
      <c r="E6873" s="72"/>
    </row>
    <row r="6874">
      <c r="A6874" s="72"/>
      <c r="B6874" s="72"/>
      <c r="C6874" s="72"/>
      <c r="D6874" s="72"/>
      <c r="E6874" s="72"/>
    </row>
    <row r="6875">
      <c r="A6875" s="72"/>
      <c r="B6875" s="72"/>
      <c r="C6875" s="72"/>
      <c r="D6875" s="72"/>
      <c r="E6875" s="72"/>
    </row>
    <row r="6876">
      <c r="A6876" s="72"/>
      <c r="B6876" s="72"/>
      <c r="C6876" s="72"/>
      <c r="D6876" s="72"/>
      <c r="E6876" s="72"/>
    </row>
    <row r="6877">
      <c r="A6877" s="72"/>
      <c r="B6877" s="72"/>
      <c r="C6877" s="72"/>
      <c r="D6877" s="72"/>
      <c r="E6877" s="72"/>
    </row>
    <row r="6878">
      <c r="A6878" s="72"/>
      <c r="B6878" s="72"/>
      <c r="C6878" s="72"/>
      <c r="D6878" s="72"/>
      <c r="E6878" s="72"/>
    </row>
    <row r="6879">
      <c r="A6879" s="72"/>
      <c r="B6879" s="72"/>
      <c r="C6879" s="72"/>
      <c r="D6879" s="72"/>
      <c r="E6879" s="72"/>
    </row>
    <row r="6880">
      <c r="A6880" s="72"/>
      <c r="B6880" s="72"/>
      <c r="C6880" s="72"/>
      <c r="D6880" s="72"/>
      <c r="E6880" s="72"/>
    </row>
    <row r="6881">
      <c r="A6881" s="72"/>
      <c r="B6881" s="72"/>
      <c r="C6881" s="72"/>
      <c r="D6881" s="72"/>
      <c r="E6881" s="72"/>
    </row>
    <row r="6882">
      <c r="A6882" s="72"/>
      <c r="B6882" s="72"/>
      <c r="C6882" s="72"/>
      <c r="D6882" s="72"/>
      <c r="E6882" s="72"/>
    </row>
    <row r="6883">
      <c r="A6883" s="72"/>
      <c r="B6883" s="72"/>
      <c r="C6883" s="72"/>
      <c r="D6883" s="72"/>
      <c r="E6883" s="72"/>
    </row>
    <row r="6884">
      <c r="A6884" s="72"/>
      <c r="B6884" s="72"/>
      <c r="C6884" s="72"/>
      <c r="D6884" s="72"/>
      <c r="E6884" s="72"/>
    </row>
    <row r="6885">
      <c r="A6885" s="72"/>
      <c r="B6885" s="72"/>
      <c r="C6885" s="72"/>
      <c r="D6885" s="72"/>
      <c r="E6885" s="72"/>
    </row>
    <row r="6886">
      <c r="A6886" s="72"/>
      <c r="B6886" s="72"/>
      <c r="C6886" s="72"/>
      <c r="D6886" s="72"/>
      <c r="E6886" s="72"/>
    </row>
    <row r="6887">
      <c r="A6887" s="72"/>
      <c r="B6887" s="72"/>
      <c r="C6887" s="72"/>
      <c r="D6887" s="72"/>
      <c r="E6887" s="72"/>
    </row>
    <row r="6888">
      <c r="A6888" s="72"/>
      <c r="B6888" s="72"/>
      <c r="C6888" s="72"/>
      <c r="D6888" s="72"/>
      <c r="E6888" s="72"/>
    </row>
    <row r="6889">
      <c r="A6889" s="72"/>
      <c r="B6889" s="72"/>
      <c r="C6889" s="72"/>
      <c r="D6889" s="72"/>
      <c r="E6889" s="72"/>
    </row>
    <row r="6890">
      <c r="A6890" s="72"/>
      <c r="B6890" s="72"/>
      <c r="C6890" s="72"/>
      <c r="D6890" s="72"/>
      <c r="E6890" s="72"/>
    </row>
    <row r="6891">
      <c r="A6891" s="72"/>
      <c r="B6891" s="72"/>
      <c r="C6891" s="72"/>
      <c r="D6891" s="72"/>
      <c r="E6891" s="72"/>
    </row>
    <row r="6892">
      <c r="A6892" s="72"/>
      <c r="B6892" s="72"/>
      <c r="C6892" s="72"/>
      <c r="D6892" s="72"/>
      <c r="E6892" s="72"/>
    </row>
    <row r="6893">
      <c r="A6893" s="72"/>
      <c r="B6893" s="72"/>
      <c r="C6893" s="72"/>
      <c r="D6893" s="72"/>
      <c r="E6893" s="72"/>
    </row>
    <row r="6894">
      <c r="A6894" s="72"/>
      <c r="B6894" s="72"/>
      <c r="C6894" s="72"/>
      <c r="D6894" s="72"/>
      <c r="E6894" s="72"/>
    </row>
    <row r="6895">
      <c r="A6895" s="72"/>
      <c r="B6895" s="72"/>
      <c r="C6895" s="72"/>
      <c r="D6895" s="72"/>
      <c r="E6895" s="72"/>
    </row>
    <row r="6896">
      <c r="A6896" s="72"/>
      <c r="B6896" s="72"/>
      <c r="C6896" s="72"/>
      <c r="D6896" s="72"/>
      <c r="E6896" s="72"/>
    </row>
    <row r="6897">
      <c r="A6897" s="72"/>
      <c r="B6897" s="72"/>
      <c r="C6897" s="72"/>
      <c r="D6897" s="72"/>
      <c r="E6897" s="72"/>
    </row>
    <row r="6898">
      <c r="A6898" s="72"/>
      <c r="B6898" s="72"/>
      <c r="C6898" s="72"/>
      <c r="D6898" s="72"/>
      <c r="E6898" s="72"/>
    </row>
    <row r="6899">
      <c r="A6899" s="72"/>
      <c r="B6899" s="72"/>
      <c r="C6899" s="72"/>
      <c r="D6899" s="72"/>
      <c r="E6899" s="72"/>
    </row>
    <row r="6900">
      <c r="A6900" s="72"/>
      <c r="B6900" s="72"/>
      <c r="C6900" s="72"/>
      <c r="D6900" s="72"/>
      <c r="E6900" s="72"/>
    </row>
    <row r="6901">
      <c r="A6901" s="72"/>
      <c r="B6901" s="72"/>
      <c r="C6901" s="72"/>
      <c r="D6901" s="72"/>
      <c r="E6901" s="72"/>
    </row>
    <row r="6902">
      <c r="A6902" s="72"/>
      <c r="B6902" s="72"/>
      <c r="C6902" s="72"/>
      <c r="D6902" s="72"/>
      <c r="E6902" s="72"/>
    </row>
    <row r="6903">
      <c r="A6903" s="72"/>
      <c r="B6903" s="72"/>
      <c r="C6903" s="72"/>
      <c r="D6903" s="72"/>
      <c r="E6903" s="72"/>
    </row>
    <row r="6904">
      <c r="A6904" s="72"/>
      <c r="B6904" s="72"/>
      <c r="C6904" s="72"/>
      <c r="D6904" s="72"/>
      <c r="E6904" s="72"/>
    </row>
    <row r="6905">
      <c r="A6905" s="72"/>
      <c r="B6905" s="72"/>
      <c r="C6905" s="72"/>
      <c r="D6905" s="72"/>
      <c r="E6905" s="72"/>
    </row>
    <row r="6906">
      <c r="A6906" s="72"/>
      <c r="B6906" s="72"/>
      <c r="C6906" s="72"/>
      <c r="D6906" s="72"/>
      <c r="E6906" s="72"/>
    </row>
    <row r="6907">
      <c r="A6907" s="72"/>
      <c r="B6907" s="72"/>
      <c r="C6907" s="72"/>
      <c r="D6907" s="72"/>
      <c r="E6907" s="72"/>
    </row>
    <row r="6908">
      <c r="A6908" s="72"/>
      <c r="B6908" s="72"/>
      <c r="C6908" s="72"/>
      <c r="D6908" s="72"/>
      <c r="E6908" s="72"/>
    </row>
    <row r="6909">
      <c r="A6909" s="72"/>
      <c r="B6909" s="72"/>
      <c r="C6909" s="72"/>
      <c r="D6909" s="72"/>
      <c r="E6909" s="72"/>
    </row>
    <row r="6910">
      <c r="A6910" s="72"/>
      <c r="B6910" s="72"/>
      <c r="C6910" s="72"/>
      <c r="D6910" s="72"/>
      <c r="E6910" s="72"/>
    </row>
    <row r="6911">
      <c r="A6911" s="72"/>
      <c r="B6911" s="72"/>
      <c r="C6911" s="72"/>
      <c r="D6911" s="72"/>
      <c r="E6911" s="72"/>
    </row>
    <row r="6912">
      <c r="A6912" s="72"/>
      <c r="B6912" s="72"/>
      <c r="C6912" s="72"/>
      <c r="D6912" s="72"/>
      <c r="E6912" s="72"/>
    </row>
    <row r="6913">
      <c r="A6913" s="72"/>
      <c r="B6913" s="72"/>
      <c r="C6913" s="72"/>
      <c r="D6913" s="72"/>
      <c r="E6913" s="72"/>
    </row>
    <row r="6914">
      <c r="A6914" s="72"/>
      <c r="B6914" s="72"/>
      <c r="C6914" s="72"/>
      <c r="D6914" s="72"/>
      <c r="E6914" s="72"/>
    </row>
    <row r="6915">
      <c r="A6915" s="72"/>
      <c r="B6915" s="72"/>
      <c r="C6915" s="72"/>
      <c r="D6915" s="72"/>
      <c r="E6915" s="72"/>
    </row>
    <row r="6916">
      <c r="A6916" s="72"/>
      <c r="B6916" s="72"/>
      <c r="C6916" s="72"/>
      <c r="D6916" s="72"/>
      <c r="E6916" s="72"/>
    </row>
    <row r="6917">
      <c r="A6917" s="72"/>
      <c r="B6917" s="72"/>
      <c r="C6917" s="72"/>
      <c r="D6917" s="72"/>
      <c r="E6917" s="72"/>
    </row>
    <row r="6918">
      <c r="A6918" s="72"/>
      <c r="B6918" s="72"/>
      <c r="C6918" s="72"/>
      <c r="D6918" s="72"/>
      <c r="E6918" s="72"/>
    </row>
    <row r="6919">
      <c r="A6919" s="72"/>
      <c r="B6919" s="72"/>
      <c r="C6919" s="72"/>
      <c r="D6919" s="72"/>
      <c r="E6919" s="72"/>
    </row>
    <row r="6920">
      <c r="A6920" s="72"/>
      <c r="B6920" s="72"/>
      <c r="C6920" s="72"/>
      <c r="D6920" s="72"/>
      <c r="E6920" s="72"/>
    </row>
    <row r="6921">
      <c r="A6921" s="72"/>
      <c r="B6921" s="72"/>
      <c r="C6921" s="72"/>
      <c r="D6921" s="72"/>
      <c r="E6921" s="72"/>
    </row>
    <row r="6922">
      <c r="A6922" s="72"/>
      <c r="B6922" s="72"/>
      <c r="C6922" s="72"/>
      <c r="D6922" s="72"/>
      <c r="E6922" s="72"/>
    </row>
    <row r="6923">
      <c r="A6923" s="72"/>
      <c r="B6923" s="72"/>
      <c r="C6923" s="72"/>
      <c r="D6923" s="72"/>
      <c r="E6923" s="72"/>
    </row>
    <row r="6924">
      <c r="A6924" s="72"/>
      <c r="B6924" s="72"/>
      <c r="C6924" s="72"/>
      <c r="D6924" s="72"/>
      <c r="E6924" s="72"/>
    </row>
    <row r="6925">
      <c r="A6925" s="72"/>
      <c r="B6925" s="72"/>
      <c r="C6925" s="72"/>
      <c r="D6925" s="72"/>
      <c r="E6925" s="72"/>
    </row>
    <row r="6926">
      <c r="A6926" s="72"/>
      <c r="B6926" s="72"/>
      <c r="C6926" s="72"/>
      <c r="D6926" s="72"/>
      <c r="E6926" s="72"/>
    </row>
    <row r="6927">
      <c r="A6927" s="72"/>
      <c r="B6927" s="72"/>
      <c r="C6927" s="72"/>
      <c r="D6927" s="72"/>
      <c r="E6927" s="72"/>
    </row>
    <row r="6928">
      <c r="A6928" s="72"/>
      <c r="B6928" s="72"/>
      <c r="C6928" s="72"/>
      <c r="D6928" s="72"/>
      <c r="E6928" s="72"/>
    </row>
    <row r="6929">
      <c r="A6929" s="72"/>
      <c r="B6929" s="72"/>
      <c r="C6929" s="72"/>
      <c r="D6929" s="72"/>
      <c r="E6929" s="72"/>
    </row>
    <row r="6930">
      <c r="A6930" s="72"/>
      <c r="B6930" s="72"/>
      <c r="C6930" s="72"/>
      <c r="D6930" s="72"/>
      <c r="E6930" s="72"/>
    </row>
    <row r="6931">
      <c r="A6931" s="72"/>
      <c r="B6931" s="72"/>
      <c r="C6931" s="72"/>
      <c r="D6931" s="72"/>
      <c r="E6931" s="72"/>
    </row>
    <row r="6932">
      <c r="A6932" s="72"/>
      <c r="B6932" s="72"/>
      <c r="C6932" s="72"/>
      <c r="D6932" s="72"/>
      <c r="E6932" s="72"/>
    </row>
    <row r="6933">
      <c r="A6933" s="72"/>
      <c r="B6933" s="72"/>
      <c r="C6933" s="72"/>
      <c r="D6933" s="72"/>
      <c r="E6933" s="72"/>
    </row>
    <row r="6934">
      <c r="A6934" s="72"/>
      <c r="B6934" s="72"/>
      <c r="C6934" s="72"/>
      <c r="D6934" s="72"/>
      <c r="E6934" s="72"/>
    </row>
    <row r="6935">
      <c r="A6935" s="72"/>
      <c r="B6935" s="72"/>
      <c r="C6935" s="72"/>
      <c r="D6935" s="72"/>
      <c r="E6935" s="72"/>
    </row>
    <row r="6936">
      <c r="A6936" s="72"/>
      <c r="B6936" s="72"/>
      <c r="C6936" s="72"/>
      <c r="D6936" s="72"/>
      <c r="E6936" s="72"/>
    </row>
    <row r="6937">
      <c r="A6937" s="72"/>
      <c r="B6937" s="72"/>
      <c r="C6937" s="72"/>
      <c r="D6937" s="72"/>
      <c r="E6937" s="72"/>
    </row>
    <row r="6938">
      <c r="A6938" s="72"/>
      <c r="B6938" s="72"/>
      <c r="C6938" s="72"/>
      <c r="D6938" s="72"/>
      <c r="E6938" s="72"/>
    </row>
    <row r="6939">
      <c r="A6939" s="72"/>
      <c r="B6939" s="72"/>
      <c r="C6939" s="72"/>
      <c r="D6939" s="72"/>
      <c r="E6939" s="72"/>
    </row>
    <row r="6940">
      <c r="A6940" s="72"/>
      <c r="B6940" s="72"/>
      <c r="C6940" s="72"/>
      <c r="D6940" s="72"/>
      <c r="E6940" s="72"/>
    </row>
    <row r="6941">
      <c r="A6941" s="72"/>
      <c r="B6941" s="72"/>
      <c r="C6941" s="72"/>
      <c r="D6941" s="72"/>
      <c r="E6941" s="72"/>
    </row>
    <row r="6942">
      <c r="A6942" s="72"/>
      <c r="B6942" s="72"/>
      <c r="C6942" s="72"/>
      <c r="D6942" s="72"/>
      <c r="E6942" s="72"/>
    </row>
    <row r="6943">
      <c r="A6943" s="72"/>
      <c r="B6943" s="72"/>
      <c r="C6943" s="72"/>
      <c r="D6943" s="72"/>
      <c r="E6943" s="72"/>
    </row>
    <row r="6944">
      <c r="A6944" s="72"/>
      <c r="B6944" s="72"/>
      <c r="C6944" s="72"/>
      <c r="D6944" s="72"/>
      <c r="E6944" s="72"/>
    </row>
    <row r="6945">
      <c r="A6945" s="72"/>
      <c r="B6945" s="72"/>
      <c r="C6945" s="72"/>
      <c r="D6945" s="72"/>
      <c r="E6945" s="72"/>
    </row>
    <row r="6946">
      <c r="A6946" s="72"/>
      <c r="B6946" s="72"/>
      <c r="C6946" s="72"/>
      <c r="D6946" s="72"/>
      <c r="E6946" s="72"/>
    </row>
    <row r="6947">
      <c r="A6947" s="72"/>
      <c r="B6947" s="72"/>
      <c r="C6947" s="72"/>
      <c r="D6947" s="72"/>
      <c r="E6947" s="72"/>
    </row>
    <row r="6948">
      <c r="A6948" s="72"/>
      <c r="B6948" s="72"/>
      <c r="C6948" s="72"/>
      <c r="D6948" s="72"/>
      <c r="E6948" s="72"/>
    </row>
    <row r="6949">
      <c r="A6949" s="72"/>
      <c r="B6949" s="72"/>
      <c r="C6949" s="72"/>
      <c r="D6949" s="72"/>
      <c r="E6949" s="72"/>
    </row>
    <row r="6950">
      <c r="A6950" s="72"/>
      <c r="B6950" s="72"/>
      <c r="C6950" s="72"/>
      <c r="D6950" s="72"/>
      <c r="E6950" s="72"/>
    </row>
    <row r="6951">
      <c r="A6951" s="72"/>
      <c r="B6951" s="72"/>
      <c r="C6951" s="72"/>
      <c r="D6951" s="72"/>
      <c r="E6951" s="72"/>
    </row>
    <row r="6952">
      <c r="A6952" s="72"/>
      <c r="B6952" s="72"/>
      <c r="C6952" s="72"/>
      <c r="D6952" s="72"/>
      <c r="E6952" s="72"/>
    </row>
    <row r="6953">
      <c r="A6953" s="72"/>
      <c r="B6953" s="72"/>
      <c r="C6953" s="72"/>
      <c r="D6953" s="72"/>
      <c r="E6953" s="72"/>
    </row>
    <row r="6954">
      <c r="A6954" s="72"/>
      <c r="B6954" s="72"/>
      <c r="C6954" s="72"/>
      <c r="D6954" s="72"/>
      <c r="E6954" s="72"/>
    </row>
    <row r="6955">
      <c r="A6955" s="72"/>
      <c r="B6955" s="72"/>
      <c r="C6955" s="72"/>
      <c r="D6955" s="72"/>
      <c r="E6955" s="72"/>
    </row>
    <row r="6956">
      <c r="A6956" s="72"/>
      <c r="B6956" s="72"/>
      <c r="C6956" s="72"/>
      <c r="D6956" s="72"/>
      <c r="E6956" s="72"/>
    </row>
    <row r="6957">
      <c r="A6957" s="72"/>
      <c r="B6957" s="72"/>
      <c r="C6957" s="72"/>
      <c r="D6957" s="72"/>
      <c r="E6957" s="72"/>
    </row>
    <row r="6958">
      <c r="A6958" s="72"/>
      <c r="B6958" s="72"/>
      <c r="C6958" s="72"/>
      <c r="D6958" s="72"/>
      <c r="E6958" s="72"/>
    </row>
    <row r="6959">
      <c r="A6959" s="72"/>
      <c r="B6959" s="72"/>
      <c r="C6959" s="72"/>
      <c r="D6959" s="72"/>
      <c r="E6959" s="72"/>
    </row>
    <row r="6960">
      <c r="A6960" s="72"/>
      <c r="B6960" s="72"/>
      <c r="C6960" s="72"/>
      <c r="D6960" s="72"/>
      <c r="E6960" s="72"/>
    </row>
    <row r="6961">
      <c r="A6961" s="72"/>
      <c r="B6961" s="72"/>
      <c r="C6961" s="72"/>
      <c r="D6961" s="72"/>
      <c r="E6961" s="72"/>
    </row>
    <row r="6962">
      <c r="A6962" s="72"/>
      <c r="B6962" s="72"/>
      <c r="C6962" s="72"/>
      <c r="D6962" s="72"/>
      <c r="E6962" s="72"/>
    </row>
    <row r="6963">
      <c r="A6963" s="72"/>
      <c r="B6963" s="72"/>
      <c r="C6963" s="72"/>
      <c r="D6963" s="72"/>
      <c r="E6963" s="72"/>
    </row>
    <row r="6964">
      <c r="A6964" s="72"/>
      <c r="B6964" s="72"/>
      <c r="C6964" s="72"/>
      <c r="D6964" s="72"/>
      <c r="E6964" s="72"/>
    </row>
    <row r="6965">
      <c r="A6965" s="72"/>
      <c r="B6965" s="72"/>
      <c r="C6965" s="72"/>
      <c r="D6965" s="72"/>
      <c r="E6965" s="72"/>
    </row>
    <row r="6966">
      <c r="A6966" s="72"/>
      <c r="B6966" s="72"/>
      <c r="C6966" s="72"/>
      <c r="D6966" s="72"/>
      <c r="E6966" s="72"/>
    </row>
    <row r="6967">
      <c r="A6967" s="72"/>
      <c r="B6967" s="72"/>
      <c r="C6967" s="72"/>
      <c r="D6967" s="72"/>
      <c r="E6967" s="72"/>
    </row>
    <row r="6968">
      <c r="A6968" s="72"/>
      <c r="B6968" s="72"/>
      <c r="C6968" s="72"/>
      <c r="D6968" s="72"/>
      <c r="E6968" s="72"/>
    </row>
    <row r="6969">
      <c r="A6969" s="72"/>
      <c r="B6969" s="72"/>
      <c r="C6969" s="72"/>
      <c r="D6969" s="72"/>
      <c r="E6969" s="72"/>
    </row>
    <row r="6970">
      <c r="A6970" s="72"/>
      <c r="B6970" s="72"/>
      <c r="C6970" s="72"/>
      <c r="D6970" s="72"/>
      <c r="E6970" s="72"/>
    </row>
    <row r="6971">
      <c r="A6971" s="72"/>
      <c r="B6971" s="72"/>
      <c r="C6971" s="72"/>
      <c r="D6971" s="72"/>
      <c r="E6971" s="72"/>
    </row>
    <row r="6972">
      <c r="A6972" s="72"/>
      <c r="B6972" s="72"/>
      <c r="C6972" s="72"/>
      <c r="D6972" s="72"/>
      <c r="E6972" s="72"/>
    </row>
    <row r="6973">
      <c r="A6973" s="72"/>
      <c r="B6973" s="72"/>
      <c r="C6973" s="72"/>
      <c r="D6973" s="72"/>
      <c r="E6973" s="72"/>
    </row>
    <row r="6974">
      <c r="A6974" s="72"/>
      <c r="B6974" s="72"/>
      <c r="C6974" s="72"/>
      <c r="D6974" s="72"/>
      <c r="E6974" s="72"/>
    </row>
    <row r="6975">
      <c r="A6975" s="72"/>
      <c r="B6975" s="72"/>
      <c r="C6975" s="72"/>
      <c r="D6975" s="72"/>
      <c r="E6975" s="72"/>
    </row>
    <row r="6976">
      <c r="A6976" s="72"/>
      <c r="B6976" s="72"/>
      <c r="C6976" s="72"/>
      <c r="D6976" s="72"/>
      <c r="E6976" s="72"/>
    </row>
    <row r="6977">
      <c r="A6977" s="72"/>
      <c r="B6977" s="72"/>
      <c r="C6977" s="72"/>
      <c r="D6977" s="72"/>
      <c r="E6977" s="72"/>
    </row>
    <row r="6978">
      <c r="A6978" s="72"/>
      <c r="B6978" s="72"/>
      <c r="C6978" s="72"/>
      <c r="D6978" s="72"/>
      <c r="E6978" s="72"/>
    </row>
    <row r="6979">
      <c r="A6979" s="72"/>
      <c r="B6979" s="72"/>
      <c r="C6979" s="72"/>
      <c r="D6979" s="72"/>
      <c r="E6979" s="72"/>
    </row>
    <row r="6980">
      <c r="A6980" s="72"/>
      <c r="B6980" s="72"/>
      <c r="C6980" s="72"/>
      <c r="D6980" s="72"/>
      <c r="E6980" s="72"/>
    </row>
    <row r="6981">
      <c r="A6981" s="72"/>
      <c r="B6981" s="72"/>
      <c r="C6981" s="72"/>
      <c r="D6981" s="72"/>
      <c r="E6981" s="72"/>
    </row>
    <row r="6982">
      <c r="A6982" s="72"/>
      <c r="B6982" s="72"/>
      <c r="C6982" s="72"/>
      <c r="D6982" s="72"/>
      <c r="E6982" s="72"/>
    </row>
    <row r="6983">
      <c r="A6983" s="72"/>
      <c r="B6983" s="72"/>
      <c r="C6983" s="72"/>
      <c r="D6983" s="72"/>
      <c r="E6983" s="72"/>
    </row>
    <row r="6984">
      <c r="A6984" s="72"/>
      <c r="B6984" s="72"/>
      <c r="C6984" s="72"/>
      <c r="D6984" s="72"/>
      <c r="E6984" s="72"/>
    </row>
    <row r="6985">
      <c r="A6985" s="72"/>
      <c r="B6985" s="72"/>
      <c r="C6985" s="72"/>
      <c r="D6985" s="72"/>
      <c r="E6985" s="72"/>
    </row>
    <row r="6986">
      <c r="A6986" s="72"/>
      <c r="B6986" s="72"/>
      <c r="C6986" s="72"/>
      <c r="D6986" s="72"/>
      <c r="E6986" s="72"/>
    </row>
    <row r="6987">
      <c r="A6987" s="72"/>
      <c r="B6987" s="72"/>
      <c r="C6987" s="72"/>
      <c r="D6987" s="72"/>
      <c r="E6987" s="72"/>
    </row>
    <row r="6988">
      <c r="A6988" s="72"/>
      <c r="B6988" s="72"/>
      <c r="C6988" s="72"/>
      <c r="D6988" s="72"/>
      <c r="E6988" s="72"/>
    </row>
    <row r="6989">
      <c r="A6989" s="72"/>
      <c r="B6989" s="72"/>
      <c r="C6989" s="72"/>
      <c r="D6989" s="72"/>
      <c r="E6989" s="72"/>
    </row>
    <row r="6990">
      <c r="A6990" s="72"/>
      <c r="B6990" s="72"/>
      <c r="C6990" s="72"/>
      <c r="D6990" s="72"/>
      <c r="E6990" s="72"/>
    </row>
    <row r="6991">
      <c r="A6991" s="72"/>
      <c r="B6991" s="72"/>
      <c r="C6991" s="72"/>
      <c r="D6991" s="72"/>
      <c r="E6991" s="72"/>
    </row>
    <row r="6992">
      <c r="A6992" s="72"/>
      <c r="B6992" s="72"/>
      <c r="C6992" s="72"/>
      <c r="D6992" s="72"/>
      <c r="E6992" s="72"/>
    </row>
    <row r="6993">
      <c r="A6993" s="72"/>
      <c r="B6993" s="72"/>
      <c r="C6993" s="72"/>
      <c r="D6993" s="72"/>
      <c r="E6993" s="72"/>
    </row>
    <row r="6994">
      <c r="A6994" s="72"/>
      <c r="B6994" s="72"/>
      <c r="C6994" s="72"/>
      <c r="D6994" s="72"/>
      <c r="E6994" s="72"/>
    </row>
    <row r="6995">
      <c r="A6995" s="72"/>
      <c r="B6995" s="72"/>
      <c r="C6995" s="72"/>
      <c r="D6995" s="72"/>
      <c r="E6995" s="72"/>
    </row>
    <row r="6996">
      <c r="A6996" s="72"/>
      <c r="B6996" s="72"/>
      <c r="C6996" s="72"/>
      <c r="D6996" s="72"/>
      <c r="E6996" s="72"/>
    </row>
    <row r="6997">
      <c r="A6997" s="72"/>
      <c r="B6997" s="72"/>
      <c r="C6997" s="72"/>
      <c r="D6997" s="72"/>
      <c r="E6997" s="72"/>
    </row>
    <row r="6998">
      <c r="A6998" s="72"/>
      <c r="B6998" s="72"/>
      <c r="C6998" s="72"/>
      <c r="D6998" s="72"/>
      <c r="E6998" s="72"/>
    </row>
    <row r="6999">
      <c r="A6999" s="72"/>
      <c r="B6999" s="72"/>
      <c r="C6999" s="72"/>
      <c r="D6999" s="72"/>
      <c r="E6999" s="72"/>
    </row>
    <row r="7000">
      <c r="A7000" s="72"/>
      <c r="B7000" s="72"/>
      <c r="C7000" s="72"/>
      <c r="D7000" s="72"/>
      <c r="E7000" s="72"/>
    </row>
    <row r="7001">
      <c r="A7001" s="72"/>
      <c r="B7001" s="72"/>
      <c r="C7001" s="72"/>
      <c r="D7001" s="72"/>
      <c r="E7001" s="72"/>
    </row>
    <row r="7002">
      <c r="A7002" s="72"/>
      <c r="B7002" s="72"/>
      <c r="C7002" s="72"/>
      <c r="D7002" s="72"/>
      <c r="E7002" s="72"/>
    </row>
    <row r="7003">
      <c r="A7003" s="72"/>
      <c r="B7003" s="72"/>
      <c r="C7003" s="72"/>
      <c r="D7003" s="72"/>
      <c r="E7003" s="72"/>
    </row>
    <row r="7004">
      <c r="A7004" s="72"/>
      <c r="B7004" s="72"/>
      <c r="C7004" s="72"/>
      <c r="D7004" s="72"/>
      <c r="E7004" s="72"/>
    </row>
    <row r="7005">
      <c r="A7005" s="72"/>
      <c r="B7005" s="72"/>
      <c r="C7005" s="72"/>
      <c r="D7005" s="72"/>
      <c r="E7005" s="72"/>
    </row>
    <row r="7006">
      <c r="A7006" s="72"/>
      <c r="B7006" s="72"/>
      <c r="C7006" s="72"/>
      <c r="D7006" s="72"/>
      <c r="E7006" s="72"/>
    </row>
    <row r="7007">
      <c r="A7007" s="72"/>
      <c r="B7007" s="72"/>
      <c r="C7007" s="72"/>
      <c r="D7007" s="72"/>
      <c r="E7007" s="72"/>
    </row>
    <row r="7008">
      <c r="A7008" s="72"/>
      <c r="B7008" s="72"/>
      <c r="C7008" s="72"/>
      <c r="D7008" s="72"/>
      <c r="E7008" s="72"/>
    </row>
    <row r="7009">
      <c r="A7009" s="72"/>
      <c r="B7009" s="72"/>
      <c r="C7009" s="72"/>
      <c r="D7009" s="72"/>
      <c r="E7009" s="72"/>
    </row>
    <row r="7010">
      <c r="A7010" s="72"/>
      <c r="B7010" s="72"/>
      <c r="C7010" s="72"/>
      <c r="D7010" s="72"/>
      <c r="E7010" s="72"/>
    </row>
    <row r="7011">
      <c r="A7011" s="72"/>
      <c r="B7011" s="72"/>
      <c r="C7011" s="72"/>
      <c r="D7011" s="72"/>
      <c r="E7011" s="72"/>
    </row>
    <row r="7012">
      <c r="A7012" s="72"/>
      <c r="B7012" s="72"/>
      <c r="C7012" s="72"/>
      <c r="D7012" s="72"/>
      <c r="E7012" s="72"/>
    </row>
    <row r="7013">
      <c r="A7013" s="72"/>
      <c r="B7013" s="72"/>
      <c r="C7013" s="72"/>
      <c r="D7013" s="72"/>
      <c r="E7013" s="72"/>
    </row>
    <row r="7014">
      <c r="A7014" s="72"/>
      <c r="B7014" s="72"/>
      <c r="C7014" s="72"/>
      <c r="D7014" s="72"/>
      <c r="E7014" s="72"/>
    </row>
    <row r="7015">
      <c r="A7015" s="72"/>
      <c r="B7015" s="72"/>
      <c r="C7015" s="72"/>
      <c r="D7015" s="72"/>
      <c r="E7015" s="72"/>
    </row>
    <row r="7016">
      <c r="A7016" s="72"/>
      <c r="B7016" s="72"/>
      <c r="C7016" s="72"/>
      <c r="D7016" s="72"/>
      <c r="E7016" s="72"/>
    </row>
    <row r="7017">
      <c r="A7017" s="72"/>
      <c r="B7017" s="72"/>
      <c r="C7017" s="72"/>
      <c r="D7017" s="72"/>
      <c r="E7017" s="72"/>
    </row>
    <row r="7018">
      <c r="A7018" s="72"/>
      <c r="B7018" s="72"/>
      <c r="C7018" s="72"/>
      <c r="D7018" s="72"/>
      <c r="E7018" s="72"/>
    </row>
    <row r="7019">
      <c r="A7019" s="72"/>
      <c r="B7019" s="72"/>
      <c r="C7019" s="72"/>
      <c r="D7019" s="72"/>
      <c r="E7019" s="72"/>
    </row>
    <row r="7020">
      <c r="A7020" s="72"/>
      <c r="B7020" s="72"/>
      <c r="C7020" s="72"/>
      <c r="D7020" s="72"/>
      <c r="E7020" s="72"/>
    </row>
    <row r="7021">
      <c r="A7021" s="72"/>
      <c r="B7021" s="72"/>
      <c r="C7021" s="72"/>
      <c r="D7021" s="72"/>
      <c r="E7021" s="72"/>
    </row>
    <row r="7022">
      <c r="A7022" s="72"/>
      <c r="B7022" s="72"/>
      <c r="C7022" s="72"/>
      <c r="D7022" s="72"/>
      <c r="E7022" s="72"/>
    </row>
    <row r="7023">
      <c r="A7023" s="72"/>
      <c r="B7023" s="72"/>
      <c r="C7023" s="72"/>
      <c r="D7023" s="72"/>
      <c r="E7023" s="72"/>
    </row>
    <row r="7024">
      <c r="A7024" s="72"/>
      <c r="B7024" s="72"/>
      <c r="C7024" s="72"/>
      <c r="D7024" s="72"/>
      <c r="E7024" s="72"/>
    </row>
    <row r="7025">
      <c r="A7025" s="72"/>
      <c r="B7025" s="72"/>
      <c r="C7025" s="72"/>
      <c r="D7025" s="72"/>
      <c r="E7025" s="72"/>
    </row>
    <row r="7026">
      <c r="A7026" s="72"/>
      <c r="B7026" s="72"/>
      <c r="C7026" s="72"/>
      <c r="D7026" s="72"/>
      <c r="E7026" s="72"/>
    </row>
    <row r="7027">
      <c r="A7027" s="72"/>
      <c r="B7027" s="72"/>
      <c r="C7027" s="72"/>
      <c r="D7027" s="72"/>
      <c r="E7027" s="72"/>
    </row>
    <row r="7028">
      <c r="A7028" s="72"/>
      <c r="B7028" s="72"/>
      <c r="C7028" s="72"/>
      <c r="D7028" s="72"/>
      <c r="E7028" s="72"/>
    </row>
    <row r="7029">
      <c r="A7029" s="72"/>
      <c r="B7029" s="72"/>
      <c r="C7029" s="72"/>
      <c r="D7029" s="72"/>
      <c r="E7029" s="72"/>
    </row>
    <row r="7030">
      <c r="A7030" s="72"/>
      <c r="B7030" s="72"/>
      <c r="C7030" s="72"/>
      <c r="D7030" s="72"/>
      <c r="E7030" s="72"/>
    </row>
    <row r="7031">
      <c r="A7031" s="72"/>
      <c r="B7031" s="72"/>
      <c r="C7031" s="72"/>
      <c r="D7031" s="72"/>
      <c r="E7031" s="72"/>
    </row>
    <row r="7032">
      <c r="A7032" s="72"/>
      <c r="B7032" s="72"/>
      <c r="C7032" s="72"/>
      <c r="D7032" s="72"/>
      <c r="E7032" s="72"/>
    </row>
    <row r="7033">
      <c r="A7033" s="72"/>
      <c r="B7033" s="72"/>
      <c r="C7033" s="72"/>
      <c r="D7033" s="72"/>
      <c r="E7033" s="72"/>
    </row>
    <row r="7034">
      <c r="A7034" s="72"/>
      <c r="B7034" s="72"/>
      <c r="C7034" s="72"/>
      <c r="D7034" s="72"/>
      <c r="E7034" s="72"/>
    </row>
    <row r="7035">
      <c r="A7035" s="72"/>
      <c r="B7035" s="72"/>
      <c r="C7035" s="72"/>
      <c r="D7035" s="72"/>
      <c r="E7035" s="72"/>
    </row>
    <row r="7036">
      <c r="A7036" s="72"/>
      <c r="B7036" s="72"/>
      <c r="C7036" s="72"/>
      <c r="D7036" s="72"/>
      <c r="E7036" s="72"/>
    </row>
    <row r="7037">
      <c r="A7037" s="72"/>
      <c r="B7037" s="72"/>
      <c r="C7037" s="72"/>
      <c r="D7037" s="72"/>
      <c r="E7037" s="72"/>
    </row>
    <row r="7038">
      <c r="A7038" s="72"/>
      <c r="B7038" s="72"/>
      <c r="C7038" s="72"/>
      <c r="D7038" s="72"/>
      <c r="E7038" s="72"/>
    </row>
    <row r="7039">
      <c r="A7039" s="72"/>
      <c r="B7039" s="72"/>
      <c r="C7039" s="72"/>
      <c r="D7039" s="72"/>
      <c r="E7039" s="72"/>
    </row>
    <row r="7040">
      <c r="A7040" s="72"/>
      <c r="B7040" s="72"/>
      <c r="C7040" s="72"/>
      <c r="D7040" s="72"/>
      <c r="E7040" s="72"/>
    </row>
    <row r="7041">
      <c r="A7041" s="72"/>
      <c r="B7041" s="72"/>
      <c r="C7041" s="72"/>
      <c r="D7041" s="72"/>
      <c r="E7041" s="72"/>
    </row>
    <row r="7042">
      <c r="A7042" s="72"/>
      <c r="B7042" s="72"/>
      <c r="C7042" s="72"/>
      <c r="D7042" s="72"/>
      <c r="E7042" s="72"/>
    </row>
    <row r="7043">
      <c r="A7043" s="72"/>
      <c r="B7043" s="72"/>
      <c r="C7043" s="72"/>
      <c r="D7043" s="72"/>
      <c r="E7043" s="72"/>
    </row>
    <row r="7044">
      <c r="A7044" s="72"/>
      <c r="B7044" s="72"/>
      <c r="C7044" s="72"/>
      <c r="D7044" s="72"/>
      <c r="E7044" s="72"/>
    </row>
    <row r="7045">
      <c r="A7045" s="72"/>
      <c r="B7045" s="72"/>
      <c r="C7045" s="72"/>
      <c r="D7045" s="72"/>
      <c r="E7045" s="72"/>
    </row>
    <row r="7046">
      <c r="A7046" s="72"/>
      <c r="B7046" s="72"/>
      <c r="C7046" s="72"/>
      <c r="D7046" s="72"/>
      <c r="E7046" s="72"/>
    </row>
    <row r="7047">
      <c r="A7047" s="72"/>
      <c r="B7047" s="72"/>
      <c r="C7047" s="72"/>
      <c r="D7047" s="72"/>
      <c r="E7047" s="72"/>
    </row>
    <row r="7048">
      <c r="A7048" s="72"/>
      <c r="B7048" s="72"/>
      <c r="C7048" s="72"/>
      <c r="D7048" s="72"/>
      <c r="E7048" s="72"/>
    </row>
    <row r="7049">
      <c r="A7049" s="72"/>
      <c r="B7049" s="72"/>
      <c r="C7049" s="72"/>
      <c r="D7049" s="72"/>
      <c r="E7049" s="72"/>
    </row>
    <row r="7050">
      <c r="A7050" s="72"/>
      <c r="B7050" s="72"/>
      <c r="C7050" s="72"/>
      <c r="D7050" s="72"/>
      <c r="E7050" s="72"/>
    </row>
    <row r="7051">
      <c r="A7051" s="72"/>
      <c r="B7051" s="72"/>
      <c r="C7051" s="72"/>
      <c r="D7051" s="72"/>
      <c r="E7051" s="72"/>
    </row>
    <row r="7052">
      <c r="A7052" s="72"/>
      <c r="B7052" s="72"/>
      <c r="C7052" s="72"/>
      <c r="D7052" s="72"/>
      <c r="E7052" s="72"/>
    </row>
    <row r="7053">
      <c r="A7053" s="72"/>
      <c r="B7053" s="72"/>
      <c r="C7053" s="72"/>
      <c r="D7053" s="72"/>
      <c r="E7053" s="72"/>
    </row>
    <row r="7054">
      <c r="A7054" s="72"/>
      <c r="B7054" s="72"/>
      <c r="C7054" s="72"/>
      <c r="D7054" s="72"/>
      <c r="E7054" s="72"/>
    </row>
    <row r="7055">
      <c r="A7055" s="72"/>
      <c r="B7055" s="72"/>
      <c r="C7055" s="72"/>
      <c r="D7055" s="72"/>
      <c r="E7055" s="72"/>
    </row>
    <row r="7056">
      <c r="A7056" s="72"/>
      <c r="B7056" s="72"/>
      <c r="C7056" s="72"/>
      <c r="D7056" s="72"/>
      <c r="E7056" s="72"/>
    </row>
    <row r="7057">
      <c r="A7057" s="72"/>
      <c r="B7057" s="72"/>
      <c r="C7057" s="72"/>
      <c r="D7057" s="72"/>
      <c r="E7057" s="72"/>
    </row>
    <row r="7058">
      <c r="A7058" s="72"/>
      <c r="B7058" s="72"/>
      <c r="C7058" s="72"/>
      <c r="D7058" s="72"/>
      <c r="E7058" s="72"/>
    </row>
    <row r="7059">
      <c r="A7059" s="72"/>
      <c r="B7059" s="72"/>
      <c r="C7059" s="72"/>
      <c r="D7059" s="72"/>
      <c r="E7059" s="72"/>
    </row>
    <row r="7060">
      <c r="A7060" s="72"/>
      <c r="B7060" s="72"/>
      <c r="C7060" s="72"/>
      <c r="D7060" s="72"/>
      <c r="E7060" s="72"/>
    </row>
    <row r="7061">
      <c r="A7061" s="72"/>
      <c r="B7061" s="72"/>
      <c r="C7061" s="72"/>
      <c r="D7061" s="72"/>
      <c r="E7061" s="72"/>
    </row>
    <row r="7062">
      <c r="A7062" s="72"/>
      <c r="B7062" s="72"/>
      <c r="C7062" s="72"/>
      <c r="D7062" s="72"/>
      <c r="E7062" s="72"/>
    </row>
    <row r="7063">
      <c r="A7063" s="72"/>
      <c r="B7063" s="72"/>
      <c r="C7063" s="72"/>
      <c r="D7063" s="72"/>
      <c r="E7063" s="72"/>
    </row>
    <row r="7064">
      <c r="A7064" s="72"/>
      <c r="B7064" s="72"/>
      <c r="C7064" s="72"/>
      <c r="D7064" s="72"/>
      <c r="E7064" s="72"/>
    </row>
    <row r="7065">
      <c r="A7065" s="72"/>
      <c r="B7065" s="72"/>
      <c r="C7065" s="72"/>
      <c r="D7065" s="72"/>
      <c r="E7065" s="72"/>
    </row>
    <row r="7066">
      <c r="A7066" s="72"/>
      <c r="B7066" s="72"/>
      <c r="C7066" s="72"/>
      <c r="D7066" s="72"/>
      <c r="E7066" s="72"/>
    </row>
    <row r="7067">
      <c r="A7067" s="72"/>
      <c r="B7067" s="72"/>
      <c r="C7067" s="72"/>
      <c r="D7067" s="72"/>
      <c r="E7067" s="72"/>
    </row>
    <row r="7068">
      <c r="A7068" s="72"/>
      <c r="B7068" s="72"/>
      <c r="C7068" s="72"/>
      <c r="D7068" s="72"/>
      <c r="E7068" s="72"/>
    </row>
    <row r="7069">
      <c r="A7069" s="72"/>
      <c r="B7069" s="72"/>
      <c r="C7069" s="72"/>
      <c r="D7069" s="72"/>
      <c r="E7069" s="72"/>
    </row>
    <row r="7070">
      <c r="A7070" s="72"/>
      <c r="B7070" s="72"/>
      <c r="C7070" s="72"/>
      <c r="D7070" s="72"/>
      <c r="E7070" s="72"/>
    </row>
    <row r="7071">
      <c r="A7071" s="72"/>
      <c r="B7071" s="72"/>
      <c r="C7071" s="72"/>
      <c r="D7071" s="72"/>
      <c r="E7071" s="72"/>
    </row>
    <row r="7072">
      <c r="A7072" s="72"/>
      <c r="B7072" s="72"/>
      <c r="C7072" s="72"/>
      <c r="D7072" s="72"/>
      <c r="E7072" s="72"/>
    </row>
    <row r="7073">
      <c r="A7073" s="72"/>
      <c r="B7073" s="72"/>
      <c r="C7073" s="72"/>
      <c r="D7073" s="72"/>
      <c r="E7073" s="72"/>
    </row>
    <row r="7074">
      <c r="A7074" s="72"/>
      <c r="B7074" s="72"/>
      <c r="C7074" s="72"/>
      <c r="D7074" s="72"/>
      <c r="E7074" s="72"/>
    </row>
    <row r="7075">
      <c r="A7075" s="72"/>
      <c r="B7075" s="72"/>
      <c r="C7075" s="72"/>
      <c r="D7075" s="72"/>
      <c r="E7075" s="72"/>
    </row>
    <row r="7076">
      <c r="A7076" s="72"/>
      <c r="B7076" s="72"/>
      <c r="C7076" s="72"/>
      <c r="D7076" s="72"/>
      <c r="E7076" s="72"/>
    </row>
    <row r="7077">
      <c r="A7077" s="72"/>
      <c r="B7077" s="72"/>
      <c r="C7077" s="72"/>
      <c r="D7077" s="72"/>
      <c r="E7077" s="72"/>
    </row>
    <row r="7078">
      <c r="A7078" s="72"/>
      <c r="B7078" s="72"/>
      <c r="C7078" s="72"/>
      <c r="D7078" s="72"/>
      <c r="E7078" s="72"/>
    </row>
    <row r="7079">
      <c r="A7079" s="72"/>
      <c r="B7079" s="72"/>
      <c r="C7079" s="72"/>
      <c r="D7079" s="72"/>
      <c r="E7079" s="72"/>
    </row>
    <row r="7080">
      <c r="A7080" s="72"/>
      <c r="B7080" s="72"/>
      <c r="C7080" s="72"/>
      <c r="D7080" s="72"/>
      <c r="E7080" s="72"/>
    </row>
    <row r="7081">
      <c r="A7081" s="72"/>
      <c r="B7081" s="72"/>
      <c r="C7081" s="72"/>
      <c r="D7081" s="72"/>
      <c r="E7081" s="72"/>
    </row>
    <row r="7082">
      <c r="A7082" s="72"/>
      <c r="B7082" s="72"/>
      <c r="C7082" s="72"/>
      <c r="D7082" s="72"/>
      <c r="E7082" s="72"/>
    </row>
    <row r="7083">
      <c r="A7083" s="72"/>
      <c r="B7083" s="72"/>
      <c r="C7083" s="72"/>
      <c r="D7083" s="72"/>
      <c r="E7083" s="72"/>
    </row>
    <row r="7084">
      <c r="A7084" s="72"/>
      <c r="B7084" s="72"/>
      <c r="C7084" s="72"/>
      <c r="D7084" s="72"/>
      <c r="E7084" s="72"/>
    </row>
    <row r="7085">
      <c r="A7085" s="72"/>
      <c r="B7085" s="72"/>
      <c r="C7085" s="72"/>
      <c r="D7085" s="72"/>
      <c r="E7085" s="72"/>
    </row>
    <row r="7086">
      <c r="A7086" s="72"/>
      <c r="B7086" s="72"/>
      <c r="C7086" s="72"/>
      <c r="D7086" s="72"/>
      <c r="E7086" s="72"/>
    </row>
    <row r="7087">
      <c r="A7087" s="72"/>
      <c r="B7087" s="72"/>
      <c r="C7087" s="72"/>
      <c r="D7087" s="72"/>
      <c r="E7087" s="72"/>
    </row>
    <row r="7088">
      <c r="A7088" s="72"/>
      <c r="B7088" s="72"/>
      <c r="C7088" s="72"/>
      <c r="D7088" s="72"/>
      <c r="E7088" s="72"/>
    </row>
    <row r="7089">
      <c r="A7089" s="72"/>
      <c r="B7089" s="72"/>
      <c r="C7089" s="72"/>
      <c r="D7089" s="72"/>
      <c r="E7089" s="72"/>
    </row>
    <row r="7090">
      <c r="A7090" s="72"/>
      <c r="B7090" s="72"/>
      <c r="C7090" s="72"/>
      <c r="D7090" s="72"/>
      <c r="E7090" s="72"/>
    </row>
    <row r="7091">
      <c r="A7091" s="72"/>
      <c r="B7091" s="72"/>
      <c r="C7091" s="72"/>
      <c r="D7091" s="72"/>
      <c r="E7091" s="72"/>
    </row>
    <row r="7092">
      <c r="A7092" s="72"/>
      <c r="B7092" s="72"/>
      <c r="C7092" s="72"/>
      <c r="D7092" s="72"/>
      <c r="E7092" s="72"/>
    </row>
    <row r="7093">
      <c r="A7093" s="72"/>
      <c r="B7093" s="72"/>
      <c r="C7093" s="72"/>
      <c r="D7093" s="72"/>
      <c r="E7093" s="72"/>
    </row>
    <row r="7094">
      <c r="A7094" s="72"/>
      <c r="B7094" s="72"/>
      <c r="C7094" s="72"/>
      <c r="D7094" s="72"/>
      <c r="E7094" s="72"/>
    </row>
    <row r="7095">
      <c r="A7095" s="72"/>
      <c r="B7095" s="72"/>
      <c r="C7095" s="72"/>
      <c r="D7095" s="72"/>
      <c r="E7095" s="72"/>
    </row>
    <row r="7096">
      <c r="A7096" s="72"/>
      <c r="B7096" s="72"/>
      <c r="C7096" s="72"/>
      <c r="D7096" s="72"/>
      <c r="E7096" s="72"/>
    </row>
    <row r="7097">
      <c r="A7097" s="72"/>
      <c r="B7097" s="72"/>
      <c r="C7097" s="72"/>
      <c r="D7097" s="72"/>
      <c r="E7097" s="72"/>
    </row>
    <row r="7098">
      <c r="A7098" s="72"/>
      <c r="B7098" s="72"/>
      <c r="C7098" s="72"/>
      <c r="D7098" s="72"/>
      <c r="E7098" s="72"/>
    </row>
    <row r="7099">
      <c r="A7099" s="72"/>
      <c r="B7099" s="72"/>
      <c r="C7099" s="72"/>
      <c r="D7099" s="72"/>
      <c r="E7099" s="72"/>
    </row>
    <row r="7100">
      <c r="A7100" s="72"/>
      <c r="B7100" s="72"/>
      <c r="C7100" s="72"/>
      <c r="D7100" s="72"/>
      <c r="E7100" s="72"/>
    </row>
    <row r="7101">
      <c r="A7101" s="72"/>
      <c r="B7101" s="72"/>
      <c r="C7101" s="72"/>
      <c r="D7101" s="72"/>
      <c r="E7101" s="72"/>
    </row>
    <row r="7102">
      <c r="A7102" s="72"/>
      <c r="B7102" s="72"/>
      <c r="C7102" s="72"/>
      <c r="D7102" s="72"/>
      <c r="E7102" s="72"/>
    </row>
    <row r="7103">
      <c r="A7103" s="72"/>
      <c r="B7103" s="72"/>
      <c r="C7103" s="72"/>
      <c r="D7103" s="72"/>
      <c r="E7103" s="72"/>
    </row>
    <row r="7104">
      <c r="A7104" s="72"/>
      <c r="B7104" s="72"/>
      <c r="C7104" s="72"/>
      <c r="D7104" s="72"/>
      <c r="E7104" s="72"/>
    </row>
    <row r="7105">
      <c r="A7105" s="72"/>
      <c r="B7105" s="72"/>
      <c r="C7105" s="72"/>
      <c r="D7105" s="72"/>
      <c r="E7105" s="72"/>
    </row>
    <row r="7106">
      <c r="A7106" s="72"/>
      <c r="B7106" s="72"/>
      <c r="C7106" s="72"/>
      <c r="D7106" s="72"/>
      <c r="E7106" s="72"/>
    </row>
    <row r="7107">
      <c r="A7107" s="72"/>
      <c r="B7107" s="72"/>
      <c r="C7107" s="72"/>
      <c r="D7107" s="72"/>
      <c r="E7107" s="72"/>
    </row>
    <row r="7108">
      <c r="A7108" s="72"/>
      <c r="B7108" s="72"/>
      <c r="C7108" s="72"/>
      <c r="D7108" s="72"/>
      <c r="E7108" s="72"/>
    </row>
    <row r="7109">
      <c r="A7109" s="72"/>
      <c r="B7109" s="72"/>
      <c r="C7109" s="72"/>
      <c r="D7109" s="72"/>
      <c r="E7109" s="72"/>
    </row>
    <row r="7110">
      <c r="A7110" s="72"/>
      <c r="B7110" s="72"/>
      <c r="C7110" s="72"/>
      <c r="D7110" s="72"/>
      <c r="E7110" s="72"/>
    </row>
    <row r="7111">
      <c r="A7111" s="72"/>
      <c r="B7111" s="72"/>
      <c r="C7111" s="72"/>
      <c r="D7111" s="72"/>
      <c r="E7111" s="72"/>
    </row>
    <row r="7112">
      <c r="A7112" s="72"/>
      <c r="B7112" s="72"/>
      <c r="C7112" s="72"/>
      <c r="D7112" s="72"/>
      <c r="E7112" s="72"/>
    </row>
    <row r="7113">
      <c r="A7113" s="72"/>
      <c r="B7113" s="72"/>
      <c r="C7113" s="72"/>
      <c r="D7113" s="72"/>
      <c r="E7113" s="72"/>
    </row>
    <row r="7114">
      <c r="A7114" s="72"/>
      <c r="B7114" s="72"/>
      <c r="C7114" s="72"/>
      <c r="D7114" s="72"/>
      <c r="E7114" s="72"/>
    </row>
    <row r="7115">
      <c r="A7115" s="72"/>
      <c r="B7115" s="72"/>
      <c r="C7115" s="72"/>
      <c r="D7115" s="72"/>
      <c r="E7115" s="72"/>
    </row>
    <row r="7116">
      <c r="A7116" s="72"/>
      <c r="B7116" s="72"/>
      <c r="C7116" s="72"/>
      <c r="D7116" s="72"/>
      <c r="E7116" s="72"/>
    </row>
    <row r="7117">
      <c r="A7117" s="72"/>
      <c r="B7117" s="72"/>
      <c r="C7117" s="72"/>
      <c r="D7117" s="72"/>
      <c r="E7117" s="72"/>
    </row>
    <row r="7118">
      <c r="A7118" s="72"/>
      <c r="B7118" s="72"/>
      <c r="C7118" s="72"/>
      <c r="D7118" s="72"/>
      <c r="E7118" s="72"/>
    </row>
    <row r="7119">
      <c r="A7119" s="72"/>
      <c r="B7119" s="72"/>
      <c r="C7119" s="72"/>
      <c r="D7119" s="72"/>
      <c r="E7119" s="72"/>
    </row>
    <row r="7120">
      <c r="A7120" s="72"/>
      <c r="B7120" s="72"/>
      <c r="C7120" s="72"/>
      <c r="D7120" s="72"/>
      <c r="E7120" s="72"/>
    </row>
    <row r="7121">
      <c r="A7121" s="72"/>
      <c r="B7121" s="72"/>
      <c r="C7121" s="72"/>
      <c r="D7121" s="72"/>
      <c r="E7121" s="72"/>
    </row>
    <row r="7122">
      <c r="A7122" s="72"/>
      <c r="B7122" s="72"/>
      <c r="C7122" s="72"/>
      <c r="D7122" s="72"/>
      <c r="E7122" s="72"/>
    </row>
    <row r="7123">
      <c r="A7123" s="72"/>
      <c r="B7123" s="72"/>
      <c r="C7123" s="72"/>
      <c r="D7123" s="72"/>
      <c r="E7123" s="72"/>
    </row>
    <row r="7124">
      <c r="A7124" s="72"/>
      <c r="B7124" s="72"/>
      <c r="C7124" s="72"/>
      <c r="D7124" s="72"/>
      <c r="E7124" s="72"/>
    </row>
    <row r="7125">
      <c r="A7125" s="72"/>
      <c r="B7125" s="72"/>
      <c r="C7125" s="72"/>
      <c r="D7125" s="72"/>
      <c r="E7125" s="72"/>
    </row>
    <row r="7126">
      <c r="A7126" s="72"/>
      <c r="B7126" s="72"/>
      <c r="C7126" s="72"/>
      <c r="D7126" s="72"/>
      <c r="E7126" s="72"/>
    </row>
    <row r="7127">
      <c r="A7127" s="72"/>
      <c r="B7127" s="72"/>
      <c r="C7127" s="72"/>
      <c r="D7127" s="72"/>
      <c r="E7127" s="72"/>
    </row>
    <row r="7128">
      <c r="A7128" s="72"/>
      <c r="B7128" s="72"/>
      <c r="C7128" s="72"/>
      <c r="D7128" s="72"/>
      <c r="E7128" s="72"/>
    </row>
    <row r="7129">
      <c r="A7129" s="72"/>
      <c r="B7129" s="72"/>
      <c r="C7129" s="72"/>
      <c r="D7129" s="72"/>
      <c r="E7129" s="72"/>
    </row>
    <row r="7130">
      <c r="A7130" s="72"/>
      <c r="B7130" s="72"/>
      <c r="C7130" s="72"/>
      <c r="D7130" s="72"/>
      <c r="E7130" s="72"/>
    </row>
    <row r="7131">
      <c r="A7131" s="72"/>
      <c r="B7131" s="72"/>
      <c r="C7131" s="72"/>
      <c r="D7131" s="72"/>
      <c r="E7131" s="72"/>
    </row>
    <row r="7132">
      <c r="A7132" s="72"/>
      <c r="B7132" s="72"/>
      <c r="C7132" s="72"/>
      <c r="D7132" s="72"/>
      <c r="E7132" s="72"/>
    </row>
    <row r="7133">
      <c r="A7133" s="72"/>
      <c r="B7133" s="72"/>
      <c r="C7133" s="72"/>
      <c r="D7133" s="72"/>
      <c r="E7133" s="72"/>
    </row>
    <row r="7134">
      <c r="A7134" s="72"/>
      <c r="B7134" s="72"/>
      <c r="C7134" s="72"/>
      <c r="D7134" s="72"/>
      <c r="E7134" s="72"/>
    </row>
    <row r="7135">
      <c r="A7135" s="72"/>
      <c r="B7135" s="72"/>
      <c r="C7135" s="72"/>
      <c r="D7135" s="72"/>
      <c r="E7135" s="72"/>
    </row>
    <row r="7136">
      <c r="A7136" s="72"/>
      <c r="B7136" s="72"/>
      <c r="C7136" s="72"/>
      <c r="D7136" s="72"/>
      <c r="E7136" s="72"/>
    </row>
    <row r="7137">
      <c r="A7137" s="72"/>
      <c r="B7137" s="72"/>
      <c r="C7137" s="72"/>
      <c r="D7137" s="72"/>
      <c r="E7137" s="72"/>
    </row>
    <row r="7138">
      <c r="A7138" s="72"/>
      <c r="B7138" s="72"/>
      <c r="C7138" s="72"/>
      <c r="D7138" s="72"/>
      <c r="E7138" s="72"/>
    </row>
    <row r="7139">
      <c r="A7139" s="72"/>
      <c r="B7139" s="72"/>
      <c r="C7139" s="72"/>
      <c r="D7139" s="72"/>
      <c r="E7139" s="72"/>
    </row>
    <row r="7140">
      <c r="A7140" s="72"/>
      <c r="B7140" s="72"/>
      <c r="C7140" s="72"/>
      <c r="D7140" s="72"/>
      <c r="E7140" s="72"/>
    </row>
    <row r="7141">
      <c r="A7141" s="72"/>
      <c r="B7141" s="72"/>
      <c r="C7141" s="72"/>
      <c r="D7141" s="72"/>
      <c r="E7141" s="72"/>
    </row>
    <row r="7142">
      <c r="A7142" s="72"/>
      <c r="B7142" s="72"/>
      <c r="C7142" s="72"/>
      <c r="D7142" s="72"/>
      <c r="E7142" s="72"/>
    </row>
    <row r="7143">
      <c r="A7143" s="72"/>
      <c r="B7143" s="72"/>
      <c r="C7143" s="72"/>
      <c r="D7143" s="72"/>
      <c r="E7143" s="72"/>
    </row>
    <row r="7144">
      <c r="A7144" s="72"/>
      <c r="B7144" s="72"/>
      <c r="C7144" s="72"/>
      <c r="D7144" s="72"/>
      <c r="E7144" s="72"/>
    </row>
    <row r="7145">
      <c r="A7145" s="72"/>
      <c r="B7145" s="72"/>
      <c r="C7145" s="72"/>
      <c r="D7145" s="72"/>
      <c r="E7145" s="72"/>
    </row>
    <row r="7146">
      <c r="A7146" s="72"/>
      <c r="B7146" s="72"/>
      <c r="C7146" s="72"/>
      <c r="D7146" s="72"/>
      <c r="E7146" s="72"/>
    </row>
    <row r="7147">
      <c r="A7147" s="72"/>
      <c r="B7147" s="72"/>
      <c r="C7147" s="72"/>
      <c r="D7147" s="72"/>
      <c r="E7147" s="72"/>
    </row>
    <row r="7148">
      <c r="A7148" s="72"/>
      <c r="B7148" s="72"/>
      <c r="C7148" s="72"/>
      <c r="D7148" s="72"/>
      <c r="E7148" s="72"/>
    </row>
    <row r="7149">
      <c r="A7149" s="72"/>
      <c r="B7149" s="72"/>
      <c r="C7149" s="72"/>
      <c r="D7149" s="72"/>
      <c r="E7149" s="72"/>
    </row>
    <row r="7150">
      <c r="A7150" s="72"/>
      <c r="B7150" s="72"/>
      <c r="C7150" s="72"/>
      <c r="D7150" s="72"/>
      <c r="E7150" s="72"/>
    </row>
    <row r="7151">
      <c r="A7151" s="72"/>
      <c r="B7151" s="72"/>
      <c r="C7151" s="72"/>
      <c r="D7151" s="72"/>
      <c r="E7151" s="72"/>
    </row>
    <row r="7152">
      <c r="A7152" s="72"/>
      <c r="B7152" s="72"/>
      <c r="C7152" s="72"/>
      <c r="D7152" s="72"/>
      <c r="E7152" s="72"/>
    </row>
    <row r="7153">
      <c r="A7153" s="72"/>
      <c r="B7153" s="72"/>
      <c r="C7153" s="72"/>
      <c r="D7153" s="72"/>
      <c r="E7153" s="72"/>
    </row>
    <row r="7154">
      <c r="A7154" s="72"/>
      <c r="B7154" s="72"/>
      <c r="C7154" s="72"/>
      <c r="D7154" s="72"/>
      <c r="E7154" s="72"/>
    </row>
    <row r="7155">
      <c r="A7155" s="72"/>
      <c r="B7155" s="72"/>
      <c r="C7155" s="72"/>
      <c r="D7155" s="72"/>
      <c r="E7155" s="72"/>
    </row>
    <row r="7156">
      <c r="A7156" s="72"/>
      <c r="B7156" s="72"/>
      <c r="C7156" s="72"/>
      <c r="D7156" s="72"/>
      <c r="E7156" s="72"/>
    </row>
    <row r="7157">
      <c r="A7157" s="72"/>
      <c r="B7157" s="72"/>
      <c r="C7157" s="72"/>
      <c r="D7157" s="72"/>
      <c r="E7157" s="72"/>
    </row>
    <row r="7158">
      <c r="A7158" s="72"/>
      <c r="B7158" s="72"/>
      <c r="C7158" s="72"/>
      <c r="D7158" s="72"/>
      <c r="E7158" s="72"/>
    </row>
    <row r="7159">
      <c r="A7159" s="72"/>
      <c r="B7159" s="72"/>
      <c r="C7159" s="72"/>
      <c r="D7159" s="72"/>
      <c r="E7159" s="72"/>
    </row>
    <row r="7160">
      <c r="A7160" s="72"/>
      <c r="B7160" s="72"/>
      <c r="C7160" s="72"/>
      <c r="D7160" s="72"/>
      <c r="E7160" s="72"/>
    </row>
    <row r="7161">
      <c r="A7161" s="72"/>
      <c r="B7161" s="72"/>
      <c r="C7161" s="72"/>
      <c r="D7161" s="72"/>
      <c r="E7161" s="72"/>
    </row>
    <row r="7162">
      <c r="A7162" s="72"/>
      <c r="B7162" s="72"/>
      <c r="C7162" s="72"/>
      <c r="D7162" s="72"/>
      <c r="E7162" s="72"/>
    </row>
    <row r="7163">
      <c r="A7163" s="72"/>
      <c r="B7163" s="72"/>
      <c r="C7163" s="72"/>
      <c r="D7163" s="72"/>
      <c r="E7163" s="72"/>
    </row>
    <row r="7164">
      <c r="A7164" s="72"/>
      <c r="B7164" s="72"/>
      <c r="C7164" s="72"/>
      <c r="D7164" s="72"/>
      <c r="E7164" s="72"/>
    </row>
    <row r="7165">
      <c r="A7165" s="72"/>
      <c r="B7165" s="72"/>
      <c r="C7165" s="72"/>
      <c r="D7165" s="72"/>
      <c r="E7165" s="72"/>
    </row>
    <row r="7166">
      <c r="A7166" s="72"/>
      <c r="B7166" s="72"/>
      <c r="C7166" s="72"/>
      <c r="D7166" s="72"/>
      <c r="E7166" s="72"/>
    </row>
    <row r="7167">
      <c r="A7167" s="72"/>
      <c r="B7167" s="72"/>
      <c r="C7167" s="72"/>
      <c r="D7167" s="72"/>
      <c r="E7167" s="72"/>
    </row>
    <row r="7168">
      <c r="A7168" s="72"/>
      <c r="B7168" s="72"/>
      <c r="C7168" s="72"/>
      <c r="D7168" s="72"/>
      <c r="E7168" s="72"/>
    </row>
    <row r="7169">
      <c r="A7169" s="72"/>
      <c r="B7169" s="72"/>
      <c r="C7169" s="72"/>
      <c r="D7169" s="72"/>
      <c r="E7169" s="72"/>
    </row>
    <row r="7170">
      <c r="A7170" s="72"/>
      <c r="B7170" s="72"/>
      <c r="C7170" s="72"/>
      <c r="D7170" s="72"/>
      <c r="E7170" s="72"/>
    </row>
    <row r="7171">
      <c r="A7171" s="72"/>
      <c r="B7171" s="72"/>
      <c r="C7171" s="72"/>
      <c r="D7171" s="72"/>
      <c r="E7171" s="72"/>
    </row>
    <row r="7172">
      <c r="A7172" s="72"/>
      <c r="B7172" s="72"/>
      <c r="C7172" s="72"/>
      <c r="D7172" s="72"/>
      <c r="E7172" s="72"/>
    </row>
    <row r="7173">
      <c r="A7173" s="72"/>
      <c r="B7173" s="72"/>
      <c r="C7173" s="72"/>
      <c r="D7173" s="72"/>
      <c r="E7173" s="72"/>
    </row>
    <row r="7174">
      <c r="A7174" s="72"/>
      <c r="B7174" s="72"/>
      <c r="C7174" s="72"/>
      <c r="D7174" s="72"/>
      <c r="E7174" s="72"/>
    </row>
    <row r="7175">
      <c r="A7175" s="72"/>
      <c r="B7175" s="72"/>
      <c r="C7175" s="72"/>
      <c r="D7175" s="72"/>
      <c r="E7175" s="72"/>
    </row>
    <row r="7176">
      <c r="A7176" s="72"/>
      <c r="B7176" s="72"/>
      <c r="C7176" s="72"/>
      <c r="D7176" s="72"/>
      <c r="E7176" s="72"/>
    </row>
    <row r="7177">
      <c r="A7177" s="72"/>
      <c r="B7177" s="72"/>
      <c r="C7177" s="72"/>
      <c r="D7177" s="72"/>
      <c r="E7177" s="72"/>
    </row>
    <row r="7178">
      <c r="A7178" s="72"/>
      <c r="B7178" s="72"/>
      <c r="C7178" s="72"/>
      <c r="D7178" s="72"/>
      <c r="E7178" s="72"/>
    </row>
    <row r="7179">
      <c r="A7179" s="72"/>
      <c r="B7179" s="72"/>
      <c r="C7179" s="72"/>
      <c r="D7179" s="72"/>
      <c r="E7179" s="72"/>
    </row>
    <row r="7180">
      <c r="A7180" s="72"/>
      <c r="B7180" s="72"/>
      <c r="C7180" s="72"/>
      <c r="D7180" s="72"/>
      <c r="E7180" s="72"/>
    </row>
    <row r="7181">
      <c r="A7181" s="72"/>
      <c r="B7181" s="72"/>
      <c r="C7181" s="72"/>
      <c r="D7181" s="72"/>
      <c r="E7181" s="72"/>
    </row>
    <row r="7182">
      <c r="A7182" s="72"/>
      <c r="B7182" s="72"/>
      <c r="C7182" s="72"/>
      <c r="D7182" s="72"/>
      <c r="E7182" s="72"/>
    </row>
    <row r="7183">
      <c r="A7183" s="72"/>
      <c r="B7183" s="72"/>
      <c r="C7183" s="72"/>
      <c r="D7183" s="72"/>
      <c r="E7183" s="72"/>
    </row>
    <row r="7184">
      <c r="A7184" s="72"/>
      <c r="B7184" s="72"/>
      <c r="C7184" s="72"/>
      <c r="D7184" s="72"/>
      <c r="E7184" s="72"/>
    </row>
    <row r="7185">
      <c r="A7185" s="72"/>
      <c r="B7185" s="72"/>
      <c r="C7185" s="72"/>
      <c r="D7185" s="72"/>
      <c r="E7185" s="72"/>
    </row>
    <row r="7186">
      <c r="A7186" s="72"/>
      <c r="B7186" s="72"/>
      <c r="C7186" s="72"/>
      <c r="D7186" s="72"/>
      <c r="E7186" s="72"/>
    </row>
    <row r="7187">
      <c r="A7187" s="72"/>
      <c r="B7187" s="72"/>
      <c r="C7187" s="72"/>
      <c r="D7187" s="72"/>
      <c r="E7187" s="72"/>
    </row>
    <row r="7188">
      <c r="A7188" s="72"/>
      <c r="B7188" s="72"/>
      <c r="C7188" s="72"/>
      <c r="D7188" s="72"/>
      <c r="E7188" s="72"/>
    </row>
    <row r="7189">
      <c r="A7189" s="72"/>
      <c r="B7189" s="72"/>
      <c r="C7189" s="72"/>
      <c r="D7189" s="72"/>
      <c r="E7189" s="72"/>
    </row>
    <row r="7190">
      <c r="A7190" s="72"/>
      <c r="B7190" s="72"/>
      <c r="C7190" s="72"/>
      <c r="D7190" s="72"/>
      <c r="E7190" s="72"/>
    </row>
    <row r="7191">
      <c r="A7191" s="72"/>
      <c r="B7191" s="72"/>
      <c r="C7191" s="72"/>
      <c r="D7191" s="72"/>
      <c r="E7191" s="72"/>
    </row>
    <row r="7192">
      <c r="A7192" s="72"/>
      <c r="B7192" s="72"/>
      <c r="C7192" s="72"/>
      <c r="D7192" s="72"/>
      <c r="E7192" s="72"/>
    </row>
    <row r="7193">
      <c r="A7193" s="72"/>
      <c r="B7193" s="72"/>
      <c r="C7193" s="72"/>
      <c r="D7193" s="72"/>
      <c r="E7193" s="72"/>
    </row>
    <row r="7194">
      <c r="A7194" s="72"/>
      <c r="B7194" s="72"/>
      <c r="C7194" s="72"/>
      <c r="D7194" s="72"/>
      <c r="E7194" s="72"/>
    </row>
    <row r="7195">
      <c r="A7195" s="72"/>
      <c r="B7195" s="72"/>
      <c r="C7195" s="72"/>
      <c r="D7195" s="72"/>
      <c r="E7195" s="72"/>
    </row>
    <row r="7196">
      <c r="A7196" s="72"/>
      <c r="B7196" s="72"/>
      <c r="C7196" s="72"/>
      <c r="D7196" s="72"/>
      <c r="E7196" s="72"/>
    </row>
    <row r="7197">
      <c r="A7197" s="72"/>
      <c r="B7197" s="72"/>
      <c r="C7197" s="72"/>
      <c r="D7197" s="72"/>
      <c r="E7197" s="72"/>
    </row>
    <row r="7198">
      <c r="A7198" s="72"/>
      <c r="B7198" s="72"/>
      <c r="C7198" s="72"/>
      <c r="D7198" s="72"/>
      <c r="E7198" s="72"/>
    </row>
    <row r="7199">
      <c r="A7199" s="72"/>
      <c r="B7199" s="72"/>
      <c r="C7199" s="72"/>
      <c r="D7199" s="72"/>
      <c r="E7199" s="72"/>
    </row>
    <row r="7200">
      <c r="A7200" s="72"/>
      <c r="B7200" s="72"/>
      <c r="C7200" s="72"/>
      <c r="D7200" s="72"/>
      <c r="E7200" s="72"/>
    </row>
    <row r="7201">
      <c r="A7201" s="72"/>
      <c r="B7201" s="72"/>
      <c r="C7201" s="72"/>
      <c r="D7201" s="72"/>
      <c r="E7201" s="72"/>
    </row>
    <row r="7202">
      <c r="A7202" s="72"/>
      <c r="B7202" s="72"/>
      <c r="C7202" s="72"/>
      <c r="D7202" s="72"/>
      <c r="E7202" s="72"/>
    </row>
    <row r="7203">
      <c r="A7203" s="72"/>
      <c r="B7203" s="72"/>
      <c r="C7203" s="72"/>
      <c r="D7203" s="72"/>
      <c r="E7203" s="72"/>
    </row>
    <row r="7204">
      <c r="A7204" s="72"/>
      <c r="B7204" s="72"/>
      <c r="C7204" s="72"/>
      <c r="D7204" s="72"/>
      <c r="E7204" s="72"/>
    </row>
    <row r="7205">
      <c r="A7205" s="72"/>
      <c r="B7205" s="72"/>
      <c r="C7205" s="72"/>
      <c r="D7205" s="72"/>
      <c r="E7205" s="72"/>
    </row>
    <row r="7206">
      <c r="A7206" s="72"/>
      <c r="B7206" s="72"/>
      <c r="C7206" s="72"/>
      <c r="D7206" s="72"/>
      <c r="E7206" s="72"/>
    </row>
    <row r="7207">
      <c r="A7207" s="72"/>
      <c r="B7207" s="72"/>
      <c r="C7207" s="72"/>
      <c r="D7207" s="72"/>
      <c r="E7207" s="72"/>
    </row>
    <row r="7208">
      <c r="A7208" s="72"/>
      <c r="B7208" s="72"/>
      <c r="C7208" s="72"/>
      <c r="D7208" s="72"/>
      <c r="E7208" s="72"/>
    </row>
    <row r="7209">
      <c r="A7209" s="72"/>
      <c r="B7209" s="72"/>
      <c r="C7209" s="72"/>
      <c r="D7209" s="72"/>
      <c r="E7209" s="72"/>
    </row>
    <row r="7210">
      <c r="A7210" s="72"/>
      <c r="B7210" s="72"/>
      <c r="C7210" s="72"/>
      <c r="D7210" s="72"/>
      <c r="E7210" s="72"/>
    </row>
    <row r="7211">
      <c r="A7211" s="72"/>
      <c r="B7211" s="72"/>
      <c r="C7211" s="72"/>
      <c r="D7211" s="72"/>
      <c r="E7211" s="72"/>
    </row>
    <row r="7212">
      <c r="A7212" s="72"/>
      <c r="B7212" s="72"/>
      <c r="C7212" s="72"/>
      <c r="D7212" s="72"/>
      <c r="E7212" s="72"/>
    </row>
    <row r="7213">
      <c r="A7213" s="72"/>
      <c r="B7213" s="72"/>
      <c r="C7213" s="72"/>
      <c r="D7213" s="72"/>
      <c r="E7213" s="72"/>
    </row>
    <row r="7214">
      <c r="A7214" s="72"/>
      <c r="B7214" s="72"/>
      <c r="C7214" s="72"/>
      <c r="D7214" s="72"/>
      <c r="E7214" s="72"/>
    </row>
    <row r="7215">
      <c r="A7215" s="72"/>
      <c r="B7215" s="72"/>
      <c r="C7215" s="72"/>
      <c r="D7215" s="72"/>
      <c r="E7215" s="72"/>
    </row>
    <row r="7216">
      <c r="A7216" s="72"/>
      <c r="B7216" s="72"/>
      <c r="C7216" s="72"/>
      <c r="D7216" s="72"/>
      <c r="E7216" s="72"/>
    </row>
    <row r="7217">
      <c r="A7217" s="72"/>
      <c r="B7217" s="72"/>
      <c r="C7217" s="72"/>
      <c r="D7217" s="72"/>
      <c r="E7217" s="72"/>
    </row>
    <row r="7218">
      <c r="A7218" s="72"/>
      <c r="B7218" s="72"/>
      <c r="C7218" s="72"/>
      <c r="D7218" s="72"/>
      <c r="E7218" s="72"/>
    </row>
    <row r="7219">
      <c r="A7219" s="72"/>
      <c r="B7219" s="72"/>
      <c r="C7219" s="72"/>
      <c r="D7219" s="72"/>
      <c r="E7219" s="72"/>
    </row>
    <row r="7220">
      <c r="A7220" s="72"/>
      <c r="B7220" s="72"/>
      <c r="C7220" s="72"/>
      <c r="D7220" s="72"/>
      <c r="E7220" s="72"/>
    </row>
    <row r="7221">
      <c r="A7221" s="72"/>
      <c r="B7221" s="72"/>
      <c r="C7221" s="72"/>
      <c r="D7221" s="72"/>
      <c r="E7221" s="72"/>
    </row>
    <row r="7222">
      <c r="A7222" s="72"/>
      <c r="B7222" s="72"/>
      <c r="C7222" s="72"/>
      <c r="D7222" s="72"/>
      <c r="E7222" s="72"/>
    </row>
    <row r="7223">
      <c r="A7223" s="72"/>
      <c r="B7223" s="72"/>
      <c r="C7223" s="72"/>
      <c r="D7223" s="72"/>
      <c r="E7223" s="72"/>
    </row>
    <row r="7224">
      <c r="A7224" s="72"/>
      <c r="B7224" s="72"/>
      <c r="C7224" s="72"/>
      <c r="D7224" s="72"/>
      <c r="E7224" s="72"/>
    </row>
    <row r="7225">
      <c r="A7225" s="72"/>
      <c r="B7225" s="72"/>
      <c r="C7225" s="72"/>
      <c r="D7225" s="72"/>
      <c r="E7225" s="72"/>
    </row>
    <row r="7226">
      <c r="A7226" s="72"/>
      <c r="B7226" s="72"/>
      <c r="C7226" s="72"/>
      <c r="D7226" s="72"/>
      <c r="E7226" s="72"/>
    </row>
    <row r="7227">
      <c r="A7227" s="72"/>
      <c r="B7227" s="72"/>
      <c r="C7227" s="72"/>
      <c r="D7227" s="72"/>
      <c r="E7227" s="72"/>
    </row>
    <row r="7228">
      <c r="A7228" s="72"/>
      <c r="B7228" s="72"/>
      <c r="C7228" s="72"/>
      <c r="D7228" s="72"/>
      <c r="E7228" s="72"/>
    </row>
    <row r="7229">
      <c r="A7229" s="72"/>
      <c r="B7229" s="72"/>
      <c r="C7229" s="72"/>
      <c r="D7229" s="72"/>
      <c r="E7229" s="72"/>
    </row>
    <row r="7230">
      <c r="A7230" s="72"/>
      <c r="B7230" s="72"/>
      <c r="C7230" s="72"/>
      <c r="D7230" s="72"/>
      <c r="E7230" s="72"/>
    </row>
    <row r="7231">
      <c r="A7231" s="72"/>
      <c r="B7231" s="72"/>
      <c r="C7231" s="72"/>
      <c r="D7231" s="72"/>
      <c r="E7231" s="72"/>
    </row>
    <row r="7232">
      <c r="A7232" s="72"/>
      <c r="B7232" s="72"/>
      <c r="C7232" s="72"/>
      <c r="D7232" s="72"/>
      <c r="E7232" s="72"/>
    </row>
    <row r="7233">
      <c r="A7233" s="72"/>
      <c r="B7233" s="72"/>
      <c r="C7233" s="72"/>
      <c r="D7233" s="72"/>
      <c r="E7233" s="72"/>
    </row>
    <row r="7234">
      <c r="A7234" s="72"/>
      <c r="B7234" s="72"/>
      <c r="C7234" s="72"/>
      <c r="D7234" s="72"/>
      <c r="E7234" s="72"/>
    </row>
    <row r="7235">
      <c r="A7235" s="72"/>
      <c r="B7235" s="72"/>
      <c r="C7235" s="72"/>
      <c r="D7235" s="72"/>
      <c r="E7235" s="72"/>
    </row>
    <row r="7236">
      <c r="A7236" s="72"/>
      <c r="B7236" s="72"/>
      <c r="C7236" s="72"/>
      <c r="D7236" s="72"/>
      <c r="E7236" s="72"/>
    </row>
    <row r="7237">
      <c r="A7237" s="72"/>
      <c r="B7237" s="72"/>
      <c r="C7237" s="72"/>
      <c r="D7237" s="72"/>
      <c r="E7237" s="72"/>
    </row>
    <row r="7238">
      <c r="A7238" s="72"/>
      <c r="B7238" s="72"/>
      <c r="C7238" s="72"/>
      <c r="D7238" s="72"/>
      <c r="E7238" s="72"/>
    </row>
    <row r="7239">
      <c r="A7239" s="72"/>
      <c r="B7239" s="72"/>
      <c r="C7239" s="72"/>
      <c r="D7239" s="72"/>
      <c r="E7239" s="72"/>
    </row>
    <row r="7240">
      <c r="A7240" s="72"/>
      <c r="B7240" s="72"/>
      <c r="C7240" s="72"/>
      <c r="D7240" s="72"/>
      <c r="E7240" s="72"/>
    </row>
    <row r="7241">
      <c r="A7241" s="72"/>
      <c r="B7241" s="72"/>
      <c r="C7241" s="72"/>
      <c r="D7241" s="72"/>
      <c r="E7241" s="72"/>
    </row>
    <row r="7242">
      <c r="A7242" s="72"/>
      <c r="B7242" s="72"/>
      <c r="C7242" s="72"/>
      <c r="D7242" s="72"/>
      <c r="E7242" s="72"/>
    </row>
    <row r="7243">
      <c r="A7243" s="72"/>
      <c r="B7243" s="72"/>
      <c r="C7243" s="72"/>
      <c r="D7243" s="72"/>
      <c r="E7243" s="72"/>
    </row>
    <row r="7244">
      <c r="A7244" s="72"/>
      <c r="B7244" s="72"/>
      <c r="C7244" s="72"/>
      <c r="D7244" s="72"/>
      <c r="E7244" s="72"/>
    </row>
    <row r="7245">
      <c r="A7245" s="72"/>
      <c r="B7245" s="72"/>
      <c r="C7245" s="72"/>
      <c r="D7245" s="72"/>
      <c r="E7245" s="72"/>
    </row>
    <row r="7246">
      <c r="A7246" s="72"/>
      <c r="B7246" s="72"/>
      <c r="C7246" s="72"/>
      <c r="D7246" s="72"/>
      <c r="E7246" s="72"/>
    </row>
    <row r="7247">
      <c r="A7247" s="72"/>
      <c r="B7247" s="72"/>
      <c r="C7247" s="72"/>
      <c r="D7247" s="72"/>
      <c r="E7247" s="72"/>
    </row>
    <row r="7248">
      <c r="A7248" s="72"/>
      <c r="B7248" s="72"/>
      <c r="C7248" s="72"/>
      <c r="D7248" s="72"/>
      <c r="E7248" s="72"/>
    </row>
    <row r="7249">
      <c r="A7249" s="72"/>
      <c r="B7249" s="72"/>
      <c r="C7249" s="72"/>
      <c r="D7249" s="72"/>
      <c r="E7249" s="72"/>
    </row>
    <row r="7250">
      <c r="A7250" s="72"/>
      <c r="B7250" s="72"/>
      <c r="C7250" s="72"/>
      <c r="D7250" s="72"/>
      <c r="E7250" s="72"/>
    </row>
    <row r="7251">
      <c r="A7251" s="72"/>
      <c r="B7251" s="72"/>
      <c r="C7251" s="72"/>
      <c r="D7251" s="72"/>
      <c r="E7251" s="72"/>
    </row>
    <row r="7252">
      <c r="A7252" s="72"/>
      <c r="B7252" s="72"/>
      <c r="C7252" s="72"/>
      <c r="D7252" s="72"/>
      <c r="E7252" s="72"/>
    </row>
    <row r="7253">
      <c r="A7253" s="72"/>
      <c r="B7253" s="72"/>
      <c r="C7253" s="72"/>
      <c r="D7253" s="72"/>
      <c r="E7253" s="72"/>
    </row>
    <row r="7254">
      <c r="A7254" s="72"/>
      <c r="B7254" s="72"/>
      <c r="C7254" s="72"/>
      <c r="D7254" s="72"/>
      <c r="E7254" s="72"/>
    </row>
    <row r="7255">
      <c r="A7255" s="72"/>
      <c r="B7255" s="72"/>
      <c r="C7255" s="72"/>
      <c r="D7255" s="72"/>
      <c r="E7255" s="72"/>
    </row>
    <row r="7256">
      <c r="A7256" s="72"/>
      <c r="B7256" s="72"/>
      <c r="C7256" s="72"/>
      <c r="D7256" s="72"/>
      <c r="E7256" s="72"/>
    </row>
    <row r="7257">
      <c r="A7257" s="72"/>
      <c r="B7257" s="72"/>
      <c r="C7257" s="72"/>
      <c r="D7257" s="72"/>
      <c r="E7257" s="72"/>
    </row>
    <row r="7258">
      <c r="A7258" s="72"/>
      <c r="B7258" s="72"/>
      <c r="C7258" s="72"/>
      <c r="D7258" s="72"/>
      <c r="E7258" s="72"/>
    </row>
    <row r="7259">
      <c r="A7259" s="72"/>
      <c r="B7259" s="72"/>
      <c r="C7259" s="72"/>
      <c r="D7259" s="72"/>
      <c r="E7259" s="72"/>
    </row>
    <row r="7260">
      <c r="A7260" s="72"/>
      <c r="B7260" s="72"/>
      <c r="C7260" s="72"/>
      <c r="D7260" s="72"/>
      <c r="E7260" s="72"/>
    </row>
    <row r="7261">
      <c r="A7261" s="72"/>
      <c r="B7261" s="72"/>
      <c r="C7261" s="72"/>
      <c r="D7261" s="72"/>
      <c r="E7261" s="72"/>
    </row>
    <row r="7262">
      <c r="A7262" s="72"/>
      <c r="B7262" s="72"/>
      <c r="C7262" s="72"/>
      <c r="D7262" s="72"/>
      <c r="E7262" s="72"/>
    </row>
    <row r="7263">
      <c r="A7263" s="72"/>
      <c r="B7263" s="72"/>
      <c r="C7263" s="72"/>
      <c r="D7263" s="72"/>
      <c r="E7263" s="72"/>
    </row>
    <row r="7264">
      <c r="A7264" s="72"/>
      <c r="B7264" s="72"/>
      <c r="C7264" s="72"/>
      <c r="D7264" s="72"/>
      <c r="E7264" s="72"/>
    </row>
    <row r="7265">
      <c r="A7265" s="72"/>
      <c r="B7265" s="72"/>
      <c r="C7265" s="72"/>
      <c r="D7265" s="72"/>
      <c r="E7265" s="72"/>
    </row>
    <row r="7266">
      <c r="A7266" s="72"/>
      <c r="B7266" s="72"/>
      <c r="C7266" s="72"/>
      <c r="D7266" s="72"/>
      <c r="E7266" s="72"/>
    </row>
    <row r="7267">
      <c r="A7267" s="72"/>
      <c r="B7267" s="72"/>
      <c r="C7267" s="72"/>
      <c r="D7267" s="72"/>
      <c r="E7267" s="72"/>
    </row>
    <row r="7268">
      <c r="A7268" s="72"/>
      <c r="B7268" s="72"/>
      <c r="C7268" s="72"/>
      <c r="D7268" s="72"/>
      <c r="E7268" s="72"/>
    </row>
    <row r="7269">
      <c r="A7269" s="72"/>
      <c r="B7269" s="72"/>
      <c r="C7269" s="72"/>
      <c r="D7269" s="72"/>
      <c r="E7269" s="72"/>
    </row>
    <row r="7270">
      <c r="A7270" s="72"/>
      <c r="B7270" s="72"/>
      <c r="C7270" s="72"/>
      <c r="D7270" s="72"/>
      <c r="E7270" s="72"/>
    </row>
    <row r="7271">
      <c r="A7271" s="72"/>
      <c r="B7271" s="72"/>
      <c r="C7271" s="72"/>
      <c r="D7271" s="72"/>
      <c r="E7271" s="72"/>
    </row>
    <row r="7272">
      <c r="A7272" s="72"/>
      <c r="B7272" s="72"/>
      <c r="C7272" s="72"/>
      <c r="D7272" s="72"/>
      <c r="E7272" s="72"/>
    </row>
    <row r="7273">
      <c r="A7273" s="72"/>
      <c r="B7273" s="72"/>
      <c r="C7273" s="72"/>
      <c r="D7273" s="72"/>
      <c r="E7273" s="72"/>
    </row>
    <row r="7274">
      <c r="A7274" s="72"/>
      <c r="B7274" s="72"/>
      <c r="C7274" s="72"/>
      <c r="D7274" s="72"/>
      <c r="E7274" s="72"/>
    </row>
    <row r="7275">
      <c r="A7275" s="72"/>
      <c r="B7275" s="72"/>
      <c r="C7275" s="72"/>
      <c r="D7275" s="72"/>
      <c r="E7275" s="72"/>
    </row>
    <row r="7276">
      <c r="A7276" s="72"/>
      <c r="B7276" s="72"/>
      <c r="C7276" s="72"/>
      <c r="D7276" s="72"/>
      <c r="E7276" s="72"/>
    </row>
    <row r="7277">
      <c r="A7277" s="72"/>
      <c r="B7277" s="72"/>
      <c r="C7277" s="72"/>
      <c r="D7277" s="72"/>
      <c r="E7277" s="72"/>
    </row>
    <row r="7278">
      <c r="A7278" s="72"/>
      <c r="B7278" s="72"/>
      <c r="C7278" s="72"/>
      <c r="D7278" s="72"/>
      <c r="E7278" s="72"/>
    </row>
    <row r="7279">
      <c r="A7279" s="72"/>
      <c r="B7279" s="72"/>
      <c r="C7279" s="72"/>
      <c r="D7279" s="72"/>
      <c r="E7279" s="72"/>
    </row>
    <row r="7280">
      <c r="A7280" s="72"/>
      <c r="B7280" s="72"/>
      <c r="C7280" s="72"/>
      <c r="D7280" s="72"/>
      <c r="E7280" s="72"/>
    </row>
    <row r="7281">
      <c r="A7281" s="72"/>
      <c r="B7281" s="72"/>
      <c r="C7281" s="72"/>
      <c r="D7281" s="72"/>
      <c r="E7281" s="72"/>
    </row>
    <row r="7282">
      <c r="A7282" s="72"/>
      <c r="B7282" s="72"/>
      <c r="C7282" s="72"/>
      <c r="D7282" s="72"/>
      <c r="E7282" s="72"/>
    </row>
    <row r="7283">
      <c r="A7283" s="72"/>
      <c r="B7283" s="72"/>
      <c r="C7283" s="72"/>
      <c r="D7283" s="72"/>
      <c r="E7283" s="72"/>
    </row>
    <row r="7284">
      <c r="A7284" s="72"/>
      <c r="B7284" s="72"/>
      <c r="C7284" s="72"/>
      <c r="D7284" s="72"/>
      <c r="E7284" s="72"/>
    </row>
    <row r="7285">
      <c r="A7285" s="72"/>
      <c r="B7285" s="72"/>
      <c r="C7285" s="72"/>
      <c r="D7285" s="72"/>
      <c r="E7285" s="72"/>
    </row>
    <row r="7286">
      <c r="A7286" s="72"/>
      <c r="B7286" s="72"/>
      <c r="C7286" s="72"/>
      <c r="D7286" s="72"/>
      <c r="E7286" s="72"/>
    </row>
    <row r="7287">
      <c r="A7287" s="72"/>
      <c r="B7287" s="72"/>
      <c r="C7287" s="72"/>
      <c r="D7287" s="72"/>
      <c r="E7287" s="72"/>
    </row>
    <row r="7288">
      <c r="A7288" s="72"/>
      <c r="B7288" s="72"/>
      <c r="C7288" s="72"/>
      <c r="D7288" s="72"/>
      <c r="E7288" s="72"/>
    </row>
    <row r="7289">
      <c r="A7289" s="72"/>
      <c r="B7289" s="72"/>
      <c r="C7289" s="72"/>
      <c r="D7289" s="72"/>
      <c r="E7289" s="72"/>
    </row>
    <row r="7290">
      <c r="A7290" s="72"/>
      <c r="B7290" s="72"/>
      <c r="C7290" s="72"/>
      <c r="D7290" s="72"/>
      <c r="E7290" s="72"/>
    </row>
    <row r="7291">
      <c r="A7291" s="72"/>
      <c r="B7291" s="72"/>
      <c r="C7291" s="72"/>
      <c r="D7291" s="72"/>
      <c r="E7291" s="72"/>
    </row>
    <row r="7292">
      <c r="A7292" s="72"/>
      <c r="B7292" s="72"/>
      <c r="C7292" s="72"/>
      <c r="D7292" s="72"/>
      <c r="E7292" s="72"/>
    </row>
    <row r="7293">
      <c r="A7293" s="72"/>
      <c r="B7293" s="72"/>
      <c r="C7293" s="72"/>
      <c r="D7293" s="72"/>
      <c r="E7293" s="72"/>
    </row>
    <row r="7294">
      <c r="A7294" s="72"/>
      <c r="B7294" s="72"/>
      <c r="C7294" s="72"/>
      <c r="D7294" s="72"/>
      <c r="E7294" s="72"/>
    </row>
    <row r="7295">
      <c r="A7295" s="72"/>
      <c r="B7295" s="72"/>
      <c r="C7295" s="72"/>
      <c r="D7295" s="72"/>
      <c r="E7295" s="72"/>
    </row>
    <row r="7296">
      <c r="A7296" s="72"/>
      <c r="B7296" s="72"/>
      <c r="C7296" s="72"/>
      <c r="D7296" s="72"/>
      <c r="E7296" s="72"/>
    </row>
    <row r="7297">
      <c r="A7297" s="72"/>
      <c r="B7297" s="72"/>
      <c r="C7297" s="72"/>
      <c r="D7297" s="72"/>
      <c r="E7297" s="72"/>
    </row>
    <row r="7298">
      <c r="A7298" s="72"/>
      <c r="B7298" s="72"/>
      <c r="C7298" s="72"/>
      <c r="D7298" s="72"/>
      <c r="E7298" s="72"/>
    </row>
    <row r="7299">
      <c r="A7299" s="72"/>
      <c r="B7299" s="72"/>
      <c r="C7299" s="72"/>
      <c r="D7299" s="72"/>
      <c r="E7299" s="72"/>
    </row>
    <row r="7300">
      <c r="A7300" s="72"/>
      <c r="B7300" s="72"/>
      <c r="C7300" s="72"/>
      <c r="D7300" s="72"/>
      <c r="E7300" s="72"/>
    </row>
    <row r="7301">
      <c r="A7301" s="72"/>
      <c r="B7301" s="72"/>
      <c r="C7301" s="72"/>
      <c r="D7301" s="72"/>
      <c r="E7301" s="72"/>
    </row>
    <row r="7302">
      <c r="A7302" s="72"/>
      <c r="B7302" s="72"/>
      <c r="C7302" s="72"/>
      <c r="D7302" s="72"/>
      <c r="E7302" s="72"/>
    </row>
    <row r="7303">
      <c r="A7303" s="72"/>
      <c r="B7303" s="72"/>
      <c r="C7303" s="72"/>
      <c r="D7303" s="72"/>
      <c r="E7303" s="72"/>
    </row>
    <row r="7304">
      <c r="A7304" s="72"/>
      <c r="B7304" s="72"/>
      <c r="C7304" s="72"/>
      <c r="D7304" s="72"/>
      <c r="E7304" s="72"/>
    </row>
    <row r="7305">
      <c r="A7305" s="72"/>
      <c r="B7305" s="72"/>
      <c r="C7305" s="72"/>
      <c r="D7305" s="72"/>
      <c r="E7305" s="72"/>
    </row>
    <row r="7306">
      <c r="A7306" s="72"/>
      <c r="B7306" s="72"/>
      <c r="C7306" s="72"/>
      <c r="D7306" s="72"/>
      <c r="E7306" s="72"/>
    </row>
    <row r="7307">
      <c r="A7307" s="72"/>
      <c r="B7307" s="72"/>
      <c r="C7307" s="72"/>
      <c r="D7307" s="72"/>
      <c r="E7307" s="72"/>
    </row>
    <row r="7308">
      <c r="A7308" s="72"/>
      <c r="B7308" s="72"/>
      <c r="C7308" s="72"/>
      <c r="D7308" s="72"/>
      <c r="E7308" s="72"/>
    </row>
    <row r="7309">
      <c r="A7309" s="72"/>
      <c r="B7309" s="72"/>
      <c r="C7309" s="72"/>
      <c r="D7309" s="72"/>
      <c r="E7309" s="72"/>
    </row>
    <row r="7310">
      <c r="A7310" s="72"/>
      <c r="B7310" s="72"/>
      <c r="C7310" s="72"/>
      <c r="D7310" s="72"/>
      <c r="E7310" s="72"/>
    </row>
    <row r="7311">
      <c r="A7311" s="72"/>
      <c r="B7311" s="72"/>
      <c r="C7311" s="72"/>
      <c r="D7311" s="72"/>
      <c r="E7311" s="72"/>
    </row>
    <row r="7312">
      <c r="A7312" s="72"/>
      <c r="B7312" s="72"/>
      <c r="C7312" s="72"/>
      <c r="D7312" s="72"/>
      <c r="E7312" s="72"/>
    </row>
    <row r="7313">
      <c r="A7313" s="72"/>
      <c r="B7313" s="72"/>
      <c r="C7313" s="72"/>
      <c r="D7313" s="72"/>
      <c r="E7313" s="72"/>
    </row>
    <row r="7314">
      <c r="A7314" s="72"/>
      <c r="B7314" s="72"/>
      <c r="C7314" s="72"/>
      <c r="D7314" s="72"/>
      <c r="E7314" s="72"/>
    </row>
    <row r="7315">
      <c r="A7315" s="72"/>
      <c r="B7315" s="72"/>
      <c r="C7315" s="72"/>
      <c r="D7315" s="72"/>
      <c r="E7315" s="72"/>
    </row>
    <row r="7316">
      <c r="A7316" s="72"/>
      <c r="B7316" s="72"/>
      <c r="C7316" s="72"/>
      <c r="D7316" s="72"/>
      <c r="E7316" s="72"/>
    </row>
    <row r="7317">
      <c r="A7317" s="72"/>
      <c r="B7317" s="72"/>
      <c r="C7317" s="72"/>
      <c r="D7317" s="72"/>
      <c r="E7317" s="72"/>
    </row>
    <row r="7318">
      <c r="A7318" s="72"/>
      <c r="B7318" s="72"/>
      <c r="C7318" s="72"/>
      <c r="D7318" s="72"/>
      <c r="E7318" s="72"/>
    </row>
    <row r="7319">
      <c r="A7319" s="72"/>
      <c r="B7319" s="72"/>
      <c r="C7319" s="72"/>
      <c r="D7319" s="72"/>
      <c r="E7319" s="72"/>
    </row>
    <row r="7320">
      <c r="A7320" s="72"/>
      <c r="B7320" s="72"/>
      <c r="C7320" s="72"/>
      <c r="D7320" s="72"/>
      <c r="E7320" s="72"/>
    </row>
    <row r="7321">
      <c r="A7321" s="72"/>
      <c r="B7321" s="72"/>
      <c r="C7321" s="72"/>
      <c r="D7321" s="72"/>
      <c r="E7321" s="72"/>
    </row>
    <row r="7322">
      <c r="A7322" s="72"/>
      <c r="B7322" s="72"/>
      <c r="C7322" s="72"/>
      <c r="D7322" s="72"/>
      <c r="E7322" s="72"/>
    </row>
    <row r="7323">
      <c r="A7323" s="72"/>
      <c r="B7323" s="72"/>
      <c r="C7323" s="72"/>
      <c r="D7323" s="72"/>
      <c r="E7323" s="72"/>
    </row>
    <row r="7324">
      <c r="A7324" s="72"/>
      <c r="B7324" s="72"/>
      <c r="C7324" s="72"/>
      <c r="D7324" s="72"/>
      <c r="E7324" s="72"/>
    </row>
    <row r="7325">
      <c r="A7325" s="72"/>
      <c r="B7325" s="72"/>
      <c r="C7325" s="72"/>
      <c r="D7325" s="72"/>
      <c r="E7325" s="72"/>
    </row>
    <row r="7326">
      <c r="A7326" s="72"/>
      <c r="B7326" s="72"/>
      <c r="C7326" s="72"/>
      <c r="D7326" s="72"/>
      <c r="E7326" s="72"/>
    </row>
    <row r="7327">
      <c r="A7327" s="72"/>
      <c r="B7327" s="72"/>
      <c r="C7327" s="72"/>
      <c r="D7327" s="72"/>
      <c r="E7327" s="72"/>
    </row>
    <row r="7328">
      <c r="A7328" s="72"/>
      <c r="B7328" s="72"/>
      <c r="C7328" s="72"/>
      <c r="D7328" s="72"/>
      <c r="E7328" s="72"/>
    </row>
    <row r="7329">
      <c r="A7329" s="72"/>
      <c r="B7329" s="72"/>
      <c r="C7329" s="72"/>
      <c r="D7329" s="72"/>
      <c r="E7329" s="72"/>
    </row>
    <row r="7330">
      <c r="A7330" s="72"/>
      <c r="B7330" s="72"/>
      <c r="C7330" s="72"/>
      <c r="D7330" s="72"/>
      <c r="E7330" s="72"/>
    </row>
    <row r="7331">
      <c r="A7331" s="72"/>
      <c r="B7331" s="72"/>
      <c r="C7331" s="72"/>
      <c r="D7331" s="72"/>
      <c r="E7331" s="72"/>
    </row>
    <row r="7332">
      <c r="A7332" s="72"/>
      <c r="B7332" s="72"/>
      <c r="C7332" s="72"/>
      <c r="D7332" s="72"/>
      <c r="E7332" s="72"/>
    </row>
    <row r="7333">
      <c r="A7333" s="72"/>
      <c r="B7333" s="72"/>
      <c r="C7333" s="72"/>
      <c r="D7333" s="72"/>
      <c r="E7333" s="72"/>
    </row>
    <row r="7334">
      <c r="A7334" s="72"/>
      <c r="B7334" s="72"/>
      <c r="C7334" s="72"/>
      <c r="D7334" s="72"/>
      <c r="E7334" s="72"/>
    </row>
    <row r="7335">
      <c r="A7335" s="72"/>
      <c r="B7335" s="72"/>
      <c r="C7335" s="72"/>
      <c r="D7335" s="72"/>
      <c r="E7335" s="72"/>
    </row>
    <row r="7336">
      <c r="A7336" s="72"/>
      <c r="B7336" s="72"/>
      <c r="C7336" s="72"/>
      <c r="D7336" s="72"/>
      <c r="E7336" s="72"/>
    </row>
    <row r="7337">
      <c r="A7337" s="72"/>
      <c r="B7337" s="72"/>
      <c r="C7337" s="72"/>
      <c r="D7337" s="72"/>
      <c r="E7337" s="72"/>
    </row>
    <row r="7338">
      <c r="A7338" s="72"/>
      <c r="B7338" s="72"/>
      <c r="C7338" s="72"/>
      <c r="D7338" s="72"/>
      <c r="E7338" s="72"/>
    </row>
    <row r="7339">
      <c r="A7339" s="72"/>
      <c r="B7339" s="72"/>
      <c r="C7339" s="72"/>
      <c r="D7339" s="72"/>
      <c r="E7339" s="72"/>
    </row>
    <row r="7340">
      <c r="A7340" s="72"/>
      <c r="B7340" s="72"/>
      <c r="C7340" s="72"/>
      <c r="D7340" s="72"/>
      <c r="E7340" s="72"/>
    </row>
    <row r="7341">
      <c r="A7341" s="72"/>
      <c r="B7341" s="72"/>
      <c r="C7341" s="72"/>
      <c r="D7341" s="72"/>
      <c r="E7341" s="72"/>
    </row>
    <row r="7342">
      <c r="A7342" s="72"/>
      <c r="B7342" s="72"/>
      <c r="C7342" s="72"/>
      <c r="D7342" s="72"/>
      <c r="E7342" s="72"/>
    </row>
    <row r="7343">
      <c r="A7343" s="72"/>
      <c r="B7343" s="72"/>
      <c r="C7343" s="72"/>
      <c r="D7343" s="72"/>
      <c r="E7343" s="72"/>
    </row>
    <row r="7344">
      <c r="A7344" s="72"/>
      <c r="B7344" s="72"/>
      <c r="C7344" s="72"/>
      <c r="D7344" s="72"/>
      <c r="E7344" s="72"/>
    </row>
    <row r="7345">
      <c r="A7345" s="72"/>
      <c r="B7345" s="72"/>
      <c r="C7345" s="72"/>
      <c r="D7345" s="72"/>
      <c r="E7345" s="72"/>
    </row>
    <row r="7346">
      <c r="A7346" s="72"/>
      <c r="B7346" s="72"/>
      <c r="C7346" s="72"/>
      <c r="D7346" s="72"/>
      <c r="E7346" s="72"/>
    </row>
    <row r="7347">
      <c r="A7347" s="72"/>
      <c r="B7347" s="72"/>
      <c r="C7347" s="72"/>
      <c r="D7347" s="72"/>
      <c r="E7347" s="72"/>
    </row>
    <row r="7348">
      <c r="A7348" s="72"/>
      <c r="B7348" s="72"/>
      <c r="C7348" s="72"/>
      <c r="D7348" s="72"/>
      <c r="E7348" s="72"/>
    </row>
    <row r="7349">
      <c r="A7349" s="72"/>
      <c r="B7349" s="72"/>
      <c r="C7349" s="72"/>
      <c r="D7349" s="72"/>
      <c r="E7349" s="72"/>
    </row>
    <row r="7350">
      <c r="A7350" s="72"/>
      <c r="B7350" s="72"/>
      <c r="C7350" s="72"/>
      <c r="D7350" s="72"/>
      <c r="E7350" s="72"/>
    </row>
    <row r="7351">
      <c r="A7351" s="72"/>
      <c r="B7351" s="72"/>
      <c r="C7351" s="72"/>
      <c r="D7351" s="72"/>
      <c r="E7351" s="72"/>
    </row>
    <row r="7352">
      <c r="A7352" s="72"/>
      <c r="B7352" s="72"/>
      <c r="C7352" s="72"/>
      <c r="D7352" s="72"/>
      <c r="E7352" s="72"/>
    </row>
    <row r="7353">
      <c r="A7353" s="72"/>
      <c r="B7353" s="72"/>
      <c r="C7353" s="72"/>
      <c r="D7353" s="72"/>
      <c r="E7353" s="72"/>
    </row>
    <row r="7354">
      <c r="A7354" s="72"/>
      <c r="B7354" s="72"/>
      <c r="C7354" s="72"/>
      <c r="D7354" s="72"/>
      <c r="E7354" s="72"/>
    </row>
    <row r="7355">
      <c r="A7355" s="72"/>
      <c r="B7355" s="72"/>
      <c r="C7355" s="72"/>
      <c r="D7355" s="72"/>
      <c r="E7355" s="72"/>
    </row>
    <row r="7356">
      <c r="A7356" s="72"/>
      <c r="B7356" s="72"/>
      <c r="C7356" s="72"/>
      <c r="D7356" s="72"/>
      <c r="E7356" s="72"/>
    </row>
    <row r="7357">
      <c r="A7357" s="72"/>
      <c r="B7357" s="72"/>
      <c r="C7357" s="72"/>
      <c r="D7357" s="72"/>
      <c r="E7357" s="72"/>
    </row>
    <row r="7358">
      <c r="A7358" s="72"/>
      <c r="B7358" s="72"/>
      <c r="C7358" s="72"/>
      <c r="D7358" s="72"/>
      <c r="E7358" s="72"/>
    </row>
    <row r="7359">
      <c r="A7359" s="72"/>
      <c r="B7359" s="72"/>
      <c r="C7359" s="72"/>
      <c r="D7359" s="72"/>
      <c r="E7359" s="72"/>
    </row>
    <row r="7360">
      <c r="A7360" s="72"/>
      <c r="B7360" s="72"/>
      <c r="C7360" s="72"/>
      <c r="D7360" s="72"/>
      <c r="E7360" s="72"/>
    </row>
    <row r="7361">
      <c r="A7361" s="72"/>
      <c r="B7361" s="72"/>
      <c r="C7361" s="72"/>
      <c r="D7361" s="72"/>
      <c r="E7361" s="72"/>
    </row>
    <row r="7362">
      <c r="A7362" s="72"/>
      <c r="B7362" s="72"/>
      <c r="C7362" s="72"/>
      <c r="D7362" s="72"/>
      <c r="E7362" s="72"/>
    </row>
    <row r="7363">
      <c r="A7363" s="72"/>
      <c r="B7363" s="72"/>
      <c r="C7363" s="72"/>
      <c r="D7363" s="72"/>
      <c r="E7363" s="72"/>
    </row>
    <row r="7364">
      <c r="A7364" s="72"/>
      <c r="B7364" s="72"/>
      <c r="C7364" s="72"/>
      <c r="D7364" s="72"/>
      <c r="E7364" s="72"/>
    </row>
    <row r="7365">
      <c r="A7365" s="72"/>
      <c r="B7365" s="72"/>
      <c r="C7365" s="72"/>
      <c r="D7365" s="72"/>
      <c r="E7365" s="72"/>
    </row>
    <row r="7366">
      <c r="A7366" s="72"/>
      <c r="B7366" s="72"/>
      <c r="C7366" s="72"/>
      <c r="D7366" s="72"/>
      <c r="E7366" s="72"/>
    </row>
    <row r="7367">
      <c r="A7367" s="72"/>
      <c r="B7367" s="72"/>
      <c r="C7367" s="72"/>
      <c r="D7367" s="72"/>
      <c r="E7367" s="72"/>
    </row>
    <row r="7368">
      <c r="A7368" s="72"/>
      <c r="B7368" s="72"/>
      <c r="C7368" s="72"/>
      <c r="D7368" s="72"/>
      <c r="E7368" s="72"/>
    </row>
    <row r="7369">
      <c r="A7369" s="72"/>
      <c r="B7369" s="72"/>
      <c r="C7369" s="72"/>
      <c r="D7369" s="72"/>
      <c r="E7369" s="72"/>
    </row>
    <row r="7370">
      <c r="A7370" s="72"/>
      <c r="B7370" s="72"/>
      <c r="C7370" s="72"/>
      <c r="D7370" s="72"/>
      <c r="E7370" s="72"/>
    </row>
    <row r="7371">
      <c r="A7371" s="72"/>
      <c r="B7371" s="72"/>
      <c r="C7371" s="72"/>
      <c r="D7371" s="72"/>
      <c r="E7371" s="72"/>
    </row>
    <row r="7372">
      <c r="A7372" s="72"/>
      <c r="B7372" s="72"/>
      <c r="C7372" s="72"/>
      <c r="D7372" s="72"/>
      <c r="E7372" s="72"/>
    </row>
    <row r="7373">
      <c r="A7373" s="72"/>
      <c r="B7373" s="72"/>
      <c r="C7373" s="72"/>
      <c r="D7373" s="72"/>
      <c r="E7373" s="72"/>
    </row>
    <row r="7374">
      <c r="A7374" s="72"/>
      <c r="B7374" s="72"/>
      <c r="C7374" s="72"/>
      <c r="D7374" s="72"/>
      <c r="E7374" s="72"/>
    </row>
    <row r="7375">
      <c r="A7375" s="72"/>
      <c r="B7375" s="72"/>
      <c r="C7375" s="72"/>
      <c r="D7375" s="72"/>
      <c r="E7375" s="72"/>
    </row>
    <row r="7376">
      <c r="A7376" s="72"/>
      <c r="B7376" s="72"/>
      <c r="C7376" s="72"/>
      <c r="D7376" s="72"/>
      <c r="E7376" s="72"/>
    </row>
    <row r="7377">
      <c r="A7377" s="72"/>
      <c r="B7377" s="72"/>
      <c r="C7377" s="72"/>
      <c r="D7377" s="72"/>
      <c r="E7377" s="72"/>
    </row>
    <row r="7378">
      <c r="A7378" s="72"/>
      <c r="B7378" s="72"/>
      <c r="C7378" s="72"/>
      <c r="D7378" s="72"/>
      <c r="E7378" s="72"/>
    </row>
    <row r="7379">
      <c r="A7379" s="72"/>
      <c r="B7379" s="72"/>
      <c r="C7379" s="72"/>
      <c r="D7379" s="72"/>
      <c r="E7379" s="72"/>
    </row>
    <row r="7380">
      <c r="A7380" s="72"/>
      <c r="B7380" s="72"/>
      <c r="C7380" s="72"/>
      <c r="D7380" s="72"/>
      <c r="E7380" s="72"/>
    </row>
    <row r="7381">
      <c r="A7381" s="72"/>
      <c r="B7381" s="72"/>
      <c r="C7381" s="72"/>
      <c r="D7381" s="72"/>
      <c r="E7381" s="72"/>
    </row>
    <row r="7382">
      <c r="A7382" s="72"/>
      <c r="B7382" s="72"/>
      <c r="C7382" s="72"/>
      <c r="D7382" s="72"/>
      <c r="E7382" s="72"/>
    </row>
    <row r="7383">
      <c r="A7383" s="72"/>
      <c r="B7383" s="72"/>
      <c r="C7383" s="72"/>
      <c r="D7383" s="72"/>
      <c r="E7383" s="72"/>
    </row>
    <row r="7384">
      <c r="A7384" s="72"/>
      <c r="B7384" s="72"/>
      <c r="C7384" s="72"/>
      <c r="D7384" s="72"/>
      <c r="E7384" s="72"/>
    </row>
    <row r="7385">
      <c r="A7385" s="72"/>
      <c r="B7385" s="72"/>
      <c r="C7385" s="72"/>
      <c r="D7385" s="72"/>
      <c r="E7385" s="72"/>
    </row>
    <row r="7386">
      <c r="A7386" s="72"/>
      <c r="B7386" s="72"/>
      <c r="C7386" s="72"/>
      <c r="D7386" s="72"/>
      <c r="E7386" s="72"/>
    </row>
    <row r="7387">
      <c r="A7387" s="72"/>
      <c r="B7387" s="72"/>
      <c r="C7387" s="72"/>
      <c r="D7387" s="72"/>
      <c r="E7387" s="72"/>
    </row>
    <row r="7388">
      <c r="A7388" s="72"/>
      <c r="B7388" s="72"/>
      <c r="C7388" s="72"/>
      <c r="D7388" s="72"/>
      <c r="E7388" s="72"/>
    </row>
    <row r="7389">
      <c r="A7389" s="72"/>
      <c r="B7389" s="72"/>
      <c r="C7389" s="72"/>
      <c r="D7389" s="72"/>
      <c r="E7389" s="72"/>
    </row>
    <row r="7390">
      <c r="A7390" s="72"/>
      <c r="B7390" s="72"/>
      <c r="C7390" s="72"/>
      <c r="D7390" s="72"/>
      <c r="E7390" s="72"/>
    </row>
    <row r="7391">
      <c r="A7391" s="72"/>
      <c r="B7391" s="72"/>
      <c r="C7391" s="72"/>
      <c r="D7391" s="72"/>
      <c r="E7391" s="72"/>
    </row>
    <row r="7392">
      <c r="A7392" s="72"/>
      <c r="B7392" s="72"/>
      <c r="C7392" s="72"/>
      <c r="D7392" s="72"/>
      <c r="E7392" s="72"/>
    </row>
    <row r="7393">
      <c r="A7393" s="72"/>
      <c r="B7393" s="72"/>
      <c r="C7393" s="72"/>
      <c r="D7393" s="72"/>
      <c r="E7393" s="72"/>
    </row>
    <row r="7394">
      <c r="A7394" s="72"/>
      <c r="B7394" s="72"/>
      <c r="C7394" s="72"/>
      <c r="D7394" s="72"/>
      <c r="E7394" s="72"/>
    </row>
    <row r="7395">
      <c r="A7395" s="72"/>
      <c r="B7395" s="72"/>
      <c r="C7395" s="72"/>
      <c r="D7395" s="72"/>
      <c r="E7395" s="72"/>
    </row>
    <row r="7396">
      <c r="A7396" s="72"/>
      <c r="B7396" s="72"/>
      <c r="C7396" s="72"/>
      <c r="D7396" s="72"/>
      <c r="E7396" s="72"/>
    </row>
    <row r="7397">
      <c r="A7397" s="72"/>
      <c r="B7397" s="72"/>
      <c r="C7397" s="72"/>
      <c r="D7397" s="72"/>
      <c r="E7397" s="72"/>
    </row>
    <row r="7398">
      <c r="A7398" s="72"/>
      <c r="B7398" s="72"/>
      <c r="C7398" s="72"/>
      <c r="D7398" s="72"/>
      <c r="E7398" s="72"/>
    </row>
    <row r="7399">
      <c r="A7399" s="72"/>
      <c r="B7399" s="72"/>
      <c r="C7399" s="72"/>
      <c r="D7399" s="72"/>
      <c r="E7399" s="72"/>
    </row>
    <row r="7400">
      <c r="A7400" s="72"/>
      <c r="B7400" s="72"/>
      <c r="C7400" s="72"/>
      <c r="D7400" s="72"/>
      <c r="E7400" s="72"/>
    </row>
    <row r="7401">
      <c r="A7401" s="72"/>
      <c r="B7401" s="72"/>
      <c r="C7401" s="72"/>
      <c r="D7401" s="72"/>
      <c r="E7401" s="72"/>
    </row>
    <row r="7402">
      <c r="A7402" s="72"/>
      <c r="B7402" s="72"/>
      <c r="C7402" s="72"/>
      <c r="D7402" s="72"/>
      <c r="E7402" s="72"/>
    </row>
    <row r="7403">
      <c r="A7403" s="72"/>
      <c r="B7403" s="72"/>
      <c r="C7403" s="72"/>
      <c r="D7403" s="72"/>
      <c r="E7403" s="72"/>
    </row>
    <row r="7404">
      <c r="A7404" s="72"/>
      <c r="B7404" s="72"/>
      <c r="C7404" s="72"/>
      <c r="D7404" s="72"/>
      <c r="E7404" s="72"/>
    </row>
    <row r="7405">
      <c r="A7405" s="72"/>
      <c r="B7405" s="72"/>
      <c r="C7405" s="72"/>
      <c r="D7405" s="72"/>
      <c r="E7405" s="72"/>
    </row>
    <row r="7406">
      <c r="A7406" s="72"/>
      <c r="B7406" s="72"/>
      <c r="C7406" s="72"/>
      <c r="D7406" s="72"/>
      <c r="E7406" s="72"/>
    </row>
    <row r="7407">
      <c r="A7407" s="72"/>
      <c r="B7407" s="72"/>
      <c r="C7407" s="72"/>
      <c r="D7407" s="72"/>
      <c r="E7407" s="72"/>
    </row>
    <row r="7408">
      <c r="A7408" s="72"/>
      <c r="B7408" s="72"/>
      <c r="C7408" s="72"/>
      <c r="D7408" s="72"/>
      <c r="E7408" s="72"/>
    </row>
    <row r="7409">
      <c r="A7409" s="72"/>
      <c r="B7409" s="72"/>
      <c r="C7409" s="72"/>
      <c r="D7409" s="72"/>
      <c r="E7409" s="72"/>
    </row>
    <row r="7410">
      <c r="A7410" s="72"/>
      <c r="B7410" s="72"/>
      <c r="C7410" s="72"/>
      <c r="D7410" s="72"/>
      <c r="E7410" s="72"/>
    </row>
    <row r="7411">
      <c r="A7411" s="72"/>
      <c r="B7411" s="72"/>
      <c r="C7411" s="72"/>
      <c r="D7411" s="72"/>
      <c r="E7411" s="72"/>
    </row>
    <row r="7412">
      <c r="A7412" s="72"/>
      <c r="B7412" s="72"/>
      <c r="C7412" s="72"/>
      <c r="D7412" s="72"/>
      <c r="E7412" s="72"/>
    </row>
    <row r="7413">
      <c r="A7413" s="72"/>
      <c r="B7413" s="72"/>
      <c r="C7413" s="72"/>
      <c r="D7413" s="72"/>
      <c r="E7413" s="72"/>
    </row>
    <row r="7414">
      <c r="A7414" s="72"/>
      <c r="B7414" s="72"/>
      <c r="C7414" s="72"/>
      <c r="D7414" s="72"/>
      <c r="E7414" s="72"/>
    </row>
    <row r="7415">
      <c r="A7415" s="72"/>
      <c r="B7415" s="72"/>
      <c r="C7415" s="72"/>
      <c r="D7415" s="72"/>
      <c r="E7415" s="72"/>
    </row>
    <row r="7416">
      <c r="A7416" s="72"/>
      <c r="B7416" s="72"/>
      <c r="C7416" s="72"/>
      <c r="D7416" s="72"/>
      <c r="E7416" s="72"/>
    </row>
    <row r="7417">
      <c r="A7417" s="72"/>
      <c r="B7417" s="72"/>
      <c r="C7417" s="72"/>
      <c r="D7417" s="72"/>
      <c r="E7417" s="72"/>
    </row>
    <row r="7418">
      <c r="A7418" s="72"/>
      <c r="B7418" s="72"/>
      <c r="C7418" s="72"/>
      <c r="D7418" s="72"/>
      <c r="E7418" s="72"/>
    </row>
    <row r="7419">
      <c r="A7419" s="72"/>
      <c r="B7419" s="72"/>
      <c r="C7419" s="72"/>
      <c r="D7419" s="72"/>
      <c r="E7419" s="72"/>
    </row>
    <row r="7420">
      <c r="A7420" s="72"/>
      <c r="B7420" s="72"/>
      <c r="C7420" s="72"/>
      <c r="D7420" s="72"/>
      <c r="E7420" s="72"/>
    </row>
    <row r="7421">
      <c r="A7421" s="72"/>
      <c r="B7421" s="72"/>
      <c r="C7421" s="72"/>
      <c r="D7421" s="72"/>
      <c r="E7421" s="72"/>
    </row>
    <row r="7422">
      <c r="A7422" s="72"/>
      <c r="B7422" s="72"/>
      <c r="C7422" s="72"/>
      <c r="D7422" s="72"/>
      <c r="E7422" s="72"/>
    </row>
    <row r="7423">
      <c r="A7423" s="72"/>
      <c r="B7423" s="72"/>
      <c r="C7423" s="72"/>
      <c r="D7423" s="72"/>
      <c r="E7423" s="72"/>
    </row>
    <row r="7424">
      <c r="A7424" s="72"/>
      <c r="B7424" s="72"/>
      <c r="C7424" s="72"/>
      <c r="D7424" s="72"/>
      <c r="E7424" s="72"/>
    </row>
    <row r="7425">
      <c r="A7425" s="72"/>
      <c r="B7425" s="72"/>
      <c r="C7425" s="72"/>
      <c r="D7425" s="72"/>
      <c r="E7425" s="72"/>
    </row>
    <row r="7426">
      <c r="A7426" s="72"/>
      <c r="B7426" s="72"/>
      <c r="C7426" s="72"/>
      <c r="D7426" s="72"/>
      <c r="E7426" s="72"/>
    </row>
    <row r="7427">
      <c r="A7427" s="72"/>
      <c r="B7427" s="72"/>
      <c r="C7427" s="72"/>
      <c r="D7427" s="72"/>
      <c r="E7427" s="72"/>
    </row>
    <row r="7428">
      <c r="A7428" s="72"/>
      <c r="B7428" s="72"/>
      <c r="C7428" s="72"/>
      <c r="D7428" s="72"/>
      <c r="E7428" s="72"/>
    </row>
    <row r="7429">
      <c r="A7429" s="72"/>
      <c r="B7429" s="72"/>
      <c r="C7429" s="72"/>
      <c r="D7429" s="72"/>
      <c r="E7429" s="72"/>
    </row>
    <row r="7430">
      <c r="A7430" s="72"/>
      <c r="B7430" s="72"/>
      <c r="C7430" s="72"/>
      <c r="D7430" s="72"/>
      <c r="E7430" s="72"/>
    </row>
    <row r="7431">
      <c r="A7431" s="72"/>
      <c r="B7431" s="72"/>
      <c r="C7431" s="72"/>
      <c r="D7431" s="72"/>
      <c r="E7431" s="72"/>
    </row>
    <row r="7432">
      <c r="A7432" s="72"/>
      <c r="B7432" s="72"/>
      <c r="C7432" s="72"/>
      <c r="D7432" s="72"/>
      <c r="E7432" s="72"/>
    </row>
    <row r="7433">
      <c r="A7433" s="72"/>
      <c r="B7433" s="72"/>
      <c r="C7433" s="72"/>
      <c r="D7433" s="72"/>
      <c r="E7433" s="72"/>
    </row>
    <row r="7434">
      <c r="A7434" s="72"/>
      <c r="B7434" s="72"/>
      <c r="C7434" s="72"/>
      <c r="D7434" s="72"/>
      <c r="E7434" s="72"/>
    </row>
    <row r="7435">
      <c r="A7435" s="72"/>
      <c r="B7435" s="72"/>
      <c r="C7435" s="72"/>
      <c r="D7435" s="72"/>
      <c r="E7435" s="72"/>
    </row>
    <row r="7436">
      <c r="A7436" s="72"/>
      <c r="B7436" s="72"/>
      <c r="C7436" s="72"/>
      <c r="D7436" s="72"/>
      <c r="E7436" s="72"/>
    </row>
    <row r="7437">
      <c r="A7437" s="72"/>
      <c r="B7437" s="72"/>
      <c r="C7437" s="72"/>
      <c r="D7437" s="72"/>
      <c r="E7437" s="72"/>
    </row>
    <row r="7438">
      <c r="A7438" s="72"/>
      <c r="B7438" s="72"/>
      <c r="C7438" s="72"/>
      <c r="D7438" s="72"/>
      <c r="E7438" s="72"/>
    </row>
    <row r="7439">
      <c r="A7439" s="72"/>
      <c r="B7439" s="72"/>
      <c r="C7439" s="72"/>
      <c r="D7439" s="72"/>
      <c r="E7439" s="72"/>
    </row>
    <row r="7440">
      <c r="A7440" s="72"/>
      <c r="B7440" s="72"/>
      <c r="C7440" s="72"/>
      <c r="D7440" s="72"/>
      <c r="E7440" s="72"/>
    </row>
    <row r="7441">
      <c r="A7441" s="72"/>
      <c r="B7441" s="72"/>
      <c r="C7441" s="72"/>
      <c r="D7441" s="72"/>
      <c r="E7441" s="72"/>
    </row>
    <row r="7442">
      <c r="A7442" s="72"/>
      <c r="B7442" s="72"/>
      <c r="C7442" s="72"/>
      <c r="D7442" s="72"/>
      <c r="E7442" s="72"/>
    </row>
    <row r="7443">
      <c r="A7443" s="72"/>
      <c r="B7443" s="72"/>
      <c r="C7443" s="72"/>
      <c r="D7443" s="72"/>
      <c r="E7443" s="72"/>
    </row>
    <row r="7444">
      <c r="A7444" s="72"/>
      <c r="B7444" s="72"/>
      <c r="C7444" s="72"/>
      <c r="D7444" s="72"/>
      <c r="E7444" s="72"/>
    </row>
    <row r="7445">
      <c r="A7445" s="72"/>
      <c r="B7445" s="72"/>
      <c r="C7445" s="72"/>
      <c r="D7445" s="72"/>
      <c r="E7445" s="72"/>
    </row>
    <row r="7446">
      <c r="A7446" s="72"/>
      <c r="B7446" s="72"/>
      <c r="C7446" s="72"/>
      <c r="D7446" s="72"/>
      <c r="E7446" s="72"/>
    </row>
    <row r="7447">
      <c r="A7447" s="72"/>
      <c r="B7447" s="72"/>
      <c r="C7447" s="72"/>
      <c r="D7447" s="72"/>
      <c r="E7447" s="72"/>
    </row>
    <row r="7448">
      <c r="A7448" s="72"/>
      <c r="B7448" s="72"/>
      <c r="C7448" s="72"/>
      <c r="D7448" s="72"/>
      <c r="E7448" s="72"/>
    </row>
    <row r="7449">
      <c r="A7449" s="72"/>
      <c r="B7449" s="72"/>
      <c r="C7449" s="72"/>
      <c r="D7449" s="72"/>
      <c r="E7449" s="72"/>
    </row>
    <row r="7450">
      <c r="A7450" s="72"/>
      <c r="B7450" s="72"/>
      <c r="C7450" s="72"/>
      <c r="D7450" s="72"/>
      <c r="E7450" s="72"/>
    </row>
    <row r="7451">
      <c r="A7451" s="72"/>
      <c r="B7451" s="72"/>
      <c r="C7451" s="72"/>
      <c r="D7451" s="72"/>
      <c r="E7451" s="72"/>
    </row>
    <row r="7452">
      <c r="A7452" s="72"/>
      <c r="B7452" s="72"/>
      <c r="C7452" s="72"/>
      <c r="D7452" s="72"/>
      <c r="E7452" s="72"/>
    </row>
    <row r="7453">
      <c r="A7453" s="72"/>
      <c r="B7453" s="72"/>
      <c r="C7453" s="72"/>
      <c r="D7453" s="72"/>
      <c r="E7453" s="72"/>
    </row>
    <row r="7454">
      <c r="A7454" s="72"/>
      <c r="B7454" s="72"/>
      <c r="C7454" s="72"/>
      <c r="D7454" s="72"/>
      <c r="E7454" s="72"/>
    </row>
    <row r="7455">
      <c r="A7455" s="72"/>
      <c r="B7455" s="72"/>
      <c r="C7455" s="72"/>
      <c r="D7455" s="72"/>
      <c r="E7455" s="72"/>
    </row>
    <row r="7456">
      <c r="A7456" s="72"/>
      <c r="B7456" s="72"/>
      <c r="C7456" s="72"/>
      <c r="D7456" s="72"/>
      <c r="E7456" s="72"/>
    </row>
    <row r="7457">
      <c r="A7457" s="72"/>
      <c r="B7457" s="72"/>
      <c r="C7457" s="72"/>
      <c r="D7457" s="72"/>
      <c r="E7457" s="72"/>
    </row>
    <row r="7458">
      <c r="A7458" s="72"/>
      <c r="B7458" s="72"/>
      <c r="C7458" s="72"/>
      <c r="D7458" s="72"/>
      <c r="E7458" s="72"/>
    </row>
    <row r="7459">
      <c r="A7459" s="72"/>
      <c r="B7459" s="72"/>
      <c r="C7459" s="72"/>
      <c r="D7459" s="72"/>
      <c r="E7459" s="72"/>
    </row>
    <row r="7460">
      <c r="A7460" s="72"/>
      <c r="B7460" s="72"/>
      <c r="C7460" s="72"/>
      <c r="D7460" s="72"/>
      <c r="E7460" s="72"/>
    </row>
    <row r="7461">
      <c r="A7461" s="72"/>
      <c r="B7461" s="72"/>
      <c r="C7461" s="72"/>
      <c r="D7461" s="72"/>
      <c r="E7461" s="72"/>
    </row>
    <row r="7462">
      <c r="A7462" s="72"/>
      <c r="B7462" s="72"/>
      <c r="C7462" s="72"/>
      <c r="D7462" s="72"/>
      <c r="E7462" s="72"/>
    </row>
    <row r="7463">
      <c r="A7463" s="72"/>
      <c r="B7463" s="72"/>
      <c r="C7463" s="72"/>
      <c r="D7463" s="72"/>
      <c r="E7463" s="72"/>
    </row>
    <row r="7464">
      <c r="A7464" s="72"/>
      <c r="B7464" s="72"/>
      <c r="C7464" s="72"/>
      <c r="D7464" s="72"/>
      <c r="E7464" s="72"/>
    </row>
    <row r="7465">
      <c r="A7465" s="72"/>
      <c r="B7465" s="72"/>
      <c r="C7465" s="72"/>
      <c r="D7465" s="72"/>
      <c r="E7465" s="72"/>
    </row>
    <row r="7466">
      <c r="A7466" s="72"/>
      <c r="B7466" s="72"/>
      <c r="C7466" s="72"/>
      <c r="D7466" s="72"/>
      <c r="E7466" s="72"/>
    </row>
    <row r="7467">
      <c r="A7467" s="72"/>
      <c r="B7467" s="72"/>
      <c r="C7467" s="72"/>
      <c r="D7467" s="72"/>
      <c r="E7467" s="72"/>
    </row>
    <row r="7468">
      <c r="A7468" s="72"/>
      <c r="B7468" s="72"/>
      <c r="C7468" s="72"/>
      <c r="D7468" s="72"/>
      <c r="E7468" s="72"/>
    </row>
    <row r="7469">
      <c r="A7469" s="72"/>
      <c r="B7469" s="72"/>
      <c r="C7469" s="72"/>
      <c r="D7469" s="72"/>
      <c r="E7469" s="72"/>
    </row>
    <row r="7470">
      <c r="A7470" s="72"/>
      <c r="B7470" s="72"/>
      <c r="C7470" s="72"/>
      <c r="D7470" s="72"/>
      <c r="E7470" s="72"/>
    </row>
    <row r="7471">
      <c r="A7471" s="72"/>
      <c r="B7471" s="72"/>
      <c r="C7471" s="72"/>
      <c r="D7471" s="72"/>
      <c r="E7471" s="72"/>
    </row>
    <row r="7472">
      <c r="A7472" s="72"/>
      <c r="B7472" s="72"/>
      <c r="C7472" s="72"/>
      <c r="D7472" s="72"/>
      <c r="E7472" s="72"/>
    </row>
    <row r="7473">
      <c r="A7473" s="72"/>
      <c r="B7473" s="72"/>
      <c r="C7473" s="72"/>
      <c r="D7473" s="72"/>
      <c r="E7473" s="72"/>
    </row>
    <row r="7474">
      <c r="A7474" s="72"/>
      <c r="B7474" s="72"/>
      <c r="C7474" s="72"/>
      <c r="D7474" s="72"/>
      <c r="E7474" s="72"/>
    </row>
    <row r="7475">
      <c r="A7475" s="72"/>
      <c r="B7475" s="72"/>
      <c r="C7475" s="72"/>
      <c r="D7475" s="72"/>
      <c r="E7475" s="72"/>
    </row>
    <row r="7476">
      <c r="A7476" s="72"/>
      <c r="B7476" s="72"/>
      <c r="C7476" s="72"/>
      <c r="D7476" s="72"/>
      <c r="E7476" s="72"/>
    </row>
    <row r="7477">
      <c r="A7477" s="72"/>
      <c r="B7477" s="72"/>
      <c r="C7477" s="72"/>
      <c r="D7477" s="72"/>
      <c r="E7477" s="72"/>
    </row>
    <row r="7478">
      <c r="A7478" s="72"/>
      <c r="B7478" s="72"/>
      <c r="C7478" s="72"/>
      <c r="D7478" s="72"/>
      <c r="E7478" s="72"/>
    </row>
    <row r="7479">
      <c r="A7479" s="72"/>
      <c r="B7479" s="72"/>
      <c r="C7479" s="72"/>
      <c r="D7479" s="72"/>
      <c r="E7479" s="72"/>
    </row>
    <row r="7480">
      <c r="A7480" s="72"/>
      <c r="B7480" s="72"/>
      <c r="C7480" s="72"/>
      <c r="D7480" s="72"/>
      <c r="E7480" s="72"/>
    </row>
    <row r="7481">
      <c r="A7481" s="72"/>
      <c r="B7481" s="72"/>
      <c r="C7481" s="72"/>
      <c r="D7481" s="72"/>
      <c r="E7481" s="72"/>
    </row>
    <row r="7482">
      <c r="A7482" s="72"/>
      <c r="B7482" s="72"/>
      <c r="C7482" s="72"/>
      <c r="D7482" s="72"/>
      <c r="E7482" s="72"/>
    </row>
    <row r="7483">
      <c r="A7483" s="72"/>
      <c r="B7483" s="72"/>
      <c r="C7483" s="72"/>
      <c r="D7483" s="72"/>
      <c r="E7483" s="72"/>
    </row>
    <row r="7484">
      <c r="A7484" s="72"/>
      <c r="B7484" s="72"/>
      <c r="C7484" s="72"/>
      <c r="D7484" s="72"/>
      <c r="E7484" s="72"/>
    </row>
    <row r="7485">
      <c r="A7485" s="72"/>
      <c r="B7485" s="72"/>
      <c r="C7485" s="72"/>
      <c r="D7485" s="72"/>
      <c r="E7485" s="72"/>
    </row>
    <row r="7486">
      <c r="A7486" s="72"/>
      <c r="B7486" s="72"/>
      <c r="C7486" s="72"/>
      <c r="D7486" s="72"/>
      <c r="E7486" s="72"/>
    </row>
    <row r="7487">
      <c r="A7487" s="72"/>
      <c r="B7487" s="72"/>
      <c r="C7487" s="72"/>
      <c r="D7487" s="72"/>
      <c r="E7487" s="72"/>
    </row>
    <row r="7488">
      <c r="A7488" s="72"/>
      <c r="B7488" s="72"/>
      <c r="C7488" s="72"/>
      <c r="D7488" s="72"/>
      <c r="E7488" s="72"/>
    </row>
    <row r="7489">
      <c r="A7489" s="72"/>
      <c r="B7489" s="72"/>
      <c r="C7489" s="72"/>
      <c r="D7489" s="72"/>
      <c r="E7489" s="72"/>
    </row>
    <row r="7490">
      <c r="A7490" s="72"/>
      <c r="B7490" s="72"/>
      <c r="C7490" s="72"/>
      <c r="D7490" s="72"/>
      <c r="E7490" s="72"/>
    </row>
    <row r="7491">
      <c r="A7491" s="72"/>
      <c r="B7491" s="72"/>
      <c r="C7491" s="72"/>
      <c r="D7491" s="72"/>
      <c r="E7491" s="72"/>
    </row>
    <row r="7492">
      <c r="A7492" s="72"/>
      <c r="B7492" s="72"/>
      <c r="C7492" s="72"/>
      <c r="D7492" s="72"/>
      <c r="E7492" s="72"/>
    </row>
    <row r="7493">
      <c r="A7493" s="72"/>
      <c r="B7493" s="72"/>
      <c r="C7493" s="72"/>
      <c r="D7493" s="72"/>
      <c r="E7493" s="72"/>
    </row>
    <row r="7494">
      <c r="A7494" s="72"/>
      <c r="B7494" s="72"/>
      <c r="C7494" s="72"/>
      <c r="D7494" s="72"/>
      <c r="E7494" s="72"/>
    </row>
    <row r="7495">
      <c r="A7495" s="72"/>
      <c r="B7495" s="72"/>
      <c r="C7495" s="72"/>
      <c r="D7495" s="72"/>
      <c r="E7495" s="72"/>
    </row>
    <row r="7496">
      <c r="A7496" s="72"/>
      <c r="B7496" s="72"/>
      <c r="C7496" s="72"/>
      <c r="D7496" s="72"/>
      <c r="E7496" s="72"/>
    </row>
    <row r="7497">
      <c r="A7497" s="72"/>
      <c r="B7497" s="72"/>
      <c r="C7497" s="72"/>
      <c r="D7497" s="72"/>
      <c r="E7497" s="72"/>
    </row>
    <row r="7498">
      <c r="A7498" s="72"/>
      <c r="B7498" s="72"/>
      <c r="C7498" s="72"/>
      <c r="D7498" s="72"/>
      <c r="E7498" s="72"/>
    </row>
    <row r="7499">
      <c r="A7499" s="72"/>
      <c r="B7499" s="72"/>
      <c r="C7499" s="72"/>
      <c r="D7499" s="72"/>
      <c r="E7499" s="72"/>
    </row>
    <row r="7500">
      <c r="A7500" s="72"/>
      <c r="B7500" s="72"/>
      <c r="C7500" s="72"/>
      <c r="D7500" s="72"/>
      <c r="E7500" s="72"/>
    </row>
    <row r="7501">
      <c r="A7501" s="72"/>
      <c r="B7501" s="72"/>
      <c r="C7501" s="72"/>
      <c r="D7501" s="72"/>
      <c r="E7501" s="72"/>
    </row>
    <row r="7502">
      <c r="A7502" s="72"/>
      <c r="B7502" s="72"/>
      <c r="C7502" s="72"/>
      <c r="D7502" s="72"/>
      <c r="E7502" s="72"/>
    </row>
    <row r="7503">
      <c r="A7503" s="72"/>
      <c r="B7503" s="72"/>
      <c r="C7503" s="72"/>
      <c r="D7503" s="72"/>
      <c r="E7503" s="72"/>
    </row>
    <row r="7504">
      <c r="A7504" s="72"/>
      <c r="B7504" s="72"/>
      <c r="C7504" s="72"/>
      <c r="D7504" s="72"/>
      <c r="E7504" s="72"/>
    </row>
    <row r="7505">
      <c r="A7505" s="72"/>
      <c r="B7505" s="72"/>
      <c r="C7505" s="72"/>
      <c r="D7505" s="72"/>
      <c r="E7505" s="72"/>
    </row>
    <row r="7506">
      <c r="A7506" s="72"/>
      <c r="B7506" s="72"/>
      <c r="C7506" s="72"/>
      <c r="D7506" s="72"/>
      <c r="E7506" s="72"/>
    </row>
    <row r="7507">
      <c r="A7507" s="72"/>
      <c r="B7507" s="72"/>
      <c r="C7507" s="72"/>
      <c r="D7507" s="72"/>
      <c r="E7507" s="72"/>
    </row>
    <row r="7508">
      <c r="A7508" s="72"/>
      <c r="B7508" s="72"/>
      <c r="C7508" s="72"/>
      <c r="D7508" s="72"/>
      <c r="E7508" s="72"/>
    </row>
    <row r="7509">
      <c r="A7509" s="72"/>
      <c r="B7509" s="72"/>
      <c r="C7509" s="72"/>
      <c r="D7509" s="72"/>
      <c r="E7509" s="72"/>
    </row>
    <row r="7510">
      <c r="A7510" s="72"/>
      <c r="B7510" s="72"/>
      <c r="C7510" s="72"/>
      <c r="D7510" s="72"/>
      <c r="E7510" s="72"/>
    </row>
    <row r="7511">
      <c r="A7511" s="72"/>
      <c r="B7511" s="72"/>
      <c r="C7511" s="72"/>
      <c r="D7511" s="72"/>
      <c r="E7511" s="72"/>
    </row>
    <row r="7512">
      <c r="A7512" s="72"/>
      <c r="B7512" s="72"/>
      <c r="C7512" s="72"/>
      <c r="D7512" s="72"/>
      <c r="E7512" s="72"/>
    </row>
    <row r="7513">
      <c r="A7513" s="72"/>
      <c r="B7513" s="72"/>
      <c r="C7513" s="72"/>
      <c r="D7513" s="72"/>
      <c r="E7513" s="72"/>
    </row>
    <row r="7514">
      <c r="A7514" s="72"/>
      <c r="B7514" s="72"/>
      <c r="C7514" s="72"/>
      <c r="D7514" s="72"/>
      <c r="E7514" s="72"/>
    </row>
    <row r="7515">
      <c r="A7515" s="72"/>
      <c r="B7515" s="72"/>
      <c r="C7515" s="72"/>
      <c r="D7515" s="72"/>
      <c r="E7515" s="72"/>
    </row>
    <row r="7516">
      <c r="A7516" s="72"/>
      <c r="B7516" s="72"/>
      <c r="C7516" s="72"/>
      <c r="D7516" s="72"/>
      <c r="E7516" s="72"/>
    </row>
    <row r="7517">
      <c r="A7517" s="72"/>
      <c r="B7517" s="72"/>
      <c r="C7517" s="72"/>
      <c r="D7517" s="72"/>
      <c r="E7517" s="72"/>
    </row>
    <row r="7518">
      <c r="A7518" s="72"/>
      <c r="B7518" s="72"/>
      <c r="C7518" s="72"/>
      <c r="D7518" s="72"/>
      <c r="E7518" s="72"/>
    </row>
    <row r="7519">
      <c r="A7519" s="72"/>
      <c r="B7519" s="72"/>
      <c r="C7519" s="72"/>
      <c r="D7519" s="72"/>
      <c r="E7519" s="72"/>
    </row>
    <row r="7520">
      <c r="A7520" s="72"/>
      <c r="B7520" s="72"/>
      <c r="C7520" s="72"/>
      <c r="D7520" s="72"/>
      <c r="E7520" s="72"/>
    </row>
    <row r="7521">
      <c r="A7521" s="72"/>
      <c r="B7521" s="72"/>
      <c r="C7521" s="72"/>
      <c r="D7521" s="72"/>
      <c r="E7521" s="72"/>
    </row>
    <row r="7522">
      <c r="A7522" s="72"/>
      <c r="B7522" s="72"/>
      <c r="C7522" s="72"/>
      <c r="D7522" s="72"/>
      <c r="E7522" s="72"/>
    </row>
    <row r="7523">
      <c r="A7523" s="72"/>
      <c r="B7523" s="72"/>
      <c r="C7523" s="72"/>
      <c r="D7523" s="72"/>
      <c r="E7523" s="72"/>
    </row>
    <row r="7524">
      <c r="A7524" s="72"/>
      <c r="B7524" s="72"/>
      <c r="C7524" s="72"/>
      <c r="D7524" s="72"/>
      <c r="E7524" s="72"/>
    </row>
    <row r="7525">
      <c r="A7525" s="72"/>
      <c r="B7525" s="72"/>
      <c r="C7525" s="72"/>
      <c r="D7525" s="72"/>
      <c r="E7525" s="72"/>
    </row>
    <row r="7526">
      <c r="A7526" s="72"/>
      <c r="B7526" s="72"/>
      <c r="C7526" s="72"/>
      <c r="D7526" s="72"/>
      <c r="E7526" s="72"/>
    </row>
    <row r="7527">
      <c r="A7527" s="72"/>
      <c r="B7527" s="72"/>
      <c r="C7527" s="72"/>
      <c r="D7527" s="72"/>
      <c r="E7527" s="72"/>
    </row>
    <row r="7528">
      <c r="A7528" s="72"/>
      <c r="B7528" s="72"/>
      <c r="C7528" s="72"/>
      <c r="D7528" s="72"/>
      <c r="E7528" s="72"/>
    </row>
    <row r="7529">
      <c r="A7529" s="72"/>
      <c r="B7529" s="72"/>
      <c r="C7529" s="72"/>
      <c r="D7529" s="72"/>
      <c r="E7529" s="72"/>
    </row>
    <row r="7530">
      <c r="A7530" s="72"/>
      <c r="B7530" s="72"/>
      <c r="C7530" s="72"/>
      <c r="D7530" s="72"/>
      <c r="E7530" s="72"/>
    </row>
    <row r="7531">
      <c r="A7531" s="72"/>
      <c r="B7531" s="72"/>
      <c r="C7531" s="72"/>
      <c r="D7531" s="72"/>
      <c r="E7531" s="72"/>
    </row>
    <row r="7532">
      <c r="A7532" s="72"/>
      <c r="B7532" s="72"/>
      <c r="C7532" s="72"/>
      <c r="D7532" s="72"/>
      <c r="E7532" s="72"/>
    </row>
    <row r="7533">
      <c r="A7533" s="72"/>
      <c r="B7533" s="72"/>
      <c r="C7533" s="72"/>
      <c r="D7533" s="72"/>
      <c r="E7533" s="72"/>
    </row>
    <row r="7534">
      <c r="A7534" s="72"/>
      <c r="B7534" s="72"/>
      <c r="C7534" s="72"/>
      <c r="D7534" s="72"/>
      <c r="E7534" s="72"/>
    </row>
    <row r="7535">
      <c r="A7535" s="72"/>
      <c r="B7535" s="72"/>
      <c r="C7535" s="72"/>
      <c r="D7535" s="72"/>
      <c r="E7535" s="72"/>
    </row>
    <row r="7536">
      <c r="A7536" s="72"/>
      <c r="B7536" s="72"/>
      <c r="C7536" s="72"/>
      <c r="D7536" s="72"/>
      <c r="E7536" s="72"/>
    </row>
    <row r="7537">
      <c r="A7537" s="72"/>
      <c r="B7537" s="72"/>
      <c r="C7537" s="72"/>
      <c r="D7537" s="72"/>
      <c r="E7537" s="72"/>
    </row>
    <row r="7538">
      <c r="A7538" s="72"/>
      <c r="B7538" s="72"/>
      <c r="C7538" s="72"/>
      <c r="D7538" s="72"/>
      <c r="E7538" s="72"/>
    </row>
    <row r="7539">
      <c r="A7539" s="72"/>
      <c r="B7539" s="72"/>
      <c r="C7539" s="72"/>
      <c r="D7539" s="72"/>
      <c r="E7539" s="72"/>
    </row>
    <row r="7540">
      <c r="A7540" s="72"/>
      <c r="B7540" s="72"/>
      <c r="C7540" s="72"/>
      <c r="D7540" s="72"/>
      <c r="E7540" s="72"/>
    </row>
    <row r="7541">
      <c r="A7541" s="72"/>
      <c r="B7541" s="72"/>
      <c r="C7541" s="72"/>
      <c r="D7541" s="72"/>
      <c r="E7541" s="72"/>
    </row>
    <row r="7542">
      <c r="A7542" s="72"/>
      <c r="B7542" s="72"/>
      <c r="C7542" s="72"/>
      <c r="D7542" s="72"/>
      <c r="E7542" s="72"/>
    </row>
    <row r="7543">
      <c r="A7543" s="72"/>
      <c r="B7543" s="72"/>
      <c r="C7543" s="72"/>
      <c r="D7543" s="72"/>
      <c r="E7543" s="72"/>
    </row>
    <row r="7544">
      <c r="A7544" s="72"/>
      <c r="B7544" s="72"/>
      <c r="C7544" s="72"/>
      <c r="D7544" s="72"/>
      <c r="E7544" s="72"/>
    </row>
    <row r="7545">
      <c r="A7545" s="72"/>
      <c r="B7545" s="72"/>
      <c r="C7545" s="72"/>
      <c r="D7545" s="72"/>
      <c r="E7545" s="72"/>
    </row>
    <row r="7546">
      <c r="A7546" s="72"/>
      <c r="B7546" s="72"/>
      <c r="C7546" s="72"/>
      <c r="D7546" s="72"/>
      <c r="E7546" s="72"/>
    </row>
    <row r="7547">
      <c r="A7547" s="72"/>
      <c r="B7547" s="72"/>
      <c r="C7547" s="72"/>
      <c r="D7547" s="72"/>
      <c r="E7547" s="72"/>
    </row>
    <row r="7548">
      <c r="A7548" s="72"/>
      <c r="B7548" s="72"/>
      <c r="C7548" s="72"/>
      <c r="D7548" s="72"/>
      <c r="E7548" s="72"/>
    </row>
    <row r="7549">
      <c r="A7549" s="72"/>
      <c r="B7549" s="72"/>
      <c r="C7549" s="72"/>
      <c r="D7549" s="72"/>
      <c r="E7549" s="72"/>
    </row>
    <row r="7550">
      <c r="A7550" s="72"/>
      <c r="B7550" s="72"/>
      <c r="C7550" s="72"/>
      <c r="D7550" s="72"/>
      <c r="E7550" s="72"/>
    </row>
    <row r="7551">
      <c r="A7551" s="72"/>
      <c r="B7551" s="72"/>
      <c r="C7551" s="72"/>
      <c r="D7551" s="72"/>
      <c r="E7551" s="72"/>
    </row>
    <row r="7552">
      <c r="A7552" s="72"/>
      <c r="B7552" s="72"/>
      <c r="C7552" s="72"/>
      <c r="D7552" s="72"/>
      <c r="E7552" s="72"/>
    </row>
    <row r="7553">
      <c r="A7553" s="72"/>
      <c r="B7553" s="72"/>
      <c r="C7553" s="72"/>
      <c r="D7553" s="72"/>
      <c r="E7553" s="72"/>
    </row>
    <row r="7554">
      <c r="A7554" s="72"/>
      <c r="B7554" s="72"/>
      <c r="C7554" s="72"/>
      <c r="D7554" s="72"/>
      <c r="E7554" s="72"/>
    </row>
    <row r="7555">
      <c r="A7555" s="72"/>
      <c r="B7555" s="72"/>
      <c r="C7555" s="72"/>
      <c r="D7555" s="72"/>
      <c r="E7555" s="72"/>
    </row>
    <row r="7556">
      <c r="A7556" s="72"/>
      <c r="B7556" s="72"/>
      <c r="C7556" s="72"/>
      <c r="D7556" s="72"/>
      <c r="E7556" s="72"/>
    </row>
    <row r="7557">
      <c r="A7557" s="72"/>
      <c r="B7557" s="72"/>
      <c r="C7557" s="72"/>
      <c r="D7557" s="72"/>
      <c r="E7557" s="72"/>
    </row>
    <row r="7558">
      <c r="A7558" s="72"/>
      <c r="B7558" s="72"/>
      <c r="C7558" s="72"/>
      <c r="D7558" s="72"/>
      <c r="E7558" s="72"/>
    </row>
    <row r="7559">
      <c r="A7559" s="72"/>
      <c r="B7559" s="72"/>
      <c r="C7559" s="72"/>
      <c r="D7559" s="72"/>
      <c r="E7559" s="72"/>
    </row>
    <row r="7560">
      <c r="A7560" s="72"/>
      <c r="B7560" s="72"/>
      <c r="C7560" s="72"/>
      <c r="D7560" s="72"/>
      <c r="E7560" s="72"/>
    </row>
    <row r="7561">
      <c r="A7561" s="72"/>
      <c r="B7561" s="72"/>
      <c r="C7561" s="72"/>
      <c r="D7561" s="72"/>
      <c r="E7561" s="72"/>
    </row>
    <row r="7562">
      <c r="A7562" s="72"/>
      <c r="B7562" s="72"/>
      <c r="C7562" s="72"/>
      <c r="D7562" s="72"/>
      <c r="E7562" s="72"/>
    </row>
    <row r="7563">
      <c r="A7563" s="72"/>
      <c r="B7563" s="72"/>
      <c r="C7563" s="72"/>
      <c r="D7563" s="72"/>
      <c r="E7563" s="72"/>
    </row>
    <row r="7564">
      <c r="A7564" s="72"/>
      <c r="B7564" s="72"/>
      <c r="C7564" s="72"/>
      <c r="D7564" s="72"/>
      <c r="E7564" s="72"/>
    </row>
    <row r="7565">
      <c r="A7565" s="72"/>
      <c r="B7565" s="72"/>
      <c r="C7565" s="72"/>
      <c r="D7565" s="72"/>
      <c r="E7565" s="72"/>
    </row>
    <row r="7566">
      <c r="A7566" s="72"/>
      <c r="B7566" s="72"/>
      <c r="C7566" s="72"/>
      <c r="D7566" s="72"/>
      <c r="E7566" s="72"/>
    </row>
    <row r="7567">
      <c r="A7567" s="72"/>
      <c r="B7567" s="72"/>
      <c r="C7567" s="72"/>
      <c r="D7567" s="72"/>
      <c r="E7567" s="72"/>
    </row>
    <row r="7568">
      <c r="A7568" s="72"/>
      <c r="B7568" s="72"/>
      <c r="C7568" s="72"/>
      <c r="D7568" s="72"/>
      <c r="E7568" s="72"/>
    </row>
    <row r="7569">
      <c r="A7569" s="72"/>
      <c r="B7569" s="72"/>
      <c r="C7569" s="72"/>
      <c r="D7569" s="72"/>
      <c r="E7569" s="72"/>
    </row>
    <row r="7570">
      <c r="A7570" s="72"/>
      <c r="B7570" s="72"/>
      <c r="C7570" s="72"/>
      <c r="D7570" s="72"/>
      <c r="E7570" s="72"/>
    </row>
    <row r="7571">
      <c r="A7571" s="72"/>
      <c r="B7571" s="72"/>
      <c r="C7571" s="72"/>
      <c r="D7571" s="72"/>
      <c r="E7571" s="72"/>
    </row>
    <row r="7572">
      <c r="A7572" s="72"/>
      <c r="B7572" s="72"/>
      <c r="C7572" s="72"/>
      <c r="D7572" s="72"/>
      <c r="E7572" s="72"/>
    </row>
    <row r="7573">
      <c r="A7573" s="72"/>
      <c r="B7573" s="72"/>
      <c r="C7573" s="72"/>
      <c r="D7573" s="72"/>
      <c r="E7573" s="72"/>
    </row>
    <row r="7574">
      <c r="A7574" s="72"/>
      <c r="B7574" s="72"/>
      <c r="C7574" s="72"/>
      <c r="D7574" s="72"/>
      <c r="E7574" s="72"/>
    </row>
    <row r="7575">
      <c r="A7575" s="72"/>
      <c r="B7575" s="72"/>
      <c r="C7575" s="72"/>
      <c r="D7575" s="72"/>
      <c r="E7575" s="72"/>
    </row>
    <row r="7576">
      <c r="A7576" s="72"/>
      <c r="B7576" s="72"/>
      <c r="C7576" s="72"/>
      <c r="D7576" s="72"/>
      <c r="E7576" s="72"/>
    </row>
    <row r="7577">
      <c r="A7577" s="72"/>
      <c r="B7577" s="72"/>
      <c r="C7577" s="72"/>
      <c r="D7577" s="72"/>
      <c r="E7577" s="72"/>
    </row>
    <row r="7578">
      <c r="A7578" s="72"/>
      <c r="B7578" s="72"/>
      <c r="C7578" s="72"/>
      <c r="D7578" s="72"/>
      <c r="E7578" s="72"/>
    </row>
    <row r="7579">
      <c r="A7579" s="72"/>
      <c r="B7579" s="72"/>
      <c r="C7579" s="72"/>
      <c r="D7579" s="72"/>
      <c r="E7579" s="72"/>
    </row>
    <row r="7580">
      <c r="A7580" s="72"/>
      <c r="B7580" s="72"/>
      <c r="C7580" s="72"/>
      <c r="D7580" s="72"/>
      <c r="E7580" s="72"/>
    </row>
    <row r="7581">
      <c r="A7581" s="72"/>
      <c r="B7581" s="72"/>
      <c r="C7581" s="72"/>
      <c r="D7581" s="72"/>
      <c r="E7581" s="72"/>
    </row>
    <row r="7582">
      <c r="A7582" s="72"/>
      <c r="B7582" s="72"/>
      <c r="C7582" s="72"/>
      <c r="D7582" s="72"/>
      <c r="E7582" s="72"/>
    </row>
    <row r="7583">
      <c r="A7583" s="72"/>
      <c r="B7583" s="72"/>
      <c r="C7583" s="72"/>
      <c r="D7583" s="72"/>
      <c r="E7583" s="72"/>
    </row>
    <row r="7584">
      <c r="A7584" s="72"/>
      <c r="B7584" s="72"/>
      <c r="C7584" s="72"/>
      <c r="D7584" s="72"/>
      <c r="E7584" s="72"/>
    </row>
    <row r="7585">
      <c r="A7585" s="72"/>
      <c r="B7585" s="72"/>
      <c r="C7585" s="72"/>
      <c r="D7585" s="72"/>
      <c r="E7585" s="72"/>
    </row>
    <row r="7586">
      <c r="A7586" s="72"/>
      <c r="B7586" s="72"/>
      <c r="C7586" s="72"/>
      <c r="D7586" s="72"/>
      <c r="E7586" s="72"/>
    </row>
    <row r="7587">
      <c r="A7587" s="72"/>
      <c r="B7587" s="72"/>
      <c r="C7587" s="72"/>
      <c r="D7587" s="72"/>
      <c r="E7587" s="72"/>
    </row>
    <row r="7588">
      <c r="A7588" s="72"/>
      <c r="B7588" s="72"/>
      <c r="C7588" s="72"/>
      <c r="D7588" s="72"/>
      <c r="E7588" s="72"/>
    </row>
    <row r="7589">
      <c r="A7589" s="72"/>
      <c r="B7589" s="72"/>
      <c r="C7589" s="72"/>
      <c r="D7589" s="72"/>
      <c r="E7589" s="72"/>
    </row>
    <row r="7590">
      <c r="A7590" s="72"/>
      <c r="B7590" s="72"/>
      <c r="C7590" s="72"/>
      <c r="D7590" s="72"/>
      <c r="E7590" s="72"/>
    </row>
    <row r="7591">
      <c r="A7591" s="72"/>
      <c r="B7591" s="72"/>
      <c r="C7591" s="72"/>
      <c r="D7591" s="72"/>
      <c r="E7591" s="72"/>
    </row>
    <row r="7592">
      <c r="A7592" s="72"/>
      <c r="B7592" s="72"/>
      <c r="C7592" s="72"/>
      <c r="D7592" s="72"/>
      <c r="E7592" s="72"/>
    </row>
    <row r="7593">
      <c r="A7593" s="72"/>
      <c r="B7593" s="72"/>
      <c r="C7593" s="72"/>
      <c r="D7593" s="72"/>
      <c r="E7593" s="72"/>
    </row>
    <row r="7594">
      <c r="A7594" s="72"/>
      <c r="B7594" s="72"/>
      <c r="C7594" s="72"/>
      <c r="D7594" s="72"/>
      <c r="E7594" s="72"/>
    </row>
    <row r="7595">
      <c r="A7595" s="72"/>
      <c r="B7595" s="72"/>
      <c r="C7595" s="72"/>
      <c r="D7595" s="72"/>
      <c r="E7595" s="72"/>
    </row>
    <row r="7596">
      <c r="A7596" s="72"/>
      <c r="B7596" s="72"/>
      <c r="C7596" s="72"/>
      <c r="D7596" s="72"/>
      <c r="E7596" s="72"/>
    </row>
    <row r="7597">
      <c r="A7597" s="72"/>
      <c r="B7597" s="72"/>
      <c r="C7597" s="72"/>
      <c r="D7597" s="72"/>
      <c r="E7597" s="72"/>
    </row>
    <row r="7598">
      <c r="A7598" s="72"/>
      <c r="B7598" s="72"/>
      <c r="C7598" s="72"/>
      <c r="D7598" s="72"/>
      <c r="E7598" s="72"/>
    </row>
    <row r="7599">
      <c r="A7599" s="72"/>
      <c r="B7599" s="72"/>
      <c r="C7599" s="72"/>
      <c r="D7599" s="72"/>
      <c r="E7599" s="72"/>
    </row>
    <row r="7600">
      <c r="A7600" s="72"/>
      <c r="B7600" s="72"/>
      <c r="C7600" s="72"/>
      <c r="D7600" s="72"/>
      <c r="E7600" s="72"/>
    </row>
    <row r="7601">
      <c r="A7601" s="72"/>
      <c r="B7601" s="72"/>
      <c r="C7601" s="72"/>
      <c r="D7601" s="72"/>
      <c r="E7601" s="72"/>
    </row>
    <row r="7602">
      <c r="A7602" s="72"/>
      <c r="B7602" s="72"/>
      <c r="C7602" s="72"/>
      <c r="D7602" s="72"/>
      <c r="E7602" s="72"/>
    </row>
    <row r="7603">
      <c r="A7603" s="72"/>
      <c r="B7603" s="72"/>
      <c r="C7603" s="72"/>
      <c r="D7603" s="72"/>
      <c r="E7603" s="72"/>
    </row>
    <row r="7604">
      <c r="A7604" s="72"/>
      <c r="B7604" s="72"/>
      <c r="C7604" s="72"/>
      <c r="D7604" s="72"/>
      <c r="E7604" s="72"/>
    </row>
    <row r="7605">
      <c r="A7605" s="72"/>
      <c r="B7605" s="72"/>
      <c r="C7605" s="72"/>
      <c r="D7605" s="72"/>
      <c r="E7605" s="72"/>
    </row>
    <row r="7606">
      <c r="A7606" s="72"/>
      <c r="B7606" s="72"/>
      <c r="C7606" s="72"/>
      <c r="D7606" s="72"/>
      <c r="E7606" s="72"/>
    </row>
    <row r="7607">
      <c r="A7607" s="72"/>
      <c r="B7607" s="72"/>
      <c r="C7607" s="72"/>
      <c r="D7607" s="72"/>
      <c r="E7607" s="72"/>
    </row>
    <row r="7608">
      <c r="A7608" s="72"/>
      <c r="B7608" s="72"/>
      <c r="C7608" s="72"/>
      <c r="D7608" s="72"/>
      <c r="E7608" s="72"/>
    </row>
    <row r="7609">
      <c r="A7609" s="72"/>
      <c r="B7609" s="72"/>
      <c r="C7609" s="72"/>
      <c r="D7609" s="72"/>
      <c r="E7609" s="72"/>
    </row>
    <row r="7610">
      <c r="A7610" s="72"/>
      <c r="B7610" s="72"/>
      <c r="C7610" s="72"/>
      <c r="D7610" s="72"/>
      <c r="E7610" s="72"/>
    </row>
    <row r="7611">
      <c r="A7611" s="72"/>
      <c r="B7611" s="72"/>
      <c r="C7611" s="72"/>
      <c r="D7611" s="72"/>
      <c r="E7611" s="72"/>
    </row>
    <row r="7612">
      <c r="A7612" s="72"/>
      <c r="B7612" s="72"/>
      <c r="C7612" s="72"/>
      <c r="D7612" s="72"/>
      <c r="E7612" s="72"/>
    </row>
    <row r="7613">
      <c r="A7613" s="72"/>
      <c r="B7613" s="72"/>
      <c r="C7613" s="72"/>
      <c r="D7613" s="72"/>
      <c r="E7613" s="72"/>
    </row>
    <row r="7614">
      <c r="A7614" s="72"/>
      <c r="B7614" s="72"/>
      <c r="C7614" s="72"/>
      <c r="D7614" s="72"/>
      <c r="E7614" s="72"/>
    </row>
    <row r="7615">
      <c r="A7615" s="72"/>
      <c r="B7615" s="72"/>
      <c r="C7615" s="72"/>
      <c r="D7615" s="72"/>
      <c r="E7615" s="72"/>
    </row>
    <row r="7616">
      <c r="A7616" s="72"/>
      <c r="B7616" s="72"/>
      <c r="C7616" s="72"/>
      <c r="D7616" s="72"/>
      <c r="E7616" s="72"/>
    </row>
    <row r="7617">
      <c r="A7617" s="72"/>
      <c r="B7617" s="72"/>
      <c r="C7617" s="72"/>
      <c r="D7617" s="72"/>
      <c r="E7617" s="72"/>
    </row>
    <row r="7618">
      <c r="A7618" s="72"/>
      <c r="B7618" s="72"/>
      <c r="C7618" s="72"/>
      <c r="D7618" s="72"/>
      <c r="E7618" s="72"/>
    </row>
    <row r="7619">
      <c r="A7619" s="72"/>
      <c r="B7619" s="72"/>
      <c r="C7619" s="72"/>
      <c r="D7619" s="72"/>
      <c r="E7619" s="72"/>
    </row>
    <row r="7620">
      <c r="A7620" s="72"/>
      <c r="B7620" s="72"/>
      <c r="C7620" s="72"/>
      <c r="D7620" s="72"/>
      <c r="E7620" s="72"/>
    </row>
    <row r="7621">
      <c r="A7621" s="72"/>
      <c r="B7621" s="72"/>
      <c r="C7621" s="72"/>
      <c r="D7621" s="72"/>
      <c r="E7621" s="72"/>
    </row>
    <row r="7622">
      <c r="A7622" s="72"/>
      <c r="B7622" s="72"/>
      <c r="C7622" s="72"/>
      <c r="D7622" s="72"/>
      <c r="E7622" s="72"/>
    </row>
    <row r="7623">
      <c r="A7623" s="72"/>
      <c r="B7623" s="72"/>
      <c r="C7623" s="72"/>
      <c r="D7623" s="72"/>
      <c r="E7623" s="72"/>
    </row>
    <row r="7624">
      <c r="A7624" s="72"/>
      <c r="B7624" s="72"/>
      <c r="C7624" s="72"/>
      <c r="D7624" s="72"/>
      <c r="E7624" s="72"/>
    </row>
    <row r="7625">
      <c r="A7625" s="72"/>
      <c r="B7625" s="72"/>
      <c r="C7625" s="72"/>
      <c r="D7625" s="72"/>
      <c r="E7625" s="72"/>
    </row>
    <row r="7626">
      <c r="A7626" s="72"/>
      <c r="B7626" s="72"/>
      <c r="C7626" s="72"/>
      <c r="D7626" s="72"/>
      <c r="E7626" s="72"/>
    </row>
    <row r="7627">
      <c r="A7627" s="72"/>
      <c r="B7627" s="72"/>
      <c r="C7627" s="72"/>
      <c r="D7627" s="72"/>
      <c r="E7627" s="72"/>
    </row>
    <row r="7628">
      <c r="A7628" s="72"/>
      <c r="B7628" s="72"/>
      <c r="C7628" s="72"/>
      <c r="D7628" s="72"/>
      <c r="E7628" s="72"/>
    </row>
    <row r="7629">
      <c r="A7629" s="72"/>
      <c r="B7629" s="72"/>
      <c r="C7629" s="72"/>
      <c r="D7629" s="72"/>
      <c r="E7629" s="72"/>
    </row>
    <row r="7630">
      <c r="A7630" s="72"/>
      <c r="B7630" s="72"/>
      <c r="C7630" s="72"/>
      <c r="D7630" s="72"/>
      <c r="E7630" s="72"/>
    </row>
    <row r="7631">
      <c r="A7631" s="72"/>
      <c r="B7631" s="72"/>
      <c r="C7631" s="72"/>
      <c r="D7631" s="72"/>
      <c r="E7631" s="72"/>
    </row>
    <row r="7632">
      <c r="A7632" s="72"/>
      <c r="B7632" s="72"/>
      <c r="C7632" s="72"/>
      <c r="D7632" s="72"/>
      <c r="E7632" s="72"/>
    </row>
    <row r="7633">
      <c r="A7633" s="72"/>
      <c r="B7633" s="72"/>
      <c r="C7633" s="72"/>
      <c r="D7633" s="72"/>
      <c r="E7633" s="72"/>
    </row>
    <row r="7634">
      <c r="A7634" s="72"/>
      <c r="B7634" s="72"/>
      <c r="C7634" s="72"/>
      <c r="D7634" s="72"/>
      <c r="E7634" s="72"/>
    </row>
    <row r="7635">
      <c r="A7635" s="72"/>
      <c r="B7635" s="72"/>
      <c r="C7635" s="72"/>
      <c r="D7635" s="72"/>
      <c r="E7635" s="72"/>
    </row>
    <row r="7636">
      <c r="A7636" s="72"/>
      <c r="B7636" s="72"/>
      <c r="C7636" s="72"/>
      <c r="D7636" s="72"/>
      <c r="E7636" s="72"/>
    </row>
    <row r="7637">
      <c r="A7637" s="72"/>
      <c r="B7637" s="72"/>
      <c r="C7637" s="72"/>
      <c r="D7637" s="72"/>
      <c r="E7637" s="72"/>
    </row>
    <row r="7638">
      <c r="A7638" s="72"/>
      <c r="B7638" s="72"/>
      <c r="C7638" s="72"/>
      <c r="D7638" s="72"/>
      <c r="E7638" s="72"/>
    </row>
    <row r="7639">
      <c r="A7639" s="72"/>
      <c r="B7639" s="72"/>
      <c r="C7639" s="72"/>
      <c r="D7639" s="72"/>
      <c r="E7639" s="72"/>
    </row>
    <row r="7640">
      <c r="A7640" s="72"/>
      <c r="B7640" s="72"/>
      <c r="C7640" s="72"/>
      <c r="D7640" s="72"/>
      <c r="E7640" s="72"/>
    </row>
    <row r="7641">
      <c r="A7641" s="72"/>
      <c r="B7641" s="72"/>
      <c r="C7641" s="72"/>
      <c r="D7641" s="72"/>
      <c r="E7641" s="72"/>
    </row>
    <row r="7642">
      <c r="A7642" s="72"/>
      <c r="B7642" s="72"/>
      <c r="C7642" s="72"/>
      <c r="D7642" s="72"/>
      <c r="E7642" s="72"/>
    </row>
    <row r="7643">
      <c r="A7643" s="72"/>
      <c r="B7643" s="72"/>
      <c r="C7643" s="72"/>
      <c r="D7643" s="72"/>
      <c r="E7643" s="72"/>
    </row>
    <row r="7644">
      <c r="A7644" s="72"/>
      <c r="B7644" s="72"/>
      <c r="C7644" s="72"/>
      <c r="D7644" s="72"/>
      <c r="E7644" s="72"/>
    </row>
    <row r="7645">
      <c r="A7645" s="72"/>
      <c r="B7645" s="72"/>
      <c r="C7645" s="72"/>
      <c r="D7645" s="72"/>
      <c r="E7645" s="72"/>
    </row>
    <row r="7646">
      <c r="A7646" s="72"/>
      <c r="B7646" s="72"/>
      <c r="C7646" s="72"/>
      <c r="D7646" s="72"/>
      <c r="E7646" s="72"/>
    </row>
    <row r="7647">
      <c r="A7647" s="72"/>
      <c r="B7647" s="72"/>
      <c r="C7647" s="72"/>
      <c r="D7647" s="72"/>
      <c r="E7647" s="72"/>
    </row>
    <row r="7648">
      <c r="A7648" s="72"/>
      <c r="B7648" s="72"/>
      <c r="C7648" s="72"/>
      <c r="D7648" s="72"/>
      <c r="E7648" s="72"/>
    </row>
    <row r="7649">
      <c r="A7649" s="72"/>
      <c r="B7649" s="72"/>
      <c r="C7649" s="72"/>
      <c r="D7649" s="72"/>
      <c r="E7649" s="72"/>
    </row>
    <row r="7650">
      <c r="A7650" s="72"/>
      <c r="B7650" s="72"/>
      <c r="C7650" s="72"/>
      <c r="D7650" s="72"/>
      <c r="E7650" s="72"/>
    </row>
    <row r="7651">
      <c r="A7651" s="72"/>
      <c r="B7651" s="72"/>
      <c r="C7651" s="72"/>
      <c r="D7651" s="72"/>
      <c r="E7651" s="72"/>
    </row>
    <row r="7652">
      <c r="A7652" s="72"/>
      <c r="B7652" s="72"/>
      <c r="C7652" s="72"/>
      <c r="D7652" s="72"/>
      <c r="E7652" s="72"/>
    </row>
    <row r="7653">
      <c r="A7653" s="72"/>
      <c r="B7653" s="72"/>
      <c r="C7653" s="72"/>
      <c r="D7653" s="72"/>
      <c r="E7653" s="72"/>
    </row>
    <row r="7654">
      <c r="A7654" s="72"/>
      <c r="B7654" s="72"/>
      <c r="C7654" s="72"/>
      <c r="D7654" s="72"/>
      <c r="E7654" s="72"/>
    </row>
    <row r="7655">
      <c r="A7655" s="72"/>
      <c r="B7655" s="72"/>
      <c r="C7655" s="72"/>
      <c r="D7655" s="72"/>
      <c r="E7655" s="72"/>
    </row>
    <row r="7656">
      <c r="A7656" s="72"/>
      <c r="B7656" s="72"/>
      <c r="C7656" s="72"/>
      <c r="D7656" s="72"/>
      <c r="E7656" s="72"/>
    </row>
    <row r="7657">
      <c r="A7657" s="72"/>
      <c r="B7657" s="72"/>
      <c r="C7657" s="72"/>
      <c r="D7657" s="72"/>
      <c r="E7657" s="72"/>
    </row>
    <row r="7658">
      <c r="A7658" s="72"/>
      <c r="B7658" s="72"/>
      <c r="C7658" s="72"/>
      <c r="D7658" s="72"/>
      <c r="E7658" s="72"/>
    </row>
    <row r="7659">
      <c r="A7659" s="72"/>
      <c r="B7659" s="72"/>
      <c r="C7659" s="72"/>
      <c r="D7659" s="72"/>
      <c r="E7659" s="72"/>
    </row>
    <row r="7660">
      <c r="A7660" s="72"/>
      <c r="B7660" s="72"/>
      <c r="C7660" s="72"/>
      <c r="D7660" s="72"/>
      <c r="E7660" s="72"/>
    </row>
    <row r="7661">
      <c r="A7661" s="72"/>
      <c r="B7661" s="72"/>
      <c r="C7661" s="72"/>
      <c r="D7661" s="72"/>
      <c r="E7661" s="72"/>
    </row>
    <row r="7662">
      <c r="A7662" s="72"/>
      <c r="B7662" s="72"/>
      <c r="C7662" s="72"/>
      <c r="D7662" s="72"/>
      <c r="E7662" s="72"/>
    </row>
    <row r="7663">
      <c r="A7663" s="72"/>
      <c r="B7663" s="72"/>
      <c r="C7663" s="72"/>
      <c r="D7663" s="72"/>
      <c r="E7663" s="72"/>
    </row>
    <row r="7664">
      <c r="A7664" s="72"/>
      <c r="B7664" s="72"/>
      <c r="C7664" s="72"/>
      <c r="D7664" s="72"/>
      <c r="E7664" s="72"/>
    </row>
    <row r="7665">
      <c r="A7665" s="72"/>
      <c r="B7665" s="72"/>
      <c r="C7665" s="72"/>
      <c r="D7665" s="72"/>
      <c r="E7665" s="72"/>
    </row>
    <row r="7666">
      <c r="A7666" s="72"/>
      <c r="B7666" s="72"/>
      <c r="C7666" s="72"/>
      <c r="D7666" s="72"/>
      <c r="E7666" s="72"/>
    </row>
    <row r="7667">
      <c r="A7667" s="72"/>
      <c r="B7667" s="72"/>
      <c r="C7667" s="72"/>
      <c r="D7667" s="72"/>
      <c r="E7667" s="72"/>
    </row>
    <row r="7668">
      <c r="A7668" s="72"/>
      <c r="B7668" s="72"/>
      <c r="C7668" s="72"/>
      <c r="D7668" s="72"/>
      <c r="E7668" s="72"/>
    </row>
    <row r="7669">
      <c r="A7669" s="72"/>
      <c r="B7669" s="72"/>
      <c r="C7669" s="72"/>
      <c r="D7669" s="72"/>
      <c r="E7669" s="72"/>
    </row>
    <row r="7670">
      <c r="A7670" s="72"/>
      <c r="B7670" s="72"/>
      <c r="C7670" s="72"/>
      <c r="D7670" s="72"/>
      <c r="E7670" s="72"/>
    </row>
    <row r="7671">
      <c r="A7671" s="72"/>
      <c r="B7671" s="72"/>
      <c r="C7671" s="72"/>
      <c r="D7671" s="72"/>
      <c r="E7671" s="72"/>
    </row>
    <row r="7672">
      <c r="A7672" s="72"/>
      <c r="B7672" s="72"/>
      <c r="C7672" s="72"/>
      <c r="D7672" s="72"/>
      <c r="E7672" s="72"/>
    </row>
    <row r="7673">
      <c r="A7673" s="72"/>
      <c r="B7673" s="72"/>
      <c r="C7673" s="72"/>
      <c r="D7673" s="72"/>
      <c r="E7673" s="72"/>
    </row>
    <row r="7674">
      <c r="A7674" s="72"/>
      <c r="B7674" s="72"/>
      <c r="C7674" s="72"/>
      <c r="D7674" s="72"/>
      <c r="E7674" s="72"/>
    </row>
    <row r="7675">
      <c r="A7675" s="72"/>
      <c r="B7675" s="72"/>
      <c r="C7675" s="72"/>
      <c r="D7675" s="72"/>
      <c r="E7675" s="72"/>
    </row>
    <row r="7676">
      <c r="A7676" s="72"/>
      <c r="B7676" s="72"/>
      <c r="C7676" s="72"/>
      <c r="D7676" s="72"/>
      <c r="E7676" s="72"/>
    </row>
    <row r="7677">
      <c r="A7677" s="72"/>
      <c r="B7677" s="72"/>
      <c r="C7677" s="72"/>
      <c r="D7677" s="72"/>
      <c r="E7677" s="72"/>
    </row>
    <row r="7678">
      <c r="A7678" s="72"/>
      <c r="B7678" s="72"/>
      <c r="C7678" s="72"/>
      <c r="D7678" s="72"/>
      <c r="E7678" s="72"/>
    </row>
    <row r="7679">
      <c r="A7679" s="72"/>
      <c r="B7679" s="72"/>
      <c r="C7679" s="72"/>
      <c r="D7679" s="72"/>
      <c r="E7679" s="72"/>
    </row>
    <row r="7680">
      <c r="A7680" s="72"/>
      <c r="B7680" s="72"/>
      <c r="C7680" s="72"/>
      <c r="D7680" s="72"/>
      <c r="E7680" s="72"/>
    </row>
    <row r="7681">
      <c r="A7681" s="72"/>
      <c r="B7681" s="72"/>
      <c r="C7681" s="72"/>
      <c r="D7681" s="72"/>
      <c r="E7681" s="72"/>
    </row>
    <row r="7682">
      <c r="A7682" s="72"/>
      <c r="B7682" s="72"/>
      <c r="C7682" s="72"/>
      <c r="D7682" s="72"/>
      <c r="E7682" s="72"/>
    </row>
    <row r="7683">
      <c r="A7683" s="72"/>
      <c r="B7683" s="72"/>
      <c r="C7683" s="72"/>
      <c r="D7683" s="72"/>
      <c r="E7683" s="72"/>
    </row>
    <row r="7684">
      <c r="A7684" s="72"/>
      <c r="B7684" s="72"/>
      <c r="C7684" s="72"/>
      <c r="D7684" s="72"/>
      <c r="E7684" s="72"/>
    </row>
    <row r="7685">
      <c r="A7685" s="72"/>
      <c r="B7685" s="72"/>
      <c r="C7685" s="72"/>
      <c r="D7685" s="72"/>
      <c r="E7685" s="72"/>
    </row>
    <row r="7686">
      <c r="A7686" s="72"/>
      <c r="B7686" s="72"/>
      <c r="C7686" s="72"/>
      <c r="D7686" s="72"/>
      <c r="E7686" s="72"/>
    </row>
    <row r="7687">
      <c r="A7687" s="72"/>
      <c r="B7687" s="72"/>
      <c r="C7687" s="72"/>
      <c r="D7687" s="72"/>
      <c r="E7687" s="72"/>
    </row>
    <row r="7688">
      <c r="A7688" s="72"/>
      <c r="B7688" s="72"/>
      <c r="C7688" s="72"/>
      <c r="D7688" s="72"/>
      <c r="E7688" s="72"/>
    </row>
    <row r="7689">
      <c r="A7689" s="72"/>
      <c r="B7689" s="72"/>
      <c r="C7689" s="72"/>
      <c r="D7689" s="72"/>
      <c r="E7689" s="72"/>
    </row>
    <row r="7690">
      <c r="A7690" s="72"/>
      <c r="B7690" s="72"/>
      <c r="C7690" s="72"/>
      <c r="D7690" s="72"/>
      <c r="E7690" s="72"/>
    </row>
    <row r="7691">
      <c r="A7691" s="72"/>
      <c r="B7691" s="72"/>
      <c r="C7691" s="72"/>
      <c r="D7691" s="72"/>
      <c r="E7691" s="72"/>
    </row>
    <row r="7692">
      <c r="A7692" s="72"/>
      <c r="B7692" s="72"/>
      <c r="C7692" s="72"/>
      <c r="D7692" s="72"/>
      <c r="E7692" s="72"/>
    </row>
    <row r="7693">
      <c r="A7693" s="72"/>
      <c r="B7693" s="72"/>
      <c r="C7693" s="72"/>
      <c r="D7693" s="72"/>
      <c r="E7693" s="72"/>
    </row>
    <row r="7694">
      <c r="A7694" s="72"/>
      <c r="B7694" s="72"/>
      <c r="C7694" s="72"/>
      <c r="D7694" s="72"/>
      <c r="E7694" s="72"/>
    </row>
    <row r="7695">
      <c r="A7695" s="72"/>
      <c r="B7695" s="72"/>
      <c r="C7695" s="72"/>
      <c r="D7695" s="72"/>
      <c r="E7695" s="72"/>
    </row>
    <row r="7696">
      <c r="A7696" s="72"/>
      <c r="B7696" s="72"/>
      <c r="C7696" s="72"/>
      <c r="D7696" s="72"/>
      <c r="E7696" s="72"/>
    </row>
    <row r="7697">
      <c r="A7697" s="72"/>
      <c r="B7697" s="72"/>
      <c r="C7697" s="72"/>
      <c r="D7697" s="72"/>
      <c r="E7697" s="72"/>
    </row>
    <row r="7698">
      <c r="A7698" s="72"/>
      <c r="B7698" s="72"/>
      <c r="C7698" s="72"/>
      <c r="D7698" s="72"/>
      <c r="E7698" s="72"/>
    </row>
    <row r="7699">
      <c r="A7699" s="72"/>
      <c r="B7699" s="72"/>
      <c r="C7699" s="72"/>
      <c r="D7699" s="72"/>
      <c r="E7699" s="72"/>
    </row>
    <row r="7700">
      <c r="A7700" s="72"/>
      <c r="B7700" s="72"/>
      <c r="C7700" s="72"/>
      <c r="D7700" s="72"/>
      <c r="E7700" s="72"/>
    </row>
    <row r="7701">
      <c r="A7701" s="72"/>
      <c r="B7701" s="72"/>
      <c r="C7701" s="72"/>
      <c r="D7701" s="72"/>
      <c r="E7701" s="72"/>
    </row>
    <row r="7702">
      <c r="A7702" s="72"/>
      <c r="B7702" s="72"/>
      <c r="C7702" s="72"/>
      <c r="D7702" s="72"/>
      <c r="E7702" s="72"/>
    </row>
    <row r="7703">
      <c r="A7703" s="72"/>
      <c r="B7703" s="72"/>
      <c r="C7703" s="72"/>
      <c r="D7703" s="72"/>
      <c r="E7703" s="72"/>
    </row>
    <row r="7704">
      <c r="A7704" s="72"/>
      <c r="B7704" s="72"/>
      <c r="C7704" s="72"/>
      <c r="D7704" s="72"/>
      <c r="E7704" s="72"/>
    </row>
    <row r="7705">
      <c r="A7705" s="72"/>
      <c r="B7705" s="72"/>
      <c r="C7705" s="72"/>
      <c r="D7705" s="72"/>
      <c r="E7705" s="72"/>
    </row>
    <row r="7706">
      <c r="A7706" s="72"/>
      <c r="B7706" s="72"/>
      <c r="C7706" s="72"/>
      <c r="D7706" s="72"/>
      <c r="E7706" s="72"/>
    </row>
    <row r="7707">
      <c r="A7707" s="72"/>
      <c r="B7707" s="72"/>
      <c r="C7707" s="72"/>
      <c r="D7707" s="72"/>
      <c r="E7707" s="72"/>
    </row>
    <row r="7708">
      <c r="A7708" s="72"/>
      <c r="B7708" s="72"/>
      <c r="C7708" s="72"/>
      <c r="D7708" s="72"/>
      <c r="E7708" s="72"/>
    </row>
    <row r="7709">
      <c r="A7709" s="72"/>
      <c r="B7709" s="72"/>
      <c r="C7709" s="72"/>
      <c r="D7709" s="72"/>
      <c r="E7709" s="72"/>
    </row>
    <row r="7710">
      <c r="A7710" s="72"/>
      <c r="B7710" s="72"/>
      <c r="C7710" s="72"/>
      <c r="D7710" s="72"/>
      <c r="E7710" s="72"/>
    </row>
    <row r="7711">
      <c r="A7711" s="72"/>
      <c r="B7711" s="72"/>
      <c r="C7711" s="72"/>
      <c r="D7711" s="72"/>
      <c r="E7711" s="72"/>
    </row>
    <row r="7712">
      <c r="A7712" s="72"/>
      <c r="B7712" s="72"/>
      <c r="C7712" s="72"/>
      <c r="D7712" s="72"/>
      <c r="E7712" s="72"/>
    </row>
    <row r="7713">
      <c r="A7713" s="72"/>
      <c r="B7713" s="72"/>
      <c r="C7713" s="72"/>
      <c r="D7713" s="72"/>
      <c r="E7713" s="72"/>
    </row>
    <row r="7714">
      <c r="A7714" s="72"/>
      <c r="B7714" s="72"/>
      <c r="C7714" s="72"/>
      <c r="D7714" s="72"/>
      <c r="E7714" s="72"/>
    </row>
    <row r="7715">
      <c r="A7715" s="72"/>
      <c r="B7715" s="72"/>
      <c r="C7715" s="72"/>
      <c r="D7715" s="72"/>
      <c r="E7715" s="72"/>
    </row>
    <row r="7716">
      <c r="A7716" s="72"/>
      <c r="B7716" s="72"/>
      <c r="C7716" s="72"/>
      <c r="D7716" s="72"/>
      <c r="E7716" s="72"/>
    </row>
    <row r="7717">
      <c r="A7717" s="72"/>
      <c r="B7717" s="72"/>
      <c r="C7717" s="72"/>
      <c r="D7717" s="72"/>
      <c r="E7717" s="72"/>
    </row>
    <row r="7718">
      <c r="A7718" s="72"/>
      <c r="B7718" s="72"/>
      <c r="C7718" s="72"/>
      <c r="D7718" s="72"/>
      <c r="E7718" s="72"/>
    </row>
    <row r="7719">
      <c r="A7719" s="72"/>
      <c r="B7719" s="72"/>
      <c r="C7719" s="72"/>
      <c r="D7719" s="72"/>
      <c r="E7719" s="72"/>
    </row>
    <row r="7720">
      <c r="A7720" s="72"/>
      <c r="B7720" s="72"/>
      <c r="C7720" s="72"/>
      <c r="D7720" s="72"/>
      <c r="E7720" s="72"/>
    </row>
    <row r="7721">
      <c r="A7721" s="72"/>
      <c r="B7721" s="72"/>
      <c r="C7721" s="72"/>
      <c r="D7721" s="72"/>
      <c r="E7721" s="72"/>
    </row>
    <row r="7722">
      <c r="A7722" s="72"/>
      <c r="B7722" s="72"/>
      <c r="C7722" s="72"/>
      <c r="D7722" s="72"/>
      <c r="E7722" s="72"/>
    </row>
    <row r="7723">
      <c r="A7723" s="72"/>
      <c r="B7723" s="72"/>
      <c r="C7723" s="72"/>
      <c r="D7723" s="72"/>
      <c r="E7723" s="72"/>
    </row>
    <row r="7724">
      <c r="A7724" s="72"/>
      <c r="B7724" s="72"/>
      <c r="C7724" s="72"/>
      <c r="D7724" s="72"/>
      <c r="E7724" s="72"/>
    </row>
    <row r="7725">
      <c r="A7725" s="72"/>
      <c r="B7725" s="72"/>
      <c r="C7725" s="72"/>
      <c r="D7725" s="72"/>
      <c r="E7725" s="72"/>
    </row>
    <row r="7726">
      <c r="A7726" s="72"/>
      <c r="B7726" s="72"/>
      <c r="C7726" s="72"/>
      <c r="D7726" s="72"/>
      <c r="E7726" s="72"/>
    </row>
    <row r="7727">
      <c r="A7727" s="72"/>
      <c r="B7727" s="72"/>
      <c r="C7727" s="72"/>
      <c r="D7727" s="72"/>
      <c r="E7727" s="72"/>
    </row>
    <row r="7728">
      <c r="A7728" s="72"/>
      <c r="B7728" s="72"/>
      <c r="C7728" s="72"/>
      <c r="D7728" s="72"/>
      <c r="E7728" s="72"/>
    </row>
    <row r="7729">
      <c r="A7729" s="72"/>
      <c r="B7729" s="72"/>
      <c r="C7729" s="72"/>
      <c r="D7729" s="72"/>
      <c r="E7729" s="72"/>
    </row>
    <row r="7730">
      <c r="A7730" s="72"/>
      <c r="B7730" s="72"/>
      <c r="C7730" s="72"/>
      <c r="D7730" s="72"/>
      <c r="E7730" s="72"/>
    </row>
    <row r="7731">
      <c r="A7731" s="72"/>
      <c r="B7731" s="72"/>
      <c r="C7731" s="72"/>
      <c r="D7731" s="72"/>
      <c r="E7731" s="72"/>
    </row>
    <row r="7732">
      <c r="A7732" s="72"/>
      <c r="B7732" s="72"/>
      <c r="C7732" s="72"/>
      <c r="D7732" s="72"/>
      <c r="E7732" s="72"/>
    </row>
    <row r="7733">
      <c r="A7733" s="72"/>
      <c r="B7733" s="72"/>
      <c r="C7733" s="72"/>
      <c r="D7733" s="72"/>
      <c r="E7733" s="72"/>
    </row>
    <row r="7734">
      <c r="A7734" s="72"/>
      <c r="B7734" s="72"/>
      <c r="C7734" s="72"/>
      <c r="D7734" s="72"/>
      <c r="E7734" s="72"/>
    </row>
    <row r="7735">
      <c r="A7735" s="72"/>
      <c r="B7735" s="72"/>
      <c r="C7735" s="72"/>
      <c r="D7735" s="72"/>
      <c r="E7735" s="72"/>
    </row>
    <row r="7736">
      <c r="A7736" s="72"/>
      <c r="B7736" s="72"/>
      <c r="C7736" s="72"/>
      <c r="D7736" s="72"/>
      <c r="E7736" s="72"/>
    </row>
    <row r="7737">
      <c r="A7737" s="72"/>
      <c r="B7737" s="72"/>
      <c r="C7737" s="72"/>
      <c r="D7737" s="72"/>
      <c r="E7737" s="72"/>
    </row>
    <row r="7738">
      <c r="A7738" s="72"/>
      <c r="B7738" s="72"/>
      <c r="C7738" s="72"/>
      <c r="D7738" s="72"/>
      <c r="E7738" s="72"/>
    </row>
    <row r="7739">
      <c r="A7739" s="72"/>
      <c r="B7739" s="72"/>
      <c r="C7739" s="72"/>
      <c r="D7739" s="72"/>
      <c r="E7739" s="72"/>
    </row>
    <row r="7740">
      <c r="A7740" s="72"/>
      <c r="B7740" s="72"/>
      <c r="C7740" s="72"/>
      <c r="D7740" s="72"/>
      <c r="E7740" s="72"/>
    </row>
    <row r="7741">
      <c r="A7741" s="72"/>
      <c r="B7741" s="72"/>
      <c r="C7741" s="72"/>
      <c r="D7741" s="72"/>
      <c r="E7741" s="72"/>
    </row>
    <row r="7742">
      <c r="A7742" s="72"/>
      <c r="B7742" s="72"/>
      <c r="C7742" s="72"/>
      <c r="D7742" s="72"/>
      <c r="E7742" s="72"/>
    </row>
    <row r="7743">
      <c r="A7743" s="72"/>
      <c r="B7743" s="72"/>
      <c r="C7743" s="72"/>
      <c r="D7743" s="72"/>
      <c r="E7743" s="72"/>
    </row>
    <row r="7744">
      <c r="A7744" s="72"/>
      <c r="B7744" s="72"/>
      <c r="C7744" s="72"/>
      <c r="D7744" s="72"/>
      <c r="E7744" s="72"/>
    </row>
    <row r="7745">
      <c r="A7745" s="72"/>
      <c r="B7745" s="72"/>
      <c r="C7745" s="72"/>
      <c r="D7745" s="72"/>
      <c r="E7745" s="72"/>
    </row>
    <row r="7746">
      <c r="A7746" s="72"/>
      <c r="B7746" s="72"/>
      <c r="C7746" s="72"/>
      <c r="D7746" s="72"/>
      <c r="E7746" s="72"/>
    </row>
    <row r="7747">
      <c r="A7747" s="72"/>
      <c r="B7747" s="72"/>
      <c r="C7747" s="72"/>
      <c r="D7747" s="72"/>
      <c r="E7747" s="72"/>
    </row>
    <row r="7748">
      <c r="A7748" s="72"/>
      <c r="B7748" s="72"/>
      <c r="C7748" s="72"/>
      <c r="D7748" s="72"/>
      <c r="E7748" s="72"/>
    </row>
    <row r="7749">
      <c r="A7749" s="72"/>
      <c r="B7749" s="72"/>
      <c r="C7749" s="72"/>
      <c r="D7749" s="72"/>
      <c r="E7749" s="72"/>
    </row>
    <row r="7750">
      <c r="A7750" s="72"/>
      <c r="B7750" s="72"/>
      <c r="C7750" s="72"/>
      <c r="D7750" s="72"/>
      <c r="E7750" s="72"/>
    </row>
    <row r="7751">
      <c r="A7751" s="72"/>
      <c r="B7751" s="72"/>
      <c r="C7751" s="72"/>
      <c r="D7751" s="72"/>
      <c r="E7751" s="72"/>
    </row>
    <row r="7752">
      <c r="A7752" s="72"/>
      <c r="B7752" s="72"/>
      <c r="C7752" s="72"/>
      <c r="D7752" s="72"/>
      <c r="E7752" s="72"/>
    </row>
    <row r="7753">
      <c r="A7753" s="72"/>
      <c r="B7753" s="72"/>
      <c r="C7753" s="72"/>
      <c r="D7753" s="72"/>
      <c r="E7753" s="72"/>
    </row>
    <row r="7754">
      <c r="A7754" s="72"/>
      <c r="B7754" s="72"/>
      <c r="C7754" s="72"/>
      <c r="D7754" s="72"/>
      <c r="E7754" s="72"/>
    </row>
    <row r="7755">
      <c r="A7755" s="72"/>
      <c r="B7755" s="72"/>
      <c r="C7755" s="72"/>
      <c r="D7755" s="72"/>
      <c r="E7755" s="72"/>
    </row>
    <row r="7756">
      <c r="A7756" s="72"/>
      <c r="B7756" s="72"/>
      <c r="C7756" s="72"/>
      <c r="D7756" s="72"/>
      <c r="E7756" s="72"/>
    </row>
    <row r="7757">
      <c r="A7757" s="72"/>
      <c r="B7757" s="72"/>
      <c r="C7757" s="72"/>
      <c r="D7757" s="72"/>
      <c r="E7757" s="72"/>
    </row>
    <row r="7758">
      <c r="A7758" s="72"/>
      <c r="B7758" s="72"/>
      <c r="C7758" s="72"/>
      <c r="D7758" s="72"/>
      <c r="E7758" s="72"/>
    </row>
    <row r="7759">
      <c r="A7759" s="72"/>
      <c r="B7759" s="72"/>
      <c r="C7759" s="72"/>
      <c r="D7759" s="72"/>
      <c r="E7759" s="72"/>
    </row>
    <row r="7760">
      <c r="A7760" s="72"/>
      <c r="B7760" s="72"/>
      <c r="C7760" s="72"/>
      <c r="D7760" s="72"/>
      <c r="E7760" s="72"/>
    </row>
    <row r="7761">
      <c r="A7761" s="72"/>
      <c r="B7761" s="72"/>
      <c r="C7761" s="72"/>
      <c r="D7761" s="72"/>
      <c r="E7761" s="72"/>
    </row>
    <row r="7762">
      <c r="A7762" s="72"/>
      <c r="B7762" s="72"/>
      <c r="C7762" s="72"/>
      <c r="D7762" s="72"/>
      <c r="E7762" s="72"/>
    </row>
    <row r="7763">
      <c r="A7763" s="72"/>
      <c r="B7763" s="72"/>
      <c r="C7763" s="72"/>
      <c r="D7763" s="72"/>
      <c r="E7763" s="72"/>
    </row>
    <row r="7764">
      <c r="A7764" s="72"/>
      <c r="B7764" s="72"/>
      <c r="C7764" s="72"/>
      <c r="D7764" s="72"/>
      <c r="E7764" s="72"/>
    </row>
    <row r="7765">
      <c r="A7765" s="72"/>
      <c r="B7765" s="72"/>
      <c r="C7765" s="72"/>
      <c r="D7765" s="72"/>
      <c r="E7765" s="72"/>
    </row>
    <row r="7766">
      <c r="A7766" s="72"/>
      <c r="B7766" s="72"/>
      <c r="C7766" s="72"/>
      <c r="D7766" s="72"/>
      <c r="E7766" s="72"/>
    </row>
    <row r="7767">
      <c r="A7767" s="72"/>
      <c r="B7767" s="72"/>
      <c r="C7767" s="72"/>
      <c r="D7767" s="72"/>
      <c r="E7767" s="72"/>
    </row>
    <row r="7768">
      <c r="A7768" s="72"/>
      <c r="B7768" s="72"/>
      <c r="C7768" s="72"/>
      <c r="D7768" s="72"/>
      <c r="E7768" s="72"/>
    </row>
    <row r="7769">
      <c r="A7769" s="72"/>
      <c r="B7769" s="72"/>
      <c r="C7769" s="72"/>
      <c r="D7769" s="72"/>
      <c r="E7769" s="72"/>
    </row>
    <row r="7770">
      <c r="A7770" s="72"/>
      <c r="B7770" s="72"/>
      <c r="C7770" s="72"/>
      <c r="D7770" s="72"/>
      <c r="E7770" s="72"/>
    </row>
    <row r="7771">
      <c r="A7771" s="72"/>
      <c r="B7771" s="72"/>
      <c r="C7771" s="72"/>
      <c r="D7771" s="72"/>
      <c r="E7771" s="72"/>
    </row>
    <row r="7772">
      <c r="A7772" s="72"/>
      <c r="B7772" s="72"/>
      <c r="C7772" s="72"/>
      <c r="D7772" s="72"/>
      <c r="E7772" s="72"/>
    </row>
    <row r="7773">
      <c r="A7773" s="72"/>
      <c r="B7773" s="72"/>
      <c r="C7773" s="72"/>
      <c r="D7773" s="72"/>
      <c r="E7773" s="72"/>
    </row>
    <row r="7774">
      <c r="A7774" s="72"/>
      <c r="B7774" s="72"/>
      <c r="C7774" s="72"/>
      <c r="D7774" s="72"/>
      <c r="E7774" s="72"/>
    </row>
    <row r="7775">
      <c r="A7775" s="72"/>
      <c r="B7775" s="72"/>
      <c r="C7775" s="72"/>
      <c r="D7775" s="72"/>
      <c r="E7775" s="72"/>
    </row>
    <row r="7776">
      <c r="A7776" s="72"/>
      <c r="B7776" s="72"/>
      <c r="C7776" s="72"/>
      <c r="D7776" s="72"/>
      <c r="E7776" s="72"/>
    </row>
    <row r="7777">
      <c r="A7777" s="72"/>
      <c r="B7777" s="72"/>
      <c r="C7777" s="72"/>
      <c r="D7777" s="72"/>
      <c r="E7777" s="72"/>
    </row>
    <row r="7778">
      <c r="A7778" s="72"/>
      <c r="B7778" s="72"/>
      <c r="C7778" s="72"/>
      <c r="D7778" s="72"/>
      <c r="E7778" s="72"/>
    </row>
    <row r="7779">
      <c r="A7779" s="72"/>
      <c r="B7779" s="72"/>
      <c r="C7779" s="72"/>
      <c r="D7779" s="72"/>
      <c r="E7779" s="72"/>
    </row>
    <row r="7780">
      <c r="A7780" s="72"/>
      <c r="B7780" s="72"/>
      <c r="C7780" s="72"/>
      <c r="D7780" s="72"/>
      <c r="E7780" s="72"/>
    </row>
    <row r="7781">
      <c r="A7781" s="72"/>
      <c r="B7781" s="72"/>
      <c r="C7781" s="72"/>
      <c r="D7781" s="72"/>
      <c r="E7781" s="72"/>
    </row>
    <row r="7782">
      <c r="A7782" s="72"/>
      <c r="B7782" s="72"/>
      <c r="C7782" s="72"/>
      <c r="D7782" s="72"/>
      <c r="E7782" s="72"/>
    </row>
    <row r="7783">
      <c r="A7783" s="72"/>
      <c r="B7783" s="72"/>
      <c r="C7783" s="72"/>
      <c r="D7783" s="72"/>
      <c r="E7783" s="72"/>
    </row>
    <row r="7784">
      <c r="A7784" s="72"/>
      <c r="B7784" s="72"/>
      <c r="C7784" s="72"/>
      <c r="D7784" s="72"/>
      <c r="E7784" s="72"/>
    </row>
    <row r="7785">
      <c r="A7785" s="72"/>
      <c r="B7785" s="72"/>
      <c r="C7785" s="72"/>
      <c r="D7785" s="72"/>
      <c r="E7785" s="72"/>
    </row>
    <row r="7786">
      <c r="A7786" s="72"/>
      <c r="B7786" s="72"/>
      <c r="C7786" s="72"/>
      <c r="D7786" s="72"/>
      <c r="E7786" s="72"/>
    </row>
    <row r="7787">
      <c r="A7787" s="72"/>
      <c r="B7787" s="72"/>
      <c r="C7787" s="72"/>
      <c r="D7787" s="72"/>
      <c r="E7787" s="72"/>
    </row>
    <row r="7788">
      <c r="A7788" s="72"/>
      <c r="B7788" s="72"/>
      <c r="C7788" s="72"/>
      <c r="D7788" s="72"/>
      <c r="E7788" s="72"/>
    </row>
    <row r="7789">
      <c r="A7789" s="72"/>
      <c r="B7789" s="72"/>
      <c r="C7789" s="72"/>
      <c r="D7789" s="72"/>
      <c r="E7789" s="72"/>
    </row>
    <row r="7790">
      <c r="A7790" s="72"/>
      <c r="B7790" s="72"/>
      <c r="C7790" s="72"/>
      <c r="D7790" s="72"/>
      <c r="E7790" s="72"/>
    </row>
    <row r="7791">
      <c r="A7791" s="72"/>
      <c r="B7791" s="72"/>
      <c r="C7791" s="72"/>
      <c r="D7791" s="72"/>
      <c r="E7791" s="72"/>
    </row>
    <row r="7792">
      <c r="A7792" s="72"/>
      <c r="B7792" s="72"/>
      <c r="C7792" s="72"/>
      <c r="D7792" s="72"/>
      <c r="E7792" s="72"/>
    </row>
    <row r="7793">
      <c r="A7793" s="72"/>
      <c r="B7793" s="72"/>
      <c r="C7793" s="72"/>
      <c r="D7793" s="72"/>
      <c r="E7793" s="72"/>
    </row>
    <row r="7794">
      <c r="A7794" s="72"/>
      <c r="B7794" s="72"/>
      <c r="C7794" s="72"/>
      <c r="D7794" s="72"/>
      <c r="E7794" s="72"/>
    </row>
    <row r="7795">
      <c r="A7795" s="72"/>
      <c r="B7795" s="72"/>
      <c r="C7795" s="72"/>
      <c r="D7795" s="72"/>
      <c r="E7795" s="72"/>
    </row>
    <row r="7796">
      <c r="A7796" s="72"/>
      <c r="B7796" s="72"/>
      <c r="C7796" s="72"/>
      <c r="D7796" s="72"/>
      <c r="E7796" s="72"/>
    </row>
    <row r="7797">
      <c r="A7797" s="72"/>
      <c r="B7797" s="72"/>
      <c r="C7797" s="72"/>
      <c r="D7797" s="72"/>
      <c r="E7797" s="72"/>
    </row>
    <row r="7798">
      <c r="A7798" s="72"/>
      <c r="B7798" s="72"/>
      <c r="C7798" s="72"/>
      <c r="D7798" s="72"/>
      <c r="E7798" s="72"/>
    </row>
    <row r="7799">
      <c r="A7799" s="72"/>
      <c r="B7799" s="72"/>
      <c r="C7799" s="72"/>
      <c r="D7799" s="72"/>
      <c r="E7799" s="72"/>
    </row>
    <row r="7800">
      <c r="A7800" s="72"/>
      <c r="B7800" s="72"/>
      <c r="C7800" s="72"/>
      <c r="D7800" s="72"/>
      <c r="E7800" s="72"/>
    </row>
    <row r="7801">
      <c r="A7801" s="72"/>
      <c r="B7801" s="72"/>
      <c r="C7801" s="72"/>
      <c r="D7801" s="72"/>
      <c r="E7801" s="72"/>
    </row>
    <row r="7802">
      <c r="A7802" s="72"/>
      <c r="B7802" s="72"/>
      <c r="C7802" s="72"/>
      <c r="D7802" s="72"/>
      <c r="E7802" s="72"/>
    </row>
    <row r="7803">
      <c r="A7803" s="72"/>
      <c r="B7803" s="72"/>
      <c r="C7803" s="72"/>
      <c r="D7803" s="72"/>
      <c r="E7803" s="72"/>
    </row>
    <row r="7804">
      <c r="A7804" s="72"/>
      <c r="B7804" s="72"/>
      <c r="C7804" s="72"/>
      <c r="D7804" s="72"/>
      <c r="E7804" s="72"/>
    </row>
    <row r="7805">
      <c r="A7805" s="72"/>
      <c r="B7805" s="72"/>
      <c r="C7805" s="72"/>
      <c r="D7805" s="72"/>
      <c r="E7805" s="72"/>
    </row>
    <row r="7806">
      <c r="A7806" s="72"/>
      <c r="B7806" s="72"/>
      <c r="C7806" s="72"/>
      <c r="D7806" s="72"/>
      <c r="E7806" s="72"/>
    </row>
    <row r="7807">
      <c r="A7807" s="72"/>
      <c r="B7807" s="72"/>
      <c r="C7807" s="72"/>
      <c r="D7807" s="72"/>
      <c r="E7807" s="72"/>
    </row>
    <row r="7808">
      <c r="A7808" s="72"/>
      <c r="B7808" s="72"/>
      <c r="C7808" s="72"/>
      <c r="D7808" s="72"/>
      <c r="E7808" s="72"/>
    </row>
    <row r="7809">
      <c r="A7809" s="72"/>
      <c r="B7809" s="72"/>
      <c r="C7809" s="72"/>
      <c r="D7809" s="72"/>
      <c r="E7809" s="72"/>
    </row>
    <row r="7810">
      <c r="A7810" s="72"/>
      <c r="B7810" s="72"/>
      <c r="C7810" s="72"/>
      <c r="D7810" s="72"/>
      <c r="E7810" s="72"/>
    </row>
    <row r="7811">
      <c r="A7811" s="72"/>
      <c r="B7811" s="72"/>
      <c r="C7811" s="72"/>
      <c r="D7811" s="72"/>
      <c r="E7811" s="72"/>
    </row>
    <row r="7812">
      <c r="A7812" s="72"/>
      <c r="B7812" s="72"/>
      <c r="C7812" s="72"/>
      <c r="D7812" s="72"/>
      <c r="E7812" s="72"/>
    </row>
    <row r="7813">
      <c r="A7813" s="72"/>
      <c r="B7813" s="72"/>
      <c r="C7813" s="72"/>
      <c r="D7813" s="72"/>
      <c r="E7813" s="72"/>
    </row>
    <row r="7814">
      <c r="A7814" s="72"/>
      <c r="B7814" s="72"/>
      <c r="C7814" s="72"/>
      <c r="D7814" s="72"/>
      <c r="E7814" s="72"/>
    </row>
    <row r="7815">
      <c r="A7815" s="72"/>
      <c r="B7815" s="72"/>
      <c r="C7815" s="72"/>
      <c r="D7815" s="72"/>
      <c r="E7815" s="72"/>
    </row>
    <row r="7816">
      <c r="A7816" s="72"/>
      <c r="B7816" s="72"/>
      <c r="C7816" s="72"/>
      <c r="D7816" s="72"/>
      <c r="E7816" s="72"/>
    </row>
    <row r="7817">
      <c r="A7817" s="72"/>
      <c r="B7817" s="72"/>
      <c r="C7817" s="72"/>
      <c r="D7817" s="72"/>
      <c r="E7817" s="72"/>
    </row>
    <row r="7818">
      <c r="A7818" s="72"/>
      <c r="B7818" s="72"/>
      <c r="C7818" s="72"/>
      <c r="D7818" s="72"/>
      <c r="E7818" s="72"/>
    </row>
    <row r="7819">
      <c r="A7819" s="72"/>
      <c r="B7819" s="72"/>
      <c r="C7819" s="72"/>
      <c r="D7819" s="72"/>
      <c r="E7819" s="72"/>
    </row>
    <row r="7820">
      <c r="A7820" s="72"/>
      <c r="B7820" s="72"/>
      <c r="C7820" s="72"/>
      <c r="D7820" s="72"/>
      <c r="E7820" s="72"/>
    </row>
    <row r="7821">
      <c r="A7821" s="72"/>
      <c r="B7821" s="72"/>
      <c r="C7821" s="72"/>
      <c r="D7821" s="72"/>
      <c r="E7821" s="72"/>
    </row>
    <row r="7822">
      <c r="A7822" s="72"/>
      <c r="B7822" s="72"/>
      <c r="C7822" s="72"/>
      <c r="D7822" s="72"/>
      <c r="E7822" s="72"/>
    </row>
    <row r="7823">
      <c r="A7823" s="72"/>
      <c r="B7823" s="72"/>
      <c r="C7823" s="72"/>
      <c r="D7823" s="72"/>
      <c r="E7823" s="72"/>
    </row>
    <row r="7824">
      <c r="A7824" s="72"/>
      <c r="B7824" s="72"/>
      <c r="C7824" s="72"/>
      <c r="D7824" s="72"/>
      <c r="E7824" s="72"/>
    </row>
    <row r="7825">
      <c r="A7825" s="72"/>
      <c r="B7825" s="72"/>
      <c r="C7825" s="72"/>
      <c r="D7825" s="72"/>
      <c r="E7825" s="72"/>
    </row>
    <row r="7826">
      <c r="A7826" s="72"/>
      <c r="B7826" s="72"/>
      <c r="C7826" s="72"/>
      <c r="D7826" s="72"/>
      <c r="E7826" s="72"/>
    </row>
    <row r="7827">
      <c r="A7827" s="72"/>
      <c r="B7827" s="72"/>
      <c r="C7827" s="72"/>
      <c r="D7827" s="72"/>
      <c r="E7827" s="72"/>
    </row>
    <row r="7828">
      <c r="A7828" s="72"/>
      <c r="B7828" s="72"/>
      <c r="C7828" s="72"/>
      <c r="D7828" s="72"/>
      <c r="E7828" s="72"/>
    </row>
    <row r="7829">
      <c r="A7829" s="72"/>
      <c r="B7829" s="72"/>
      <c r="C7829" s="72"/>
      <c r="D7829" s="72"/>
      <c r="E7829" s="72"/>
    </row>
    <row r="7830">
      <c r="A7830" s="72"/>
      <c r="B7830" s="72"/>
      <c r="C7830" s="72"/>
      <c r="D7830" s="72"/>
      <c r="E7830" s="72"/>
    </row>
    <row r="7831">
      <c r="A7831" s="72"/>
      <c r="B7831" s="72"/>
      <c r="C7831" s="72"/>
      <c r="D7831" s="72"/>
      <c r="E7831" s="72"/>
    </row>
    <row r="7832">
      <c r="A7832" s="72"/>
      <c r="B7832" s="72"/>
      <c r="C7832" s="72"/>
      <c r="D7832" s="72"/>
      <c r="E7832" s="72"/>
    </row>
    <row r="7833">
      <c r="A7833" s="72"/>
      <c r="B7833" s="72"/>
      <c r="C7833" s="72"/>
      <c r="D7833" s="72"/>
      <c r="E7833" s="72"/>
    </row>
    <row r="7834">
      <c r="A7834" s="72"/>
      <c r="B7834" s="72"/>
      <c r="C7834" s="72"/>
      <c r="D7834" s="72"/>
      <c r="E7834" s="72"/>
    </row>
    <row r="7835">
      <c r="A7835" s="72"/>
      <c r="B7835" s="72"/>
      <c r="C7835" s="72"/>
      <c r="D7835" s="72"/>
      <c r="E7835" s="72"/>
    </row>
    <row r="7836">
      <c r="A7836" s="72"/>
      <c r="B7836" s="72"/>
      <c r="C7836" s="72"/>
      <c r="D7836" s="72"/>
      <c r="E7836" s="72"/>
    </row>
    <row r="7837">
      <c r="A7837" s="72"/>
      <c r="B7837" s="72"/>
      <c r="C7837" s="72"/>
      <c r="D7837" s="72"/>
      <c r="E7837" s="72"/>
    </row>
    <row r="7838">
      <c r="A7838" s="72"/>
      <c r="B7838" s="72"/>
      <c r="C7838" s="72"/>
      <c r="D7838" s="72"/>
      <c r="E7838" s="72"/>
    </row>
    <row r="7839">
      <c r="A7839" s="72"/>
      <c r="B7839" s="72"/>
      <c r="C7839" s="72"/>
      <c r="D7839" s="72"/>
      <c r="E7839" s="72"/>
    </row>
    <row r="7840">
      <c r="A7840" s="72"/>
      <c r="B7840" s="72"/>
      <c r="C7840" s="72"/>
      <c r="D7840" s="72"/>
      <c r="E7840" s="72"/>
    </row>
    <row r="7841">
      <c r="A7841" s="72"/>
      <c r="B7841" s="72"/>
      <c r="C7841" s="72"/>
      <c r="D7841" s="72"/>
      <c r="E7841" s="72"/>
    </row>
    <row r="7842">
      <c r="A7842" s="72"/>
      <c r="B7842" s="72"/>
      <c r="C7842" s="72"/>
      <c r="D7842" s="72"/>
      <c r="E7842" s="72"/>
    </row>
    <row r="7843">
      <c r="A7843" s="72"/>
      <c r="B7843" s="72"/>
      <c r="C7843" s="72"/>
      <c r="D7843" s="72"/>
      <c r="E7843" s="72"/>
    </row>
    <row r="7844">
      <c r="A7844" s="72"/>
      <c r="B7844" s="72"/>
      <c r="C7844" s="72"/>
      <c r="D7844" s="72"/>
      <c r="E7844" s="72"/>
    </row>
    <row r="7845">
      <c r="A7845" s="72"/>
      <c r="B7845" s="72"/>
      <c r="C7845" s="72"/>
      <c r="D7845" s="72"/>
      <c r="E7845" s="72"/>
    </row>
    <row r="7846">
      <c r="A7846" s="72"/>
      <c r="B7846" s="72"/>
      <c r="C7846" s="72"/>
      <c r="D7846" s="72"/>
      <c r="E7846" s="72"/>
    </row>
    <row r="7847">
      <c r="A7847" s="72"/>
      <c r="B7847" s="72"/>
      <c r="C7847" s="72"/>
      <c r="D7847" s="72"/>
      <c r="E7847" s="72"/>
    </row>
    <row r="7848">
      <c r="A7848" s="72"/>
      <c r="B7848" s="72"/>
      <c r="C7848" s="72"/>
      <c r="D7848" s="72"/>
      <c r="E7848" s="72"/>
    </row>
    <row r="7849">
      <c r="A7849" s="72"/>
      <c r="B7849" s="72"/>
      <c r="C7849" s="72"/>
      <c r="D7849" s="72"/>
      <c r="E7849" s="72"/>
    </row>
    <row r="7850">
      <c r="A7850" s="72"/>
      <c r="B7850" s="72"/>
      <c r="C7850" s="72"/>
      <c r="D7850" s="72"/>
      <c r="E7850" s="72"/>
    </row>
    <row r="7851">
      <c r="A7851" s="72"/>
      <c r="B7851" s="72"/>
      <c r="C7851" s="72"/>
      <c r="D7851" s="72"/>
      <c r="E7851" s="72"/>
    </row>
    <row r="7852">
      <c r="A7852" s="72"/>
      <c r="B7852" s="72"/>
      <c r="C7852" s="72"/>
      <c r="D7852" s="72"/>
      <c r="E7852" s="72"/>
    </row>
    <row r="7853">
      <c r="A7853" s="72"/>
      <c r="B7853" s="72"/>
      <c r="C7853" s="72"/>
      <c r="D7853" s="72"/>
      <c r="E7853" s="72"/>
    </row>
    <row r="7854">
      <c r="A7854" s="72"/>
      <c r="B7854" s="72"/>
      <c r="C7854" s="72"/>
      <c r="D7854" s="72"/>
      <c r="E7854" s="72"/>
    </row>
    <row r="7855">
      <c r="A7855" s="72"/>
      <c r="B7855" s="72"/>
      <c r="C7855" s="72"/>
      <c r="D7855" s="72"/>
      <c r="E7855" s="72"/>
    </row>
    <row r="7856">
      <c r="A7856" s="72"/>
      <c r="B7856" s="72"/>
      <c r="C7856" s="72"/>
      <c r="D7856" s="72"/>
      <c r="E7856" s="72"/>
    </row>
    <row r="7857">
      <c r="A7857" s="72"/>
      <c r="B7857" s="72"/>
      <c r="C7857" s="72"/>
      <c r="D7857" s="72"/>
      <c r="E7857" s="72"/>
    </row>
    <row r="7858">
      <c r="A7858" s="72"/>
      <c r="B7858" s="72"/>
      <c r="C7858" s="72"/>
      <c r="D7858" s="72"/>
      <c r="E7858" s="72"/>
    </row>
    <row r="7859">
      <c r="A7859" s="72"/>
      <c r="B7859" s="72"/>
      <c r="C7859" s="72"/>
      <c r="D7859" s="72"/>
      <c r="E7859" s="72"/>
    </row>
    <row r="7860">
      <c r="A7860" s="72"/>
      <c r="B7860" s="72"/>
      <c r="C7860" s="72"/>
      <c r="D7860" s="72"/>
      <c r="E7860" s="72"/>
    </row>
    <row r="7861">
      <c r="A7861" s="72"/>
      <c r="B7861" s="72"/>
      <c r="C7861" s="72"/>
      <c r="D7861" s="72"/>
      <c r="E7861" s="72"/>
    </row>
    <row r="7862">
      <c r="A7862" s="72"/>
      <c r="B7862" s="72"/>
      <c r="C7862" s="72"/>
      <c r="D7862" s="72"/>
      <c r="E7862" s="72"/>
    </row>
    <row r="7863">
      <c r="A7863" s="72"/>
      <c r="B7863" s="72"/>
      <c r="C7863" s="72"/>
      <c r="D7863" s="72"/>
      <c r="E7863" s="72"/>
    </row>
    <row r="7864">
      <c r="A7864" s="72"/>
      <c r="B7864" s="72"/>
      <c r="C7864" s="72"/>
      <c r="D7864" s="72"/>
      <c r="E7864" s="72"/>
    </row>
    <row r="7865">
      <c r="A7865" s="72"/>
      <c r="B7865" s="72"/>
      <c r="C7865" s="72"/>
      <c r="D7865" s="72"/>
      <c r="E7865" s="72"/>
    </row>
    <row r="7866">
      <c r="A7866" s="72"/>
      <c r="B7866" s="72"/>
      <c r="C7866" s="72"/>
      <c r="D7866" s="72"/>
      <c r="E7866" s="72"/>
    </row>
    <row r="7867">
      <c r="A7867" s="72"/>
      <c r="B7867" s="72"/>
      <c r="C7867" s="72"/>
      <c r="D7867" s="72"/>
      <c r="E7867" s="72"/>
    </row>
    <row r="7868">
      <c r="A7868" s="72"/>
      <c r="B7868" s="72"/>
      <c r="C7868" s="72"/>
      <c r="D7868" s="72"/>
      <c r="E7868" s="72"/>
    </row>
    <row r="7869">
      <c r="A7869" s="72"/>
      <c r="B7869" s="72"/>
      <c r="C7869" s="72"/>
      <c r="D7869" s="72"/>
      <c r="E7869" s="72"/>
    </row>
    <row r="7870">
      <c r="A7870" s="72"/>
      <c r="B7870" s="72"/>
      <c r="C7870" s="72"/>
      <c r="D7870" s="72"/>
      <c r="E7870" s="72"/>
    </row>
    <row r="7871">
      <c r="A7871" s="72"/>
      <c r="B7871" s="72"/>
      <c r="C7871" s="72"/>
      <c r="D7871" s="72"/>
      <c r="E7871" s="72"/>
    </row>
    <row r="7872">
      <c r="A7872" s="72"/>
      <c r="B7872" s="72"/>
      <c r="C7872" s="72"/>
      <c r="D7872" s="72"/>
      <c r="E7872" s="72"/>
    </row>
    <row r="7873">
      <c r="A7873" s="72"/>
      <c r="B7873" s="72"/>
      <c r="C7873" s="72"/>
      <c r="D7873" s="72"/>
      <c r="E7873" s="72"/>
    </row>
    <row r="7874">
      <c r="A7874" s="72"/>
      <c r="B7874" s="72"/>
      <c r="C7874" s="72"/>
      <c r="D7874" s="72"/>
      <c r="E7874" s="72"/>
    </row>
    <row r="7875">
      <c r="A7875" s="72"/>
      <c r="B7875" s="72"/>
      <c r="C7875" s="72"/>
      <c r="D7875" s="72"/>
      <c r="E7875" s="72"/>
    </row>
    <row r="7876">
      <c r="A7876" s="72"/>
      <c r="B7876" s="72"/>
      <c r="C7876" s="72"/>
      <c r="D7876" s="72"/>
      <c r="E7876" s="72"/>
    </row>
    <row r="7877">
      <c r="A7877" s="72"/>
      <c r="B7877" s="72"/>
      <c r="C7877" s="72"/>
      <c r="D7877" s="72"/>
      <c r="E7877" s="72"/>
    </row>
    <row r="7878">
      <c r="A7878" s="72"/>
      <c r="B7878" s="72"/>
      <c r="C7878" s="72"/>
      <c r="D7878" s="72"/>
      <c r="E7878" s="72"/>
    </row>
    <row r="7879">
      <c r="A7879" s="72"/>
      <c r="B7879" s="72"/>
      <c r="C7879" s="72"/>
      <c r="D7879" s="72"/>
      <c r="E7879" s="72"/>
    </row>
    <row r="7880">
      <c r="A7880" s="72"/>
      <c r="B7880" s="72"/>
      <c r="C7880" s="72"/>
      <c r="D7880" s="72"/>
      <c r="E7880" s="72"/>
    </row>
    <row r="7881">
      <c r="A7881" s="72"/>
      <c r="B7881" s="72"/>
      <c r="C7881" s="72"/>
      <c r="D7881" s="72"/>
      <c r="E7881" s="72"/>
    </row>
    <row r="7882">
      <c r="A7882" s="72"/>
      <c r="B7882" s="72"/>
      <c r="C7882" s="72"/>
      <c r="D7882" s="72"/>
      <c r="E7882" s="72"/>
    </row>
    <row r="7883">
      <c r="A7883" s="72"/>
      <c r="B7883" s="72"/>
      <c r="C7883" s="72"/>
      <c r="D7883" s="72"/>
      <c r="E7883" s="72"/>
    </row>
    <row r="7884">
      <c r="A7884" s="72"/>
      <c r="B7884" s="72"/>
      <c r="C7884" s="72"/>
      <c r="D7884" s="72"/>
      <c r="E7884" s="72"/>
    </row>
    <row r="7885">
      <c r="A7885" s="72"/>
      <c r="B7885" s="72"/>
      <c r="C7885" s="72"/>
      <c r="D7885" s="72"/>
      <c r="E7885" s="72"/>
    </row>
    <row r="7886">
      <c r="A7886" s="72"/>
      <c r="B7886" s="72"/>
      <c r="C7886" s="72"/>
      <c r="D7886" s="72"/>
      <c r="E7886" s="72"/>
    </row>
    <row r="7887">
      <c r="A7887" s="72"/>
      <c r="B7887" s="72"/>
      <c r="C7887" s="72"/>
      <c r="D7887" s="72"/>
      <c r="E7887" s="72"/>
    </row>
    <row r="7888">
      <c r="A7888" s="72"/>
      <c r="B7888" s="72"/>
      <c r="C7888" s="72"/>
      <c r="D7888" s="72"/>
      <c r="E7888" s="72"/>
    </row>
    <row r="7889">
      <c r="A7889" s="72"/>
      <c r="B7889" s="72"/>
      <c r="C7889" s="72"/>
      <c r="D7889" s="72"/>
      <c r="E7889" s="72"/>
    </row>
    <row r="7890">
      <c r="A7890" s="72"/>
      <c r="B7890" s="72"/>
      <c r="C7890" s="72"/>
      <c r="D7890" s="72"/>
      <c r="E7890" s="72"/>
    </row>
    <row r="7891">
      <c r="A7891" s="72"/>
      <c r="B7891" s="72"/>
      <c r="C7891" s="72"/>
      <c r="D7891" s="72"/>
      <c r="E7891" s="72"/>
    </row>
    <row r="7892">
      <c r="A7892" s="72"/>
      <c r="B7892" s="72"/>
      <c r="C7892" s="72"/>
      <c r="D7892" s="72"/>
      <c r="E7892" s="72"/>
    </row>
    <row r="7893">
      <c r="A7893" s="72"/>
      <c r="B7893" s="72"/>
      <c r="C7893" s="72"/>
      <c r="D7893" s="72"/>
      <c r="E7893" s="72"/>
    </row>
    <row r="7894">
      <c r="A7894" s="72"/>
      <c r="B7894" s="72"/>
      <c r="C7894" s="72"/>
      <c r="D7894" s="72"/>
      <c r="E7894" s="72"/>
    </row>
    <row r="7895">
      <c r="A7895" s="72"/>
      <c r="B7895" s="72"/>
      <c r="C7895" s="72"/>
      <c r="D7895" s="72"/>
      <c r="E7895" s="72"/>
    </row>
    <row r="7896">
      <c r="A7896" s="72"/>
      <c r="B7896" s="72"/>
      <c r="C7896" s="72"/>
      <c r="D7896" s="72"/>
      <c r="E7896" s="72"/>
    </row>
    <row r="7897">
      <c r="A7897" s="72"/>
      <c r="B7897" s="72"/>
      <c r="C7897" s="72"/>
      <c r="D7897" s="72"/>
      <c r="E7897" s="72"/>
    </row>
    <row r="7898">
      <c r="A7898" s="72"/>
      <c r="B7898" s="72"/>
      <c r="C7898" s="72"/>
      <c r="D7898" s="72"/>
      <c r="E7898" s="72"/>
    </row>
    <row r="7899">
      <c r="A7899" s="72"/>
      <c r="B7899" s="72"/>
      <c r="C7899" s="72"/>
      <c r="D7899" s="72"/>
      <c r="E7899" s="72"/>
    </row>
    <row r="7900">
      <c r="A7900" s="72"/>
      <c r="B7900" s="72"/>
      <c r="C7900" s="72"/>
      <c r="D7900" s="72"/>
      <c r="E7900" s="72"/>
    </row>
    <row r="7901">
      <c r="A7901" s="72"/>
      <c r="B7901" s="72"/>
      <c r="C7901" s="72"/>
      <c r="D7901" s="72"/>
      <c r="E7901" s="72"/>
    </row>
    <row r="7902">
      <c r="A7902" s="72"/>
      <c r="B7902" s="72"/>
      <c r="C7902" s="72"/>
      <c r="D7902" s="72"/>
      <c r="E7902" s="72"/>
    </row>
    <row r="7903">
      <c r="A7903" s="72"/>
      <c r="B7903" s="72"/>
      <c r="C7903" s="72"/>
      <c r="D7903" s="72"/>
      <c r="E7903" s="72"/>
    </row>
    <row r="7904">
      <c r="A7904" s="72"/>
      <c r="B7904" s="72"/>
      <c r="C7904" s="72"/>
      <c r="D7904" s="72"/>
      <c r="E7904" s="72"/>
    </row>
    <row r="7905">
      <c r="A7905" s="72"/>
      <c r="B7905" s="72"/>
      <c r="C7905" s="72"/>
      <c r="D7905" s="72"/>
      <c r="E7905" s="72"/>
    </row>
    <row r="7906">
      <c r="A7906" s="72"/>
      <c r="B7906" s="72"/>
      <c r="C7906" s="72"/>
      <c r="D7906" s="72"/>
      <c r="E7906" s="72"/>
    </row>
    <row r="7907">
      <c r="A7907" s="72"/>
      <c r="B7907" s="72"/>
      <c r="C7907" s="72"/>
      <c r="D7907" s="72"/>
      <c r="E7907" s="72"/>
    </row>
    <row r="7908">
      <c r="A7908" s="72"/>
      <c r="B7908" s="72"/>
      <c r="C7908" s="72"/>
      <c r="D7908" s="72"/>
      <c r="E7908" s="72"/>
    </row>
    <row r="7909">
      <c r="A7909" s="72"/>
      <c r="B7909" s="72"/>
      <c r="C7909" s="72"/>
      <c r="D7909" s="72"/>
      <c r="E7909" s="72"/>
    </row>
    <row r="7910">
      <c r="A7910" s="72"/>
      <c r="B7910" s="72"/>
      <c r="C7910" s="72"/>
      <c r="D7910" s="72"/>
      <c r="E7910" s="72"/>
    </row>
    <row r="7911">
      <c r="A7911" s="72"/>
      <c r="B7911" s="72"/>
      <c r="C7911" s="72"/>
      <c r="D7911" s="72"/>
      <c r="E7911" s="72"/>
    </row>
    <row r="7912">
      <c r="A7912" s="72"/>
      <c r="B7912" s="72"/>
      <c r="C7912" s="72"/>
      <c r="D7912" s="72"/>
      <c r="E7912" s="72"/>
    </row>
    <row r="7913">
      <c r="A7913" s="72"/>
      <c r="B7913" s="72"/>
      <c r="C7913" s="72"/>
      <c r="D7913" s="72"/>
      <c r="E7913" s="72"/>
    </row>
    <row r="7914">
      <c r="A7914" s="72"/>
      <c r="B7914" s="72"/>
      <c r="C7914" s="72"/>
      <c r="D7914" s="72"/>
      <c r="E7914" s="72"/>
    </row>
    <row r="7915">
      <c r="A7915" s="72"/>
      <c r="B7915" s="72"/>
      <c r="C7915" s="72"/>
      <c r="D7915" s="72"/>
      <c r="E7915" s="72"/>
    </row>
    <row r="7916">
      <c r="A7916" s="72"/>
      <c r="B7916" s="72"/>
      <c r="C7916" s="72"/>
      <c r="D7916" s="72"/>
      <c r="E7916" s="72"/>
    </row>
    <row r="7917">
      <c r="A7917" s="72"/>
      <c r="B7917" s="72"/>
      <c r="C7917" s="72"/>
      <c r="D7917" s="72"/>
      <c r="E7917" s="72"/>
    </row>
    <row r="7918">
      <c r="A7918" s="72"/>
      <c r="B7918" s="72"/>
      <c r="C7918" s="72"/>
      <c r="D7918" s="72"/>
      <c r="E7918" s="72"/>
    </row>
    <row r="7919">
      <c r="A7919" s="72"/>
      <c r="B7919" s="72"/>
      <c r="C7919" s="72"/>
      <c r="D7919" s="72"/>
      <c r="E7919" s="72"/>
    </row>
    <row r="7920">
      <c r="A7920" s="72"/>
      <c r="B7920" s="72"/>
      <c r="C7920" s="72"/>
      <c r="D7920" s="72"/>
      <c r="E7920" s="72"/>
    </row>
    <row r="7921">
      <c r="A7921" s="72"/>
      <c r="B7921" s="72"/>
      <c r="C7921" s="72"/>
      <c r="D7921" s="72"/>
      <c r="E7921" s="72"/>
    </row>
    <row r="7922">
      <c r="A7922" s="72"/>
      <c r="B7922" s="72"/>
      <c r="C7922" s="72"/>
      <c r="D7922" s="72"/>
      <c r="E7922" s="72"/>
    </row>
    <row r="7923">
      <c r="A7923" s="72"/>
      <c r="B7923" s="72"/>
      <c r="C7923" s="72"/>
      <c r="D7923" s="72"/>
      <c r="E7923" s="72"/>
    </row>
    <row r="7924">
      <c r="A7924" s="72"/>
      <c r="B7924" s="72"/>
      <c r="C7924" s="72"/>
      <c r="D7924" s="72"/>
      <c r="E7924" s="72"/>
    </row>
    <row r="7925">
      <c r="A7925" s="72"/>
      <c r="B7925" s="72"/>
      <c r="C7925" s="72"/>
      <c r="D7925" s="72"/>
      <c r="E7925" s="72"/>
    </row>
    <row r="7926">
      <c r="A7926" s="72"/>
      <c r="B7926" s="72"/>
      <c r="C7926" s="72"/>
      <c r="D7926" s="72"/>
      <c r="E7926" s="72"/>
    </row>
    <row r="7927">
      <c r="A7927" s="72"/>
      <c r="B7927" s="72"/>
      <c r="C7927" s="72"/>
      <c r="D7927" s="72"/>
      <c r="E7927" s="72"/>
    </row>
    <row r="7928">
      <c r="A7928" s="72"/>
      <c r="B7928" s="72"/>
      <c r="C7928" s="72"/>
      <c r="D7928" s="72"/>
      <c r="E7928" s="72"/>
    </row>
    <row r="7929">
      <c r="A7929" s="72"/>
      <c r="B7929" s="72"/>
      <c r="C7929" s="72"/>
      <c r="D7929" s="72"/>
      <c r="E7929" s="72"/>
    </row>
    <row r="7930">
      <c r="A7930" s="72"/>
      <c r="B7930" s="72"/>
      <c r="C7930" s="72"/>
      <c r="D7930" s="72"/>
      <c r="E7930" s="72"/>
    </row>
    <row r="7931">
      <c r="A7931" s="72"/>
      <c r="B7931" s="72"/>
      <c r="C7931" s="72"/>
      <c r="D7931" s="72"/>
      <c r="E7931" s="72"/>
    </row>
    <row r="7932">
      <c r="A7932" s="72"/>
      <c r="B7932" s="72"/>
      <c r="C7932" s="72"/>
      <c r="D7932" s="72"/>
      <c r="E7932" s="72"/>
    </row>
    <row r="7933">
      <c r="A7933" s="72"/>
      <c r="B7933" s="72"/>
      <c r="C7933" s="72"/>
      <c r="D7933" s="72"/>
      <c r="E7933" s="72"/>
    </row>
    <row r="7934">
      <c r="A7934" s="72"/>
      <c r="B7934" s="72"/>
      <c r="C7934" s="72"/>
      <c r="D7934" s="72"/>
      <c r="E7934" s="72"/>
    </row>
    <row r="7935">
      <c r="A7935" s="72"/>
      <c r="B7935" s="72"/>
      <c r="C7935" s="72"/>
      <c r="D7935" s="72"/>
      <c r="E7935" s="72"/>
    </row>
    <row r="7936">
      <c r="A7936" s="72"/>
      <c r="B7936" s="72"/>
      <c r="C7936" s="72"/>
      <c r="D7936" s="72"/>
      <c r="E7936" s="72"/>
    </row>
    <row r="7937">
      <c r="A7937" s="72"/>
      <c r="B7937" s="72"/>
      <c r="C7937" s="72"/>
      <c r="D7937" s="72"/>
      <c r="E7937" s="72"/>
    </row>
    <row r="7938">
      <c r="A7938" s="72"/>
      <c r="B7938" s="72"/>
      <c r="C7938" s="72"/>
      <c r="D7938" s="72"/>
      <c r="E7938" s="72"/>
    </row>
    <row r="7939">
      <c r="A7939" s="72"/>
      <c r="B7939" s="72"/>
      <c r="C7939" s="72"/>
      <c r="D7939" s="72"/>
      <c r="E7939" s="72"/>
    </row>
    <row r="7940">
      <c r="A7940" s="72"/>
      <c r="B7940" s="72"/>
      <c r="C7940" s="72"/>
      <c r="D7940" s="72"/>
      <c r="E7940" s="72"/>
    </row>
    <row r="7941">
      <c r="A7941" s="72"/>
      <c r="B7941" s="72"/>
      <c r="C7941" s="72"/>
      <c r="D7941" s="72"/>
      <c r="E7941" s="72"/>
    </row>
    <row r="7942">
      <c r="A7942" s="72"/>
      <c r="B7942" s="72"/>
      <c r="C7942" s="72"/>
      <c r="D7942" s="72"/>
      <c r="E7942" s="72"/>
    </row>
    <row r="7943">
      <c r="A7943" s="72"/>
      <c r="B7943" s="72"/>
      <c r="C7943" s="72"/>
      <c r="D7943" s="72"/>
      <c r="E7943" s="72"/>
    </row>
    <row r="7944">
      <c r="A7944" s="72"/>
      <c r="B7944" s="72"/>
      <c r="C7944" s="72"/>
      <c r="D7944" s="72"/>
      <c r="E7944" s="72"/>
    </row>
    <row r="7945">
      <c r="A7945" s="72"/>
      <c r="B7945" s="72"/>
      <c r="C7945" s="72"/>
      <c r="D7945" s="72"/>
      <c r="E7945" s="72"/>
    </row>
    <row r="7946">
      <c r="A7946" s="72"/>
      <c r="B7946" s="72"/>
      <c r="C7946" s="72"/>
      <c r="D7946" s="72"/>
      <c r="E7946" s="72"/>
    </row>
    <row r="7947">
      <c r="A7947" s="72"/>
      <c r="B7947" s="72"/>
      <c r="C7947" s="72"/>
      <c r="D7947" s="72"/>
      <c r="E7947" s="72"/>
    </row>
    <row r="7948">
      <c r="A7948" s="72"/>
      <c r="B7948" s="72"/>
      <c r="C7948" s="72"/>
      <c r="D7948" s="72"/>
      <c r="E7948" s="72"/>
    </row>
    <row r="7949">
      <c r="A7949" s="72"/>
      <c r="B7949" s="72"/>
      <c r="C7949" s="72"/>
      <c r="D7949" s="72"/>
      <c r="E7949" s="72"/>
    </row>
    <row r="7950">
      <c r="A7950" s="72"/>
      <c r="B7950" s="72"/>
      <c r="C7950" s="72"/>
      <c r="D7950" s="72"/>
      <c r="E7950" s="72"/>
    </row>
    <row r="7951">
      <c r="A7951" s="72"/>
      <c r="B7951" s="72"/>
      <c r="C7951" s="72"/>
      <c r="D7951" s="72"/>
      <c r="E7951" s="72"/>
    </row>
    <row r="7952">
      <c r="A7952" s="72"/>
      <c r="B7952" s="72"/>
      <c r="C7952" s="72"/>
      <c r="D7952" s="72"/>
      <c r="E7952" s="72"/>
    </row>
    <row r="7953">
      <c r="A7953" s="72"/>
      <c r="B7953" s="72"/>
      <c r="C7953" s="72"/>
      <c r="D7953" s="72"/>
      <c r="E7953" s="72"/>
    </row>
    <row r="7954">
      <c r="A7954" s="72"/>
      <c r="B7954" s="72"/>
      <c r="C7954" s="72"/>
      <c r="D7954" s="72"/>
      <c r="E7954" s="72"/>
    </row>
    <row r="7955">
      <c r="A7955" s="72"/>
      <c r="B7955" s="72"/>
      <c r="C7955" s="72"/>
      <c r="D7955" s="72"/>
      <c r="E7955" s="72"/>
    </row>
    <row r="7956">
      <c r="A7956" s="72"/>
      <c r="B7956" s="72"/>
      <c r="C7956" s="72"/>
      <c r="D7956" s="72"/>
      <c r="E7956" s="72"/>
    </row>
    <row r="7957">
      <c r="A7957" s="72"/>
      <c r="B7957" s="72"/>
      <c r="C7957" s="72"/>
      <c r="D7957" s="72"/>
      <c r="E7957" s="72"/>
    </row>
    <row r="7958">
      <c r="A7958" s="72"/>
      <c r="B7958" s="72"/>
      <c r="C7958" s="72"/>
      <c r="D7958" s="72"/>
      <c r="E7958" s="72"/>
    </row>
    <row r="7959">
      <c r="A7959" s="72"/>
      <c r="B7959" s="72"/>
      <c r="C7959" s="72"/>
      <c r="D7959" s="72"/>
      <c r="E7959" s="72"/>
    </row>
    <row r="7960">
      <c r="A7960" s="72"/>
      <c r="B7960" s="72"/>
      <c r="C7960" s="72"/>
      <c r="D7960" s="72"/>
      <c r="E7960" s="72"/>
    </row>
    <row r="7961">
      <c r="A7961" s="72"/>
      <c r="B7961" s="72"/>
      <c r="C7961" s="72"/>
      <c r="D7961" s="72"/>
      <c r="E7961" s="72"/>
    </row>
    <row r="7962">
      <c r="A7962" s="72"/>
      <c r="B7962" s="72"/>
      <c r="C7962" s="72"/>
      <c r="D7962" s="72"/>
      <c r="E7962" s="72"/>
    </row>
    <row r="7963">
      <c r="A7963" s="72"/>
      <c r="B7963" s="72"/>
      <c r="C7963" s="72"/>
      <c r="D7963" s="72"/>
      <c r="E7963" s="72"/>
    </row>
    <row r="7964">
      <c r="A7964" s="72"/>
      <c r="B7964" s="72"/>
      <c r="C7964" s="72"/>
      <c r="D7964" s="72"/>
      <c r="E7964" s="72"/>
    </row>
    <row r="7965">
      <c r="A7965" s="72"/>
      <c r="B7965" s="72"/>
      <c r="C7965" s="72"/>
      <c r="D7965" s="72"/>
      <c r="E7965" s="72"/>
    </row>
    <row r="7966">
      <c r="A7966" s="72"/>
      <c r="B7966" s="72"/>
      <c r="C7966" s="72"/>
      <c r="D7966" s="72"/>
      <c r="E7966" s="72"/>
    </row>
    <row r="7967">
      <c r="A7967" s="72"/>
      <c r="B7967" s="72"/>
      <c r="C7967" s="72"/>
      <c r="D7967" s="72"/>
      <c r="E7967" s="72"/>
    </row>
    <row r="7968">
      <c r="A7968" s="72"/>
      <c r="B7968" s="72"/>
      <c r="C7968" s="72"/>
      <c r="D7968" s="72"/>
      <c r="E7968" s="72"/>
    </row>
    <row r="7969">
      <c r="A7969" s="72"/>
      <c r="B7969" s="72"/>
      <c r="C7969" s="72"/>
      <c r="D7969" s="72"/>
      <c r="E7969" s="72"/>
    </row>
    <row r="7970">
      <c r="A7970" s="72"/>
      <c r="B7970" s="72"/>
      <c r="C7970" s="72"/>
      <c r="D7970" s="72"/>
      <c r="E7970" s="72"/>
    </row>
    <row r="7971">
      <c r="A7971" s="72"/>
      <c r="B7971" s="72"/>
      <c r="C7971" s="72"/>
      <c r="D7971" s="72"/>
      <c r="E7971" s="72"/>
    </row>
    <row r="7972">
      <c r="A7972" s="72"/>
      <c r="B7972" s="72"/>
      <c r="C7972" s="72"/>
      <c r="D7972" s="72"/>
      <c r="E7972" s="72"/>
    </row>
    <row r="7973">
      <c r="A7973" s="72"/>
      <c r="B7973" s="72"/>
      <c r="C7973" s="72"/>
      <c r="D7973" s="72"/>
      <c r="E7973" s="72"/>
    </row>
    <row r="7974">
      <c r="A7974" s="72"/>
      <c r="B7974" s="72"/>
      <c r="C7974" s="72"/>
      <c r="D7974" s="72"/>
      <c r="E7974" s="72"/>
    </row>
    <row r="7975">
      <c r="A7975" s="72"/>
      <c r="B7975" s="72"/>
      <c r="C7975" s="72"/>
      <c r="D7975" s="72"/>
      <c r="E7975" s="72"/>
    </row>
    <row r="7976">
      <c r="A7976" s="72"/>
      <c r="B7976" s="72"/>
      <c r="C7976" s="72"/>
      <c r="D7976" s="72"/>
      <c r="E7976" s="72"/>
    </row>
    <row r="7977">
      <c r="A7977" s="72"/>
      <c r="B7977" s="72"/>
      <c r="C7977" s="72"/>
      <c r="D7977" s="72"/>
      <c r="E7977" s="72"/>
    </row>
    <row r="7978">
      <c r="A7978" s="72"/>
      <c r="B7978" s="72"/>
      <c r="C7978" s="72"/>
      <c r="D7978" s="72"/>
      <c r="E7978" s="72"/>
    </row>
    <row r="7979">
      <c r="A7979" s="72"/>
      <c r="B7979" s="72"/>
      <c r="C7979" s="72"/>
      <c r="D7979" s="72"/>
      <c r="E7979" s="72"/>
    </row>
    <row r="7980">
      <c r="A7980" s="72"/>
      <c r="B7980" s="72"/>
      <c r="C7980" s="72"/>
      <c r="D7980" s="72"/>
      <c r="E7980" s="72"/>
    </row>
    <row r="7981">
      <c r="A7981" s="72"/>
      <c r="B7981" s="72"/>
      <c r="C7981" s="72"/>
      <c r="D7981" s="72"/>
      <c r="E7981" s="72"/>
    </row>
    <row r="7982">
      <c r="A7982" s="72"/>
      <c r="B7982" s="72"/>
      <c r="C7982" s="72"/>
      <c r="D7982" s="72"/>
      <c r="E7982" s="72"/>
    </row>
    <row r="7983">
      <c r="A7983" s="72"/>
      <c r="B7983" s="72"/>
      <c r="C7983" s="72"/>
      <c r="D7983" s="72"/>
      <c r="E7983" s="72"/>
    </row>
    <row r="7984">
      <c r="A7984" s="72"/>
      <c r="B7984" s="72"/>
      <c r="C7984" s="72"/>
      <c r="D7984" s="72"/>
      <c r="E7984" s="72"/>
    </row>
    <row r="7985">
      <c r="A7985" s="72"/>
      <c r="B7985" s="72"/>
      <c r="C7985" s="72"/>
      <c r="D7985" s="72"/>
      <c r="E7985" s="72"/>
    </row>
    <row r="7986">
      <c r="A7986" s="72"/>
      <c r="B7986" s="72"/>
      <c r="C7986" s="72"/>
      <c r="D7986" s="72"/>
      <c r="E7986" s="72"/>
    </row>
    <row r="7987">
      <c r="A7987" s="72"/>
      <c r="B7987" s="72"/>
      <c r="C7987" s="72"/>
      <c r="D7987" s="72"/>
      <c r="E7987" s="72"/>
    </row>
    <row r="7988">
      <c r="A7988" s="72"/>
      <c r="B7988" s="72"/>
      <c r="C7988" s="72"/>
      <c r="D7988" s="72"/>
      <c r="E7988" s="72"/>
    </row>
    <row r="7989">
      <c r="A7989" s="72"/>
      <c r="B7989" s="72"/>
      <c r="C7989" s="72"/>
      <c r="D7989" s="72"/>
      <c r="E7989" s="72"/>
    </row>
    <row r="7990">
      <c r="A7990" s="72"/>
      <c r="B7990" s="72"/>
      <c r="C7990" s="72"/>
      <c r="D7990" s="72"/>
      <c r="E7990" s="72"/>
    </row>
    <row r="7991">
      <c r="A7991" s="72"/>
      <c r="B7991" s="72"/>
      <c r="C7991" s="72"/>
      <c r="D7991" s="72"/>
      <c r="E7991" s="72"/>
    </row>
    <row r="7992">
      <c r="A7992" s="72"/>
      <c r="B7992" s="72"/>
      <c r="C7992" s="72"/>
      <c r="D7992" s="72"/>
      <c r="E7992" s="72"/>
    </row>
    <row r="7993">
      <c r="A7993" s="72"/>
      <c r="B7993" s="72"/>
      <c r="C7993" s="72"/>
      <c r="D7993" s="72"/>
      <c r="E7993" s="72"/>
    </row>
    <row r="7994">
      <c r="A7994" s="72"/>
      <c r="B7994" s="72"/>
      <c r="C7994" s="72"/>
      <c r="D7994" s="72"/>
      <c r="E7994" s="72"/>
    </row>
    <row r="7995">
      <c r="A7995" s="72"/>
      <c r="B7995" s="72"/>
      <c r="C7995" s="72"/>
      <c r="D7995" s="72"/>
      <c r="E7995" s="72"/>
    </row>
    <row r="7996">
      <c r="A7996" s="72"/>
      <c r="B7996" s="72"/>
      <c r="C7996" s="72"/>
      <c r="D7996" s="72"/>
      <c r="E7996" s="72"/>
    </row>
    <row r="7997">
      <c r="A7997" s="72"/>
      <c r="B7997" s="72"/>
      <c r="C7997" s="72"/>
      <c r="D7997" s="72"/>
      <c r="E7997" s="72"/>
    </row>
    <row r="7998">
      <c r="A7998" s="72"/>
      <c r="B7998" s="72"/>
      <c r="C7998" s="72"/>
      <c r="D7998" s="72"/>
      <c r="E7998" s="72"/>
    </row>
    <row r="7999">
      <c r="A7999" s="72"/>
      <c r="B7999" s="72"/>
      <c r="C7999" s="72"/>
      <c r="D7999" s="72"/>
      <c r="E7999" s="72"/>
    </row>
    <row r="8000">
      <c r="A8000" s="72"/>
      <c r="B8000" s="72"/>
      <c r="C8000" s="72"/>
      <c r="D8000" s="72"/>
      <c r="E8000" s="72"/>
    </row>
    <row r="8001">
      <c r="A8001" s="72"/>
      <c r="B8001" s="72"/>
      <c r="C8001" s="72"/>
      <c r="D8001" s="72"/>
      <c r="E8001" s="72"/>
    </row>
    <row r="8002">
      <c r="A8002" s="72"/>
      <c r="B8002" s="72"/>
      <c r="C8002" s="72"/>
      <c r="D8002" s="72"/>
      <c r="E8002" s="72"/>
    </row>
    <row r="8003">
      <c r="A8003" s="72"/>
      <c r="B8003" s="72"/>
      <c r="C8003" s="72"/>
      <c r="D8003" s="72"/>
      <c r="E8003" s="72"/>
    </row>
    <row r="8004">
      <c r="A8004" s="72"/>
      <c r="B8004" s="72"/>
      <c r="C8004" s="72"/>
      <c r="D8004" s="72"/>
      <c r="E8004" s="72"/>
    </row>
    <row r="8005">
      <c r="A8005" s="72"/>
      <c r="B8005" s="72"/>
      <c r="C8005" s="72"/>
      <c r="D8005" s="72"/>
      <c r="E8005" s="72"/>
    </row>
    <row r="8006">
      <c r="A8006" s="72"/>
      <c r="B8006" s="72"/>
      <c r="C8006" s="72"/>
      <c r="D8006" s="72"/>
      <c r="E8006" s="72"/>
    </row>
    <row r="8007">
      <c r="A8007" s="72"/>
      <c r="B8007" s="72"/>
      <c r="C8007" s="72"/>
      <c r="D8007" s="72"/>
      <c r="E8007" s="72"/>
    </row>
    <row r="8008">
      <c r="A8008" s="72"/>
      <c r="B8008" s="72"/>
      <c r="C8008" s="72"/>
      <c r="D8008" s="72"/>
      <c r="E8008" s="72"/>
    </row>
    <row r="8009">
      <c r="A8009" s="72"/>
      <c r="B8009" s="72"/>
      <c r="C8009" s="72"/>
      <c r="D8009" s="72"/>
      <c r="E8009" s="72"/>
    </row>
    <row r="8010">
      <c r="A8010" s="72"/>
      <c r="B8010" s="72"/>
      <c r="C8010" s="72"/>
      <c r="D8010" s="72"/>
      <c r="E8010" s="72"/>
    </row>
    <row r="8011">
      <c r="A8011" s="72"/>
      <c r="B8011" s="72"/>
      <c r="C8011" s="72"/>
      <c r="D8011" s="72"/>
      <c r="E8011" s="72"/>
    </row>
    <row r="8012">
      <c r="A8012" s="72"/>
      <c r="B8012" s="72"/>
      <c r="C8012" s="72"/>
      <c r="D8012" s="72"/>
      <c r="E8012" s="72"/>
    </row>
    <row r="8013">
      <c r="A8013" s="72"/>
      <c r="B8013" s="72"/>
      <c r="C8013" s="72"/>
      <c r="D8013" s="72"/>
      <c r="E8013" s="72"/>
    </row>
    <row r="8014">
      <c r="A8014" s="72"/>
      <c r="B8014" s="72"/>
      <c r="C8014" s="72"/>
      <c r="D8014" s="72"/>
      <c r="E8014" s="72"/>
    </row>
    <row r="8015">
      <c r="A8015" s="72"/>
      <c r="B8015" s="72"/>
      <c r="C8015" s="72"/>
      <c r="D8015" s="72"/>
      <c r="E8015" s="72"/>
    </row>
    <row r="8016">
      <c r="A8016" s="72"/>
      <c r="B8016" s="72"/>
      <c r="C8016" s="72"/>
      <c r="D8016" s="72"/>
      <c r="E8016" s="72"/>
    </row>
    <row r="8017">
      <c r="A8017" s="72"/>
      <c r="B8017" s="72"/>
      <c r="C8017" s="72"/>
      <c r="D8017" s="72"/>
      <c r="E8017" s="72"/>
    </row>
    <row r="8018">
      <c r="A8018" s="72"/>
      <c r="B8018" s="72"/>
      <c r="C8018" s="72"/>
      <c r="D8018" s="72"/>
      <c r="E8018" s="72"/>
    </row>
    <row r="8019">
      <c r="A8019" s="72"/>
      <c r="B8019" s="72"/>
      <c r="C8019" s="72"/>
      <c r="D8019" s="72"/>
      <c r="E8019" s="72"/>
    </row>
    <row r="8020">
      <c r="A8020" s="72"/>
      <c r="B8020" s="72"/>
      <c r="C8020" s="72"/>
      <c r="D8020" s="72"/>
      <c r="E8020" s="72"/>
    </row>
    <row r="8021">
      <c r="A8021" s="72"/>
      <c r="B8021" s="72"/>
      <c r="C8021" s="72"/>
      <c r="D8021" s="72"/>
      <c r="E8021" s="72"/>
    </row>
    <row r="8022">
      <c r="A8022" s="72"/>
      <c r="B8022" s="72"/>
      <c r="C8022" s="72"/>
      <c r="D8022" s="72"/>
      <c r="E8022" s="72"/>
    </row>
    <row r="8023">
      <c r="A8023" s="72"/>
      <c r="B8023" s="72"/>
      <c r="C8023" s="72"/>
      <c r="D8023" s="72"/>
      <c r="E8023" s="72"/>
    </row>
    <row r="8024">
      <c r="A8024" s="72"/>
      <c r="B8024" s="72"/>
      <c r="C8024" s="72"/>
      <c r="D8024" s="72"/>
      <c r="E8024" s="72"/>
    </row>
    <row r="8025">
      <c r="A8025" s="72"/>
      <c r="B8025" s="72"/>
      <c r="C8025" s="72"/>
      <c r="D8025" s="72"/>
      <c r="E8025" s="72"/>
    </row>
    <row r="8026">
      <c r="A8026" s="72"/>
      <c r="B8026" s="72"/>
      <c r="C8026" s="72"/>
      <c r="D8026" s="72"/>
      <c r="E8026" s="72"/>
    </row>
    <row r="8027">
      <c r="A8027" s="72"/>
      <c r="B8027" s="72"/>
      <c r="C8027" s="72"/>
      <c r="D8027" s="72"/>
      <c r="E8027" s="72"/>
    </row>
    <row r="8028">
      <c r="A8028" s="72"/>
      <c r="B8028" s="72"/>
      <c r="C8028" s="72"/>
      <c r="D8028" s="72"/>
      <c r="E8028" s="72"/>
    </row>
    <row r="8029">
      <c r="A8029" s="72"/>
      <c r="B8029" s="72"/>
      <c r="C8029" s="72"/>
      <c r="D8029" s="72"/>
      <c r="E8029" s="72"/>
    </row>
    <row r="8030">
      <c r="A8030" s="72"/>
      <c r="B8030" s="72"/>
      <c r="C8030" s="72"/>
      <c r="D8030" s="72"/>
      <c r="E8030" s="72"/>
    </row>
    <row r="8031">
      <c r="A8031" s="72"/>
      <c r="B8031" s="72"/>
      <c r="C8031" s="72"/>
      <c r="D8031" s="72"/>
      <c r="E8031" s="72"/>
    </row>
    <row r="8032">
      <c r="A8032" s="72"/>
      <c r="B8032" s="72"/>
      <c r="C8032" s="72"/>
      <c r="D8032" s="72"/>
      <c r="E8032" s="72"/>
    </row>
    <row r="8033">
      <c r="A8033" s="72"/>
      <c r="B8033" s="72"/>
      <c r="C8033" s="72"/>
      <c r="D8033" s="72"/>
      <c r="E8033" s="72"/>
    </row>
    <row r="8034">
      <c r="A8034" s="72"/>
      <c r="B8034" s="72"/>
      <c r="C8034" s="72"/>
      <c r="D8034" s="72"/>
      <c r="E8034" s="72"/>
    </row>
    <row r="8035">
      <c r="A8035" s="72"/>
      <c r="B8035" s="72"/>
      <c r="C8035" s="72"/>
      <c r="D8035" s="72"/>
      <c r="E8035" s="72"/>
    </row>
    <row r="8036">
      <c r="A8036" s="72"/>
      <c r="B8036" s="72"/>
      <c r="C8036" s="72"/>
      <c r="D8036" s="72"/>
      <c r="E8036" s="72"/>
    </row>
    <row r="8037">
      <c r="A8037" s="72"/>
      <c r="B8037" s="72"/>
      <c r="C8037" s="72"/>
      <c r="D8037" s="72"/>
      <c r="E8037" s="72"/>
    </row>
    <row r="8038">
      <c r="A8038" s="72"/>
      <c r="B8038" s="72"/>
      <c r="C8038" s="72"/>
      <c r="D8038" s="72"/>
      <c r="E8038" s="72"/>
    </row>
    <row r="8039">
      <c r="A8039" s="72"/>
      <c r="B8039" s="72"/>
      <c r="C8039" s="72"/>
      <c r="D8039" s="72"/>
      <c r="E8039" s="72"/>
    </row>
    <row r="8040">
      <c r="A8040" s="72"/>
      <c r="B8040" s="72"/>
      <c r="C8040" s="72"/>
      <c r="D8040" s="72"/>
      <c r="E8040" s="72"/>
    </row>
    <row r="8041">
      <c r="A8041" s="72"/>
      <c r="B8041" s="72"/>
      <c r="C8041" s="72"/>
      <c r="D8041" s="72"/>
      <c r="E8041" s="72"/>
    </row>
    <row r="8042">
      <c r="A8042" s="72"/>
      <c r="B8042" s="72"/>
      <c r="C8042" s="72"/>
      <c r="D8042" s="72"/>
      <c r="E8042" s="72"/>
    </row>
    <row r="8043">
      <c r="A8043" s="72"/>
      <c r="B8043" s="72"/>
      <c r="C8043" s="72"/>
      <c r="D8043" s="72"/>
      <c r="E8043" s="72"/>
    </row>
    <row r="8044">
      <c r="A8044" s="72"/>
      <c r="B8044" s="72"/>
      <c r="C8044" s="72"/>
      <c r="D8044" s="72"/>
      <c r="E8044" s="72"/>
    </row>
    <row r="8045">
      <c r="A8045" s="72"/>
      <c r="B8045" s="72"/>
      <c r="C8045" s="72"/>
      <c r="D8045" s="72"/>
      <c r="E8045" s="72"/>
    </row>
    <row r="8046">
      <c r="A8046" s="72"/>
      <c r="B8046" s="72"/>
      <c r="C8046" s="72"/>
      <c r="D8046" s="72"/>
      <c r="E8046" s="72"/>
    </row>
    <row r="8047">
      <c r="A8047" s="72"/>
      <c r="B8047" s="72"/>
      <c r="C8047" s="72"/>
      <c r="D8047" s="72"/>
      <c r="E8047" s="72"/>
    </row>
    <row r="8048">
      <c r="A8048" s="72"/>
      <c r="B8048" s="72"/>
      <c r="C8048" s="72"/>
      <c r="D8048" s="72"/>
      <c r="E8048" s="72"/>
    </row>
    <row r="8049">
      <c r="A8049" s="72"/>
      <c r="B8049" s="72"/>
      <c r="C8049" s="72"/>
      <c r="D8049" s="72"/>
      <c r="E8049" s="72"/>
    </row>
    <row r="8050">
      <c r="A8050" s="72"/>
      <c r="B8050" s="72"/>
      <c r="C8050" s="72"/>
      <c r="D8050" s="72"/>
      <c r="E8050" s="72"/>
    </row>
    <row r="8051">
      <c r="A8051" s="72"/>
      <c r="B8051" s="72"/>
      <c r="C8051" s="72"/>
      <c r="D8051" s="72"/>
      <c r="E8051" s="72"/>
    </row>
    <row r="8052">
      <c r="A8052" s="72"/>
      <c r="B8052" s="72"/>
      <c r="C8052" s="72"/>
      <c r="D8052" s="72"/>
      <c r="E8052" s="72"/>
    </row>
    <row r="8053">
      <c r="A8053" s="72"/>
      <c r="B8053" s="72"/>
      <c r="C8053" s="72"/>
      <c r="D8053" s="72"/>
      <c r="E8053" s="72"/>
    </row>
    <row r="8054">
      <c r="A8054" s="72"/>
      <c r="B8054" s="72"/>
      <c r="C8054" s="72"/>
      <c r="D8054" s="72"/>
      <c r="E8054" s="72"/>
    </row>
    <row r="8055">
      <c r="A8055" s="72"/>
      <c r="B8055" s="72"/>
      <c r="C8055" s="72"/>
      <c r="D8055" s="72"/>
      <c r="E8055" s="72"/>
    </row>
    <row r="8056">
      <c r="A8056" s="72"/>
      <c r="B8056" s="72"/>
      <c r="C8056" s="72"/>
      <c r="D8056" s="72"/>
      <c r="E8056" s="72"/>
    </row>
    <row r="8057">
      <c r="A8057" s="72"/>
      <c r="B8057" s="72"/>
      <c r="C8057" s="72"/>
      <c r="D8057" s="72"/>
      <c r="E8057" s="72"/>
    </row>
    <row r="8058">
      <c r="A8058" s="72"/>
      <c r="B8058" s="72"/>
      <c r="C8058" s="72"/>
      <c r="D8058" s="72"/>
      <c r="E8058" s="72"/>
    </row>
    <row r="8059">
      <c r="A8059" s="72"/>
      <c r="B8059" s="72"/>
      <c r="C8059" s="72"/>
      <c r="D8059" s="72"/>
      <c r="E8059" s="72"/>
    </row>
    <row r="8060">
      <c r="A8060" s="72"/>
      <c r="B8060" s="72"/>
      <c r="C8060" s="72"/>
      <c r="D8060" s="72"/>
      <c r="E8060" s="72"/>
    </row>
    <row r="8061">
      <c r="A8061" s="72"/>
      <c r="B8061" s="72"/>
      <c r="C8061" s="72"/>
      <c r="D8061" s="72"/>
      <c r="E8061" s="72"/>
    </row>
    <row r="8062">
      <c r="A8062" s="72"/>
      <c r="B8062" s="72"/>
      <c r="C8062" s="72"/>
      <c r="D8062" s="72"/>
      <c r="E8062" s="72"/>
    </row>
    <row r="8063">
      <c r="A8063" s="72"/>
      <c r="B8063" s="72"/>
      <c r="C8063" s="72"/>
      <c r="D8063" s="72"/>
      <c r="E8063" s="72"/>
    </row>
    <row r="8064">
      <c r="A8064" s="72"/>
      <c r="B8064" s="72"/>
      <c r="C8064" s="72"/>
      <c r="D8064" s="72"/>
      <c r="E8064" s="72"/>
    </row>
    <row r="8065">
      <c r="A8065" s="72"/>
      <c r="B8065" s="72"/>
      <c r="C8065" s="72"/>
      <c r="D8065" s="72"/>
      <c r="E8065" s="72"/>
    </row>
    <row r="8066">
      <c r="A8066" s="72"/>
      <c r="B8066" s="72"/>
      <c r="C8066" s="72"/>
      <c r="D8066" s="72"/>
      <c r="E8066" s="72"/>
    </row>
    <row r="8067">
      <c r="A8067" s="72"/>
      <c r="B8067" s="72"/>
      <c r="C8067" s="72"/>
      <c r="D8067" s="72"/>
      <c r="E8067" s="72"/>
    </row>
    <row r="8068">
      <c r="A8068" s="72"/>
      <c r="B8068" s="72"/>
      <c r="C8068" s="72"/>
      <c r="D8068" s="72"/>
      <c r="E8068" s="72"/>
    </row>
    <row r="8069">
      <c r="A8069" s="72"/>
      <c r="B8069" s="72"/>
      <c r="C8069" s="72"/>
      <c r="D8069" s="72"/>
      <c r="E8069" s="72"/>
    </row>
    <row r="8070">
      <c r="A8070" s="72"/>
      <c r="B8070" s="72"/>
      <c r="C8070" s="72"/>
      <c r="D8070" s="72"/>
      <c r="E8070" s="72"/>
    </row>
    <row r="8071">
      <c r="A8071" s="72"/>
      <c r="B8071" s="72"/>
      <c r="C8071" s="72"/>
      <c r="D8071" s="72"/>
      <c r="E8071" s="72"/>
    </row>
    <row r="8072">
      <c r="A8072" s="72"/>
      <c r="B8072" s="72"/>
      <c r="C8072" s="72"/>
      <c r="D8072" s="72"/>
      <c r="E8072" s="72"/>
    </row>
    <row r="8073">
      <c r="A8073" s="72"/>
      <c r="B8073" s="72"/>
      <c r="C8073" s="72"/>
      <c r="D8073" s="72"/>
      <c r="E8073" s="72"/>
    </row>
    <row r="8074">
      <c r="A8074" s="72"/>
      <c r="B8074" s="72"/>
      <c r="C8074" s="72"/>
      <c r="D8074" s="72"/>
      <c r="E8074" s="72"/>
    </row>
    <row r="8075">
      <c r="A8075" s="72"/>
      <c r="B8075" s="72"/>
      <c r="C8075" s="72"/>
      <c r="D8075" s="72"/>
      <c r="E8075" s="72"/>
    </row>
    <row r="8076">
      <c r="A8076" s="72"/>
      <c r="B8076" s="72"/>
      <c r="C8076" s="72"/>
      <c r="D8076" s="72"/>
      <c r="E8076" s="72"/>
    </row>
    <row r="8077">
      <c r="A8077" s="72"/>
      <c r="B8077" s="72"/>
      <c r="C8077" s="72"/>
      <c r="D8077" s="72"/>
      <c r="E8077" s="72"/>
    </row>
    <row r="8078">
      <c r="A8078" s="72"/>
      <c r="B8078" s="72"/>
      <c r="C8078" s="72"/>
      <c r="D8078" s="72"/>
      <c r="E8078" s="72"/>
    </row>
    <row r="8079">
      <c r="A8079" s="72"/>
      <c r="B8079" s="72"/>
      <c r="C8079" s="72"/>
      <c r="D8079" s="72"/>
      <c r="E8079" s="72"/>
    </row>
    <row r="8080">
      <c r="A8080" s="72"/>
      <c r="B8080" s="72"/>
      <c r="C8080" s="72"/>
      <c r="D8080" s="72"/>
      <c r="E8080" s="72"/>
    </row>
    <row r="8081">
      <c r="A8081" s="72"/>
      <c r="B8081" s="72"/>
      <c r="C8081" s="72"/>
      <c r="D8081" s="72"/>
      <c r="E8081" s="72"/>
    </row>
    <row r="8082">
      <c r="A8082" s="72"/>
      <c r="B8082" s="72"/>
      <c r="C8082" s="72"/>
      <c r="D8082" s="72"/>
      <c r="E8082" s="72"/>
    </row>
    <row r="8083">
      <c r="A8083" s="72"/>
      <c r="B8083" s="72"/>
      <c r="C8083" s="72"/>
      <c r="D8083" s="72"/>
      <c r="E8083" s="72"/>
    </row>
    <row r="8084">
      <c r="A8084" s="72"/>
      <c r="B8084" s="72"/>
      <c r="C8084" s="72"/>
      <c r="D8084" s="72"/>
      <c r="E8084" s="72"/>
    </row>
    <row r="8085">
      <c r="A8085" s="72"/>
      <c r="B8085" s="72"/>
      <c r="C8085" s="72"/>
      <c r="D8085" s="72"/>
      <c r="E8085" s="72"/>
    </row>
    <row r="8086">
      <c r="A8086" s="72"/>
      <c r="B8086" s="72"/>
      <c r="C8086" s="72"/>
      <c r="D8086" s="72"/>
      <c r="E8086" s="72"/>
    </row>
    <row r="8087">
      <c r="A8087" s="72"/>
      <c r="B8087" s="72"/>
      <c r="C8087" s="72"/>
      <c r="D8087" s="72"/>
      <c r="E8087" s="72"/>
    </row>
    <row r="8088">
      <c r="A8088" s="72"/>
      <c r="B8088" s="72"/>
      <c r="C8088" s="72"/>
      <c r="D8088" s="72"/>
      <c r="E8088" s="72"/>
    </row>
    <row r="8089">
      <c r="A8089" s="72"/>
      <c r="B8089" s="72"/>
      <c r="C8089" s="72"/>
      <c r="D8089" s="72"/>
      <c r="E8089" s="72"/>
    </row>
    <row r="8090">
      <c r="A8090" s="72"/>
      <c r="B8090" s="72"/>
      <c r="C8090" s="72"/>
      <c r="D8090" s="72"/>
      <c r="E8090" s="72"/>
    </row>
    <row r="8091">
      <c r="A8091" s="72"/>
      <c r="B8091" s="72"/>
      <c r="C8091" s="72"/>
      <c r="D8091" s="72"/>
      <c r="E8091" s="72"/>
    </row>
    <row r="8092">
      <c r="A8092" s="72"/>
      <c r="B8092" s="72"/>
      <c r="C8092" s="72"/>
      <c r="D8092" s="72"/>
      <c r="E8092" s="72"/>
    </row>
    <row r="8093">
      <c r="A8093" s="72"/>
      <c r="B8093" s="72"/>
      <c r="C8093" s="72"/>
      <c r="D8093" s="72"/>
      <c r="E8093" s="72"/>
    </row>
    <row r="8094">
      <c r="A8094" s="72"/>
      <c r="B8094" s="72"/>
      <c r="C8094" s="72"/>
      <c r="D8094" s="72"/>
      <c r="E8094" s="72"/>
    </row>
    <row r="8095">
      <c r="A8095" s="72"/>
      <c r="B8095" s="72"/>
      <c r="C8095" s="72"/>
      <c r="D8095" s="72"/>
      <c r="E8095" s="72"/>
    </row>
    <row r="8096">
      <c r="A8096" s="72"/>
      <c r="B8096" s="72"/>
      <c r="C8096" s="72"/>
      <c r="D8096" s="72"/>
      <c r="E8096" s="72"/>
    </row>
    <row r="8097">
      <c r="A8097" s="72"/>
      <c r="B8097" s="72"/>
      <c r="C8097" s="72"/>
      <c r="D8097" s="72"/>
      <c r="E8097" s="72"/>
    </row>
    <row r="8098">
      <c r="A8098" s="72"/>
      <c r="B8098" s="72"/>
      <c r="C8098" s="72"/>
      <c r="D8098" s="72"/>
      <c r="E8098" s="72"/>
    </row>
    <row r="8099">
      <c r="A8099" s="72"/>
      <c r="B8099" s="72"/>
      <c r="C8099" s="72"/>
      <c r="D8099" s="72"/>
      <c r="E8099" s="72"/>
    </row>
    <row r="8100">
      <c r="A8100" s="72"/>
      <c r="B8100" s="72"/>
      <c r="C8100" s="72"/>
      <c r="D8100" s="72"/>
      <c r="E8100" s="72"/>
    </row>
    <row r="8101">
      <c r="A8101" s="72"/>
      <c r="B8101" s="72"/>
      <c r="C8101" s="72"/>
      <c r="D8101" s="72"/>
      <c r="E8101" s="72"/>
    </row>
    <row r="8102">
      <c r="A8102" s="72"/>
      <c r="B8102" s="72"/>
      <c r="C8102" s="72"/>
      <c r="D8102" s="72"/>
      <c r="E8102" s="72"/>
    </row>
    <row r="8103">
      <c r="A8103" s="72"/>
      <c r="B8103" s="72"/>
      <c r="C8103" s="72"/>
      <c r="D8103" s="72"/>
      <c r="E8103" s="72"/>
    </row>
    <row r="8104">
      <c r="A8104" s="72"/>
      <c r="B8104" s="72"/>
      <c r="C8104" s="72"/>
      <c r="D8104" s="72"/>
      <c r="E8104" s="72"/>
    </row>
    <row r="8105">
      <c r="A8105" s="72"/>
      <c r="B8105" s="72"/>
      <c r="C8105" s="72"/>
      <c r="D8105" s="72"/>
      <c r="E8105" s="72"/>
    </row>
    <row r="8106">
      <c r="A8106" s="72"/>
      <c r="B8106" s="72"/>
      <c r="C8106" s="72"/>
      <c r="D8106" s="72"/>
      <c r="E8106" s="72"/>
    </row>
    <row r="8107">
      <c r="A8107" s="72"/>
      <c r="B8107" s="72"/>
      <c r="C8107" s="72"/>
      <c r="D8107" s="72"/>
      <c r="E8107" s="72"/>
    </row>
    <row r="8108">
      <c r="A8108" s="72"/>
      <c r="B8108" s="72"/>
      <c r="C8108" s="72"/>
      <c r="D8108" s="72"/>
      <c r="E8108" s="72"/>
    </row>
    <row r="8109">
      <c r="A8109" s="72"/>
      <c r="B8109" s="72"/>
      <c r="C8109" s="72"/>
      <c r="D8109" s="72"/>
      <c r="E8109" s="72"/>
    </row>
    <row r="8110">
      <c r="A8110" s="72"/>
      <c r="B8110" s="72"/>
      <c r="C8110" s="72"/>
      <c r="D8110" s="72"/>
      <c r="E8110" s="72"/>
    </row>
    <row r="8111">
      <c r="A8111" s="72"/>
      <c r="B8111" s="72"/>
      <c r="C8111" s="72"/>
      <c r="D8111" s="72"/>
      <c r="E8111" s="72"/>
    </row>
    <row r="8112">
      <c r="A8112" s="72"/>
      <c r="B8112" s="72"/>
      <c r="C8112" s="72"/>
      <c r="D8112" s="72"/>
      <c r="E8112" s="72"/>
    </row>
    <row r="8113">
      <c r="A8113" s="72"/>
      <c r="B8113" s="72"/>
      <c r="C8113" s="72"/>
      <c r="D8113" s="72"/>
      <c r="E8113" s="72"/>
    </row>
    <row r="8114">
      <c r="A8114" s="72"/>
      <c r="B8114" s="72"/>
      <c r="C8114" s="72"/>
      <c r="D8114" s="72"/>
      <c r="E8114" s="72"/>
    </row>
    <row r="8115">
      <c r="A8115" s="72"/>
      <c r="B8115" s="72"/>
      <c r="C8115" s="72"/>
      <c r="D8115" s="72"/>
      <c r="E8115" s="72"/>
    </row>
    <row r="8116">
      <c r="A8116" s="72"/>
      <c r="B8116" s="72"/>
      <c r="C8116" s="72"/>
      <c r="D8116" s="72"/>
      <c r="E8116" s="72"/>
    </row>
    <row r="8117">
      <c r="A8117" s="72"/>
      <c r="B8117" s="72"/>
      <c r="C8117" s="72"/>
      <c r="D8117" s="72"/>
      <c r="E8117" s="72"/>
    </row>
    <row r="8118">
      <c r="A8118" s="72"/>
      <c r="B8118" s="72"/>
      <c r="C8118" s="72"/>
      <c r="D8118" s="72"/>
      <c r="E8118" s="72"/>
    </row>
    <row r="8119">
      <c r="A8119" s="72"/>
      <c r="B8119" s="72"/>
      <c r="C8119" s="72"/>
      <c r="D8119" s="72"/>
      <c r="E8119" s="72"/>
    </row>
    <row r="8120">
      <c r="A8120" s="72"/>
      <c r="B8120" s="72"/>
      <c r="C8120" s="72"/>
      <c r="D8120" s="72"/>
      <c r="E8120" s="72"/>
    </row>
    <row r="8121">
      <c r="A8121" s="72"/>
      <c r="B8121" s="72"/>
      <c r="C8121" s="72"/>
      <c r="D8121" s="72"/>
      <c r="E8121" s="72"/>
    </row>
    <row r="8122">
      <c r="A8122" s="72"/>
      <c r="B8122" s="72"/>
      <c r="C8122" s="72"/>
      <c r="D8122" s="72"/>
      <c r="E8122" s="72"/>
    </row>
    <row r="8123">
      <c r="A8123" s="72"/>
      <c r="B8123" s="72"/>
      <c r="C8123" s="72"/>
      <c r="D8123" s="72"/>
      <c r="E8123" s="72"/>
    </row>
    <row r="8124">
      <c r="A8124" s="72"/>
      <c r="B8124" s="72"/>
      <c r="C8124" s="72"/>
      <c r="D8124" s="72"/>
      <c r="E8124" s="72"/>
    </row>
    <row r="8125">
      <c r="A8125" s="72"/>
      <c r="B8125" s="72"/>
      <c r="C8125" s="72"/>
      <c r="D8125" s="72"/>
      <c r="E8125" s="72"/>
    </row>
    <row r="8126">
      <c r="A8126" s="72"/>
      <c r="B8126" s="72"/>
      <c r="C8126" s="72"/>
      <c r="D8126" s="72"/>
      <c r="E8126" s="72"/>
    </row>
    <row r="8127">
      <c r="A8127" s="72"/>
      <c r="B8127" s="72"/>
      <c r="C8127" s="72"/>
      <c r="D8127" s="72"/>
      <c r="E8127" s="72"/>
    </row>
    <row r="8128">
      <c r="A8128" s="72"/>
      <c r="B8128" s="72"/>
      <c r="C8128" s="72"/>
      <c r="D8128" s="72"/>
      <c r="E8128" s="72"/>
    </row>
    <row r="8129">
      <c r="A8129" s="72"/>
      <c r="B8129" s="72"/>
      <c r="C8129" s="72"/>
      <c r="D8129" s="72"/>
      <c r="E8129" s="72"/>
    </row>
    <row r="8130">
      <c r="A8130" s="72"/>
      <c r="B8130" s="72"/>
      <c r="C8130" s="72"/>
      <c r="D8130" s="72"/>
      <c r="E8130" s="72"/>
    </row>
    <row r="8131">
      <c r="A8131" s="72"/>
      <c r="B8131" s="72"/>
      <c r="C8131" s="72"/>
      <c r="D8131" s="72"/>
      <c r="E8131" s="72"/>
    </row>
    <row r="8132">
      <c r="A8132" s="72"/>
      <c r="B8132" s="72"/>
      <c r="C8132" s="72"/>
      <c r="D8132" s="72"/>
      <c r="E8132" s="72"/>
    </row>
    <row r="8133">
      <c r="A8133" s="72"/>
      <c r="B8133" s="72"/>
      <c r="C8133" s="72"/>
      <c r="D8133" s="72"/>
      <c r="E8133" s="72"/>
    </row>
    <row r="8134">
      <c r="A8134" s="72"/>
      <c r="B8134" s="72"/>
      <c r="C8134" s="72"/>
      <c r="D8134" s="72"/>
      <c r="E8134" s="72"/>
    </row>
    <row r="8135">
      <c r="A8135" s="72"/>
      <c r="B8135" s="72"/>
      <c r="C8135" s="72"/>
      <c r="D8135" s="72"/>
      <c r="E8135" s="72"/>
    </row>
    <row r="8136">
      <c r="A8136" s="72"/>
      <c r="B8136" s="72"/>
      <c r="C8136" s="72"/>
      <c r="D8136" s="72"/>
      <c r="E8136" s="72"/>
    </row>
    <row r="8137">
      <c r="A8137" s="72"/>
      <c r="B8137" s="72"/>
      <c r="C8137" s="72"/>
      <c r="D8137" s="72"/>
      <c r="E8137" s="72"/>
    </row>
    <row r="8138">
      <c r="A8138" s="72"/>
      <c r="B8138" s="72"/>
      <c r="C8138" s="72"/>
      <c r="D8138" s="72"/>
      <c r="E8138" s="72"/>
    </row>
    <row r="8139">
      <c r="A8139" s="72"/>
      <c r="B8139" s="72"/>
      <c r="C8139" s="72"/>
      <c r="D8139" s="72"/>
      <c r="E8139" s="72"/>
    </row>
    <row r="8140">
      <c r="A8140" s="72"/>
      <c r="B8140" s="72"/>
      <c r="C8140" s="72"/>
      <c r="D8140" s="72"/>
      <c r="E8140" s="72"/>
    </row>
    <row r="8141">
      <c r="A8141" s="72"/>
      <c r="B8141" s="72"/>
      <c r="C8141" s="72"/>
      <c r="D8141" s="72"/>
      <c r="E8141" s="72"/>
    </row>
    <row r="8142">
      <c r="A8142" s="72"/>
      <c r="B8142" s="72"/>
      <c r="C8142" s="72"/>
      <c r="D8142" s="72"/>
      <c r="E8142" s="72"/>
    </row>
    <row r="8143">
      <c r="A8143" s="72"/>
      <c r="B8143" s="72"/>
      <c r="C8143" s="72"/>
      <c r="D8143" s="72"/>
      <c r="E8143" s="72"/>
    </row>
    <row r="8144">
      <c r="A8144" s="72"/>
      <c r="B8144" s="72"/>
      <c r="C8144" s="72"/>
      <c r="D8144" s="72"/>
      <c r="E8144" s="72"/>
    </row>
    <row r="8145">
      <c r="A8145" s="72"/>
      <c r="B8145" s="72"/>
      <c r="C8145" s="72"/>
      <c r="D8145" s="72"/>
      <c r="E8145" s="72"/>
    </row>
    <row r="8146">
      <c r="A8146" s="72"/>
      <c r="B8146" s="72"/>
      <c r="C8146" s="72"/>
      <c r="D8146" s="72"/>
      <c r="E8146" s="72"/>
    </row>
    <row r="8147">
      <c r="A8147" s="72"/>
      <c r="B8147" s="72"/>
      <c r="C8147" s="72"/>
      <c r="D8147" s="72"/>
      <c r="E8147" s="72"/>
    </row>
    <row r="8148">
      <c r="A8148" s="72"/>
      <c r="B8148" s="72"/>
      <c r="C8148" s="72"/>
      <c r="D8148" s="72"/>
      <c r="E8148" s="72"/>
    </row>
    <row r="8149">
      <c r="A8149" s="72"/>
      <c r="B8149" s="72"/>
      <c r="C8149" s="72"/>
      <c r="D8149" s="72"/>
      <c r="E8149" s="72"/>
    </row>
    <row r="8150">
      <c r="A8150" s="72"/>
      <c r="B8150" s="72"/>
      <c r="C8150" s="72"/>
      <c r="D8150" s="72"/>
      <c r="E8150" s="72"/>
    </row>
    <row r="8151">
      <c r="A8151" s="72"/>
      <c r="B8151" s="72"/>
      <c r="C8151" s="72"/>
      <c r="D8151" s="72"/>
      <c r="E8151" s="72"/>
    </row>
    <row r="8152">
      <c r="A8152" s="72"/>
      <c r="B8152" s="72"/>
      <c r="C8152" s="72"/>
      <c r="D8152" s="72"/>
      <c r="E8152" s="72"/>
    </row>
    <row r="8153">
      <c r="A8153" s="72"/>
      <c r="B8153" s="72"/>
      <c r="C8153" s="72"/>
      <c r="D8153" s="72"/>
      <c r="E8153" s="72"/>
    </row>
    <row r="8154">
      <c r="A8154" s="72"/>
      <c r="B8154" s="72"/>
      <c r="C8154" s="72"/>
      <c r="D8154" s="72"/>
      <c r="E8154" s="72"/>
    </row>
    <row r="8155">
      <c r="A8155" s="72"/>
      <c r="B8155" s="72"/>
      <c r="C8155" s="72"/>
      <c r="D8155" s="72"/>
      <c r="E8155" s="72"/>
    </row>
    <row r="8156">
      <c r="A8156" s="72"/>
      <c r="B8156" s="72"/>
      <c r="C8156" s="72"/>
      <c r="D8156" s="72"/>
      <c r="E8156" s="72"/>
    </row>
    <row r="8157">
      <c r="A8157" s="72"/>
      <c r="B8157" s="72"/>
      <c r="C8157" s="72"/>
      <c r="D8157" s="72"/>
      <c r="E8157" s="72"/>
    </row>
    <row r="8158">
      <c r="A8158" s="72"/>
      <c r="B8158" s="72"/>
      <c r="C8158" s="72"/>
      <c r="D8158" s="72"/>
      <c r="E8158" s="72"/>
    </row>
    <row r="8159">
      <c r="A8159" s="72"/>
      <c r="B8159" s="72"/>
      <c r="C8159" s="72"/>
      <c r="D8159" s="72"/>
      <c r="E8159" s="72"/>
    </row>
    <row r="8160">
      <c r="A8160" s="72"/>
      <c r="B8160" s="72"/>
      <c r="C8160" s="72"/>
      <c r="D8160" s="72"/>
      <c r="E8160" s="72"/>
    </row>
    <row r="8161">
      <c r="A8161" s="72"/>
      <c r="B8161" s="72"/>
      <c r="C8161" s="72"/>
      <c r="D8161" s="72"/>
      <c r="E8161" s="72"/>
    </row>
    <row r="8162">
      <c r="A8162" s="72"/>
      <c r="B8162" s="72"/>
      <c r="C8162" s="72"/>
      <c r="D8162" s="72"/>
      <c r="E8162" s="72"/>
    </row>
    <row r="8163">
      <c r="A8163" s="72"/>
      <c r="B8163" s="72"/>
      <c r="C8163" s="72"/>
      <c r="D8163" s="72"/>
      <c r="E8163" s="72"/>
    </row>
    <row r="8164">
      <c r="A8164" s="72"/>
      <c r="B8164" s="72"/>
      <c r="C8164" s="72"/>
      <c r="D8164" s="72"/>
      <c r="E8164" s="72"/>
    </row>
    <row r="8165">
      <c r="A8165" s="72"/>
      <c r="B8165" s="72"/>
      <c r="C8165" s="72"/>
      <c r="D8165" s="72"/>
      <c r="E8165" s="72"/>
    </row>
    <row r="8166">
      <c r="A8166" s="72"/>
      <c r="B8166" s="72"/>
      <c r="C8166" s="72"/>
      <c r="D8166" s="72"/>
      <c r="E8166" s="72"/>
    </row>
    <row r="8167">
      <c r="A8167" s="72"/>
      <c r="B8167" s="72"/>
      <c r="C8167" s="72"/>
      <c r="D8167" s="72"/>
      <c r="E8167" s="72"/>
    </row>
    <row r="8168">
      <c r="A8168" s="72"/>
      <c r="B8168" s="72"/>
      <c r="C8168" s="72"/>
      <c r="D8168" s="72"/>
      <c r="E8168" s="72"/>
    </row>
    <row r="8169">
      <c r="A8169" s="72"/>
      <c r="B8169" s="72"/>
      <c r="C8169" s="72"/>
      <c r="D8169" s="72"/>
      <c r="E8169" s="72"/>
    </row>
    <row r="8170">
      <c r="A8170" s="72"/>
      <c r="B8170" s="72"/>
      <c r="C8170" s="72"/>
      <c r="D8170" s="72"/>
      <c r="E8170" s="72"/>
    </row>
    <row r="8171">
      <c r="A8171" s="72"/>
      <c r="B8171" s="72"/>
      <c r="C8171" s="72"/>
      <c r="D8171" s="72"/>
      <c r="E8171" s="72"/>
    </row>
    <row r="8172">
      <c r="A8172" s="72"/>
      <c r="B8172" s="72"/>
      <c r="C8172" s="72"/>
      <c r="D8172" s="72"/>
      <c r="E8172" s="72"/>
    </row>
    <row r="8173">
      <c r="A8173" s="72"/>
      <c r="B8173" s="72"/>
      <c r="C8173" s="72"/>
      <c r="D8173" s="72"/>
      <c r="E8173" s="72"/>
    </row>
    <row r="8174">
      <c r="A8174" s="72"/>
      <c r="B8174" s="72"/>
      <c r="C8174" s="72"/>
      <c r="D8174" s="72"/>
      <c r="E8174" s="72"/>
    </row>
    <row r="8175">
      <c r="A8175" s="72"/>
      <c r="B8175" s="72"/>
      <c r="C8175" s="72"/>
      <c r="D8175" s="72"/>
      <c r="E8175" s="72"/>
    </row>
    <row r="8176">
      <c r="A8176" s="72"/>
      <c r="B8176" s="72"/>
      <c r="C8176" s="72"/>
      <c r="D8176" s="72"/>
      <c r="E8176" s="72"/>
    </row>
    <row r="8177">
      <c r="A8177" s="72"/>
      <c r="B8177" s="72"/>
      <c r="C8177" s="72"/>
      <c r="D8177" s="72"/>
      <c r="E8177" s="72"/>
    </row>
    <row r="8178">
      <c r="A8178" s="72"/>
      <c r="B8178" s="72"/>
      <c r="C8178" s="72"/>
      <c r="D8178" s="72"/>
      <c r="E8178" s="72"/>
    </row>
    <row r="8179">
      <c r="A8179" s="72"/>
      <c r="B8179" s="72"/>
      <c r="C8179" s="72"/>
      <c r="D8179" s="72"/>
      <c r="E8179" s="72"/>
    </row>
    <row r="8180">
      <c r="A8180" s="72"/>
      <c r="B8180" s="72"/>
      <c r="C8180" s="72"/>
      <c r="D8180" s="72"/>
      <c r="E8180" s="72"/>
    </row>
    <row r="8181">
      <c r="A8181" s="72"/>
      <c r="B8181" s="72"/>
      <c r="C8181" s="72"/>
      <c r="D8181" s="72"/>
      <c r="E8181" s="72"/>
    </row>
    <row r="8182">
      <c r="A8182" s="72"/>
      <c r="B8182" s="72"/>
      <c r="C8182" s="72"/>
      <c r="D8182" s="72"/>
      <c r="E8182" s="72"/>
    </row>
    <row r="8183">
      <c r="A8183" s="72"/>
      <c r="B8183" s="72"/>
      <c r="C8183" s="72"/>
      <c r="D8183" s="72"/>
      <c r="E8183" s="72"/>
    </row>
    <row r="8184">
      <c r="A8184" s="72"/>
      <c r="B8184" s="72"/>
      <c r="C8184" s="72"/>
      <c r="D8184" s="72"/>
      <c r="E8184" s="72"/>
    </row>
    <row r="8185">
      <c r="A8185" s="72"/>
      <c r="B8185" s="72"/>
      <c r="C8185" s="72"/>
      <c r="D8185" s="72"/>
      <c r="E8185" s="72"/>
    </row>
    <row r="8186">
      <c r="A8186" s="72"/>
      <c r="B8186" s="72"/>
      <c r="C8186" s="72"/>
      <c r="D8186" s="72"/>
      <c r="E8186" s="72"/>
    </row>
    <row r="8187">
      <c r="A8187" s="72"/>
      <c r="B8187" s="72"/>
      <c r="C8187" s="72"/>
      <c r="D8187" s="72"/>
      <c r="E8187" s="72"/>
    </row>
    <row r="8188">
      <c r="A8188" s="72"/>
      <c r="B8188" s="72"/>
      <c r="C8188" s="72"/>
      <c r="D8188" s="72"/>
      <c r="E8188" s="72"/>
    </row>
    <row r="8189">
      <c r="A8189" s="72"/>
      <c r="B8189" s="72"/>
      <c r="C8189" s="72"/>
      <c r="D8189" s="72"/>
      <c r="E8189" s="72"/>
    </row>
    <row r="8190">
      <c r="A8190" s="72"/>
      <c r="B8190" s="72"/>
      <c r="C8190" s="72"/>
      <c r="D8190" s="72"/>
      <c r="E8190" s="72"/>
    </row>
    <row r="8191">
      <c r="A8191" s="72"/>
      <c r="B8191" s="72"/>
      <c r="C8191" s="72"/>
      <c r="D8191" s="72"/>
      <c r="E8191" s="72"/>
    </row>
    <row r="8192">
      <c r="A8192" s="72"/>
      <c r="B8192" s="72"/>
      <c r="C8192" s="72"/>
      <c r="D8192" s="72"/>
      <c r="E8192" s="72"/>
    </row>
    <row r="8193">
      <c r="A8193" s="72"/>
      <c r="B8193" s="72"/>
      <c r="C8193" s="72"/>
      <c r="D8193" s="72"/>
      <c r="E8193" s="72"/>
    </row>
    <row r="8194">
      <c r="A8194" s="72"/>
      <c r="B8194" s="72"/>
      <c r="C8194" s="72"/>
      <c r="D8194" s="72"/>
      <c r="E8194" s="72"/>
    </row>
    <row r="8195">
      <c r="A8195" s="72"/>
      <c r="B8195" s="72"/>
      <c r="C8195" s="72"/>
      <c r="D8195" s="72"/>
      <c r="E8195" s="72"/>
    </row>
    <row r="8196">
      <c r="A8196" s="72"/>
      <c r="B8196" s="72"/>
      <c r="C8196" s="72"/>
      <c r="D8196" s="72"/>
      <c r="E8196" s="72"/>
    </row>
    <row r="8197">
      <c r="A8197" s="72"/>
      <c r="B8197" s="72"/>
      <c r="C8197" s="72"/>
      <c r="D8197" s="72"/>
      <c r="E8197" s="72"/>
    </row>
    <row r="8198">
      <c r="A8198" s="72"/>
      <c r="B8198" s="72"/>
      <c r="C8198" s="72"/>
      <c r="D8198" s="72"/>
      <c r="E8198" s="72"/>
    </row>
    <row r="8199">
      <c r="A8199" s="72"/>
      <c r="B8199" s="72"/>
      <c r="C8199" s="72"/>
      <c r="D8199" s="72"/>
      <c r="E8199" s="72"/>
    </row>
    <row r="8200">
      <c r="A8200" s="72"/>
      <c r="B8200" s="72"/>
      <c r="C8200" s="72"/>
      <c r="D8200" s="72"/>
      <c r="E8200" s="72"/>
    </row>
    <row r="8201">
      <c r="A8201" s="72"/>
      <c r="B8201" s="72"/>
      <c r="C8201" s="72"/>
      <c r="D8201" s="72"/>
      <c r="E8201" s="72"/>
    </row>
    <row r="8202">
      <c r="A8202" s="72"/>
      <c r="B8202" s="72"/>
      <c r="C8202" s="72"/>
      <c r="D8202" s="72"/>
      <c r="E8202" s="72"/>
    </row>
    <row r="8203">
      <c r="A8203" s="72"/>
      <c r="B8203" s="72"/>
      <c r="C8203" s="72"/>
      <c r="D8203" s="72"/>
      <c r="E8203" s="72"/>
    </row>
    <row r="8204">
      <c r="A8204" s="72"/>
      <c r="B8204" s="72"/>
      <c r="C8204" s="72"/>
      <c r="D8204" s="72"/>
      <c r="E8204" s="72"/>
    </row>
    <row r="8205">
      <c r="A8205" s="72"/>
      <c r="B8205" s="72"/>
      <c r="C8205" s="72"/>
      <c r="D8205" s="72"/>
      <c r="E8205" s="72"/>
    </row>
    <row r="8206">
      <c r="A8206" s="72"/>
      <c r="B8206" s="72"/>
      <c r="C8206" s="72"/>
      <c r="D8206" s="72"/>
      <c r="E8206" s="72"/>
    </row>
    <row r="8207">
      <c r="A8207" s="72"/>
      <c r="B8207" s="72"/>
      <c r="C8207" s="72"/>
      <c r="D8207" s="72"/>
      <c r="E8207" s="72"/>
    </row>
    <row r="8208">
      <c r="A8208" s="72"/>
      <c r="B8208" s="72"/>
      <c r="C8208" s="72"/>
      <c r="D8208" s="72"/>
      <c r="E8208" s="72"/>
    </row>
    <row r="8209">
      <c r="A8209" s="72"/>
      <c r="B8209" s="72"/>
      <c r="C8209" s="72"/>
      <c r="D8209" s="72"/>
      <c r="E8209" s="72"/>
    </row>
    <row r="8210">
      <c r="A8210" s="72"/>
      <c r="B8210" s="72"/>
      <c r="C8210" s="72"/>
      <c r="D8210" s="72"/>
      <c r="E8210" s="72"/>
    </row>
    <row r="8211">
      <c r="A8211" s="72"/>
      <c r="B8211" s="72"/>
      <c r="C8211" s="72"/>
      <c r="D8211" s="72"/>
      <c r="E8211" s="72"/>
    </row>
    <row r="8212">
      <c r="A8212" s="72"/>
      <c r="B8212" s="72"/>
      <c r="C8212" s="72"/>
      <c r="D8212" s="72"/>
      <c r="E8212" s="72"/>
    </row>
    <row r="8213">
      <c r="A8213" s="72"/>
      <c r="B8213" s="72"/>
      <c r="C8213" s="72"/>
      <c r="D8213" s="72"/>
      <c r="E8213" s="72"/>
    </row>
    <row r="8214">
      <c r="A8214" s="72"/>
      <c r="B8214" s="72"/>
      <c r="C8214" s="72"/>
      <c r="D8214" s="72"/>
      <c r="E8214" s="72"/>
    </row>
    <row r="8215">
      <c r="A8215" s="72"/>
      <c r="B8215" s="72"/>
      <c r="C8215" s="72"/>
      <c r="D8215" s="72"/>
      <c r="E8215" s="72"/>
    </row>
    <row r="8216">
      <c r="A8216" s="72"/>
      <c r="B8216" s="72"/>
      <c r="C8216" s="72"/>
      <c r="D8216" s="72"/>
      <c r="E8216" s="72"/>
    </row>
    <row r="8217">
      <c r="A8217" s="72"/>
      <c r="B8217" s="72"/>
      <c r="C8217" s="72"/>
      <c r="D8217" s="72"/>
      <c r="E8217" s="72"/>
    </row>
    <row r="8218">
      <c r="A8218" s="72"/>
      <c r="B8218" s="72"/>
      <c r="C8218" s="72"/>
      <c r="D8218" s="72"/>
      <c r="E8218" s="72"/>
    </row>
    <row r="8219">
      <c r="A8219" s="72"/>
      <c r="B8219" s="72"/>
      <c r="C8219" s="72"/>
      <c r="D8219" s="72"/>
      <c r="E8219" s="72"/>
    </row>
    <row r="8220">
      <c r="A8220" s="72"/>
      <c r="B8220" s="72"/>
      <c r="C8220" s="72"/>
      <c r="D8220" s="72"/>
      <c r="E8220" s="72"/>
    </row>
    <row r="8221">
      <c r="A8221" s="72"/>
      <c r="B8221" s="72"/>
      <c r="C8221" s="72"/>
      <c r="D8221" s="72"/>
      <c r="E8221" s="72"/>
    </row>
    <row r="8222">
      <c r="A8222" s="72"/>
      <c r="B8222" s="72"/>
      <c r="C8222" s="72"/>
      <c r="D8222" s="72"/>
      <c r="E8222" s="72"/>
    </row>
    <row r="8223">
      <c r="A8223" s="72"/>
      <c r="B8223" s="72"/>
      <c r="C8223" s="72"/>
      <c r="D8223" s="72"/>
      <c r="E8223" s="72"/>
    </row>
    <row r="8224">
      <c r="A8224" s="72"/>
      <c r="B8224" s="72"/>
      <c r="C8224" s="72"/>
      <c r="D8224" s="72"/>
      <c r="E8224" s="72"/>
    </row>
    <row r="8225">
      <c r="A8225" s="72"/>
      <c r="B8225" s="72"/>
      <c r="C8225" s="72"/>
      <c r="D8225" s="72"/>
      <c r="E8225" s="72"/>
    </row>
    <row r="8226">
      <c r="A8226" s="72"/>
      <c r="B8226" s="72"/>
      <c r="C8226" s="72"/>
      <c r="D8226" s="72"/>
      <c r="E8226" s="72"/>
    </row>
    <row r="8227">
      <c r="A8227" s="72"/>
      <c r="B8227" s="72"/>
      <c r="C8227" s="72"/>
      <c r="D8227" s="72"/>
      <c r="E8227" s="72"/>
    </row>
    <row r="8228">
      <c r="A8228" s="72"/>
      <c r="B8228" s="72"/>
      <c r="C8228" s="72"/>
      <c r="D8228" s="72"/>
      <c r="E8228" s="72"/>
    </row>
    <row r="8229">
      <c r="A8229" s="72"/>
      <c r="B8229" s="72"/>
      <c r="C8229" s="72"/>
      <c r="D8229" s="72"/>
      <c r="E8229" s="72"/>
    </row>
    <row r="8230">
      <c r="A8230" s="72"/>
      <c r="B8230" s="72"/>
      <c r="C8230" s="72"/>
      <c r="D8230" s="72"/>
      <c r="E8230" s="72"/>
    </row>
    <row r="8231">
      <c r="A8231" s="72"/>
      <c r="B8231" s="72"/>
      <c r="C8231" s="72"/>
      <c r="D8231" s="72"/>
      <c r="E8231" s="72"/>
    </row>
    <row r="8232">
      <c r="A8232" s="72"/>
      <c r="B8232" s="72"/>
      <c r="C8232" s="72"/>
      <c r="D8232" s="72"/>
      <c r="E8232" s="72"/>
    </row>
    <row r="8233">
      <c r="A8233" s="72"/>
      <c r="B8233" s="72"/>
      <c r="C8233" s="72"/>
      <c r="D8233" s="72"/>
      <c r="E8233" s="72"/>
    </row>
    <row r="8234">
      <c r="A8234" s="72"/>
      <c r="B8234" s="72"/>
      <c r="C8234" s="72"/>
      <c r="D8234" s="72"/>
      <c r="E8234" s="72"/>
    </row>
    <row r="8235">
      <c r="A8235" s="72"/>
      <c r="B8235" s="72"/>
      <c r="C8235" s="72"/>
      <c r="D8235" s="72"/>
      <c r="E8235" s="72"/>
    </row>
    <row r="8236">
      <c r="A8236" s="72"/>
      <c r="B8236" s="72"/>
      <c r="C8236" s="72"/>
      <c r="D8236" s="72"/>
      <c r="E8236" s="72"/>
    </row>
    <row r="8237">
      <c r="A8237" s="72"/>
      <c r="B8237" s="72"/>
      <c r="C8237" s="72"/>
      <c r="D8237" s="72"/>
      <c r="E8237" s="72"/>
    </row>
    <row r="8238">
      <c r="A8238" s="72"/>
      <c r="B8238" s="72"/>
      <c r="C8238" s="72"/>
      <c r="D8238" s="72"/>
      <c r="E8238" s="72"/>
    </row>
    <row r="8239">
      <c r="A8239" s="72"/>
      <c r="B8239" s="72"/>
      <c r="C8239" s="72"/>
      <c r="D8239" s="72"/>
      <c r="E8239" s="72"/>
    </row>
    <row r="8240">
      <c r="A8240" s="72"/>
      <c r="B8240" s="72"/>
      <c r="C8240" s="72"/>
      <c r="D8240" s="72"/>
      <c r="E8240" s="72"/>
    </row>
    <row r="8241">
      <c r="A8241" s="72"/>
      <c r="B8241" s="72"/>
      <c r="C8241" s="72"/>
      <c r="D8241" s="72"/>
      <c r="E8241" s="72"/>
    </row>
    <row r="8242">
      <c r="A8242" s="72"/>
      <c r="B8242" s="72"/>
      <c r="C8242" s="72"/>
      <c r="D8242" s="72"/>
      <c r="E8242" s="72"/>
    </row>
    <row r="8243">
      <c r="A8243" s="72"/>
      <c r="B8243" s="72"/>
      <c r="C8243" s="72"/>
      <c r="D8243" s="72"/>
      <c r="E8243" s="72"/>
    </row>
    <row r="8244">
      <c r="A8244" s="72"/>
      <c r="B8244" s="72"/>
      <c r="C8244" s="72"/>
      <c r="D8244" s="72"/>
      <c r="E8244" s="72"/>
    </row>
    <row r="8245">
      <c r="A8245" s="72"/>
      <c r="B8245" s="72"/>
      <c r="C8245" s="72"/>
      <c r="D8245" s="72"/>
      <c r="E8245" s="72"/>
    </row>
    <row r="8246">
      <c r="A8246" s="72"/>
      <c r="B8246" s="72"/>
      <c r="C8246" s="72"/>
      <c r="D8246" s="72"/>
      <c r="E8246" s="72"/>
    </row>
    <row r="8247">
      <c r="A8247" s="72"/>
      <c r="B8247" s="72"/>
      <c r="C8247" s="72"/>
      <c r="D8247" s="72"/>
      <c r="E8247" s="72"/>
    </row>
    <row r="8248">
      <c r="A8248" s="72"/>
      <c r="B8248" s="72"/>
      <c r="C8248" s="72"/>
      <c r="D8248" s="72"/>
      <c r="E8248" s="72"/>
    </row>
    <row r="8249">
      <c r="A8249" s="72"/>
      <c r="B8249" s="72"/>
      <c r="C8249" s="72"/>
      <c r="D8249" s="72"/>
      <c r="E8249" s="72"/>
    </row>
    <row r="8250">
      <c r="A8250" s="72"/>
      <c r="B8250" s="72"/>
      <c r="C8250" s="72"/>
      <c r="D8250" s="72"/>
      <c r="E8250" s="72"/>
    </row>
    <row r="8251">
      <c r="A8251" s="72"/>
      <c r="B8251" s="72"/>
      <c r="C8251" s="72"/>
      <c r="D8251" s="72"/>
      <c r="E8251" s="72"/>
    </row>
    <row r="8252">
      <c r="A8252" s="72"/>
      <c r="B8252" s="72"/>
      <c r="C8252" s="72"/>
      <c r="D8252" s="72"/>
      <c r="E8252" s="72"/>
    </row>
    <row r="8253">
      <c r="A8253" s="72"/>
      <c r="B8253" s="72"/>
      <c r="C8253" s="72"/>
      <c r="D8253" s="72"/>
      <c r="E8253" s="72"/>
    </row>
    <row r="8254">
      <c r="A8254" s="72"/>
      <c r="B8254" s="72"/>
      <c r="C8254" s="72"/>
      <c r="D8254" s="72"/>
      <c r="E8254" s="72"/>
    </row>
    <row r="8255">
      <c r="A8255" s="72"/>
      <c r="B8255" s="72"/>
      <c r="C8255" s="72"/>
      <c r="D8255" s="72"/>
      <c r="E8255" s="72"/>
    </row>
    <row r="8256">
      <c r="A8256" s="72"/>
      <c r="B8256" s="72"/>
      <c r="C8256" s="72"/>
      <c r="D8256" s="72"/>
      <c r="E8256" s="72"/>
    </row>
    <row r="8257">
      <c r="A8257" s="72"/>
      <c r="B8257" s="72"/>
      <c r="C8257" s="72"/>
      <c r="D8257" s="72"/>
      <c r="E8257" s="72"/>
    </row>
    <row r="8258">
      <c r="A8258" s="72"/>
      <c r="B8258" s="72"/>
      <c r="C8258" s="72"/>
      <c r="D8258" s="72"/>
      <c r="E8258" s="72"/>
    </row>
    <row r="8259">
      <c r="A8259" s="72"/>
      <c r="B8259" s="72"/>
      <c r="C8259" s="72"/>
      <c r="D8259" s="72"/>
      <c r="E8259" s="72"/>
    </row>
    <row r="8260">
      <c r="A8260" s="72"/>
      <c r="B8260" s="72"/>
      <c r="C8260" s="72"/>
      <c r="D8260" s="72"/>
      <c r="E8260" s="72"/>
    </row>
    <row r="8261">
      <c r="A8261" s="72"/>
      <c r="B8261" s="72"/>
      <c r="C8261" s="72"/>
      <c r="D8261" s="72"/>
      <c r="E8261" s="72"/>
    </row>
    <row r="8262">
      <c r="A8262" s="72"/>
      <c r="B8262" s="72"/>
      <c r="C8262" s="72"/>
      <c r="D8262" s="72"/>
      <c r="E8262" s="72"/>
    </row>
    <row r="8263">
      <c r="A8263" s="72"/>
      <c r="B8263" s="72"/>
      <c r="C8263" s="72"/>
      <c r="D8263" s="72"/>
      <c r="E8263" s="72"/>
    </row>
    <row r="8264">
      <c r="A8264" s="72"/>
      <c r="B8264" s="72"/>
      <c r="C8264" s="72"/>
      <c r="D8264" s="72"/>
      <c r="E8264" s="72"/>
    </row>
    <row r="8265">
      <c r="A8265" s="72"/>
      <c r="B8265" s="72"/>
      <c r="C8265" s="72"/>
      <c r="D8265" s="72"/>
      <c r="E8265" s="72"/>
    </row>
    <row r="8266">
      <c r="A8266" s="72"/>
      <c r="B8266" s="72"/>
      <c r="C8266" s="72"/>
      <c r="D8266" s="72"/>
      <c r="E8266" s="72"/>
    </row>
    <row r="8267">
      <c r="A8267" s="72"/>
      <c r="B8267" s="72"/>
      <c r="C8267" s="72"/>
      <c r="D8267" s="72"/>
      <c r="E8267" s="72"/>
    </row>
    <row r="8268">
      <c r="A8268" s="72"/>
      <c r="B8268" s="72"/>
      <c r="C8268" s="72"/>
      <c r="D8268" s="72"/>
      <c r="E8268" s="72"/>
    </row>
    <row r="8269">
      <c r="A8269" s="72"/>
      <c r="B8269" s="72"/>
      <c r="C8269" s="72"/>
      <c r="D8269" s="72"/>
      <c r="E8269" s="72"/>
    </row>
    <row r="8270">
      <c r="A8270" s="72"/>
      <c r="B8270" s="72"/>
      <c r="C8270" s="72"/>
      <c r="D8270" s="72"/>
      <c r="E8270" s="72"/>
    </row>
    <row r="8271">
      <c r="A8271" s="72"/>
      <c r="B8271" s="72"/>
      <c r="C8271" s="72"/>
      <c r="D8271" s="72"/>
      <c r="E8271" s="72"/>
    </row>
    <row r="8272">
      <c r="A8272" s="72"/>
      <c r="B8272" s="72"/>
      <c r="C8272" s="72"/>
      <c r="D8272" s="72"/>
      <c r="E8272" s="72"/>
    </row>
    <row r="8273">
      <c r="A8273" s="72"/>
      <c r="B8273" s="72"/>
      <c r="C8273" s="72"/>
      <c r="D8273" s="72"/>
      <c r="E8273" s="72"/>
    </row>
    <row r="8274">
      <c r="A8274" s="72"/>
      <c r="B8274" s="72"/>
      <c r="C8274" s="72"/>
      <c r="D8274" s="72"/>
      <c r="E8274" s="72"/>
    </row>
    <row r="8275">
      <c r="A8275" s="72"/>
      <c r="B8275" s="72"/>
      <c r="C8275" s="72"/>
      <c r="D8275" s="72"/>
      <c r="E8275" s="72"/>
    </row>
    <row r="8276">
      <c r="A8276" s="72"/>
      <c r="B8276" s="72"/>
      <c r="C8276" s="72"/>
      <c r="D8276" s="72"/>
      <c r="E8276" s="72"/>
    </row>
    <row r="8277">
      <c r="A8277" s="72"/>
      <c r="B8277" s="72"/>
      <c r="C8277" s="72"/>
      <c r="D8277" s="72"/>
      <c r="E8277" s="72"/>
    </row>
    <row r="8278">
      <c r="A8278" s="72"/>
      <c r="B8278" s="72"/>
      <c r="C8278" s="72"/>
      <c r="D8278" s="72"/>
      <c r="E8278" s="72"/>
    </row>
    <row r="8279">
      <c r="A8279" s="72"/>
      <c r="B8279" s="72"/>
      <c r="C8279" s="72"/>
      <c r="D8279" s="72"/>
      <c r="E8279" s="72"/>
    </row>
    <row r="8280">
      <c r="A8280" s="72"/>
      <c r="B8280" s="72"/>
      <c r="C8280" s="72"/>
      <c r="D8280" s="72"/>
      <c r="E8280" s="72"/>
    </row>
    <row r="8281">
      <c r="A8281" s="72"/>
      <c r="B8281" s="72"/>
      <c r="C8281" s="72"/>
      <c r="D8281" s="72"/>
      <c r="E8281" s="72"/>
    </row>
    <row r="8282">
      <c r="A8282" s="72"/>
      <c r="B8282" s="72"/>
      <c r="C8282" s="72"/>
      <c r="D8282" s="72"/>
      <c r="E8282" s="72"/>
    </row>
    <row r="8283">
      <c r="A8283" s="72"/>
      <c r="B8283" s="72"/>
      <c r="C8283" s="72"/>
      <c r="D8283" s="72"/>
      <c r="E8283" s="72"/>
    </row>
    <row r="8284">
      <c r="A8284" s="72"/>
      <c r="B8284" s="72"/>
      <c r="C8284" s="72"/>
      <c r="D8284" s="72"/>
      <c r="E8284" s="72"/>
    </row>
    <row r="8285">
      <c r="A8285" s="72"/>
      <c r="B8285" s="72"/>
      <c r="C8285" s="72"/>
      <c r="D8285" s="72"/>
      <c r="E8285" s="72"/>
    </row>
    <row r="8286">
      <c r="A8286" s="72"/>
      <c r="B8286" s="72"/>
      <c r="C8286" s="72"/>
      <c r="D8286" s="72"/>
      <c r="E8286" s="72"/>
    </row>
    <row r="8287">
      <c r="A8287" s="72"/>
      <c r="B8287" s="72"/>
      <c r="C8287" s="72"/>
      <c r="D8287" s="72"/>
      <c r="E8287" s="72"/>
    </row>
    <row r="8288">
      <c r="A8288" s="72"/>
      <c r="B8288" s="72"/>
      <c r="C8288" s="72"/>
      <c r="D8288" s="72"/>
      <c r="E8288" s="72"/>
    </row>
    <row r="8289">
      <c r="A8289" s="72"/>
      <c r="B8289" s="72"/>
      <c r="C8289" s="72"/>
      <c r="D8289" s="72"/>
      <c r="E8289" s="72"/>
    </row>
    <row r="8290">
      <c r="A8290" s="72"/>
      <c r="B8290" s="72"/>
      <c r="C8290" s="72"/>
      <c r="D8290" s="72"/>
      <c r="E8290" s="72"/>
    </row>
    <row r="8291">
      <c r="A8291" s="72"/>
      <c r="B8291" s="72"/>
      <c r="C8291" s="72"/>
      <c r="D8291" s="72"/>
      <c r="E8291" s="72"/>
    </row>
    <row r="8292">
      <c r="A8292" s="72"/>
      <c r="B8292" s="72"/>
      <c r="C8292" s="72"/>
      <c r="D8292" s="72"/>
      <c r="E8292" s="72"/>
    </row>
    <row r="8293">
      <c r="A8293" s="72"/>
      <c r="B8293" s="72"/>
      <c r="C8293" s="72"/>
      <c r="D8293" s="72"/>
      <c r="E8293" s="72"/>
    </row>
    <row r="8294">
      <c r="A8294" s="72"/>
      <c r="B8294" s="72"/>
      <c r="C8294" s="72"/>
      <c r="D8294" s="72"/>
      <c r="E8294" s="72"/>
    </row>
    <row r="8295">
      <c r="A8295" s="72"/>
      <c r="B8295" s="72"/>
      <c r="C8295" s="72"/>
      <c r="D8295" s="72"/>
      <c r="E8295" s="72"/>
    </row>
    <row r="8296">
      <c r="A8296" s="72"/>
      <c r="B8296" s="72"/>
      <c r="C8296" s="72"/>
      <c r="D8296" s="72"/>
      <c r="E8296" s="72"/>
    </row>
    <row r="8297">
      <c r="A8297" s="72"/>
      <c r="B8297" s="72"/>
      <c r="C8297" s="72"/>
      <c r="D8297" s="72"/>
      <c r="E8297" s="72"/>
    </row>
    <row r="8298">
      <c r="A8298" s="72"/>
      <c r="B8298" s="72"/>
      <c r="C8298" s="72"/>
      <c r="D8298" s="72"/>
      <c r="E8298" s="72"/>
    </row>
    <row r="8299">
      <c r="A8299" s="72"/>
      <c r="B8299" s="72"/>
      <c r="C8299" s="72"/>
      <c r="D8299" s="72"/>
      <c r="E8299" s="72"/>
    </row>
    <row r="8300">
      <c r="A8300" s="72"/>
      <c r="B8300" s="72"/>
      <c r="C8300" s="72"/>
      <c r="D8300" s="72"/>
      <c r="E8300" s="72"/>
    </row>
    <row r="8301">
      <c r="A8301" s="72"/>
      <c r="B8301" s="72"/>
      <c r="C8301" s="72"/>
      <c r="D8301" s="72"/>
      <c r="E8301" s="72"/>
    </row>
    <row r="8302">
      <c r="A8302" s="72"/>
      <c r="B8302" s="72"/>
      <c r="C8302" s="72"/>
      <c r="D8302" s="72"/>
      <c r="E8302" s="72"/>
    </row>
    <row r="8303">
      <c r="A8303" s="72"/>
      <c r="B8303" s="72"/>
      <c r="C8303" s="72"/>
      <c r="D8303" s="72"/>
      <c r="E8303" s="72"/>
    </row>
    <row r="8304">
      <c r="A8304" s="72"/>
      <c r="B8304" s="72"/>
      <c r="C8304" s="72"/>
      <c r="D8304" s="72"/>
      <c r="E8304" s="72"/>
    </row>
    <row r="8305">
      <c r="A8305" s="72"/>
      <c r="B8305" s="72"/>
      <c r="C8305" s="72"/>
      <c r="D8305" s="72"/>
      <c r="E8305" s="72"/>
    </row>
    <row r="8306">
      <c r="A8306" s="72"/>
      <c r="B8306" s="72"/>
      <c r="C8306" s="72"/>
      <c r="D8306" s="72"/>
      <c r="E8306" s="72"/>
    </row>
    <row r="8307">
      <c r="A8307" s="72"/>
      <c r="B8307" s="72"/>
      <c r="C8307" s="72"/>
      <c r="D8307" s="72"/>
      <c r="E8307" s="72"/>
    </row>
    <row r="8308">
      <c r="A8308" s="72"/>
      <c r="B8308" s="72"/>
      <c r="C8308" s="72"/>
      <c r="D8308" s="72"/>
      <c r="E8308" s="72"/>
    </row>
    <row r="8309">
      <c r="A8309" s="72"/>
      <c r="B8309" s="72"/>
      <c r="C8309" s="72"/>
      <c r="D8309" s="72"/>
      <c r="E8309" s="72"/>
    </row>
    <row r="8310">
      <c r="A8310" s="72"/>
      <c r="B8310" s="72"/>
      <c r="C8310" s="72"/>
      <c r="D8310" s="72"/>
      <c r="E8310" s="72"/>
    </row>
    <row r="8311">
      <c r="A8311" s="72"/>
      <c r="B8311" s="72"/>
      <c r="C8311" s="72"/>
      <c r="D8311" s="72"/>
      <c r="E8311" s="72"/>
    </row>
    <row r="8312">
      <c r="A8312" s="72"/>
      <c r="B8312" s="72"/>
      <c r="C8312" s="72"/>
      <c r="D8312" s="72"/>
      <c r="E8312" s="72"/>
    </row>
    <row r="8313">
      <c r="A8313" s="72"/>
      <c r="B8313" s="72"/>
      <c r="C8313" s="72"/>
      <c r="D8313" s="72"/>
      <c r="E8313" s="72"/>
    </row>
    <row r="8314">
      <c r="A8314" s="72"/>
      <c r="B8314" s="72"/>
      <c r="C8314" s="72"/>
      <c r="D8314" s="72"/>
      <c r="E8314" s="72"/>
    </row>
    <row r="8315">
      <c r="A8315" s="72"/>
      <c r="B8315" s="72"/>
      <c r="C8315" s="72"/>
      <c r="D8315" s="72"/>
      <c r="E8315" s="72"/>
    </row>
    <row r="8316">
      <c r="A8316" s="72"/>
      <c r="B8316" s="72"/>
      <c r="C8316" s="72"/>
      <c r="D8316" s="72"/>
      <c r="E8316" s="72"/>
    </row>
    <row r="8317">
      <c r="A8317" s="72"/>
      <c r="B8317" s="72"/>
      <c r="C8317" s="72"/>
      <c r="D8317" s="72"/>
      <c r="E8317" s="72"/>
    </row>
    <row r="8318">
      <c r="A8318" s="72"/>
      <c r="B8318" s="72"/>
      <c r="C8318" s="72"/>
      <c r="D8318" s="72"/>
      <c r="E8318" s="72"/>
    </row>
    <row r="8319">
      <c r="A8319" s="72"/>
      <c r="B8319" s="72"/>
      <c r="C8319" s="72"/>
      <c r="D8319" s="72"/>
      <c r="E8319" s="72"/>
    </row>
    <row r="8320">
      <c r="A8320" s="72"/>
      <c r="B8320" s="72"/>
      <c r="C8320" s="72"/>
      <c r="D8320" s="72"/>
      <c r="E8320" s="72"/>
    </row>
    <row r="8321">
      <c r="A8321" s="72"/>
      <c r="B8321" s="72"/>
      <c r="C8321" s="72"/>
      <c r="D8321" s="72"/>
      <c r="E8321" s="72"/>
    </row>
    <row r="8322">
      <c r="A8322" s="72"/>
      <c r="B8322" s="72"/>
      <c r="C8322" s="72"/>
      <c r="D8322" s="72"/>
      <c r="E8322" s="72"/>
    </row>
    <row r="8323">
      <c r="A8323" s="72"/>
      <c r="B8323" s="72"/>
      <c r="C8323" s="72"/>
      <c r="D8323" s="72"/>
      <c r="E8323" s="72"/>
    </row>
    <row r="8324">
      <c r="A8324" s="72"/>
      <c r="B8324" s="72"/>
      <c r="C8324" s="72"/>
      <c r="D8324" s="72"/>
      <c r="E8324" s="72"/>
    </row>
    <row r="8325">
      <c r="A8325" s="72"/>
      <c r="B8325" s="72"/>
      <c r="C8325" s="72"/>
      <c r="D8325" s="72"/>
      <c r="E8325" s="72"/>
    </row>
    <row r="8326">
      <c r="A8326" s="72"/>
      <c r="B8326" s="72"/>
      <c r="C8326" s="72"/>
      <c r="D8326" s="72"/>
      <c r="E8326" s="72"/>
    </row>
    <row r="8327">
      <c r="A8327" s="72"/>
      <c r="B8327" s="72"/>
      <c r="C8327" s="72"/>
      <c r="D8327" s="72"/>
      <c r="E8327" s="72"/>
    </row>
    <row r="8328">
      <c r="A8328" s="72"/>
      <c r="B8328" s="72"/>
      <c r="C8328" s="72"/>
      <c r="D8328" s="72"/>
      <c r="E8328" s="72"/>
    </row>
    <row r="8329">
      <c r="A8329" s="72"/>
      <c r="B8329" s="72"/>
      <c r="C8329" s="72"/>
      <c r="D8329" s="72"/>
      <c r="E8329" s="72"/>
    </row>
    <row r="8330">
      <c r="A8330" s="72"/>
      <c r="B8330" s="72"/>
      <c r="C8330" s="72"/>
      <c r="D8330" s="72"/>
      <c r="E8330" s="72"/>
    </row>
    <row r="8331">
      <c r="A8331" s="72"/>
      <c r="B8331" s="72"/>
      <c r="C8331" s="72"/>
      <c r="D8331" s="72"/>
      <c r="E8331" s="72"/>
    </row>
    <row r="8332">
      <c r="A8332" s="72"/>
      <c r="B8332" s="72"/>
      <c r="C8332" s="72"/>
      <c r="D8332" s="72"/>
      <c r="E8332" s="72"/>
    </row>
    <row r="8333">
      <c r="A8333" s="72"/>
      <c r="B8333" s="72"/>
      <c r="C8333" s="72"/>
      <c r="D8333" s="72"/>
      <c r="E8333" s="72"/>
    </row>
    <row r="8334">
      <c r="A8334" s="72"/>
      <c r="B8334" s="72"/>
      <c r="C8334" s="72"/>
      <c r="D8334" s="72"/>
      <c r="E8334" s="72"/>
    </row>
    <row r="8335">
      <c r="A8335" s="72"/>
      <c r="B8335" s="72"/>
      <c r="C8335" s="72"/>
      <c r="D8335" s="72"/>
      <c r="E8335" s="72"/>
    </row>
    <row r="8336">
      <c r="A8336" s="72"/>
      <c r="B8336" s="72"/>
      <c r="C8336" s="72"/>
      <c r="D8336" s="72"/>
      <c r="E8336" s="72"/>
    </row>
    <row r="8337">
      <c r="A8337" s="72"/>
      <c r="B8337" s="72"/>
      <c r="C8337" s="72"/>
      <c r="D8337" s="72"/>
      <c r="E8337" s="72"/>
    </row>
    <row r="8338">
      <c r="A8338" s="72"/>
      <c r="B8338" s="72"/>
      <c r="C8338" s="72"/>
      <c r="D8338" s="72"/>
      <c r="E8338" s="72"/>
    </row>
    <row r="8339">
      <c r="A8339" s="72"/>
      <c r="B8339" s="72"/>
      <c r="C8339" s="72"/>
      <c r="D8339" s="72"/>
      <c r="E8339" s="72"/>
    </row>
    <row r="8340">
      <c r="A8340" s="72"/>
      <c r="B8340" s="72"/>
      <c r="C8340" s="72"/>
      <c r="D8340" s="72"/>
      <c r="E8340" s="72"/>
    </row>
    <row r="8341">
      <c r="A8341" s="72"/>
      <c r="B8341" s="72"/>
      <c r="C8341" s="72"/>
      <c r="D8341" s="72"/>
      <c r="E8341" s="72"/>
    </row>
    <row r="8342">
      <c r="A8342" s="72"/>
      <c r="B8342" s="72"/>
      <c r="C8342" s="72"/>
      <c r="D8342" s="72"/>
      <c r="E8342" s="72"/>
    </row>
    <row r="8343">
      <c r="A8343" s="72"/>
      <c r="B8343" s="72"/>
      <c r="C8343" s="72"/>
      <c r="D8343" s="72"/>
      <c r="E8343" s="72"/>
    </row>
    <row r="8344">
      <c r="A8344" s="72"/>
      <c r="B8344" s="72"/>
      <c r="C8344" s="72"/>
      <c r="D8344" s="72"/>
      <c r="E8344" s="72"/>
    </row>
    <row r="8345">
      <c r="A8345" s="72"/>
      <c r="B8345" s="72"/>
      <c r="C8345" s="72"/>
      <c r="D8345" s="72"/>
      <c r="E8345" s="72"/>
    </row>
    <row r="8346">
      <c r="A8346" s="72"/>
      <c r="B8346" s="72"/>
      <c r="C8346" s="72"/>
      <c r="D8346" s="72"/>
      <c r="E8346" s="72"/>
    </row>
    <row r="8347">
      <c r="A8347" s="72"/>
      <c r="B8347" s="72"/>
      <c r="C8347" s="72"/>
      <c r="D8347" s="72"/>
      <c r="E8347" s="72"/>
    </row>
    <row r="8348">
      <c r="A8348" s="72"/>
      <c r="B8348" s="72"/>
      <c r="C8348" s="72"/>
      <c r="D8348" s="72"/>
      <c r="E8348" s="72"/>
    </row>
    <row r="8349">
      <c r="A8349" s="72"/>
      <c r="B8349" s="72"/>
      <c r="C8349" s="72"/>
      <c r="D8349" s="72"/>
      <c r="E8349" s="72"/>
    </row>
    <row r="8350">
      <c r="A8350" s="72"/>
      <c r="B8350" s="72"/>
      <c r="C8350" s="72"/>
      <c r="D8350" s="72"/>
      <c r="E8350" s="72"/>
    </row>
    <row r="8351">
      <c r="A8351" s="72"/>
      <c r="B8351" s="72"/>
      <c r="C8351" s="72"/>
      <c r="D8351" s="72"/>
      <c r="E8351" s="72"/>
    </row>
    <row r="8352">
      <c r="A8352" s="72"/>
      <c r="B8352" s="72"/>
      <c r="C8352" s="72"/>
      <c r="D8352" s="72"/>
      <c r="E8352" s="72"/>
    </row>
    <row r="8353">
      <c r="A8353" s="72"/>
      <c r="B8353" s="72"/>
      <c r="C8353" s="72"/>
      <c r="D8353" s="72"/>
      <c r="E8353" s="72"/>
    </row>
    <row r="8354">
      <c r="A8354" s="72"/>
      <c r="B8354" s="72"/>
      <c r="C8354" s="72"/>
      <c r="D8354" s="72"/>
      <c r="E8354" s="72"/>
    </row>
    <row r="8355">
      <c r="A8355" s="72"/>
      <c r="B8355" s="72"/>
      <c r="C8355" s="72"/>
      <c r="D8355" s="72"/>
      <c r="E8355" s="72"/>
    </row>
    <row r="8356">
      <c r="A8356" s="72"/>
      <c r="B8356" s="72"/>
      <c r="C8356" s="72"/>
      <c r="D8356" s="72"/>
      <c r="E8356" s="72"/>
    </row>
    <row r="8357">
      <c r="A8357" s="72"/>
      <c r="B8357" s="72"/>
      <c r="C8357" s="72"/>
      <c r="D8357" s="72"/>
      <c r="E8357" s="72"/>
    </row>
    <row r="8358">
      <c r="A8358" s="72"/>
      <c r="B8358" s="72"/>
      <c r="C8358" s="72"/>
      <c r="D8358" s="72"/>
      <c r="E8358" s="72"/>
    </row>
    <row r="8359">
      <c r="A8359" s="72"/>
      <c r="B8359" s="72"/>
      <c r="C8359" s="72"/>
      <c r="D8359" s="72"/>
      <c r="E8359" s="72"/>
    </row>
    <row r="8360">
      <c r="A8360" s="72"/>
      <c r="B8360" s="72"/>
      <c r="C8360" s="72"/>
      <c r="D8360" s="72"/>
      <c r="E8360" s="72"/>
    </row>
    <row r="8361">
      <c r="A8361" s="72"/>
      <c r="B8361" s="72"/>
      <c r="C8361" s="72"/>
      <c r="D8361" s="72"/>
      <c r="E8361" s="72"/>
    </row>
    <row r="8362">
      <c r="A8362" s="72"/>
      <c r="B8362" s="72"/>
      <c r="C8362" s="72"/>
      <c r="D8362" s="72"/>
      <c r="E8362" s="72"/>
    </row>
    <row r="8363">
      <c r="A8363" s="72"/>
      <c r="B8363" s="72"/>
      <c r="C8363" s="72"/>
      <c r="D8363" s="72"/>
      <c r="E8363" s="72"/>
    </row>
    <row r="8364">
      <c r="A8364" s="72"/>
      <c r="B8364" s="72"/>
      <c r="C8364" s="72"/>
      <c r="D8364" s="72"/>
      <c r="E8364" s="72"/>
    </row>
    <row r="8365">
      <c r="A8365" s="72"/>
      <c r="B8365" s="72"/>
      <c r="C8365" s="72"/>
      <c r="D8365" s="72"/>
      <c r="E8365" s="72"/>
    </row>
    <row r="8366">
      <c r="A8366" s="72"/>
      <c r="B8366" s="72"/>
      <c r="C8366" s="72"/>
      <c r="D8366" s="72"/>
      <c r="E8366" s="72"/>
    </row>
    <row r="8367">
      <c r="A8367" s="72"/>
      <c r="B8367" s="72"/>
      <c r="C8367" s="72"/>
      <c r="D8367" s="72"/>
      <c r="E8367" s="72"/>
    </row>
    <row r="8368">
      <c r="A8368" s="72"/>
      <c r="B8368" s="72"/>
      <c r="C8368" s="72"/>
      <c r="D8368" s="72"/>
      <c r="E8368" s="72"/>
    </row>
    <row r="8369">
      <c r="A8369" s="72"/>
      <c r="B8369" s="72"/>
      <c r="C8369" s="72"/>
      <c r="D8369" s="72"/>
      <c r="E8369" s="72"/>
    </row>
    <row r="8370">
      <c r="A8370" s="72"/>
      <c r="B8370" s="72"/>
      <c r="C8370" s="72"/>
      <c r="D8370" s="72"/>
      <c r="E8370" s="72"/>
    </row>
    <row r="8371">
      <c r="A8371" s="72"/>
      <c r="B8371" s="72"/>
      <c r="C8371" s="72"/>
      <c r="D8371" s="72"/>
      <c r="E8371" s="72"/>
    </row>
    <row r="8372">
      <c r="A8372" s="72"/>
      <c r="B8372" s="72"/>
      <c r="C8372" s="72"/>
      <c r="D8372" s="72"/>
      <c r="E8372" s="72"/>
    </row>
    <row r="8373">
      <c r="A8373" s="72"/>
      <c r="B8373" s="72"/>
      <c r="C8373" s="72"/>
      <c r="D8373" s="72"/>
      <c r="E8373" s="72"/>
    </row>
    <row r="8374">
      <c r="A8374" s="72"/>
      <c r="B8374" s="72"/>
      <c r="C8374" s="72"/>
      <c r="D8374" s="72"/>
      <c r="E8374" s="72"/>
    </row>
    <row r="8375">
      <c r="A8375" s="72"/>
      <c r="B8375" s="72"/>
      <c r="C8375" s="72"/>
      <c r="D8375" s="72"/>
      <c r="E8375" s="72"/>
    </row>
    <row r="8376">
      <c r="A8376" s="72"/>
      <c r="B8376" s="72"/>
      <c r="C8376" s="72"/>
      <c r="D8376" s="72"/>
      <c r="E8376" s="72"/>
    </row>
    <row r="8377">
      <c r="A8377" s="72"/>
      <c r="B8377" s="72"/>
      <c r="C8377" s="72"/>
      <c r="D8377" s="72"/>
      <c r="E8377" s="72"/>
    </row>
    <row r="8378">
      <c r="A8378" s="72"/>
      <c r="B8378" s="72"/>
      <c r="C8378" s="72"/>
      <c r="D8378" s="72"/>
      <c r="E8378" s="72"/>
    </row>
    <row r="8379">
      <c r="A8379" s="72"/>
      <c r="B8379" s="72"/>
      <c r="C8379" s="72"/>
      <c r="D8379" s="72"/>
      <c r="E8379" s="72"/>
    </row>
    <row r="8380">
      <c r="A8380" s="72"/>
      <c r="B8380" s="72"/>
      <c r="C8380" s="72"/>
      <c r="D8380" s="72"/>
      <c r="E8380" s="72"/>
    </row>
    <row r="8381">
      <c r="A8381" s="72"/>
      <c r="B8381" s="72"/>
      <c r="C8381" s="72"/>
      <c r="D8381" s="72"/>
      <c r="E8381" s="72"/>
    </row>
    <row r="8382">
      <c r="A8382" s="72"/>
      <c r="B8382" s="72"/>
      <c r="C8382" s="72"/>
      <c r="D8382" s="72"/>
      <c r="E8382" s="72"/>
    </row>
    <row r="8383">
      <c r="A8383" s="72"/>
      <c r="B8383" s="72"/>
      <c r="C8383" s="72"/>
      <c r="D8383" s="72"/>
      <c r="E8383" s="72"/>
    </row>
    <row r="8384">
      <c r="A8384" s="72"/>
      <c r="B8384" s="72"/>
      <c r="C8384" s="72"/>
      <c r="D8384" s="72"/>
      <c r="E8384" s="72"/>
    </row>
    <row r="8385">
      <c r="A8385" s="72"/>
      <c r="B8385" s="72"/>
      <c r="C8385" s="72"/>
      <c r="D8385" s="72"/>
      <c r="E8385" s="72"/>
    </row>
    <row r="8386">
      <c r="A8386" s="72"/>
      <c r="B8386" s="72"/>
      <c r="C8386" s="72"/>
      <c r="D8386" s="72"/>
      <c r="E8386" s="72"/>
    </row>
    <row r="8387">
      <c r="A8387" s="72"/>
      <c r="B8387" s="72"/>
      <c r="C8387" s="72"/>
      <c r="D8387" s="72"/>
      <c r="E8387" s="72"/>
    </row>
    <row r="8388">
      <c r="A8388" s="72"/>
      <c r="B8388" s="72"/>
      <c r="C8388" s="72"/>
      <c r="D8388" s="72"/>
      <c r="E8388" s="72"/>
    </row>
    <row r="8389">
      <c r="A8389" s="72"/>
      <c r="B8389" s="72"/>
      <c r="C8389" s="72"/>
      <c r="D8389" s="72"/>
      <c r="E8389" s="72"/>
    </row>
    <row r="8390">
      <c r="A8390" s="72"/>
      <c r="B8390" s="72"/>
      <c r="C8390" s="72"/>
      <c r="D8390" s="72"/>
      <c r="E8390" s="72"/>
    </row>
    <row r="8391">
      <c r="A8391" s="72"/>
      <c r="B8391" s="72"/>
      <c r="C8391" s="72"/>
      <c r="D8391" s="72"/>
      <c r="E8391" s="72"/>
    </row>
    <row r="8392">
      <c r="A8392" s="72"/>
      <c r="B8392" s="72"/>
      <c r="C8392" s="72"/>
      <c r="D8392" s="72"/>
      <c r="E8392" s="72"/>
    </row>
    <row r="8393">
      <c r="A8393" s="72"/>
      <c r="B8393" s="72"/>
      <c r="C8393" s="72"/>
      <c r="D8393" s="72"/>
      <c r="E8393" s="72"/>
    </row>
    <row r="8394">
      <c r="A8394" s="72"/>
      <c r="B8394" s="72"/>
      <c r="C8394" s="72"/>
      <c r="D8394" s="72"/>
      <c r="E8394" s="72"/>
    </row>
    <row r="8395">
      <c r="A8395" s="72"/>
      <c r="B8395" s="72"/>
      <c r="C8395" s="72"/>
      <c r="D8395" s="72"/>
      <c r="E8395" s="72"/>
    </row>
    <row r="8396">
      <c r="A8396" s="72"/>
      <c r="B8396" s="72"/>
      <c r="C8396" s="72"/>
      <c r="D8396" s="72"/>
      <c r="E8396" s="72"/>
    </row>
    <row r="8397">
      <c r="A8397" s="72"/>
      <c r="B8397" s="72"/>
      <c r="C8397" s="72"/>
      <c r="D8397" s="72"/>
      <c r="E8397" s="72"/>
    </row>
    <row r="8398">
      <c r="A8398" s="72"/>
      <c r="B8398" s="72"/>
      <c r="C8398" s="72"/>
      <c r="D8398" s="72"/>
      <c r="E8398" s="72"/>
    </row>
    <row r="8399">
      <c r="A8399" s="72"/>
      <c r="B8399" s="72"/>
      <c r="C8399" s="72"/>
      <c r="D8399" s="72"/>
      <c r="E8399" s="72"/>
    </row>
    <row r="8400">
      <c r="A8400" s="72"/>
      <c r="B8400" s="72"/>
      <c r="C8400" s="72"/>
      <c r="D8400" s="72"/>
      <c r="E8400" s="72"/>
    </row>
    <row r="8401">
      <c r="A8401" s="72"/>
      <c r="B8401" s="72"/>
      <c r="C8401" s="72"/>
      <c r="D8401" s="72"/>
      <c r="E8401" s="72"/>
    </row>
    <row r="8402">
      <c r="A8402" s="72"/>
      <c r="B8402" s="72"/>
      <c r="C8402" s="72"/>
      <c r="D8402" s="72"/>
      <c r="E8402" s="72"/>
    </row>
    <row r="8403">
      <c r="A8403" s="72"/>
      <c r="B8403" s="72"/>
      <c r="C8403" s="72"/>
      <c r="D8403" s="72"/>
      <c r="E8403" s="72"/>
    </row>
    <row r="8404">
      <c r="A8404" s="72"/>
      <c r="B8404" s="72"/>
      <c r="C8404" s="72"/>
      <c r="D8404" s="72"/>
      <c r="E8404" s="72"/>
    </row>
    <row r="8405">
      <c r="A8405" s="72"/>
      <c r="B8405" s="72"/>
      <c r="C8405" s="72"/>
      <c r="D8405" s="72"/>
      <c r="E8405" s="72"/>
    </row>
    <row r="8406">
      <c r="A8406" s="72"/>
      <c r="B8406" s="72"/>
      <c r="C8406" s="72"/>
      <c r="D8406" s="72"/>
      <c r="E8406" s="72"/>
    </row>
    <row r="8407">
      <c r="A8407" s="72"/>
      <c r="B8407" s="72"/>
      <c r="C8407" s="72"/>
      <c r="D8407" s="72"/>
      <c r="E8407" s="72"/>
    </row>
    <row r="8408">
      <c r="A8408" s="72"/>
      <c r="B8408" s="72"/>
      <c r="C8408" s="72"/>
      <c r="D8408" s="72"/>
      <c r="E8408" s="72"/>
    </row>
    <row r="8409">
      <c r="A8409" s="72"/>
      <c r="B8409" s="72"/>
      <c r="C8409" s="72"/>
      <c r="D8409" s="72"/>
      <c r="E8409" s="72"/>
    </row>
    <row r="8410">
      <c r="A8410" s="72"/>
      <c r="B8410" s="72"/>
      <c r="C8410" s="72"/>
      <c r="D8410" s="72"/>
      <c r="E8410" s="72"/>
    </row>
    <row r="8411">
      <c r="A8411" s="72"/>
      <c r="B8411" s="72"/>
      <c r="C8411" s="72"/>
      <c r="D8411" s="72"/>
      <c r="E8411" s="72"/>
    </row>
    <row r="8412">
      <c r="A8412" s="72"/>
      <c r="B8412" s="72"/>
      <c r="C8412" s="72"/>
      <c r="D8412" s="72"/>
      <c r="E8412" s="72"/>
    </row>
    <row r="8413">
      <c r="A8413" s="72"/>
      <c r="B8413" s="72"/>
      <c r="C8413" s="72"/>
      <c r="D8413" s="72"/>
      <c r="E8413" s="72"/>
    </row>
    <row r="8414">
      <c r="A8414" s="72"/>
      <c r="B8414" s="72"/>
      <c r="C8414" s="72"/>
      <c r="D8414" s="72"/>
      <c r="E8414" s="72"/>
    </row>
    <row r="8415">
      <c r="A8415" s="72"/>
      <c r="B8415" s="72"/>
      <c r="C8415" s="72"/>
      <c r="D8415" s="72"/>
      <c r="E8415" s="72"/>
    </row>
    <row r="8416">
      <c r="A8416" s="72"/>
      <c r="B8416" s="72"/>
      <c r="C8416" s="72"/>
      <c r="D8416" s="72"/>
      <c r="E8416" s="72"/>
    </row>
    <row r="8417">
      <c r="A8417" s="72"/>
      <c r="B8417" s="72"/>
      <c r="C8417" s="72"/>
      <c r="D8417" s="72"/>
      <c r="E8417" s="72"/>
    </row>
    <row r="8418">
      <c r="A8418" s="72"/>
      <c r="B8418" s="72"/>
      <c r="C8418" s="72"/>
      <c r="D8418" s="72"/>
      <c r="E8418" s="72"/>
    </row>
    <row r="8419">
      <c r="A8419" s="72"/>
      <c r="B8419" s="72"/>
      <c r="C8419" s="72"/>
      <c r="D8419" s="72"/>
      <c r="E8419" s="72"/>
    </row>
    <row r="8420">
      <c r="A8420" s="72"/>
      <c r="B8420" s="72"/>
      <c r="C8420" s="72"/>
      <c r="D8420" s="72"/>
      <c r="E8420" s="72"/>
    </row>
    <row r="8421">
      <c r="A8421" s="72"/>
      <c r="B8421" s="72"/>
      <c r="C8421" s="72"/>
      <c r="D8421" s="72"/>
      <c r="E8421" s="72"/>
    </row>
    <row r="8422">
      <c r="A8422" s="72"/>
      <c r="B8422" s="72"/>
      <c r="C8422" s="72"/>
      <c r="D8422" s="72"/>
      <c r="E8422" s="72"/>
    </row>
    <row r="8423">
      <c r="A8423" s="72"/>
      <c r="B8423" s="72"/>
      <c r="C8423" s="72"/>
      <c r="D8423" s="72"/>
      <c r="E8423" s="72"/>
    </row>
    <row r="8424">
      <c r="A8424" s="72"/>
      <c r="B8424" s="72"/>
      <c r="C8424" s="72"/>
      <c r="D8424" s="72"/>
      <c r="E8424" s="72"/>
    </row>
    <row r="8425">
      <c r="A8425" s="72"/>
      <c r="B8425" s="72"/>
      <c r="C8425" s="72"/>
      <c r="D8425" s="72"/>
      <c r="E8425" s="72"/>
    </row>
    <row r="8426">
      <c r="A8426" s="72"/>
      <c r="B8426" s="72"/>
      <c r="C8426" s="72"/>
      <c r="D8426" s="72"/>
      <c r="E8426" s="72"/>
    </row>
    <row r="8427">
      <c r="A8427" s="72"/>
      <c r="B8427" s="72"/>
      <c r="C8427" s="72"/>
      <c r="D8427" s="72"/>
      <c r="E8427" s="72"/>
    </row>
    <row r="8428">
      <c r="A8428" s="72"/>
      <c r="B8428" s="72"/>
      <c r="C8428" s="72"/>
      <c r="D8428" s="72"/>
      <c r="E8428" s="72"/>
    </row>
    <row r="8429">
      <c r="A8429" s="72"/>
      <c r="B8429" s="72"/>
      <c r="C8429" s="72"/>
      <c r="D8429" s="72"/>
      <c r="E8429" s="72"/>
    </row>
    <row r="8430">
      <c r="A8430" s="72"/>
      <c r="B8430" s="72"/>
      <c r="C8430" s="72"/>
      <c r="D8430" s="72"/>
      <c r="E8430" s="72"/>
    </row>
    <row r="8431">
      <c r="A8431" s="72"/>
      <c r="B8431" s="72"/>
      <c r="C8431" s="72"/>
      <c r="D8431" s="72"/>
      <c r="E8431" s="72"/>
    </row>
    <row r="8432">
      <c r="A8432" s="72"/>
      <c r="B8432" s="72"/>
      <c r="C8432" s="72"/>
      <c r="D8432" s="72"/>
      <c r="E8432" s="72"/>
    </row>
    <row r="8433">
      <c r="A8433" s="72"/>
      <c r="B8433" s="72"/>
      <c r="C8433" s="72"/>
      <c r="D8433" s="72"/>
      <c r="E8433" s="72"/>
    </row>
    <row r="8434">
      <c r="A8434" s="72"/>
      <c r="B8434" s="72"/>
      <c r="C8434" s="72"/>
      <c r="D8434" s="72"/>
      <c r="E8434" s="72"/>
    </row>
    <row r="8435">
      <c r="A8435" s="72"/>
      <c r="B8435" s="72"/>
      <c r="C8435" s="72"/>
      <c r="D8435" s="72"/>
      <c r="E8435" s="72"/>
    </row>
    <row r="8436">
      <c r="A8436" s="72"/>
      <c r="B8436" s="72"/>
      <c r="C8436" s="72"/>
      <c r="D8436" s="72"/>
      <c r="E8436" s="72"/>
    </row>
    <row r="8437">
      <c r="A8437" s="72"/>
      <c r="B8437" s="72"/>
      <c r="C8437" s="72"/>
      <c r="D8437" s="72"/>
      <c r="E8437" s="72"/>
    </row>
    <row r="8438">
      <c r="A8438" s="72"/>
      <c r="B8438" s="72"/>
      <c r="C8438" s="72"/>
      <c r="D8438" s="72"/>
      <c r="E8438" s="72"/>
    </row>
    <row r="8439">
      <c r="A8439" s="72"/>
      <c r="B8439" s="72"/>
      <c r="C8439" s="72"/>
      <c r="D8439" s="72"/>
      <c r="E8439" s="72"/>
    </row>
    <row r="8440">
      <c r="A8440" s="72"/>
      <c r="B8440" s="72"/>
      <c r="C8440" s="72"/>
      <c r="D8440" s="72"/>
      <c r="E8440" s="72"/>
    </row>
    <row r="8441">
      <c r="A8441" s="72"/>
      <c r="B8441" s="72"/>
      <c r="C8441" s="72"/>
      <c r="D8441" s="72"/>
      <c r="E8441" s="72"/>
    </row>
    <row r="8442">
      <c r="A8442" s="72"/>
      <c r="B8442" s="72"/>
      <c r="C8442" s="72"/>
      <c r="D8442" s="72"/>
      <c r="E8442" s="72"/>
    </row>
    <row r="8443">
      <c r="A8443" s="72"/>
      <c r="B8443" s="72"/>
      <c r="C8443" s="72"/>
      <c r="D8443" s="72"/>
      <c r="E8443" s="72"/>
    </row>
    <row r="8444">
      <c r="A8444" s="72"/>
      <c r="B8444" s="72"/>
      <c r="C8444" s="72"/>
      <c r="D8444" s="72"/>
      <c r="E8444" s="72"/>
    </row>
    <row r="8445">
      <c r="A8445" s="72"/>
      <c r="B8445" s="72"/>
      <c r="C8445" s="72"/>
      <c r="D8445" s="72"/>
      <c r="E8445" s="72"/>
    </row>
    <row r="8446">
      <c r="A8446" s="72"/>
      <c r="B8446" s="72"/>
      <c r="C8446" s="72"/>
      <c r="D8446" s="72"/>
      <c r="E8446" s="72"/>
    </row>
    <row r="8447">
      <c r="A8447" s="72"/>
      <c r="B8447" s="72"/>
      <c r="C8447" s="72"/>
      <c r="D8447" s="72"/>
      <c r="E8447" s="72"/>
    </row>
    <row r="8448">
      <c r="A8448" s="72"/>
      <c r="B8448" s="72"/>
      <c r="C8448" s="72"/>
      <c r="D8448" s="72"/>
      <c r="E8448" s="72"/>
    </row>
    <row r="8449">
      <c r="A8449" s="72"/>
      <c r="B8449" s="72"/>
      <c r="C8449" s="72"/>
      <c r="D8449" s="72"/>
      <c r="E8449" s="72"/>
    </row>
    <row r="8450">
      <c r="A8450" s="72"/>
      <c r="B8450" s="72"/>
      <c r="C8450" s="72"/>
      <c r="D8450" s="72"/>
      <c r="E8450" s="72"/>
    </row>
    <row r="8451">
      <c r="A8451" s="72"/>
      <c r="B8451" s="72"/>
      <c r="C8451" s="72"/>
      <c r="D8451" s="72"/>
      <c r="E8451" s="72"/>
    </row>
    <row r="8452">
      <c r="A8452" s="72"/>
      <c r="B8452" s="72"/>
      <c r="C8452" s="72"/>
      <c r="D8452" s="72"/>
      <c r="E8452" s="72"/>
    </row>
    <row r="8453">
      <c r="A8453" s="72"/>
      <c r="B8453" s="72"/>
      <c r="C8453" s="72"/>
      <c r="D8453" s="72"/>
      <c r="E8453" s="72"/>
    </row>
    <row r="8454">
      <c r="A8454" s="72"/>
      <c r="B8454" s="72"/>
      <c r="C8454" s="72"/>
      <c r="D8454" s="72"/>
      <c r="E8454" s="72"/>
    </row>
    <row r="8455">
      <c r="A8455" s="72"/>
      <c r="B8455" s="72"/>
      <c r="C8455" s="72"/>
      <c r="D8455" s="72"/>
      <c r="E8455" s="72"/>
    </row>
    <row r="8456">
      <c r="A8456" s="72"/>
      <c r="B8456" s="72"/>
      <c r="C8456" s="72"/>
      <c r="D8456" s="72"/>
      <c r="E8456" s="72"/>
    </row>
    <row r="8457">
      <c r="A8457" s="72"/>
      <c r="B8457" s="72"/>
      <c r="C8457" s="72"/>
      <c r="D8457" s="72"/>
      <c r="E8457" s="72"/>
    </row>
    <row r="8458">
      <c r="A8458" s="72"/>
      <c r="B8458" s="72"/>
      <c r="C8458" s="72"/>
      <c r="D8458" s="72"/>
      <c r="E8458" s="72"/>
    </row>
    <row r="8459">
      <c r="A8459" s="72"/>
      <c r="B8459" s="72"/>
      <c r="C8459" s="72"/>
      <c r="D8459" s="72"/>
      <c r="E8459" s="72"/>
    </row>
    <row r="8460">
      <c r="A8460" s="72"/>
      <c r="B8460" s="72"/>
      <c r="C8460" s="72"/>
      <c r="D8460" s="72"/>
      <c r="E8460" s="72"/>
    </row>
    <row r="8461">
      <c r="A8461" s="72"/>
      <c r="B8461" s="72"/>
      <c r="C8461" s="72"/>
      <c r="D8461" s="72"/>
      <c r="E8461" s="72"/>
    </row>
    <row r="8462">
      <c r="A8462" s="72"/>
      <c r="B8462" s="72"/>
      <c r="C8462" s="72"/>
      <c r="D8462" s="72"/>
      <c r="E8462" s="72"/>
    </row>
    <row r="8463">
      <c r="A8463" s="72"/>
      <c r="B8463" s="72"/>
      <c r="C8463" s="72"/>
      <c r="D8463" s="72"/>
      <c r="E8463" s="72"/>
    </row>
    <row r="8464">
      <c r="A8464" s="72"/>
      <c r="B8464" s="72"/>
      <c r="C8464" s="72"/>
      <c r="D8464" s="72"/>
      <c r="E8464" s="72"/>
    </row>
    <row r="8465">
      <c r="A8465" s="72"/>
      <c r="B8465" s="72"/>
      <c r="C8465" s="72"/>
      <c r="D8465" s="72"/>
      <c r="E8465" s="72"/>
    </row>
    <row r="8466">
      <c r="A8466" s="72"/>
      <c r="B8466" s="72"/>
      <c r="C8466" s="72"/>
      <c r="D8466" s="72"/>
      <c r="E8466" s="72"/>
    </row>
    <row r="8467">
      <c r="A8467" s="72"/>
      <c r="B8467" s="72"/>
      <c r="C8467" s="72"/>
      <c r="D8467" s="72"/>
      <c r="E8467" s="72"/>
    </row>
    <row r="8468">
      <c r="A8468" s="72"/>
      <c r="B8468" s="72"/>
      <c r="C8468" s="72"/>
      <c r="D8468" s="72"/>
      <c r="E8468" s="72"/>
    </row>
    <row r="8469">
      <c r="A8469" s="72"/>
      <c r="B8469" s="72"/>
      <c r="C8469" s="72"/>
      <c r="D8469" s="72"/>
      <c r="E8469" s="72"/>
    </row>
    <row r="8470">
      <c r="A8470" s="72"/>
      <c r="B8470" s="72"/>
      <c r="C8470" s="72"/>
      <c r="D8470" s="72"/>
      <c r="E8470" s="72"/>
    </row>
    <row r="8471">
      <c r="A8471" s="72"/>
      <c r="B8471" s="72"/>
      <c r="C8471" s="72"/>
      <c r="D8471" s="72"/>
      <c r="E8471" s="72"/>
    </row>
    <row r="8472">
      <c r="A8472" s="72"/>
      <c r="B8472" s="72"/>
      <c r="C8472" s="72"/>
      <c r="D8472" s="72"/>
      <c r="E8472" s="72"/>
    </row>
    <row r="8473">
      <c r="A8473" s="72"/>
      <c r="B8473" s="72"/>
      <c r="C8473" s="72"/>
      <c r="D8473" s="72"/>
      <c r="E8473" s="72"/>
    </row>
    <row r="8474">
      <c r="A8474" s="72"/>
      <c r="B8474" s="72"/>
      <c r="C8474" s="72"/>
      <c r="D8474" s="72"/>
      <c r="E8474" s="72"/>
    </row>
    <row r="8475">
      <c r="A8475" s="72"/>
      <c r="B8475" s="72"/>
      <c r="C8475" s="72"/>
      <c r="D8475" s="72"/>
      <c r="E8475" s="72"/>
    </row>
    <row r="8476">
      <c r="A8476" s="72"/>
      <c r="B8476" s="72"/>
      <c r="C8476" s="72"/>
      <c r="D8476" s="72"/>
      <c r="E8476" s="72"/>
    </row>
    <row r="8477">
      <c r="A8477" s="72"/>
      <c r="B8477" s="72"/>
      <c r="C8477" s="72"/>
      <c r="D8477" s="72"/>
      <c r="E8477" s="72"/>
    </row>
    <row r="8478">
      <c r="A8478" s="72"/>
      <c r="B8478" s="72"/>
      <c r="C8478" s="72"/>
      <c r="D8478" s="72"/>
      <c r="E8478" s="72"/>
    </row>
    <row r="8479">
      <c r="A8479" s="72"/>
      <c r="B8479" s="72"/>
      <c r="C8479" s="72"/>
      <c r="D8479" s="72"/>
      <c r="E8479" s="72"/>
    </row>
    <row r="8480">
      <c r="A8480" s="72"/>
      <c r="B8480" s="72"/>
      <c r="C8480" s="72"/>
      <c r="D8480" s="72"/>
      <c r="E8480" s="72"/>
    </row>
    <row r="8481">
      <c r="A8481" s="72"/>
      <c r="B8481" s="72"/>
      <c r="C8481" s="72"/>
      <c r="D8481" s="72"/>
      <c r="E8481" s="72"/>
    </row>
    <row r="8482">
      <c r="A8482" s="72"/>
      <c r="B8482" s="72"/>
      <c r="C8482" s="72"/>
      <c r="D8482" s="72"/>
      <c r="E8482" s="72"/>
    </row>
    <row r="8483">
      <c r="A8483" s="72"/>
      <c r="B8483" s="72"/>
      <c r="C8483" s="72"/>
      <c r="D8483" s="72"/>
      <c r="E8483" s="72"/>
    </row>
    <row r="8484">
      <c r="A8484" s="72"/>
      <c r="B8484" s="72"/>
      <c r="C8484" s="72"/>
      <c r="D8484" s="72"/>
      <c r="E8484" s="72"/>
    </row>
    <row r="8485">
      <c r="A8485" s="72"/>
      <c r="B8485" s="72"/>
      <c r="C8485" s="72"/>
      <c r="D8485" s="72"/>
      <c r="E8485" s="72"/>
    </row>
    <row r="8486">
      <c r="A8486" s="72"/>
      <c r="B8486" s="72"/>
      <c r="C8486" s="72"/>
      <c r="D8486" s="72"/>
      <c r="E8486" s="72"/>
    </row>
    <row r="8487">
      <c r="A8487" s="72"/>
      <c r="B8487" s="72"/>
      <c r="C8487" s="72"/>
      <c r="D8487" s="72"/>
      <c r="E8487" s="72"/>
    </row>
    <row r="8488">
      <c r="A8488" s="72"/>
      <c r="B8488" s="72"/>
      <c r="C8488" s="72"/>
      <c r="D8488" s="72"/>
      <c r="E8488" s="72"/>
    </row>
    <row r="8489">
      <c r="A8489" s="72"/>
      <c r="B8489" s="72"/>
      <c r="C8489" s="72"/>
      <c r="D8489" s="72"/>
      <c r="E8489" s="72"/>
    </row>
    <row r="8490">
      <c r="A8490" s="72"/>
      <c r="B8490" s="72"/>
      <c r="C8490" s="72"/>
      <c r="D8490" s="72"/>
      <c r="E8490" s="72"/>
    </row>
    <row r="8491">
      <c r="A8491" s="72"/>
      <c r="B8491" s="72"/>
      <c r="C8491" s="72"/>
      <c r="D8491" s="72"/>
      <c r="E8491" s="72"/>
    </row>
    <row r="8492">
      <c r="A8492" s="72"/>
      <c r="B8492" s="72"/>
      <c r="C8492" s="72"/>
      <c r="D8492" s="72"/>
      <c r="E8492" s="72"/>
    </row>
    <row r="8493">
      <c r="A8493" s="72"/>
      <c r="B8493" s="72"/>
      <c r="C8493" s="72"/>
      <c r="D8493" s="72"/>
      <c r="E8493" s="72"/>
    </row>
    <row r="8494">
      <c r="A8494" s="72"/>
      <c r="B8494" s="72"/>
      <c r="C8494" s="72"/>
      <c r="D8494" s="72"/>
      <c r="E8494" s="72"/>
    </row>
    <row r="8495">
      <c r="A8495" s="72"/>
      <c r="B8495" s="72"/>
      <c r="C8495" s="72"/>
      <c r="D8495" s="72"/>
      <c r="E8495" s="72"/>
    </row>
    <row r="8496">
      <c r="A8496" s="72"/>
      <c r="B8496" s="72"/>
      <c r="C8496" s="72"/>
      <c r="D8496" s="72"/>
      <c r="E8496" s="72"/>
    </row>
    <row r="8497">
      <c r="A8497" s="72"/>
      <c r="B8497" s="72"/>
      <c r="C8497" s="72"/>
      <c r="D8497" s="72"/>
      <c r="E8497" s="72"/>
    </row>
    <row r="8498">
      <c r="A8498" s="72"/>
      <c r="B8498" s="72"/>
      <c r="C8498" s="72"/>
      <c r="D8498" s="72"/>
      <c r="E8498" s="72"/>
    </row>
    <row r="8499">
      <c r="A8499" s="72"/>
      <c r="B8499" s="72"/>
      <c r="C8499" s="72"/>
      <c r="D8499" s="72"/>
      <c r="E8499" s="72"/>
    </row>
    <row r="8500">
      <c r="A8500" s="72"/>
      <c r="B8500" s="72"/>
      <c r="C8500" s="72"/>
      <c r="D8500" s="72"/>
      <c r="E8500" s="72"/>
    </row>
    <row r="8501">
      <c r="A8501" s="72"/>
      <c r="B8501" s="72"/>
      <c r="C8501" s="72"/>
      <c r="D8501" s="72"/>
      <c r="E8501" s="72"/>
    </row>
    <row r="8502">
      <c r="A8502" s="72"/>
      <c r="B8502" s="72"/>
      <c r="C8502" s="72"/>
      <c r="D8502" s="72"/>
      <c r="E8502" s="72"/>
    </row>
    <row r="8503">
      <c r="A8503" s="72"/>
      <c r="B8503" s="72"/>
      <c r="C8503" s="72"/>
      <c r="D8503" s="72"/>
      <c r="E8503" s="72"/>
    </row>
    <row r="8504">
      <c r="A8504" s="72"/>
      <c r="B8504" s="72"/>
      <c r="C8504" s="72"/>
      <c r="D8504" s="72"/>
      <c r="E8504" s="72"/>
    </row>
    <row r="8505">
      <c r="A8505" s="72"/>
      <c r="B8505" s="72"/>
      <c r="C8505" s="72"/>
      <c r="D8505" s="72"/>
      <c r="E8505" s="72"/>
    </row>
    <row r="8506">
      <c r="A8506" s="72"/>
      <c r="B8506" s="72"/>
      <c r="C8506" s="72"/>
      <c r="D8506" s="72"/>
      <c r="E8506" s="72"/>
    </row>
    <row r="8507">
      <c r="A8507" s="72"/>
      <c r="B8507" s="72"/>
      <c r="C8507" s="72"/>
      <c r="D8507" s="72"/>
      <c r="E8507" s="72"/>
    </row>
    <row r="8508">
      <c r="A8508" s="72"/>
      <c r="B8508" s="72"/>
      <c r="C8508" s="72"/>
      <c r="D8508" s="72"/>
      <c r="E8508" s="72"/>
    </row>
    <row r="8509">
      <c r="A8509" s="72"/>
      <c r="B8509" s="72"/>
      <c r="C8509" s="72"/>
      <c r="D8509" s="72"/>
      <c r="E8509" s="72"/>
    </row>
    <row r="8510">
      <c r="A8510" s="72"/>
      <c r="B8510" s="72"/>
      <c r="C8510" s="72"/>
      <c r="D8510" s="72"/>
      <c r="E8510" s="72"/>
    </row>
    <row r="8511">
      <c r="A8511" s="72"/>
      <c r="B8511" s="72"/>
      <c r="C8511" s="72"/>
      <c r="D8511" s="72"/>
      <c r="E8511" s="72"/>
    </row>
    <row r="8512">
      <c r="A8512" s="72"/>
      <c r="B8512" s="72"/>
      <c r="C8512" s="72"/>
      <c r="D8512" s="72"/>
      <c r="E8512" s="72"/>
    </row>
    <row r="8513">
      <c r="A8513" s="72"/>
      <c r="B8513" s="72"/>
      <c r="C8513" s="72"/>
      <c r="D8513" s="72"/>
      <c r="E8513" s="72"/>
    </row>
    <row r="8514">
      <c r="A8514" s="72"/>
      <c r="B8514" s="72"/>
      <c r="C8514" s="72"/>
      <c r="D8514" s="72"/>
      <c r="E8514" s="72"/>
    </row>
    <row r="8515">
      <c r="A8515" s="72"/>
      <c r="B8515" s="72"/>
      <c r="C8515" s="72"/>
      <c r="D8515" s="72"/>
      <c r="E8515" s="72"/>
    </row>
    <row r="8516">
      <c r="A8516" s="72"/>
      <c r="B8516" s="72"/>
      <c r="C8516" s="72"/>
      <c r="D8516" s="72"/>
      <c r="E8516" s="72"/>
    </row>
    <row r="8517">
      <c r="A8517" s="72"/>
      <c r="B8517" s="72"/>
      <c r="C8517" s="72"/>
      <c r="D8517" s="72"/>
      <c r="E8517" s="72"/>
    </row>
    <row r="8518">
      <c r="A8518" s="72"/>
      <c r="B8518" s="72"/>
      <c r="C8518" s="72"/>
      <c r="D8518" s="72"/>
      <c r="E8518" s="72"/>
    </row>
    <row r="8519">
      <c r="A8519" s="72"/>
      <c r="B8519" s="72"/>
      <c r="C8519" s="72"/>
      <c r="D8519" s="72"/>
      <c r="E8519" s="72"/>
    </row>
    <row r="8520">
      <c r="A8520" s="72"/>
      <c r="B8520" s="72"/>
      <c r="C8520" s="72"/>
      <c r="D8520" s="72"/>
      <c r="E8520" s="72"/>
    </row>
    <row r="8521">
      <c r="A8521" s="72"/>
      <c r="B8521" s="72"/>
      <c r="C8521" s="72"/>
      <c r="D8521" s="72"/>
      <c r="E8521" s="72"/>
    </row>
    <row r="8522">
      <c r="A8522" s="72"/>
      <c r="B8522" s="72"/>
      <c r="C8522" s="72"/>
      <c r="D8522" s="72"/>
      <c r="E8522" s="72"/>
    </row>
    <row r="8523">
      <c r="A8523" s="72"/>
      <c r="B8523" s="72"/>
      <c r="C8523" s="72"/>
      <c r="D8523" s="72"/>
      <c r="E8523" s="72"/>
    </row>
    <row r="8524">
      <c r="A8524" s="72"/>
      <c r="B8524" s="72"/>
      <c r="C8524" s="72"/>
      <c r="D8524" s="72"/>
      <c r="E8524" s="72"/>
    </row>
    <row r="8525">
      <c r="A8525" s="72"/>
      <c r="B8525" s="72"/>
      <c r="C8525" s="72"/>
      <c r="D8525" s="72"/>
      <c r="E8525" s="72"/>
    </row>
    <row r="8526">
      <c r="A8526" s="72"/>
      <c r="B8526" s="72"/>
      <c r="C8526" s="72"/>
      <c r="D8526" s="72"/>
      <c r="E8526" s="72"/>
    </row>
    <row r="8527">
      <c r="A8527" s="72"/>
      <c r="B8527" s="72"/>
      <c r="C8527" s="72"/>
      <c r="D8527" s="72"/>
      <c r="E8527" s="72"/>
    </row>
    <row r="8528">
      <c r="A8528" s="72"/>
      <c r="B8528" s="72"/>
      <c r="C8528" s="72"/>
      <c r="D8528" s="72"/>
      <c r="E8528" s="72"/>
    </row>
    <row r="8529">
      <c r="A8529" s="72"/>
      <c r="B8529" s="72"/>
      <c r="C8529" s="72"/>
      <c r="D8529" s="72"/>
      <c r="E8529" s="72"/>
    </row>
    <row r="8530">
      <c r="A8530" s="72"/>
      <c r="B8530" s="72"/>
      <c r="C8530" s="72"/>
      <c r="D8530" s="72"/>
      <c r="E8530" s="72"/>
    </row>
    <row r="8531">
      <c r="A8531" s="72"/>
      <c r="B8531" s="72"/>
      <c r="C8531" s="72"/>
      <c r="D8531" s="72"/>
      <c r="E8531" s="72"/>
    </row>
    <row r="8532">
      <c r="A8532" s="72"/>
      <c r="B8532" s="72"/>
      <c r="C8532" s="72"/>
      <c r="D8532" s="72"/>
      <c r="E8532" s="72"/>
    </row>
    <row r="8533">
      <c r="A8533" s="72"/>
      <c r="B8533" s="72"/>
      <c r="C8533" s="72"/>
      <c r="D8533" s="72"/>
      <c r="E8533" s="72"/>
    </row>
    <row r="8534">
      <c r="A8534" s="72"/>
      <c r="B8534" s="72"/>
      <c r="C8534" s="72"/>
      <c r="D8534" s="72"/>
      <c r="E8534" s="72"/>
    </row>
    <row r="8535">
      <c r="A8535" s="72"/>
      <c r="B8535" s="72"/>
      <c r="C8535" s="72"/>
      <c r="D8535" s="72"/>
      <c r="E8535" s="72"/>
    </row>
    <row r="8536">
      <c r="A8536" s="72"/>
      <c r="B8536" s="72"/>
      <c r="C8536" s="72"/>
      <c r="D8536" s="72"/>
      <c r="E8536" s="72"/>
    </row>
    <row r="8537">
      <c r="A8537" s="72"/>
      <c r="B8537" s="72"/>
      <c r="C8537" s="72"/>
      <c r="D8537" s="72"/>
      <c r="E8537" s="72"/>
    </row>
    <row r="8538">
      <c r="A8538" s="72"/>
      <c r="B8538" s="72"/>
      <c r="C8538" s="72"/>
      <c r="D8538" s="72"/>
      <c r="E8538" s="72"/>
    </row>
    <row r="8539">
      <c r="A8539" s="72"/>
      <c r="B8539" s="72"/>
      <c r="C8539" s="72"/>
      <c r="D8539" s="72"/>
      <c r="E8539" s="72"/>
    </row>
    <row r="8540">
      <c r="A8540" s="72"/>
      <c r="B8540" s="72"/>
      <c r="C8540" s="72"/>
      <c r="D8540" s="72"/>
      <c r="E8540" s="72"/>
    </row>
    <row r="8541">
      <c r="A8541" s="72"/>
      <c r="B8541" s="72"/>
      <c r="C8541" s="72"/>
      <c r="D8541" s="72"/>
      <c r="E8541" s="72"/>
    </row>
    <row r="8542">
      <c r="A8542" s="72"/>
      <c r="B8542" s="72"/>
      <c r="C8542" s="72"/>
      <c r="D8542" s="72"/>
      <c r="E8542" s="72"/>
    </row>
    <row r="8543">
      <c r="A8543" s="72"/>
      <c r="B8543" s="72"/>
      <c r="C8543" s="72"/>
      <c r="D8543" s="72"/>
      <c r="E8543" s="72"/>
    </row>
    <row r="8544">
      <c r="A8544" s="72"/>
      <c r="B8544" s="72"/>
      <c r="C8544" s="72"/>
      <c r="D8544" s="72"/>
      <c r="E8544" s="72"/>
    </row>
    <row r="8545">
      <c r="A8545" s="72"/>
      <c r="B8545" s="72"/>
      <c r="C8545" s="72"/>
      <c r="D8545" s="72"/>
      <c r="E8545" s="72"/>
    </row>
    <row r="8546">
      <c r="A8546" s="72"/>
      <c r="B8546" s="72"/>
      <c r="C8546" s="72"/>
      <c r="D8546" s="72"/>
      <c r="E8546" s="72"/>
    </row>
    <row r="8547">
      <c r="A8547" s="72"/>
      <c r="B8547" s="72"/>
      <c r="C8547" s="72"/>
      <c r="D8547" s="72"/>
      <c r="E8547" s="72"/>
    </row>
    <row r="8548">
      <c r="A8548" s="72"/>
      <c r="B8548" s="72"/>
      <c r="C8548" s="72"/>
      <c r="D8548" s="72"/>
      <c r="E8548" s="72"/>
    </row>
    <row r="8549">
      <c r="A8549" s="72"/>
      <c r="B8549" s="72"/>
      <c r="C8549" s="72"/>
      <c r="D8549" s="72"/>
      <c r="E8549" s="72"/>
    </row>
    <row r="8550">
      <c r="A8550" s="72"/>
      <c r="B8550" s="72"/>
      <c r="C8550" s="72"/>
      <c r="D8550" s="72"/>
      <c r="E8550" s="72"/>
    </row>
    <row r="8551">
      <c r="A8551" s="72"/>
      <c r="B8551" s="72"/>
      <c r="C8551" s="72"/>
      <c r="D8551" s="72"/>
      <c r="E8551" s="72"/>
    </row>
  </sheetData>
  <drawing r:id="rId1"/>
  <tableParts count="1">
    <tablePart r:id="rId3"/>
  </tableParts>
</worksheet>
</file>